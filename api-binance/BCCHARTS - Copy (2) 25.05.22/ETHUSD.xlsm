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827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CRYPTO\BCCHARTS\"/>
    </mc:Choice>
  </mc:AlternateContent>
  <xr:revisionPtr revIDLastSave="0" documentId="13_ncr:1_{BF85BFCA-EBCB-466B-8C45-C7E0A58AF0D4}" xr6:coauthVersionLast="47" xr6:coauthVersionMax="47" xr10:uidLastSave="{00000000-0000-0000-0000-000000000000}"/>
  <bookViews>
    <workbookView xWindow="1560" yWindow="1560" windowWidth="28800" windowHeight="15435" activeTab="4" xr2:uid="{00000000-000D-0000-FFFF-FFFF00000000}"/>
  </bookViews>
  <sheets>
    <sheet name="table (1)" sheetId="1" r:id="rId1"/>
    <sheet name="1%" sheetId="2" r:id="rId2"/>
    <sheet name="2%" sheetId="3" r:id="rId3"/>
    <sheet name="5%" sheetId="4" r:id="rId4"/>
    <sheet name="10%" sheetId="5" r:id="rId5"/>
    <sheet name="INVEST" sheetId="6" r:id="rId6"/>
    <sheet name="TEMP" sheetId="7" r:id="rId7"/>
    <sheet name="Chart1" sheetId="8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5" i="1" l="1"/>
  <c r="Q5" i="1" s="1"/>
  <c r="R5" i="1" s="1"/>
  <c r="S5" i="1" s="1"/>
  <c r="T5" i="1" s="1"/>
  <c r="P6" i="1"/>
  <c r="Q6" i="1" s="1"/>
  <c r="P7" i="1"/>
  <c r="Q7" i="1" s="1"/>
  <c r="P8" i="1"/>
  <c r="Q8" i="1" s="1"/>
  <c r="P9" i="1"/>
  <c r="Q9" i="1" s="1"/>
  <c r="P10" i="1"/>
  <c r="Q10" i="1" s="1"/>
  <c r="P11" i="1"/>
  <c r="Q11" i="1" s="1"/>
  <c r="P12" i="1"/>
  <c r="Q12" i="1" s="1"/>
  <c r="P13" i="1"/>
  <c r="Q13" i="1" s="1"/>
  <c r="P14" i="1"/>
  <c r="Q14" i="1" s="1"/>
  <c r="P15" i="1"/>
  <c r="Q15" i="1" s="1"/>
  <c r="P16" i="1"/>
  <c r="Q16" i="1" s="1"/>
  <c r="P17" i="1"/>
  <c r="Q17" i="1" s="1"/>
  <c r="P18" i="1"/>
  <c r="Q18" i="1" s="1"/>
  <c r="P19" i="1"/>
  <c r="Q19" i="1" s="1"/>
  <c r="P20" i="1"/>
  <c r="Q20" i="1" s="1"/>
  <c r="P21" i="1"/>
  <c r="Q21" i="1" s="1"/>
  <c r="P22" i="1"/>
  <c r="Q22" i="1" s="1"/>
  <c r="P23" i="1"/>
  <c r="Q23" i="1" s="1"/>
  <c r="P766" i="1"/>
  <c r="Q766" i="1" s="1"/>
  <c r="R766" i="1" s="1"/>
  <c r="P765" i="1"/>
  <c r="Q765" i="1" s="1"/>
  <c r="P764" i="1"/>
  <c r="Q764" i="1" s="1"/>
  <c r="P763" i="1"/>
  <c r="Q763" i="1" s="1"/>
  <c r="P762" i="1"/>
  <c r="Q762" i="1" s="1"/>
  <c r="P761" i="1"/>
  <c r="Q761" i="1" s="1"/>
  <c r="P760" i="1"/>
  <c r="Q760" i="1" s="1"/>
  <c r="P759" i="1"/>
  <c r="Q759" i="1" s="1"/>
  <c r="P758" i="1"/>
  <c r="Q758" i="1" s="1"/>
  <c r="P757" i="1"/>
  <c r="Q757" i="1" s="1"/>
  <c r="P756" i="1"/>
  <c r="Q756" i="1" s="1"/>
  <c r="P755" i="1"/>
  <c r="Q755" i="1" s="1"/>
  <c r="P754" i="1"/>
  <c r="Q754" i="1" s="1"/>
  <c r="P753" i="1"/>
  <c r="Q753" i="1" s="1"/>
  <c r="P752" i="1"/>
  <c r="Q752" i="1" s="1"/>
  <c r="P751" i="1"/>
  <c r="Q751" i="1" s="1"/>
  <c r="P750" i="1"/>
  <c r="Q750" i="1" s="1"/>
  <c r="P749" i="1"/>
  <c r="Q749" i="1" s="1"/>
  <c r="P748" i="1"/>
  <c r="Q748" i="1" s="1"/>
  <c r="P747" i="1"/>
  <c r="Q747" i="1" s="1"/>
  <c r="P746" i="1"/>
  <c r="Q746" i="1" s="1"/>
  <c r="P745" i="1"/>
  <c r="Q745" i="1" s="1"/>
  <c r="P744" i="1"/>
  <c r="Q744" i="1" s="1"/>
  <c r="P743" i="1"/>
  <c r="Q743" i="1" s="1"/>
  <c r="P742" i="1"/>
  <c r="Q742" i="1" s="1"/>
  <c r="P741" i="1"/>
  <c r="Q741" i="1" s="1"/>
  <c r="P740" i="1"/>
  <c r="Q740" i="1" s="1"/>
  <c r="P739" i="1"/>
  <c r="Q739" i="1" s="1"/>
  <c r="P738" i="1"/>
  <c r="Q738" i="1" s="1"/>
  <c r="P737" i="1"/>
  <c r="Q737" i="1" s="1"/>
  <c r="P736" i="1"/>
  <c r="Q736" i="1" s="1"/>
  <c r="P735" i="1"/>
  <c r="Q735" i="1" s="1"/>
  <c r="P734" i="1"/>
  <c r="Q734" i="1" s="1"/>
  <c r="P733" i="1"/>
  <c r="Q733" i="1" s="1"/>
  <c r="P732" i="1"/>
  <c r="Q732" i="1" s="1"/>
  <c r="P731" i="1"/>
  <c r="Q731" i="1" s="1"/>
  <c r="P730" i="1"/>
  <c r="Q730" i="1" s="1"/>
  <c r="P729" i="1"/>
  <c r="Q729" i="1" s="1"/>
  <c r="P728" i="1"/>
  <c r="Q728" i="1" s="1"/>
  <c r="P727" i="1"/>
  <c r="Q727" i="1" s="1"/>
  <c r="P726" i="1"/>
  <c r="Q726" i="1" s="1"/>
  <c r="P725" i="1"/>
  <c r="Q725" i="1" s="1"/>
  <c r="P724" i="1"/>
  <c r="Q724" i="1" s="1"/>
  <c r="P723" i="1"/>
  <c r="Q723" i="1" s="1"/>
  <c r="P722" i="1"/>
  <c r="Q722" i="1" s="1"/>
  <c r="P721" i="1"/>
  <c r="Q721" i="1" s="1"/>
  <c r="P720" i="1"/>
  <c r="Q720" i="1" s="1"/>
  <c r="P719" i="1"/>
  <c r="Q719" i="1" s="1"/>
  <c r="P718" i="1"/>
  <c r="Q718" i="1" s="1"/>
  <c r="P717" i="1"/>
  <c r="Q717" i="1" s="1"/>
  <c r="P716" i="1"/>
  <c r="Q716" i="1" s="1"/>
  <c r="P715" i="1"/>
  <c r="Q715" i="1" s="1"/>
  <c r="P714" i="1"/>
  <c r="Q714" i="1" s="1"/>
  <c r="P713" i="1"/>
  <c r="Q713" i="1" s="1"/>
  <c r="P712" i="1"/>
  <c r="Q712" i="1" s="1"/>
  <c r="P711" i="1"/>
  <c r="Q711" i="1" s="1"/>
  <c r="P710" i="1"/>
  <c r="Q710" i="1" s="1"/>
  <c r="P709" i="1"/>
  <c r="Q709" i="1" s="1"/>
  <c r="P708" i="1"/>
  <c r="Q708" i="1" s="1"/>
  <c r="P707" i="1"/>
  <c r="Q707" i="1" s="1"/>
  <c r="P706" i="1"/>
  <c r="Q706" i="1" s="1"/>
  <c r="P705" i="1"/>
  <c r="Q705" i="1" s="1"/>
  <c r="P704" i="1"/>
  <c r="Q704" i="1" s="1"/>
  <c r="P703" i="1"/>
  <c r="Q703" i="1" s="1"/>
  <c r="P702" i="1"/>
  <c r="Q702" i="1" s="1"/>
  <c r="P701" i="1"/>
  <c r="Q701" i="1" s="1"/>
  <c r="P700" i="1"/>
  <c r="Q700" i="1" s="1"/>
  <c r="P699" i="1"/>
  <c r="Q699" i="1" s="1"/>
  <c r="P698" i="1"/>
  <c r="Q698" i="1" s="1"/>
  <c r="P697" i="1"/>
  <c r="Q697" i="1" s="1"/>
  <c r="P696" i="1"/>
  <c r="Q696" i="1" s="1"/>
  <c r="P695" i="1"/>
  <c r="Q695" i="1" s="1"/>
  <c r="P694" i="1"/>
  <c r="Q694" i="1" s="1"/>
  <c r="P693" i="1"/>
  <c r="Q693" i="1" s="1"/>
  <c r="P692" i="1"/>
  <c r="Q692" i="1" s="1"/>
  <c r="P691" i="1"/>
  <c r="Q691" i="1" s="1"/>
  <c r="P690" i="1"/>
  <c r="Q690" i="1" s="1"/>
  <c r="P689" i="1"/>
  <c r="Q689" i="1" s="1"/>
  <c r="P688" i="1"/>
  <c r="Q688" i="1" s="1"/>
  <c r="P687" i="1"/>
  <c r="Q687" i="1" s="1"/>
  <c r="P686" i="1"/>
  <c r="Q686" i="1" s="1"/>
  <c r="P685" i="1"/>
  <c r="Q685" i="1" s="1"/>
  <c r="P684" i="1"/>
  <c r="Q684" i="1" s="1"/>
  <c r="P683" i="1"/>
  <c r="Q683" i="1" s="1"/>
  <c r="P682" i="1"/>
  <c r="Q682" i="1" s="1"/>
  <c r="P681" i="1"/>
  <c r="Q681" i="1" s="1"/>
  <c r="P680" i="1"/>
  <c r="Q680" i="1" s="1"/>
  <c r="P679" i="1"/>
  <c r="Q679" i="1" s="1"/>
  <c r="P678" i="1"/>
  <c r="Q678" i="1" s="1"/>
  <c r="P677" i="1"/>
  <c r="Q677" i="1" s="1"/>
  <c r="P676" i="1"/>
  <c r="Q676" i="1" s="1"/>
  <c r="P675" i="1"/>
  <c r="Q675" i="1" s="1"/>
  <c r="P674" i="1"/>
  <c r="Q674" i="1" s="1"/>
  <c r="P673" i="1"/>
  <c r="Q673" i="1" s="1"/>
  <c r="P672" i="1"/>
  <c r="Q672" i="1" s="1"/>
  <c r="P671" i="1"/>
  <c r="Q671" i="1" s="1"/>
  <c r="P670" i="1"/>
  <c r="Q670" i="1" s="1"/>
  <c r="P669" i="1"/>
  <c r="Q669" i="1" s="1"/>
  <c r="P668" i="1"/>
  <c r="Q668" i="1" s="1"/>
  <c r="P667" i="1"/>
  <c r="Q667" i="1" s="1"/>
  <c r="P666" i="1"/>
  <c r="Q666" i="1" s="1"/>
  <c r="P665" i="1"/>
  <c r="Q665" i="1" s="1"/>
  <c r="P664" i="1"/>
  <c r="Q664" i="1" s="1"/>
  <c r="P663" i="1"/>
  <c r="Q663" i="1" s="1"/>
  <c r="P662" i="1"/>
  <c r="Q662" i="1" s="1"/>
  <c r="P661" i="1"/>
  <c r="Q661" i="1" s="1"/>
  <c r="P660" i="1"/>
  <c r="Q660" i="1" s="1"/>
  <c r="P659" i="1"/>
  <c r="Q659" i="1" s="1"/>
  <c r="P658" i="1"/>
  <c r="Q658" i="1" s="1"/>
  <c r="P657" i="1"/>
  <c r="Q657" i="1" s="1"/>
  <c r="P656" i="1"/>
  <c r="Q656" i="1" s="1"/>
  <c r="P655" i="1"/>
  <c r="Q655" i="1" s="1"/>
  <c r="P654" i="1"/>
  <c r="Q654" i="1" s="1"/>
  <c r="P653" i="1"/>
  <c r="Q653" i="1" s="1"/>
  <c r="P652" i="1"/>
  <c r="Q652" i="1" s="1"/>
  <c r="P651" i="1"/>
  <c r="Q651" i="1" s="1"/>
  <c r="P650" i="1"/>
  <c r="Q650" i="1" s="1"/>
  <c r="P649" i="1"/>
  <c r="Q649" i="1" s="1"/>
  <c r="P648" i="1"/>
  <c r="Q648" i="1" s="1"/>
  <c r="P647" i="1"/>
  <c r="Q647" i="1" s="1"/>
  <c r="P646" i="1"/>
  <c r="Q646" i="1" s="1"/>
  <c r="P645" i="1"/>
  <c r="Q645" i="1" s="1"/>
  <c r="P644" i="1"/>
  <c r="Q644" i="1" s="1"/>
  <c r="P643" i="1"/>
  <c r="Q643" i="1" s="1"/>
  <c r="P642" i="1"/>
  <c r="Q642" i="1" s="1"/>
  <c r="P641" i="1"/>
  <c r="Q641" i="1" s="1"/>
  <c r="P640" i="1"/>
  <c r="Q640" i="1" s="1"/>
  <c r="P639" i="1"/>
  <c r="Q639" i="1" s="1"/>
  <c r="P638" i="1"/>
  <c r="Q638" i="1" s="1"/>
  <c r="P637" i="1"/>
  <c r="Q637" i="1" s="1"/>
  <c r="P636" i="1"/>
  <c r="Q636" i="1" s="1"/>
  <c r="P635" i="1"/>
  <c r="Q635" i="1" s="1"/>
  <c r="P634" i="1"/>
  <c r="Q634" i="1" s="1"/>
  <c r="P633" i="1"/>
  <c r="Q633" i="1" s="1"/>
  <c r="P632" i="1"/>
  <c r="Q632" i="1" s="1"/>
  <c r="P631" i="1"/>
  <c r="Q631" i="1" s="1"/>
  <c r="P630" i="1"/>
  <c r="Q630" i="1" s="1"/>
  <c r="P629" i="1"/>
  <c r="Q629" i="1" s="1"/>
  <c r="P628" i="1"/>
  <c r="Q628" i="1" s="1"/>
  <c r="P627" i="1"/>
  <c r="Q627" i="1" s="1"/>
  <c r="P626" i="1"/>
  <c r="Q626" i="1" s="1"/>
  <c r="P625" i="1"/>
  <c r="Q625" i="1" s="1"/>
  <c r="P624" i="1"/>
  <c r="Q624" i="1" s="1"/>
  <c r="P623" i="1"/>
  <c r="Q623" i="1" s="1"/>
  <c r="P622" i="1"/>
  <c r="Q622" i="1" s="1"/>
  <c r="P621" i="1"/>
  <c r="Q621" i="1" s="1"/>
  <c r="P620" i="1"/>
  <c r="Q620" i="1" s="1"/>
  <c r="P619" i="1"/>
  <c r="Q619" i="1" s="1"/>
  <c r="P618" i="1"/>
  <c r="Q618" i="1" s="1"/>
  <c r="P617" i="1"/>
  <c r="Q617" i="1" s="1"/>
  <c r="P616" i="1"/>
  <c r="Q616" i="1" s="1"/>
  <c r="P615" i="1"/>
  <c r="Q615" i="1" s="1"/>
  <c r="P614" i="1"/>
  <c r="Q614" i="1" s="1"/>
  <c r="P613" i="1"/>
  <c r="Q613" i="1" s="1"/>
  <c r="P612" i="1"/>
  <c r="Q612" i="1" s="1"/>
  <c r="P611" i="1"/>
  <c r="Q611" i="1" s="1"/>
  <c r="P610" i="1"/>
  <c r="Q610" i="1" s="1"/>
  <c r="P609" i="1"/>
  <c r="Q609" i="1" s="1"/>
  <c r="P608" i="1"/>
  <c r="Q608" i="1" s="1"/>
  <c r="P607" i="1"/>
  <c r="Q607" i="1" s="1"/>
  <c r="P606" i="1"/>
  <c r="Q606" i="1" s="1"/>
  <c r="P605" i="1"/>
  <c r="Q605" i="1" s="1"/>
  <c r="P604" i="1"/>
  <c r="Q604" i="1" s="1"/>
  <c r="P603" i="1"/>
  <c r="Q603" i="1" s="1"/>
  <c r="P602" i="1"/>
  <c r="Q602" i="1" s="1"/>
  <c r="P601" i="1"/>
  <c r="Q601" i="1" s="1"/>
  <c r="P600" i="1"/>
  <c r="Q600" i="1" s="1"/>
  <c r="P599" i="1"/>
  <c r="Q599" i="1" s="1"/>
  <c r="P598" i="1"/>
  <c r="Q598" i="1" s="1"/>
  <c r="P597" i="1"/>
  <c r="Q597" i="1" s="1"/>
  <c r="P596" i="1"/>
  <c r="Q596" i="1" s="1"/>
  <c r="P595" i="1"/>
  <c r="Q595" i="1" s="1"/>
  <c r="P594" i="1"/>
  <c r="Q594" i="1" s="1"/>
  <c r="P593" i="1"/>
  <c r="Q593" i="1" s="1"/>
  <c r="P592" i="1"/>
  <c r="Q592" i="1" s="1"/>
  <c r="P591" i="1"/>
  <c r="Q591" i="1" s="1"/>
  <c r="P590" i="1"/>
  <c r="Q590" i="1" s="1"/>
  <c r="P589" i="1"/>
  <c r="Q589" i="1" s="1"/>
  <c r="P588" i="1"/>
  <c r="Q588" i="1" s="1"/>
  <c r="P587" i="1"/>
  <c r="Q587" i="1" s="1"/>
  <c r="P586" i="1"/>
  <c r="Q586" i="1" s="1"/>
  <c r="P585" i="1"/>
  <c r="Q585" i="1" s="1"/>
  <c r="P584" i="1"/>
  <c r="Q584" i="1" s="1"/>
  <c r="P583" i="1"/>
  <c r="Q583" i="1" s="1"/>
  <c r="P582" i="1"/>
  <c r="Q582" i="1" s="1"/>
  <c r="P581" i="1"/>
  <c r="Q581" i="1" s="1"/>
  <c r="P580" i="1"/>
  <c r="Q580" i="1" s="1"/>
  <c r="P579" i="1"/>
  <c r="Q579" i="1" s="1"/>
  <c r="P578" i="1"/>
  <c r="Q578" i="1" s="1"/>
  <c r="P577" i="1"/>
  <c r="Q577" i="1" s="1"/>
  <c r="P576" i="1"/>
  <c r="Q576" i="1" s="1"/>
  <c r="P575" i="1"/>
  <c r="Q575" i="1" s="1"/>
  <c r="P574" i="1"/>
  <c r="Q574" i="1" s="1"/>
  <c r="P573" i="1"/>
  <c r="Q573" i="1" s="1"/>
  <c r="P572" i="1"/>
  <c r="Q572" i="1" s="1"/>
  <c r="P571" i="1"/>
  <c r="Q571" i="1" s="1"/>
  <c r="P570" i="1"/>
  <c r="Q570" i="1" s="1"/>
  <c r="P569" i="1"/>
  <c r="Q569" i="1" s="1"/>
  <c r="P568" i="1"/>
  <c r="Q568" i="1" s="1"/>
  <c r="P567" i="1"/>
  <c r="Q567" i="1" s="1"/>
  <c r="P566" i="1"/>
  <c r="Q566" i="1" s="1"/>
  <c r="P565" i="1"/>
  <c r="Q565" i="1" s="1"/>
  <c r="P564" i="1"/>
  <c r="Q564" i="1" s="1"/>
  <c r="P563" i="1"/>
  <c r="Q563" i="1" s="1"/>
  <c r="P562" i="1"/>
  <c r="Q562" i="1" s="1"/>
  <c r="P561" i="1"/>
  <c r="Q561" i="1" s="1"/>
  <c r="P560" i="1"/>
  <c r="Q560" i="1" s="1"/>
  <c r="P559" i="1"/>
  <c r="Q559" i="1" s="1"/>
  <c r="P558" i="1"/>
  <c r="Q558" i="1" s="1"/>
  <c r="P557" i="1"/>
  <c r="Q557" i="1" s="1"/>
  <c r="P556" i="1"/>
  <c r="Q556" i="1" s="1"/>
  <c r="P555" i="1"/>
  <c r="Q555" i="1" s="1"/>
  <c r="P554" i="1"/>
  <c r="Q554" i="1" s="1"/>
  <c r="P553" i="1"/>
  <c r="Q553" i="1" s="1"/>
  <c r="P552" i="1"/>
  <c r="Q552" i="1" s="1"/>
  <c r="P551" i="1"/>
  <c r="Q551" i="1" s="1"/>
  <c r="P550" i="1"/>
  <c r="Q550" i="1" s="1"/>
  <c r="P549" i="1"/>
  <c r="Q549" i="1" s="1"/>
  <c r="P548" i="1"/>
  <c r="Q548" i="1" s="1"/>
  <c r="P547" i="1"/>
  <c r="Q547" i="1" s="1"/>
  <c r="P546" i="1"/>
  <c r="Q546" i="1" s="1"/>
  <c r="P545" i="1"/>
  <c r="Q545" i="1" s="1"/>
  <c r="P544" i="1"/>
  <c r="Q544" i="1" s="1"/>
  <c r="P543" i="1"/>
  <c r="Q543" i="1" s="1"/>
  <c r="P542" i="1"/>
  <c r="Q542" i="1" s="1"/>
  <c r="P541" i="1"/>
  <c r="Q541" i="1" s="1"/>
  <c r="P540" i="1"/>
  <c r="Q540" i="1" s="1"/>
  <c r="P539" i="1"/>
  <c r="Q539" i="1" s="1"/>
  <c r="P538" i="1"/>
  <c r="Q538" i="1" s="1"/>
  <c r="P537" i="1"/>
  <c r="Q537" i="1" s="1"/>
  <c r="P536" i="1"/>
  <c r="Q536" i="1" s="1"/>
  <c r="P535" i="1"/>
  <c r="Q535" i="1" s="1"/>
  <c r="P534" i="1"/>
  <c r="Q534" i="1" s="1"/>
  <c r="P533" i="1"/>
  <c r="Q533" i="1" s="1"/>
  <c r="P532" i="1"/>
  <c r="Q532" i="1" s="1"/>
  <c r="P531" i="1"/>
  <c r="Q531" i="1" s="1"/>
  <c r="P530" i="1"/>
  <c r="Q530" i="1" s="1"/>
  <c r="P529" i="1"/>
  <c r="Q529" i="1" s="1"/>
  <c r="P528" i="1"/>
  <c r="Q528" i="1" s="1"/>
  <c r="P527" i="1"/>
  <c r="Q527" i="1" s="1"/>
  <c r="P526" i="1"/>
  <c r="Q526" i="1" s="1"/>
  <c r="P525" i="1"/>
  <c r="Q525" i="1" s="1"/>
  <c r="P524" i="1"/>
  <c r="Q524" i="1" s="1"/>
  <c r="P523" i="1"/>
  <c r="Q523" i="1" s="1"/>
  <c r="P522" i="1"/>
  <c r="Q522" i="1" s="1"/>
  <c r="P521" i="1"/>
  <c r="Q521" i="1" s="1"/>
  <c r="P520" i="1"/>
  <c r="Q520" i="1" s="1"/>
  <c r="P519" i="1"/>
  <c r="Q519" i="1" s="1"/>
  <c r="P518" i="1"/>
  <c r="Q518" i="1" s="1"/>
  <c r="P517" i="1"/>
  <c r="Q517" i="1" s="1"/>
  <c r="P516" i="1"/>
  <c r="Q516" i="1" s="1"/>
  <c r="P515" i="1"/>
  <c r="Q515" i="1" s="1"/>
  <c r="P514" i="1"/>
  <c r="Q514" i="1" s="1"/>
  <c r="P513" i="1"/>
  <c r="Q513" i="1" s="1"/>
  <c r="P512" i="1"/>
  <c r="Q512" i="1" s="1"/>
  <c r="P511" i="1"/>
  <c r="Q511" i="1" s="1"/>
  <c r="P510" i="1"/>
  <c r="Q510" i="1" s="1"/>
  <c r="P509" i="1"/>
  <c r="Q509" i="1" s="1"/>
  <c r="P508" i="1"/>
  <c r="Q508" i="1" s="1"/>
  <c r="P507" i="1"/>
  <c r="Q507" i="1" s="1"/>
  <c r="P506" i="1"/>
  <c r="Q506" i="1" s="1"/>
  <c r="P505" i="1"/>
  <c r="Q505" i="1" s="1"/>
  <c r="P504" i="1"/>
  <c r="Q504" i="1" s="1"/>
  <c r="P503" i="1"/>
  <c r="Q503" i="1" s="1"/>
  <c r="P502" i="1"/>
  <c r="Q502" i="1" s="1"/>
  <c r="P501" i="1"/>
  <c r="Q501" i="1" s="1"/>
  <c r="P500" i="1"/>
  <c r="Q500" i="1" s="1"/>
  <c r="P499" i="1"/>
  <c r="Q499" i="1" s="1"/>
  <c r="P498" i="1"/>
  <c r="Q498" i="1" s="1"/>
  <c r="P497" i="1"/>
  <c r="Q497" i="1" s="1"/>
  <c r="P496" i="1"/>
  <c r="Q496" i="1" s="1"/>
  <c r="P495" i="1"/>
  <c r="Q495" i="1" s="1"/>
  <c r="P494" i="1"/>
  <c r="Q494" i="1" s="1"/>
  <c r="P493" i="1"/>
  <c r="Q493" i="1" s="1"/>
  <c r="P492" i="1"/>
  <c r="Q492" i="1" s="1"/>
  <c r="P491" i="1"/>
  <c r="Q491" i="1" s="1"/>
  <c r="P490" i="1"/>
  <c r="Q490" i="1" s="1"/>
  <c r="P489" i="1"/>
  <c r="Q489" i="1" s="1"/>
  <c r="P488" i="1"/>
  <c r="Q488" i="1" s="1"/>
  <c r="P487" i="1"/>
  <c r="Q487" i="1" s="1"/>
  <c r="P486" i="1"/>
  <c r="Q486" i="1" s="1"/>
  <c r="P485" i="1"/>
  <c r="Q485" i="1" s="1"/>
  <c r="P484" i="1"/>
  <c r="Q484" i="1" s="1"/>
  <c r="P483" i="1"/>
  <c r="Q483" i="1" s="1"/>
  <c r="P482" i="1"/>
  <c r="Q482" i="1" s="1"/>
  <c r="P481" i="1"/>
  <c r="Q481" i="1" s="1"/>
  <c r="P480" i="1"/>
  <c r="Q480" i="1" s="1"/>
  <c r="P479" i="1"/>
  <c r="Q479" i="1" s="1"/>
  <c r="P478" i="1"/>
  <c r="Q478" i="1" s="1"/>
  <c r="P477" i="1"/>
  <c r="Q477" i="1" s="1"/>
  <c r="P476" i="1"/>
  <c r="Q476" i="1" s="1"/>
  <c r="P475" i="1"/>
  <c r="Q475" i="1" s="1"/>
  <c r="P474" i="1"/>
  <c r="Q474" i="1" s="1"/>
  <c r="P473" i="1"/>
  <c r="Q473" i="1" s="1"/>
  <c r="P472" i="1"/>
  <c r="Q472" i="1" s="1"/>
  <c r="P471" i="1"/>
  <c r="Q471" i="1" s="1"/>
  <c r="P470" i="1"/>
  <c r="Q470" i="1" s="1"/>
  <c r="P469" i="1"/>
  <c r="Q469" i="1" s="1"/>
  <c r="P468" i="1"/>
  <c r="Q468" i="1" s="1"/>
  <c r="P467" i="1"/>
  <c r="Q467" i="1" s="1"/>
  <c r="P466" i="1"/>
  <c r="Q466" i="1" s="1"/>
  <c r="P465" i="1"/>
  <c r="Q465" i="1" s="1"/>
  <c r="P464" i="1"/>
  <c r="Q464" i="1" s="1"/>
  <c r="P463" i="1"/>
  <c r="Q463" i="1" s="1"/>
  <c r="P462" i="1"/>
  <c r="Q462" i="1" s="1"/>
  <c r="P461" i="1"/>
  <c r="Q461" i="1" s="1"/>
  <c r="P460" i="1"/>
  <c r="Q460" i="1" s="1"/>
  <c r="P459" i="1"/>
  <c r="Q459" i="1" s="1"/>
  <c r="P458" i="1"/>
  <c r="Q458" i="1" s="1"/>
  <c r="P457" i="1"/>
  <c r="Q457" i="1" s="1"/>
  <c r="P456" i="1"/>
  <c r="Q456" i="1" s="1"/>
  <c r="P455" i="1"/>
  <c r="Q455" i="1" s="1"/>
  <c r="P454" i="1"/>
  <c r="Q454" i="1" s="1"/>
  <c r="P453" i="1"/>
  <c r="Q453" i="1" s="1"/>
  <c r="P452" i="1"/>
  <c r="Q452" i="1" s="1"/>
  <c r="P451" i="1"/>
  <c r="Q451" i="1" s="1"/>
  <c r="P450" i="1"/>
  <c r="Q450" i="1" s="1"/>
  <c r="P449" i="1"/>
  <c r="Q449" i="1" s="1"/>
  <c r="P448" i="1"/>
  <c r="Q448" i="1" s="1"/>
  <c r="P447" i="1"/>
  <c r="Q447" i="1" s="1"/>
  <c r="P446" i="1"/>
  <c r="Q446" i="1" s="1"/>
  <c r="P445" i="1"/>
  <c r="Q445" i="1" s="1"/>
  <c r="P444" i="1"/>
  <c r="Q444" i="1" s="1"/>
  <c r="P443" i="1"/>
  <c r="Q443" i="1" s="1"/>
  <c r="P442" i="1"/>
  <c r="Q442" i="1" s="1"/>
  <c r="P441" i="1"/>
  <c r="Q441" i="1" s="1"/>
  <c r="P440" i="1"/>
  <c r="Q440" i="1" s="1"/>
  <c r="P439" i="1"/>
  <c r="Q439" i="1" s="1"/>
  <c r="P438" i="1"/>
  <c r="Q438" i="1" s="1"/>
  <c r="P437" i="1"/>
  <c r="Q437" i="1" s="1"/>
  <c r="P436" i="1"/>
  <c r="Q436" i="1" s="1"/>
  <c r="P435" i="1"/>
  <c r="Q435" i="1" s="1"/>
  <c r="P434" i="1"/>
  <c r="Q434" i="1" s="1"/>
  <c r="P433" i="1"/>
  <c r="Q433" i="1" s="1"/>
  <c r="P432" i="1"/>
  <c r="Q432" i="1" s="1"/>
  <c r="P431" i="1"/>
  <c r="Q431" i="1" s="1"/>
  <c r="P430" i="1"/>
  <c r="Q430" i="1" s="1"/>
  <c r="P429" i="1"/>
  <c r="Q429" i="1" s="1"/>
  <c r="P428" i="1"/>
  <c r="Q428" i="1" s="1"/>
  <c r="P427" i="1"/>
  <c r="Q427" i="1" s="1"/>
  <c r="P426" i="1"/>
  <c r="Q426" i="1" s="1"/>
  <c r="P425" i="1"/>
  <c r="Q425" i="1" s="1"/>
  <c r="P424" i="1"/>
  <c r="Q424" i="1" s="1"/>
  <c r="P423" i="1"/>
  <c r="Q423" i="1" s="1"/>
  <c r="P422" i="1"/>
  <c r="Q422" i="1" s="1"/>
  <c r="P421" i="1"/>
  <c r="Q421" i="1" s="1"/>
  <c r="P420" i="1"/>
  <c r="Q420" i="1" s="1"/>
  <c r="P419" i="1"/>
  <c r="Q419" i="1" s="1"/>
  <c r="P418" i="1"/>
  <c r="Q418" i="1" s="1"/>
  <c r="P417" i="1"/>
  <c r="Q417" i="1" s="1"/>
  <c r="P416" i="1"/>
  <c r="Q416" i="1" s="1"/>
  <c r="P415" i="1"/>
  <c r="Q415" i="1" s="1"/>
  <c r="P414" i="1"/>
  <c r="Q414" i="1" s="1"/>
  <c r="P413" i="1"/>
  <c r="Q413" i="1" s="1"/>
  <c r="P412" i="1"/>
  <c r="Q412" i="1" s="1"/>
  <c r="P411" i="1"/>
  <c r="Q411" i="1" s="1"/>
  <c r="P410" i="1"/>
  <c r="Q410" i="1" s="1"/>
  <c r="P409" i="1"/>
  <c r="Q409" i="1" s="1"/>
  <c r="P408" i="1"/>
  <c r="Q408" i="1" s="1"/>
  <c r="P407" i="1"/>
  <c r="Q407" i="1" s="1"/>
  <c r="P406" i="1"/>
  <c r="Q406" i="1" s="1"/>
  <c r="P405" i="1"/>
  <c r="Q405" i="1" s="1"/>
  <c r="P404" i="1"/>
  <c r="Q404" i="1" s="1"/>
  <c r="P403" i="1"/>
  <c r="Q403" i="1" s="1"/>
  <c r="P402" i="1"/>
  <c r="Q402" i="1" s="1"/>
  <c r="P401" i="1"/>
  <c r="Q401" i="1" s="1"/>
  <c r="P400" i="1"/>
  <c r="Q400" i="1" s="1"/>
  <c r="P399" i="1"/>
  <c r="Q399" i="1" s="1"/>
  <c r="P398" i="1"/>
  <c r="Q398" i="1" s="1"/>
  <c r="P397" i="1"/>
  <c r="Q397" i="1" s="1"/>
  <c r="P396" i="1"/>
  <c r="Q396" i="1" s="1"/>
  <c r="P395" i="1"/>
  <c r="Q395" i="1" s="1"/>
  <c r="P394" i="1"/>
  <c r="Q394" i="1" s="1"/>
  <c r="P393" i="1"/>
  <c r="Q393" i="1" s="1"/>
  <c r="P392" i="1"/>
  <c r="Q392" i="1" s="1"/>
  <c r="P391" i="1"/>
  <c r="Q391" i="1" s="1"/>
  <c r="P390" i="1"/>
  <c r="Q390" i="1" s="1"/>
  <c r="P389" i="1"/>
  <c r="Q389" i="1" s="1"/>
  <c r="P388" i="1"/>
  <c r="Q388" i="1" s="1"/>
  <c r="P387" i="1"/>
  <c r="Q387" i="1" s="1"/>
  <c r="P386" i="1"/>
  <c r="Q386" i="1" s="1"/>
  <c r="P385" i="1"/>
  <c r="Q385" i="1" s="1"/>
  <c r="P384" i="1"/>
  <c r="Q384" i="1" s="1"/>
  <c r="P383" i="1"/>
  <c r="Q383" i="1" s="1"/>
  <c r="P382" i="1"/>
  <c r="Q382" i="1" s="1"/>
  <c r="P381" i="1"/>
  <c r="Q381" i="1" s="1"/>
  <c r="P380" i="1"/>
  <c r="Q380" i="1" s="1"/>
  <c r="P379" i="1"/>
  <c r="Q379" i="1" s="1"/>
  <c r="P378" i="1"/>
  <c r="Q378" i="1" s="1"/>
  <c r="P377" i="1"/>
  <c r="Q377" i="1" s="1"/>
  <c r="P376" i="1"/>
  <c r="Q376" i="1" s="1"/>
  <c r="P375" i="1"/>
  <c r="Q375" i="1" s="1"/>
  <c r="P374" i="1"/>
  <c r="Q374" i="1" s="1"/>
  <c r="P373" i="1"/>
  <c r="Q373" i="1" s="1"/>
  <c r="P372" i="1"/>
  <c r="Q372" i="1" s="1"/>
  <c r="P371" i="1"/>
  <c r="Q371" i="1" s="1"/>
  <c r="P370" i="1"/>
  <c r="Q370" i="1" s="1"/>
  <c r="P369" i="1"/>
  <c r="Q369" i="1" s="1"/>
  <c r="P368" i="1"/>
  <c r="Q368" i="1" s="1"/>
  <c r="P367" i="1"/>
  <c r="Q367" i="1" s="1"/>
  <c r="P366" i="1"/>
  <c r="Q366" i="1" s="1"/>
  <c r="P365" i="1"/>
  <c r="Q365" i="1" s="1"/>
  <c r="P364" i="1"/>
  <c r="Q364" i="1" s="1"/>
  <c r="P363" i="1"/>
  <c r="Q363" i="1" s="1"/>
  <c r="P362" i="1"/>
  <c r="Q362" i="1" s="1"/>
  <c r="P361" i="1"/>
  <c r="Q361" i="1" s="1"/>
  <c r="P360" i="1"/>
  <c r="Q360" i="1" s="1"/>
  <c r="P359" i="1"/>
  <c r="Q359" i="1" s="1"/>
  <c r="P358" i="1"/>
  <c r="Q358" i="1" s="1"/>
  <c r="P357" i="1"/>
  <c r="Q357" i="1" s="1"/>
  <c r="P356" i="1"/>
  <c r="Q356" i="1" s="1"/>
  <c r="P355" i="1"/>
  <c r="Q355" i="1" s="1"/>
  <c r="P354" i="1"/>
  <c r="Q354" i="1" s="1"/>
  <c r="P353" i="1"/>
  <c r="Q353" i="1" s="1"/>
  <c r="P352" i="1"/>
  <c r="Q352" i="1" s="1"/>
  <c r="P351" i="1"/>
  <c r="Q351" i="1" s="1"/>
  <c r="P350" i="1"/>
  <c r="Q350" i="1" s="1"/>
  <c r="P349" i="1"/>
  <c r="Q349" i="1" s="1"/>
  <c r="P348" i="1"/>
  <c r="Q348" i="1" s="1"/>
  <c r="P347" i="1"/>
  <c r="Q347" i="1" s="1"/>
  <c r="P346" i="1"/>
  <c r="Q346" i="1" s="1"/>
  <c r="P345" i="1"/>
  <c r="Q345" i="1" s="1"/>
  <c r="P344" i="1"/>
  <c r="Q344" i="1" s="1"/>
  <c r="P343" i="1"/>
  <c r="Q343" i="1" s="1"/>
  <c r="P342" i="1"/>
  <c r="Q342" i="1" s="1"/>
  <c r="P341" i="1"/>
  <c r="Q341" i="1" s="1"/>
  <c r="P340" i="1"/>
  <c r="Q340" i="1" s="1"/>
  <c r="P339" i="1"/>
  <c r="Q339" i="1" s="1"/>
  <c r="P338" i="1"/>
  <c r="Q338" i="1" s="1"/>
  <c r="P337" i="1"/>
  <c r="Q337" i="1" s="1"/>
  <c r="P336" i="1"/>
  <c r="Q336" i="1" s="1"/>
  <c r="P335" i="1"/>
  <c r="Q335" i="1" s="1"/>
  <c r="P334" i="1"/>
  <c r="Q334" i="1" s="1"/>
  <c r="P333" i="1"/>
  <c r="Q333" i="1" s="1"/>
  <c r="P332" i="1"/>
  <c r="Q332" i="1" s="1"/>
  <c r="P331" i="1"/>
  <c r="Q331" i="1" s="1"/>
  <c r="P330" i="1"/>
  <c r="Q330" i="1" s="1"/>
  <c r="P329" i="1"/>
  <c r="Q329" i="1" s="1"/>
  <c r="P328" i="1"/>
  <c r="Q328" i="1" s="1"/>
  <c r="P327" i="1"/>
  <c r="Q327" i="1" s="1"/>
  <c r="P326" i="1"/>
  <c r="Q326" i="1" s="1"/>
  <c r="P325" i="1"/>
  <c r="Q325" i="1" s="1"/>
  <c r="P324" i="1"/>
  <c r="Q324" i="1" s="1"/>
  <c r="P323" i="1"/>
  <c r="Q323" i="1" s="1"/>
  <c r="P322" i="1"/>
  <c r="Q322" i="1" s="1"/>
  <c r="P321" i="1"/>
  <c r="Q321" i="1" s="1"/>
  <c r="P320" i="1"/>
  <c r="Q320" i="1" s="1"/>
  <c r="P319" i="1"/>
  <c r="Q319" i="1" s="1"/>
  <c r="P318" i="1"/>
  <c r="Q318" i="1" s="1"/>
  <c r="P317" i="1"/>
  <c r="Q317" i="1" s="1"/>
  <c r="P316" i="1"/>
  <c r="Q316" i="1" s="1"/>
  <c r="P315" i="1"/>
  <c r="Q315" i="1" s="1"/>
  <c r="P314" i="1"/>
  <c r="Q314" i="1" s="1"/>
  <c r="P313" i="1"/>
  <c r="Q313" i="1" s="1"/>
  <c r="P312" i="1"/>
  <c r="Q312" i="1" s="1"/>
  <c r="P311" i="1"/>
  <c r="Q311" i="1" s="1"/>
  <c r="P310" i="1"/>
  <c r="Q310" i="1" s="1"/>
  <c r="P309" i="1"/>
  <c r="Q309" i="1" s="1"/>
  <c r="P308" i="1"/>
  <c r="Q308" i="1" s="1"/>
  <c r="P307" i="1"/>
  <c r="Q307" i="1" s="1"/>
  <c r="P306" i="1"/>
  <c r="Q306" i="1" s="1"/>
  <c r="P305" i="1"/>
  <c r="Q305" i="1" s="1"/>
  <c r="P304" i="1"/>
  <c r="Q304" i="1" s="1"/>
  <c r="P303" i="1"/>
  <c r="Q303" i="1" s="1"/>
  <c r="P302" i="1"/>
  <c r="Q302" i="1" s="1"/>
  <c r="P301" i="1"/>
  <c r="Q301" i="1" s="1"/>
  <c r="P300" i="1"/>
  <c r="Q300" i="1" s="1"/>
  <c r="P299" i="1"/>
  <c r="Q299" i="1" s="1"/>
  <c r="P298" i="1"/>
  <c r="Q298" i="1" s="1"/>
  <c r="P297" i="1"/>
  <c r="Q297" i="1" s="1"/>
  <c r="P296" i="1"/>
  <c r="Q296" i="1" s="1"/>
  <c r="P295" i="1"/>
  <c r="Q295" i="1" s="1"/>
  <c r="P294" i="1"/>
  <c r="Q294" i="1" s="1"/>
  <c r="P293" i="1"/>
  <c r="Q293" i="1" s="1"/>
  <c r="P292" i="1"/>
  <c r="Q292" i="1" s="1"/>
  <c r="P291" i="1"/>
  <c r="Q291" i="1" s="1"/>
  <c r="P290" i="1"/>
  <c r="Q290" i="1" s="1"/>
  <c r="P289" i="1"/>
  <c r="Q289" i="1" s="1"/>
  <c r="P288" i="1"/>
  <c r="Q288" i="1" s="1"/>
  <c r="P287" i="1"/>
  <c r="Q287" i="1" s="1"/>
  <c r="P286" i="1"/>
  <c r="Q286" i="1" s="1"/>
  <c r="P285" i="1"/>
  <c r="Q285" i="1" s="1"/>
  <c r="P284" i="1"/>
  <c r="Q284" i="1" s="1"/>
  <c r="P283" i="1"/>
  <c r="Q283" i="1" s="1"/>
  <c r="P282" i="1"/>
  <c r="Q282" i="1" s="1"/>
  <c r="P281" i="1"/>
  <c r="Q281" i="1" s="1"/>
  <c r="P280" i="1"/>
  <c r="Q280" i="1" s="1"/>
  <c r="P279" i="1"/>
  <c r="Q279" i="1" s="1"/>
  <c r="P278" i="1"/>
  <c r="Q278" i="1" s="1"/>
  <c r="P277" i="1"/>
  <c r="Q277" i="1" s="1"/>
  <c r="P276" i="1"/>
  <c r="Q276" i="1" s="1"/>
  <c r="P275" i="1"/>
  <c r="Q275" i="1" s="1"/>
  <c r="P274" i="1"/>
  <c r="Q274" i="1" s="1"/>
  <c r="P273" i="1"/>
  <c r="Q273" i="1" s="1"/>
  <c r="P272" i="1"/>
  <c r="Q272" i="1" s="1"/>
  <c r="P271" i="1"/>
  <c r="Q271" i="1" s="1"/>
  <c r="P270" i="1"/>
  <c r="Q270" i="1" s="1"/>
  <c r="P269" i="1"/>
  <c r="Q269" i="1" s="1"/>
  <c r="P268" i="1"/>
  <c r="Q268" i="1" s="1"/>
  <c r="P267" i="1"/>
  <c r="Q267" i="1" s="1"/>
  <c r="P266" i="1"/>
  <c r="Q266" i="1" s="1"/>
  <c r="P265" i="1"/>
  <c r="Q265" i="1" s="1"/>
  <c r="P264" i="1"/>
  <c r="Q264" i="1" s="1"/>
  <c r="P263" i="1"/>
  <c r="Q263" i="1" s="1"/>
  <c r="P262" i="1"/>
  <c r="Q262" i="1" s="1"/>
  <c r="P261" i="1"/>
  <c r="Q261" i="1" s="1"/>
  <c r="P260" i="1"/>
  <c r="Q260" i="1" s="1"/>
  <c r="P259" i="1"/>
  <c r="Q259" i="1" s="1"/>
  <c r="P258" i="1"/>
  <c r="Q258" i="1" s="1"/>
  <c r="P257" i="1"/>
  <c r="Q257" i="1" s="1"/>
  <c r="P256" i="1"/>
  <c r="Q256" i="1" s="1"/>
  <c r="P255" i="1"/>
  <c r="Q255" i="1" s="1"/>
  <c r="P254" i="1"/>
  <c r="Q254" i="1" s="1"/>
  <c r="P253" i="1"/>
  <c r="Q253" i="1" s="1"/>
  <c r="P252" i="1"/>
  <c r="Q252" i="1" s="1"/>
  <c r="P251" i="1"/>
  <c r="Q251" i="1" s="1"/>
  <c r="P250" i="1"/>
  <c r="Q250" i="1" s="1"/>
  <c r="P249" i="1"/>
  <c r="Q249" i="1" s="1"/>
  <c r="P248" i="1"/>
  <c r="Q248" i="1" s="1"/>
  <c r="P247" i="1"/>
  <c r="Q247" i="1" s="1"/>
  <c r="P246" i="1"/>
  <c r="Q246" i="1" s="1"/>
  <c r="P245" i="1"/>
  <c r="Q245" i="1" s="1"/>
  <c r="P244" i="1"/>
  <c r="Q244" i="1" s="1"/>
  <c r="P243" i="1"/>
  <c r="Q243" i="1" s="1"/>
  <c r="P242" i="1"/>
  <c r="Q242" i="1" s="1"/>
  <c r="P241" i="1"/>
  <c r="Q241" i="1" s="1"/>
  <c r="P240" i="1"/>
  <c r="Q240" i="1" s="1"/>
  <c r="P239" i="1"/>
  <c r="Q239" i="1" s="1"/>
  <c r="P238" i="1"/>
  <c r="Q238" i="1" s="1"/>
  <c r="P237" i="1"/>
  <c r="Q237" i="1" s="1"/>
  <c r="P236" i="1"/>
  <c r="Q236" i="1" s="1"/>
  <c r="P235" i="1"/>
  <c r="Q235" i="1" s="1"/>
  <c r="P234" i="1"/>
  <c r="Q234" i="1" s="1"/>
  <c r="P233" i="1"/>
  <c r="Q233" i="1" s="1"/>
  <c r="P232" i="1"/>
  <c r="Q232" i="1" s="1"/>
  <c r="P231" i="1"/>
  <c r="Q231" i="1" s="1"/>
  <c r="P230" i="1"/>
  <c r="Q230" i="1" s="1"/>
  <c r="P229" i="1"/>
  <c r="Q229" i="1" s="1"/>
  <c r="P228" i="1"/>
  <c r="Q228" i="1" s="1"/>
  <c r="P227" i="1"/>
  <c r="Q227" i="1" s="1"/>
  <c r="P226" i="1"/>
  <c r="Q226" i="1" s="1"/>
  <c r="P225" i="1"/>
  <c r="Q225" i="1" s="1"/>
  <c r="P224" i="1"/>
  <c r="Q224" i="1" s="1"/>
  <c r="P223" i="1"/>
  <c r="Q223" i="1" s="1"/>
  <c r="P222" i="1"/>
  <c r="Q222" i="1" s="1"/>
  <c r="P221" i="1"/>
  <c r="Q221" i="1" s="1"/>
  <c r="P220" i="1"/>
  <c r="Q220" i="1" s="1"/>
  <c r="P219" i="1"/>
  <c r="Q219" i="1" s="1"/>
  <c r="P218" i="1"/>
  <c r="Q218" i="1" s="1"/>
  <c r="P217" i="1"/>
  <c r="Q217" i="1" s="1"/>
  <c r="P216" i="1"/>
  <c r="Q216" i="1" s="1"/>
  <c r="P215" i="1"/>
  <c r="Q215" i="1" s="1"/>
  <c r="P214" i="1"/>
  <c r="Q214" i="1" s="1"/>
  <c r="P213" i="1"/>
  <c r="Q213" i="1" s="1"/>
  <c r="P212" i="1"/>
  <c r="Q212" i="1" s="1"/>
  <c r="P211" i="1"/>
  <c r="Q211" i="1" s="1"/>
  <c r="P210" i="1"/>
  <c r="Q210" i="1" s="1"/>
  <c r="P209" i="1"/>
  <c r="Q209" i="1" s="1"/>
  <c r="P208" i="1"/>
  <c r="Q208" i="1" s="1"/>
  <c r="P207" i="1"/>
  <c r="Q207" i="1" s="1"/>
  <c r="P206" i="1"/>
  <c r="Q206" i="1" s="1"/>
  <c r="P205" i="1"/>
  <c r="Q205" i="1" s="1"/>
  <c r="P204" i="1"/>
  <c r="Q204" i="1" s="1"/>
  <c r="P203" i="1"/>
  <c r="Q203" i="1" s="1"/>
  <c r="P202" i="1"/>
  <c r="Q202" i="1" s="1"/>
  <c r="P201" i="1"/>
  <c r="Q201" i="1" s="1"/>
  <c r="P200" i="1"/>
  <c r="Q200" i="1" s="1"/>
  <c r="P199" i="1"/>
  <c r="Q199" i="1" s="1"/>
  <c r="P198" i="1"/>
  <c r="Q198" i="1" s="1"/>
  <c r="P197" i="1"/>
  <c r="Q197" i="1" s="1"/>
  <c r="P196" i="1"/>
  <c r="Q196" i="1" s="1"/>
  <c r="P195" i="1"/>
  <c r="Q195" i="1" s="1"/>
  <c r="P194" i="1"/>
  <c r="Q194" i="1" s="1"/>
  <c r="P193" i="1"/>
  <c r="Q193" i="1" s="1"/>
  <c r="P192" i="1"/>
  <c r="Q192" i="1" s="1"/>
  <c r="P191" i="1"/>
  <c r="Q191" i="1" s="1"/>
  <c r="P190" i="1"/>
  <c r="Q190" i="1" s="1"/>
  <c r="P189" i="1"/>
  <c r="Q189" i="1" s="1"/>
  <c r="P188" i="1"/>
  <c r="Q188" i="1" s="1"/>
  <c r="P187" i="1"/>
  <c r="Q187" i="1" s="1"/>
  <c r="P186" i="1"/>
  <c r="Q186" i="1" s="1"/>
  <c r="P185" i="1"/>
  <c r="Q185" i="1" s="1"/>
  <c r="P184" i="1"/>
  <c r="Q184" i="1" s="1"/>
  <c r="P183" i="1"/>
  <c r="Q183" i="1" s="1"/>
  <c r="P182" i="1"/>
  <c r="Q182" i="1" s="1"/>
  <c r="P181" i="1"/>
  <c r="Q181" i="1" s="1"/>
  <c r="P180" i="1"/>
  <c r="Q180" i="1" s="1"/>
  <c r="P179" i="1"/>
  <c r="Q179" i="1" s="1"/>
  <c r="P178" i="1"/>
  <c r="Q178" i="1" s="1"/>
  <c r="P177" i="1"/>
  <c r="Q177" i="1" s="1"/>
  <c r="P176" i="1"/>
  <c r="Q176" i="1" s="1"/>
  <c r="P175" i="1"/>
  <c r="Q175" i="1" s="1"/>
  <c r="P174" i="1"/>
  <c r="Q174" i="1" s="1"/>
  <c r="P173" i="1"/>
  <c r="Q173" i="1" s="1"/>
  <c r="P172" i="1"/>
  <c r="Q172" i="1" s="1"/>
  <c r="P171" i="1"/>
  <c r="Q171" i="1" s="1"/>
  <c r="P170" i="1"/>
  <c r="Q170" i="1" s="1"/>
  <c r="P169" i="1"/>
  <c r="Q169" i="1" s="1"/>
  <c r="P168" i="1"/>
  <c r="Q168" i="1" s="1"/>
  <c r="P167" i="1"/>
  <c r="Q167" i="1" s="1"/>
  <c r="P166" i="1"/>
  <c r="Q166" i="1" s="1"/>
  <c r="P165" i="1"/>
  <c r="Q165" i="1" s="1"/>
  <c r="P164" i="1"/>
  <c r="Q164" i="1" s="1"/>
  <c r="P163" i="1"/>
  <c r="Q163" i="1" s="1"/>
  <c r="P162" i="1"/>
  <c r="Q162" i="1" s="1"/>
  <c r="P161" i="1"/>
  <c r="Q161" i="1" s="1"/>
  <c r="P160" i="1"/>
  <c r="Q160" i="1" s="1"/>
  <c r="P159" i="1"/>
  <c r="Q159" i="1" s="1"/>
  <c r="P158" i="1"/>
  <c r="Q158" i="1" s="1"/>
  <c r="P157" i="1"/>
  <c r="Q157" i="1" s="1"/>
  <c r="P156" i="1"/>
  <c r="Q156" i="1" s="1"/>
  <c r="P155" i="1"/>
  <c r="Q155" i="1" s="1"/>
  <c r="P154" i="1"/>
  <c r="Q154" i="1" s="1"/>
  <c r="P153" i="1"/>
  <c r="Q153" i="1" s="1"/>
  <c r="P152" i="1"/>
  <c r="Q152" i="1" s="1"/>
  <c r="P151" i="1"/>
  <c r="Q151" i="1" s="1"/>
  <c r="P150" i="1"/>
  <c r="Q150" i="1" s="1"/>
  <c r="P149" i="1"/>
  <c r="Q149" i="1" s="1"/>
  <c r="P148" i="1"/>
  <c r="Q148" i="1" s="1"/>
  <c r="P147" i="1"/>
  <c r="Q147" i="1" s="1"/>
  <c r="P146" i="1"/>
  <c r="Q146" i="1" s="1"/>
  <c r="P145" i="1"/>
  <c r="Q145" i="1" s="1"/>
  <c r="P144" i="1"/>
  <c r="Q144" i="1" s="1"/>
  <c r="P143" i="1"/>
  <c r="Q143" i="1" s="1"/>
  <c r="P142" i="1"/>
  <c r="Q142" i="1" s="1"/>
  <c r="P141" i="1"/>
  <c r="Q141" i="1" s="1"/>
  <c r="P140" i="1"/>
  <c r="Q140" i="1" s="1"/>
  <c r="P139" i="1"/>
  <c r="Q139" i="1" s="1"/>
  <c r="P138" i="1"/>
  <c r="Q138" i="1" s="1"/>
  <c r="P137" i="1"/>
  <c r="Q137" i="1" s="1"/>
  <c r="P136" i="1"/>
  <c r="Q136" i="1" s="1"/>
  <c r="P135" i="1"/>
  <c r="Q135" i="1" s="1"/>
  <c r="P134" i="1"/>
  <c r="Q134" i="1" s="1"/>
  <c r="P133" i="1"/>
  <c r="Q133" i="1" s="1"/>
  <c r="P132" i="1"/>
  <c r="Q132" i="1" s="1"/>
  <c r="P131" i="1"/>
  <c r="Q131" i="1" s="1"/>
  <c r="P130" i="1"/>
  <c r="Q130" i="1" s="1"/>
  <c r="P129" i="1"/>
  <c r="Q129" i="1" s="1"/>
  <c r="P128" i="1"/>
  <c r="Q128" i="1" s="1"/>
  <c r="P127" i="1"/>
  <c r="Q127" i="1" s="1"/>
  <c r="P126" i="1"/>
  <c r="Q126" i="1" s="1"/>
  <c r="P125" i="1"/>
  <c r="Q125" i="1" s="1"/>
  <c r="P124" i="1"/>
  <c r="Q124" i="1" s="1"/>
  <c r="P123" i="1"/>
  <c r="Q123" i="1" s="1"/>
  <c r="P122" i="1"/>
  <c r="Q122" i="1" s="1"/>
  <c r="P121" i="1"/>
  <c r="Q121" i="1" s="1"/>
  <c r="P120" i="1"/>
  <c r="Q120" i="1" s="1"/>
  <c r="P119" i="1"/>
  <c r="Q119" i="1" s="1"/>
  <c r="P118" i="1"/>
  <c r="Q118" i="1" s="1"/>
  <c r="P117" i="1"/>
  <c r="Q117" i="1" s="1"/>
  <c r="P116" i="1"/>
  <c r="Q116" i="1" s="1"/>
  <c r="P115" i="1"/>
  <c r="Q115" i="1" s="1"/>
  <c r="P114" i="1"/>
  <c r="Q114" i="1" s="1"/>
  <c r="P113" i="1"/>
  <c r="Q113" i="1" s="1"/>
  <c r="P112" i="1"/>
  <c r="Q112" i="1" s="1"/>
  <c r="P111" i="1"/>
  <c r="Q111" i="1" s="1"/>
  <c r="P110" i="1"/>
  <c r="Q110" i="1" s="1"/>
  <c r="P109" i="1"/>
  <c r="Q109" i="1" s="1"/>
  <c r="P108" i="1"/>
  <c r="Q108" i="1" s="1"/>
  <c r="P107" i="1"/>
  <c r="Q107" i="1" s="1"/>
  <c r="P106" i="1"/>
  <c r="Q106" i="1" s="1"/>
  <c r="P105" i="1"/>
  <c r="Q105" i="1" s="1"/>
  <c r="P104" i="1"/>
  <c r="Q104" i="1" s="1"/>
  <c r="P103" i="1"/>
  <c r="Q103" i="1" s="1"/>
  <c r="P102" i="1"/>
  <c r="Q102" i="1" s="1"/>
  <c r="P101" i="1"/>
  <c r="Q101" i="1" s="1"/>
  <c r="P100" i="1"/>
  <c r="Q100" i="1" s="1"/>
  <c r="P99" i="1"/>
  <c r="Q99" i="1" s="1"/>
  <c r="P98" i="1"/>
  <c r="Q98" i="1" s="1"/>
  <c r="P97" i="1"/>
  <c r="Q97" i="1" s="1"/>
  <c r="P96" i="1"/>
  <c r="Q96" i="1" s="1"/>
  <c r="P95" i="1"/>
  <c r="Q95" i="1" s="1"/>
  <c r="P94" i="1"/>
  <c r="Q94" i="1" s="1"/>
  <c r="P93" i="1"/>
  <c r="Q93" i="1" s="1"/>
  <c r="P92" i="1"/>
  <c r="Q92" i="1" s="1"/>
  <c r="P91" i="1"/>
  <c r="Q91" i="1" s="1"/>
  <c r="P90" i="1"/>
  <c r="Q90" i="1" s="1"/>
  <c r="P89" i="1"/>
  <c r="Q89" i="1" s="1"/>
  <c r="P88" i="1"/>
  <c r="Q88" i="1" s="1"/>
  <c r="P87" i="1"/>
  <c r="Q87" i="1" s="1"/>
  <c r="P86" i="1"/>
  <c r="Q86" i="1" s="1"/>
  <c r="P85" i="1"/>
  <c r="Q85" i="1" s="1"/>
  <c r="P84" i="1"/>
  <c r="Q84" i="1" s="1"/>
  <c r="P83" i="1"/>
  <c r="Q83" i="1" s="1"/>
  <c r="P82" i="1"/>
  <c r="Q82" i="1" s="1"/>
  <c r="P81" i="1"/>
  <c r="Q81" i="1" s="1"/>
  <c r="P80" i="1"/>
  <c r="Q80" i="1" s="1"/>
  <c r="P79" i="1"/>
  <c r="Q79" i="1" s="1"/>
  <c r="P78" i="1"/>
  <c r="Q78" i="1" s="1"/>
  <c r="P77" i="1"/>
  <c r="Q77" i="1" s="1"/>
  <c r="P76" i="1"/>
  <c r="Q76" i="1" s="1"/>
  <c r="P75" i="1"/>
  <c r="Q75" i="1" s="1"/>
  <c r="P74" i="1"/>
  <c r="Q74" i="1" s="1"/>
  <c r="P73" i="1"/>
  <c r="Q73" i="1" s="1"/>
  <c r="P72" i="1"/>
  <c r="Q72" i="1" s="1"/>
  <c r="P71" i="1"/>
  <c r="Q71" i="1" s="1"/>
  <c r="P70" i="1"/>
  <c r="Q70" i="1" s="1"/>
  <c r="P69" i="1"/>
  <c r="Q69" i="1" s="1"/>
  <c r="P68" i="1"/>
  <c r="Q68" i="1" s="1"/>
  <c r="P67" i="1"/>
  <c r="Q67" i="1" s="1"/>
  <c r="P66" i="1"/>
  <c r="Q66" i="1" s="1"/>
  <c r="P65" i="1"/>
  <c r="Q65" i="1" s="1"/>
  <c r="P64" i="1"/>
  <c r="Q64" i="1" s="1"/>
  <c r="P63" i="1"/>
  <c r="Q63" i="1" s="1"/>
  <c r="P62" i="1"/>
  <c r="Q62" i="1" s="1"/>
  <c r="P61" i="1"/>
  <c r="Q61" i="1" s="1"/>
  <c r="P60" i="1"/>
  <c r="Q60" i="1" s="1"/>
  <c r="P59" i="1"/>
  <c r="Q59" i="1" s="1"/>
  <c r="P58" i="1"/>
  <c r="Q58" i="1" s="1"/>
  <c r="P57" i="1"/>
  <c r="Q57" i="1" s="1"/>
  <c r="P56" i="1"/>
  <c r="Q56" i="1" s="1"/>
  <c r="P55" i="1"/>
  <c r="Q55" i="1" s="1"/>
  <c r="P54" i="1"/>
  <c r="Q54" i="1" s="1"/>
  <c r="P53" i="1"/>
  <c r="Q53" i="1" s="1"/>
  <c r="P52" i="1"/>
  <c r="Q52" i="1" s="1"/>
  <c r="P51" i="1"/>
  <c r="Q51" i="1" s="1"/>
  <c r="P50" i="1"/>
  <c r="Q50" i="1" s="1"/>
  <c r="P49" i="1"/>
  <c r="Q49" i="1" s="1"/>
  <c r="P48" i="1"/>
  <c r="Q48" i="1" s="1"/>
  <c r="P47" i="1"/>
  <c r="Q47" i="1" s="1"/>
  <c r="P46" i="1"/>
  <c r="Q46" i="1" s="1"/>
  <c r="P45" i="1"/>
  <c r="Q45" i="1" s="1"/>
  <c r="P44" i="1"/>
  <c r="Q44" i="1" s="1"/>
  <c r="P43" i="1"/>
  <c r="Q43" i="1" s="1"/>
  <c r="P42" i="1"/>
  <c r="Q42" i="1" s="1"/>
  <c r="P41" i="1"/>
  <c r="Q41" i="1" s="1"/>
  <c r="P40" i="1"/>
  <c r="Q40" i="1" s="1"/>
  <c r="P39" i="1"/>
  <c r="Q39" i="1" s="1"/>
  <c r="P38" i="1"/>
  <c r="Q38" i="1" s="1"/>
  <c r="P37" i="1"/>
  <c r="Q37" i="1" s="1"/>
  <c r="P36" i="1"/>
  <c r="Q36" i="1" s="1"/>
  <c r="P35" i="1"/>
  <c r="Q35" i="1" s="1"/>
  <c r="P34" i="1"/>
  <c r="Q34" i="1" s="1"/>
  <c r="P33" i="1"/>
  <c r="Q33" i="1" s="1"/>
  <c r="P32" i="1"/>
  <c r="Q32" i="1" s="1"/>
  <c r="P31" i="1"/>
  <c r="Q31" i="1" s="1"/>
  <c r="P30" i="1"/>
  <c r="Q30" i="1" s="1"/>
  <c r="P29" i="1"/>
  <c r="Q29" i="1" s="1"/>
  <c r="P28" i="1"/>
  <c r="Q28" i="1" s="1"/>
  <c r="P27" i="1"/>
  <c r="Q27" i="1" s="1"/>
  <c r="P26" i="1"/>
  <c r="Q26" i="1" s="1"/>
  <c r="P25" i="1"/>
  <c r="Q25" i="1" s="1"/>
  <c r="P24" i="1"/>
  <c r="Q24" i="1" s="1"/>
  <c r="S766" i="1"/>
  <c r="T766" i="1" s="1"/>
  <c r="D2" i="7"/>
  <c r="C2" i="7"/>
  <c r="O25" i="6"/>
  <c r="N25" i="6"/>
  <c r="M25" i="6"/>
  <c r="H25" i="6"/>
  <c r="O24" i="6"/>
  <c r="N24" i="6"/>
  <c r="M24" i="6"/>
  <c r="H24" i="6"/>
  <c r="O23" i="6"/>
  <c r="N23" i="6"/>
  <c r="M23" i="6"/>
  <c r="H23" i="6"/>
  <c r="O22" i="6"/>
  <c r="N22" i="6"/>
  <c r="M22" i="6"/>
  <c r="H22" i="6"/>
  <c r="O21" i="6"/>
  <c r="N21" i="6"/>
  <c r="M21" i="6"/>
  <c r="H21" i="6"/>
  <c r="O20" i="6"/>
  <c r="N20" i="6"/>
  <c r="M20" i="6"/>
  <c r="H20" i="6"/>
  <c r="O19" i="6"/>
  <c r="N19" i="6"/>
  <c r="M19" i="6"/>
  <c r="H19" i="6"/>
  <c r="O18" i="6"/>
  <c r="N18" i="6"/>
  <c r="M18" i="6"/>
  <c r="H18" i="6"/>
  <c r="O17" i="6"/>
  <c r="N17" i="6"/>
  <c r="M17" i="6"/>
  <c r="H17" i="6"/>
  <c r="O16" i="6"/>
  <c r="N16" i="6"/>
  <c r="M16" i="6"/>
  <c r="H16" i="6"/>
  <c r="O15" i="6"/>
  <c r="N15" i="6"/>
  <c r="M15" i="6"/>
  <c r="H15" i="6"/>
  <c r="O14" i="6"/>
  <c r="N14" i="6"/>
  <c r="M14" i="6"/>
  <c r="H14" i="6"/>
  <c r="O13" i="6"/>
  <c r="N13" i="6"/>
  <c r="M13" i="6"/>
  <c r="H13" i="6"/>
  <c r="O12" i="6"/>
  <c r="N12" i="6"/>
  <c r="M12" i="6"/>
  <c r="H12" i="6"/>
  <c r="O11" i="6"/>
  <c r="N11" i="6"/>
  <c r="M11" i="6"/>
  <c r="H11" i="6"/>
  <c r="O10" i="6"/>
  <c r="N10" i="6"/>
  <c r="M10" i="6"/>
  <c r="H10" i="6"/>
  <c r="O9" i="6"/>
  <c r="N9" i="6"/>
  <c r="M9" i="6"/>
  <c r="H9" i="6"/>
  <c r="O8" i="6"/>
  <c r="N8" i="6"/>
  <c r="M8" i="6"/>
  <c r="H8" i="6"/>
  <c r="O7" i="6"/>
  <c r="N7" i="6"/>
  <c r="M7" i="6"/>
  <c r="H7" i="6"/>
  <c r="O6" i="6"/>
  <c r="N6" i="6"/>
  <c r="M6" i="6"/>
  <c r="H6" i="6"/>
  <c r="O5" i="6"/>
  <c r="N5" i="6"/>
  <c r="M5" i="6"/>
  <c r="H5" i="6"/>
  <c r="O4" i="6"/>
  <c r="N4" i="6"/>
  <c r="H4" i="6"/>
  <c r="M4" i="6"/>
  <c r="O3" i="6"/>
  <c r="N3" i="6"/>
  <c r="J3" i="6"/>
  <c r="H3" i="6"/>
  <c r="C124" i="5"/>
  <c r="D124" i="5" s="1"/>
  <c r="D123" i="5"/>
  <c r="C123" i="5"/>
  <c r="D117" i="5"/>
  <c r="D118" i="5"/>
  <c r="C117" i="5"/>
  <c r="C118" i="5" s="1"/>
  <c r="C115" i="5"/>
  <c r="D114" i="5"/>
  <c r="C114" i="5"/>
  <c r="D113" i="5"/>
  <c r="C113" i="5"/>
  <c r="D112" i="5"/>
  <c r="C112" i="5"/>
  <c r="D111" i="5"/>
  <c r="C111" i="5"/>
  <c r="C99" i="5"/>
  <c r="D102" i="5"/>
  <c r="D77" i="5"/>
  <c r="C74" i="5"/>
  <c r="C77" i="5"/>
  <c r="C49" i="5"/>
  <c r="D52" i="5"/>
  <c r="C23" i="5"/>
  <c r="C26" i="5"/>
  <c r="D237" i="4"/>
  <c r="C237" i="4"/>
  <c r="C187" i="4"/>
  <c r="D187" i="4"/>
  <c r="C124" i="4"/>
  <c r="D124" i="4" s="1"/>
  <c r="D123" i="4"/>
  <c r="C123" i="4"/>
  <c r="D117" i="4"/>
  <c r="D118" i="4"/>
  <c r="C117" i="4"/>
  <c r="C118" i="4" s="1"/>
  <c r="C115" i="4"/>
  <c r="D114" i="4"/>
  <c r="C114" i="4"/>
  <c r="D113" i="4"/>
  <c r="C113" i="4"/>
  <c r="D112" i="4"/>
  <c r="C112" i="4"/>
  <c r="D111" i="4"/>
  <c r="C111" i="4"/>
  <c r="D106" i="4"/>
  <c r="C106" i="4"/>
  <c r="C103" i="4"/>
  <c r="C78" i="4"/>
  <c r="D81" i="4"/>
  <c r="C53" i="4"/>
  <c r="D56" i="4"/>
  <c r="C28" i="4"/>
  <c r="C31" i="4"/>
  <c r="D164" i="3"/>
  <c r="C164" i="3"/>
  <c r="C124" i="3"/>
  <c r="D124" i="3" s="1"/>
  <c r="D123" i="3"/>
  <c r="C123" i="3"/>
  <c r="D117" i="3"/>
  <c r="D118" i="3" s="1"/>
  <c r="C117" i="3"/>
  <c r="C118" i="3" s="1"/>
  <c r="C115" i="3"/>
  <c r="D114" i="3"/>
  <c r="C114" i="3"/>
  <c r="D113" i="3"/>
  <c r="C113" i="3"/>
  <c r="D112" i="3"/>
  <c r="C112" i="3"/>
  <c r="D111" i="3"/>
  <c r="C111" i="3"/>
  <c r="D89" i="3"/>
  <c r="C89" i="3"/>
  <c r="D55" i="3"/>
  <c r="C55" i="3"/>
  <c r="D27" i="3"/>
  <c r="C27" i="3"/>
  <c r="C124" i="2"/>
  <c r="D124" i="2"/>
  <c r="D123" i="2"/>
  <c r="C123" i="2"/>
  <c r="D117" i="2"/>
  <c r="D118" i="2"/>
  <c r="C117" i="2"/>
  <c r="C122" i="2"/>
  <c r="C133" i="2"/>
  <c r="C115" i="2"/>
  <c r="D114" i="2"/>
  <c r="C114" i="2"/>
  <c r="D113" i="2"/>
  <c r="C113" i="2"/>
  <c r="D112" i="2"/>
  <c r="C112" i="2"/>
  <c r="D111" i="2"/>
  <c r="C111" i="2"/>
  <c r="C102" i="5"/>
  <c r="D31" i="4"/>
  <c r="M3" i="6"/>
  <c r="C81" i="4"/>
  <c r="C52" i="5"/>
  <c r="C118" i="2"/>
  <c r="C116" i="2"/>
  <c r="K3" i="6"/>
  <c r="D26" i="5"/>
  <c r="C56" i="4"/>
  <c r="D136" i="2"/>
  <c r="C136" i="2"/>
  <c r="C138" i="2"/>
  <c r="C2" i="1" l="1"/>
  <c r="D2" i="1"/>
  <c r="C122" i="5"/>
  <c r="C133" i="5" s="1"/>
  <c r="C136" i="5" s="1"/>
  <c r="C116" i="5"/>
  <c r="C116" i="4"/>
  <c r="C122" i="4"/>
  <c r="C133" i="4" s="1"/>
  <c r="D136" i="4" s="1"/>
  <c r="C116" i="3"/>
  <c r="C122" i="3"/>
  <c r="C133" i="3" s="1"/>
  <c r="D136" i="3" s="1"/>
  <c r="R765" i="1"/>
  <c r="D136" i="5" l="1"/>
  <c r="C138" i="5" s="1"/>
  <c r="C136" i="4"/>
  <c r="C138" i="4" s="1"/>
  <c r="C136" i="3"/>
  <c r="C138" i="3" s="1"/>
  <c r="R764" i="1"/>
  <c r="S765" i="1"/>
  <c r="T765" i="1" s="1"/>
  <c r="R763" i="1" l="1"/>
  <c r="S764" i="1"/>
  <c r="T764" i="1" s="1"/>
  <c r="R762" i="1" l="1"/>
  <c r="S763" i="1"/>
  <c r="T763" i="1" s="1"/>
  <c r="R761" i="1" l="1"/>
  <c r="S762" i="1"/>
  <c r="T762" i="1" s="1"/>
  <c r="R760" i="1" l="1"/>
  <c r="S761" i="1"/>
  <c r="T761" i="1" s="1"/>
  <c r="R759" i="1" l="1"/>
  <c r="S760" i="1"/>
  <c r="T760" i="1" s="1"/>
  <c r="R758" i="1" l="1"/>
  <c r="S759" i="1"/>
  <c r="T759" i="1" s="1"/>
  <c r="R757" i="1" l="1"/>
  <c r="S758" i="1"/>
  <c r="T758" i="1" s="1"/>
  <c r="R756" i="1" l="1"/>
  <c r="S757" i="1"/>
  <c r="T757" i="1" s="1"/>
  <c r="R755" i="1" l="1"/>
  <c r="S756" i="1"/>
  <c r="T756" i="1" s="1"/>
  <c r="R754" i="1" l="1"/>
  <c r="S755" i="1"/>
  <c r="T755" i="1" s="1"/>
  <c r="R753" i="1" l="1"/>
  <c r="S754" i="1"/>
  <c r="T754" i="1" s="1"/>
  <c r="R752" i="1" l="1"/>
  <c r="S753" i="1"/>
  <c r="T753" i="1" s="1"/>
  <c r="R751" i="1" l="1"/>
  <c r="S752" i="1"/>
  <c r="T752" i="1" s="1"/>
  <c r="R750" i="1" l="1"/>
  <c r="S751" i="1"/>
  <c r="T751" i="1" s="1"/>
  <c r="R749" i="1" l="1"/>
  <c r="S750" i="1"/>
  <c r="T750" i="1" s="1"/>
  <c r="R748" i="1" l="1"/>
  <c r="S749" i="1"/>
  <c r="T749" i="1" s="1"/>
  <c r="R747" i="1" l="1"/>
  <c r="S748" i="1"/>
  <c r="T748" i="1" s="1"/>
  <c r="R746" i="1" l="1"/>
  <c r="S747" i="1"/>
  <c r="T747" i="1" s="1"/>
  <c r="R745" i="1" l="1"/>
  <c r="S746" i="1"/>
  <c r="T746" i="1" s="1"/>
  <c r="R744" i="1" l="1"/>
  <c r="S745" i="1"/>
  <c r="T745" i="1" s="1"/>
  <c r="R743" i="1" l="1"/>
  <c r="S744" i="1"/>
  <c r="T744" i="1" s="1"/>
  <c r="R742" i="1" l="1"/>
  <c r="S743" i="1"/>
  <c r="T743" i="1" s="1"/>
  <c r="R741" i="1" l="1"/>
  <c r="S742" i="1"/>
  <c r="T742" i="1" s="1"/>
  <c r="R740" i="1" l="1"/>
  <c r="S741" i="1"/>
  <c r="T741" i="1" s="1"/>
  <c r="R739" i="1" l="1"/>
  <c r="S740" i="1"/>
  <c r="T740" i="1" s="1"/>
  <c r="R738" i="1" l="1"/>
  <c r="S739" i="1"/>
  <c r="T739" i="1" s="1"/>
  <c r="R737" i="1" l="1"/>
  <c r="S738" i="1"/>
  <c r="T738" i="1" s="1"/>
  <c r="R736" i="1" l="1"/>
  <c r="S737" i="1"/>
  <c r="T737" i="1" s="1"/>
  <c r="R735" i="1" l="1"/>
  <c r="S736" i="1"/>
  <c r="T736" i="1" s="1"/>
  <c r="R734" i="1" l="1"/>
  <c r="S735" i="1"/>
  <c r="T735" i="1" s="1"/>
  <c r="R733" i="1" l="1"/>
  <c r="S734" i="1"/>
  <c r="T734" i="1" s="1"/>
  <c r="R732" i="1" l="1"/>
  <c r="S733" i="1"/>
  <c r="T733" i="1" s="1"/>
  <c r="R731" i="1" l="1"/>
  <c r="S732" i="1"/>
  <c r="T732" i="1" s="1"/>
  <c r="R730" i="1" l="1"/>
  <c r="S731" i="1"/>
  <c r="T731" i="1" s="1"/>
  <c r="R729" i="1" l="1"/>
  <c r="S730" i="1"/>
  <c r="T730" i="1" s="1"/>
  <c r="R728" i="1" l="1"/>
  <c r="S729" i="1"/>
  <c r="T729" i="1" s="1"/>
  <c r="R727" i="1" l="1"/>
  <c r="S728" i="1"/>
  <c r="T728" i="1" s="1"/>
  <c r="R726" i="1" l="1"/>
  <c r="S727" i="1"/>
  <c r="T727" i="1" s="1"/>
  <c r="R725" i="1" l="1"/>
  <c r="S726" i="1"/>
  <c r="T726" i="1" s="1"/>
  <c r="R724" i="1" l="1"/>
  <c r="S725" i="1"/>
  <c r="T725" i="1" s="1"/>
  <c r="R723" i="1" l="1"/>
  <c r="S724" i="1"/>
  <c r="T724" i="1" s="1"/>
  <c r="R722" i="1" l="1"/>
  <c r="S723" i="1"/>
  <c r="T723" i="1" s="1"/>
  <c r="R721" i="1" l="1"/>
  <c r="S722" i="1"/>
  <c r="T722" i="1" s="1"/>
  <c r="R720" i="1" l="1"/>
  <c r="S721" i="1"/>
  <c r="T721" i="1" s="1"/>
  <c r="R719" i="1" l="1"/>
  <c r="S720" i="1"/>
  <c r="T720" i="1" s="1"/>
  <c r="R718" i="1" l="1"/>
  <c r="S719" i="1"/>
  <c r="T719" i="1" s="1"/>
  <c r="R717" i="1" l="1"/>
  <c r="S718" i="1"/>
  <c r="T718" i="1" s="1"/>
  <c r="R716" i="1" l="1"/>
  <c r="S717" i="1"/>
  <c r="T717" i="1" s="1"/>
  <c r="R715" i="1" l="1"/>
  <c r="S716" i="1"/>
  <c r="T716" i="1" s="1"/>
  <c r="R714" i="1" l="1"/>
  <c r="S715" i="1"/>
  <c r="T715" i="1" s="1"/>
  <c r="R713" i="1" l="1"/>
  <c r="S714" i="1"/>
  <c r="T714" i="1" s="1"/>
  <c r="R712" i="1" l="1"/>
  <c r="S713" i="1"/>
  <c r="T713" i="1" s="1"/>
  <c r="R711" i="1" l="1"/>
  <c r="S712" i="1"/>
  <c r="T712" i="1" s="1"/>
  <c r="R710" i="1" l="1"/>
  <c r="S711" i="1"/>
  <c r="T711" i="1" s="1"/>
  <c r="R709" i="1" l="1"/>
  <c r="S710" i="1"/>
  <c r="T710" i="1" s="1"/>
  <c r="R708" i="1" l="1"/>
  <c r="S709" i="1"/>
  <c r="T709" i="1" s="1"/>
  <c r="R707" i="1" l="1"/>
  <c r="S708" i="1"/>
  <c r="T708" i="1" s="1"/>
  <c r="R706" i="1" l="1"/>
  <c r="S707" i="1"/>
  <c r="T707" i="1" s="1"/>
  <c r="R705" i="1" l="1"/>
  <c r="S706" i="1"/>
  <c r="T706" i="1" s="1"/>
  <c r="R704" i="1" l="1"/>
  <c r="S705" i="1"/>
  <c r="T705" i="1" s="1"/>
  <c r="R703" i="1" l="1"/>
  <c r="S704" i="1"/>
  <c r="T704" i="1" s="1"/>
  <c r="R702" i="1" l="1"/>
  <c r="S703" i="1"/>
  <c r="T703" i="1" s="1"/>
  <c r="R701" i="1" l="1"/>
  <c r="S702" i="1"/>
  <c r="T702" i="1" s="1"/>
  <c r="R700" i="1" l="1"/>
  <c r="S701" i="1"/>
  <c r="T701" i="1" s="1"/>
  <c r="R699" i="1" l="1"/>
  <c r="S700" i="1"/>
  <c r="T700" i="1" s="1"/>
  <c r="R698" i="1" l="1"/>
  <c r="S699" i="1"/>
  <c r="T699" i="1" s="1"/>
  <c r="R697" i="1" l="1"/>
  <c r="S698" i="1"/>
  <c r="T698" i="1" s="1"/>
  <c r="R696" i="1" l="1"/>
  <c r="S697" i="1"/>
  <c r="T697" i="1" s="1"/>
  <c r="R695" i="1" l="1"/>
  <c r="S696" i="1"/>
  <c r="T696" i="1" s="1"/>
  <c r="R694" i="1" l="1"/>
  <c r="S695" i="1"/>
  <c r="T695" i="1" s="1"/>
  <c r="R693" i="1" l="1"/>
  <c r="S694" i="1"/>
  <c r="T694" i="1" s="1"/>
  <c r="R692" i="1" l="1"/>
  <c r="S693" i="1"/>
  <c r="T693" i="1" s="1"/>
  <c r="R691" i="1" l="1"/>
  <c r="S692" i="1"/>
  <c r="T692" i="1" s="1"/>
  <c r="R690" i="1" l="1"/>
  <c r="S691" i="1"/>
  <c r="T691" i="1" s="1"/>
  <c r="R689" i="1" l="1"/>
  <c r="S690" i="1"/>
  <c r="T690" i="1" s="1"/>
  <c r="R688" i="1" l="1"/>
  <c r="S689" i="1"/>
  <c r="T689" i="1" s="1"/>
  <c r="R687" i="1" l="1"/>
  <c r="S688" i="1"/>
  <c r="T688" i="1" s="1"/>
  <c r="R686" i="1" l="1"/>
  <c r="S687" i="1"/>
  <c r="T687" i="1" s="1"/>
  <c r="R685" i="1" l="1"/>
  <c r="S686" i="1"/>
  <c r="T686" i="1" s="1"/>
  <c r="R684" i="1" l="1"/>
  <c r="S685" i="1"/>
  <c r="T685" i="1" s="1"/>
  <c r="R683" i="1" l="1"/>
  <c r="S684" i="1"/>
  <c r="T684" i="1" s="1"/>
  <c r="R682" i="1" l="1"/>
  <c r="S683" i="1"/>
  <c r="T683" i="1" s="1"/>
  <c r="R681" i="1" l="1"/>
  <c r="S682" i="1"/>
  <c r="T682" i="1" s="1"/>
  <c r="R680" i="1" l="1"/>
  <c r="S681" i="1"/>
  <c r="T681" i="1" s="1"/>
  <c r="R679" i="1" l="1"/>
  <c r="S680" i="1"/>
  <c r="T680" i="1" s="1"/>
  <c r="R678" i="1" l="1"/>
  <c r="S679" i="1"/>
  <c r="T679" i="1" s="1"/>
  <c r="R677" i="1" l="1"/>
  <c r="S678" i="1"/>
  <c r="T678" i="1" s="1"/>
  <c r="R676" i="1" l="1"/>
  <c r="S677" i="1"/>
  <c r="T677" i="1" s="1"/>
  <c r="R675" i="1" l="1"/>
  <c r="S676" i="1"/>
  <c r="T676" i="1" s="1"/>
  <c r="R674" i="1" l="1"/>
  <c r="S675" i="1"/>
  <c r="T675" i="1" s="1"/>
  <c r="R673" i="1" l="1"/>
  <c r="S674" i="1"/>
  <c r="T674" i="1" s="1"/>
  <c r="R672" i="1" l="1"/>
  <c r="S673" i="1"/>
  <c r="T673" i="1" s="1"/>
  <c r="R671" i="1" l="1"/>
  <c r="S672" i="1"/>
  <c r="T672" i="1" s="1"/>
  <c r="R670" i="1" l="1"/>
  <c r="S671" i="1"/>
  <c r="T671" i="1" s="1"/>
  <c r="R669" i="1" l="1"/>
  <c r="S670" i="1"/>
  <c r="T670" i="1" s="1"/>
  <c r="R668" i="1" l="1"/>
  <c r="S669" i="1"/>
  <c r="T669" i="1" s="1"/>
  <c r="R667" i="1" l="1"/>
  <c r="S668" i="1"/>
  <c r="T668" i="1" s="1"/>
  <c r="R666" i="1" l="1"/>
  <c r="S667" i="1"/>
  <c r="T667" i="1" s="1"/>
  <c r="R665" i="1" l="1"/>
  <c r="S666" i="1"/>
  <c r="T666" i="1" s="1"/>
  <c r="R664" i="1" l="1"/>
  <c r="S665" i="1"/>
  <c r="T665" i="1" s="1"/>
  <c r="R663" i="1" l="1"/>
  <c r="S664" i="1"/>
  <c r="T664" i="1" s="1"/>
  <c r="R662" i="1" l="1"/>
  <c r="S663" i="1"/>
  <c r="T663" i="1" s="1"/>
  <c r="R661" i="1" l="1"/>
  <c r="S662" i="1"/>
  <c r="T662" i="1" s="1"/>
  <c r="R660" i="1" l="1"/>
  <c r="S661" i="1"/>
  <c r="T661" i="1" s="1"/>
  <c r="R659" i="1" l="1"/>
  <c r="S660" i="1"/>
  <c r="T660" i="1" s="1"/>
  <c r="R658" i="1" l="1"/>
  <c r="S659" i="1"/>
  <c r="T659" i="1" s="1"/>
  <c r="R657" i="1" l="1"/>
  <c r="S658" i="1"/>
  <c r="T658" i="1" s="1"/>
  <c r="R656" i="1" l="1"/>
  <c r="S657" i="1"/>
  <c r="T657" i="1" s="1"/>
  <c r="R655" i="1" l="1"/>
  <c r="S656" i="1"/>
  <c r="T656" i="1" s="1"/>
  <c r="R654" i="1" l="1"/>
  <c r="S655" i="1"/>
  <c r="T655" i="1" s="1"/>
  <c r="R653" i="1" l="1"/>
  <c r="S654" i="1"/>
  <c r="T654" i="1" s="1"/>
  <c r="R652" i="1" l="1"/>
  <c r="S653" i="1"/>
  <c r="T653" i="1" s="1"/>
  <c r="R651" i="1" l="1"/>
  <c r="S652" i="1"/>
  <c r="T652" i="1" s="1"/>
  <c r="R650" i="1" l="1"/>
  <c r="S651" i="1"/>
  <c r="T651" i="1" s="1"/>
  <c r="R649" i="1" l="1"/>
  <c r="S650" i="1"/>
  <c r="T650" i="1" s="1"/>
  <c r="R648" i="1" l="1"/>
  <c r="S649" i="1"/>
  <c r="T649" i="1" s="1"/>
  <c r="R647" i="1" l="1"/>
  <c r="S648" i="1"/>
  <c r="T648" i="1" s="1"/>
  <c r="R646" i="1" l="1"/>
  <c r="S647" i="1"/>
  <c r="T647" i="1" s="1"/>
  <c r="R645" i="1" l="1"/>
  <c r="S646" i="1"/>
  <c r="T646" i="1" s="1"/>
  <c r="R644" i="1" l="1"/>
  <c r="S645" i="1"/>
  <c r="T645" i="1" s="1"/>
  <c r="R643" i="1" l="1"/>
  <c r="S644" i="1"/>
  <c r="T644" i="1" s="1"/>
  <c r="R642" i="1" l="1"/>
  <c r="S643" i="1"/>
  <c r="T643" i="1" s="1"/>
  <c r="R641" i="1" l="1"/>
  <c r="S642" i="1"/>
  <c r="T642" i="1" s="1"/>
  <c r="R640" i="1" l="1"/>
  <c r="S641" i="1"/>
  <c r="T641" i="1" s="1"/>
  <c r="R639" i="1" l="1"/>
  <c r="S640" i="1"/>
  <c r="T640" i="1" s="1"/>
  <c r="R638" i="1" l="1"/>
  <c r="S639" i="1"/>
  <c r="T639" i="1" s="1"/>
  <c r="R637" i="1" l="1"/>
  <c r="S638" i="1"/>
  <c r="T638" i="1" s="1"/>
  <c r="R636" i="1" l="1"/>
  <c r="S637" i="1"/>
  <c r="T637" i="1" s="1"/>
  <c r="R635" i="1" l="1"/>
  <c r="S636" i="1"/>
  <c r="T636" i="1" s="1"/>
  <c r="R634" i="1" l="1"/>
  <c r="S635" i="1"/>
  <c r="T635" i="1" s="1"/>
  <c r="R633" i="1" l="1"/>
  <c r="S634" i="1"/>
  <c r="T634" i="1" s="1"/>
  <c r="R632" i="1" l="1"/>
  <c r="S633" i="1"/>
  <c r="T633" i="1" s="1"/>
  <c r="R631" i="1" l="1"/>
  <c r="S632" i="1"/>
  <c r="T632" i="1" s="1"/>
  <c r="R630" i="1" l="1"/>
  <c r="S631" i="1"/>
  <c r="T631" i="1" s="1"/>
  <c r="R629" i="1" l="1"/>
  <c r="S630" i="1"/>
  <c r="T630" i="1" s="1"/>
  <c r="R628" i="1" l="1"/>
  <c r="S629" i="1"/>
  <c r="T629" i="1" s="1"/>
  <c r="R627" i="1" l="1"/>
  <c r="S628" i="1"/>
  <c r="T628" i="1" s="1"/>
  <c r="R626" i="1" l="1"/>
  <c r="S627" i="1"/>
  <c r="T627" i="1" s="1"/>
  <c r="R625" i="1" l="1"/>
  <c r="S626" i="1"/>
  <c r="T626" i="1" s="1"/>
  <c r="R624" i="1" l="1"/>
  <c r="S625" i="1"/>
  <c r="T625" i="1" s="1"/>
  <c r="R623" i="1" l="1"/>
  <c r="S624" i="1"/>
  <c r="T624" i="1" s="1"/>
  <c r="R622" i="1" l="1"/>
  <c r="S623" i="1"/>
  <c r="T623" i="1" s="1"/>
  <c r="R621" i="1" l="1"/>
  <c r="S622" i="1"/>
  <c r="T622" i="1" s="1"/>
  <c r="R620" i="1" l="1"/>
  <c r="S621" i="1"/>
  <c r="T621" i="1" s="1"/>
  <c r="R619" i="1" l="1"/>
  <c r="S620" i="1"/>
  <c r="T620" i="1" s="1"/>
  <c r="R618" i="1" l="1"/>
  <c r="S619" i="1"/>
  <c r="T619" i="1" s="1"/>
  <c r="R617" i="1" l="1"/>
  <c r="S618" i="1"/>
  <c r="T618" i="1" s="1"/>
  <c r="R616" i="1" l="1"/>
  <c r="S617" i="1"/>
  <c r="T617" i="1" s="1"/>
  <c r="R615" i="1" l="1"/>
  <c r="S616" i="1"/>
  <c r="T616" i="1" s="1"/>
  <c r="R614" i="1" l="1"/>
  <c r="S615" i="1"/>
  <c r="T615" i="1" s="1"/>
  <c r="R613" i="1" l="1"/>
  <c r="S614" i="1"/>
  <c r="T614" i="1" s="1"/>
  <c r="R612" i="1" l="1"/>
  <c r="S613" i="1"/>
  <c r="T613" i="1" s="1"/>
  <c r="R611" i="1" l="1"/>
  <c r="S612" i="1"/>
  <c r="T612" i="1" s="1"/>
  <c r="R610" i="1" l="1"/>
  <c r="S611" i="1"/>
  <c r="T611" i="1" s="1"/>
  <c r="R609" i="1" l="1"/>
  <c r="S610" i="1"/>
  <c r="T610" i="1" s="1"/>
  <c r="R608" i="1" l="1"/>
  <c r="S609" i="1"/>
  <c r="T609" i="1" s="1"/>
  <c r="R607" i="1" l="1"/>
  <c r="S608" i="1"/>
  <c r="T608" i="1" s="1"/>
  <c r="R606" i="1" l="1"/>
  <c r="S607" i="1"/>
  <c r="T607" i="1" s="1"/>
  <c r="R605" i="1" l="1"/>
  <c r="S606" i="1"/>
  <c r="T606" i="1" s="1"/>
  <c r="R604" i="1" l="1"/>
  <c r="S605" i="1"/>
  <c r="T605" i="1" s="1"/>
  <c r="R603" i="1" l="1"/>
  <c r="S604" i="1"/>
  <c r="T604" i="1" s="1"/>
  <c r="R602" i="1" l="1"/>
  <c r="S603" i="1"/>
  <c r="T603" i="1" s="1"/>
  <c r="R601" i="1" l="1"/>
  <c r="S602" i="1"/>
  <c r="T602" i="1" s="1"/>
  <c r="R600" i="1" l="1"/>
  <c r="S601" i="1"/>
  <c r="T601" i="1" s="1"/>
  <c r="R599" i="1" l="1"/>
  <c r="S600" i="1"/>
  <c r="T600" i="1" s="1"/>
  <c r="R598" i="1" l="1"/>
  <c r="S599" i="1"/>
  <c r="T599" i="1" s="1"/>
  <c r="R597" i="1" l="1"/>
  <c r="S598" i="1"/>
  <c r="T598" i="1" s="1"/>
  <c r="R596" i="1" l="1"/>
  <c r="S597" i="1"/>
  <c r="T597" i="1" s="1"/>
  <c r="R595" i="1" l="1"/>
  <c r="S596" i="1"/>
  <c r="T596" i="1" s="1"/>
  <c r="R594" i="1" l="1"/>
  <c r="S595" i="1"/>
  <c r="T595" i="1" s="1"/>
  <c r="R593" i="1" l="1"/>
  <c r="S594" i="1"/>
  <c r="T594" i="1" s="1"/>
  <c r="R592" i="1" l="1"/>
  <c r="S593" i="1"/>
  <c r="T593" i="1" s="1"/>
  <c r="R591" i="1" l="1"/>
  <c r="S592" i="1"/>
  <c r="T592" i="1" s="1"/>
  <c r="R590" i="1" l="1"/>
  <c r="S591" i="1"/>
  <c r="T591" i="1" s="1"/>
  <c r="R589" i="1" l="1"/>
  <c r="S590" i="1"/>
  <c r="T590" i="1" s="1"/>
  <c r="R588" i="1" l="1"/>
  <c r="S589" i="1"/>
  <c r="T589" i="1" s="1"/>
  <c r="R587" i="1" l="1"/>
  <c r="S588" i="1"/>
  <c r="T588" i="1" s="1"/>
  <c r="R586" i="1" l="1"/>
  <c r="S587" i="1"/>
  <c r="T587" i="1" s="1"/>
  <c r="R585" i="1" l="1"/>
  <c r="S586" i="1"/>
  <c r="T586" i="1" s="1"/>
  <c r="R584" i="1" l="1"/>
  <c r="S585" i="1"/>
  <c r="T585" i="1" s="1"/>
  <c r="R583" i="1" l="1"/>
  <c r="S584" i="1"/>
  <c r="T584" i="1" s="1"/>
  <c r="R582" i="1" l="1"/>
  <c r="S583" i="1"/>
  <c r="T583" i="1" s="1"/>
  <c r="R581" i="1" l="1"/>
  <c r="S582" i="1"/>
  <c r="T582" i="1" s="1"/>
  <c r="R580" i="1" l="1"/>
  <c r="S581" i="1"/>
  <c r="T581" i="1" s="1"/>
  <c r="R579" i="1" l="1"/>
  <c r="S580" i="1"/>
  <c r="T580" i="1" s="1"/>
  <c r="R578" i="1" l="1"/>
  <c r="S579" i="1"/>
  <c r="T579" i="1" s="1"/>
  <c r="R577" i="1" l="1"/>
  <c r="S578" i="1"/>
  <c r="T578" i="1" s="1"/>
  <c r="R576" i="1" l="1"/>
  <c r="S577" i="1"/>
  <c r="T577" i="1" s="1"/>
  <c r="R575" i="1" l="1"/>
  <c r="S576" i="1"/>
  <c r="T576" i="1" s="1"/>
  <c r="R574" i="1" l="1"/>
  <c r="S575" i="1"/>
  <c r="T575" i="1" s="1"/>
  <c r="R573" i="1" l="1"/>
  <c r="S574" i="1"/>
  <c r="T574" i="1" s="1"/>
  <c r="R572" i="1" l="1"/>
  <c r="S573" i="1"/>
  <c r="T573" i="1" s="1"/>
  <c r="R571" i="1" l="1"/>
  <c r="S572" i="1"/>
  <c r="T572" i="1" s="1"/>
  <c r="R570" i="1" l="1"/>
  <c r="S571" i="1"/>
  <c r="T571" i="1" s="1"/>
  <c r="R569" i="1" l="1"/>
  <c r="S570" i="1"/>
  <c r="T570" i="1" s="1"/>
  <c r="R568" i="1" l="1"/>
  <c r="S569" i="1"/>
  <c r="T569" i="1" s="1"/>
  <c r="R567" i="1" l="1"/>
  <c r="S568" i="1"/>
  <c r="T568" i="1" s="1"/>
  <c r="R566" i="1" l="1"/>
  <c r="S567" i="1"/>
  <c r="T567" i="1" s="1"/>
  <c r="R565" i="1" l="1"/>
  <c r="S566" i="1"/>
  <c r="T566" i="1" s="1"/>
  <c r="R564" i="1" l="1"/>
  <c r="S565" i="1"/>
  <c r="T565" i="1" s="1"/>
  <c r="R563" i="1" l="1"/>
  <c r="S564" i="1"/>
  <c r="T564" i="1" s="1"/>
  <c r="R562" i="1" l="1"/>
  <c r="S563" i="1"/>
  <c r="T563" i="1" s="1"/>
  <c r="R561" i="1" l="1"/>
  <c r="S562" i="1"/>
  <c r="T562" i="1" s="1"/>
  <c r="R560" i="1" l="1"/>
  <c r="S561" i="1"/>
  <c r="T561" i="1" s="1"/>
  <c r="R559" i="1" l="1"/>
  <c r="S560" i="1"/>
  <c r="T560" i="1" s="1"/>
  <c r="R558" i="1" l="1"/>
  <c r="S559" i="1"/>
  <c r="T559" i="1" s="1"/>
  <c r="R557" i="1" l="1"/>
  <c r="S558" i="1"/>
  <c r="T558" i="1" s="1"/>
  <c r="R556" i="1" l="1"/>
  <c r="S557" i="1"/>
  <c r="T557" i="1" s="1"/>
  <c r="R555" i="1" l="1"/>
  <c r="S556" i="1"/>
  <c r="T556" i="1" s="1"/>
  <c r="R554" i="1" l="1"/>
  <c r="S555" i="1"/>
  <c r="T555" i="1" s="1"/>
  <c r="R553" i="1" l="1"/>
  <c r="S554" i="1"/>
  <c r="T554" i="1" s="1"/>
  <c r="R552" i="1" l="1"/>
  <c r="S553" i="1"/>
  <c r="T553" i="1" s="1"/>
  <c r="R551" i="1" l="1"/>
  <c r="S552" i="1"/>
  <c r="T552" i="1" s="1"/>
  <c r="R550" i="1" l="1"/>
  <c r="S551" i="1"/>
  <c r="T551" i="1" s="1"/>
  <c r="R549" i="1" l="1"/>
  <c r="S550" i="1"/>
  <c r="T550" i="1" s="1"/>
  <c r="R548" i="1" l="1"/>
  <c r="S549" i="1"/>
  <c r="T549" i="1" s="1"/>
  <c r="R547" i="1" l="1"/>
  <c r="S548" i="1"/>
  <c r="T548" i="1" s="1"/>
  <c r="R546" i="1" l="1"/>
  <c r="S547" i="1"/>
  <c r="T547" i="1" s="1"/>
  <c r="R545" i="1" l="1"/>
  <c r="S546" i="1"/>
  <c r="T546" i="1" s="1"/>
  <c r="R544" i="1" l="1"/>
  <c r="S545" i="1"/>
  <c r="T545" i="1" s="1"/>
  <c r="R543" i="1" l="1"/>
  <c r="S544" i="1"/>
  <c r="T544" i="1" s="1"/>
  <c r="R542" i="1" l="1"/>
  <c r="S543" i="1"/>
  <c r="T543" i="1" s="1"/>
  <c r="R541" i="1" l="1"/>
  <c r="S542" i="1"/>
  <c r="T542" i="1" s="1"/>
  <c r="R540" i="1" l="1"/>
  <c r="S541" i="1"/>
  <c r="T541" i="1" s="1"/>
  <c r="R539" i="1" l="1"/>
  <c r="S540" i="1"/>
  <c r="T540" i="1" s="1"/>
  <c r="R538" i="1" l="1"/>
  <c r="S539" i="1"/>
  <c r="T539" i="1" s="1"/>
  <c r="R537" i="1" l="1"/>
  <c r="S538" i="1"/>
  <c r="T538" i="1" s="1"/>
  <c r="R536" i="1" l="1"/>
  <c r="S537" i="1"/>
  <c r="T537" i="1" s="1"/>
  <c r="R535" i="1" l="1"/>
  <c r="S536" i="1"/>
  <c r="T536" i="1" s="1"/>
  <c r="R534" i="1" l="1"/>
  <c r="S535" i="1"/>
  <c r="T535" i="1" s="1"/>
  <c r="R533" i="1" l="1"/>
  <c r="S534" i="1"/>
  <c r="T534" i="1" s="1"/>
  <c r="R532" i="1" l="1"/>
  <c r="S533" i="1"/>
  <c r="T533" i="1" s="1"/>
  <c r="R531" i="1" l="1"/>
  <c r="S532" i="1"/>
  <c r="T532" i="1" s="1"/>
  <c r="R530" i="1" l="1"/>
  <c r="S531" i="1"/>
  <c r="T531" i="1" s="1"/>
  <c r="R529" i="1" l="1"/>
  <c r="S530" i="1"/>
  <c r="T530" i="1" s="1"/>
  <c r="R528" i="1" l="1"/>
  <c r="S529" i="1"/>
  <c r="T529" i="1" s="1"/>
  <c r="R527" i="1" l="1"/>
  <c r="S528" i="1"/>
  <c r="T528" i="1" s="1"/>
  <c r="R526" i="1" l="1"/>
  <c r="S527" i="1"/>
  <c r="T527" i="1" s="1"/>
  <c r="R525" i="1" l="1"/>
  <c r="S526" i="1"/>
  <c r="T526" i="1" s="1"/>
  <c r="R524" i="1" l="1"/>
  <c r="S525" i="1"/>
  <c r="T525" i="1" s="1"/>
  <c r="R523" i="1" l="1"/>
  <c r="S524" i="1"/>
  <c r="T524" i="1" s="1"/>
  <c r="R522" i="1" l="1"/>
  <c r="S523" i="1"/>
  <c r="T523" i="1" s="1"/>
  <c r="R521" i="1" l="1"/>
  <c r="S522" i="1"/>
  <c r="T522" i="1" s="1"/>
  <c r="R520" i="1" l="1"/>
  <c r="S521" i="1"/>
  <c r="T521" i="1" s="1"/>
  <c r="R519" i="1" l="1"/>
  <c r="S520" i="1"/>
  <c r="T520" i="1" s="1"/>
  <c r="R518" i="1" l="1"/>
  <c r="S519" i="1"/>
  <c r="T519" i="1" s="1"/>
  <c r="R517" i="1" l="1"/>
  <c r="S518" i="1"/>
  <c r="T518" i="1" s="1"/>
  <c r="R516" i="1" l="1"/>
  <c r="S517" i="1"/>
  <c r="T517" i="1" s="1"/>
  <c r="R515" i="1" l="1"/>
  <c r="S516" i="1"/>
  <c r="T516" i="1" s="1"/>
  <c r="R514" i="1" l="1"/>
  <c r="S515" i="1"/>
  <c r="T515" i="1" s="1"/>
  <c r="R513" i="1" l="1"/>
  <c r="S514" i="1"/>
  <c r="T514" i="1" s="1"/>
  <c r="R512" i="1" l="1"/>
  <c r="S513" i="1"/>
  <c r="T513" i="1" s="1"/>
  <c r="R511" i="1" l="1"/>
  <c r="S512" i="1"/>
  <c r="T512" i="1" s="1"/>
  <c r="R510" i="1" l="1"/>
  <c r="S511" i="1"/>
  <c r="T511" i="1" s="1"/>
  <c r="R509" i="1" l="1"/>
  <c r="S510" i="1"/>
  <c r="T510" i="1" s="1"/>
  <c r="R508" i="1" l="1"/>
  <c r="S509" i="1"/>
  <c r="T509" i="1" s="1"/>
  <c r="R507" i="1" l="1"/>
  <c r="S508" i="1"/>
  <c r="T508" i="1" s="1"/>
  <c r="R506" i="1" l="1"/>
  <c r="S507" i="1"/>
  <c r="T507" i="1" s="1"/>
  <c r="R505" i="1" l="1"/>
  <c r="S506" i="1"/>
  <c r="T506" i="1" s="1"/>
  <c r="R504" i="1" l="1"/>
  <c r="S505" i="1"/>
  <c r="T505" i="1" s="1"/>
  <c r="R503" i="1" l="1"/>
  <c r="S504" i="1"/>
  <c r="T504" i="1" s="1"/>
  <c r="R502" i="1" l="1"/>
  <c r="S503" i="1"/>
  <c r="T503" i="1" s="1"/>
  <c r="R501" i="1" l="1"/>
  <c r="S502" i="1"/>
  <c r="T502" i="1" s="1"/>
  <c r="R500" i="1" l="1"/>
  <c r="S501" i="1"/>
  <c r="T501" i="1" s="1"/>
  <c r="R499" i="1" l="1"/>
  <c r="S500" i="1"/>
  <c r="T500" i="1" s="1"/>
  <c r="R498" i="1" l="1"/>
  <c r="S499" i="1"/>
  <c r="T499" i="1" s="1"/>
  <c r="R497" i="1" l="1"/>
  <c r="S498" i="1"/>
  <c r="T498" i="1" s="1"/>
  <c r="R496" i="1" l="1"/>
  <c r="S497" i="1"/>
  <c r="T497" i="1" s="1"/>
  <c r="R495" i="1" l="1"/>
  <c r="S496" i="1"/>
  <c r="T496" i="1" s="1"/>
  <c r="R494" i="1" l="1"/>
  <c r="S495" i="1"/>
  <c r="T495" i="1" s="1"/>
  <c r="R493" i="1" l="1"/>
  <c r="S494" i="1"/>
  <c r="T494" i="1" s="1"/>
  <c r="R492" i="1" l="1"/>
  <c r="S493" i="1"/>
  <c r="T493" i="1" s="1"/>
  <c r="R491" i="1" l="1"/>
  <c r="S492" i="1"/>
  <c r="T492" i="1" s="1"/>
  <c r="R490" i="1" l="1"/>
  <c r="S491" i="1"/>
  <c r="T491" i="1" s="1"/>
  <c r="R489" i="1" l="1"/>
  <c r="S490" i="1"/>
  <c r="T490" i="1" s="1"/>
  <c r="R488" i="1" l="1"/>
  <c r="S489" i="1"/>
  <c r="T489" i="1" s="1"/>
  <c r="R487" i="1" l="1"/>
  <c r="S488" i="1"/>
  <c r="T488" i="1" s="1"/>
  <c r="R486" i="1" l="1"/>
  <c r="S487" i="1"/>
  <c r="T487" i="1" s="1"/>
  <c r="R485" i="1" l="1"/>
  <c r="S486" i="1"/>
  <c r="T486" i="1" s="1"/>
  <c r="R484" i="1" l="1"/>
  <c r="S485" i="1"/>
  <c r="T485" i="1" s="1"/>
  <c r="R483" i="1" l="1"/>
  <c r="S484" i="1"/>
  <c r="T484" i="1" s="1"/>
  <c r="R482" i="1" l="1"/>
  <c r="S483" i="1"/>
  <c r="T483" i="1" s="1"/>
  <c r="R481" i="1" l="1"/>
  <c r="S482" i="1"/>
  <c r="T482" i="1" s="1"/>
  <c r="R480" i="1" l="1"/>
  <c r="S481" i="1"/>
  <c r="T481" i="1" s="1"/>
  <c r="R479" i="1" l="1"/>
  <c r="S480" i="1"/>
  <c r="T480" i="1" s="1"/>
  <c r="R478" i="1" l="1"/>
  <c r="S479" i="1"/>
  <c r="T479" i="1" s="1"/>
  <c r="R477" i="1" l="1"/>
  <c r="S478" i="1"/>
  <c r="T478" i="1" s="1"/>
  <c r="R476" i="1" l="1"/>
  <c r="S477" i="1"/>
  <c r="T477" i="1" s="1"/>
  <c r="R475" i="1" l="1"/>
  <c r="S476" i="1"/>
  <c r="T476" i="1" s="1"/>
  <c r="R474" i="1" l="1"/>
  <c r="S475" i="1"/>
  <c r="T475" i="1" s="1"/>
  <c r="R473" i="1" l="1"/>
  <c r="S474" i="1"/>
  <c r="T474" i="1" s="1"/>
  <c r="R472" i="1" l="1"/>
  <c r="S473" i="1"/>
  <c r="T473" i="1" s="1"/>
  <c r="R471" i="1" l="1"/>
  <c r="S472" i="1"/>
  <c r="T472" i="1" s="1"/>
  <c r="R470" i="1" l="1"/>
  <c r="S471" i="1"/>
  <c r="T471" i="1" s="1"/>
  <c r="R469" i="1" l="1"/>
  <c r="S470" i="1"/>
  <c r="T470" i="1" s="1"/>
  <c r="R468" i="1" l="1"/>
  <c r="S469" i="1"/>
  <c r="T469" i="1" s="1"/>
  <c r="R467" i="1" l="1"/>
  <c r="S468" i="1"/>
  <c r="T468" i="1" s="1"/>
  <c r="R466" i="1" l="1"/>
  <c r="S467" i="1"/>
  <c r="T467" i="1" s="1"/>
  <c r="R465" i="1" l="1"/>
  <c r="S466" i="1"/>
  <c r="T466" i="1" s="1"/>
  <c r="R464" i="1" l="1"/>
  <c r="S465" i="1"/>
  <c r="T465" i="1" s="1"/>
  <c r="R463" i="1" l="1"/>
  <c r="S464" i="1"/>
  <c r="T464" i="1" s="1"/>
  <c r="R462" i="1" l="1"/>
  <c r="S463" i="1"/>
  <c r="T463" i="1" s="1"/>
  <c r="R461" i="1" l="1"/>
  <c r="S462" i="1"/>
  <c r="T462" i="1" s="1"/>
  <c r="R460" i="1" l="1"/>
  <c r="S461" i="1"/>
  <c r="T461" i="1" s="1"/>
  <c r="R459" i="1" l="1"/>
  <c r="S460" i="1"/>
  <c r="T460" i="1" s="1"/>
  <c r="R458" i="1" l="1"/>
  <c r="S459" i="1"/>
  <c r="T459" i="1" s="1"/>
  <c r="R457" i="1" l="1"/>
  <c r="S458" i="1"/>
  <c r="T458" i="1" s="1"/>
  <c r="R456" i="1" l="1"/>
  <c r="S457" i="1"/>
  <c r="T457" i="1" s="1"/>
  <c r="R455" i="1" l="1"/>
  <c r="S456" i="1"/>
  <c r="T456" i="1" s="1"/>
  <c r="R454" i="1" l="1"/>
  <c r="S455" i="1"/>
  <c r="T455" i="1" s="1"/>
  <c r="R453" i="1" l="1"/>
  <c r="S454" i="1"/>
  <c r="T454" i="1" s="1"/>
  <c r="R452" i="1" l="1"/>
  <c r="S453" i="1"/>
  <c r="T453" i="1" s="1"/>
  <c r="R451" i="1" l="1"/>
  <c r="S452" i="1"/>
  <c r="T452" i="1" s="1"/>
  <c r="R450" i="1" l="1"/>
  <c r="S451" i="1"/>
  <c r="T451" i="1" s="1"/>
  <c r="R449" i="1" l="1"/>
  <c r="S450" i="1"/>
  <c r="T450" i="1" s="1"/>
  <c r="R448" i="1" l="1"/>
  <c r="S449" i="1"/>
  <c r="T449" i="1" s="1"/>
  <c r="R447" i="1" l="1"/>
  <c r="S448" i="1"/>
  <c r="T448" i="1" s="1"/>
  <c r="R446" i="1" l="1"/>
  <c r="S447" i="1"/>
  <c r="T447" i="1" s="1"/>
  <c r="R445" i="1" l="1"/>
  <c r="S446" i="1"/>
  <c r="T446" i="1" s="1"/>
  <c r="R444" i="1" l="1"/>
  <c r="S445" i="1"/>
  <c r="T445" i="1" s="1"/>
  <c r="R443" i="1" l="1"/>
  <c r="S444" i="1"/>
  <c r="T444" i="1" s="1"/>
  <c r="R442" i="1" l="1"/>
  <c r="S443" i="1"/>
  <c r="T443" i="1" s="1"/>
  <c r="R441" i="1" l="1"/>
  <c r="S442" i="1"/>
  <c r="T442" i="1" s="1"/>
  <c r="R440" i="1" l="1"/>
  <c r="S441" i="1"/>
  <c r="T441" i="1" s="1"/>
  <c r="R439" i="1" l="1"/>
  <c r="S440" i="1"/>
  <c r="T440" i="1" s="1"/>
  <c r="R438" i="1" l="1"/>
  <c r="S439" i="1"/>
  <c r="T439" i="1" s="1"/>
  <c r="R437" i="1" l="1"/>
  <c r="S438" i="1"/>
  <c r="T438" i="1" s="1"/>
  <c r="R436" i="1" l="1"/>
  <c r="S437" i="1"/>
  <c r="T437" i="1" s="1"/>
  <c r="R435" i="1" l="1"/>
  <c r="S436" i="1"/>
  <c r="T436" i="1" s="1"/>
  <c r="R434" i="1" l="1"/>
  <c r="S435" i="1"/>
  <c r="T435" i="1" s="1"/>
  <c r="R433" i="1" l="1"/>
  <c r="S434" i="1"/>
  <c r="T434" i="1" s="1"/>
  <c r="R432" i="1" l="1"/>
  <c r="S433" i="1"/>
  <c r="T433" i="1" s="1"/>
  <c r="R431" i="1" l="1"/>
  <c r="S432" i="1"/>
  <c r="T432" i="1" s="1"/>
  <c r="R430" i="1" l="1"/>
  <c r="S431" i="1"/>
  <c r="T431" i="1" s="1"/>
  <c r="R429" i="1" l="1"/>
  <c r="S430" i="1"/>
  <c r="T430" i="1" s="1"/>
  <c r="R428" i="1" l="1"/>
  <c r="S429" i="1"/>
  <c r="T429" i="1" s="1"/>
  <c r="R427" i="1" l="1"/>
  <c r="S428" i="1"/>
  <c r="T428" i="1" s="1"/>
  <c r="R426" i="1" l="1"/>
  <c r="S427" i="1"/>
  <c r="T427" i="1" s="1"/>
  <c r="R425" i="1" l="1"/>
  <c r="S426" i="1"/>
  <c r="T426" i="1" s="1"/>
  <c r="R424" i="1" l="1"/>
  <c r="S425" i="1"/>
  <c r="T425" i="1" s="1"/>
  <c r="R423" i="1" l="1"/>
  <c r="S424" i="1"/>
  <c r="T424" i="1" s="1"/>
  <c r="R422" i="1" l="1"/>
  <c r="S423" i="1"/>
  <c r="T423" i="1" s="1"/>
  <c r="R421" i="1" l="1"/>
  <c r="S422" i="1"/>
  <c r="T422" i="1" s="1"/>
  <c r="R420" i="1" l="1"/>
  <c r="S421" i="1"/>
  <c r="T421" i="1" s="1"/>
  <c r="R419" i="1" l="1"/>
  <c r="S420" i="1"/>
  <c r="T420" i="1" s="1"/>
  <c r="R418" i="1" l="1"/>
  <c r="S419" i="1"/>
  <c r="T419" i="1" s="1"/>
  <c r="R417" i="1" l="1"/>
  <c r="S418" i="1"/>
  <c r="T418" i="1" s="1"/>
  <c r="R416" i="1" l="1"/>
  <c r="S417" i="1"/>
  <c r="T417" i="1" s="1"/>
  <c r="R415" i="1" l="1"/>
  <c r="S416" i="1"/>
  <c r="T416" i="1" s="1"/>
  <c r="R414" i="1" l="1"/>
  <c r="S415" i="1"/>
  <c r="T415" i="1" s="1"/>
  <c r="R413" i="1" l="1"/>
  <c r="S414" i="1"/>
  <c r="T414" i="1" s="1"/>
  <c r="R412" i="1" l="1"/>
  <c r="S413" i="1"/>
  <c r="T413" i="1" s="1"/>
  <c r="R411" i="1" l="1"/>
  <c r="S412" i="1"/>
  <c r="T412" i="1" s="1"/>
  <c r="R410" i="1" l="1"/>
  <c r="S411" i="1"/>
  <c r="T411" i="1" s="1"/>
  <c r="R409" i="1" l="1"/>
  <c r="S410" i="1"/>
  <c r="T410" i="1" s="1"/>
  <c r="R408" i="1" l="1"/>
  <c r="S409" i="1"/>
  <c r="T409" i="1" s="1"/>
  <c r="R407" i="1" l="1"/>
  <c r="S408" i="1"/>
  <c r="T408" i="1" s="1"/>
  <c r="R406" i="1" l="1"/>
  <c r="S407" i="1"/>
  <c r="T407" i="1" s="1"/>
  <c r="R405" i="1" l="1"/>
  <c r="S406" i="1"/>
  <c r="T406" i="1" s="1"/>
  <c r="R404" i="1" l="1"/>
  <c r="S405" i="1"/>
  <c r="T405" i="1" s="1"/>
  <c r="R403" i="1" l="1"/>
  <c r="S404" i="1"/>
  <c r="T404" i="1" s="1"/>
  <c r="R402" i="1" l="1"/>
  <c r="S403" i="1"/>
  <c r="T403" i="1" s="1"/>
  <c r="R401" i="1" l="1"/>
  <c r="S402" i="1"/>
  <c r="T402" i="1" s="1"/>
  <c r="R400" i="1" l="1"/>
  <c r="S401" i="1"/>
  <c r="T401" i="1" s="1"/>
  <c r="R399" i="1" l="1"/>
  <c r="S400" i="1"/>
  <c r="T400" i="1" s="1"/>
  <c r="R398" i="1" l="1"/>
  <c r="S399" i="1"/>
  <c r="T399" i="1" s="1"/>
  <c r="R397" i="1" l="1"/>
  <c r="S398" i="1"/>
  <c r="T398" i="1" s="1"/>
  <c r="R396" i="1" l="1"/>
  <c r="S397" i="1"/>
  <c r="T397" i="1" s="1"/>
  <c r="R395" i="1" l="1"/>
  <c r="S396" i="1"/>
  <c r="T396" i="1" s="1"/>
  <c r="R394" i="1" l="1"/>
  <c r="S395" i="1"/>
  <c r="T395" i="1" s="1"/>
  <c r="R393" i="1" l="1"/>
  <c r="S394" i="1"/>
  <c r="T394" i="1" s="1"/>
  <c r="R392" i="1" l="1"/>
  <c r="S393" i="1"/>
  <c r="T393" i="1" s="1"/>
  <c r="R391" i="1" l="1"/>
  <c r="S392" i="1"/>
  <c r="T392" i="1" s="1"/>
  <c r="R390" i="1" l="1"/>
  <c r="S391" i="1"/>
  <c r="T391" i="1" s="1"/>
  <c r="R389" i="1" l="1"/>
  <c r="S390" i="1"/>
  <c r="T390" i="1" s="1"/>
  <c r="R388" i="1" l="1"/>
  <c r="S389" i="1"/>
  <c r="T389" i="1" s="1"/>
  <c r="R387" i="1" l="1"/>
  <c r="S388" i="1"/>
  <c r="T388" i="1" s="1"/>
  <c r="R386" i="1" l="1"/>
  <c r="S387" i="1"/>
  <c r="T387" i="1" s="1"/>
  <c r="R385" i="1" l="1"/>
  <c r="S386" i="1"/>
  <c r="T386" i="1" s="1"/>
  <c r="R384" i="1" l="1"/>
  <c r="S385" i="1"/>
  <c r="T385" i="1" s="1"/>
  <c r="R383" i="1" l="1"/>
  <c r="S384" i="1"/>
  <c r="T384" i="1" s="1"/>
  <c r="R382" i="1" l="1"/>
  <c r="S383" i="1"/>
  <c r="T383" i="1" s="1"/>
  <c r="R381" i="1" l="1"/>
  <c r="S382" i="1"/>
  <c r="T382" i="1" s="1"/>
  <c r="R380" i="1" l="1"/>
  <c r="S381" i="1"/>
  <c r="T381" i="1" s="1"/>
  <c r="R379" i="1" l="1"/>
  <c r="S380" i="1"/>
  <c r="T380" i="1" s="1"/>
  <c r="R378" i="1" l="1"/>
  <c r="S379" i="1"/>
  <c r="T379" i="1" s="1"/>
  <c r="R377" i="1" l="1"/>
  <c r="S378" i="1"/>
  <c r="T378" i="1" s="1"/>
  <c r="R376" i="1" l="1"/>
  <c r="S377" i="1"/>
  <c r="T377" i="1" s="1"/>
  <c r="R375" i="1" l="1"/>
  <c r="S376" i="1"/>
  <c r="T376" i="1" s="1"/>
  <c r="R374" i="1" l="1"/>
  <c r="S375" i="1"/>
  <c r="T375" i="1" s="1"/>
  <c r="R373" i="1" l="1"/>
  <c r="S374" i="1"/>
  <c r="T374" i="1" s="1"/>
  <c r="R372" i="1" l="1"/>
  <c r="S373" i="1"/>
  <c r="T373" i="1" s="1"/>
  <c r="R371" i="1" l="1"/>
  <c r="S372" i="1"/>
  <c r="T372" i="1" s="1"/>
  <c r="R370" i="1" l="1"/>
  <c r="S371" i="1"/>
  <c r="T371" i="1" s="1"/>
  <c r="R369" i="1" l="1"/>
  <c r="S370" i="1"/>
  <c r="T370" i="1" s="1"/>
  <c r="R368" i="1" l="1"/>
  <c r="S369" i="1"/>
  <c r="T369" i="1" s="1"/>
  <c r="R367" i="1" l="1"/>
  <c r="S368" i="1"/>
  <c r="T368" i="1" s="1"/>
  <c r="R366" i="1" l="1"/>
  <c r="S367" i="1"/>
  <c r="T367" i="1" s="1"/>
  <c r="R365" i="1" l="1"/>
  <c r="S366" i="1"/>
  <c r="T366" i="1" s="1"/>
  <c r="R364" i="1" l="1"/>
  <c r="S365" i="1"/>
  <c r="T365" i="1" s="1"/>
  <c r="R363" i="1" l="1"/>
  <c r="S364" i="1"/>
  <c r="T364" i="1" s="1"/>
  <c r="R362" i="1" l="1"/>
  <c r="S363" i="1"/>
  <c r="T363" i="1" s="1"/>
  <c r="R361" i="1" l="1"/>
  <c r="S362" i="1"/>
  <c r="T362" i="1" s="1"/>
  <c r="R360" i="1" l="1"/>
  <c r="S361" i="1"/>
  <c r="T361" i="1" s="1"/>
  <c r="R359" i="1" l="1"/>
  <c r="S360" i="1"/>
  <c r="T360" i="1" s="1"/>
  <c r="R358" i="1" l="1"/>
  <c r="S359" i="1"/>
  <c r="T359" i="1" s="1"/>
  <c r="R357" i="1" l="1"/>
  <c r="S358" i="1"/>
  <c r="T358" i="1" s="1"/>
  <c r="R356" i="1" l="1"/>
  <c r="S357" i="1"/>
  <c r="T357" i="1" s="1"/>
  <c r="R355" i="1" l="1"/>
  <c r="S356" i="1"/>
  <c r="T356" i="1" s="1"/>
  <c r="R354" i="1" l="1"/>
  <c r="S355" i="1"/>
  <c r="T355" i="1" s="1"/>
  <c r="R353" i="1" l="1"/>
  <c r="S354" i="1"/>
  <c r="T354" i="1" s="1"/>
  <c r="R352" i="1" l="1"/>
  <c r="S353" i="1"/>
  <c r="T353" i="1" s="1"/>
  <c r="R351" i="1" l="1"/>
  <c r="S352" i="1"/>
  <c r="T352" i="1" s="1"/>
  <c r="R350" i="1" l="1"/>
  <c r="S351" i="1"/>
  <c r="T351" i="1" s="1"/>
  <c r="R349" i="1" l="1"/>
  <c r="S350" i="1"/>
  <c r="T350" i="1" s="1"/>
  <c r="R348" i="1" l="1"/>
  <c r="S349" i="1"/>
  <c r="T349" i="1" s="1"/>
  <c r="R347" i="1" l="1"/>
  <c r="S348" i="1"/>
  <c r="T348" i="1" s="1"/>
  <c r="R346" i="1" l="1"/>
  <c r="S347" i="1"/>
  <c r="T347" i="1" s="1"/>
  <c r="R345" i="1" l="1"/>
  <c r="S346" i="1"/>
  <c r="T346" i="1" s="1"/>
  <c r="R344" i="1" l="1"/>
  <c r="S345" i="1"/>
  <c r="T345" i="1" s="1"/>
  <c r="R343" i="1" l="1"/>
  <c r="S344" i="1"/>
  <c r="T344" i="1" s="1"/>
  <c r="R342" i="1" l="1"/>
  <c r="S343" i="1"/>
  <c r="T343" i="1" s="1"/>
  <c r="R341" i="1" l="1"/>
  <c r="S342" i="1"/>
  <c r="T342" i="1" s="1"/>
  <c r="R340" i="1" l="1"/>
  <c r="S341" i="1"/>
  <c r="T341" i="1" s="1"/>
  <c r="R339" i="1" l="1"/>
  <c r="S340" i="1"/>
  <c r="T340" i="1" s="1"/>
  <c r="R338" i="1" l="1"/>
  <c r="S339" i="1"/>
  <c r="T339" i="1" s="1"/>
  <c r="R337" i="1" l="1"/>
  <c r="S338" i="1"/>
  <c r="T338" i="1" s="1"/>
  <c r="R336" i="1" l="1"/>
  <c r="S337" i="1"/>
  <c r="T337" i="1" s="1"/>
  <c r="R335" i="1" l="1"/>
  <c r="S336" i="1"/>
  <c r="T336" i="1" s="1"/>
  <c r="R334" i="1" l="1"/>
  <c r="S335" i="1"/>
  <c r="T335" i="1" s="1"/>
  <c r="R333" i="1" l="1"/>
  <c r="S334" i="1"/>
  <c r="T334" i="1" s="1"/>
  <c r="R332" i="1" l="1"/>
  <c r="S333" i="1"/>
  <c r="T333" i="1" s="1"/>
  <c r="R331" i="1" l="1"/>
  <c r="S332" i="1"/>
  <c r="T332" i="1" s="1"/>
  <c r="R330" i="1" l="1"/>
  <c r="S331" i="1"/>
  <c r="T331" i="1" s="1"/>
  <c r="R329" i="1" l="1"/>
  <c r="S330" i="1"/>
  <c r="T330" i="1" s="1"/>
  <c r="R328" i="1" l="1"/>
  <c r="S329" i="1"/>
  <c r="T329" i="1" s="1"/>
  <c r="R327" i="1" l="1"/>
  <c r="S328" i="1"/>
  <c r="T328" i="1" s="1"/>
  <c r="R326" i="1" l="1"/>
  <c r="S327" i="1"/>
  <c r="T327" i="1" s="1"/>
  <c r="R325" i="1" l="1"/>
  <c r="S326" i="1"/>
  <c r="T326" i="1" s="1"/>
  <c r="R324" i="1" l="1"/>
  <c r="S325" i="1"/>
  <c r="T325" i="1" s="1"/>
  <c r="R323" i="1" l="1"/>
  <c r="S324" i="1"/>
  <c r="T324" i="1" s="1"/>
  <c r="R322" i="1" l="1"/>
  <c r="S323" i="1"/>
  <c r="T323" i="1" s="1"/>
  <c r="R321" i="1" l="1"/>
  <c r="S322" i="1"/>
  <c r="T322" i="1" s="1"/>
  <c r="R320" i="1" l="1"/>
  <c r="S321" i="1"/>
  <c r="T321" i="1" s="1"/>
  <c r="R319" i="1" l="1"/>
  <c r="S320" i="1"/>
  <c r="T320" i="1" s="1"/>
  <c r="R318" i="1" l="1"/>
  <c r="S319" i="1"/>
  <c r="T319" i="1" s="1"/>
  <c r="R317" i="1" l="1"/>
  <c r="S318" i="1"/>
  <c r="T318" i="1" s="1"/>
  <c r="R316" i="1" l="1"/>
  <c r="S317" i="1"/>
  <c r="T317" i="1" s="1"/>
  <c r="R315" i="1" l="1"/>
  <c r="S316" i="1"/>
  <c r="T316" i="1" s="1"/>
  <c r="R314" i="1" l="1"/>
  <c r="S315" i="1"/>
  <c r="T315" i="1" s="1"/>
  <c r="R313" i="1" l="1"/>
  <c r="S314" i="1"/>
  <c r="T314" i="1" s="1"/>
  <c r="R312" i="1" l="1"/>
  <c r="S313" i="1"/>
  <c r="T313" i="1" s="1"/>
  <c r="R311" i="1" l="1"/>
  <c r="S312" i="1"/>
  <c r="T312" i="1" s="1"/>
  <c r="R310" i="1" l="1"/>
  <c r="S311" i="1"/>
  <c r="T311" i="1" s="1"/>
  <c r="R309" i="1" l="1"/>
  <c r="S310" i="1"/>
  <c r="T310" i="1" s="1"/>
  <c r="R308" i="1" l="1"/>
  <c r="S309" i="1"/>
  <c r="T309" i="1" s="1"/>
  <c r="R307" i="1" l="1"/>
  <c r="S308" i="1"/>
  <c r="T308" i="1" s="1"/>
  <c r="R306" i="1" l="1"/>
  <c r="S307" i="1"/>
  <c r="T307" i="1" s="1"/>
  <c r="R305" i="1" l="1"/>
  <c r="S306" i="1"/>
  <c r="T306" i="1" s="1"/>
  <c r="R304" i="1" l="1"/>
  <c r="S305" i="1"/>
  <c r="T305" i="1" s="1"/>
  <c r="R303" i="1" l="1"/>
  <c r="S304" i="1"/>
  <c r="T304" i="1" s="1"/>
  <c r="R302" i="1" l="1"/>
  <c r="S303" i="1"/>
  <c r="T303" i="1" s="1"/>
  <c r="R301" i="1" l="1"/>
  <c r="S302" i="1"/>
  <c r="T302" i="1" s="1"/>
  <c r="R300" i="1" l="1"/>
  <c r="S301" i="1"/>
  <c r="T301" i="1" s="1"/>
  <c r="R299" i="1" l="1"/>
  <c r="S300" i="1"/>
  <c r="T300" i="1" s="1"/>
  <c r="R298" i="1" l="1"/>
  <c r="S299" i="1"/>
  <c r="T299" i="1" s="1"/>
  <c r="R297" i="1" l="1"/>
  <c r="S298" i="1"/>
  <c r="T298" i="1" s="1"/>
  <c r="R296" i="1" l="1"/>
  <c r="S297" i="1"/>
  <c r="T297" i="1" s="1"/>
  <c r="R295" i="1" l="1"/>
  <c r="S296" i="1"/>
  <c r="T296" i="1" s="1"/>
  <c r="R294" i="1" l="1"/>
  <c r="S295" i="1"/>
  <c r="T295" i="1" s="1"/>
  <c r="R293" i="1" l="1"/>
  <c r="S294" i="1"/>
  <c r="T294" i="1" s="1"/>
  <c r="R292" i="1" l="1"/>
  <c r="S293" i="1"/>
  <c r="T293" i="1" s="1"/>
  <c r="R291" i="1" l="1"/>
  <c r="S292" i="1"/>
  <c r="T292" i="1" s="1"/>
  <c r="R290" i="1" l="1"/>
  <c r="S291" i="1"/>
  <c r="T291" i="1" s="1"/>
  <c r="R289" i="1" l="1"/>
  <c r="S290" i="1"/>
  <c r="T290" i="1" s="1"/>
  <c r="R288" i="1" l="1"/>
  <c r="S289" i="1"/>
  <c r="T289" i="1" s="1"/>
  <c r="R287" i="1" l="1"/>
  <c r="S288" i="1"/>
  <c r="T288" i="1" s="1"/>
  <c r="R286" i="1" l="1"/>
  <c r="S287" i="1"/>
  <c r="T287" i="1" s="1"/>
  <c r="R285" i="1" l="1"/>
  <c r="S286" i="1"/>
  <c r="T286" i="1" s="1"/>
  <c r="R284" i="1" l="1"/>
  <c r="S285" i="1"/>
  <c r="T285" i="1" s="1"/>
  <c r="R283" i="1" l="1"/>
  <c r="S284" i="1"/>
  <c r="T284" i="1" s="1"/>
  <c r="R282" i="1" l="1"/>
  <c r="S283" i="1"/>
  <c r="T283" i="1" s="1"/>
  <c r="R281" i="1" l="1"/>
  <c r="S282" i="1"/>
  <c r="T282" i="1" s="1"/>
  <c r="R280" i="1" l="1"/>
  <c r="S281" i="1"/>
  <c r="T281" i="1" s="1"/>
  <c r="R279" i="1" l="1"/>
  <c r="S280" i="1"/>
  <c r="T280" i="1" s="1"/>
  <c r="R278" i="1" l="1"/>
  <c r="S279" i="1"/>
  <c r="T279" i="1" s="1"/>
  <c r="R277" i="1" l="1"/>
  <c r="S278" i="1"/>
  <c r="T278" i="1" s="1"/>
  <c r="R276" i="1" l="1"/>
  <c r="S277" i="1"/>
  <c r="T277" i="1" s="1"/>
  <c r="R275" i="1" l="1"/>
  <c r="S276" i="1"/>
  <c r="T276" i="1" s="1"/>
  <c r="R274" i="1" l="1"/>
  <c r="S275" i="1"/>
  <c r="T275" i="1" s="1"/>
  <c r="R273" i="1" l="1"/>
  <c r="S274" i="1"/>
  <c r="T274" i="1" s="1"/>
  <c r="R272" i="1" l="1"/>
  <c r="S273" i="1"/>
  <c r="T273" i="1" s="1"/>
  <c r="R271" i="1" l="1"/>
  <c r="S272" i="1"/>
  <c r="T272" i="1" s="1"/>
  <c r="R270" i="1" l="1"/>
  <c r="S271" i="1"/>
  <c r="T271" i="1" s="1"/>
  <c r="R269" i="1" l="1"/>
  <c r="S270" i="1"/>
  <c r="T270" i="1" s="1"/>
  <c r="R268" i="1" l="1"/>
  <c r="S269" i="1"/>
  <c r="T269" i="1" s="1"/>
  <c r="R267" i="1" l="1"/>
  <c r="S268" i="1"/>
  <c r="T268" i="1" s="1"/>
  <c r="R266" i="1" l="1"/>
  <c r="S267" i="1"/>
  <c r="T267" i="1" s="1"/>
  <c r="R265" i="1" l="1"/>
  <c r="S266" i="1"/>
  <c r="T266" i="1" s="1"/>
  <c r="R264" i="1" l="1"/>
  <c r="S265" i="1"/>
  <c r="T265" i="1" s="1"/>
  <c r="R263" i="1" l="1"/>
  <c r="S264" i="1"/>
  <c r="T264" i="1" s="1"/>
  <c r="R262" i="1" l="1"/>
  <c r="S263" i="1"/>
  <c r="T263" i="1" s="1"/>
  <c r="R261" i="1" l="1"/>
  <c r="S262" i="1"/>
  <c r="T262" i="1" s="1"/>
  <c r="R260" i="1" l="1"/>
  <c r="S261" i="1"/>
  <c r="T261" i="1" s="1"/>
  <c r="R259" i="1" l="1"/>
  <c r="S260" i="1"/>
  <c r="T260" i="1" s="1"/>
  <c r="R258" i="1" l="1"/>
  <c r="S259" i="1"/>
  <c r="T259" i="1" s="1"/>
  <c r="R257" i="1" l="1"/>
  <c r="S258" i="1"/>
  <c r="T258" i="1" s="1"/>
  <c r="R256" i="1" l="1"/>
  <c r="S257" i="1"/>
  <c r="T257" i="1" s="1"/>
  <c r="R255" i="1" l="1"/>
  <c r="S256" i="1"/>
  <c r="T256" i="1" s="1"/>
  <c r="R254" i="1" l="1"/>
  <c r="S255" i="1"/>
  <c r="T255" i="1" s="1"/>
  <c r="R253" i="1" l="1"/>
  <c r="S254" i="1"/>
  <c r="T254" i="1" s="1"/>
  <c r="R252" i="1" l="1"/>
  <c r="S253" i="1"/>
  <c r="T253" i="1" s="1"/>
  <c r="R251" i="1" l="1"/>
  <c r="S252" i="1"/>
  <c r="T252" i="1" s="1"/>
  <c r="R250" i="1" l="1"/>
  <c r="S251" i="1"/>
  <c r="T251" i="1" s="1"/>
  <c r="R249" i="1" l="1"/>
  <c r="S250" i="1"/>
  <c r="T250" i="1" s="1"/>
  <c r="R248" i="1" l="1"/>
  <c r="S249" i="1"/>
  <c r="T249" i="1" s="1"/>
  <c r="R247" i="1" l="1"/>
  <c r="S248" i="1"/>
  <c r="T248" i="1" s="1"/>
  <c r="R246" i="1" l="1"/>
  <c r="S247" i="1"/>
  <c r="T247" i="1" s="1"/>
  <c r="R245" i="1" l="1"/>
  <c r="S246" i="1"/>
  <c r="T246" i="1" s="1"/>
  <c r="R244" i="1" l="1"/>
  <c r="S245" i="1"/>
  <c r="T245" i="1" s="1"/>
  <c r="R243" i="1" l="1"/>
  <c r="S244" i="1"/>
  <c r="T244" i="1" s="1"/>
  <c r="R242" i="1" l="1"/>
  <c r="S243" i="1"/>
  <c r="T243" i="1" s="1"/>
  <c r="R241" i="1" l="1"/>
  <c r="S242" i="1"/>
  <c r="T242" i="1" s="1"/>
  <c r="R240" i="1" l="1"/>
  <c r="S241" i="1"/>
  <c r="T241" i="1" s="1"/>
  <c r="R239" i="1" l="1"/>
  <c r="S240" i="1"/>
  <c r="T240" i="1" s="1"/>
  <c r="R238" i="1" l="1"/>
  <c r="S239" i="1"/>
  <c r="T239" i="1" s="1"/>
  <c r="R237" i="1" l="1"/>
  <c r="S238" i="1"/>
  <c r="T238" i="1" s="1"/>
  <c r="R236" i="1" l="1"/>
  <c r="S237" i="1"/>
  <c r="T237" i="1" s="1"/>
  <c r="R235" i="1" l="1"/>
  <c r="S236" i="1"/>
  <c r="T236" i="1" s="1"/>
  <c r="R234" i="1" l="1"/>
  <c r="S235" i="1"/>
  <c r="T235" i="1" s="1"/>
  <c r="R233" i="1" l="1"/>
  <c r="S234" i="1"/>
  <c r="T234" i="1" s="1"/>
  <c r="R232" i="1" l="1"/>
  <c r="S233" i="1"/>
  <c r="T233" i="1" s="1"/>
  <c r="R231" i="1" l="1"/>
  <c r="S232" i="1"/>
  <c r="T232" i="1" s="1"/>
  <c r="R230" i="1" l="1"/>
  <c r="S231" i="1"/>
  <c r="T231" i="1" s="1"/>
  <c r="R229" i="1" l="1"/>
  <c r="S230" i="1"/>
  <c r="T230" i="1" s="1"/>
  <c r="R228" i="1" l="1"/>
  <c r="S229" i="1"/>
  <c r="T229" i="1" s="1"/>
  <c r="R227" i="1" l="1"/>
  <c r="S228" i="1"/>
  <c r="T228" i="1" s="1"/>
  <c r="R226" i="1" l="1"/>
  <c r="S227" i="1"/>
  <c r="T227" i="1" s="1"/>
  <c r="R225" i="1" l="1"/>
  <c r="S226" i="1"/>
  <c r="T226" i="1" s="1"/>
  <c r="R224" i="1" l="1"/>
  <c r="S225" i="1"/>
  <c r="T225" i="1" s="1"/>
  <c r="R223" i="1" l="1"/>
  <c r="S224" i="1"/>
  <c r="T224" i="1" s="1"/>
  <c r="R222" i="1" l="1"/>
  <c r="S223" i="1"/>
  <c r="T223" i="1" s="1"/>
  <c r="R221" i="1" l="1"/>
  <c r="S222" i="1"/>
  <c r="T222" i="1" s="1"/>
  <c r="R220" i="1" l="1"/>
  <c r="S221" i="1"/>
  <c r="T221" i="1" s="1"/>
  <c r="R219" i="1" l="1"/>
  <c r="S220" i="1"/>
  <c r="T220" i="1" s="1"/>
  <c r="R218" i="1" l="1"/>
  <c r="S219" i="1"/>
  <c r="T219" i="1" s="1"/>
  <c r="R217" i="1" l="1"/>
  <c r="S218" i="1"/>
  <c r="T218" i="1" s="1"/>
  <c r="R216" i="1" l="1"/>
  <c r="S217" i="1"/>
  <c r="T217" i="1" s="1"/>
  <c r="R215" i="1" l="1"/>
  <c r="S216" i="1"/>
  <c r="T216" i="1" s="1"/>
  <c r="R214" i="1" l="1"/>
  <c r="S215" i="1"/>
  <c r="T215" i="1" s="1"/>
  <c r="R213" i="1" l="1"/>
  <c r="S214" i="1"/>
  <c r="T214" i="1" s="1"/>
  <c r="R212" i="1" l="1"/>
  <c r="S213" i="1"/>
  <c r="T213" i="1" s="1"/>
  <c r="R211" i="1" l="1"/>
  <c r="S212" i="1"/>
  <c r="T212" i="1" s="1"/>
  <c r="R210" i="1" l="1"/>
  <c r="S211" i="1"/>
  <c r="T211" i="1" s="1"/>
  <c r="R209" i="1" l="1"/>
  <c r="S210" i="1"/>
  <c r="T210" i="1" s="1"/>
  <c r="R208" i="1" l="1"/>
  <c r="S209" i="1"/>
  <c r="T209" i="1" s="1"/>
  <c r="R207" i="1" l="1"/>
  <c r="S208" i="1"/>
  <c r="T208" i="1" s="1"/>
  <c r="R206" i="1" l="1"/>
  <c r="S207" i="1"/>
  <c r="T207" i="1" s="1"/>
  <c r="R205" i="1" l="1"/>
  <c r="S206" i="1"/>
  <c r="T206" i="1" s="1"/>
  <c r="R204" i="1" l="1"/>
  <c r="S205" i="1"/>
  <c r="T205" i="1" s="1"/>
  <c r="R203" i="1" l="1"/>
  <c r="S204" i="1"/>
  <c r="T204" i="1" s="1"/>
  <c r="R202" i="1" l="1"/>
  <c r="S203" i="1"/>
  <c r="T203" i="1" s="1"/>
  <c r="R201" i="1" l="1"/>
  <c r="S202" i="1"/>
  <c r="T202" i="1" s="1"/>
  <c r="R200" i="1" l="1"/>
  <c r="S201" i="1"/>
  <c r="T201" i="1" s="1"/>
  <c r="R199" i="1" l="1"/>
  <c r="S200" i="1"/>
  <c r="T200" i="1" s="1"/>
  <c r="R198" i="1" l="1"/>
  <c r="S199" i="1"/>
  <c r="T199" i="1" s="1"/>
  <c r="R197" i="1" l="1"/>
  <c r="S198" i="1"/>
  <c r="T198" i="1" s="1"/>
  <c r="R196" i="1" l="1"/>
  <c r="S197" i="1"/>
  <c r="T197" i="1" s="1"/>
  <c r="R195" i="1" l="1"/>
  <c r="S196" i="1"/>
  <c r="T196" i="1" s="1"/>
  <c r="R194" i="1" l="1"/>
  <c r="S195" i="1"/>
  <c r="T195" i="1" s="1"/>
  <c r="R193" i="1" l="1"/>
  <c r="S194" i="1"/>
  <c r="T194" i="1" s="1"/>
  <c r="R192" i="1" l="1"/>
  <c r="S193" i="1"/>
  <c r="T193" i="1" s="1"/>
  <c r="S192" i="1" l="1"/>
  <c r="T192" i="1" s="1"/>
  <c r="R191" i="1"/>
  <c r="R190" i="1" l="1"/>
  <c r="S191" i="1"/>
  <c r="T191" i="1" s="1"/>
  <c r="R189" i="1" l="1"/>
  <c r="S190" i="1"/>
  <c r="T190" i="1" s="1"/>
  <c r="R188" i="1" l="1"/>
  <c r="S189" i="1"/>
  <c r="T189" i="1" s="1"/>
  <c r="S188" i="1" l="1"/>
  <c r="T188" i="1" s="1"/>
  <c r="R187" i="1"/>
  <c r="R186" i="1" l="1"/>
  <c r="S187" i="1"/>
  <c r="T187" i="1" s="1"/>
  <c r="R185" i="1" l="1"/>
  <c r="S186" i="1"/>
  <c r="T186" i="1" s="1"/>
  <c r="R184" i="1" l="1"/>
  <c r="S185" i="1"/>
  <c r="T185" i="1" s="1"/>
  <c r="R183" i="1" l="1"/>
  <c r="S184" i="1"/>
  <c r="T184" i="1" s="1"/>
  <c r="R182" i="1" l="1"/>
  <c r="S183" i="1"/>
  <c r="T183" i="1" s="1"/>
  <c r="R181" i="1" l="1"/>
  <c r="S182" i="1"/>
  <c r="T182" i="1" s="1"/>
  <c r="R180" i="1" l="1"/>
  <c r="S181" i="1"/>
  <c r="T181" i="1" s="1"/>
  <c r="S180" i="1" l="1"/>
  <c r="T180" i="1" s="1"/>
  <c r="R179" i="1"/>
  <c r="R178" i="1" l="1"/>
  <c r="S179" i="1"/>
  <c r="T179" i="1" s="1"/>
  <c r="R177" i="1" l="1"/>
  <c r="S178" i="1"/>
  <c r="T178" i="1" s="1"/>
  <c r="R176" i="1" l="1"/>
  <c r="S177" i="1"/>
  <c r="T177" i="1" s="1"/>
  <c r="S176" i="1" l="1"/>
  <c r="T176" i="1" s="1"/>
  <c r="R175" i="1"/>
  <c r="R174" i="1" l="1"/>
  <c r="S175" i="1"/>
  <c r="T175" i="1" s="1"/>
  <c r="R173" i="1" l="1"/>
  <c r="S174" i="1"/>
  <c r="T174" i="1" s="1"/>
  <c r="R172" i="1" l="1"/>
  <c r="S173" i="1"/>
  <c r="T173" i="1" s="1"/>
  <c r="R171" i="1" l="1"/>
  <c r="S172" i="1"/>
  <c r="T172" i="1" s="1"/>
  <c r="R170" i="1" l="1"/>
  <c r="S171" i="1"/>
  <c r="T171" i="1" s="1"/>
  <c r="R169" i="1" l="1"/>
  <c r="S170" i="1"/>
  <c r="T170" i="1" s="1"/>
  <c r="R168" i="1" l="1"/>
  <c r="S169" i="1"/>
  <c r="T169" i="1" s="1"/>
  <c r="S168" i="1" l="1"/>
  <c r="T168" i="1" s="1"/>
  <c r="R167" i="1"/>
  <c r="R166" i="1" l="1"/>
  <c r="S167" i="1"/>
  <c r="T167" i="1" s="1"/>
  <c r="R165" i="1" l="1"/>
  <c r="S166" i="1"/>
  <c r="T166" i="1" s="1"/>
  <c r="R164" i="1" l="1"/>
  <c r="S165" i="1"/>
  <c r="T165" i="1" s="1"/>
  <c r="S164" i="1" l="1"/>
  <c r="T164" i="1" s="1"/>
  <c r="R163" i="1"/>
  <c r="R162" i="1" l="1"/>
  <c r="S163" i="1"/>
  <c r="T163" i="1" s="1"/>
  <c r="R161" i="1" l="1"/>
  <c r="S162" i="1"/>
  <c r="T162" i="1" s="1"/>
  <c r="R160" i="1" l="1"/>
  <c r="S161" i="1"/>
  <c r="T161" i="1" s="1"/>
  <c r="R159" i="1" l="1"/>
  <c r="S160" i="1"/>
  <c r="T160" i="1" s="1"/>
  <c r="R158" i="1" l="1"/>
  <c r="S159" i="1"/>
  <c r="T159" i="1" s="1"/>
  <c r="R157" i="1" l="1"/>
  <c r="S158" i="1"/>
  <c r="T158" i="1" s="1"/>
  <c r="R156" i="1" l="1"/>
  <c r="S157" i="1"/>
  <c r="T157" i="1" s="1"/>
  <c r="S156" i="1" l="1"/>
  <c r="T156" i="1" s="1"/>
  <c r="R155" i="1"/>
  <c r="R154" i="1" l="1"/>
  <c r="S155" i="1"/>
  <c r="T155" i="1" s="1"/>
  <c r="R153" i="1" l="1"/>
  <c r="S154" i="1"/>
  <c r="T154" i="1" s="1"/>
  <c r="R152" i="1" l="1"/>
  <c r="S153" i="1"/>
  <c r="T153" i="1" s="1"/>
  <c r="S152" i="1" l="1"/>
  <c r="T152" i="1" s="1"/>
  <c r="R151" i="1"/>
  <c r="R150" i="1" l="1"/>
  <c r="S151" i="1"/>
  <c r="T151" i="1" s="1"/>
  <c r="R149" i="1" l="1"/>
  <c r="S150" i="1"/>
  <c r="T150" i="1" s="1"/>
  <c r="R148" i="1" l="1"/>
  <c r="S149" i="1"/>
  <c r="T149" i="1" s="1"/>
  <c r="R147" i="1" l="1"/>
  <c r="S148" i="1"/>
  <c r="T148" i="1" s="1"/>
  <c r="R146" i="1" l="1"/>
  <c r="S147" i="1"/>
  <c r="T147" i="1" s="1"/>
  <c r="R145" i="1" l="1"/>
  <c r="S146" i="1"/>
  <c r="T146" i="1" s="1"/>
  <c r="R144" i="1" l="1"/>
  <c r="S145" i="1"/>
  <c r="T145" i="1" s="1"/>
  <c r="S144" i="1" l="1"/>
  <c r="T144" i="1" s="1"/>
  <c r="R143" i="1"/>
  <c r="R142" i="1" l="1"/>
  <c r="S143" i="1"/>
  <c r="T143" i="1" s="1"/>
  <c r="R141" i="1" l="1"/>
  <c r="S142" i="1"/>
  <c r="T142" i="1" s="1"/>
  <c r="R140" i="1" l="1"/>
  <c r="S141" i="1"/>
  <c r="T141" i="1" s="1"/>
  <c r="S140" i="1" l="1"/>
  <c r="T140" i="1" s="1"/>
  <c r="R139" i="1"/>
  <c r="R138" i="1" l="1"/>
  <c r="S139" i="1"/>
  <c r="T139" i="1" s="1"/>
  <c r="R137" i="1" l="1"/>
  <c r="S138" i="1"/>
  <c r="T138" i="1" s="1"/>
  <c r="R136" i="1" l="1"/>
  <c r="S137" i="1"/>
  <c r="T137" i="1" s="1"/>
  <c r="R135" i="1" l="1"/>
  <c r="S136" i="1"/>
  <c r="T136" i="1" s="1"/>
  <c r="R134" i="1" l="1"/>
  <c r="S135" i="1"/>
  <c r="T135" i="1" s="1"/>
  <c r="R133" i="1" l="1"/>
  <c r="S134" i="1"/>
  <c r="T134" i="1" s="1"/>
  <c r="R132" i="1" l="1"/>
  <c r="S133" i="1"/>
  <c r="T133" i="1" s="1"/>
  <c r="S132" i="1" l="1"/>
  <c r="T132" i="1" s="1"/>
  <c r="R131" i="1"/>
  <c r="R130" i="1" l="1"/>
  <c r="S131" i="1"/>
  <c r="T131" i="1" s="1"/>
  <c r="R129" i="1" l="1"/>
  <c r="S130" i="1"/>
  <c r="T130" i="1" s="1"/>
  <c r="R128" i="1" l="1"/>
  <c r="S129" i="1"/>
  <c r="T129" i="1" s="1"/>
  <c r="S128" i="1" l="1"/>
  <c r="T128" i="1" s="1"/>
  <c r="R127" i="1"/>
  <c r="R126" i="1" l="1"/>
  <c r="S127" i="1"/>
  <c r="T127" i="1" s="1"/>
  <c r="R125" i="1" l="1"/>
  <c r="S126" i="1"/>
  <c r="T126" i="1" s="1"/>
  <c r="R124" i="1" l="1"/>
  <c r="S125" i="1"/>
  <c r="T125" i="1" s="1"/>
  <c r="R123" i="1" l="1"/>
  <c r="S124" i="1"/>
  <c r="T124" i="1" s="1"/>
  <c r="R122" i="1" l="1"/>
  <c r="S123" i="1"/>
  <c r="T123" i="1" s="1"/>
  <c r="R121" i="1" l="1"/>
  <c r="S122" i="1"/>
  <c r="T122" i="1" s="1"/>
  <c r="R120" i="1" l="1"/>
  <c r="S121" i="1"/>
  <c r="T121" i="1" s="1"/>
  <c r="S120" i="1" l="1"/>
  <c r="T120" i="1" s="1"/>
  <c r="R119" i="1"/>
  <c r="R118" i="1" l="1"/>
  <c r="S119" i="1"/>
  <c r="T119" i="1" s="1"/>
  <c r="R117" i="1" l="1"/>
  <c r="S118" i="1"/>
  <c r="T118" i="1" s="1"/>
  <c r="R116" i="1" l="1"/>
  <c r="S117" i="1"/>
  <c r="T117" i="1" s="1"/>
  <c r="S116" i="1" l="1"/>
  <c r="T116" i="1" s="1"/>
  <c r="R115" i="1"/>
  <c r="R114" i="1" l="1"/>
  <c r="S115" i="1"/>
  <c r="T115" i="1" s="1"/>
  <c r="R113" i="1" l="1"/>
  <c r="S114" i="1"/>
  <c r="T114" i="1" s="1"/>
  <c r="R112" i="1" l="1"/>
  <c r="S113" i="1"/>
  <c r="T113" i="1" s="1"/>
  <c r="R111" i="1" l="1"/>
  <c r="S112" i="1"/>
  <c r="T112" i="1" s="1"/>
  <c r="R110" i="1" l="1"/>
  <c r="S111" i="1"/>
  <c r="T111" i="1" s="1"/>
  <c r="R109" i="1" l="1"/>
  <c r="S110" i="1"/>
  <c r="T110" i="1" s="1"/>
  <c r="R108" i="1" l="1"/>
  <c r="S109" i="1"/>
  <c r="T109" i="1" s="1"/>
  <c r="S108" i="1" l="1"/>
  <c r="T108" i="1" s="1"/>
  <c r="R107" i="1"/>
  <c r="R106" i="1" l="1"/>
  <c r="S107" i="1"/>
  <c r="T107" i="1" s="1"/>
  <c r="R105" i="1" l="1"/>
  <c r="S106" i="1"/>
  <c r="T106" i="1" s="1"/>
  <c r="R104" i="1" l="1"/>
  <c r="S105" i="1"/>
  <c r="T105" i="1" s="1"/>
  <c r="S104" i="1" l="1"/>
  <c r="T104" i="1" s="1"/>
  <c r="R103" i="1"/>
  <c r="R102" i="1" l="1"/>
  <c r="S103" i="1"/>
  <c r="T103" i="1" s="1"/>
  <c r="R101" i="1" l="1"/>
  <c r="S102" i="1"/>
  <c r="T102" i="1" s="1"/>
  <c r="R100" i="1" l="1"/>
  <c r="S101" i="1"/>
  <c r="T101" i="1" s="1"/>
  <c r="R99" i="1" l="1"/>
  <c r="S100" i="1"/>
  <c r="T100" i="1" s="1"/>
  <c r="R98" i="1" l="1"/>
  <c r="S99" i="1"/>
  <c r="T99" i="1" s="1"/>
  <c r="R97" i="1" l="1"/>
  <c r="S98" i="1"/>
  <c r="T98" i="1" s="1"/>
  <c r="R96" i="1" l="1"/>
  <c r="S97" i="1"/>
  <c r="T97" i="1" s="1"/>
  <c r="S96" i="1" l="1"/>
  <c r="T96" i="1" s="1"/>
  <c r="R95" i="1"/>
  <c r="R94" i="1" l="1"/>
  <c r="S95" i="1"/>
  <c r="T95" i="1" s="1"/>
  <c r="R93" i="1" l="1"/>
  <c r="S94" i="1"/>
  <c r="T94" i="1" s="1"/>
  <c r="R92" i="1" l="1"/>
  <c r="S93" i="1"/>
  <c r="T93" i="1" s="1"/>
  <c r="S92" i="1" l="1"/>
  <c r="T92" i="1" s="1"/>
  <c r="R91" i="1"/>
  <c r="R90" i="1" l="1"/>
  <c r="S91" i="1"/>
  <c r="T91" i="1" s="1"/>
  <c r="R89" i="1" l="1"/>
  <c r="S90" i="1"/>
  <c r="T90" i="1" s="1"/>
  <c r="R88" i="1" l="1"/>
  <c r="S89" i="1"/>
  <c r="T89" i="1" s="1"/>
  <c r="R87" i="1" l="1"/>
  <c r="S88" i="1"/>
  <c r="T88" i="1" s="1"/>
  <c r="R86" i="1" l="1"/>
  <c r="S87" i="1"/>
  <c r="T87" i="1" s="1"/>
  <c r="R85" i="1" l="1"/>
  <c r="S86" i="1"/>
  <c r="T86" i="1" s="1"/>
  <c r="S85" i="1" l="1"/>
  <c r="T85" i="1" s="1"/>
  <c r="R84" i="1"/>
  <c r="S84" i="1" l="1"/>
  <c r="T84" i="1" s="1"/>
  <c r="R83" i="1"/>
  <c r="R82" i="1" l="1"/>
  <c r="S83" i="1"/>
  <c r="T83" i="1" s="1"/>
  <c r="R81" i="1" l="1"/>
  <c r="S82" i="1"/>
  <c r="T82" i="1" s="1"/>
  <c r="R80" i="1" l="1"/>
  <c r="S81" i="1"/>
  <c r="T81" i="1" s="1"/>
  <c r="R79" i="1" l="1"/>
  <c r="S80" i="1"/>
  <c r="T80" i="1" s="1"/>
  <c r="R78" i="1" l="1"/>
  <c r="S79" i="1"/>
  <c r="T79" i="1" s="1"/>
  <c r="R77" i="1" l="1"/>
  <c r="S78" i="1"/>
  <c r="T78" i="1" s="1"/>
  <c r="R76" i="1" l="1"/>
  <c r="S77" i="1"/>
  <c r="T77" i="1" s="1"/>
  <c r="R75" i="1" l="1"/>
  <c r="S76" i="1"/>
  <c r="T76" i="1" s="1"/>
  <c r="R74" i="1" l="1"/>
  <c r="S75" i="1"/>
  <c r="T75" i="1" s="1"/>
  <c r="R73" i="1" l="1"/>
  <c r="S74" i="1"/>
  <c r="T74" i="1" s="1"/>
  <c r="R72" i="1" l="1"/>
  <c r="S73" i="1"/>
  <c r="T73" i="1" s="1"/>
  <c r="S72" i="1" l="1"/>
  <c r="T72" i="1" s="1"/>
  <c r="R71" i="1"/>
  <c r="R70" i="1" l="1"/>
  <c r="S71" i="1"/>
  <c r="T71" i="1" s="1"/>
  <c r="R69" i="1" l="1"/>
  <c r="S70" i="1"/>
  <c r="T70" i="1" s="1"/>
  <c r="R68" i="1" l="1"/>
  <c r="S69" i="1"/>
  <c r="T69" i="1" s="1"/>
  <c r="R67" i="1" l="1"/>
  <c r="S68" i="1"/>
  <c r="T68" i="1" s="1"/>
  <c r="R66" i="1" l="1"/>
  <c r="S67" i="1"/>
  <c r="T67" i="1" s="1"/>
  <c r="R65" i="1" l="1"/>
  <c r="S66" i="1"/>
  <c r="T66" i="1" s="1"/>
  <c r="R64" i="1" l="1"/>
  <c r="S65" i="1"/>
  <c r="T65" i="1" s="1"/>
  <c r="R63" i="1" l="1"/>
  <c r="S64" i="1"/>
  <c r="T64" i="1" s="1"/>
  <c r="R62" i="1" l="1"/>
  <c r="S63" i="1"/>
  <c r="T63" i="1" s="1"/>
  <c r="R61" i="1" l="1"/>
  <c r="S62" i="1"/>
  <c r="T62" i="1" s="1"/>
  <c r="S61" i="1" l="1"/>
  <c r="T61" i="1" s="1"/>
  <c r="R60" i="1"/>
  <c r="S60" i="1" l="1"/>
  <c r="T60" i="1" s="1"/>
  <c r="R59" i="1"/>
  <c r="R58" i="1" l="1"/>
  <c r="S59" i="1"/>
  <c r="T59" i="1" s="1"/>
  <c r="R57" i="1" l="1"/>
  <c r="S58" i="1"/>
  <c r="T58" i="1" s="1"/>
  <c r="R56" i="1" l="1"/>
  <c r="S57" i="1"/>
  <c r="T57" i="1" s="1"/>
  <c r="R55" i="1" l="1"/>
  <c r="S56" i="1"/>
  <c r="T56" i="1" s="1"/>
  <c r="R54" i="1" l="1"/>
  <c r="S55" i="1"/>
  <c r="T55" i="1" s="1"/>
  <c r="R53" i="1" l="1"/>
  <c r="S54" i="1"/>
  <c r="T54" i="1" s="1"/>
  <c r="R52" i="1" l="1"/>
  <c r="S53" i="1"/>
  <c r="T53" i="1" s="1"/>
  <c r="R51" i="1" l="1"/>
  <c r="S52" i="1"/>
  <c r="T52" i="1" s="1"/>
  <c r="R50" i="1" l="1"/>
  <c r="S51" i="1"/>
  <c r="T51" i="1" s="1"/>
  <c r="R49" i="1" l="1"/>
  <c r="S50" i="1"/>
  <c r="T50" i="1" s="1"/>
  <c r="R48" i="1" l="1"/>
  <c r="S49" i="1"/>
  <c r="T49" i="1" s="1"/>
  <c r="S48" i="1" l="1"/>
  <c r="T48" i="1" s="1"/>
  <c r="R47" i="1"/>
  <c r="R46" i="1" l="1"/>
  <c r="S47" i="1"/>
  <c r="T47" i="1" s="1"/>
  <c r="R45" i="1" l="1"/>
  <c r="S46" i="1"/>
  <c r="T46" i="1" s="1"/>
  <c r="R44" i="1" l="1"/>
  <c r="S45" i="1"/>
  <c r="T45" i="1" s="1"/>
  <c r="R43" i="1" l="1"/>
  <c r="S44" i="1"/>
  <c r="T44" i="1" s="1"/>
  <c r="R42" i="1" l="1"/>
  <c r="S43" i="1"/>
  <c r="T43" i="1" s="1"/>
  <c r="S42" i="1" l="1"/>
  <c r="T42" i="1" s="1"/>
  <c r="R41" i="1"/>
  <c r="R40" i="1" l="1"/>
  <c r="S41" i="1"/>
  <c r="T41" i="1" s="1"/>
  <c r="R39" i="1" l="1"/>
  <c r="S40" i="1"/>
  <c r="T40" i="1" s="1"/>
  <c r="R38" i="1" l="1"/>
  <c r="S39" i="1"/>
  <c r="T39" i="1" s="1"/>
  <c r="S38" i="1" l="1"/>
  <c r="T38" i="1" s="1"/>
  <c r="R37" i="1"/>
  <c r="S37" i="1" l="1"/>
  <c r="T37" i="1" s="1"/>
  <c r="R36" i="1"/>
  <c r="S36" i="1" l="1"/>
  <c r="T36" i="1" s="1"/>
  <c r="R35" i="1"/>
  <c r="S35" i="1" l="1"/>
  <c r="T35" i="1" s="1"/>
  <c r="R34" i="1"/>
  <c r="S34" i="1" l="1"/>
  <c r="T34" i="1" s="1"/>
  <c r="R33" i="1"/>
  <c r="R32" i="1" l="1"/>
  <c r="S33" i="1"/>
  <c r="T33" i="1" s="1"/>
  <c r="R31" i="1" l="1"/>
  <c r="S32" i="1"/>
  <c r="T32" i="1" s="1"/>
  <c r="R30" i="1" l="1"/>
  <c r="S31" i="1"/>
  <c r="T31" i="1" s="1"/>
  <c r="R29" i="1" l="1"/>
  <c r="S30" i="1"/>
  <c r="T30" i="1" s="1"/>
  <c r="R28" i="1" l="1"/>
  <c r="S29" i="1"/>
  <c r="T29" i="1" s="1"/>
  <c r="S28" i="1" l="1"/>
  <c r="T28" i="1" s="1"/>
  <c r="R27" i="1"/>
  <c r="S27" i="1" l="1"/>
  <c r="T27" i="1" s="1"/>
  <c r="R26" i="1"/>
  <c r="S26" i="1" l="1"/>
  <c r="T26" i="1" s="1"/>
  <c r="R25" i="1"/>
  <c r="R24" i="1" l="1"/>
  <c r="S25" i="1"/>
  <c r="T25" i="1" s="1"/>
  <c r="R23" i="1" l="1"/>
  <c r="S24" i="1"/>
  <c r="T24" i="1" s="1"/>
  <c r="R22" i="1" l="1"/>
  <c r="S23" i="1"/>
  <c r="T23" i="1" s="1"/>
  <c r="S22" i="1" l="1"/>
  <c r="T22" i="1" s="1"/>
  <c r="R21" i="1"/>
  <c r="S21" i="1" l="1"/>
  <c r="T21" i="1" s="1"/>
  <c r="R20" i="1"/>
  <c r="S20" i="1" l="1"/>
  <c r="T20" i="1" s="1"/>
  <c r="R19" i="1"/>
  <c r="S19" i="1" l="1"/>
  <c r="T19" i="1" s="1"/>
  <c r="R18" i="1"/>
  <c r="S18" i="1" l="1"/>
  <c r="T18" i="1" s="1"/>
  <c r="R17" i="1"/>
  <c r="S17" i="1" l="1"/>
  <c r="T17" i="1" s="1"/>
  <c r="R16" i="1"/>
  <c r="S16" i="1" l="1"/>
  <c r="T16" i="1" s="1"/>
  <c r="R15" i="1"/>
  <c r="S15" i="1" l="1"/>
  <c r="T15" i="1" s="1"/>
  <c r="R14" i="1"/>
  <c r="S14" i="1" l="1"/>
  <c r="T14" i="1" s="1"/>
  <c r="R13" i="1"/>
  <c r="S13" i="1" l="1"/>
  <c r="T13" i="1" s="1"/>
  <c r="R12" i="1"/>
  <c r="S12" i="1" l="1"/>
  <c r="T12" i="1" s="1"/>
  <c r="R11" i="1"/>
  <c r="S11" i="1" l="1"/>
  <c r="T11" i="1" s="1"/>
  <c r="R10" i="1"/>
  <c r="S10" i="1" l="1"/>
  <c r="T10" i="1" s="1"/>
  <c r="R9" i="1"/>
  <c r="S9" i="1" l="1"/>
  <c r="T9" i="1" s="1"/>
  <c r="R8" i="1"/>
  <c r="S8" i="1" l="1"/>
  <c r="T8" i="1" s="1"/>
  <c r="R7" i="1"/>
  <c r="S7" i="1" l="1"/>
  <c r="T7" i="1" s="1"/>
  <c r="R6" i="1"/>
  <c r="S6" i="1" s="1"/>
  <c r="T6" i="1" s="1"/>
</calcChain>
</file>

<file path=xl/sharedStrings.xml><?xml version="1.0" encoding="utf-8"?>
<sst xmlns="http://schemas.openxmlformats.org/spreadsheetml/2006/main" count="7949" uniqueCount="34">
  <si>
    <t>Date</t>
  </si>
  <si>
    <t>Open</t>
  </si>
  <si>
    <t>High</t>
  </si>
  <si>
    <t>Low</t>
  </si>
  <si>
    <t>Close</t>
  </si>
  <si>
    <t>Volume</t>
  </si>
  <si>
    <t>Adj Close</t>
  </si>
  <si>
    <t>O</t>
  </si>
  <si>
    <t>X</t>
  </si>
  <si>
    <t>Row</t>
  </si>
  <si>
    <t>Price</t>
  </si>
  <si>
    <t>H</t>
  </si>
  <si>
    <t>L</t>
  </si>
  <si>
    <t>U/D</t>
  </si>
  <si>
    <t>MOVE</t>
  </si>
  <si>
    <t>MARK</t>
  </si>
  <si>
    <t>STOCK</t>
  </si>
  <si>
    <t>DATE</t>
  </si>
  <si>
    <t>CHART</t>
  </si>
  <si>
    <t>O MIN</t>
  </si>
  <si>
    <t>MEAS L</t>
  </si>
  <si>
    <t>MEAS H</t>
  </si>
  <si>
    <t>TARGET</t>
  </si>
  <si>
    <t>STOP</t>
  </si>
  <si>
    <t>PRICE 1</t>
  </si>
  <si>
    <t>PRICE 2</t>
  </si>
  <si>
    <t>% LOSS</t>
  </si>
  <si>
    <t>WEEKS</t>
  </si>
  <si>
    <t>BUY</t>
  </si>
  <si>
    <t>SELL</t>
  </si>
  <si>
    <t>1/2/5/10</t>
  </si>
  <si>
    <t>SOLD</t>
  </si>
  <si>
    <t>%</t>
  </si>
  <si>
    <t>PROFIT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</si>
</sst>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"/>
    <numFmt numFmtId="166" formatCode="0.00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rgb="FF666666"/>
      <name val="Courier New"/>
      <family val="3"/>
    </font>
  </fonts>
  <fills count="11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8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9" fontId="0" fillId="0" borderId="0" xfId="0" applyNumberFormat="1"/>
    <xf numFmtId="164" fontId="0" fillId="2" borderId="0" xfId="0" applyNumberFormat="1" applyFill="1" applyAlignment="1">
      <alignment horizontal="center"/>
    </xf>
    <xf numFmtId="14" fontId="0" fillId="0" borderId="0" xfId="0" applyNumberFormat="1"/>
    <xf numFmtId="0" fontId="0" fillId="2" borderId="0" xfId="0" applyFill="1"/>
    <xf numFmtId="164" fontId="0" fillId="0" borderId="0" xfId="0" applyNumberFormat="1" applyAlignment="1">
      <alignment horizontal="center"/>
    </xf>
    <xf numFmtId="14" fontId="0" fillId="0" borderId="0" xfId="0" applyNumberFormat="1" applyFill="1"/>
    <xf numFmtId="14" fontId="0" fillId="3" borderId="0" xfId="0" applyNumberFormat="1" applyFill="1"/>
    <xf numFmtId="0" fontId="0" fillId="0" borderId="0" xfId="0" applyAlignment="1" applyProtection="1">
      <alignment horizontal="center"/>
    </xf>
    <xf numFmtId="0" fontId="2" fillId="0" borderId="0" xfId="0" applyFont="1" applyAlignment="1">
      <alignment horizontal="center"/>
    </xf>
    <xf numFmtId="0" fontId="0" fillId="4" borderId="0" xfId="0" applyFill="1" applyAlignment="1" applyProtection="1">
      <alignment horizontal="center"/>
    </xf>
    <xf numFmtId="0" fontId="0" fillId="0" borderId="0" xfId="0" applyFill="1" applyAlignment="1" applyProtection="1">
      <alignment horizontal="center"/>
    </xf>
    <xf numFmtId="0" fontId="0" fillId="0" borderId="0" xfId="0" applyAlignment="1" applyProtection="1"/>
    <xf numFmtId="16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164" fontId="0" fillId="0" borderId="0" xfId="0" applyNumberFormat="1"/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9" fontId="0" fillId="0" borderId="0" xfId="0" applyNumberFormat="1" applyAlignment="1">
      <alignment horizontal="center"/>
    </xf>
    <xf numFmtId="0" fontId="0" fillId="5" borderId="0" xfId="0" applyFill="1" applyAlignment="1">
      <alignment horizontal="center"/>
    </xf>
    <xf numFmtId="0" fontId="0" fillId="0" borderId="0" xfId="0" applyAlignment="1"/>
    <xf numFmtId="165" fontId="0" fillId="5" borderId="0" xfId="0" applyNumberFormat="1" applyFill="1" applyAlignment="1">
      <alignment horizontal="center"/>
    </xf>
    <xf numFmtId="14" fontId="0" fillId="0" borderId="0" xfId="0" applyNumberFormat="1" applyAlignment="1">
      <alignment horizontal="center"/>
    </xf>
    <xf numFmtId="164" fontId="0" fillId="5" borderId="0" xfId="0" applyNumberFormat="1" applyFill="1" applyAlignment="1">
      <alignment horizontal="center"/>
    </xf>
    <xf numFmtId="9" fontId="0" fillId="5" borderId="0" xfId="1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4" borderId="0" xfId="0" applyFill="1"/>
    <xf numFmtId="166" fontId="0" fillId="0" borderId="0" xfId="0" applyNumberFormat="1" applyAlignment="1">
      <alignment horizontal="center"/>
    </xf>
    <xf numFmtId="0" fontId="0" fillId="6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0" fillId="8" borderId="0" xfId="0" applyFill="1" applyAlignment="1">
      <alignment horizontal="center"/>
    </xf>
    <xf numFmtId="0" fontId="0" fillId="9" borderId="0" xfId="0" applyFill="1" applyAlignment="1">
      <alignment horizontal="center"/>
    </xf>
    <xf numFmtId="2" fontId="0" fillId="0" borderId="0" xfId="0" applyNumberFormat="1" applyAlignment="1">
      <alignment horizontal="center"/>
    </xf>
    <xf numFmtId="164" fontId="0" fillId="10" borderId="0" xfId="0" applyNumberFormat="1" applyFill="1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Percent" xfId="1" builtinId="5"/>
  </cellStyles>
  <dxfs count="27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  <c:pt idx="430">
                  <c:v>44158</c:v>
                </c:pt>
                <c:pt idx="431">
                  <c:v>44157</c:v>
                </c:pt>
                <c:pt idx="432">
                  <c:v>44156</c:v>
                </c:pt>
                <c:pt idx="433">
                  <c:v>44155</c:v>
                </c:pt>
                <c:pt idx="434">
                  <c:v>44154</c:v>
                </c:pt>
                <c:pt idx="435">
                  <c:v>44153</c:v>
                </c:pt>
                <c:pt idx="436">
                  <c:v>44152</c:v>
                </c:pt>
                <c:pt idx="437">
                  <c:v>44151</c:v>
                </c:pt>
                <c:pt idx="438">
                  <c:v>44150</c:v>
                </c:pt>
                <c:pt idx="439">
                  <c:v>44149</c:v>
                </c:pt>
                <c:pt idx="440">
                  <c:v>44148</c:v>
                </c:pt>
                <c:pt idx="441">
                  <c:v>44147</c:v>
                </c:pt>
                <c:pt idx="442">
                  <c:v>44146</c:v>
                </c:pt>
                <c:pt idx="443">
                  <c:v>44145</c:v>
                </c:pt>
                <c:pt idx="444">
                  <c:v>44144</c:v>
                </c:pt>
                <c:pt idx="445">
                  <c:v>44143</c:v>
                </c:pt>
                <c:pt idx="446">
                  <c:v>44142</c:v>
                </c:pt>
                <c:pt idx="447">
                  <c:v>44141</c:v>
                </c:pt>
                <c:pt idx="448">
                  <c:v>44140</c:v>
                </c:pt>
                <c:pt idx="449">
                  <c:v>44139</c:v>
                </c:pt>
                <c:pt idx="450">
                  <c:v>44138</c:v>
                </c:pt>
                <c:pt idx="451">
                  <c:v>44137</c:v>
                </c:pt>
                <c:pt idx="452">
                  <c:v>44136</c:v>
                </c:pt>
                <c:pt idx="453">
                  <c:v>44135</c:v>
                </c:pt>
                <c:pt idx="454">
                  <c:v>44134</c:v>
                </c:pt>
                <c:pt idx="455">
                  <c:v>44133</c:v>
                </c:pt>
                <c:pt idx="456">
                  <c:v>44132</c:v>
                </c:pt>
                <c:pt idx="457">
                  <c:v>44131</c:v>
                </c:pt>
                <c:pt idx="458">
                  <c:v>44130</c:v>
                </c:pt>
                <c:pt idx="459">
                  <c:v>44129</c:v>
                </c:pt>
                <c:pt idx="460">
                  <c:v>44128</c:v>
                </c:pt>
                <c:pt idx="461">
                  <c:v>44127</c:v>
                </c:pt>
                <c:pt idx="462">
                  <c:v>44126</c:v>
                </c:pt>
                <c:pt idx="463">
                  <c:v>44125</c:v>
                </c:pt>
                <c:pt idx="464">
                  <c:v>44124</c:v>
                </c:pt>
                <c:pt idx="465">
                  <c:v>44123</c:v>
                </c:pt>
                <c:pt idx="466">
                  <c:v>44122</c:v>
                </c:pt>
                <c:pt idx="467">
                  <c:v>44121</c:v>
                </c:pt>
                <c:pt idx="468">
                  <c:v>44120</c:v>
                </c:pt>
                <c:pt idx="469">
                  <c:v>44119</c:v>
                </c:pt>
                <c:pt idx="470">
                  <c:v>44118</c:v>
                </c:pt>
                <c:pt idx="471">
                  <c:v>44117</c:v>
                </c:pt>
                <c:pt idx="472">
                  <c:v>44116</c:v>
                </c:pt>
                <c:pt idx="473">
                  <c:v>44115</c:v>
                </c:pt>
                <c:pt idx="474">
                  <c:v>44114</c:v>
                </c:pt>
                <c:pt idx="475">
                  <c:v>44113</c:v>
                </c:pt>
                <c:pt idx="476">
                  <c:v>44112</c:v>
                </c:pt>
                <c:pt idx="477">
                  <c:v>44111</c:v>
                </c:pt>
                <c:pt idx="478">
                  <c:v>44110</c:v>
                </c:pt>
                <c:pt idx="479">
                  <c:v>44109</c:v>
                </c:pt>
                <c:pt idx="480">
                  <c:v>44108</c:v>
                </c:pt>
                <c:pt idx="481">
                  <c:v>44107</c:v>
                </c:pt>
                <c:pt idx="482">
                  <c:v>44106</c:v>
                </c:pt>
                <c:pt idx="483">
                  <c:v>44105</c:v>
                </c:pt>
                <c:pt idx="484">
                  <c:v>44104</c:v>
                </c:pt>
                <c:pt idx="485">
                  <c:v>44103</c:v>
                </c:pt>
                <c:pt idx="486">
                  <c:v>44102</c:v>
                </c:pt>
                <c:pt idx="487">
                  <c:v>44101</c:v>
                </c:pt>
                <c:pt idx="488">
                  <c:v>44100</c:v>
                </c:pt>
                <c:pt idx="489">
                  <c:v>44099</c:v>
                </c:pt>
                <c:pt idx="490">
                  <c:v>44098</c:v>
                </c:pt>
                <c:pt idx="491">
                  <c:v>44097</c:v>
                </c:pt>
                <c:pt idx="492">
                  <c:v>44096</c:v>
                </c:pt>
                <c:pt idx="493">
                  <c:v>44095</c:v>
                </c:pt>
                <c:pt idx="494">
                  <c:v>44094</c:v>
                </c:pt>
                <c:pt idx="495">
                  <c:v>44093</c:v>
                </c:pt>
                <c:pt idx="496">
                  <c:v>44092</c:v>
                </c:pt>
                <c:pt idx="497">
                  <c:v>44091</c:v>
                </c:pt>
                <c:pt idx="498">
                  <c:v>44090</c:v>
                </c:pt>
                <c:pt idx="499">
                  <c:v>44089</c:v>
                </c:pt>
                <c:pt idx="500">
                  <c:v>44088</c:v>
                </c:pt>
                <c:pt idx="501">
                  <c:v>44087</c:v>
                </c:pt>
                <c:pt idx="502">
                  <c:v>44086</c:v>
                </c:pt>
                <c:pt idx="503">
                  <c:v>44085</c:v>
                </c:pt>
                <c:pt idx="504">
                  <c:v>44084</c:v>
                </c:pt>
                <c:pt idx="505">
                  <c:v>44083</c:v>
                </c:pt>
                <c:pt idx="506">
                  <c:v>44082</c:v>
                </c:pt>
                <c:pt idx="507">
                  <c:v>44081</c:v>
                </c:pt>
                <c:pt idx="508">
                  <c:v>44080</c:v>
                </c:pt>
                <c:pt idx="509">
                  <c:v>44079</c:v>
                </c:pt>
                <c:pt idx="510">
                  <c:v>44078</c:v>
                </c:pt>
                <c:pt idx="511">
                  <c:v>44077</c:v>
                </c:pt>
                <c:pt idx="512">
                  <c:v>44076</c:v>
                </c:pt>
                <c:pt idx="513">
                  <c:v>44075</c:v>
                </c:pt>
                <c:pt idx="514">
                  <c:v>44074</c:v>
                </c:pt>
                <c:pt idx="515">
                  <c:v>44073</c:v>
                </c:pt>
                <c:pt idx="516">
                  <c:v>44072</c:v>
                </c:pt>
                <c:pt idx="517">
                  <c:v>44071</c:v>
                </c:pt>
                <c:pt idx="518">
                  <c:v>44070</c:v>
                </c:pt>
                <c:pt idx="519">
                  <c:v>44069</c:v>
                </c:pt>
                <c:pt idx="520">
                  <c:v>44068</c:v>
                </c:pt>
                <c:pt idx="521">
                  <c:v>44067</c:v>
                </c:pt>
                <c:pt idx="522">
                  <c:v>44066</c:v>
                </c:pt>
                <c:pt idx="523">
                  <c:v>44065</c:v>
                </c:pt>
                <c:pt idx="524">
                  <c:v>44064</c:v>
                </c:pt>
                <c:pt idx="525">
                  <c:v>44063</c:v>
                </c:pt>
                <c:pt idx="526">
                  <c:v>44062</c:v>
                </c:pt>
                <c:pt idx="527">
                  <c:v>44061</c:v>
                </c:pt>
                <c:pt idx="528">
                  <c:v>44060</c:v>
                </c:pt>
                <c:pt idx="529">
                  <c:v>44059</c:v>
                </c:pt>
                <c:pt idx="530">
                  <c:v>44058</c:v>
                </c:pt>
                <c:pt idx="531">
                  <c:v>44057</c:v>
                </c:pt>
                <c:pt idx="532">
                  <c:v>44056</c:v>
                </c:pt>
                <c:pt idx="533">
                  <c:v>44055</c:v>
                </c:pt>
                <c:pt idx="534">
                  <c:v>44054</c:v>
                </c:pt>
                <c:pt idx="535">
                  <c:v>44053</c:v>
                </c:pt>
                <c:pt idx="536">
                  <c:v>44052</c:v>
                </c:pt>
                <c:pt idx="537">
                  <c:v>44051</c:v>
                </c:pt>
                <c:pt idx="538">
                  <c:v>44050</c:v>
                </c:pt>
                <c:pt idx="539">
                  <c:v>44049</c:v>
                </c:pt>
                <c:pt idx="540">
                  <c:v>44048</c:v>
                </c:pt>
                <c:pt idx="541">
                  <c:v>44047</c:v>
                </c:pt>
                <c:pt idx="542">
                  <c:v>44046</c:v>
                </c:pt>
                <c:pt idx="543">
                  <c:v>44045</c:v>
                </c:pt>
                <c:pt idx="544">
                  <c:v>44044</c:v>
                </c:pt>
                <c:pt idx="545">
                  <c:v>44043</c:v>
                </c:pt>
                <c:pt idx="546">
                  <c:v>44042</c:v>
                </c:pt>
                <c:pt idx="547">
                  <c:v>44041</c:v>
                </c:pt>
                <c:pt idx="548">
                  <c:v>44040</c:v>
                </c:pt>
                <c:pt idx="549">
                  <c:v>44039</c:v>
                </c:pt>
                <c:pt idx="550">
                  <c:v>44038</c:v>
                </c:pt>
                <c:pt idx="551">
                  <c:v>44037</c:v>
                </c:pt>
                <c:pt idx="552">
                  <c:v>44036</c:v>
                </c:pt>
                <c:pt idx="553">
                  <c:v>44035</c:v>
                </c:pt>
                <c:pt idx="554">
                  <c:v>44034</c:v>
                </c:pt>
                <c:pt idx="555">
                  <c:v>44033</c:v>
                </c:pt>
                <c:pt idx="556">
                  <c:v>44032</c:v>
                </c:pt>
                <c:pt idx="557">
                  <c:v>44031</c:v>
                </c:pt>
                <c:pt idx="558">
                  <c:v>44030</c:v>
                </c:pt>
                <c:pt idx="559">
                  <c:v>44029</c:v>
                </c:pt>
                <c:pt idx="560">
                  <c:v>44028</c:v>
                </c:pt>
                <c:pt idx="561">
                  <c:v>44027</c:v>
                </c:pt>
                <c:pt idx="562">
                  <c:v>44026</c:v>
                </c:pt>
                <c:pt idx="563">
                  <c:v>44025</c:v>
                </c:pt>
                <c:pt idx="564">
                  <c:v>44024</c:v>
                </c:pt>
                <c:pt idx="565">
                  <c:v>44023</c:v>
                </c:pt>
                <c:pt idx="566">
                  <c:v>44022</c:v>
                </c:pt>
                <c:pt idx="567">
                  <c:v>44021</c:v>
                </c:pt>
                <c:pt idx="568">
                  <c:v>44020</c:v>
                </c:pt>
                <c:pt idx="569">
                  <c:v>44019</c:v>
                </c:pt>
                <c:pt idx="570">
                  <c:v>44018</c:v>
                </c:pt>
                <c:pt idx="571">
                  <c:v>44017</c:v>
                </c:pt>
                <c:pt idx="572">
                  <c:v>44016</c:v>
                </c:pt>
                <c:pt idx="573">
                  <c:v>44015</c:v>
                </c:pt>
                <c:pt idx="574">
                  <c:v>44014</c:v>
                </c:pt>
                <c:pt idx="575">
                  <c:v>44013</c:v>
                </c:pt>
                <c:pt idx="576">
                  <c:v>44012</c:v>
                </c:pt>
                <c:pt idx="577">
                  <c:v>44011</c:v>
                </c:pt>
                <c:pt idx="578">
                  <c:v>44010</c:v>
                </c:pt>
                <c:pt idx="579">
                  <c:v>44009</c:v>
                </c:pt>
                <c:pt idx="580">
                  <c:v>44008</c:v>
                </c:pt>
                <c:pt idx="581">
                  <c:v>44007</c:v>
                </c:pt>
                <c:pt idx="582">
                  <c:v>44006</c:v>
                </c:pt>
                <c:pt idx="583">
                  <c:v>44005</c:v>
                </c:pt>
                <c:pt idx="584">
                  <c:v>44004</c:v>
                </c:pt>
                <c:pt idx="585">
                  <c:v>44003</c:v>
                </c:pt>
                <c:pt idx="586">
                  <c:v>44002</c:v>
                </c:pt>
                <c:pt idx="587">
                  <c:v>44001</c:v>
                </c:pt>
                <c:pt idx="588">
                  <c:v>44000</c:v>
                </c:pt>
                <c:pt idx="589">
                  <c:v>43999</c:v>
                </c:pt>
                <c:pt idx="590">
                  <c:v>43998</c:v>
                </c:pt>
                <c:pt idx="591">
                  <c:v>43997</c:v>
                </c:pt>
                <c:pt idx="592">
                  <c:v>43996</c:v>
                </c:pt>
                <c:pt idx="593">
                  <c:v>43995</c:v>
                </c:pt>
                <c:pt idx="594">
                  <c:v>43994</c:v>
                </c:pt>
                <c:pt idx="595">
                  <c:v>43993</c:v>
                </c:pt>
                <c:pt idx="596">
                  <c:v>43992</c:v>
                </c:pt>
                <c:pt idx="597">
                  <c:v>43991</c:v>
                </c:pt>
                <c:pt idx="598">
                  <c:v>43990</c:v>
                </c:pt>
                <c:pt idx="599">
                  <c:v>43989</c:v>
                </c:pt>
                <c:pt idx="600">
                  <c:v>43988</c:v>
                </c:pt>
                <c:pt idx="601">
                  <c:v>43987</c:v>
                </c:pt>
                <c:pt idx="602">
                  <c:v>43986</c:v>
                </c:pt>
                <c:pt idx="603">
                  <c:v>43985</c:v>
                </c:pt>
                <c:pt idx="604">
                  <c:v>43984</c:v>
                </c:pt>
                <c:pt idx="605">
                  <c:v>43983</c:v>
                </c:pt>
                <c:pt idx="606">
                  <c:v>43982</c:v>
                </c:pt>
                <c:pt idx="607">
                  <c:v>43981</c:v>
                </c:pt>
                <c:pt idx="608">
                  <c:v>43980</c:v>
                </c:pt>
                <c:pt idx="609">
                  <c:v>43979</c:v>
                </c:pt>
                <c:pt idx="610">
                  <c:v>43978</c:v>
                </c:pt>
                <c:pt idx="611">
                  <c:v>43977</c:v>
                </c:pt>
                <c:pt idx="612">
                  <c:v>43976</c:v>
                </c:pt>
                <c:pt idx="613">
                  <c:v>43975</c:v>
                </c:pt>
                <c:pt idx="614">
                  <c:v>43974</c:v>
                </c:pt>
                <c:pt idx="615">
                  <c:v>43973</c:v>
                </c:pt>
                <c:pt idx="616">
                  <c:v>43972</c:v>
                </c:pt>
                <c:pt idx="617">
                  <c:v>43971</c:v>
                </c:pt>
                <c:pt idx="618">
                  <c:v>43970</c:v>
                </c:pt>
                <c:pt idx="619">
                  <c:v>43969</c:v>
                </c:pt>
                <c:pt idx="620">
                  <c:v>43968</c:v>
                </c:pt>
                <c:pt idx="621">
                  <c:v>43967</c:v>
                </c:pt>
                <c:pt idx="622">
                  <c:v>43966</c:v>
                </c:pt>
                <c:pt idx="623">
                  <c:v>43965</c:v>
                </c:pt>
                <c:pt idx="624">
                  <c:v>43964</c:v>
                </c:pt>
                <c:pt idx="625">
                  <c:v>43963</c:v>
                </c:pt>
                <c:pt idx="626">
                  <c:v>43962</c:v>
                </c:pt>
                <c:pt idx="627">
                  <c:v>43961</c:v>
                </c:pt>
                <c:pt idx="628">
                  <c:v>43960</c:v>
                </c:pt>
                <c:pt idx="629">
                  <c:v>43959</c:v>
                </c:pt>
                <c:pt idx="630">
                  <c:v>43958</c:v>
                </c:pt>
                <c:pt idx="631">
                  <c:v>43957</c:v>
                </c:pt>
                <c:pt idx="632">
                  <c:v>43956</c:v>
                </c:pt>
                <c:pt idx="633">
                  <c:v>43955</c:v>
                </c:pt>
                <c:pt idx="634">
                  <c:v>43954</c:v>
                </c:pt>
                <c:pt idx="635">
                  <c:v>43953</c:v>
                </c:pt>
                <c:pt idx="636">
                  <c:v>43952</c:v>
                </c:pt>
                <c:pt idx="637">
                  <c:v>43951</c:v>
                </c:pt>
                <c:pt idx="638">
                  <c:v>43950</c:v>
                </c:pt>
                <c:pt idx="639">
                  <c:v>43949</c:v>
                </c:pt>
                <c:pt idx="640">
                  <c:v>43948</c:v>
                </c:pt>
                <c:pt idx="641">
                  <c:v>43947</c:v>
                </c:pt>
                <c:pt idx="642">
                  <c:v>43946</c:v>
                </c:pt>
                <c:pt idx="643">
                  <c:v>43945</c:v>
                </c:pt>
                <c:pt idx="644">
                  <c:v>43944</c:v>
                </c:pt>
                <c:pt idx="645">
                  <c:v>43943</c:v>
                </c:pt>
                <c:pt idx="646">
                  <c:v>43942</c:v>
                </c:pt>
                <c:pt idx="647">
                  <c:v>43941</c:v>
                </c:pt>
                <c:pt idx="648">
                  <c:v>43940</c:v>
                </c:pt>
                <c:pt idx="649">
                  <c:v>43939</c:v>
                </c:pt>
                <c:pt idx="650">
                  <c:v>43938</c:v>
                </c:pt>
                <c:pt idx="651">
                  <c:v>43937</c:v>
                </c:pt>
                <c:pt idx="652">
                  <c:v>43936</c:v>
                </c:pt>
                <c:pt idx="653">
                  <c:v>43935</c:v>
                </c:pt>
                <c:pt idx="654">
                  <c:v>43934</c:v>
                </c:pt>
                <c:pt idx="655">
                  <c:v>43933</c:v>
                </c:pt>
                <c:pt idx="656">
                  <c:v>43932</c:v>
                </c:pt>
                <c:pt idx="657">
                  <c:v>43931</c:v>
                </c:pt>
                <c:pt idx="658">
                  <c:v>43930</c:v>
                </c:pt>
                <c:pt idx="659">
                  <c:v>43929</c:v>
                </c:pt>
                <c:pt idx="660">
                  <c:v>43928</c:v>
                </c:pt>
                <c:pt idx="661">
                  <c:v>43927</c:v>
                </c:pt>
                <c:pt idx="662">
                  <c:v>43926</c:v>
                </c:pt>
                <c:pt idx="663">
                  <c:v>43925</c:v>
                </c:pt>
                <c:pt idx="664">
                  <c:v>43924</c:v>
                </c:pt>
                <c:pt idx="665">
                  <c:v>43923</c:v>
                </c:pt>
                <c:pt idx="666">
                  <c:v>43922</c:v>
                </c:pt>
                <c:pt idx="667">
                  <c:v>43921</c:v>
                </c:pt>
                <c:pt idx="668">
                  <c:v>43920</c:v>
                </c:pt>
                <c:pt idx="669">
                  <c:v>43919</c:v>
                </c:pt>
                <c:pt idx="670">
                  <c:v>43918</c:v>
                </c:pt>
                <c:pt idx="671">
                  <c:v>43917</c:v>
                </c:pt>
                <c:pt idx="672">
                  <c:v>43916</c:v>
                </c:pt>
                <c:pt idx="673">
                  <c:v>43915</c:v>
                </c:pt>
                <c:pt idx="674">
                  <c:v>43914</c:v>
                </c:pt>
                <c:pt idx="675">
                  <c:v>43913</c:v>
                </c:pt>
                <c:pt idx="676">
                  <c:v>43912</c:v>
                </c:pt>
                <c:pt idx="677">
                  <c:v>43911</c:v>
                </c:pt>
                <c:pt idx="678">
                  <c:v>43910</c:v>
                </c:pt>
                <c:pt idx="679">
                  <c:v>43909</c:v>
                </c:pt>
                <c:pt idx="680">
                  <c:v>43908</c:v>
                </c:pt>
                <c:pt idx="681">
                  <c:v>43907</c:v>
                </c:pt>
                <c:pt idx="682">
                  <c:v>43906</c:v>
                </c:pt>
                <c:pt idx="683">
                  <c:v>43905</c:v>
                </c:pt>
                <c:pt idx="684">
                  <c:v>43904</c:v>
                </c:pt>
                <c:pt idx="685">
                  <c:v>43903</c:v>
                </c:pt>
                <c:pt idx="686">
                  <c:v>43902</c:v>
                </c:pt>
                <c:pt idx="687">
                  <c:v>43901</c:v>
                </c:pt>
                <c:pt idx="688">
                  <c:v>43900</c:v>
                </c:pt>
                <c:pt idx="689">
                  <c:v>43899</c:v>
                </c:pt>
                <c:pt idx="690">
                  <c:v>43898</c:v>
                </c:pt>
                <c:pt idx="691">
                  <c:v>43897</c:v>
                </c:pt>
                <c:pt idx="692">
                  <c:v>43896</c:v>
                </c:pt>
                <c:pt idx="693">
                  <c:v>43895</c:v>
                </c:pt>
                <c:pt idx="694">
                  <c:v>43894</c:v>
                </c:pt>
                <c:pt idx="695">
                  <c:v>43893</c:v>
                </c:pt>
                <c:pt idx="696">
                  <c:v>43892</c:v>
                </c:pt>
                <c:pt idx="697">
                  <c:v>43891</c:v>
                </c:pt>
                <c:pt idx="698">
                  <c:v>43890</c:v>
                </c:pt>
                <c:pt idx="699">
                  <c:v>43889</c:v>
                </c:pt>
                <c:pt idx="700">
                  <c:v>43888</c:v>
                </c:pt>
                <c:pt idx="701">
                  <c:v>43887</c:v>
                </c:pt>
                <c:pt idx="702">
                  <c:v>43886</c:v>
                </c:pt>
                <c:pt idx="703">
                  <c:v>43885</c:v>
                </c:pt>
                <c:pt idx="704">
                  <c:v>43884</c:v>
                </c:pt>
                <c:pt idx="705">
                  <c:v>43883</c:v>
                </c:pt>
                <c:pt idx="706">
                  <c:v>43882</c:v>
                </c:pt>
                <c:pt idx="707">
                  <c:v>43881</c:v>
                </c:pt>
                <c:pt idx="708">
                  <c:v>43880</c:v>
                </c:pt>
                <c:pt idx="709">
                  <c:v>43879</c:v>
                </c:pt>
                <c:pt idx="710">
                  <c:v>43878</c:v>
                </c:pt>
                <c:pt idx="711">
                  <c:v>43877</c:v>
                </c:pt>
                <c:pt idx="712">
                  <c:v>43876</c:v>
                </c:pt>
                <c:pt idx="713">
                  <c:v>43875</c:v>
                </c:pt>
                <c:pt idx="714">
                  <c:v>43874</c:v>
                </c:pt>
                <c:pt idx="715">
                  <c:v>43873</c:v>
                </c:pt>
                <c:pt idx="716">
                  <c:v>43872</c:v>
                </c:pt>
                <c:pt idx="717">
                  <c:v>43871</c:v>
                </c:pt>
                <c:pt idx="718">
                  <c:v>43870</c:v>
                </c:pt>
                <c:pt idx="719">
                  <c:v>43869</c:v>
                </c:pt>
                <c:pt idx="720">
                  <c:v>43868</c:v>
                </c:pt>
                <c:pt idx="721">
                  <c:v>43867</c:v>
                </c:pt>
                <c:pt idx="722">
                  <c:v>43866</c:v>
                </c:pt>
                <c:pt idx="723">
                  <c:v>43865</c:v>
                </c:pt>
                <c:pt idx="724">
                  <c:v>43864</c:v>
                </c:pt>
                <c:pt idx="725">
                  <c:v>43863</c:v>
                </c:pt>
                <c:pt idx="726">
                  <c:v>43862</c:v>
                </c:pt>
                <c:pt idx="727">
                  <c:v>43861</c:v>
                </c:pt>
                <c:pt idx="728">
                  <c:v>43860</c:v>
                </c:pt>
                <c:pt idx="729">
                  <c:v>43859</c:v>
                </c:pt>
                <c:pt idx="730">
                  <c:v>43858</c:v>
                </c:pt>
                <c:pt idx="731">
                  <c:v>43857</c:v>
                </c:pt>
                <c:pt idx="732">
                  <c:v>43856</c:v>
                </c:pt>
                <c:pt idx="733">
                  <c:v>43855</c:v>
                </c:pt>
                <c:pt idx="734">
                  <c:v>43854</c:v>
                </c:pt>
                <c:pt idx="735">
                  <c:v>43853</c:v>
                </c:pt>
                <c:pt idx="736">
                  <c:v>43852</c:v>
                </c:pt>
                <c:pt idx="737">
                  <c:v>43851</c:v>
                </c:pt>
                <c:pt idx="738">
                  <c:v>43850</c:v>
                </c:pt>
                <c:pt idx="739">
                  <c:v>43849</c:v>
                </c:pt>
                <c:pt idx="740">
                  <c:v>43848</c:v>
                </c:pt>
                <c:pt idx="741">
                  <c:v>43847</c:v>
                </c:pt>
                <c:pt idx="742">
                  <c:v>43846</c:v>
                </c:pt>
                <c:pt idx="743">
                  <c:v>43845</c:v>
                </c:pt>
                <c:pt idx="744">
                  <c:v>43844</c:v>
                </c:pt>
                <c:pt idx="745">
                  <c:v>43843</c:v>
                </c:pt>
                <c:pt idx="746">
                  <c:v>43842</c:v>
                </c:pt>
                <c:pt idx="747">
                  <c:v>43841</c:v>
                </c:pt>
                <c:pt idx="748">
                  <c:v>43840</c:v>
                </c:pt>
                <c:pt idx="749">
                  <c:v>43839</c:v>
                </c:pt>
                <c:pt idx="750">
                  <c:v>43838</c:v>
                </c:pt>
                <c:pt idx="751">
                  <c:v>43837</c:v>
                </c:pt>
                <c:pt idx="752">
                  <c:v>43836</c:v>
                </c:pt>
                <c:pt idx="753">
                  <c:v>43835</c:v>
                </c:pt>
                <c:pt idx="754">
                  <c:v>43834</c:v>
                </c:pt>
                <c:pt idx="755">
                  <c:v>43833</c:v>
                </c:pt>
                <c:pt idx="756">
                  <c:v>43832</c:v>
                </c:pt>
                <c:pt idx="757">
                  <c:v>43831</c:v>
                </c:pt>
                <c:pt idx="758">
                  <c:v>43830</c:v>
                </c:pt>
                <c:pt idx="759">
                  <c:v>43829</c:v>
                </c:pt>
                <c:pt idx="760">
                  <c:v>43828</c:v>
                </c:pt>
                <c:pt idx="761">
                  <c:v>43827</c:v>
                </c:pt>
                <c:pt idx="763">
                  <c:v>43826</c:v>
                </c:pt>
                <c:pt idx="764">
                  <c:v>43825</c:v>
                </c:pt>
                <c:pt idx="765">
                  <c:v>43824</c:v>
                </c:pt>
                <c:pt idx="766">
                  <c:v>43823</c:v>
                </c:pt>
                <c:pt idx="767">
                  <c:v>43822</c:v>
                </c:pt>
                <c:pt idx="768">
                  <c:v>43821</c:v>
                </c:pt>
                <c:pt idx="769">
                  <c:v>43820</c:v>
                </c:pt>
                <c:pt idx="770">
                  <c:v>43819</c:v>
                </c:pt>
                <c:pt idx="771">
                  <c:v>43818</c:v>
                </c:pt>
                <c:pt idx="772">
                  <c:v>43817</c:v>
                </c:pt>
                <c:pt idx="773">
                  <c:v>43816</c:v>
                </c:pt>
                <c:pt idx="774">
                  <c:v>43815</c:v>
                </c:pt>
                <c:pt idx="775">
                  <c:v>43814</c:v>
                </c:pt>
                <c:pt idx="776">
                  <c:v>43813</c:v>
                </c:pt>
                <c:pt idx="777">
                  <c:v>43812</c:v>
                </c:pt>
                <c:pt idx="778">
                  <c:v>43811</c:v>
                </c:pt>
                <c:pt idx="779">
                  <c:v>43810</c:v>
                </c:pt>
                <c:pt idx="780">
                  <c:v>43809</c:v>
                </c:pt>
                <c:pt idx="781">
                  <c:v>43808</c:v>
                </c:pt>
                <c:pt idx="782">
                  <c:v>43807</c:v>
                </c:pt>
                <c:pt idx="783">
                  <c:v>43806</c:v>
                </c:pt>
                <c:pt idx="784">
                  <c:v>43805</c:v>
                </c:pt>
                <c:pt idx="785">
                  <c:v>43804</c:v>
                </c:pt>
                <c:pt idx="786">
                  <c:v>43803</c:v>
                </c:pt>
                <c:pt idx="787">
                  <c:v>43802</c:v>
                </c:pt>
                <c:pt idx="788">
                  <c:v>43801</c:v>
                </c:pt>
                <c:pt idx="789">
                  <c:v>43800</c:v>
                </c:pt>
                <c:pt idx="790">
                  <c:v>43799</c:v>
                </c:pt>
                <c:pt idx="791">
                  <c:v>43798</c:v>
                </c:pt>
                <c:pt idx="792">
                  <c:v>43797</c:v>
                </c:pt>
                <c:pt idx="793">
                  <c:v>43796</c:v>
                </c:pt>
                <c:pt idx="794">
                  <c:v>43795</c:v>
                </c:pt>
                <c:pt idx="795">
                  <c:v>43794</c:v>
                </c:pt>
                <c:pt idx="796">
                  <c:v>43793</c:v>
                </c:pt>
                <c:pt idx="797">
                  <c:v>43792</c:v>
                </c:pt>
                <c:pt idx="798">
                  <c:v>43791</c:v>
                </c:pt>
                <c:pt idx="799">
                  <c:v>43790</c:v>
                </c:pt>
                <c:pt idx="800">
                  <c:v>43789</c:v>
                </c:pt>
                <c:pt idx="801">
                  <c:v>43788</c:v>
                </c:pt>
                <c:pt idx="802">
                  <c:v>43787</c:v>
                </c:pt>
                <c:pt idx="803">
                  <c:v>43786</c:v>
                </c:pt>
                <c:pt idx="804">
                  <c:v>43785</c:v>
                </c:pt>
                <c:pt idx="805">
                  <c:v>43784</c:v>
                </c:pt>
                <c:pt idx="806">
                  <c:v>43783</c:v>
                </c:pt>
                <c:pt idx="807">
                  <c:v>43782</c:v>
                </c:pt>
                <c:pt idx="808">
                  <c:v>43781</c:v>
                </c:pt>
                <c:pt idx="809">
                  <c:v>43780</c:v>
                </c:pt>
                <c:pt idx="810">
                  <c:v>43779</c:v>
                </c:pt>
                <c:pt idx="811">
                  <c:v>43778</c:v>
                </c:pt>
                <c:pt idx="812">
                  <c:v>43777</c:v>
                </c:pt>
                <c:pt idx="813">
                  <c:v>43776</c:v>
                </c:pt>
                <c:pt idx="814">
                  <c:v>43775</c:v>
                </c:pt>
                <c:pt idx="815">
                  <c:v>43774</c:v>
                </c:pt>
                <c:pt idx="816">
                  <c:v>43773</c:v>
                </c:pt>
                <c:pt idx="817">
                  <c:v>43772</c:v>
                </c:pt>
                <c:pt idx="818">
                  <c:v>43771</c:v>
                </c:pt>
                <c:pt idx="819">
                  <c:v>43770</c:v>
                </c:pt>
                <c:pt idx="820">
                  <c:v>43769</c:v>
                </c:pt>
                <c:pt idx="821">
                  <c:v>43768</c:v>
                </c:pt>
                <c:pt idx="822">
                  <c:v>43767</c:v>
                </c:pt>
                <c:pt idx="823">
                  <c:v>43766</c:v>
                </c:pt>
                <c:pt idx="824">
                  <c:v>43765</c:v>
                </c:pt>
                <c:pt idx="825">
                  <c:v>43764</c:v>
                </c:pt>
                <c:pt idx="826">
                  <c:v>43763</c:v>
                </c:pt>
                <c:pt idx="827">
                  <c:v>43762</c:v>
                </c:pt>
                <c:pt idx="828">
                  <c:v>43761</c:v>
                </c:pt>
                <c:pt idx="829">
                  <c:v>43760</c:v>
                </c:pt>
                <c:pt idx="830">
                  <c:v>43759</c:v>
                </c:pt>
                <c:pt idx="831">
                  <c:v>43758</c:v>
                </c:pt>
                <c:pt idx="832">
                  <c:v>43757</c:v>
                </c:pt>
                <c:pt idx="833">
                  <c:v>43756</c:v>
                </c:pt>
                <c:pt idx="834">
                  <c:v>43755</c:v>
                </c:pt>
                <c:pt idx="835">
                  <c:v>43754</c:v>
                </c:pt>
                <c:pt idx="836">
                  <c:v>43753</c:v>
                </c:pt>
                <c:pt idx="837">
                  <c:v>43752</c:v>
                </c:pt>
                <c:pt idx="838">
                  <c:v>43751</c:v>
                </c:pt>
                <c:pt idx="839">
                  <c:v>43750</c:v>
                </c:pt>
                <c:pt idx="840">
                  <c:v>43749</c:v>
                </c:pt>
                <c:pt idx="841">
                  <c:v>43748</c:v>
                </c:pt>
                <c:pt idx="842">
                  <c:v>43747</c:v>
                </c:pt>
                <c:pt idx="843">
                  <c:v>43746</c:v>
                </c:pt>
                <c:pt idx="844">
                  <c:v>43745</c:v>
                </c:pt>
                <c:pt idx="845">
                  <c:v>43744</c:v>
                </c:pt>
                <c:pt idx="846">
                  <c:v>43743</c:v>
                </c:pt>
                <c:pt idx="847">
                  <c:v>43742</c:v>
                </c:pt>
                <c:pt idx="848">
                  <c:v>43741</c:v>
                </c:pt>
                <c:pt idx="849">
                  <c:v>43740</c:v>
                </c:pt>
                <c:pt idx="850">
                  <c:v>43739</c:v>
                </c:pt>
                <c:pt idx="851">
                  <c:v>43738</c:v>
                </c:pt>
                <c:pt idx="852">
                  <c:v>43737</c:v>
                </c:pt>
                <c:pt idx="853">
                  <c:v>43736</c:v>
                </c:pt>
                <c:pt idx="854">
                  <c:v>43735</c:v>
                </c:pt>
                <c:pt idx="855">
                  <c:v>43734</c:v>
                </c:pt>
                <c:pt idx="856">
                  <c:v>43733</c:v>
                </c:pt>
                <c:pt idx="857">
                  <c:v>43732</c:v>
                </c:pt>
                <c:pt idx="858">
                  <c:v>43731</c:v>
                </c:pt>
                <c:pt idx="859">
                  <c:v>43730</c:v>
                </c:pt>
                <c:pt idx="860">
                  <c:v>43729</c:v>
                </c:pt>
                <c:pt idx="861">
                  <c:v>43728</c:v>
                </c:pt>
                <c:pt idx="862">
                  <c:v>43727</c:v>
                </c:pt>
                <c:pt idx="863">
                  <c:v>43726</c:v>
                </c:pt>
                <c:pt idx="864">
                  <c:v>43725</c:v>
                </c:pt>
                <c:pt idx="865">
                  <c:v>43724</c:v>
                </c:pt>
                <c:pt idx="866">
                  <c:v>43723</c:v>
                </c:pt>
                <c:pt idx="867">
                  <c:v>43722</c:v>
                </c:pt>
                <c:pt idx="868">
                  <c:v>43721</c:v>
                </c:pt>
                <c:pt idx="869">
                  <c:v>43720</c:v>
                </c:pt>
                <c:pt idx="870">
                  <c:v>43719</c:v>
                </c:pt>
                <c:pt idx="871">
                  <c:v>43718</c:v>
                </c:pt>
                <c:pt idx="872">
                  <c:v>43717</c:v>
                </c:pt>
                <c:pt idx="873">
                  <c:v>43716</c:v>
                </c:pt>
                <c:pt idx="874">
                  <c:v>43715</c:v>
                </c:pt>
                <c:pt idx="875">
                  <c:v>43714</c:v>
                </c:pt>
                <c:pt idx="876">
                  <c:v>43713</c:v>
                </c:pt>
                <c:pt idx="877">
                  <c:v>43712</c:v>
                </c:pt>
                <c:pt idx="878">
                  <c:v>43711</c:v>
                </c:pt>
                <c:pt idx="879">
                  <c:v>43710</c:v>
                </c:pt>
                <c:pt idx="880">
                  <c:v>43709</c:v>
                </c:pt>
                <c:pt idx="881">
                  <c:v>43708</c:v>
                </c:pt>
                <c:pt idx="882">
                  <c:v>43707</c:v>
                </c:pt>
                <c:pt idx="883">
                  <c:v>43706</c:v>
                </c:pt>
                <c:pt idx="884">
                  <c:v>43705</c:v>
                </c:pt>
                <c:pt idx="885">
                  <c:v>43704</c:v>
                </c:pt>
                <c:pt idx="886">
                  <c:v>43703</c:v>
                </c:pt>
                <c:pt idx="887">
                  <c:v>43702</c:v>
                </c:pt>
                <c:pt idx="888">
                  <c:v>43701</c:v>
                </c:pt>
                <c:pt idx="889">
                  <c:v>43700</c:v>
                </c:pt>
                <c:pt idx="890">
                  <c:v>43699</c:v>
                </c:pt>
                <c:pt idx="891">
                  <c:v>43698</c:v>
                </c:pt>
                <c:pt idx="892">
                  <c:v>43697</c:v>
                </c:pt>
                <c:pt idx="893">
                  <c:v>43696</c:v>
                </c:pt>
                <c:pt idx="894">
                  <c:v>43695</c:v>
                </c:pt>
                <c:pt idx="895">
                  <c:v>43694</c:v>
                </c:pt>
                <c:pt idx="896">
                  <c:v>43693</c:v>
                </c:pt>
                <c:pt idx="897">
                  <c:v>43692</c:v>
                </c:pt>
                <c:pt idx="898">
                  <c:v>43691</c:v>
                </c:pt>
                <c:pt idx="899">
                  <c:v>43690</c:v>
                </c:pt>
                <c:pt idx="900">
                  <c:v>43689</c:v>
                </c:pt>
                <c:pt idx="901">
                  <c:v>43688</c:v>
                </c:pt>
                <c:pt idx="902">
                  <c:v>43687</c:v>
                </c:pt>
                <c:pt idx="903">
                  <c:v>43686</c:v>
                </c:pt>
                <c:pt idx="904">
                  <c:v>43685</c:v>
                </c:pt>
                <c:pt idx="905">
                  <c:v>43684</c:v>
                </c:pt>
                <c:pt idx="906">
                  <c:v>43683</c:v>
                </c:pt>
                <c:pt idx="907">
                  <c:v>43682</c:v>
                </c:pt>
                <c:pt idx="908">
                  <c:v>43681</c:v>
                </c:pt>
                <c:pt idx="909">
                  <c:v>43680</c:v>
                </c:pt>
                <c:pt idx="910">
                  <c:v>43679</c:v>
                </c:pt>
                <c:pt idx="911">
                  <c:v>43678</c:v>
                </c:pt>
                <c:pt idx="912">
                  <c:v>43677</c:v>
                </c:pt>
                <c:pt idx="913">
                  <c:v>43676</c:v>
                </c:pt>
                <c:pt idx="914">
                  <c:v>43675</c:v>
                </c:pt>
                <c:pt idx="915">
                  <c:v>43674</c:v>
                </c:pt>
                <c:pt idx="916">
                  <c:v>43673</c:v>
                </c:pt>
                <c:pt idx="917">
                  <c:v>43672</c:v>
                </c:pt>
                <c:pt idx="918">
                  <c:v>43671</c:v>
                </c:pt>
                <c:pt idx="919">
                  <c:v>43670</c:v>
                </c:pt>
                <c:pt idx="920">
                  <c:v>43669</c:v>
                </c:pt>
                <c:pt idx="921">
                  <c:v>43668</c:v>
                </c:pt>
                <c:pt idx="922">
                  <c:v>43667</c:v>
                </c:pt>
                <c:pt idx="923">
                  <c:v>43666</c:v>
                </c:pt>
                <c:pt idx="924">
                  <c:v>43665</c:v>
                </c:pt>
                <c:pt idx="925">
                  <c:v>43664</c:v>
                </c:pt>
                <c:pt idx="926">
                  <c:v>43663</c:v>
                </c:pt>
                <c:pt idx="927">
                  <c:v>43662</c:v>
                </c:pt>
                <c:pt idx="928">
                  <c:v>43661</c:v>
                </c:pt>
                <c:pt idx="929">
                  <c:v>43660</c:v>
                </c:pt>
                <c:pt idx="930">
                  <c:v>43659</c:v>
                </c:pt>
                <c:pt idx="931">
                  <c:v>43658</c:v>
                </c:pt>
                <c:pt idx="932">
                  <c:v>43657</c:v>
                </c:pt>
                <c:pt idx="933">
                  <c:v>43656</c:v>
                </c:pt>
                <c:pt idx="934">
                  <c:v>43655</c:v>
                </c:pt>
                <c:pt idx="935">
                  <c:v>43654</c:v>
                </c:pt>
                <c:pt idx="936">
                  <c:v>43653</c:v>
                </c:pt>
                <c:pt idx="937">
                  <c:v>43652</c:v>
                </c:pt>
                <c:pt idx="938">
                  <c:v>43651</c:v>
                </c:pt>
                <c:pt idx="939">
                  <c:v>43650</c:v>
                </c:pt>
                <c:pt idx="940">
                  <c:v>43649</c:v>
                </c:pt>
                <c:pt idx="941">
                  <c:v>43648</c:v>
                </c:pt>
                <c:pt idx="942">
                  <c:v>43647</c:v>
                </c:pt>
                <c:pt idx="943">
                  <c:v>43646</c:v>
                </c:pt>
                <c:pt idx="944">
                  <c:v>43645</c:v>
                </c:pt>
                <c:pt idx="945">
                  <c:v>43644</c:v>
                </c:pt>
                <c:pt idx="946">
                  <c:v>43643</c:v>
                </c:pt>
                <c:pt idx="947">
                  <c:v>43642</c:v>
                </c:pt>
                <c:pt idx="948">
                  <c:v>43641</c:v>
                </c:pt>
                <c:pt idx="949">
                  <c:v>43640</c:v>
                </c:pt>
                <c:pt idx="950">
                  <c:v>43639</c:v>
                </c:pt>
                <c:pt idx="951">
                  <c:v>43638</c:v>
                </c:pt>
                <c:pt idx="952">
                  <c:v>43637</c:v>
                </c:pt>
                <c:pt idx="953">
                  <c:v>43636</c:v>
                </c:pt>
                <c:pt idx="954">
                  <c:v>43635</c:v>
                </c:pt>
                <c:pt idx="955">
                  <c:v>43634</c:v>
                </c:pt>
                <c:pt idx="956">
                  <c:v>43633</c:v>
                </c:pt>
                <c:pt idx="957">
                  <c:v>43632</c:v>
                </c:pt>
                <c:pt idx="958">
                  <c:v>43631</c:v>
                </c:pt>
                <c:pt idx="959">
                  <c:v>43630</c:v>
                </c:pt>
                <c:pt idx="960">
                  <c:v>43629</c:v>
                </c:pt>
                <c:pt idx="961">
                  <c:v>43628</c:v>
                </c:pt>
                <c:pt idx="962">
                  <c:v>43627</c:v>
                </c:pt>
                <c:pt idx="963">
                  <c:v>43626</c:v>
                </c:pt>
                <c:pt idx="964">
                  <c:v>43625</c:v>
                </c:pt>
                <c:pt idx="965">
                  <c:v>43624</c:v>
                </c:pt>
                <c:pt idx="966">
                  <c:v>43623</c:v>
                </c:pt>
                <c:pt idx="967">
                  <c:v>43622</c:v>
                </c:pt>
                <c:pt idx="968">
                  <c:v>43621</c:v>
                </c:pt>
                <c:pt idx="969">
                  <c:v>43620</c:v>
                </c:pt>
                <c:pt idx="970">
                  <c:v>43619</c:v>
                </c:pt>
                <c:pt idx="971">
                  <c:v>43618</c:v>
                </c:pt>
                <c:pt idx="972">
                  <c:v>43617</c:v>
                </c:pt>
                <c:pt idx="973">
                  <c:v>43616</c:v>
                </c:pt>
                <c:pt idx="974">
                  <c:v>43615</c:v>
                </c:pt>
                <c:pt idx="975">
                  <c:v>43614</c:v>
                </c:pt>
                <c:pt idx="976">
                  <c:v>43613</c:v>
                </c:pt>
                <c:pt idx="977">
                  <c:v>43612</c:v>
                </c:pt>
                <c:pt idx="978">
                  <c:v>43611</c:v>
                </c:pt>
                <c:pt idx="979">
                  <c:v>43610</c:v>
                </c:pt>
                <c:pt idx="980">
                  <c:v>43609</c:v>
                </c:pt>
                <c:pt idx="981">
                  <c:v>43608</c:v>
                </c:pt>
                <c:pt idx="982">
                  <c:v>43607</c:v>
                </c:pt>
                <c:pt idx="983">
                  <c:v>43606</c:v>
                </c:pt>
                <c:pt idx="984">
                  <c:v>43605</c:v>
                </c:pt>
                <c:pt idx="985">
                  <c:v>43604</c:v>
                </c:pt>
                <c:pt idx="986">
                  <c:v>43603</c:v>
                </c:pt>
                <c:pt idx="987">
                  <c:v>43602</c:v>
                </c:pt>
                <c:pt idx="988">
                  <c:v>43601</c:v>
                </c:pt>
                <c:pt idx="989">
                  <c:v>43600</c:v>
                </c:pt>
                <c:pt idx="990">
                  <c:v>43599</c:v>
                </c:pt>
                <c:pt idx="991">
                  <c:v>43598</c:v>
                </c:pt>
                <c:pt idx="992">
                  <c:v>43597</c:v>
                </c:pt>
                <c:pt idx="993">
                  <c:v>43596</c:v>
                </c:pt>
                <c:pt idx="994">
                  <c:v>43595</c:v>
                </c:pt>
                <c:pt idx="995">
                  <c:v>43594</c:v>
                </c:pt>
              </c:numCache>
            </c:numRef>
          </c:cat>
          <c:val>
            <c:numRef>
              <c:f>'table (1)'!$E$5:$E$1000</c:f>
              <c:numCache>
                <c:formatCode>General</c:formatCode>
                <c:ptCount val="996"/>
                <c:pt idx="0">
                  <c:v>2410.41</c:v>
                </c:pt>
                <c:pt idx="1">
                  <c:v>2462.9899999999998</c:v>
                </c:pt>
                <c:pt idx="2">
                  <c:v>2458.83</c:v>
                </c:pt>
                <c:pt idx="3">
                  <c:v>2439.29</c:v>
                </c:pt>
                <c:pt idx="4">
                  <c:v>2539.0100000000002</c:v>
                </c:pt>
                <c:pt idx="5">
                  <c:v>2412.1799999999998</c:v>
                </c:pt>
                <c:pt idx="6">
                  <c:v>2568.15</c:v>
                </c:pt>
                <c:pt idx="7">
                  <c:v>3001.48</c:v>
                </c:pt>
                <c:pt idx="8">
                  <c:v>3084.02</c:v>
                </c:pt>
                <c:pt idx="9">
                  <c:v>3159.97</c:v>
                </c:pt>
                <c:pt idx="10">
                  <c:v>3209.67</c:v>
                </c:pt>
                <c:pt idx="11">
                  <c:v>3346.88</c:v>
                </c:pt>
                <c:pt idx="12">
                  <c:v>3326.04</c:v>
                </c:pt>
                <c:pt idx="13">
                  <c:v>3307.42</c:v>
                </c:pt>
                <c:pt idx="14">
                  <c:v>3240.61</c:v>
                </c:pt>
                <c:pt idx="15">
                  <c:v>3371.26</c:v>
                </c:pt>
                <c:pt idx="16">
                  <c:v>3239.72</c:v>
                </c:pt>
                <c:pt idx="17">
                  <c:v>3082.68</c:v>
                </c:pt>
                <c:pt idx="18">
                  <c:v>3151.97</c:v>
                </c:pt>
                <c:pt idx="19">
                  <c:v>3080.95</c:v>
                </c:pt>
                <c:pt idx="20">
                  <c:v>3199.24</c:v>
                </c:pt>
                <c:pt idx="21">
                  <c:v>3406.81</c:v>
                </c:pt>
                <c:pt idx="22">
                  <c:v>3540.63</c:v>
                </c:pt>
                <c:pt idx="23">
                  <c:v>3785.11</c:v>
                </c:pt>
                <c:pt idx="24">
                  <c:v>3765.89</c:v>
                </c:pt>
                <c:pt idx="25">
                  <c:v>3828.27</c:v>
                </c:pt>
                <c:pt idx="26">
                  <c:v>3765.54</c:v>
                </c:pt>
                <c:pt idx="27">
                  <c:v>3676.23</c:v>
                </c:pt>
                <c:pt idx="28">
                  <c:v>3709.27</c:v>
                </c:pt>
                <c:pt idx="29">
                  <c:v>3630.19</c:v>
                </c:pt>
                <c:pt idx="30">
                  <c:v>3792.75</c:v>
                </c:pt>
                <c:pt idx="31">
                  <c:v>4037.23</c:v>
                </c:pt>
                <c:pt idx="32">
                  <c:v>4063.56</c:v>
                </c:pt>
                <c:pt idx="33">
                  <c:v>4094.83</c:v>
                </c:pt>
                <c:pt idx="34">
                  <c:v>4046.36</c:v>
                </c:pt>
                <c:pt idx="35">
                  <c:v>4111.41</c:v>
                </c:pt>
                <c:pt idx="36">
                  <c:v>3979.51</c:v>
                </c:pt>
                <c:pt idx="37">
                  <c:v>4014.15</c:v>
                </c:pt>
                <c:pt idx="38">
                  <c:v>3944.73</c:v>
                </c:pt>
                <c:pt idx="39">
                  <c:v>3924.14</c:v>
                </c:pt>
                <c:pt idx="40">
                  <c:v>3959.93</c:v>
                </c:pt>
                <c:pt idx="41">
                  <c:v>3875.42</c:v>
                </c:pt>
                <c:pt idx="42">
                  <c:v>3958.11</c:v>
                </c:pt>
                <c:pt idx="43">
                  <c:v>4019.08</c:v>
                </c:pt>
                <c:pt idx="44">
                  <c:v>3858.99</c:v>
                </c:pt>
                <c:pt idx="45">
                  <c:v>3781.93</c:v>
                </c:pt>
                <c:pt idx="46">
                  <c:v>4130</c:v>
                </c:pt>
                <c:pt idx="47">
                  <c:v>3942.91</c:v>
                </c:pt>
                <c:pt idx="48">
                  <c:v>3897.94</c:v>
                </c:pt>
                <c:pt idx="49">
                  <c:v>4105.6400000000003</c:v>
                </c:pt>
                <c:pt idx="50">
                  <c:v>4436.91</c:v>
                </c:pt>
                <c:pt idx="51">
                  <c:v>4306.3999999999996</c:v>
                </c:pt>
                <c:pt idx="52">
                  <c:v>4347.59</c:v>
                </c:pt>
                <c:pt idx="53">
                  <c:v>4196.4399999999996</c:v>
                </c:pt>
                <c:pt idx="54">
                  <c:v>4117.25</c:v>
                </c:pt>
                <c:pt idx="55">
                  <c:v>4215.7299999999996</c:v>
                </c:pt>
                <c:pt idx="56">
                  <c:v>4511.21</c:v>
                </c:pt>
                <c:pt idx="57">
                  <c:v>4582.95</c:v>
                </c:pt>
                <c:pt idx="58">
                  <c:v>4630.26</c:v>
                </c:pt>
                <c:pt idx="59">
                  <c:v>4444.53</c:v>
                </c:pt>
                <c:pt idx="60">
                  <c:v>4294.78</c:v>
                </c:pt>
                <c:pt idx="61">
                  <c:v>4095.29</c:v>
                </c:pt>
                <c:pt idx="62">
                  <c:v>4041.2</c:v>
                </c:pt>
                <c:pt idx="63">
                  <c:v>4524.8500000000004</c:v>
                </c:pt>
                <c:pt idx="64">
                  <c:v>4275.18</c:v>
                </c:pt>
                <c:pt idx="65">
                  <c:v>4339.4399999999996</c:v>
                </c:pt>
                <c:pt idx="66">
                  <c:v>4085.97</c:v>
                </c:pt>
                <c:pt idx="67">
                  <c:v>4258.3100000000004</c:v>
                </c:pt>
                <c:pt idx="68">
                  <c:v>4412.17</c:v>
                </c:pt>
                <c:pt idx="69">
                  <c:v>4294.76</c:v>
                </c:pt>
                <c:pt idx="70">
                  <c:v>3996.9</c:v>
                </c:pt>
                <c:pt idx="71">
                  <c:v>4287.8</c:v>
                </c:pt>
                <c:pt idx="72">
                  <c:v>4209.76</c:v>
                </c:pt>
                <c:pt idx="73">
                  <c:v>4563.78</c:v>
                </c:pt>
                <c:pt idx="74">
                  <c:v>4626.5</c:v>
                </c:pt>
                <c:pt idx="75">
                  <c:v>4644.28</c:v>
                </c:pt>
                <c:pt idx="76">
                  <c:v>4665.46</c:v>
                </c:pt>
                <c:pt idx="77">
                  <c:v>4719</c:v>
                </c:pt>
                <c:pt idx="78">
                  <c:v>4628.78</c:v>
                </c:pt>
                <c:pt idx="79">
                  <c:v>4732.33</c:v>
                </c:pt>
                <c:pt idx="80">
                  <c:v>4807.9799999999996</c:v>
                </c:pt>
                <c:pt idx="81">
                  <c:v>4612.59</c:v>
                </c:pt>
                <c:pt idx="82">
                  <c:v>4518</c:v>
                </c:pt>
                <c:pt idx="83">
                  <c:v>4474.24</c:v>
                </c:pt>
                <c:pt idx="84">
                  <c:v>4532.32</c:v>
                </c:pt>
                <c:pt idx="85">
                  <c:v>4603.3500000000004</c:v>
                </c:pt>
                <c:pt idx="86">
                  <c:v>4589.8900000000003</c:v>
                </c:pt>
                <c:pt idx="87">
                  <c:v>4319.43</c:v>
                </c:pt>
                <c:pt idx="88">
                  <c:v>4287.21</c:v>
                </c:pt>
                <c:pt idx="89">
                  <c:v>4322.68</c:v>
                </c:pt>
                <c:pt idx="90">
                  <c:v>4418.8900000000003</c:v>
                </c:pt>
                <c:pt idx="91">
                  <c:v>4286.0200000000004</c:v>
                </c:pt>
                <c:pt idx="92">
                  <c:v>3922</c:v>
                </c:pt>
                <c:pt idx="93">
                  <c:v>4131.5200000000004</c:v>
                </c:pt>
                <c:pt idx="94">
                  <c:v>4220.37</c:v>
                </c:pt>
                <c:pt idx="95">
                  <c:v>4082.33</c:v>
                </c:pt>
                <c:pt idx="96">
                  <c:v>4167.12</c:v>
                </c:pt>
                <c:pt idx="97">
                  <c:v>3972.2</c:v>
                </c:pt>
                <c:pt idx="98">
                  <c:v>4052.99</c:v>
                </c:pt>
                <c:pt idx="99">
                  <c:v>4161.1499999999996</c:v>
                </c:pt>
                <c:pt idx="100">
                  <c:v>3877.03</c:v>
                </c:pt>
                <c:pt idx="101">
                  <c:v>3744.96</c:v>
                </c:pt>
                <c:pt idx="102">
                  <c:v>3846.85</c:v>
                </c:pt>
                <c:pt idx="103">
                  <c:v>3829.96</c:v>
                </c:pt>
                <c:pt idx="104">
                  <c:v>3868.99</c:v>
                </c:pt>
                <c:pt idx="105">
                  <c:v>3790.82</c:v>
                </c:pt>
                <c:pt idx="106">
                  <c:v>3607.42</c:v>
                </c:pt>
                <c:pt idx="107">
                  <c:v>3491.46</c:v>
                </c:pt>
                <c:pt idx="108">
                  <c:v>3542.12</c:v>
                </c:pt>
                <c:pt idx="109">
                  <c:v>3414.22</c:v>
                </c:pt>
                <c:pt idx="110">
                  <c:v>3574.82</c:v>
                </c:pt>
                <c:pt idx="111">
                  <c:v>3563.13</c:v>
                </c:pt>
                <c:pt idx="112">
                  <c:v>3587.47</c:v>
                </c:pt>
                <c:pt idx="113">
                  <c:v>3574.89</c:v>
                </c:pt>
                <c:pt idx="114">
                  <c:v>3515.27</c:v>
                </c:pt>
                <c:pt idx="115">
                  <c:v>3396.96</c:v>
                </c:pt>
                <c:pt idx="116">
                  <c:v>3416.3</c:v>
                </c:pt>
                <c:pt idx="117">
                  <c:v>3387.76</c:v>
                </c:pt>
                <c:pt idx="118">
                  <c:v>3309.91</c:v>
                </c:pt>
                <c:pt idx="119">
                  <c:v>3000.61</c:v>
                </c:pt>
                <c:pt idx="120">
                  <c:v>2850.45</c:v>
                </c:pt>
                <c:pt idx="121">
                  <c:v>2804.91</c:v>
                </c:pt>
                <c:pt idx="122">
                  <c:v>2925.59</c:v>
                </c:pt>
                <c:pt idx="123">
                  <c:v>3059.37</c:v>
                </c:pt>
                <c:pt idx="124">
                  <c:v>2921.73</c:v>
                </c:pt>
                <c:pt idx="125">
                  <c:v>2928.53</c:v>
                </c:pt>
                <c:pt idx="126">
                  <c:v>3152.5</c:v>
                </c:pt>
                <c:pt idx="127">
                  <c:v>3076.92</c:v>
                </c:pt>
                <c:pt idx="128">
                  <c:v>2765.9</c:v>
                </c:pt>
                <c:pt idx="129">
                  <c:v>3137.07</c:v>
                </c:pt>
                <c:pt idx="130">
                  <c:v>3328.62</c:v>
                </c:pt>
                <c:pt idx="131">
                  <c:v>3435.64</c:v>
                </c:pt>
                <c:pt idx="132">
                  <c:v>3399.81</c:v>
                </c:pt>
                <c:pt idx="133">
                  <c:v>3567.98</c:v>
                </c:pt>
                <c:pt idx="134">
                  <c:v>3613.55</c:v>
                </c:pt>
                <c:pt idx="135">
                  <c:v>3434.37</c:v>
                </c:pt>
                <c:pt idx="136">
                  <c:v>3285.35</c:v>
                </c:pt>
                <c:pt idx="137">
                  <c:v>3404.21</c:v>
                </c:pt>
                <c:pt idx="138">
                  <c:v>3267.21</c:v>
                </c:pt>
                <c:pt idx="139">
                  <c:v>3208.86</c:v>
                </c:pt>
                <c:pt idx="140">
                  <c:v>3424.93</c:v>
                </c:pt>
                <c:pt idx="141">
                  <c:v>3499</c:v>
                </c:pt>
                <c:pt idx="142">
                  <c:v>3434.57</c:v>
                </c:pt>
                <c:pt idx="143">
                  <c:v>3926.77</c:v>
                </c:pt>
                <c:pt idx="144">
                  <c:v>3950.29</c:v>
                </c:pt>
                <c:pt idx="145">
                  <c:v>3885.52</c:v>
                </c:pt>
                <c:pt idx="146">
                  <c:v>3938.11</c:v>
                </c:pt>
                <c:pt idx="147">
                  <c:v>3785.82</c:v>
                </c:pt>
                <c:pt idx="148">
                  <c:v>3826.82</c:v>
                </c:pt>
                <c:pt idx="149">
                  <c:v>3429.2</c:v>
                </c:pt>
                <c:pt idx="150">
                  <c:v>3229.64</c:v>
                </c:pt>
                <c:pt idx="151">
                  <c:v>3223.47</c:v>
                </c:pt>
                <c:pt idx="152">
                  <c:v>3244.48</c:v>
                </c:pt>
                <c:pt idx="153">
                  <c:v>3273.45</c:v>
                </c:pt>
                <c:pt idx="154">
                  <c:v>3093.2</c:v>
                </c:pt>
                <c:pt idx="155">
                  <c:v>3226.87</c:v>
                </c:pt>
                <c:pt idx="156">
                  <c:v>3170.62</c:v>
                </c:pt>
                <c:pt idx="157">
                  <c:v>3321.28</c:v>
                </c:pt>
                <c:pt idx="158">
                  <c:v>3246.66</c:v>
                </c:pt>
                <c:pt idx="159">
                  <c:v>3223.43</c:v>
                </c:pt>
                <c:pt idx="160">
                  <c:v>3284.82</c:v>
                </c:pt>
                <c:pt idx="161">
                  <c:v>3184.12</c:v>
                </c:pt>
                <c:pt idx="162">
                  <c:v>3014.55</c:v>
                </c:pt>
                <c:pt idx="163">
                  <c:v>3011.72</c:v>
                </c:pt>
                <c:pt idx="164">
                  <c:v>3146.53</c:v>
                </c:pt>
                <c:pt idx="165">
                  <c:v>3307.09</c:v>
                </c:pt>
                <c:pt idx="166">
                  <c:v>3263.16</c:v>
                </c:pt>
                <c:pt idx="167">
                  <c:v>3322.32</c:v>
                </c:pt>
                <c:pt idx="168">
                  <c:v>3045.96</c:v>
                </c:pt>
                <c:pt idx="169">
                  <c:v>3160.5</c:v>
                </c:pt>
                <c:pt idx="170">
                  <c:v>3141.66</c:v>
                </c:pt>
                <c:pt idx="171">
                  <c:v>3160.52</c:v>
                </c:pt>
                <c:pt idx="172">
                  <c:v>3011.85</c:v>
                </c:pt>
                <c:pt idx="173">
                  <c:v>3160.31</c:v>
                </c:pt>
                <c:pt idx="174">
                  <c:v>2891.58</c:v>
                </c:pt>
                <c:pt idx="175">
                  <c:v>2826.99</c:v>
                </c:pt>
                <c:pt idx="176">
                  <c:v>2724.78</c:v>
                </c:pt>
                <c:pt idx="177">
                  <c:v>2509.04</c:v>
                </c:pt>
                <c:pt idx="178">
                  <c:v>2606.9299999999998</c:v>
                </c:pt>
                <c:pt idx="179">
                  <c:v>2555.69</c:v>
                </c:pt>
                <c:pt idx="180">
                  <c:v>2531.0500000000002</c:v>
                </c:pt>
                <c:pt idx="181">
                  <c:v>2461.81</c:v>
                </c:pt>
                <c:pt idx="182">
                  <c:v>2382.92</c:v>
                </c:pt>
                <c:pt idx="183">
                  <c:v>2300.9</c:v>
                </c:pt>
                <c:pt idx="184">
                  <c:v>2299.4899999999998</c:v>
                </c:pt>
                <c:pt idx="185">
                  <c:v>2228.08</c:v>
                </c:pt>
                <c:pt idx="186">
                  <c:v>2189.79</c:v>
                </c:pt>
                <c:pt idx="187">
                  <c:v>2184.75</c:v>
                </c:pt>
                <c:pt idx="188">
                  <c:v>2124.25</c:v>
                </c:pt>
                <c:pt idx="189">
                  <c:v>2024.56</c:v>
                </c:pt>
                <c:pt idx="190">
                  <c:v>1995.5</c:v>
                </c:pt>
                <c:pt idx="191">
                  <c:v>1786.03</c:v>
                </c:pt>
                <c:pt idx="192">
                  <c:v>1818.73</c:v>
                </c:pt>
                <c:pt idx="193">
                  <c:v>1891.64</c:v>
                </c:pt>
                <c:pt idx="194">
                  <c:v>1899.59</c:v>
                </c:pt>
                <c:pt idx="195">
                  <c:v>1876.26</c:v>
                </c:pt>
                <c:pt idx="196">
                  <c:v>1919.51</c:v>
                </c:pt>
                <c:pt idx="197">
                  <c:v>1994.58</c:v>
                </c:pt>
                <c:pt idx="198">
                  <c:v>1940.15</c:v>
                </c:pt>
                <c:pt idx="199">
                  <c:v>2031.58</c:v>
                </c:pt>
                <c:pt idx="200">
                  <c:v>2140.4499999999998</c:v>
                </c:pt>
                <c:pt idx="201">
                  <c:v>2110.69</c:v>
                </c:pt>
                <c:pt idx="202">
                  <c:v>2146.9899999999998</c:v>
                </c:pt>
                <c:pt idx="203">
                  <c:v>2116.33</c:v>
                </c:pt>
                <c:pt idx="204">
                  <c:v>2316.5700000000002</c:v>
                </c:pt>
                <c:pt idx="205">
                  <c:v>2322.5</c:v>
                </c:pt>
                <c:pt idx="206">
                  <c:v>2196.5300000000002</c:v>
                </c:pt>
                <c:pt idx="207">
                  <c:v>2322.69</c:v>
                </c:pt>
                <c:pt idx="208">
                  <c:v>2226.9899999999998</c:v>
                </c:pt>
                <c:pt idx="209">
                  <c:v>2154.13</c:v>
                </c:pt>
                <c:pt idx="210">
                  <c:v>2106.41</c:v>
                </c:pt>
                <c:pt idx="211">
                  <c:v>2275.6799999999998</c:v>
                </c:pt>
                <c:pt idx="212">
                  <c:v>2165.33</c:v>
                </c:pt>
                <c:pt idx="213">
                  <c:v>2084.41</c:v>
                </c:pt>
                <c:pt idx="214">
                  <c:v>1982.28</c:v>
                </c:pt>
                <c:pt idx="215">
                  <c:v>1829.64</c:v>
                </c:pt>
                <c:pt idx="216">
                  <c:v>1808.82</c:v>
                </c:pt>
                <c:pt idx="217">
                  <c:v>1989.52</c:v>
                </c:pt>
                <c:pt idx="218">
                  <c:v>1968.14</c:v>
                </c:pt>
                <c:pt idx="219">
                  <c:v>1879.28</c:v>
                </c:pt>
                <c:pt idx="220">
                  <c:v>1885.49</c:v>
                </c:pt>
                <c:pt idx="221">
                  <c:v>2243.4699999999998</c:v>
                </c:pt>
                <c:pt idx="222">
                  <c:v>2164.67</c:v>
                </c:pt>
                <c:pt idx="223">
                  <c:v>2234.09</c:v>
                </c:pt>
                <c:pt idx="224">
                  <c:v>2373.2800000000002</c:v>
                </c:pt>
                <c:pt idx="225">
                  <c:v>2367.89</c:v>
                </c:pt>
                <c:pt idx="226">
                  <c:v>2543.54</c:v>
                </c:pt>
                <c:pt idx="227">
                  <c:v>2580.77</c:v>
                </c:pt>
                <c:pt idx="228">
                  <c:v>2509.33</c:v>
                </c:pt>
                <c:pt idx="229">
                  <c:v>2370.7399999999998</c:v>
                </c:pt>
                <c:pt idx="230">
                  <c:v>2354.0100000000002</c:v>
                </c:pt>
                <c:pt idx="231">
                  <c:v>2471.09</c:v>
                </c:pt>
                <c:pt idx="232">
                  <c:v>2610.1799999999998</c:v>
                </c:pt>
                <c:pt idx="233">
                  <c:v>2507.23</c:v>
                </c:pt>
                <c:pt idx="234">
                  <c:v>2592.0500000000002</c:v>
                </c:pt>
                <c:pt idx="235">
                  <c:v>2711.92</c:v>
                </c:pt>
                <c:pt idx="236">
                  <c:v>2627.73</c:v>
                </c:pt>
                <c:pt idx="237">
                  <c:v>2689.51</c:v>
                </c:pt>
                <c:pt idx="238">
                  <c:v>2857.25</c:v>
                </c:pt>
                <c:pt idx="239">
                  <c:v>2706.22</c:v>
                </c:pt>
                <c:pt idx="240">
                  <c:v>2634.57</c:v>
                </c:pt>
                <c:pt idx="241">
                  <c:v>2706.15</c:v>
                </c:pt>
                <c:pt idx="242">
                  <c:v>2385.98</c:v>
                </c:pt>
                <c:pt idx="243">
                  <c:v>2278.7399999999998</c:v>
                </c:pt>
                <c:pt idx="244">
                  <c:v>2412.1</c:v>
                </c:pt>
                <c:pt idx="245">
                  <c:v>2742.23</c:v>
                </c:pt>
                <c:pt idx="246">
                  <c:v>2884.94</c:v>
                </c:pt>
                <c:pt idx="247">
                  <c:v>2705.11</c:v>
                </c:pt>
                <c:pt idx="248">
                  <c:v>2648.43</c:v>
                </c:pt>
                <c:pt idx="249">
                  <c:v>2096.39</c:v>
                </c:pt>
                <c:pt idx="250">
                  <c:v>2294.87</c:v>
                </c:pt>
                <c:pt idx="251">
                  <c:v>2430.98</c:v>
                </c:pt>
                <c:pt idx="252">
                  <c:v>2768.62</c:v>
                </c:pt>
                <c:pt idx="253">
                  <c:v>2438.92</c:v>
                </c:pt>
                <c:pt idx="254">
                  <c:v>3375.07</c:v>
                </c:pt>
                <c:pt idx="255">
                  <c:v>3282.51</c:v>
                </c:pt>
                <c:pt idx="256">
                  <c:v>3582.1</c:v>
                </c:pt>
                <c:pt idx="257">
                  <c:v>3646.68</c:v>
                </c:pt>
                <c:pt idx="258">
                  <c:v>4075.01</c:v>
                </c:pt>
                <c:pt idx="259">
                  <c:v>3717.91</c:v>
                </c:pt>
                <c:pt idx="260">
                  <c:v>3823.21</c:v>
                </c:pt>
                <c:pt idx="261">
                  <c:v>4173.45</c:v>
                </c:pt>
                <c:pt idx="262">
                  <c:v>3945.88</c:v>
                </c:pt>
                <c:pt idx="263">
                  <c:v>3923.95</c:v>
                </c:pt>
                <c:pt idx="264">
                  <c:v>3910.26</c:v>
                </c:pt>
                <c:pt idx="265">
                  <c:v>3479.53</c:v>
                </c:pt>
                <c:pt idx="266">
                  <c:v>3489.73</c:v>
                </c:pt>
                <c:pt idx="267">
                  <c:v>3524.26</c:v>
                </c:pt>
                <c:pt idx="268">
                  <c:v>3239.01</c:v>
                </c:pt>
                <c:pt idx="269">
                  <c:v>3431.04</c:v>
                </c:pt>
                <c:pt idx="270">
                  <c:v>2949.56</c:v>
                </c:pt>
                <c:pt idx="271">
                  <c:v>2944.77</c:v>
                </c:pt>
                <c:pt idx="272">
                  <c:v>2772.42</c:v>
                </c:pt>
                <c:pt idx="273">
                  <c:v>2757.04</c:v>
                </c:pt>
                <c:pt idx="274">
                  <c:v>2748.24</c:v>
                </c:pt>
                <c:pt idx="275">
                  <c:v>2666.13</c:v>
                </c:pt>
                <c:pt idx="276">
                  <c:v>2532.6</c:v>
                </c:pt>
                <c:pt idx="277">
                  <c:v>2320.4899999999998</c:v>
                </c:pt>
                <c:pt idx="278">
                  <c:v>2213.35</c:v>
                </c:pt>
                <c:pt idx="279">
                  <c:v>2367.39</c:v>
                </c:pt>
                <c:pt idx="280">
                  <c:v>2397.94</c:v>
                </c:pt>
                <c:pt idx="281">
                  <c:v>2357.06</c:v>
                </c:pt>
                <c:pt idx="282">
                  <c:v>2330.0300000000002</c:v>
                </c:pt>
                <c:pt idx="283">
                  <c:v>2161.12</c:v>
                </c:pt>
                <c:pt idx="284">
                  <c:v>2235.64</c:v>
                </c:pt>
                <c:pt idx="285">
                  <c:v>2317.6</c:v>
                </c:pt>
                <c:pt idx="286">
                  <c:v>2422.67</c:v>
                </c:pt>
                <c:pt idx="287">
                  <c:v>2514.04</c:v>
                </c:pt>
                <c:pt idx="288">
                  <c:v>2432.6</c:v>
                </c:pt>
                <c:pt idx="289">
                  <c:v>2299.19</c:v>
                </c:pt>
                <c:pt idx="290">
                  <c:v>2137.69</c:v>
                </c:pt>
                <c:pt idx="291">
                  <c:v>2151.36</c:v>
                </c:pt>
                <c:pt idx="292">
                  <c:v>2133.4899999999998</c:v>
                </c:pt>
                <c:pt idx="293">
                  <c:v>2066.87</c:v>
                </c:pt>
                <c:pt idx="294">
                  <c:v>2080.46</c:v>
                </c:pt>
                <c:pt idx="295">
                  <c:v>1963.47</c:v>
                </c:pt>
                <c:pt idx="296">
                  <c:v>2112.21</c:v>
                </c:pt>
                <c:pt idx="297">
                  <c:v>2107.38</c:v>
                </c:pt>
                <c:pt idx="298">
                  <c:v>2075.69</c:v>
                </c:pt>
                <c:pt idx="299">
                  <c:v>2008.52</c:v>
                </c:pt>
                <c:pt idx="300">
                  <c:v>2133.69</c:v>
                </c:pt>
                <c:pt idx="301">
                  <c:v>1968.05</c:v>
                </c:pt>
                <c:pt idx="302">
                  <c:v>1919.37</c:v>
                </c:pt>
                <c:pt idx="303">
                  <c:v>1840.46</c:v>
                </c:pt>
                <c:pt idx="304">
                  <c:v>1816.74</c:v>
                </c:pt>
                <c:pt idx="305">
                  <c:v>1687.01</c:v>
                </c:pt>
                <c:pt idx="306">
                  <c:v>1712.63</c:v>
                </c:pt>
                <c:pt idx="307">
                  <c:v>1698.84</c:v>
                </c:pt>
                <c:pt idx="308">
                  <c:v>1585.74</c:v>
                </c:pt>
                <c:pt idx="309">
                  <c:v>1581.84</c:v>
                </c:pt>
                <c:pt idx="310">
                  <c:v>1668.08</c:v>
                </c:pt>
                <c:pt idx="311">
                  <c:v>1680.97</c:v>
                </c:pt>
                <c:pt idx="312">
                  <c:v>1782.98</c:v>
                </c:pt>
                <c:pt idx="313">
                  <c:v>1806.1</c:v>
                </c:pt>
                <c:pt idx="314">
                  <c:v>1809.1</c:v>
                </c:pt>
                <c:pt idx="315">
                  <c:v>1776.08</c:v>
                </c:pt>
                <c:pt idx="316">
                  <c:v>1823.58</c:v>
                </c:pt>
                <c:pt idx="317">
                  <c:v>1805.12</c:v>
                </c:pt>
                <c:pt idx="318">
                  <c:v>1793.48</c:v>
                </c:pt>
                <c:pt idx="319">
                  <c:v>1848.1</c:v>
                </c:pt>
                <c:pt idx="320">
                  <c:v>1922.35</c:v>
                </c:pt>
                <c:pt idx="321">
                  <c:v>1766.1</c:v>
                </c:pt>
                <c:pt idx="322">
                  <c:v>1825.78</c:v>
                </c:pt>
                <c:pt idx="323">
                  <c:v>1795.12</c:v>
                </c:pt>
                <c:pt idx="324">
                  <c:v>1870.51</c:v>
                </c:pt>
                <c:pt idx="325">
                  <c:v>1833.18</c:v>
                </c:pt>
                <c:pt idx="326">
                  <c:v>1726.16</c:v>
                </c:pt>
                <c:pt idx="327">
                  <c:v>1650.35</c:v>
                </c:pt>
                <c:pt idx="328">
                  <c:v>1528.31</c:v>
                </c:pt>
                <c:pt idx="329">
                  <c:v>1539.23</c:v>
                </c:pt>
                <c:pt idx="330">
                  <c:v>1567.69</c:v>
                </c:pt>
                <c:pt idx="331">
                  <c:v>1486.78</c:v>
                </c:pt>
                <c:pt idx="332">
                  <c:v>1569.86</c:v>
                </c:pt>
                <c:pt idx="333">
                  <c:v>1419.18</c:v>
                </c:pt>
                <c:pt idx="334">
                  <c:v>1458.13</c:v>
                </c:pt>
                <c:pt idx="335">
                  <c:v>1444.59</c:v>
                </c:pt>
                <c:pt idx="336">
                  <c:v>1481.75</c:v>
                </c:pt>
                <c:pt idx="337">
                  <c:v>1623.39</c:v>
                </c:pt>
                <c:pt idx="338">
                  <c:v>1577.89</c:v>
                </c:pt>
                <c:pt idx="339">
                  <c:v>1777.58</c:v>
                </c:pt>
                <c:pt idx="340">
                  <c:v>1933.53</c:v>
                </c:pt>
                <c:pt idx="341">
                  <c:v>1913</c:v>
                </c:pt>
                <c:pt idx="342">
                  <c:v>1955</c:v>
                </c:pt>
                <c:pt idx="343">
                  <c:v>1939.61</c:v>
                </c:pt>
                <c:pt idx="344">
                  <c:v>1849.88</c:v>
                </c:pt>
                <c:pt idx="345">
                  <c:v>1781.99</c:v>
                </c:pt>
                <c:pt idx="346">
                  <c:v>1779.25</c:v>
                </c:pt>
                <c:pt idx="347">
                  <c:v>1800.42</c:v>
                </c:pt>
                <c:pt idx="348">
                  <c:v>1814.96</c:v>
                </c:pt>
                <c:pt idx="349">
                  <c:v>1840.26</c:v>
                </c:pt>
                <c:pt idx="350">
                  <c:v>1785.62</c:v>
                </c:pt>
                <c:pt idx="351">
                  <c:v>1740.78</c:v>
                </c:pt>
                <c:pt idx="352">
                  <c:v>1769.13</c:v>
                </c:pt>
                <c:pt idx="353">
                  <c:v>1750.15</c:v>
                </c:pt>
                <c:pt idx="354">
                  <c:v>1611.62</c:v>
                </c:pt>
                <c:pt idx="355">
                  <c:v>1676.35</c:v>
                </c:pt>
                <c:pt idx="356">
                  <c:v>1719.19</c:v>
                </c:pt>
                <c:pt idx="357">
                  <c:v>1595.67</c:v>
                </c:pt>
                <c:pt idx="358">
                  <c:v>1664.49</c:v>
                </c:pt>
                <c:pt idx="359">
                  <c:v>1511.87</c:v>
                </c:pt>
                <c:pt idx="360">
                  <c:v>1374.17</c:v>
                </c:pt>
                <c:pt idx="361">
                  <c:v>1312.55</c:v>
                </c:pt>
                <c:pt idx="362">
                  <c:v>1378.05</c:v>
                </c:pt>
                <c:pt idx="363">
                  <c:v>1379.5</c:v>
                </c:pt>
                <c:pt idx="364">
                  <c:v>1329.69</c:v>
                </c:pt>
                <c:pt idx="365">
                  <c:v>1239.03</c:v>
                </c:pt>
                <c:pt idx="366">
                  <c:v>1365.97</c:v>
                </c:pt>
                <c:pt idx="367">
                  <c:v>1317.88</c:v>
                </c:pt>
                <c:pt idx="368">
                  <c:v>1392.51</c:v>
                </c:pt>
                <c:pt idx="369">
                  <c:v>1233.5999999999999</c:v>
                </c:pt>
                <c:pt idx="370">
                  <c:v>1232.6199999999999</c:v>
                </c:pt>
                <c:pt idx="371">
                  <c:v>1110.96</c:v>
                </c:pt>
                <c:pt idx="372">
                  <c:v>1376.99</c:v>
                </c:pt>
                <c:pt idx="373">
                  <c:v>1365.36</c:v>
                </c:pt>
                <c:pt idx="374">
                  <c:v>1258.45</c:v>
                </c:pt>
                <c:pt idx="375">
                  <c:v>1232.45</c:v>
                </c:pt>
                <c:pt idx="376">
                  <c:v>1227.83</c:v>
                </c:pt>
                <c:pt idx="377">
                  <c:v>1168.53</c:v>
                </c:pt>
                <c:pt idx="378">
                  <c:v>1231.6199999999999</c:v>
                </c:pt>
                <c:pt idx="379">
                  <c:v>1129.8900000000001</c:v>
                </c:pt>
                <c:pt idx="380">
                  <c:v>1050.1600000000001</c:v>
                </c:pt>
                <c:pt idx="381">
                  <c:v>1087.01</c:v>
                </c:pt>
                <c:pt idx="382">
                  <c:v>1254.25</c:v>
                </c:pt>
                <c:pt idx="383">
                  <c:v>1276</c:v>
                </c:pt>
                <c:pt idx="384">
                  <c:v>1216.93</c:v>
                </c:pt>
                <c:pt idx="385">
                  <c:v>1224.8699999999999</c:v>
                </c:pt>
                <c:pt idx="386">
                  <c:v>1208.42</c:v>
                </c:pt>
                <c:pt idx="387">
                  <c:v>1099.56</c:v>
                </c:pt>
                <c:pt idx="388">
                  <c:v>1041.43</c:v>
                </c:pt>
                <c:pt idx="389">
                  <c:v>978.28</c:v>
                </c:pt>
                <c:pt idx="390">
                  <c:v>774.56</c:v>
                </c:pt>
                <c:pt idx="391">
                  <c:v>728.91</c:v>
                </c:pt>
                <c:pt idx="392">
                  <c:v>736.42</c:v>
                </c:pt>
                <c:pt idx="393">
                  <c:v>752.17</c:v>
                </c:pt>
                <c:pt idx="394">
                  <c:v>732</c:v>
                </c:pt>
                <c:pt idx="395">
                  <c:v>730.41</c:v>
                </c:pt>
                <c:pt idx="396">
                  <c:v>685.11</c:v>
                </c:pt>
                <c:pt idx="397">
                  <c:v>637.44000000000005</c:v>
                </c:pt>
                <c:pt idx="398">
                  <c:v>626.82000000000005</c:v>
                </c:pt>
                <c:pt idx="399">
                  <c:v>612.30999999999995</c:v>
                </c:pt>
                <c:pt idx="400">
                  <c:v>585.55999999999995</c:v>
                </c:pt>
                <c:pt idx="401">
                  <c:v>636.45000000000005</c:v>
                </c:pt>
                <c:pt idx="402">
                  <c:v>607.58000000000004</c:v>
                </c:pt>
                <c:pt idx="403">
                  <c:v>638.17999999999995</c:v>
                </c:pt>
                <c:pt idx="404">
                  <c:v>658.03</c:v>
                </c:pt>
                <c:pt idx="405">
                  <c:v>653.85</c:v>
                </c:pt>
                <c:pt idx="406">
                  <c:v>642.70000000000005</c:v>
                </c:pt>
                <c:pt idx="407">
                  <c:v>637.17999999999995</c:v>
                </c:pt>
                <c:pt idx="408">
                  <c:v>588.64</c:v>
                </c:pt>
                <c:pt idx="409">
                  <c:v>586.29</c:v>
                </c:pt>
                <c:pt idx="410">
                  <c:v>590.70000000000005</c:v>
                </c:pt>
                <c:pt idx="411">
                  <c:v>568.04</c:v>
                </c:pt>
                <c:pt idx="412">
                  <c:v>544.42999999999995</c:v>
                </c:pt>
                <c:pt idx="413">
                  <c:v>558.99</c:v>
                </c:pt>
                <c:pt idx="414">
                  <c:v>573.09</c:v>
                </c:pt>
                <c:pt idx="415">
                  <c:v>554.94000000000005</c:v>
                </c:pt>
                <c:pt idx="416">
                  <c:v>591.28</c:v>
                </c:pt>
                <c:pt idx="417">
                  <c:v>601.54</c:v>
                </c:pt>
                <c:pt idx="418">
                  <c:v>596.79999999999995</c:v>
                </c:pt>
                <c:pt idx="419">
                  <c:v>567.24</c:v>
                </c:pt>
                <c:pt idx="420">
                  <c:v>615.85</c:v>
                </c:pt>
                <c:pt idx="421">
                  <c:v>596.89</c:v>
                </c:pt>
                <c:pt idx="422">
                  <c:v>585.26</c:v>
                </c:pt>
                <c:pt idx="423">
                  <c:v>616.66</c:v>
                </c:pt>
                <c:pt idx="424">
                  <c:v>576.29999999999995</c:v>
                </c:pt>
                <c:pt idx="425">
                  <c:v>537.52</c:v>
                </c:pt>
                <c:pt idx="426">
                  <c:v>518.67999999999995</c:v>
                </c:pt>
                <c:pt idx="427">
                  <c:v>519.83000000000004</c:v>
                </c:pt>
                <c:pt idx="428">
                  <c:v>569.5</c:v>
                </c:pt>
                <c:pt idx="429">
                  <c:v>604.97</c:v>
                </c:pt>
                <c:pt idx="430">
                  <c:v>608.58000000000004</c:v>
                </c:pt>
                <c:pt idx="431">
                  <c:v>560.03</c:v>
                </c:pt>
                <c:pt idx="432">
                  <c:v>552.35</c:v>
                </c:pt>
                <c:pt idx="433">
                  <c:v>510.12</c:v>
                </c:pt>
                <c:pt idx="434">
                  <c:v>471.25</c:v>
                </c:pt>
                <c:pt idx="435">
                  <c:v>478.41</c:v>
                </c:pt>
                <c:pt idx="436">
                  <c:v>482.15</c:v>
                </c:pt>
                <c:pt idx="437">
                  <c:v>460.55</c:v>
                </c:pt>
                <c:pt idx="438">
                  <c:v>448.08</c:v>
                </c:pt>
                <c:pt idx="439">
                  <c:v>460.89</c:v>
                </c:pt>
                <c:pt idx="440">
                  <c:v>476.43</c:v>
                </c:pt>
                <c:pt idx="441">
                  <c:v>462.39</c:v>
                </c:pt>
                <c:pt idx="442">
                  <c:v>463.09</c:v>
                </c:pt>
                <c:pt idx="443">
                  <c:v>450.34</c:v>
                </c:pt>
                <c:pt idx="444">
                  <c:v>444.32</c:v>
                </c:pt>
                <c:pt idx="445">
                  <c:v>454.3</c:v>
                </c:pt>
                <c:pt idx="446">
                  <c:v>435.21</c:v>
                </c:pt>
                <c:pt idx="447">
                  <c:v>455.91</c:v>
                </c:pt>
                <c:pt idx="448">
                  <c:v>416.69</c:v>
                </c:pt>
                <c:pt idx="449">
                  <c:v>402.49</c:v>
                </c:pt>
                <c:pt idx="450">
                  <c:v>387.88</c:v>
                </c:pt>
                <c:pt idx="451">
                  <c:v>383.02</c:v>
                </c:pt>
                <c:pt idx="452">
                  <c:v>396.67</c:v>
                </c:pt>
                <c:pt idx="453">
                  <c:v>386.46</c:v>
                </c:pt>
                <c:pt idx="454">
                  <c:v>382.49</c:v>
                </c:pt>
                <c:pt idx="455">
                  <c:v>387.13</c:v>
                </c:pt>
                <c:pt idx="456">
                  <c:v>388.23</c:v>
                </c:pt>
                <c:pt idx="457">
                  <c:v>403.45</c:v>
                </c:pt>
                <c:pt idx="458">
                  <c:v>392.52</c:v>
                </c:pt>
                <c:pt idx="459">
                  <c:v>405.86</c:v>
                </c:pt>
                <c:pt idx="460">
                  <c:v>412.14</c:v>
                </c:pt>
                <c:pt idx="461">
                  <c:v>409.11</c:v>
                </c:pt>
                <c:pt idx="462">
                  <c:v>413.98</c:v>
                </c:pt>
                <c:pt idx="463">
                  <c:v>390.38</c:v>
                </c:pt>
                <c:pt idx="464">
                  <c:v>368.52</c:v>
                </c:pt>
                <c:pt idx="465">
                  <c:v>379.3</c:v>
                </c:pt>
                <c:pt idx="466">
                  <c:v>378.11</c:v>
                </c:pt>
                <c:pt idx="467">
                  <c:v>368.32</c:v>
                </c:pt>
                <c:pt idx="468">
                  <c:v>365.5</c:v>
                </c:pt>
                <c:pt idx="469">
                  <c:v>377.64</c:v>
                </c:pt>
                <c:pt idx="470">
                  <c:v>378.69</c:v>
                </c:pt>
                <c:pt idx="471">
                  <c:v>381.04</c:v>
                </c:pt>
                <c:pt idx="472">
                  <c:v>386.51</c:v>
                </c:pt>
                <c:pt idx="473">
                  <c:v>374.16</c:v>
                </c:pt>
                <c:pt idx="474">
                  <c:v>370.52</c:v>
                </c:pt>
                <c:pt idx="475">
                  <c:v>365.02</c:v>
                </c:pt>
                <c:pt idx="476">
                  <c:v>350.95</c:v>
                </c:pt>
                <c:pt idx="477">
                  <c:v>341.58</c:v>
                </c:pt>
                <c:pt idx="478">
                  <c:v>340.75</c:v>
                </c:pt>
                <c:pt idx="479">
                  <c:v>353.62</c:v>
                </c:pt>
                <c:pt idx="480">
                  <c:v>352.37</c:v>
                </c:pt>
                <c:pt idx="481">
                  <c:v>345.95</c:v>
                </c:pt>
                <c:pt idx="482">
                  <c:v>345.6</c:v>
                </c:pt>
                <c:pt idx="483">
                  <c:v>352.85</c:v>
                </c:pt>
                <c:pt idx="484">
                  <c:v>359.83</c:v>
                </c:pt>
                <c:pt idx="485">
                  <c:v>359.79</c:v>
                </c:pt>
                <c:pt idx="486">
                  <c:v>353.96</c:v>
                </c:pt>
                <c:pt idx="487">
                  <c:v>357.49</c:v>
                </c:pt>
                <c:pt idx="488">
                  <c:v>353.92</c:v>
                </c:pt>
                <c:pt idx="489">
                  <c:v>351.92</c:v>
                </c:pt>
                <c:pt idx="490">
                  <c:v>348.97</c:v>
                </c:pt>
                <c:pt idx="491">
                  <c:v>320.72000000000003</c:v>
                </c:pt>
                <c:pt idx="492">
                  <c:v>344.21</c:v>
                </c:pt>
                <c:pt idx="493">
                  <c:v>340.36</c:v>
                </c:pt>
                <c:pt idx="494">
                  <c:v>371.04</c:v>
                </c:pt>
                <c:pt idx="495">
                  <c:v>385.25</c:v>
                </c:pt>
                <c:pt idx="496">
                  <c:v>384.39</c:v>
                </c:pt>
                <c:pt idx="497">
                  <c:v>389.36</c:v>
                </c:pt>
                <c:pt idx="498">
                  <c:v>365.11</c:v>
                </c:pt>
                <c:pt idx="499">
                  <c:v>364.06</c:v>
                </c:pt>
                <c:pt idx="500">
                  <c:v>377.12</c:v>
                </c:pt>
                <c:pt idx="501">
                  <c:v>366.42</c:v>
                </c:pt>
                <c:pt idx="502">
                  <c:v>387.78</c:v>
                </c:pt>
                <c:pt idx="503">
                  <c:v>373.63</c:v>
                </c:pt>
                <c:pt idx="504">
                  <c:v>367.93</c:v>
                </c:pt>
                <c:pt idx="505">
                  <c:v>350.85</c:v>
                </c:pt>
                <c:pt idx="506">
                  <c:v>337.39</c:v>
                </c:pt>
                <c:pt idx="507">
                  <c:v>353.59</c:v>
                </c:pt>
                <c:pt idx="508">
                  <c:v>352.8</c:v>
                </c:pt>
                <c:pt idx="509">
                  <c:v>335.01</c:v>
                </c:pt>
                <c:pt idx="510">
                  <c:v>385.26</c:v>
                </c:pt>
                <c:pt idx="511">
                  <c:v>381.4</c:v>
                </c:pt>
                <c:pt idx="512">
                  <c:v>439.5</c:v>
                </c:pt>
                <c:pt idx="513">
                  <c:v>475.4</c:v>
                </c:pt>
                <c:pt idx="514">
                  <c:v>433.79</c:v>
                </c:pt>
                <c:pt idx="515">
                  <c:v>428.94</c:v>
                </c:pt>
                <c:pt idx="516">
                  <c:v>398.65</c:v>
                </c:pt>
                <c:pt idx="517">
                  <c:v>395.11</c:v>
                </c:pt>
                <c:pt idx="518">
                  <c:v>383.27</c:v>
                </c:pt>
                <c:pt idx="519">
                  <c:v>385.81</c:v>
                </c:pt>
                <c:pt idx="520">
                  <c:v>382.93</c:v>
                </c:pt>
                <c:pt idx="521">
                  <c:v>407.68</c:v>
                </c:pt>
                <c:pt idx="522">
                  <c:v>390.71</c:v>
                </c:pt>
                <c:pt idx="523">
                  <c:v>395.24</c:v>
                </c:pt>
                <c:pt idx="524">
                  <c:v>387.97</c:v>
                </c:pt>
                <c:pt idx="525">
                  <c:v>415.94</c:v>
                </c:pt>
                <c:pt idx="526">
                  <c:v>407.46</c:v>
                </c:pt>
                <c:pt idx="527">
                  <c:v>421.95</c:v>
                </c:pt>
                <c:pt idx="528">
                  <c:v>430.89</c:v>
                </c:pt>
                <c:pt idx="529">
                  <c:v>433.62</c:v>
                </c:pt>
                <c:pt idx="530">
                  <c:v>432.32</c:v>
                </c:pt>
                <c:pt idx="531">
                  <c:v>438.11</c:v>
                </c:pt>
                <c:pt idx="532">
                  <c:v>424.54</c:v>
                </c:pt>
                <c:pt idx="533">
                  <c:v>387.18</c:v>
                </c:pt>
                <c:pt idx="534">
                  <c:v>379</c:v>
                </c:pt>
                <c:pt idx="535">
                  <c:v>395.44</c:v>
                </c:pt>
                <c:pt idx="536">
                  <c:v>390.14</c:v>
                </c:pt>
                <c:pt idx="537">
                  <c:v>397.03</c:v>
                </c:pt>
                <c:pt idx="538">
                  <c:v>379.34</c:v>
                </c:pt>
                <c:pt idx="539">
                  <c:v>394.77</c:v>
                </c:pt>
                <c:pt idx="540">
                  <c:v>400.72</c:v>
                </c:pt>
                <c:pt idx="541">
                  <c:v>389.61</c:v>
                </c:pt>
                <c:pt idx="542">
                  <c:v>385.94</c:v>
                </c:pt>
                <c:pt idx="543">
                  <c:v>372.42</c:v>
                </c:pt>
                <c:pt idx="544">
                  <c:v>387</c:v>
                </c:pt>
                <c:pt idx="545">
                  <c:v>346.33</c:v>
                </c:pt>
                <c:pt idx="546">
                  <c:v>334.87</c:v>
                </c:pt>
                <c:pt idx="547">
                  <c:v>317.70999999999998</c:v>
                </c:pt>
                <c:pt idx="548">
                  <c:v>316.77</c:v>
                </c:pt>
                <c:pt idx="549">
                  <c:v>321.93</c:v>
                </c:pt>
                <c:pt idx="550">
                  <c:v>311</c:v>
                </c:pt>
                <c:pt idx="551">
                  <c:v>305.26</c:v>
                </c:pt>
                <c:pt idx="552">
                  <c:v>279.14999999999998</c:v>
                </c:pt>
                <c:pt idx="553">
                  <c:v>275.3</c:v>
                </c:pt>
                <c:pt idx="554">
                  <c:v>263.74</c:v>
                </c:pt>
                <c:pt idx="555">
                  <c:v>245.59</c:v>
                </c:pt>
                <c:pt idx="556">
                  <c:v>236.01</c:v>
                </c:pt>
                <c:pt idx="557">
                  <c:v>239.11</c:v>
                </c:pt>
                <c:pt idx="558">
                  <c:v>235.67</c:v>
                </c:pt>
                <c:pt idx="559">
                  <c:v>232.67</c:v>
                </c:pt>
                <c:pt idx="560">
                  <c:v>233.57</c:v>
                </c:pt>
                <c:pt idx="561">
                  <c:v>238.61</c:v>
                </c:pt>
                <c:pt idx="562">
                  <c:v>240.44</c:v>
                </c:pt>
                <c:pt idx="563">
                  <c:v>239.5</c:v>
                </c:pt>
                <c:pt idx="564">
                  <c:v>242.79</c:v>
                </c:pt>
                <c:pt idx="565">
                  <c:v>239.19</c:v>
                </c:pt>
                <c:pt idx="566">
                  <c:v>241.26</c:v>
                </c:pt>
                <c:pt idx="567">
                  <c:v>241.98</c:v>
                </c:pt>
                <c:pt idx="568">
                  <c:v>246.95</c:v>
                </c:pt>
                <c:pt idx="569">
                  <c:v>239.39</c:v>
                </c:pt>
                <c:pt idx="570">
                  <c:v>241.6</c:v>
                </c:pt>
                <c:pt idx="571">
                  <c:v>227.56</c:v>
                </c:pt>
                <c:pt idx="572">
                  <c:v>229.17</c:v>
                </c:pt>
                <c:pt idx="573">
                  <c:v>224.87</c:v>
                </c:pt>
                <c:pt idx="574">
                  <c:v>226.46</c:v>
                </c:pt>
                <c:pt idx="575">
                  <c:v>230.99</c:v>
                </c:pt>
                <c:pt idx="576">
                  <c:v>225.6</c:v>
                </c:pt>
                <c:pt idx="577">
                  <c:v>227.93</c:v>
                </c:pt>
                <c:pt idx="578">
                  <c:v>224.93</c:v>
                </c:pt>
                <c:pt idx="579">
                  <c:v>220.94</c:v>
                </c:pt>
                <c:pt idx="580">
                  <c:v>229.64</c:v>
                </c:pt>
                <c:pt idx="581">
                  <c:v>232.5</c:v>
                </c:pt>
                <c:pt idx="582">
                  <c:v>234.58</c:v>
                </c:pt>
                <c:pt idx="583">
                  <c:v>243.14</c:v>
                </c:pt>
                <c:pt idx="584">
                  <c:v>243.13</c:v>
                </c:pt>
                <c:pt idx="585">
                  <c:v>228.04</c:v>
                </c:pt>
                <c:pt idx="586">
                  <c:v>228.89</c:v>
                </c:pt>
                <c:pt idx="587">
                  <c:v>229</c:v>
                </c:pt>
                <c:pt idx="588">
                  <c:v>231.27</c:v>
                </c:pt>
                <c:pt idx="589">
                  <c:v>233.82</c:v>
                </c:pt>
                <c:pt idx="590">
                  <c:v>235.3</c:v>
                </c:pt>
                <c:pt idx="591">
                  <c:v>230.86</c:v>
                </c:pt>
                <c:pt idx="592">
                  <c:v>231.77</c:v>
                </c:pt>
                <c:pt idx="593">
                  <c:v>238.11</c:v>
                </c:pt>
                <c:pt idx="594">
                  <c:v>237.55</c:v>
                </c:pt>
                <c:pt idx="595">
                  <c:v>230.51</c:v>
                </c:pt>
                <c:pt idx="596">
                  <c:v>247.78</c:v>
                </c:pt>
                <c:pt idx="597">
                  <c:v>243.8</c:v>
                </c:pt>
                <c:pt idx="598">
                  <c:v>246.4</c:v>
                </c:pt>
                <c:pt idx="599">
                  <c:v>244.56</c:v>
                </c:pt>
                <c:pt idx="600">
                  <c:v>241.94</c:v>
                </c:pt>
                <c:pt idx="601">
                  <c:v>240.03</c:v>
                </c:pt>
                <c:pt idx="602">
                  <c:v>243.21</c:v>
                </c:pt>
                <c:pt idx="603">
                  <c:v>244.52</c:v>
                </c:pt>
                <c:pt idx="604">
                  <c:v>237.71</c:v>
                </c:pt>
                <c:pt idx="605">
                  <c:v>248.23</c:v>
                </c:pt>
                <c:pt idx="606">
                  <c:v>231.57</c:v>
                </c:pt>
                <c:pt idx="607">
                  <c:v>243.66</c:v>
                </c:pt>
                <c:pt idx="608">
                  <c:v>220.67</c:v>
                </c:pt>
                <c:pt idx="609">
                  <c:v>220.21</c:v>
                </c:pt>
                <c:pt idx="610">
                  <c:v>208.29</c:v>
                </c:pt>
                <c:pt idx="611">
                  <c:v>200.89</c:v>
                </c:pt>
                <c:pt idx="612">
                  <c:v>204.15</c:v>
                </c:pt>
                <c:pt idx="613">
                  <c:v>199.9</c:v>
                </c:pt>
                <c:pt idx="614">
                  <c:v>206.6</c:v>
                </c:pt>
                <c:pt idx="615">
                  <c:v>207.36</c:v>
                </c:pt>
                <c:pt idx="616">
                  <c:v>198.74</c:v>
                </c:pt>
                <c:pt idx="617">
                  <c:v>209.98</c:v>
                </c:pt>
                <c:pt idx="618">
                  <c:v>214.58</c:v>
                </c:pt>
                <c:pt idx="619">
                  <c:v>214.91</c:v>
                </c:pt>
                <c:pt idx="620">
                  <c:v>207</c:v>
                </c:pt>
                <c:pt idx="621">
                  <c:v>200.45</c:v>
                </c:pt>
                <c:pt idx="622">
                  <c:v>194.86</c:v>
                </c:pt>
                <c:pt idx="623">
                  <c:v>203.29</c:v>
                </c:pt>
                <c:pt idx="624">
                  <c:v>199.58</c:v>
                </c:pt>
                <c:pt idx="625">
                  <c:v>189.76</c:v>
                </c:pt>
                <c:pt idx="626">
                  <c:v>185.73</c:v>
                </c:pt>
                <c:pt idx="627">
                  <c:v>187.54</c:v>
                </c:pt>
                <c:pt idx="628">
                  <c:v>210.07</c:v>
                </c:pt>
                <c:pt idx="629">
                  <c:v>211.31</c:v>
                </c:pt>
                <c:pt idx="630">
                  <c:v>212</c:v>
                </c:pt>
                <c:pt idx="631">
                  <c:v>198.97</c:v>
                </c:pt>
                <c:pt idx="632">
                  <c:v>205.29</c:v>
                </c:pt>
                <c:pt idx="633">
                  <c:v>206.48</c:v>
                </c:pt>
                <c:pt idx="634">
                  <c:v>209.86</c:v>
                </c:pt>
                <c:pt idx="635">
                  <c:v>213.9</c:v>
                </c:pt>
                <c:pt idx="636">
                  <c:v>212.02</c:v>
                </c:pt>
                <c:pt idx="637">
                  <c:v>206.08</c:v>
                </c:pt>
                <c:pt idx="638">
                  <c:v>215.36</c:v>
                </c:pt>
                <c:pt idx="639">
                  <c:v>196.24</c:v>
                </c:pt>
                <c:pt idx="640">
                  <c:v>196.34</c:v>
                </c:pt>
                <c:pt idx="641">
                  <c:v>197.38</c:v>
                </c:pt>
                <c:pt idx="642">
                  <c:v>194.21</c:v>
                </c:pt>
                <c:pt idx="643">
                  <c:v>187.59</c:v>
                </c:pt>
                <c:pt idx="644">
                  <c:v>185.51</c:v>
                </c:pt>
                <c:pt idx="645">
                  <c:v>182.7</c:v>
                </c:pt>
                <c:pt idx="646">
                  <c:v>170.74</c:v>
                </c:pt>
                <c:pt idx="647">
                  <c:v>170.2</c:v>
                </c:pt>
                <c:pt idx="648">
                  <c:v>180.03</c:v>
                </c:pt>
                <c:pt idx="649">
                  <c:v>187.4</c:v>
                </c:pt>
                <c:pt idx="650">
                  <c:v>170.69</c:v>
                </c:pt>
                <c:pt idx="651">
                  <c:v>172.29</c:v>
                </c:pt>
                <c:pt idx="652">
                  <c:v>152.72999999999999</c:v>
                </c:pt>
                <c:pt idx="653">
                  <c:v>158.44999999999999</c:v>
                </c:pt>
                <c:pt idx="654">
                  <c:v>156.29</c:v>
                </c:pt>
                <c:pt idx="655">
                  <c:v>158.59</c:v>
                </c:pt>
                <c:pt idx="656">
                  <c:v>158.33000000000001</c:v>
                </c:pt>
                <c:pt idx="657">
                  <c:v>157.81</c:v>
                </c:pt>
                <c:pt idx="658">
                  <c:v>169.52</c:v>
                </c:pt>
                <c:pt idx="659">
                  <c:v>173.11</c:v>
                </c:pt>
                <c:pt idx="660">
                  <c:v>164.63</c:v>
                </c:pt>
                <c:pt idx="661">
                  <c:v>171.32</c:v>
                </c:pt>
                <c:pt idx="662">
                  <c:v>142.68</c:v>
                </c:pt>
                <c:pt idx="663">
                  <c:v>144.1</c:v>
                </c:pt>
                <c:pt idx="664">
                  <c:v>141.31</c:v>
                </c:pt>
                <c:pt idx="665">
                  <c:v>141.28</c:v>
                </c:pt>
                <c:pt idx="666">
                  <c:v>135.69</c:v>
                </c:pt>
                <c:pt idx="667">
                  <c:v>132.72</c:v>
                </c:pt>
                <c:pt idx="668">
                  <c:v>132.06</c:v>
                </c:pt>
                <c:pt idx="669">
                  <c:v>124.5</c:v>
                </c:pt>
                <c:pt idx="670">
                  <c:v>130.97999999999999</c:v>
                </c:pt>
                <c:pt idx="671">
                  <c:v>131.33000000000001</c:v>
                </c:pt>
                <c:pt idx="672">
                  <c:v>138.4</c:v>
                </c:pt>
                <c:pt idx="673">
                  <c:v>136.1</c:v>
                </c:pt>
                <c:pt idx="674">
                  <c:v>138.41999999999999</c:v>
                </c:pt>
                <c:pt idx="675">
                  <c:v>135.91999999999999</c:v>
                </c:pt>
                <c:pt idx="676">
                  <c:v>122.32</c:v>
                </c:pt>
                <c:pt idx="677">
                  <c:v>132.66</c:v>
                </c:pt>
                <c:pt idx="678">
                  <c:v>133.47999999999999</c:v>
                </c:pt>
                <c:pt idx="679">
                  <c:v>136.30000000000001</c:v>
                </c:pt>
                <c:pt idx="680">
                  <c:v>118.11</c:v>
                </c:pt>
                <c:pt idx="681">
                  <c:v>115.67</c:v>
                </c:pt>
                <c:pt idx="682">
                  <c:v>111.02</c:v>
                </c:pt>
                <c:pt idx="683">
                  <c:v>123.78</c:v>
                </c:pt>
                <c:pt idx="684">
                  <c:v>122.54</c:v>
                </c:pt>
                <c:pt idx="685">
                  <c:v>134.06</c:v>
                </c:pt>
                <c:pt idx="686">
                  <c:v>107.82</c:v>
                </c:pt>
                <c:pt idx="687">
                  <c:v>194.61</c:v>
                </c:pt>
                <c:pt idx="688">
                  <c:v>200.7</c:v>
                </c:pt>
                <c:pt idx="689">
                  <c:v>202.81</c:v>
                </c:pt>
                <c:pt idx="690">
                  <c:v>199.43</c:v>
                </c:pt>
                <c:pt idx="691">
                  <c:v>237.23</c:v>
                </c:pt>
                <c:pt idx="692">
                  <c:v>244.88</c:v>
                </c:pt>
                <c:pt idx="693">
                  <c:v>228.38</c:v>
                </c:pt>
                <c:pt idx="694">
                  <c:v>224.26</c:v>
                </c:pt>
                <c:pt idx="695">
                  <c:v>223.91</c:v>
                </c:pt>
                <c:pt idx="696">
                  <c:v>231.97</c:v>
                </c:pt>
                <c:pt idx="697">
                  <c:v>217.81</c:v>
                </c:pt>
                <c:pt idx="698">
                  <c:v>217.21</c:v>
                </c:pt>
                <c:pt idx="699">
                  <c:v>226.76</c:v>
                </c:pt>
                <c:pt idx="700">
                  <c:v>227.79</c:v>
                </c:pt>
                <c:pt idx="701">
                  <c:v>223.93</c:v>
                </c:pt>
                <c:pt idx="702">
                  <c:v>246.67</c:v>
                </c:pt>
                <c:pt idx="703">
                  <c:v>265.52</c:v>
                </c:pt>
                <c:pt idx="704">
                  <c:v>274.48</c:v>
                </c:pt>
                <c:pt idx="705">
                  <c:v>261.57</c:v>
                </c:pt>
                <c:pt idx="706">
                  <c:v>265.27</c:v>
                </c:pt>
                <c:pt idx="707">
                  <c:v>256.95999999999998</c:v>
                </c:pt>
                <c:pt idx="708">
                  <c:v>258.45</c:v>
                </c:pt>
                <c:pt idx="709">
                  <c:v>282.61</c:v>
                </c:pt>
                <c:pt idx="710">
                  <c:v>267.85000000000002</c:v>
                </c:pt>
                <c:pt idx="711">
                  <c:v>258.85000000000002</c:v>
                </c:pt>
                <c:pt idx="712">
                  <c:v>264.88</c:v>
                </c:pt>
                <c:pt idx="713">
                  <c:v>285.14999999999998</c:v>
                </c:pt>
                <c:pt idx="714">
                  <c:v>268.32</c:v>
                </c:pt>
                <c:pt idx="715">
                  <c:v>265.74</c:v>
                </c:pt>
                <c:pt idx="716">
                  <c:v>236.69</c:v>
                </c:pt>
                <c:pt idx="717">
                  <c:v>222.89</c:v>
                </c:pt>
                <c:pt idx="718">
                  <c:v>228.49</c:v>
                </c:pt>
                <c:pt idx="719">
                  <c:v>223.05</c:v>
                </c:pt>
                <c:pt idx="720">
                  <c:v>223.33</c:v>
                </c:pt>
                <c:pt idx="721">
                  <c:v>213.19</c:v>
                </c:pt>
                <c:pt idx="722">
                  <c:v>203.78</c:v>
                </c:pt>
                <c:pt idx="723">
                  <c:v>188.91</c:v>
                </c:pt>
                <c:pt idx="724">
                  <c:v>189.69</c:v>
                </c:pt>
                <c:pt idx="725">
                  <c:v>188.44</c:v>
                </c:pt>
                <c:pt idx="726">
                  <c:v>183.6</c:v>
                </c:pt>
                <c:pt idx="727">
                  <c:v>179.99</c:v>
                </c:pt>
                <c:pt idx="728">
                  <c:v>184.69</c:v>
                </c:pt>
                <c:pt idx="729">
                  <c:v>173.72</c:v>
                </c:pt>
                <c:pt idx="730">
                  <c:v>175.64</c:v>
                </c:pt>
                <c:pt idx="731">
                  <c:v>170.08</c:v>
                </c:pt>
                <c:pt idx="732">
                  <c:v>167.86</c:v>
                </c:pt>
                <c:pt idx="733">
                  <c:v>160.35</c:v>
                </c:pt>
                <c:pt idx="734">
                  <c:v>162.54</c:v>
                </c:pt>
                <c:pt idx="735">
                  <c:v>162.81</c:v>
                </c:pt>
                <c:pt idx="736">
                  <c:v>168.07</c:v>
                </c:pt>
                <c:pt idx="737">
                  <c:v>169.49</c:v>
                </c:pt>
                <c:pt idx="738">
                  <c:v>166.87</c:v>
                </c:pt>
                <c:pt idx="739">
                  <c:v>166.79</c:v>
                </c:pt>
                <c:pt idx="740">
                  <c:v>174.14</c:v>
                </c:pt>
                <c:pt idx="741">
                  <c:v>169.85</c:v>
                </c:pt>
                <c:pt idx="742">
                  <c:v>164.21</c:v>
                </c:pt>
                <c:pt idx="743">
                  <c:v>166.4</c:v>
                </c:pt>
                <c:pt idx="744">
                  <c:v>165.64</c:v>
                </c:pt>
                <c:pt idx="745">
                  <c:v>143.58000000000001</c:v>
                </c:pt>
                <c:pt idx="746">
                  <c:v>146.54</c:v>
                </c:pt>
                <c:pt idx="747">
                  <c:v>142.38</c:v>
                </c:pt>
                <c:pt idx="748">
                  <c:v>144.84</c:v>
                </c:pt>
                <c:pt idx="749">
                  <c:v>137.74</c:v>
                </c:pt>
                <c:pt idx="750">
                  <c:v>140.72</c:v>
                </c:pt>
                <c:pt idx="751">
                  <c:v>142.80000000000001</c:v>
                </c:pt>
                <c:pt idx="752">
                  <c:v>144.15</c:v>
                </c:pt>
                <c:pt idx="753">
                  <c:v>135.37</c:v>
                </c:pt>
                <c:pt idx="754">
                  <c:v>134.19999999999999</c:v>
                </c:pt>
                <c:pt idx="755">
                  <c:v>134.35</c:v>
                </c:pt>
                <c:pt idx="756">
                  <c:v>127.19</c:v>
                </c:pt>
                <c:pt idx="757">
                  <c:v>130.77000000000001</c:v>
                </c:pt>
                <c:pt idx="758">
                  <c:v>129.16</c:v>
                </c:pt>
                <c:pt idx="759">
                  <c:v>131.59</c:v>
                </c:pt>
                <c:pt idx="760">
                  <c:v>134.36000000000001</c:v>
                </c:pt>
                <c:pt idx="761">
                  <c:v>128.11000000000001</c:v>
                </c:pt>
                <c:pt idx="763">
                  <c:v>126.29</c:v>
                </c:pt>
                <c:pt idx="764">
                  <c:v>125.58</c:v>
                </c:pt>
                <c:pt idx="765">
                  <c:v>125.09</c:v>
                </c:pt>
                <c:pt idx="766">
                  <c:v>127.75</c:v>
                </c:pt>
                <c:pt idx="767">
                  <c:v>127.8</c:v>
                </c:pt>
                <c:pt idx="768">
                  <c:v>132.09</c:v>
                </c:pt>
                <c:pt idx="769">
                  <c:v>126.99</c:v>
                </c:pt>
                <c:pt idx="770">
                  <c:v>128.19</c:v>
                </c:pt>
                <c:pt idx="771">
                  <c:v>128.1</c:v>
                </c:pt>
                <c:pt idx="772">
                  <c:v>132.78</c:v>
                </c:pt>
                <c:pt idx="773">
                  <c:v>121.88</c:v>
                </c:pt>
                <c:pt idx="774">
                  <c:v>132.72999999999999</c:v>
                </c:pt>
                <c:pt idx="775">
                  <c:v>142.46</c:v>
                </c:pt>
                <c:pt idx="776">
                  <c:v>141.79</c:v>
                </c:pt>
                <c:pt idx="777">
                  <c:v>144.80000000000001</c:v>
                </c:pt>
                <c:pt idx="778">
                  <c:v>144.87</c:v>
                </c:pt>
                <c:pt idx="779">
                  <c:v>143.38999999999999</c:v>
                </c:pt>
                <c:pt idx="780">
                  <c:v>145.56</c:v>
                </c:pt>
                <c:pt idx="781">
                  <c:v>147.38</c:v>
                </c:pt>
                <c:pt idx="782">
                  <c:v>150.44</c:v>
                </c:pt>
                <c:pt idx="783">
                  <c:v>147.13999999999999</c:v>
                </c:pt>
                <c:pt idx="784">
                  <c:v>148.44999999999999</c:v>
                </c:pt>
                <c:pt idx="785">
                  <c:v>148.1</c:v>
                </c:pt>
                <c:pt idx="786">
                  <c:v>145.38</c:v>
                </c:pt>
                <c:pt idx="787">
                  <c:v>147.16999999999999</c:v>
                </c:pt>
                <c:pt idx="788">
                  <c:v>148.65</c:v>
                </c:pt>
                <c:pt idx="789">
                  <c:v>150.72999999999999</c:v>
                </c:pt>
                <c:pt idx="790">
                  <c:v>151.37</c:v>
                </c:pt>
                <c:pt idx="791">
                  <c:v>154.57</c:v>
                </c:pt>
                <c:pt idx="792">
                  <c:v>150.72</c:v>
                </c:pt>
                <c:pt idx="793">
                  <c:v>152.62</c:v>
                </c:pt>
                <c:pt idx="794">
                  <c:v>147.47</c:v>
                </c:pt>
                <c:pt idx="795">
                  <c:v>145.69</c:v>
                </c:pt>
                <c:pt idx="796">
                  <c:v>139.96</c:v>
                </c:pt>
                <c:pt idx="797">
                  <c:v>151.84</c:v>
                </c:pt>
                <c:pt idx="798">
                  <c:v>149.56</c:v>
                </c:pt>
                <c:pt idx="799">
                  <c:v>161.01</c:v>
                </c:pt>
                <c:pt idx="800">
                  <c:v>174.72</c:v>
                </c:pt>
                <c:pt idx="801">
                  <c:v>175.94</c:v>
                </c:pt>
                <c:pt idx="802">
                  <c:v>178.2</c:v>
                </c:pt>
                <c:pt idx="803">
                  <c:v>183.82</c:v>
                </c:pt>
                <c:pt idx="804">
                  <c:v>182.37</c:v>
                </c:pt>
                <c:pt idx="805">
                  <c:v>180</c:v>
                </c:pt>
                <c:pt idx="806">
                  <c:v>184.92</c:v>
                </c:pt>
                <c:pt idx="807">
                  <c:v>188.11</c:v>
                </c:pt>
                <c:pt idx="808">
                  <c:v>187.09</c:v>
                </c:pt>
                <c:pt idx="809">
                  <c:v>184.98</c:v>
                </c:pt>
                <c:pt idx="810">
                  <c:v>188.96</c:v>
                </c:pt>
                <c:pt idx="811">
                  <c:v>184.89</c:v>
                </c:pt>
                <c:pt idx="812">
                  <c:v>183.74</c:v>
                </c:pt>
                <c:pt idx="813">
                  <c:v>186.68</c:v>
                </c:pt>
                <c:pt idx="814">
                  <c:v>191.16</c:v>
                </c:pt>
                <c:pt idx="815">
                  <c:v>188.68</c:v>
                </c:pt>
                <c:pt idx="816">
                  <c:v>185.71</c:v>
                </c:pt>
                <c:pt idx="817">
                  <c:v>181.54</c:v>
                </c:pt>
                <c:pt idx="818">
                  <c:v>182.91</c:v>
                </c:pt>
                <c:pt idx="819">
                  <c:v>182.85</c:v>
                </c:pt>
                <c:pt idx="820">
                  <c:v>182.18</c:v>
                </c:pt>
                <c:pt idx="821">
                  <c:v>183.13</c:v>
                </c:pt>
                <c:pt idx="822">
                  <c:v>190.46</c:v>
                </c:pt>
                <c:pt idx="823">
                  <c:v>181.72</c:v>
                </c:pt>
                <c:pt idx="824">
                  <c:v>183.75</c:v>
                </c:pt>
                <c:pt idx="825">
                  <c:v>179.49</c:v>
                </c:pt>
                <c:pt idx="826">
                  <c:v>181.5</c:v>
                </c:pt>
                <c:pt idx="827">
                  <c:v>160.38</c:v>
                </c:pt>
                <c:pt idx="828">
                  <c:v>162.35</c:v>
                </c:pt>
                <c:pt idx="829">
                  <c:v>171.2</c:v>
                </c:pt>
                <c:pt idx="830">
                  <c:v>173.98</c:v>
                </c:pt>
                <c:pt idx="831">
                  <c:v>175.22</c:v>
                </c:pt>
                <c:pt idx="832">
                  <c:v>171.79</c:v>
                </c:pt>
                <c:pt idx="833">
                  <c:v>172.74</c:v>
                </c:pt>
                <c:pt idx="834">
                  <c:v>177.16</c:v>
                </c:pt>
                <c:pt idx="835">
                  <c:v>174.47</c:v>
                </c:pt>
                <c:pt idx="836">
                  <c:v>180.49</c:v>
                </c:pt>
                <c:pt idx="837">
                  <c:v>186.72</c:v>
                </c:pt>
                <c:pt idx="838">
                  <c:v>180.99</c:v>
                </c:pt>
                <c:pt idx="839">
                  <c:v>179.68</c:v>
                </c:pt>
                <c:pt idx="840">
                  <c:v>180.72</c:v>
                </c:pt>
                <c:pt idx="841">
                  <c:v>191.14</c:v>
                </c:pt>
                <c:pt idx="842">
                  <c:v>192.62</c:v>
                </c:pt>
                <c:pt idx="843">
                  <c:v>180.6</c:v>
                </c:pt>
                <c:pt idx="844">
                  <c:v>179.85</c:v>
                </c:pt>
                <c:pt idx="845">
                  <c:v>170.1</c:v>
                </c:pt>
                <c:pt idx="846">
                  <c:v>176.25</c:v>
                </c:pt>
                <c:pt idx="847">
                  <c:v>175.55</c:v>
                </c:pt>
                <c:pt idx="848">
                  <c:v>174.69</c:v>
                </c:pt>
                <c:pt idx="849">
                  <c:v>180.24</c:v>
                </c:pt>
                <c:pt idx="850">
                  <c:v>175.66</c:v>
                </c:pt>
                <c:pt idx="851">
                  <c:v>180.85</c:v>
                </c:pt>
                <c:pt idx="852">
                  <c:v>169.24</c:v>
                </c:pt>
                <c:pt idx="853">
                  <c:v>173.49</c:v>
                </c:pt>
                <c:pt idx="854">
                  <c:v>173.79</c:v>
                </c:pt>
                <c:pt idx="855">
                  <c:v>165.92</c:v>
                </c:pt>
                <c:pt idx="856">
                  <c:v>169.96</c:v>
                </c:pt>
                <c:pt idx="857">
                  <c:v>165.81</c:v>
                </c:pt>
                <c:pt idx="858">
                  <c:v>201.29</c:v>
                </c:pt>
                <c:pt idx="859">
                  <c:v>211.2</c:v>
                </c:pt>
                <c:pt idx="860">
                  <c:v>215.05</c:v>
                </c:pt>
                <c:pt idx="861">
                  <c:v>218.03</c:v>
                </c:pt>
                <c:pt idx="862">
                  <c:v>220.24</c:v>
                </c:pt>
                <c:pt idx="863">
                  <c:v>210.21</c:v>
                </c:pt>
                <c:pt idx="864">
                  <c:v>207.84</c:v>
                </c:pt>
                <c:pt idx="865">
                  <c:v>197.22</c:v>
                </c:pt>
                <c:pt idx="866">
                  <c:v>189.03</c:v>
                </c:pt>
                <c:pt idx="867">
                  <c:v>188.13</c:v>
                </c:pt>
                <c:pt idx="868">
                  <c:v>180.95</c:v>
                </c:pt>
                <c:pt idx="869">
                  <c:v>180.72</c:v>
                </c:pt>
                <c:pt idx="870">
                  <c:v>178.28</c:v>
                </c:pt>
                <c:pt idx="871">
                  <c:v>179.81</c:v>
                </c:pt>
                <c:pt idx="872">
                  <c:v>180.54</c:v>
                </c:pt>
                <c:pt idx="873">
                  <c:v>181.19</c:v>
                </c:pt>
                <c:pt idx="874">
                  <c:v>177.62</c:v>
                </c:pt>
                <c:pt idx="875">
                  <c:v>169.08</c:v>
                </c:pt>
                <c:pt idx="876">
                  <c:v>173.75</c:v>
                </c:pt>
                <c:pt idx="877">
                  <c:v>174.72</c:v>
                </c:pt>
                <c:pt idx="878">
                  <c:v>178.75</c:v>
                </c:pt>
                <c:pt idx="879">
                  <c:v>178.05</c:v>
                </c:pt>
                <c:pt idx="880">
                  <c:v>170.74</c:v>
                </c:pt>
                <c:pt idx="881">
                  <c:v>171.57</c:v>
                </c:pt>
                <c:pt idx="882">
                  <c:v>168.5</c:v>
                </c:pt>
                <c:pt idx="883">
                  <c:v>169.01</c:v>
                </c:pt>
                <c:pt idx="884">
                  <c:v>173.03</c:v>
                </c:pt>
                <c:pt idx="885">
                  <c:v>187.24</c:v>
                </c:pt>
                <c:pt idx="886">
                  <c:v>188.67</c:v>
                </c:pt>
                <c:pt idx="887">
                  <c:v>186.54</c:v>
                </c:pt>
                <c:pt idx="888">
                  <c:v>190.6</c:v>
                </c:pt>
                <c:pt idx="889">
                  <c:v>194.02</c:v>
                </c:pt>
                <c:pt idx="890">
                  <c:v>190.35</c:v>
                </c:pt>
                <c:pt idx="891">
                  <c:v>187.45</c:v>
                </c:pt>
                <c:pt idx="892">
                  <c:v>196.6</c:v>
                </c:pt>
                <c:pt idx="893">
                  <c:v>202.28</c:v>
                </c:pt>
                <c:pt idx="894">
                  <c:v>194.33</c:v>
                </c:pt>
                <c:pt idx="895">
                  <c:v>185.59</c:v>
                </c:pt>
                <c:pt idx="896">
                  <c:v>184.88</c:v>
                </c:pt>
                <c:pt idx="897">
                  <c:v>188.03</c:v>
                </c:pt>
                <c:pt idx="898">
                  <c:v>187.1</c:v>
                </c:pt>
                <c:pt idx="899">
                  <c:v>209.3</c:v>
                </c:pt>
                <c:pt idx="900">
                  <c:v>211.41</c:v>
                </c:pt>
                <c:pt idx="901">
                  <c:v>216.42</c:v>
                </c:pt>
                <c:pt idx="902">
                  <c:v>206.48</c:v>
                </c:pt>
                <c:pt idx="903">
                  <c:v>210.53</c:v>
                </c:pt>
                <c:pt idx="904">
                  <c:v>221.39</c:v>
                </c:pt>
                <c:pt idx="905">
                  <c:v>226.1</c:v>
                </c:pt>
                <c:pt idx="906">
                  <c:v>226.28</c:v>
                </c:pt>
                <c:pt idx="907">
                  <c:v>233.54</c:v>
                </c:pt>
                <c:pt idx="908">
                  <c:v>221.79</c:v>
                </c:pt>
                <c:pt idx="909">
                  <c:v>222.14</c:v>
                </c:pt>
                <c:pt idx="910">
                  <c:v>217.61</c:v>
                </c:pt>
                <c:pt idx="911">
                  <c:v>216.84</c:v>
                </c:pt>
                <c:pt idx="912">
                  <c:v>218.42</c:v>
                </c:pt>
                <c:pt idx="913">
                  <c:v>209.58</c:v>
                </c:pt>
                <c:pt idx="914">
                  <c:v>210.89</c:v>
                </c:pt>
                <c:pt idx="915">
                  <c:v>211.62</c:v>
                </c:pt>
                <c:pt idx="916">
                  <c:v>207.3</c:v>
                </c:pt>
                <c:pt idx="917">
                  <c:v>218.81</c:v>
                </c:pt>
                <c:pt idx="918">
                  <c:v>219.14</c:v>
                </c:pt>
                <c:pt idx="919">
                  <c:v>216.31</c:v>
                </c:pt>
                <c:pt idx="920">
                  <c:v>212.48</c:v>
                </c:pt>
                <c:pt idx="921">
                  <c:v>217.51</c:v>
                </c:pt>
                <c:pt idx="922">
                  <c:v>225.38</c:v>
                </c:pt>
                <c:pt idx="923">
                  <c:v>228.2</c:v>
                </c:pt>
                <c:pt idx="924">
                  <c:v>220.73</c:v>
                </c:pt>
                <c:pt idx="925">
                  <c:v>225.73</c:v>
                </c:pt>
                <c:pt idx="926">
                  <c:v>210.81</c:v>
                </c:pt>
                <c:pt idx="927">
                  <c:v>198.88</c:v>
                </c:pt>
                <c:pt idx="928">
                  <c:v>228.2</c:v>
                </c:pt>
                <c:pt idx="929">
                  <c:v>225.85</c:v>
                </c:pt>
                <c:pt idx="930">
                  <c:v>268.79000000000002</c:v>
                </c:pt>
                <c:pt idx="931">
                  <c:v>274.62</c:v>
                </c:pt>
                <c:pt idx="932">
                  <c:v>268.63</c:v>
                </c:pt>
                <c:pt idx="933">
                  <c:v>289.23</c:v>
                </c:pt>
                <c:pt idx="934">
                  <c:v>307.45999999999998</c:v>
                </c:pt>
                <c:pt idx="935">
                  <c:v>311.97000000000003</c:v>
                </c:pt>
                <c:pt idx="936">
                  <c:v>304.72000000000003</c:v>
                </c:pt>
                <c:pt idx="937">
                  <c:v>288.29000000000002</c:v>
                </c:pt>
                <c:pt idx="938">
                  <c:v>287.47000000000003</c:v>
                </c:pt>
                <c:pt idx="939">
                  <c:v>282.73</c:v>
                </c:pt>
                <c:pt idx="940">
                  <c:v>301.14</c:v>
                </c:pt>
                <c:pt idx="941">
                  <c:v>291.48</c:v>
                </c:pt>
                <c:pt idx="942">
                  <c:v>295.07</c:v>
                </c:pt>
                <c:pt idx="943">
                  <c:v>292.7</c:v>
                </c:pt>
                <c:pt idx="944">
                  <c:v>317.62</c:v>
                </c:pt>
                <c:pt idx="945">
                  <c:v>311.05</c:v>
                </c:pt>
                <c:pt idx="946">
                  <c:v>298.35000000000002</c:v>
                </c:pt>
                <c:pt idx="947">
                  <c:v>339.39</c:v>
                </c:pt>
                <c:pt idx="948">
                  <c:v>318.26</c:v>
                </c:pt>
                <c:pt idx="949">
                  <c:v>311.64</c:v>
                </c:pt>
                <c:pt idx="950">
                  <c:v>308.52</c:v>
                </c:pt>
                <c:pt idx="951">
                  <c:v>310.79000000000002</c:v>
                </c:pt>
                <c:pt idx="952">
                  <c:v>294.35000000000002</c:v>
                </c:pt>
                <c:pt idx="953">
                  <c:v>271.22000000000003</c:v>
                </c:pt>
                <c:pt idx="954">
                  <c:v>268.14</c:v>
                </c:pt>
                <c:pt idx="955">
                  <c:v>264.66000000000003</c:v>
                </c:pt>
                <c:pt idx="956">
                  <c:v>273.16000000000003</c:v>
                </c:pt>
                <c:pt idx="957">
                  <c:v>267.73</c:v>
                </c:pt>
                <c:pt idx="958">
                  <c:v>267.82</c:v>
                </c:pt>
                <c:pt idx="959">
                  <c:v>262.47000000000003</c:v>
                </c:pt>
                <c:pt idx="960">
                  <c:v>254.67</c:v>
                </c:pt>
                <c:pt idx="961">
                  <c:v>261.14999999999998</c:v>
                </c:pt>
                <c:pt idx="962">
                  <c:v>244.29</c:v>
                </c:pt>
                <c:pt idx="963">
                  <c:v>246.51</c:v>
                </c:pt>
                <c:pt idx="964">
                  <c:v>230.98</c:v>
                </c:pt>
                <c:pt idx="965">
                  <c:v>243.25</c:v>
                </c:pt>
                <c:pt idx="966">
                  <c:v>248.77</c:v>
                </c:pt>
                <c:pt idx="967">
                  <c:v>248.76</c:v>
                </c:pt>
                <c:pt idx="968">
                  <c:v>245.63</c:v>
                </c:pt>
                <c:pt idx="969">
                  <c:v>241.39</c:v>
                </c:pt>
                <c:pt idx="970">
                  <c:v>249.91</c:v>
                </c:pt>
                <c:pt idx="971">
                  <c:v>268.88</c:v>
                </c:pt>
                <c:pt idx="972">
                  <c:v>264.33</c:v>
                </c:pt>
                <c:pt idx="973">
                  <c:v>267.89999999999998</c:v>
                </c:pt>
                <c:pt idx="974">
                  <c:v>254.56</c:v>
                </c:pt>
                <c:pt idx="975">
                  <c:v>268.83</c:v>
                </c:pt>
                <c:pt idx="976">
                  <c:v>271.02999999999997</c:v>
                </c:pt>
                <c:pt idx="977">
                  <c:v>270.52999999999997</c:v>
                </c:pt>
                <c:pt idx="978">
                  <c:v>264.45</c:v>
                </c:pt>
                <c:pt idx="979">
                  <c:v>250.22</c:v>
                </c:pt>
                <c:pt idx="980">
                  <c:v>248.87</c:v>
                </c:pt>
                <c:pt idx="981">
                  <c:v>244.56</c:v>
                </c:pt>
                <c:pt idx="982">
                  <c:v>243.64</c:v>
                </c:pt>
                <c:pt idx="983">
                  <c:v>253.43</c:v>
                </c:pt>
                <c:pt idx="984">
                  <c:v>250.37</c:v>
                </c:pt>
                <c:pt idx="985">
                  <c:v>259.51</c:v>
                </c:pt>
                <c:pt idx="986">
                  <c:v>233.6</c:v>
                </c:pt>
                <c:pt idx="987">
                  <c:v>244.3</c:v>
                </c:pt>
                <c:pt idx="988">
                  <c:v>264.25</c:v>
                </c:pt>
                <c:pt idx="989">
                  <c:v>248.1</c:v>
                </c:pt>
                <c:pt idx="990">
                  <c:v>216.4</c:v>
                </c:pt>
                <c:pt idx="991">
                  <c:v>195.84</c:v>
                </c:pt>
                <c:pt idx="992">
                  <c:v>188.11</c:v>
                </c:pt>
                <c:pt idx="993">
                  <c:v>190.2</c:v>
                </c:pt>
                <c:pt idx="994">
                  <c:v>172.91</c:v>
                </c:pt>
                <c:pt idx="995">
                  <c:v>170.9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9C5-4DDE-A70A-767F66E99FF4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  <c:pt idx="430">
                  <c:v>44158</c:v>
                </c:pt>
                <c:pt idx="431">
                  <c:v>44157</c:v>
                </c:pt>
                <c:pt idx="432">
                  <c:v>44156</c:v>
                </c:pt>
                <c:pt idx="433">
                  <c:v>44155</c:v>
                </c:pt>
                <c:pt idx="434">
                  <c:v>44154</c:v>
                </c:pt>
                <c:pt idx="435">
                  <c:v>44153</c:v>
                </c:pt>
                <c:pt idx="436">
                  <c:v>44152</c:v>
                </c:pt>
                <c:pt idx="437">
                  <c:v>44151</c:v>
                </c:pt>
                <c:pt idx="438">
                  <c:v>44150</c:v>
                </c:pt>
                <c:pt idx="439">
                  <c:v>44149</c:v>
                </c:pt>
                <c:pt idx="440">
                  <c:v>44148</c:v>
                </c:pt>
                <c:pt idx="441">
                  <c:v>44147</c:v>
                </c:pt>
                <c:pt idx="442">
                  <c:v>44146</c:v>
                </c:pt>
                <c:pt idx="443">
                  <c:v>44145</c:v>
                </c:pt>
                <c:pt idx="444">
                  <c:v>44144</c:v>
                </c:pt>
                <c:pt idx="445">
                  <c:v>44143</c:v>
                </c:pt>
                <c:pt idx="446">
                  <c:v>44142</c:v>
                </c:pt>
                <c:pt idx="447">
                  <c:v>44141</c:v>
                </c:pt>
                <c:pt idx="448">
                  <c:v>44140</c:v>
                </c:pt>
                <c:pt idx="449">
                  <c:v>44139</c:v>
                </c:pt>
                <c:pt idx="450">
                  <c:v>44138</c:v>
                </c:pt>
                <c:pt idx="451">
                  <c:v>44137</c:v>
                </c:pt>
                <c:pt idx="452">
                  <c:v>44136</c:v>
                </c:pt>
                <c:pt idx="453">
                  <c:v>44135</c:v>
                </c:pt>
                <c:pt idx="454">
                  <c:v>44134</c:v>
                </c:pt>
                <c:pt idx="455">
                  <c:v>44133</c:v>
                </c:pt>
                <c:pt idx="456">
                  <c:v>44132</c:v>
                </c:pt>
                <c:pt idx="457">
                  <c:v>44131</c:v>
                </c:pt>
                <c:pt idx="458">
                  <c:v>44130</c:v>
                </c:pt>
                <c:pt idx="459">
                  <c:v>44129</c:v>
                </c:pt>
                <c:pt idx="460">
                  <c:v>44128</c:v>
                </c:pt>
                <c:pt idx="461">
                  <c:v>44127</c:v>
                </c:pt>
                <c:pt idx="462">
                  <c:v>44126</c:v>
                </c:pt>
                <c:pt idx="463">
                  <c:v>44125</c:v>
                </c:pt>
                <c:pt idx="464">
                  <c:v>44124</c:v>
                </c:pt>
                <c:pt idx="465">
                  <c:v>44123</c:v>
                </c:pt>
                <c:pt idx="466">
                  <c:v>44122</c:v>
                </c:pt>
                <c:pt idx="467">
                  <c:v>44121</c:v>
                </c:pt>
                <c:pt idx="468">
                  <c:v>44120</c:v>
                </c:pt>
                <c:pt idx="469">
                  <c:v>44119</c:v>
                </c:pt>
                <c:pt idx="470">
                  <c:v>44118</c:v>
                </c:pt>
                <c:pt idx="471">
                  <c:v>44117</c:v>
                </c:pt>
                <c:pt idx="472">
                  <c:v>44116</c:v>
                </c:pt>
                <c:pt idx="473">
                  <c:v>44115</c:v>
                </c:pt>
                <c:pt idx="474">
                  <c:v>44114</c:v>
                </c:pt>
                <c:pt idx="475">
                  <c:v>44113</c:v>
                </c:pt>
                <c:pt idx="476">
                  <c:v>44112</c:v>
                </c:pt>
                <c:pt idx="477">
                  <c:v>44111</c:v>
                </c:pt>
                <c:pt idx="478">
                  <c:v>44110</c:v>
                </c:pt>
                <c:pt idx="479">
                  <c:v>44109</c:v>
                </c:pt>
                <c:pt idx="480">
                  <c:v>44108</c:v>
                </c:pt>
                <c:pt idx="481">
                  <c:v>44107</c:v>
                </c:pt>
                <c:pt idx="482">
                  <c:v>44106</c:v>
                </c:pt>
                <c:pt idx="483">
                  <c:v>44105</c:v>
                </c:pt>
                <c:pt idx="484">
                  <c:v>44104</c:v>
                </c:pt>
                <c:pt idx="485">
                  <c:v>44103</c:v>
                </c:pt>
                <c:pt idx="486">
                  <c:v>44102</c:v>
                </c:pt>
                <c:pt idx="487">
                  <c:v>44101</c:v>
                </c:pt>
                <c:pt idx="488">
                  <c:v>44100</c:v>
                </c:pt>
                <c:pt idx="489">
                  <c:v>44099</c:v>
                </c:pt>
                <c:pt idx="490">
                  <c:v>44098</c:v>
                </c:pt>
                <c:pt idx="491">
                  <c:v>44097</c:v>
                </c:pt>
                <c:pt idx="492">
                  <c:v>44096</c:v>
                </c:pt>
                <c:pt idx="493">
                  <c:v>44095</c:v>
                </c:pt>
                <c:pt idx="494">
                  <c:v>44094</c:v>
                </c:pt>
                <c:pt idx="495">
                  <c:v>44093</c:v>
                </c:pt>
                <c:pt idx="496">
                  <c:v>44092</c:v>
                </c:pt>
                <c:pt idx="497">
                  <c:v>44091</c:v>
                </c:pt>
                <c:pt idx="498">
                  <c:v>44090</c:v>
                </c:pt>
                <c:pt idx="499">
                  <c:v>44089</c:v>
                </c:pt>
                <c:pt idx="500">
                  <c:v>44088</c:v>
                </c:pt>
                <c:pt idx="501">
                  <c:v>44087</c:v>
                </c:pt>
                <c:pt idx="502">
                  <c:v>44086</c:v>
                </c:pt>
                <c:pt idx="503">
                  <c:v>44085</c:v>
                </c:pt>
                <c:pt idx="504">
                  <c:v>44084</c:v>
                </c:pt>
                <c:pt idx="505">
                  <c:v>44083</c:v>
                </c:pt>
                <c:pt idx="506">
                  <c:v>44082</c:v>
                </c:pt>
                <c:pt idx="507">
                  <c:v>44081</c:v>
                </c:pt>
                <c:pt idx="508">
                  <c:v>44080</c:v>
                </c:pt>
                <c:pt idx="509">
                  <c:v>44079</c:v>
                </c:pt>
                <c:pt idx="510">
                  <c:v>44078</c:v>
                </c:pt>
                <c:pt idx="511">
                  <c:v>44077</c:v>
                </c:pt>
                <c:pt idx="512">
                  <c:v>44076</c:v>
                </c:pt>
                <c:pt idx="513">
                  <c:v>44075</c:v>
                </c:pt>
                <c:pt idx="514">
                  <c:v>44074</c:v>
                </c:pt>
                <c:pt idx="515">
                  <c:v>44073</c:v>
                </c:pt>
                <c:pt idx="516">
                  <c:v>44072</c:v>
                </c:pt>
                <c:pt idx="517">
                  <c:v>44071</c:v>
                </c:pt>
                <c:pt idx="518">
                  <c:v>44070</c:v>
                </c:pt>
                <c:pt idx="519">
                  <c:v>44069</c:v>
                </c:pt>
                <c:pt idx="520">
                  <c:v>44068</c:v>
                </c:pt>
                <c:pt idx="521">
                  <c:v>44067</c:v>
                </c:pt>
                <c:pt idx="522">
                  <c:v>44066</c:v>
                </c:pt>
                <c:pt idx="523">
                  <c:v>44065</c:v>
                </c:pt>
                <c:pt idx="524">
                  <c:v>44064</c:v>
                </c:pt>
                <c:pt idx="525">
                  <c:v>44063</c:v>
                </c:pt>
                <c:pt idx="526">
                  <c:v>44062</c:v>
                </c:pt>
                <c:pt idx="527">
                  <c:v>44061</c:v>
                </c:pt>
                <c:pt idx="528">
                  <c:v>44060</c:v>
                </c:pt>
                <c:pt idx="529">
                  <c:v>44059</c:v>
                </c:pt>
                <c:pt idx="530">
                  <c:v>44058</c:v>
                </c:pt>
                <c:pt idx="531">
                  <c:v>44057</c:v>
                </c:pt>
                <c:pt idx="532">
                  <c:v>44056</c:v>
                </c:pt>
                <c:pt idx="533">
                  <c:v>44055</c:v>
                </c:pt>
                <c:pt idx="534">
                  <c:v>44054</c:v>
                </c:pt>
                <c:pt idx="535">
                  <c:v>44053</c:v>
                </c:pt>
                <c:pt idx="536">
                  <c:v>44052</c:v>
                </c:pt>
                <c:pt idx="537">
                  <c:v>44051</c:v>
                </c:pt>
                <c:pt idx="538">
                  <c:v>44050</c:v>
                </c:pt>
                <c:pt idx="539">
                  <c:v>44049</c:v>
                </c:pt>
                <c:pt idx="540">
                  <c:v>44048</c:v>
                </c:pt>
                <c:pt idx="541">
                  <c:v>44047</c:v>
                </c:pt>
                <c:pt idx="542">
                  <c:v>44046</c:v>
                </c:pt>
                <c:pt idx="543">
                  <c:v>44045</c:v>
                </c:pt>
                <c:pt idx="544">
                  <c:v>44044</c:v>
                </c:pt>
                <c:pt idx="545">
                  <c:v>44043</c:v>
                </c:pt>
                <c:pt idx="546">
                  <c:v>44042</c:v>
                </c:pt>
                <c:pt idx="547">
                  <c:v>44041</c:v>
                </c:pt>
                <c:pt idx="548">
                  <c:v>44040</c:v>
                </c:pt>
                <c:pt idx="549">
                  <c:v>44039</c:v>
                </c:pt>
                <c:pt idx="550">
                  <c:v>44038</c:v>
                </c:pt>
                <c:pt idx="551">
                  <c:v>44037</c:v>
                </c:pt>
                <c:pt idx="552">
                  <c:v>44036</c:v>
                </c:pt>
                <c:pt idx="553">
                  <c:v>44035</c:v>
                </c:pt>
                <c:pt idx="554">
                  <c:v>44034</c:v>
                </c:pt>
                <c:pt idx="555">
                  <c:v>44033</c:v>
                </c:pt>
                <c:pt idx="556">
                  <c:v>44032</c:v>
                </c:pt>
                <c:pt idx="557">
                  <c:v>44031</c:v>
                </c:pt>
                <c:pt idx="558">
                  <c:v>44030</c:v>
                </c:pt>
                <c:pt idx="559">
                  <c:v>44029</c:v>
                </c:pt>
                <c:pt idx="560">
                  <c:v>44028</c:v>
                </c:pt>
                <c:pt idx="561">
                  <c:v>44027</c:v>
                </c:pt>
                <c:pt idx="562">
                  <c:v>44026</c:v>
                </c:pt>
                <c:pt idx="563">
                  <c:v>44025</c:v>
                </c:pt>
                <c:pt idx="564">
                  <c:v>44024</c:v>
                </c:pt>
                <c:pt idx="565">
                  <c:v>44023</c:v>
                </c:pt>
                <c:pt idx="566">
                  <c:v>44022</c:v>
                </c:pt>
                <c:pt idx="567">
                  <c:v>44021</c:v>
                </c:pt>
                <c:pt idx="568">
                  <c:v>44020</c:v>
                </c:pt>
                <c:pt idx="569">
                  <c:v>44019</c:v>
                </c:pt>
                <c:pt idx="570">
                  <c:v>44018</c:v>
                </c:pt>
                <c:pt idx="571">
                  <c:v>44017</c:v>
                </c:pt>
                <c:pt idx="572">
                  <c:v>44016</c:v>
                </c:pt>
                <c:pt idx="573">
                  <c:v>44015</c:v>
                </c:pt>
                <c:pt idx="574">
                  <c:v>44014</c:v>
                </c:pt>
                <c:pt idx="575">
                  <c:v>44013</c:v>
                </c:pt>
                <c:pt idx="576">
                  <c:v>44012</c:v>
                </c:pt>
                <c:pt idx="577">
                  <c:v>44011</c:v>
                </c:pt>
                <c:pt idx="578">
                  <c:v>44010</c:v>
                </c:pt>
                <c:pt idx="579">
                  <c:v>44009</c:v>
                </c:pt>
                <c:pt idx="580">
                  <c:v>44008</c:v>
                </c:pt>
                <c:pt idx="581">
                  <c:v>44007</c:v>
                </c:pt>
                <c:pt idx="582">
                  <c:v>44006</c:v>
                </c:pt>
                <c:pt idx="583">
                  <c:v>44005</c:v>
                </c:pt>
                <c:pt idx="584">
                  <c:v>44004</c:v>
                </c:pt>
                <c:pt idx="585">
                  <c:v>44003</c:v>
                </c:pt>
                <c:pt idx="586">
                  <c:v>44002</c:v>
                </c:pt>
                <c:pt idx="587">
                  <c:v>44001</c:v>
                </c:pt>
                <c:pt idx="588">
                  <c:v>44000</c:v>
                </c:pt>
                <c:pt idx="589">
                  <c:v>43999</c:v>
                </c:pt>
                <c:pt idx="590">
                  <c:v>43998</c:v>
                </c:pt>
                <c:pt idx="591">
                  <c:v>43997</c:v>
                </c:pt>
                <c:pt idx="592">
                  <c:v>43996</c:v>
                </c:pt>
                <c:pt idx="593">
                  <c:v>43995</c:v>
                </c:pt>
                <c:pt idx="594">
                  <c:v>43994</c:v>
                </c:pt>
                <c:pt idx="595">
                  <c:v>43993</c:v>
                </c:pt>
                <c:pt idx="596">
                  <c:v>43992</c:v>
                </c:pt>
                <c:pt idx="597">
                  <c:v>43991</c:v>
                </c:pt>
                <c:pt idx="598">
                  <c:v>43990</c:v>
                </c:pt>
                <c:pt idx="599">
                  <c:v>43989</c:v>
                </c:pt>
                <c:pt idx="600">
                  <c:v>43988</c:v>
                </c:pt>
                <c:pt idx="601">
                  <c:v>43987</c:v>
                </c:pt>
                <c:pt idx="602">
                  <c:v>43986</c:v>
                </c:pt>
                <c:pt idx="603">
                  <c:v>43985</c:v>
                </c:pt>
                <c:pt idx="604">
                  <c:v>43984</c:v>
                </c:pt>
                <c:pt idx="605">
                  <c:v>43983</c:v>
                </c:pt>
                <c:pt idx="606">
                  <c:v>43982</c:v>
                </c:pt>
                <c:pt idx="607">
                  <c:v>43981</c:v>
                </c:pt>
                <c:pt idx="608">
                  <c:v>43980</c:v>
                </c:pt>
                <c:pt idx="609">
                  <c:v>43979</c:v>
                </c:pt>
                <c:pt idx="610">
                  <c:v>43978</c:v>
                </c:pt>
                <c:pt idx="611">
                  <c:v>43977</c:v>
                </c:pt>
                <c:pt idx="612">
                  <c:v>43976</c:v>
                </c:pt>
                <c:pt idx="613">
                  <c:v>43975</c:v>
                </c:pt>
                <c:pt idx="614">
                  <c:v>43974</c:v>
                </c:pt>
                <c:pt idx="615">
                  <c:v>43973</c:v>
                </c:pt>
                <c:pt idx="616">
                  <c:v>43972</c:v>
                </c:pt>
                <c:pt idx="617">
                  <c:v>43971</c:v>
                </c:pt>
                <c:pt idx="618">
                  <c:v>43970</c:v>
                </c:pt>
                <c:pt idx="619">
                  <c:v>43969</c:v>
                </c:pt>
                <c:pt idx="620">
                  <c:v>43968</c:v>
                </c:pt>
                <c:pt idx="621">
                  <c:v>43967</c:v>
                </c:pt>
                <c:pt idx="622">
                  <c:v>43966</c:v>
                </c:pt>
                <c:pt idx="623">
                  <c:v>43965</c:v>
                </c:pt>
                <c:pt idx="624">
                  <c:v>43964</c:v>
                </c:pt>
                <c:pt idx="625">
                  <c:v>43963</c:v>
                </c:pt>
                <c:pt idx="626">
                  <c:v>43962</c:v>
                </c:pt>
                <c:pt idx="627">
                  <c:v>43961</c:v>
                </c:pt>
                <c:pt idx="628">
                  <c:v>43960</c:v>
                </c:pt>
                <c:pt idx="629">
                  <c:v>43959</c:v>
                </c:pt>
                <c:pt idx="630">
                  <c:v>43958</c:v>
                </c:pt>
                <c:pt idx="631">
                  <c:v>43957</c:v>
                </c:pt>
                <c:pt idx="632">
                  <c:v>43956</c:v>
                </c:pt>
                <c:pt idx="633">
                  <c:v>43955</c:v>
                </c:pt>
                <c:pt idx="634">
                  <c:v>43954</c:v>
                </c:pt>
                <c:pt idx="635">
                  <c:v>43953</c:v>
                </c:pt>
                <c:pt idx="636">
                  <c:v>43952</c:v>
                </c:pt>
                <c:pt idx="637">
                  <c:v>43951</c:v>
                </c:pt>
                <c:pt idx="638">
                  <c:v>43950</c:v>
                </c:pt>
                <c:pt idx="639">
                  <c:v>43949</c:v>
                </c:pt>
                <c:pt idx="640">
                  <c:v>43948</c:v>
                </c:pt>
                <c:pt idx="641">
                  <c:v>43947</c:v>
                </c:pt>
                <c:pt idx="642">
                  <c:v>43946</c:v>
                </c:pt>
                <c:pt idx="643">
                  <c:v>43945</c:v>
                </c:pt>
                <c:pt idx="644">
                  <c:v>43944</c:v>
                </c:pt>
                <c:pt idx="645">
                  <c:v>43943</c:v>
                </c:pt>
                <c:pt idx="646">
                  <c:v>43942</c:v>
                </c:pt>
                <c:pt idx="647">
                  <c:v>43941</c:v>
                </c:pt>
                <c:pt idx="648">
                  <c:v>43940</c:v>
                </c:pt>
                <c:pt idx="649">
                  <c:v>43939</c:v>
                </c:pt>
                <c:pt idx="650">
                  <c:v>43938</c:v>
                </c:pt>
                <c:pt idx="651">
                  <c:v>43937</c:v>
                </c:pt>
                <c:pt idx="652">
                  <c:v>43936</c:v>
                </c:pt>
                <c:pt idx="653">
                  <c:v>43935</c:v>
                </c:pt>
                <c:pt idx="654">
                  <c:v>43934</c:v>
                </c:pt>
                <c:pt idx="655">
                  <c:v>43933</c:v>
                </c:pt>
                <c:pt idx="656">
                  <c:v>43932</c:v>
                </c:pt>
                <c:pt idx="657">
                  <c:v>43931</c:v>
                </c:pt>
                <c:pt idx="658">
                  <c:v>43930</c:v>
                </c:pt>
                <c:pt idx="659">
                  <c:v>43929</c:v>
                </c:pt>
                <c:pt idx="660">
                  <c:v>43928</c:v>
                </c:pt>
                <c:pt idx="661">
                  <c:v>43927</c:v>
                </c:pt>
                <c:pt idx="662">
                  <c:v>43926</c:v>
                </c:pt>
                <c:pt idx="663">
                  <c:v>43925</c:v>
                </c:pt>
                <c:pt idx="664">
                  <c:v>43924</c:v>
                </c:pt>
                <c:pt idx="665">
                  <c:v>43923</c:v>
                </c:pt>
                <c:pt idx="666">
                  <c:v>43922</c:v>
                </c:pt>
                <c:pt idx="667">
                  <c:v>43921</c:v>
                </c:pt>
                <c:pt idx="668">
                  <c:v>43920</c:v>
                </c:pt>
                <c:pt idx="669">
                  <c:v>43919</c:v>
                </c:pt>
                <c:pt idx="670">
                  <c:v>43918</c:v>
                </c:pt>
                <c:pt idx="671">
                  <c:v>43917</c:v>
                </c:pt>
                <c:pt idx="672">
                  <c:v>43916</c:v>
                </c:pt>
                <c:pt idx="673">
                  <c:v>43915</c:v>
                </c:pt>
                <c:pt idx="674">
                  <c:v>43914</c:v>
                </c:pt>
                <c:pt idx="675">
                  <c:v>43913</c:v>
                </c:pt>
                <c:pt idx="676">
                  <c:v>43912</c:v>
                </c:pt>
                <c:pt idx="677">
                  <c:v>43911</c:v>
                </c:pt>
                <c:pt idx="678">
                  <c:v>43910</c:v>
                </c:pt>
                <c:pt idx="679">
                  <c:v>43909</c:v>
                </c:pt>
                <c:pt idx="680">
                  <c:v>43908</c:v>
                </c:pt>
                <c:pt idx="681">
                  <c:v>43907</c:v>
                </c:pt>
                <c:pt idx="682">
                  <c:v>43906</c:v>
                </c:pt>
                <c:pt idx="683">
                  <c:v>43905</c:v>
                </c:pt>
                <c:pt idx="684">
                  <c:v>43904</c:v>
                </c:pt>
                <c:pt idx="685">
                  <c:v>43903</c:v>
                </c:pt>
                <c:pt idx="686">
                  <c:v>43902</c:v>
                </c:pt>
                <c:pt idx="687">
                  <c:v>43901</c:v>
                </c:pt>
                <c:pt idx="688">
                  <c:v>43900</c:v>
                </c:pt>
                <c:pt idx="689">
                  <c:v>43899</c:v>
                </c:pt>
                <c:pt idx="690">
                  <c:v>43898</c:v>
                </c:pt>
                <c:pt idx="691">
                  <c:v>43897</c:v>
                </c:pt>
                <c:pt idx="692">
                  <c:v>43896</c:v>
                </c:pt>
                <c:pt idx="693">
                  <c:v>43895</c:v>
                </c:pt>
                <c:pt idx="694">
                  <c:v>43894</c:v>
                </c:pt>
                <c:pt idx="695">
                  <c:v>43893</c:v>
                </c:pt>
                <c:pt idx="696">
                  <c:v>43892</c:v>
                </c:pt>
                <c:pt idx="697">
                  <c:v>43891</c:v>
                </c:pt>
                <c:pt idx="698">
                  <c:v>43890</c:v>
                </c:pt>
                <c:pt idx="699">
                  <c:v>43889</c:v>
                </c:pt>
                <c:pt idx="700">
                  <c:v>43888</c:v>
                </c:pt>
                <c:pt idx="701">
                  <c:v>43887</c:v>
                </c:pt>
                <c:pt idx="702">
                  <c:v>43886</c:v>
                </c:pt>
                <c:pt idx="703">
                  <c:v>43885</c:v>
                </c:pt>
                <c:pt idx="704">
                  <c:v>43884</c:v>
                </c:pt>
                <c:pt idx="705">
                  <c:v>43883</c:v>
                </c:pt>
                <c:pt idx="706">
                  <c:v>43882</c:v>
                </c:pt>
                <c:pt idx="707">
                  <c:v>43881</c:v>
                </c:pt>
                <c:pt idx="708">
                  <c:v>43880</c:v>
                </c:pt>
                <c:pt idx="709">
                  <c:v>43879</c:v>
                </c:pt>
                <c:pt idx="710">
                  <c:v>43878</c:v>
                </c:pt>
                <c:pt idx="711">
                  <c:v>43877</c:v>
                </c:pt>
                <c:pt idx="712">
                  <c:v>43876</c:v>
                </c:pt>
                <c:pt idx="713">
                  <c:v>43875</c:v>
                </c:pt>
                <c:pt idx="714">
                  <c:v>43874</c:v>
                </c:pt>
                <c:pt idx="715">
                  <c:v>43873</c:v>
                </c:pt>
                <c:pt idx="716">
                  <c:v>43872</c:v>
                </c:pt>
                <c:pt idx="717">
                  <c:v>43871</c:v>
                </c:pt>
                <c:pt idx="718">
                  <c:v>43870</c:v>
                </c:pt>
                <c:pt idx="719">
                  <c:v>43869</c:v>
                </c:pt>
                <c:pt idx="720">
                  <c:v>43868</c:v>
                </c:pt>
                <c:pt idx="721">
                  <c:v>43867</c:v>
                </c:pt>
                <c:pt idx="722">
                  <c:v>43866</c:v>
                </c:pt>
                <c:pt idx="723">
                  <c:v>43865</c:v>
                </c:pt>
                <c:pt idx="724">
                  <c:v>43864</c:v>
                </c:pt>
                <c:pt idx="725">
                  <c:v>43863</c:v>
                </c:pt>
                <c:pt idx="726">
                  <c:v>43862</c:v>
                </c:pt>
                <c:pt idx="727">
                  <c:v>43861</c:v>
                </c:pt>
                <c:pt idx="728">
                  <c:v>43860</c:v>
                </c:pt>
                <c:pt idx="729">
                  <c:v>43859</c:v>
                </c:pt>
                <c:pt idx="730">
                  <c:v>43858</c:v>
                </c:pt>
                <c:pt idx="731">
                  <c:v>43857</c:v>
                </c:pt>
                <c:pt idx="732">
                  <c:v>43856</c:v>
                </c:pt>
                <c:pt idx="733">
                  <c:v>43855</c:v>
                </c:pt>
                <c:pt idx="734">
                  <c:v>43854</c:v>
                </c:pt>
                <c:pt idx="735">
                  <c:v>43853</c:v>
                </c:pt>
                <c:pt idx="736">
                  <c:v>43852</c:v>
                </c:pt>
                <c:pt idx="737">
                  <c:v>43851</c:v>
                </c:pt>
                <c:pt idx="738">
                  <c:v>43850</c:v>
                </c:pt>
                <c:pt idx="739">
                  <c:v>43849</c:v>
                </c:pt>
                <c:pt idx="740">
                  <c:v>43848</c:v>
                </c:pt>
                <c:pt idx="741">
                  <c:v>43847</c:v>
                </c:pt>
                <c:pt idx="742">
                  <c:v>43846</c:v>
                </c:pt>
                <c:pt idx="743">
                  <c:v>43845</c:v>
                </c:pt>
                <c:pt idx="744">
                  <c:v>43844</c:v>
                </c:pt>
                <c:pt idx="745">
                  <c:v>43843</c:v>
                </c:pt>
                <c:pt idx="746">
                  <c:v>43842</c:v>
                </c:pt>
                <c:pt idx="747">
                  <c:v>43841</c:v>
                </c:pt>
                <c:pt idx="748">
                  <c:v>43840</c:v>
                </c:pt>
                <c:pt idx="749">
                  <c:v>43839</c:v>
                </c:pt>
                <c:pt idx="750">
                  <c:v>43838</c:v>
                </c:pt>
                <c:pt idx="751">
                  <c:v>43837</c:v>
                </c:pt>
                <c:pt idx="752">
                  <c:v>43836</c:v>
                </c:pt>
                <c:pt idx="753">
                  <c:v>43835</c:v>
                </c:pt>
                <c:pt idx="754">
                  <c:v>43834</c:v>
                </c:pt>
                <c:pt idx="755">
                  <c:v>43833</c:v>
                </c:pt>
                <c:pt idx="756">
                  <c:v>43832</c:v>
                </c:pt>
                <c:pt idx="757">
                  <c:v>43831</c:v>
                </c:pt>
                <c:pt idx="758">
                  <c:v>43830</c:v>
                </c:pt>
                <c:pt idx="759">
                  <c:v>43829</c:v>
                </c:pt>
                <c:pt idx="760">
                  <c:v>43828</c:v>
                </c:pt>
                <c:pt idx="761">
                  <c:v>43827</c:v>
                </c:pt>
                <c:pt idx="763">
                  <c:v>43826</c:v>
                </c:pt>
                <c:pt idx="764">
                  <c:v>43825</c:v>
                </c:pt>
                <c:pt idx="765">
                  <c:v>43824</c:v>
                </c:pt>
                <c:pt idx="766">
                  <c:v>43823</c:v>
                </c:pt>
                <c:pt idx="767">
                  <c:v>43822</c:v>
                </c:pt>
                <c:pt idx="768">
                  <c:v>43821</c:v>
                </c:pt>
                <c:pt idx="769">
                  <c:v>43820</c:v>
                </c:pt>
                <c:pt idx="770">
                  <c:v>43819</c:v>
                </c:pt>
                <c:pt idx="771">
                  <c:v>43818</c:v>
                </c:pt>
                <c:pt idx="772">
                  <c:v>43817</c:v>
                </c:pt>
                <c:pt idx="773">
                  <c:v>43816</c:v>
                </c:pt>
                <c:pt idx="774">
                  <c:v>43815</c:v>
                </c:pt>
                <c:pt idx="775">
                  <c:v>43814</c:v>
                </c:pt>
                <c:pt idx="776">
                  <c:v>43813</c:v>
                </c:pt>
                <c:pt idx="777">
                  <c:v>43812</c:v>
                </c:pt>
                <c:pt idx="778">
                  <c:v>43811</c:v>
                </c:pt>
                <c:pt idx="779">
                  <c:v>43810</c:v>
                </c:pt>
                <c:pt idx="780">
                  <c:v>43809</c:v>
                </c:pt>
                <c:pt idx="781">
                  <c:v>43808</c:v>
                </c:pt>
                <c:pt idx="782">
                  <c:v>43807</c:v>
                </c:pt>
                <c:pt idx="783">
                  <c:v>43806</c:v>
                </c:pt>
                <c:pt idx="784">
                  <c:v>43805</c:v>
                </c:pt>
                <c:pt idx="785">
                  <c:v>43804</c:v>
                </c:pt>
                <c:pt idx="786">
                  <c:v>43803</c:v>
                </c:pt>
                <c:pt idx="787">
                  <c:v>43802</c:v>
                </c:pt>
                <c:pt idx="788">
                  <c:v>43801</c:v>
                </c:pt>
                <c:pt idx="789">
                  <c:v>43800</c:v>
                </c:pt>
                <c:pt idx="790">
                  <c:v>43799</c:v>
                </c:pt>
                <c:pt idx="791">
                  <c:v>43798</c:v>
                </c:pt>
                <c:pt idx="792">
                  <c:v>43797</c:v>
                </c:pt>
                <c:pt idx="793">
                  <c:v>43796</c:v>
                </c:pt>
                <c:pt idx="794">
                  <c:v>43795</c:v>
                </c:pt>
                <c:pt idx="795">
                  <c:v>43794</c:v>
                </c:pt>
                <c:pt idx="796">
                  <c:v>43793</c:v>
                </c:pt>
                <c:pt idx="797">
                  <c:v>43792</c:v>
                </c:pt>
                <c:pt idx="798">
                  <c:v>43791</c:v>
                </c:pt>
                <c:pt idx="799">
                  <c:v>43790</c:v>
                </c:pt>
                <c:pt idx="800">
                  <c:v>43789</c:v>
                </c:pt>
                <c:pt idx="801">
                  <c:v>43788</c:v>
                </c:pt>
                <c:pt idx="802">
                  <c:v>43787</c:v>
                </c:pt>
                <c:pt idx="803">
                  <c:v>43786</c:v>
                </c:pt>
                <c:pt idx="804">
                  <c:v>43785</c:v>
                </c:pt>
                <c:pt idx="805">
                  <c:v>43784</c:v>
                </c:pt>
                <c:pt idx="806">
                  <c:v>43783</c:v>
                </c:pt>
                <c:pt idx="807">
                  <c:v>43782</c:v>
                </c:pt>
                <c:pt idx="808">
                  <c:v>43781</c:v>
                </c:pt>
                <c:pt idx="809">
                  <c:v>43780</c:v>
                </c:pt>
                <c:pt idx="810">
                  <c:v>43779</c:v>
                </c:pt>
                <c:pt idx="811">
                  <c:v>43778</c:v>
                </c:pt>
                <c:pt idx="812">
                  <c:v>43777</c:v>
                </c:pt>
                <c:pt idx="813">
                  <c:v>43776</c:v>
                </c:pt>
                <c:pt idx="814">
                  <c:v>43775</c:v>
                </c:pt>
                <c:pt idx="815">
                  <c:v>43774</c:v>
                </c:pt>
                <c:pt idx="816">
                  <c:v>43773</c:v>
                </c:pt>
                <c:pt idx="817">
                  <c:v>43772</c:v>
                </c:pt>
                <c:pt idx="818">
                  <c:v>43771</c:v>
                </c:pt>
                <c:pt idx="819">
                  <c:v>43770</c:v>
                </c:pt>
                <c:pt idx="820">
                  <c:v>43769</c:v>
                </c:pt>
                <c:pt idx="821">
                  <c:v>43768</c:v>
                </c:pt>
                <c:pt idx="822">
                  <c:v>43767</c:v>
                </c:pt>
                <c:pt idx="823">
                  <c:v>43766</c:v>
                </c:pt>
                <c:pt idx="824">
                  <c:v>43765</c:v>
                </c:pt>
                <c:pt idx="825">
                  <c:v>43764</c:v>
                </c:pt>
                <c:pt idx="826">
                  <c:v>43763</c:v>
                </c:pt>
                <c:pt idx="827">
                  <c:v>43762</c:v>
                </c:pt>
                <c:pt idx="828">
                  <c:v>43761</c:v>
                </c:pt>
                <c:pt idx="829">
                  <c:v>43760</c:v>
                </c:pt>
                <c:pt idx="830">
                  <c:v>43759</c:v>
                </c:pt>
                <c:pt idx="831">
                  <c:v>43758</c:v>
                </c:pt>
                <c:pt idx="832">
                  <c:v>43757</c:v>
                </c:pt>
                <c:pt idx="833">
                  <c:v>43756</c:v>
                </c:pt>
                <c:pt idx="834">
                  <c:v>43755</c:v>
                </c:pt>
                <c:pt idx="835">
                  <c:v>43754</c:v>
                </c:pt>
                <c:pt idx="836">
                  <c:v>43753</c:v>
                </c:pt>
                <c:pt idx="837">
                  <c:v>43752</c:v>
                </c:pt>
                <c:pt idx="838">
                  <c:v>43751</c:v>
                </c:pt>
                <c:pt idx="839">
                  <c:v>43750</c:v>
                </c:pt>
                <c:pt idx="840">
                  <c:v>43749</c:v>
                </c:pt>
                <c:pt idx="841">
                  <c:v>43748</c:v>
                </c:pt>
                <c:pt idx="842">
                  <c:v>43747</c:v>
                </c:pt>
                <c:pt idx="843">
                  <c:v>43746</c:v>
                </c:pt>
                <c:pt idx="844">
                  <c:v>43745</c:v>
                </c:pt>
                <c:pt idx="845">
                  <c:v>43744</c:v>
                </c:pt>
                <c:pt idx="846">
                  <c:v>43743</c:v>
                </c:pt>
                <c:pt idx="847">
                  <c:v>43742</c:v>
                </c:pt>
                <c:pt idx="848">
                  <c:v>43741</c:v>
                </c:pt>
                <c:pt idx="849">
                  <c:v>43740</c:v>
                </c:pt>
                <c:pt idx="850">
                  <c:v>43739</c:v>
                </c:pt>
                <c:pt idx="851">
                  <c:v>43738</c:v>
                </c:pt>
                <c:pt idx="852">
                  <c:v>43737</c:v>
                </c:pt>
                <c:pt idx="853">
                  <c:v>43736</c:v>
                </c:pt>
                <c:pt idx="854">
                  <c:v>43735</c:v>
                </c:pt>
                <c:pt idx="855">
                  <c:v>43734</c:v>
                </c:pt>
                <c:pt idx="856">
                  <c:v>43733</c:v>
                </c:pt>
                <c:pt idx="857">
                  <c:v>43732</c:v>
                </c:pt>
                <c:pt idx="858">
                  <c:v>43731</c:v>
                </c:pt>
                <c:pt idx="859">
                  <c:v>43730</c:v>
                </c:pt>
                <c:pt idx="860">
                  <c:v>43729</c:v>
                </c:pt>
                <c:pt idx="861">
                  <c:v>43728</c:v>
                </c:pt>
                <c:pt idx="862">
                  <c:v>43727</c:v>
                </c:pt>
                <c:pt idx="863">
                  <c:v>43726</c:v>
                </c:pt>
                <c:pt idx="864">
                  <c:v>43725</c:v>
                </c:pt>
                <c:pt idx="865">
                  <c:v>43724</c:v>
                </c:pt>
                <c:pt idx="866">
                  <c:v>43723</c:v>
                </c:pt>
                <c:pt idx="867">
                  <c:v>43722</c:v>
                </c:pt>
                <c:pt idx="868">
                  <c:v>43721</c:v>
                </c:pt>
                <c:pt idx="869">
                  <c:v>43720</c:v>
                </c:pt>
                <c:pt idx="870">
                  <c:v>43719</c:v>
                </c:pt>
                <c:pt idx="871">
                  <c:v>43718</c:v>
                </c:pt>
                <c:pt idx="872">
                  <c:v>43717</c:v>
                </c:pt>
                <c:pt idx="873">
                  <c:v>43716</c:v>
                </c:pt>
                <c:pt idx="874">
                  <c:v>43715</c:v>
                </c:pt>
                <c:pt idx="875">
                  <c:v>43714</c:v>
                </c:pt>
                <c:pt idx="876">
                  <c:v>43713</c:v>
                </c:pt>
                <c:pt idx="877">
                  <c:v>43712</c:v>
                </c:pt>
                <c:pt idx="878">
                  <c:v>43711</c:v>
                </c:pt>
                <c:pt idx="879">
                  <c:v>43710</c:v>
                </c:pt>
                <c:pt idx="880">
                  <c:v>43709</c:v>
                </c:pt>
                <c:pt idx="881">
                  <c:v>43708</c:v>
                </c:pt>
                <c:pt idx="882">
                  <c:v>43707</c:v>
                </c:pt>
                <c:pt idx="883">
                  <c:v>43706</c:v>
                </c:pt>
                <c:pt idx="884">
                  <c:v>43705</c:v>
                </c:pt>
                <c:pt idx="885">
                  <c:v>43704</c:v>
                </c:pt>
                <c:pt idx="886">
                  <c:v>43703</c:v>
                </c:pt>
                <c:pt idx="887">
                  <c:v>43702</c:v>
                </c:pt>
                <c:pt idx="888">
                  <c:v>43701</c:v>
                </c:pt>
                <c:pt idx="889">
                  <c:v>43700</c:v>
                </c:pt>
                <c:pt idx="890">
                  <c:v>43699</c:v>
                </c:pt>
                <c:pt idx="891">
                  <c:v>43698</c:v>
                </c:pt>
                <c:pt idx="892">
                  <c:v>43697</c:v>
                </c:pt>
                <c:pt idx="893">
                  <c:v>43696</c:v>
                </c:pt>
                <c:pt idx="894">
                  <c:v>43695</c:v>
                </c:pt>
                <c:pt idx="895">
                  <c:v>43694</c:v>
                </c:pt>
                <c:pt idx="896">
                  <c:v>43693</c:v>
                </c:pt>
                <c:pt idx="897">
                  <c:v>43692</c:v>
                </c:pt>
                <c:pt idx="898">
                  <c:v>43691</c:v>
                </c:pt>
                <c:pt idx="899">
                  <c:v>43690</c:v>
                </c:pt>
                <c:pt idx="900">
                  <c:v>43689</c:v>
                </c:pt>
                <c:pt idx="901">
                  <c:v>43688</c:v>
                </c:pt>
                <c:pt idx="902">
                  <c:v>43687</c:v>
                </c:pt>
                <c:pt idx="903">
                  <c:v>43686</c:v>
                </c:pt>
                <c:pt idx="904">
                  <c:v>43685</c:v>
                </c:pt>
                <c:pt idx="905">
                  <c:v>43684</c:v>
                </c:pt>
                <c:pt idx="906">
                  <c:v>43683</c:v>
                </c:pt>
                <c:pt idx="907">
                  <c:v>43682</c:v>
                </c:pt>
                <c:pt idx="908">
                  <c:v>43681</c:v>
                </c:pt>
                <c:pt idx="909">
                  <c:v>43680</c:v>
                </c:pt>
                <c:pt idx="910">
                  <c:v>43679</c:v>
                </c:pt>
                <c:pt idx="911">
                  <c:v>43678</c:v>
                </c:pt>
                <c:pt idx="912">
                  <c:v>43677</c:v>
                </c:pt>
                <c:pt idx="913">
                  <c:v>43676</c:v>
                </c:pt>
                <c:pt idx="914">
                  <c:v>43675</c:v>
                </c:pt>
                <c:pt idx="915">
                  <c:v>43674</c:v>
                </c:pt>
                <c:pt idx="916">
                  <c:v>43673</c:v>
                </c:pt>
                <c:pt idx="917">
                  <c:v>43672</c:v>
                </c:pt>
                <c:pt idx="918">
                  <c:v>43671</c:v>
                </c:pt>
                <c:pt idx="919">
                  <c:v>43670</c:v>
                </c:pt>
                <c:pt idx="920">
                  <c:v>43669</c:v>
                </c:pt>
                <c:pt idx="921">
                  <c:v>43668</c:v>
                </c:pt>
                <c:pt idx="922">
                  <c:v>43667</c:v>
                </c:pt>
                <c:pt idx="923">
                  <c:v>43666</c:v>
                </c:pt>
                <c:pt idx="924">
                  <c:v>43665</c:v>
                </c:pt>
                <c:pt idx="925">
                  <c:v>43664</c:v>
                </c:pt>
                <c:pt idx="926">
                  <c:v>43663</c:v>
                </c:pt>
                <c:pt idx="927">
                  <c:v>43662</c:v>
                </c:pt>
                <c:pt idx="928">
                  <c:v>43661</c:v>
                </c:pt>
                <c:pt idx="929">
                  <c:v>43660</c:v>
                </c:pt>
                <c:pt idx="930">
                  <c:v>43659</c:v>
                </c:pt>
                <c:pt idx="931">
                  <c:v>43658</c:v>
                </c:pt>
                <c:pt idx="932">
                  <c:v>43657</c:v>
                </c:pt>
                <c:pt idx="933">
                  <c:v>43656</c:v>
                </c:pt>
                <c:pt idx="934">
                  <c:v>43655</c:v>
                </c:pt>
                <c:pt idx="935">
                  <c:v>43654</c:v>
                </c:pt>
                <c:pt idx="936">
                  <c:v>43653</c:v>
                </c:pt>
                <c:pt idx="937">
                  <c:v>43652</c:v>
                </c:pt>
                <c:pt idx="938">
                  <c:v>43651</c:v>
                </c:pt>
                <c:pt idx="939">
                  <c:v>43650</c:v>
                </c:pt>
                <c:pt idx="940">
                  <c:v>43649</c:v>
                </c:pt>
                <c:pt idx="941">
                  <c:v>43648</c:v>
                </c:pt>
                <c:pt idx="942">
                  <c:v>43647</c:v>
                </c:pt>
                <c:pt idx="943">
                  <c:v>43646</c:v>
                </c:pt>
                <c:pt idx="944">
                  <c:v>43645</c:v>
                </c:pt>
                <c:pt idx="945">
                  <c:v>43644</c:v>
                </c:pt>
                <c:pt idx="946">
                  <c:v>43643</c:v>
                </c:pt>
                <c:pt idx="947">
                  <c:v>43642</c:v>
                </c:pt>
                <c:pt idx="948">
                  <c:v>43641</c:v>
                </c:pt>
                <c:pt idx="949">
                  <c:v>43640</c:v>
                </c:pt>
                <c:pt idx="950">
                  <c:v>43639</c:v>
                </c:pt>
                <c:pt idx="951">
                  <c:v>43638</c:v>
                </c:pt>
                <c:pt idx="952">
                  <c:v>43637</c:v>
                </c:pt>
                <c:pt idx="953">
                  <c:v>43636</c:v>
                </c:pt>
                <c:pt idx="954">
                  <c:v>43635</c:v>
                </c:pt>
                <c:pt idx="955">
                  <c:v>43634</c:v>
                </c:pt>
                <c:pt idx="956">
                  <c:v>43633</c:v>
                </c:pt>
                <c:pt idx="957">
                  <c:v>43632</c:v>
                </c:pt>
                <c:pt idx="958">
                  <c:v>43631</c:v>
                </c:pt>
                <c:pt idx="959">
                  <c:v>43630</c:v>
                </c:pt>
                <c:pt idx="960">
                  <c:v>43629</c:v>
                </c:pt>
                <c:pt idx="961">
                  <c:v>43628</c:v>
                </c:pt>
                <c:pt idx="962">
                  <c:v>43627</c:v>
                </c:pt>
                <c:pt idx="963">
                  <c:v>43626</c:v>
                </c:pt>
                <c:pt idx="964">
                  <c:v>43625</c:v>
                </c:pt>
                <c:pt idx="965">
                  <c:v>43624</c:v>
                </c:pt>
                <c:pt idx="966">
                  <c:v>43623</c:v>
                </c:pt>
                <c:pt idx="967">
                  <c:v>43622</c:v>
                </c:pt>
                <c:pt idx="968">
                  <c:v>43621</c:v>
                </c:pt>
                <c:pt idx="969">
                  <c:v>43620</c:v>
                </c:pt>
                <c:pt idx="970">
                  <c:v>43619</c:v>
                </c:pt>
                <c:pt idx="971">
                  <c:v>43618</c:v>
                </c:pt>
                <c:pt idx="972">
                  <c:v>43617</c:v>
                </c:pt>
                <c:pt idx="973">
                  <c:v>43616</c:v>
                </c:pt>
                <c:pt idx="974">
                  <c:v>43615</c:v>
                </c:pt>
                <c:pt idx="975">
                  <c:v>43614</c:v>
                </c:pt>
                <c:pt idx="976">
                  <c:v>43613</c:v>
                </c:pt>
                <c:pt idx="977">
                  <c:v>43612</c:v>
                </c:pt>
                <c:pt idx="978">
                  <c:v>43611</c:v>
                </c:pt>
                <c:pt idx="979">
                  <c:v>43610</c:v>
                </c:pt>
                <c:pt idx="980">
                  <c:v>43609</c:v>
                </c:pt>
                <c:pt idx="981">
                  <c:v>43608</c:v>
                </c:pt>
                <c:pt idx="982">
                  <c:v>43607</c:v>
                </c:pt>
                <c:pt idx="983">
                  <c:v>43606</c:v>
                </c:pt>
                <c:pt idx="984">
                  <c:v>43605</c:v>
                </c:pt>
                <c:pt idx="985">
                  <c:v>43604</c:v>
                </c:pt>
                <c:pt idx="986">
                  <c:v>43603</c:v>
                </c:pt>
                <c:pt idx="987">
                  <c:v>43602</c:v>
                </c:pt>
                <c:pt idx="988">
                  <c:v>43601</c:v>
                </c:pt>
                <c:pt idx="989">
                  <c:v>43600</c:v>
                </c:pt>
                <c:pt idx="990">
                  <c:v>43599</c:v>
                </c:pt>
                <c:pt idx="991">
                  <c:v>43598</c:v>
                </c:pt>
                <c:pt idx="992">
                  <c:v>43597</c:v>
                </c:pt>
                <c:pt idx="993">
                  <c:v>43596</c:v>
                </c:pt>
                <c:pt idx="994">
                  <c:v>43595</c:v>
                </c:pt>
                <c:pt idx="995">
                  <c:v>43594</c:v>
                </c:pt>
              </c:numCache>
            </c:numRef>
          </c:cat>
          <c:val>
            <c:numRef>
              <c:f>'table (1)'!$T$5:$T$1000</c:f>
              <c:numCache>
                <c:formatCode>General</c:formatCode>
                <c:ptCount val="996"/>
                <c:pt idx="0">
                  <c:v>1.090727503188774</c:v>
                </c:pt>
                <c:pt idx="1">
                  <c:v>1.0911535707498927</c:v>
                </c:pt>
                <c:pt idx="2">
                  <c:v>1.0961451563177074</c:v>
                </c:pt>
                <c:pt idx="3">
                  <c:v>1.0941332262402215</c:v>
                </c:pt>
                <c:pt idx="4">
                  <c:v>1.0888286086748757</c:v>
                </c:pt>
                <c:pt idx="5">
                  <c:v>1.0841329380000737</c:v>
                </c:pt>
                <c:pt idx="6">
                  <c:v>1.0875043852783941</c:v>
                </c:pt>
                <c:pt idx="7">
                  <c:v>1.0923757974958201</c:v>
                </c:pt>
                <c:pt idx="8">
                  <c:v>1.0955936930883317</c:v>
                </c:pt>
                <c:pt idx="9">
                  <c:v>1.0957237535089384</c:v>
                </c:pt>
                <c:pt idx="10">
                  <c:v>1.0958333384825438</c:v>
                </c:pt>
                <c:pt idx="11">
                  <c:v>1.096874349695889</c:v>
                </c:pt>
                <c:pt idx="12">
                  <c:v>1.0963551297221872</c:v>
                </c:pt>
                <c:pt idx="13">
                  <c:v>1.095998272225402</c:v>
                </c:pt>
                <c:pt idx="14">
                  <c:v>1.0944489680223186</c:v>
                </c:pt>
                <c:pt idx="15">
                  <c:v>1.0975378653360515</c:v>
                </c:pt>
                <c:pt idx="16">
                  <c:v>1.0952834447372437</c:v>
                </c:pt>
                <c:pt idx="17">
                  <c:v>1.0924744570685145</c:v>
                </c:pt>
                <c:pt idx="18">
                  <c:v>1.0914086983355833</c:v>
                </c:pt>
                <c:pt idx="19">
                  <c:v>1.0907855376107574</c:v>
                </c:pt>
                <c:pt idx="20">
                  <c:v>1.0921975765926537</c:v>
                </c:pt>
                <c:pt idx="21">
                  <c:v>1.0937693125226284</c:v>
                </c:pt>
                <c:pt idx="22">
                  <c:v>1.0944994650897033</c:v>
                </c:pt>
                <c:pt idx="23">
                  <c:v>1.0961697188004924</c:v>
                </c:pt>
                <c:pt idx="24">
                  <c:v>1.0968398945901063</c:v>
                </c:pt>
                <c:pt idx="25">
                  <c:v>1.0968577744257275</c:v>
                </c:pt>
                <c:pt idx="26">
                  <c:v>1.0959542537555875</c:v>
                </c:pt>
                <c:pt idx="27">
                  <c:v>1.0947393921085098</c:v>
                </c:pt>
                <c:pt idx="28">
                  <c:v>1.0959191779305733</c:v>
                </c:pt>
                <c:pt idx="29">
                  <c:v>1.0950466871759061</c:v>
                </c:pt>
                <c:pt idx="30">
                  <c:v>1.0973703531654848</c:v>
                </c:pt>
                <c:pt idx="31">
                  <c:v>1.1000904698014571</c:v>
                </c:pt>
                <c:pt idx="32">
                  <c:v>1.1020254666516751</c:v>
                </c:pt>
                <c:pt idx="33">
                  <c:v>1.1016266551544749</c:v>
                </c:pt>
                <c:pt idx="34">
                  <c:v>1.1010486315522481</c:v>
                </c:pt>
                <c:pt idx="35">
                  <c:v>1.1022117231149291</c:v>
                </c:pt>
                <c:pt idx="36">
                  <c:v>1.0995524746909235</c:v>
                </c:pt>
                <c:pt idx="37">
                  <c:v>1.100607977378723</c:v>
                </c:pt>
                <c:pt idx="38">
                  <c:v>1.0994227417256368</c:v>
                </c:pt>
                <c:pt idx="39">
                  <c:v>1.0969844362397125</c:v>
                </c:pt>
                <c:pt idx="40">
                  <c:v>1.0983894305745809</c:v>
                </c:pt>
                <c:pt idx="41">
                  <c:v>1.0960864825835208</c:v>
                </c:pt>
                <c:pt idx="42">
                  <c:v>1.0951925122964534</c:v>
                </c:pt>
                <c:pt idx="43">
                  <c:v>1.0981914869590101</c:v>
                </c:pt>
                <c:pt idx="44">
                  <c:v>1.0945388216242953</c:v>
                </c:pt>
                <c:pt idx="45">
                  <c:v>1.091536561236458</c:v>
                </c:pt>
                <c:pt idx="46">
                  <c:v>1.0943701743604435</c:v>
                </c:pt>
                <c:pt idx="47">
                  <c:v>1.0929780932508328</c:v>
                </c:pt>
                <c:pt idx="48">
                  <c:v>1.0925568479065022</c:v>
                </c:pt>
                <c:pt idx="49">
                  <c:v>1.0978427930186447</c:v>
                </c:pt>
                <c:pt idx="50">
                  <c:v>1.1018028711834096</c:v>
                </c:pt>
                <c:pt idx="51">
                  <c:v>1.0980213839497215</c:v>
                </c:pt>
                <c:pt idx="52">
                  <c:v>1.0997165266654845</c:v>
                </c:pt>
                <c:pt idx="53">
                  <c:v>1.0933611382906343</c:v>
                </c:pt>
                <c:pt idx="54">
                  <c:v>1.0905582936181577</c:v>
                </c:pt>
                <c:pt idx="55">
                  <c:v>1.0831118294904063</c:v>
                </c:pt>
                <c:pt idx="56">
                  <c:v>1.0858996332064821</c:v>
                </c:pt>
                <c:pt idx="57">
                  <c:v>1.0869162834246779</c:v>
                </c:pt>
                <c:pt idx="58">
                  <c:v>1.0896459841943755</c:v>
                </c:pt>
                <c:pt idx="59">
                  <c:v>1.0867012216778305</c:v>
                </c:pt>
                <c:pt idx="60">
                  <c:v>1.0832757122424461</c:v>
                </c:pt>
                <c:pt idx="61">
                  <c:v>1.0798882662263194</c:v>
                </c:pt>
                <c:pt idx="62">
                  <c:v>1.0802679658183028</c:v>
                </c:pt>
                <c:pt idx="63">
                  <c:v>1.0845758898545712</c:v>
                </c:pt>
                <c:pt idx="64">
                  <c:v>1.080860493558609</c:v>
                </c:pt>
                <c:pt idx="65">
                  <c:v>1.0812686452316957</c:v>
                </c:pt>
                <c:pt idx="66">
                  <c:v>1.0776642635089595</c:v>
                </c:pt>
                <c:pt idx="67">
                  <c:v>1.0806434745636941</c:v>
                </c:pt>
                <c:pt idx="68">
                  <c:v>1.0835268858185882</c:v>
                </c:pt>
                <c:pt idx="69">
                  <c:v>1.0806055549393914</c:v>
                </c:pt>
                <c:pt idx="70">
                  <c:v>1.0767604344820056</c:v>
                </c:pt>
                <c:pt idx="71">
                  <c:v>1.0813277748205632</c:v>
                </c:pt>
                <c:pt idx="72">
                  <c:v>1.0770836449720209</c:v>
                </c:pt>
                <c:pt idx="73">
                  <c:v>1.0810322670356698</c:v>
                </c:pt>
                <c:pt idx="74">
                  <c:v>1.0840169024050696</c:v>
                </c:pt>
                <c:pt idx="75">
                  <c:v>1.0834393952673387</c:v>
                </c:pt>
                <c:pt idx="76">
                  <c:v>1.0834951472477976</c:v>
                </c:pt>
                <c:pt idx="77">
                  <c:v>1.0832908568696606</c:v>
                </c:pt>
                <c:pt idx="78">
                  <c:v>1.0820533389103191</c:v>
                </c:pt>
                <c:pt idx="79">
                  <c:v>1.0830399622581228</c:v>
                </c:pt>
                <c:pt idx="80">
                  <c:v>1.0852297705967393</c:v>
                </c:pt>
                <c:pt idx="81">
                  <c:v>1.0818745253701347</c:v>
                </c:pt>
                <c:pt idx="82">
                  <c:v>1.0803507218769695</c:v>
                </c:pt>
                <c:pt idx="83">
                  <c:v>1.0775085018250901</c:v>
                </c:pt>
                <c:pt idx="84">
                  <c:v>1.0789143833185777</c:v>
                </c:pt>
                <c:pt idx="85">
                  <c:v>1.0781661840303227</c:v>
                </c:pt>
                <c:pt idx="86">
                  <c:v>1.0763400187963972</c:v>
                </c:pt>
                <c:pt idx="87">
                  <c:v>1.0719466548171888</c:v>
                </c:pt>
                <c:pt idx="88">
                  <c:v>1.070104660370724</c:v>
                </c:pt>
                <c:pt idx="89">
                  <c:v>1.0699124665276281</c:v>
                </c:pt>
                <c:pt idx="90">
                  <c:v>1.070264723643555</c:v>
                </c:pt>
                <c:pt idx="91">
                  <c:v>1.0670634491909505</c:v>
                </c:pt>
                <c:pt idx="92">
                  <c:v>1.0610775525819347</c:v>
                </c:pt>
                <c:pt idx="93">
                  <c:v>1.0676633008482663</c:v>
                </c:pt>
                <c:pt idx="94">
                  <c:v>1.0701522140701234</c:v>
                </c:pt>
                <c:pt idx="95">
                  <c:v>1.0673231975703075</c:v>
                </c:pt>
                <c:pt idx="96">
                  <c:v>1.0670651257809809</c:v>
                </c:pt>
                <c:pt idx="97">
                  <c:v>1.0639352848392234</c:v>
                </c:pt>
                <c:pt idx="98">
                  <c:v>1.0657756747492562</c:v>
                </c:pt>
                <c:pt idx="99">
                  <c:v>1.0720020973417288</c:v>
                </c:pt>
                <c:pt idx="100">
                  <c:v>1.0668757195032383</c:v>
                </c:pt>
                <c:pt idx="101">
                  <c:v>1.0638975255666516</c:v>
                </c:pt>
                <c:pt idx="102">
                  <c:v>1.0653635004350659</c:v>
                </c:pt>
                <c:pt idx="103">
                  <c:v>1.0635861945782381</c:v>
                </c:pt>
                <c:pt idx="104">
                  <c:v>1.0661449715303244</c:v>
                </c:pt>
                <c:pt idx="105">
                  <c:v>1.0633540253874951</c:v>
                </c:pt>
                <c:pt idx="106">
                  <c:v>1.0598789440428706</c:v>
                </c:pt>
                <c:pt idx="107">
                  <c:v>1.056163536407678</c:v>
                </c:pt>
                <c:pt idx="108">
                  <c:v>1.0552361078842118</c:v>
                </c:pt>
                <c:pt idx="109">
                  <c:v>1.0534900399599207</c:v>
                </c:pt>
                <c:pt idx="110">
                  <c:v>1.0587546218025796</c:v>
                </c:pt>
                <c:pt idx="111">
                  <c:v>1.059629425803952</c:v>
                </c:pt>
                <c:pt idx="112">
                  <c:v>1.0621238047153836</c:v>
                </c:pt>
                <c:pt idx="113">
                  <c:v>1.0607927153861743</c:v>
                </c:pt>
                <c:pt idx="114">
                  <c:v>1.0570489386309114</c:v>
                </c:pt>
                <c:pt idx="115">
                  <c:v>1.0544023559486486</c:v>
                </c:pt>
                <c:pt idx="116">
                  <c:v>1.0519312359148918</c:v>
                </c:pt>
                <c:pt idx="117">
                  <c:v>1.0518799082145818</c:v>
                </c:pt>
                <c:pt idx="118">
                  <c:v>1.0508928924368424</c:v>
                </c:pt>
                <c:pt idx="119">
                  <c:v>1.0451279182647502</c:v>
                </c:pt>
                <c:pt idx="120">
                  <c:v>1.0423535805966948</c:v>
                </c:pt>
                <c:pt idx="121">
                  <c:v>1.0431149846608156</c:v>
                </c:pt>
                <c:pt idx="122">
                  <c:v>1.0473333775573617</c:v>
                </c:pt>
                <c:pt idx="123">
                  <c:v>1.0523133806194265</c:v>
                </c:pt>
                <c:pt idx="124">
                  <c:v>1.0473710275071488</c:v>
                </c:pt>
                <c:pt idx="125">
                  <c:v>1.0451662605254819</c:v>
                </c:pt>
                <c:pt idx="126">
                  <c:v>1.0459210981810041</c:v>
                </c:pt>
                <c:pt idx="127">
                  <c:v>1.0427649834236226</c:v>
                </c:pt>
                <c:pt idx="128">
                  <c:v>1.0364516350092658</c:v>
                </c:pt>
                <c:pt idx="129">
                  <c:v>1.0412902891441476</c:v>
                </c:pt>
                <c:pt idx="130">
                  <c:v>1.0435302694956086</c:v>
                </c:pt>
                <c:pt idx="131">
                  <c:v>1.0448785767018358</c:v>
                </c:pt>
                <c:pt idx="132">
                  <c:v>1.0455989279204869</c:v>
                </c:pt>
                <c:pt idx="133">
                  <c:v>1.0479621903597212</c:v>
                </c:pt>
                <c:pt idx="134">
                  <c:v>1.0484768448978055</c:v>
                </c:pt>
                <c:pt idx="135">
                  <c:v>1.0442783401475211</c:v>
                </c:pt>
                <c:pt idx="136">
                  <c:v>1.040661840497819</c:v>
                </c:pt>
                <c:pt idx="137">
                  <c:v>1.0400194404474161</c:v>
                </c:pt>
                <c:pt idx="138">
                  <c:v>1.0382841532647444</c:v>
                </c:pt>
                <c:pt idx="139">
                  <c:v>1.0386729557353649</c:v>
                </c:pt>
                <c:pt idx="140">
                  <c:v>1.0429565881995955</c:v>
                </c:pt>
                <c:pt idx="141">
                  <c:v>1.046784981600567</c:v>
                </c:pt>
                <c:pt idx="142">
                  <c:v>1.0417405689492332</c:v>
                </c:pt>
                <c:pt idx="143">
                  <c:v>1.0428009682862123</c:v>
                </c:pt>
                <c:pt idx="144">
                  <c:v>1.0420769316309151</c:v>
                </c:pt>
                <c:pt idx="145">
                  <c:v>1.0398682297581399</c:v>
                </c:pt>
                <c:pt idx="146">
                  <c:v>1.0407021556950984</c:v>
                </c:pt>
                <c:pt idx="147">
                  <c:v>1.0377908881736038</c:v>
                </c:pt>
                <c:pt idx="148">
                  <c:v>1.03701033112343</c:v>
                </c:pt>
                <c:pt idx="149">
                  <c:v>1.0291112002030689</c:v>
                </c:pt>
                <c:pt idx="150">
                  <c:v>1.0232929896025034</c:v>
                </c:pt>
                <c:pt idx="151">
                  <c:v>1.02425931056919</c:v>
                </c:pt>
                <c:pt idx="152">
                  <c:v>1.0240163024948703</c:v>
                </c:pt>
                <c:pt idx="153">
                  <c:v>1.0243019601967747</c:v>
                </c:pt>
                <c:pt idx="154">
                  <c:v>1.0200604685997507</c:v>
                </c:pt>
                <c:pt idx="155">
                  <c:v>1.0226890751873392</c:v>
                </c:pt>
                <c:pt idx="156">
                  <c:v>1.0190688282766913</c:v>
                </c:pt>
                <c:pt idx="157">
                  <c:v>1.0232768407433315</c:v>
                </c:pt>
                <c:pt idx="158">
                  <c:v>1.0218659470929121</c:v>
                </c:pt>
                <c:pt idx="159">
                  <c:v>1.0215599180601673</c:v>
                </c:pt>
                <c:pt idx="160">
                  <c:v>1.024416820673246</c:v>
                </c:pt>
                <c:pt idx="161">
                  <c:v>1.0202149623961871</c:v>
                </c:pt>
                <c:pt idx="162">
                  <c:v>1.014081736753599</c:v>
                </c:pt>
                <c:pt idx="163">
                  <c:v>1.0157425394993367</c:v>
                </c:pt>
                <c:pt idx="164">
                  <c:v>1.0227215483959369</c:v>
                </c:pt>
                <c:pt idx="165">
                  <c:v>1.0283584877955572</c:v>
                </c:pt>
                <c:pt idx="166">
                  <c:v>1.0234018468229986</c:v>
                </c:pt>
                <c:pt idx="167">
                  <c:v>1.0235747921449159</c:v>
                </c:pt>
                <c:pt idx="168">
                  <c:v>1.0179985874566826</c:v>
                </c:pt>
                <c:pt idx="169">
                  <c:v>1.0215877487615062</c:v>
                </c:pt>
                <c:pt idx="170">
                  <c:v>1.02507917461848</c:v>
                </c:pt>
                <c:pt idx="171">
                  <c:v>1.0251227772243765</c:v>
                </c:pt>
                <c:pt idx="172">
                  <c:v>1.0157931035546419</c:v>
                </c:pt>
                <c:pt idx="173">
                  <c:v>1.0204179146465953</c:v>
                </c:pt>
                <c:pt idx="174">
                  <c:v>1.0092086403447322</c:v>
                </c:pt>
                <c:pt idx="175">
                  <c:v>1.0049722280530939</c:v>
                </c:pt>
                <c:pt idx="176">
                  <c:v>0.99330988040289525</c:v>
                </c:pt>
                <c:pt idx="177">
                  <c:v>0.98666868256565698</c:v>
                </c:pt>
                <c:pt idx="178">
                  <c:v>0.98903271689259531</c:v>
                </c:pt>
                <c:pt idx="179">
                  <c:v>0.98716523025288538</c:v>
                </c:pt>
                <c:pt idx="180">
                  <c:v>0.99162894487153774</c:v>
                </c:pt>
                <c:pt idx="181">
                  <c:v>0.98829169093245051</c:v>
                </c:pt>
                <c:pt idx="182">
                  <c:v>0.98163419246256212</c:v>
                </c:pt>
                <c:pt idx="183">
                  <c:v>0.97791469281046983</c:v>
                </c:pt>
                <c:pt idx="184">
                  <c:v>0.97695215327392249</c:v>
                </c:pt>
                <c:pt idx="185">
                  <c:v>0.97001213547833876</c:v>
                </c:pt>
                <c:pt idx="186">
                  <c:v>0.97793912764015123</c:v>
                </c:pt>
                <c:pt idx="187">
                  <c:v>0.97347515171264798</c:v>
                </c:pt>
                <c:pt idx="188">
                  <c:v>0.96913287067804765</c:v>
                </c:pt>
                <c:pt idx="189">
                  <c:v>0.96273535074876926</c:v>
                </c:pt>
                <c:pt idx="190">
                  <c:v>0.95839794301270009</c:v>
                </c:pt>
                <c:pt idx="191">
                  <c:v>0.9503208062082954</c:v>
                </c:pt>
                <c:pt idx="192">
                  <c:v>0.94888469864483738</c:v>
                </c:pt>
                <c:pt idx="193">
                  <c:v>0.95304028824215525</c:v>
                </c:pt>
                <c:pt idx="194">
                  <c:v>0.95705581016667918</c:v>
                </c:pt>
                <c:pt idx="195">
                  <c:v>0.95500966615666838</c:v>
                </c:pt>
                <c:pt idx="196">
                  <c:v>0.95814490656532536</c:v>
                </c:pt>
                <c:pt idx="197">
                  <c:v>0.96152751866644737</c:v>
                </c:pt>
                <c:pt idx="198">
                  <c:v>0.95682591801320693</c:v>
                </c:pt>
                <c:pt idx="199">
                  <c:v>0.96108261462210798</c:v>
                </c:pt>
                <c:pt idx="200">
                  <c:v>0.96481821266500067</c:v>
                </c:pt>
                <c:pt idx="201">
                  <c:v>0.96386547238212728</c:v>
                </c:pt>
                <c:pt idx="202">
                  <c:v>0.96583429556216238</c:v>
                </c:pt>
                <c:pt idx="203">
                  <c:v>0.96283260462145748</c:v>
                </c:pt>
                <c:pt idx="204">
                  <c:v>0.96932940731983319</c:v>
                </c:pt>
                <c:pt idx="205">
                  <c:v>0.97318612225267576</c:v>
                </c:pt>
                <c:pt idx="206">
                  <c:v>0.9680839771892974</c:v>
                </c:pt>
                <c:pt idx="207">
                  <c:v>0.97223784890199416</c:v>
                </c:pt>
                <c:pt idx="208">
                  <c:v>0.97029592091432515</c:v>
                </c:pt>
                <c:pt idx="209">
                  <c:v>0.9657605719215937</c:v>
                </c:pt>
                <c:pt idx="210">
                  <c:v>0.9595955287449961</c:v>
                </c:pt>
                <c:pt idx="211">
                  <c:v>0.96488771765057935</c:v>
                </c:pt>
                <c:pt idx="212">
                  <c:v>0.95688484589093725</c:v>
                </c:pt>
                <c:pt idx="213">
                  <c:v>0.95629860661285349</c:v>
                </c:pt>
                <c:pt idx="214">
                  <c:v>0.95271552506260615</c:v>
                </c:pt>
                <c:pt idx="215">
                  <c:v>0.9459264322740073</c:v>
                </c:pt>
                <c:pt idx="216">
                  <c:v>0.94044892868023644</c:v>
                </c:pt>
                <c:pt idx="217">
                  <c:v>0.94771559697470176</c:v>
                </c:pt>
                <c:pt idx="218">
                  <c:v>0.94505329992989073</c:v>
                </c:pt>
                <c:pt idx="219">
                  <c:v>0.94219800331023207</c:v>
                </c:pt>
                <c:pt idx="220">
                  <c:v>0.9387745053310157</c:v>
                </c:pt>
                <c:pt idx="221">
                  <c:v>0.95342479248925371</c:v>
                </c:pt>
                <c:pt idx="222">
                  <c:v>0.94825742289990378</c:v>
                </c:pt>
                <c:pt idx="223">
                  <c:v>0.95297166537401101</c:v>
                </c:pt>
                <c:pt idx="224">
                  <c:v>0.95456271775728185</c:v>
                </c:pt>
                <c:pt idx="225">
                  <c:v>0.95528632368984234</c:v>
                </c:pt>
                <c:pt idx="226">
                  <c:v>0.96051530972196231</c:v>
                </c:pt>
                <c:pt idx="227">
                  <c:v>0.9632637217765645</c:v>
                </c:pt>
                <c:pt idx="228">
                  <c:v>0.95904465910990988</c:v>
                </c:pt>
                <c:pt idx="229">
                  <c:v>0.95421677797258719</c:v>
                </c:pt>
                <c:pt idx="230">
                  <c:v>0.9530275582768668</c:v>
                </c:pt>
                <c:pt idx="231">
                  <c:v>0.95673026115425319</c:v>
                </c:pt>
                <c:pt idx="232">
                  <c:v>0.96072331332608818</c:v>
                </c:pt>
                <c:pt idx="233">
                  <c:v>0.94985376047545678</c:v>
                </c:pt>
                <c:pt idx="234">
                  <c:v>0.94510818112252803</c:v>
                </c:pt>
                <c:pt idx="235">
                  <c:v>0.95479884226249678</c:v>
                </c:pt>
                <c:pt idx="236">
                  <c:v>0.95146382560151521</c:v>
                </c:pt>
                <c:pt idx="237">
                  <c:v>0.95559402864966114</c:v>
                </c:pt>
                <c:pt idx="238">
                  <c:v>0.956866450708453</c:v>
                </c:pt>
                <c:pt idx="239">
                  <c:v>0.94972028705299949</c:v>
                </c:pt>
                <c:pt idx="240">
                  <c:v>0.94744072290646408</c:v>
                </c:pt>
                <c:pt idx="241">
                  <c:v>0.94714618316802313</c:v>
                </c:pt>
                <c:pt idx="242">
                  <c:v>0.93487430825718432</c:v>
                </c:pt>
                <c:pt idx="243">
                  <c:v>0.93040002629437923</c:v>
                </c:pt>
                <c:pt idx="244">
                  <c:v>0.93863142461596061</c:v>
                </c:pt>
                <c:pt idx="245">
                  <c:v>0.94812286992167882</c:v>
                </c:pt>
                <c:pt idx="246">
                  <c:v>0.94979506414857318</c:v>
                </c:pt>
                <c:pt idx="247">
                  <c:v>0.93693010326379522</c:v>
                </c:pt>
                <c:pt idx="248">
                  <c:v>0.92088930079748721</c:v>
                </c:pt>
                <c:pt idx="249">
                  <c:v>0.90097567673715551</c:v>
                </c:pt>
                <c:pt idx="250">
                  <c:v>0.89729381723519952</c:v>
                </c:pt>
                <c:pt idx="251">
                  <c:v>0.89928824791595863</c:v>
                </c:pt>
                <c:pt idx="252">
                  <c:v>0.90507025631009108</c:v>
                </c:pt>
                <c:pt idx="253">
                  <c:v>0.8912491907881952</c:v>
                </c:pt>
                <c:pt idx="254">
                  <c:v>0.90378400658224656</c:v>
                </c:pt>
                <c:pt idx="255">
                  <c:v>0.90597997076689751</c:v>
                </c:pt>
                <c:pt idx="256">
                  <c:v>0.91084892930924521</c:v>
                </c:pt>
                <c:pt idx="257">
                  <c:v>0.91227838855869992</c:v>
                </c:pt>
                <c:pt idx="258">
                  <c:v>0.92206242549555495</c:v>
                </c:pt>
                <c:pt idx="259">
                  <c:v>0.91523226149321824</c:v>
                </c:pt>
                <c:pt idx="260">
                  <c:v>0.91906005052109974</c:v>
                </c:pt>
                <c:pt idx="261">
                  <c:v>0.92927247224628284</c:v>
                </c:pt>
                <c:pt idx="262">
                  <c:v>0.91867638229630955</c:v>
                </c:pt>
                <c:pt idx="263">
                  <c:v>0.91776528706358873</c:v>
                </c:pt>
                <c:pt idx="264">
                  <c:v>0.91239876894024385</c:v>
                </c:pt>
                <c:pt idx="265">
                  <c:v>0.90322907067019953</c:v>
                </c:pt>
                <c:pt idx="266">
                  <c:v>0.90261645760101783</c:v>
                </c:pt>
                <c:pt idx="267">
                  <c:v>0.90271337054867495</c:v>
                </c:pt>
                <c:pt idx="268">
                  <c:v>0.89265317567624725</c:v>
                </c:pt>
                <c:pt idx="269">
                  <c:v>0.90305115144732373</c:v>
                </c:pt>
                <c:pt idx="270">
                  <c:v>0.89096958610512422</c:v>
                </c:pt>
                <c:pt idx="271">
                  <c:v>0.88830401128195335</c:v>
                </c:pt>
                <c:pt idx="272">
                  <c:v>0.88202400958180116</c:v>
                </c:pt>
                <c:pt idx="273">
                  <c:v>0.87985598613371863</c:v>
                </c:pt>
                <c:pt idx="274">
                  <c:v>0.87666092215572067</c:v>
                </c:pt>
                <c:pt idx="275">
                  <c:v>0.86783908334898896</c:v>
                </c:pt>
                <c:pt idx="276">
                  <c:v>0.86119374039962326</c:v>
                </c:pt>
                <c:pt idx="277">
                  <c:v>0.85134726266796046</c:v>
                </c:pt>
                <c:pt idx="278">
                  <c:v>0.84605869331666572</c:v>
                </c:pt>
                <c:pt idx="279">
                  <c:v>0.85057473508318504</c:v>
                </c:pt>
                <c:pt idx="280">
                  <c:v>0.8366360556025918</c:v>
                </c:pt>
                <c:pt idx="281">
                  <c:v>0.84653609646136796</c:v>
                </c:pt>
                <c:pt idx="282">
                  <c:v>0.84606269067515694</c:v>
                </c:pt>
                <c:pt idx="283">
                  <c:v>0.83726923636207951</c:v>
                </c:pt>
                <c:pt idx="284">
                  <c:v>0.83942366405563273</c:v>
                </c:pt>
                <c:pt idx="285">
                  <c:v>0.83250151798473893</c:v>
                </c:pt>
                <c:pt idx="286">
                  <c:v>0.83823095782335866</c:v>
                </c:pt>
                <c:pt idx="287">
                  <c:v>0.83834967114522208</c:v>
                </c:pt>
                <c:pt idx="288">
                  <c:v>0.834327933411108</c:v>
                </c:pt>
                <c:pt idx="289">
                  <c:v>0.82632100408411469</c:v>
                </c:pt>
                <c:pt idx="290">
                  <c:v>0.82010842893546754</c:v>
                </c:pt>
                <c:pt idx="291">
                  <c:v>0.82182527578908027</c:v>
                </c:pt>
                <c:pt idx="292">
                  <c:v>0.81997869465040552</c:v>
                </c:pt>
                <c:pt idx="293">
                  <c:v>0.8195641865717942</c:v>
                </c:pt>
                <c:pt idx="294">
                  <c:v>0.82068891254283316</c:v>
                </c:pt>
                <c:pt idx="295">
                  <c:v>0.8159785184366054</c:v>
                </c:pt>
                <c:pt idx="296">
                  <c:v>0.82190542527828281</c:v>
                </c:pt>
                <c:pt idx="297">
                  <c:v>0.82008376878332023</c:v>
                </c:pt>
                <c:pt idx="298">
                  <c:v>0.81571430900305464</c:v>
                </c:pt>
                <c:pt idx="299">
                  <c:v>0.81199490841186528</c:v>
                </c:pt>
                <c:pt idx="300">
                  <c:v>0.81836941811902719</c:v>
                </c:pt>
                <c:pt idx="301">
                  <c:v>0.81096218733385428</c:v>
                </c:pt>
                <c:pt idx="302">
                  <c:v>0.8060324122794098</c:v>
                </c:pt>
                <c:pt idx="303">
                  <c:v>0.80089092576455934</c:v>
                </c:pt>
                <c:pt idx="304">
                  <c:v>0.79811896328114895</c:v>
                </c:pt>
                <c:pt idx="305">
                  <c:v>0.7935680190400568</c:v>
                </c:pt>
                <c:pt idx="306">
                  <c:v>0.79427601740472298</c:v>
                </c:pt>
                <c:pt idx="307">
                  <c:v>0.79252233868773803</c:v>
                </c:pt>
                <c:pt idx="308">
                  <c:v>0.78746608100255511</c:v>
                </c:pt>
                <c:pt idx="309">
                  <c:v>0.78745834880417975</c:v>
                </c:pt>
                <c:pt idx="310">
                  <c:v>0.79167588921706644</c:v>
                </c:pt>
                <c:pt idx="311">
                  <c:v>0.79451532465279906</c:v>
                </c:pt>
                <c:pt idx="312">
                  <c:v>0.79836753736442834</c:v>
                </c:pt>
                <c:pt idx="313">
                  <c:v>0.7982479938670678</c:v>
                </c:pt>
                <c:pt idx="314">
                  <c:v>0.80206732012223336</c:v>
                </c:pt>
                <c:pt idx="315">
                  <c:v>0.80000726767903274</c:v>
                </c:pt>
                <c:pt idx="316">
                  <c:v>0.80378251891129471</c:v>
                </c:pt>
                <c:pt idx="317">
                  <c:v>0.79926099915800364</c:v>
                </c:pt>
                <c:pt idx="318">
                  <c:v>0.79365161515501537</c:v>
                </c:pt>
                <c:pt idx="319">
                  <c:v>0.79585743689839983</c:v>
                </c:pt>
                <c:pt idx="320">
                  <c:v>0.80064709179892313</c:v>
                </c:pt>
                <c:pt idx="321">
                  <c:v>0.7932620629814946</c:v>
                </c:pt>
                <c:pt idx="322">
                  <c:v>0.79535482659489842</c:v>
                </c:pt>
                <c:pt idx="323">
                  <c:v>0.78938985879879775</c:v>
                </c:pt>
                <c:pt idx="324">
                  <c:v>0.79284166934054756</c:v>
                </c:pt>
                <c:pt idx="325">
                  <c:v>0.78433079929376137</c:v>
                </c:pt>
                <c:pt idx="326">
                  <c:v>0.77417371727990669</c:v>
                </c:pt>
                <c:pt idx="327">
                  <c:v>0.76699673824983039</c:v>
                </c:pt>
                <c:pt idx="328">
                  <c:v>0.7595773685846765</c:v>
                </c:pt>
                <c:pt idx="329">
                  <c:v>0.75397514163927482</c:v>
                </c:pt>
                <c:pt idx="330">
                  <c:v>0.75818910809377971</c:v>
                </c:pt>
                <c:pt idx="331">
                  <c:v>0.75801646834314929</c:v>
                </c:pt>
                <c:pt idx="332">
                  <c:v>0.76412642512136264</c:v>
                </c:pt>
                <c:pt idx="333">
                  <c:v>0.75346852851443269</c:v>
                </c:pt>
                <c:pt idx="334">
                  <c:v>0.74732954326479661</c:v>
                </c:pt>
                <c:pt idx="335">
                  <c:v>0.75069501882370515</c:v>
                </c:pt>
                <c:pt idx="336">
                  <c:v>0.75680170409806613</c:v>
                </c:pt>
                <c:pt idx="337">
                  <c:v>0.76493210895197328</c:v>
                </c:pt>
                <c:pt idx="338">
                  <c:v>0.7627249045694271</c:v>
                </c:pt>
                <c:pt idx="339">
                  <c:v>0.761628605228724</c:v>
                </c:pt>
                <c:pt idx="340">
                  <c:v>0.75844508847874892</c:v>
                </c:pt>
                <c:pt idx="341">
                  <c:v>0.75781745312525395</c:v>
                </c:pt>
                <c:pt idx="342">
                  <c:v>0.75884464509988403</c:v>
                </c:pt>
                <c:pt idx="343">
                  <c:v>0.7543665938015377</c:v>
                </c:pt>
                <c:pt idx="344">
                  <c:v>0.74701920188962934</c:v>
                </c:pt>
                <c:pt idx="345">
                  <c:v>0.73973001630064328</c:v>
                </c:pt>
                <c:pt idx="346">
                  <c:v>0.73872477161298333</c:v>
                </c:pt>
                <c:pt idx="347">
                  <c:v>0.73479815795107861</c:v>
                </c:pt>
                <c:pt idx="348">
                  <c:v>0.7382077738834425</c:v>
                </c:pt>
                <c:pt idx="349">
                  <c:v>0.73869686737064078</c:v>
                </c:pt>
                <c:pt idx="350">
                  <c:v>0.73318396243890382</c:v>
                </c:pt>
                <c:pt idx="351">
                  <c:v>0.73007978317643296</c:v>
                </c:pt>
                <c:pt idx="352">
                  <c:v>0.73288502458318971</c:v>
                </c:pt>
                <c:pt idx="353">
                  <c:v>0.73206041771672115</c:v>
                </c:pt>
                <c:pt idx="354">
                  <c:v>0.72188044095851522</c:v>
                </c:pt>
                <c:pt idx="355">
                  <c:v>0.7193630412816806</c:v>
                </c:pt>
                <c:pt idx="356">
                  <c:v>0.72323378490369483</c:v>
                </c:pt>
                <c:pt idx="357">
                  <c:v>0.71711204477211887</c:v>
                </c:pt>
                <c:pt idx="358">
                  <c:v>0.72393153083469675</c:v>
                </c:pt>
                <c:pt idx="359">
                  <c:v>0.70950030805496067</c:v>
                </c:pt>
                <c:pt idx="360">
                  <c:v>0.6975253060541603</c:v>
                </c:pt>
                <c:pt idx="361">
                  <c:v>0.68733692687705816</c:v>
                </c:pt>
                <c:pt idx="362">
                  <c:v>0.69087456896658839</c:v>
                </c:pt>
                <c:pt idx="363">
                  <c:v>0.68777887848060426</c:v>
                </c:pt>
                <c:pt idx="364">
                  <c:v>0.68231314788900854</c:v>
                </c:pt>
                <c:pt idx="365">
                  <c:v>0.67445737234325076</c:v>
                </c:pt>
                <c:pt idx="366">
                  <c:v>0.68684113274321279</c:v>
                </c:pt>
                <c:pt idx="367">
                  <c:v>0.67315834642808314</c:v>
                </c:pt>
                <c:pt idx="368">
                  <c:v>0.68698172703160576</c:v>
                </c:pt>
                <c:pt idx="369">
                  <c:v>0.67294084628181694</c:v>
                </c:pt>
                <c:pt idx="370">
                  <c:v>0.67309120967274216</c:v>
                </c:pt>
                <c:pt idx="371">
                  <c:v>0.66007275138938681</c:v>
                </c:pt>
                <c:pt idx="372">
                  <c:v>0.6789128235377877</c:v>
                </c:pt>
                <c:pt idx="373">
                  <c:v>0.66468157925862104</c:v>
                </c:pt>
                <c:pt idx="374">
                  <c:v>0.65968862196609124</c:v>
                </c:pt>
                <c:pt idx="375">
                  <c:v>0.6502954344713483</c:v>
                </c:pt>
                <c:pt idx="376">
                  <c:v>0.64638486333322132</c:v>
                </c:pt>
                <c:pt idx="377">
                  <c:v>0.64575031403829952</c:v>
                </c:pt>
                <c:pt idx="378">
                  <c:v>0.64464541672509457</c:v>
                </c:pt>
                <c:pt idx="379">
                  <c:v>0.63216953451412883</c:v>
                </c:pt>
                <c:pt idx="380">
                  <c:v>0.61814410653766449</c:v>
                </c:pt>
                <c:pt idx="381">
                  <c:v>0.62712296508240206</c:v>
                </c:pt>
                <c:pt idx="382">
                  <c:v>0.62723854215381214</c:v>
                </c:pt>
                <c:pt idx="383">
                  <c:v>0.62831408149160117</c:v>
                </c:pt>
                <c:pt idx="384">
                  <c:v>0.62000602946906702</c:v>
                </c:pt>
                <c:pt idx="385">
                  <c:v>0.61029604830760464</c:v>
                </c:pt>
                <c:pt idx="386">
                  <c:v>0.60658245813770939</c:v>
                </c:pt>
                <c:pt idx="387">
                  <c:v>0.58408687435372475</c:v>
                </c:pt>
                <c:pt idx="388">
                  <c:v>0.56886245346894371</c:v>
                </c:pt>
                <c:pt idx="389">
                  <c:v>0.56421419992467892</c:v>
                </c:pt>
                <c:pt idx="390">
                  <c:v>0.54369146948262592</c:v>
                </c:pt>
                <c:pt idx="391">
                  <c:v>0.53504571293039271</c:v>
                </c:pt>
                <c:pt idx="392">
                  <c:v>0.53610963516902599</c:v>
                </c:pt>
                <c:pt idx="393">
                  <c:v>0.53736350011895762</c:v>
                </c:pt>
                <c:pt idx="394">
                  <c:v>0.5304241655057671</c:v>
                </c:pt>
                <c:pt idx="395">
                  <c:v>0.52312367428477613</c:v>
                </c:pt>
                <c:pt idx="396">
                  <c:v>0.5154332160143219</c:v>
                </c:pt>
                <c:pt idx="397">
                  <c:v>0.50976226134791069</c:v>
                </c:pt>
                <c:pt idx="398">
                  <c:v>0.50805386593000534</c:v>
                </c:pt>
                <c:pt idx="399">
                  <c:v>0.50402652761466893</c:v>
                </c:pt>
                <c:pt idx="400">
                  <c:v>0.49613190065695845</c:v>
                </c:pt>
                <c:pt idx="401">
                  <c:v>0.49871150334079833</c:v>
                </c:pt>
                <c:pt idx="402">
                  <c:v>0.48999599685155798</c:v>
                </c:pt>
                <c:pt idx="403">
                  <c:v>0.49464763571927028</c:v>
                </c:pt>
                <c:pt idx="404">
                  <c:v>0.49588010419369261</c:v>
                </c:pt>
                <c:pt idx="405">
                  <c:v>0.49563853277894854</c:v>
                </c:pt>
                <c:pt idx="406">
                  <c:v>0.49175038233911211</c:v>
                </c:pt>
                <c:pt idx="407">
                  <c:v>0.49835006933218945</c:v>
                </c:pt>
                <c:pt idx="408">
                  <c:v>0.48762198720630867</c:v>
                </c:pt>
                <c:pt idx="409">
                  <c:v>0.48716339119118246</c:v>
                </c:pt>
                <c:pt idx="410">
                  <c:v>0.48545585583297718</c:v>
                </c:pt>
                <c:pt idx="411">
                  <c:v>0.48065797174882857</c:v>
                </c:pt>
                <c:pt idx="412">
                  <c:v>0.47713276565496848</c:v>
                </c:pt>
                <c:pt idx="413">
                  <c:v>0.47939394275646446</c:v>
                </c:pt>
                <c:pt idx="414">
                  <c:v>0.48067957400708711</c:v>
                </c:pt>
                <c:pt idx="415">
                  <c:v>0.4727962101151239</c:v>
                </c:pt>
                <c:pt idx="416">
                  <c:v>0.47883041126545539</c:v>
                </c:pt>
                <c:pt idx="417">
                  <c:v>0.48009663646251349</c:v>
                </c:pt>
                <c:pt idx="418">
                  <c:v>0.4770029989933518</c:v>
                </c:pt>
                <c:pt idx="419">
                  <c:v>0.47010737798856567</c:v>
                </c:pt>
                <c:pt idx="420">
                  <c:v>0.48008023255983262</c:v>
                </c:pt>
                <c:pt idx="421">
                  <c:v>0.47449893621144318</c:v>
                </c:pt>
                <c:pt idx="422">
                  <c:v>0.46954968449469359</c:v>
                </c:pt>
                <c:pt idx="423">
                  <c:v>0.47674735860175788</c:v>
                </c:pt>
                <c:pt idx="424">
                  <c:v>0.46184947261002812</c:v>
                </c:pt>
                <c:pt idx="425">
                  <c:v>0.45351704537599563</c:v>
                </c:pt>
                <c:pt idx="426">
                  <c:v>0.4490504355381485</c:v>
                </c:pt>
                <c:pt idx="427">
                  <c:v>0.44521124937542694</c:v>
                </c:pt>
                <c:pt idx="428">
                  <c:v>0.45036938901624246</c:v>
                </c:pt>
                <c:pt idx="429">
                  <c:v>0.45523826687095476</c:v>
                </c:pt>
                <c:pt idx="430">
                  <c:v>0.45441813161981154</c:v>
                </c:pt>
                <c:pt idx="431">
                  <c:v>0.4352100075962701</c:v>
                </c:pt>
                <c:pt idx="432">
                  <c:v>0.42779278483634203</c:v>
                </c:pt>
                <c:pt idx="433">
                  <c:v>0.41289927618784</c:v>
                </c:pt>
                <c:pt idx="434">
                  <c:v>0.40070252749755464</c:v>
                </c:pt>
                <c:pt idx="435">
                  <c:v>0.40230238377099925</c:v>
                </c:pt>
                <c:pt idx="436">
                  <c:v>0.40042806478634518</c:v>
                </c:pt>
                <c:pt idx="437">
                  <c:v>0.39141934484660551</c:v>
                </c:pt>
                <c:pt idx="438">
                  <c:v>0.38760601963611058</c:v>
                </c:pt>
                <c:pt idx="439">
                  <c:v>0.38963390754872435</c:v>
                </c:pt>
                <c:pt idx="440">
                  <c:v>0.39185381093299054</c:v>
                </c:pt>
                <c:pt idx="441">
                  <c:v>0.38356454708472365</c:v>
                </c:pt>
                <c:pt idx="442">
                  <c:v>0.38167785541863342</c:v>
                </c:pt>
                <c:pt idx="443">
                  <c:v>0.38138725147065311</c:v>
                </c:pt>
                <c:pt idx="444">
                  <c:v>0.37767512298639649</c:v>
                </c:pt>
                <c:pt idx="445">
                  <c:v>0.37917539481444557</c:v>
                </c:pt>
                <c:pt idx="446">
                  <c:v>0.37423644112769738</c:v>
                </c:pt>
                <c:pt idx="447">
                  <c:v>0.38247730318347445</c:v>
                </c:pt>
                <c:pt idx="448">
                  <c:v>0.36747801914567035</c:v>
                </c:pt>
                <c:pt idx="449">
                  <c:v>0.35723838444476652</c:v>
                </c:pt>
                <c:pt idx="450">
                  <c:v>0.34994510915112892</c:v>
                </c:pt>
                <c:pt idx="451">
                  <c:v>0.34403039929589158</c:v>
                </c:pt>
                <c:pt idx="452">
                  <c:v>0.34883697767563449</c:v>
                </c:pt>
                <c:pt idx="453">
                  <c:v>0.34548707354041081</c:v>
                </c:pt>
                <c:pt idx="454">
                  <c:v>0.34606749015424926</c:v>
                </c:pt>
                <c:pt idx="455">
                  <c:v>0.34618317013780853</c:v>
                </c:pt>
                <c:pt idx="456">
                  <c:v>0.34617448686486674</c:v>
                </c:pt>
                <c:pt idx="457">
                  <c:v>0.35012879394874163</c:v>
                </c:pt>
                <c:pt idx="458">
                  <c:v>0.34762700056556717</c:v>
                </c:pt>
                <c:pt idx="459">
                  <c:v>0.35022760596999764</c:v>
                </c:pt>
                <c:pt idx="460">
                  <c:v>0.3525091505770433</c:v>
                </c:pt>
                <c:pt idx="461">
                  <c:v>0.35224007515255346</c:v>
                </c:pt>
                <c:pt idx="462">
                  <c:v>0.35321294032004319</c:v>
                </c:pt>
                <c:pt idx="463">
                  <c:v>0.34710148210984548</c:v>
                </c:pt>
                <c:pt idx="464">
                  <c:v>0.34292791714857285</c:v>
                </c:pt>
                <c:pt idx="465">
                  <c:v>0.34650559888095267</c:v>
                </c:pt>
                <c:pt idx="466">
                  <c:v>0.34563630093956765</c:v>
                </c:pt>
                <c:pt idx="467">
                  <c:v>0.34269873631603559</c:v>
                </c:pt>
                <c:pt idx="468">
                  <c:v>0.3415644677921717</c:v>
                </c:pt>
                <c:pt idx="469">
                  <c:v>0.34507483451283677</c:v>
                </c:pt>
                <c:pt idx="470">
                  <c:v>0.34314192105882579</c:v>
                </c:pt>
                <c:pt idx="471">
                  <c:v>0.34440228712379611</c:v>
                </c:pt>
                <c:pt idx="472">
                  <c:v>0.34448999523898433</c:v>
                </c:pt>
                <c:pt idx="473">
                  <c:v>0.34083718813695768</c:v>
                </c:pt>
                <c:pt idx="474">
                  <c:v>0.34004607846924695</c:v>
                </c:pt>
                <c:pt idx="475">
                  <c:v>0.34093970959785924</c:v>
                </c:pt>
                <c:pt idx="476">
                  <c:v>0.33648450674077302</c:v>
                </c:pt>
                <c:pt idx="477">
                  <c:v>0.33173364731514665</c:v>
                </c:pt>
                <c:pt idx="478">
                  <c:v>0.32760442363907472</c:v>
                </c:pt>
                <c:pt idx="479">
                  <c:v>0.3312419416734485</c:v>
                </c:pt>
                <c:pt idx="480">
                  <c:v>0.32994627395123682</c:v>
                </c:pt>
                <c:pt idx="481">
                  <c:v>0.32785164490712254</c:v>
                </c:pt>
                <c:pt idx="482">
                  <c:v>0.32901612163757188</c:v>
                </c:pt>
                <c:pt idx="483">
                  <c:v>0.32814565972743642</c:v>
                </c:pt>
                <c:pt idx="484">
                  <c:v>0.33126541274226934</c:v>
                </c:pt>
                <c:pt idx="485">
                  <c:v>0.32795250999285686</c:v>
                </c:pt>
                <c:pt idx="486">
                  <c:v>0.32306673697142263</c:v>
                </c:pt>
                <c:pt idx="487">
                  <c:v>0.32856852242366025</c:v>
                </c:pt>
                <c:pt idx="488">
                  <c:v>0.3264278620999716</c:v>
                </c:pt>
                <c:pt idx="489">
                  <c:v>0.32362207465322446</c:v>
                </c:pt>
                <c:pt idx="490">
                  <c:v>0.32014072420438872</c:v>
                </c:pt>
                <c:pt idx="491">
                  <c:v>0.31185361671374762</c:v>
                </c:pt>
                <c:pt idx="492">
                  <c:v>0.31680416652552695</c:v>
                </c:pt>
                <c:pt idx="493">
                  <c:v>0.31231008608942273</c:v>
                </c:pt>
                <c:pt idx="494">
                  <c:v>0.31990162725076299</c:v>
                </c:pt>
                <c:pt idx="495">
                  <c:v>0.32273868643905285</c:v>
                </c:pt>
                <c:pt idx="496">
                  <c:v>0.32041023776684013</c:v>
                </c:pt>
                <c:pt idx="497">
                  <c:v>0.32000464403303996</c:v>
                </c:pt>
                <c:pt idx="498">
                  <c:v>0.31133600825285834</c:v>
                </c:pt>
                <c:pt idx="499">
                  <c:v>0.31052851411669552</c:v>
                </c:pt>
                <c:pt idx="500">
                  <c:v>0.31785666222823777</c:v>
                </c:pt>
                <c:pt idx="501">
                  <c:v>0.31285722709639568</c:v>
                </c:pt>
                <c:pt idx="502">
                  <c:v>0.3147142627854056</c:v>
                </c:pt>
                <c:pt idx="503">
                  <c:v>0.30755686682821143</c:v>
                </c:pt>
                <c:pt idx="504">
                  <c:v>0.30051627512225082</c:v>
                </c:pt>
                <c:pt idx="505">
                  <c:v>0.29690680101145384</c:v>
                </c:pt>
                <c:pt idx="506">
                  <c:v>0.29314257452585024</c:v>
                </c:pt>
                <c:pt idx="507">
                  <c:v>0.29636493742221931</c:v>
                </c:pt>
                <c:pt idx="508">
                  <c:v>0.28378209457231918</c:v>
                </c:pt>
                <c:pt idx="509">
                  <c:v>0.27022277137352763</c:v>
                </c:pt>
                <c:pt idx="510">
                  <c:v>0.2809362573476471</c:v>
                </c:pt>
                <c:pt idx="511">
                  <c:v>0.27537172176067892</c:v>
                </c:pt>
                <c:pt idx="512">
                  <c:v>0.29370378066238778</c:v>
                </c:pt>
                <c:pt idx="513">
                  <c:v>0.30056281061358286</c:v>
                </c:pt>
                <c:pt idx="514">
                  <c:v>0.29092025815966771</c:v>
                </c:pt>
                <c:pt idx="515">
                  <c:v>0.28568672229131969</c:v>
                </c:pt>
                <c:pt idx="516">
                  <c:v>0.27727521617423923</c:v>
                </c:pt>
                <c:pt idx="517">
                  <c:v>0.27740421451676556</c:v>
                </c:pt>
                <c:pt idx="518">
                  <c:v>0.27239843899947591</c:v>
                </c:pt>
                <c:pt idx="519">
                  <c:v>0.27309736094429371</c:v>
                </c:pt>
                <c:pt idx="520">
                  <c:v>0.27246039463515864</c:v>
                </c:pt>
                <c:pt idx="521">
                  <c:v>0.27573993356709409</c:v>
                </c:pt>
                <c:pt idx="522">
                  <c:v>0.27027667559125645</c:v>
                </c:pt>
                <c:pt idx="523">
                  <c:v>0.26985071941570948</c:v>
                </c:pt>
                <c:pt idx="524">
                  <c:v>0.26477096033357539</c:v>
                </c:pt>
                <c:pt idx="525">
                  <c:v>0.27190919872568498</c:v>
                </c:pt>
                <c:pt idx="526">
                  <c:v>0.26765945975224115</c:v>
                </c:pt>
                <c:pt idx="527">
                  <c:v>0.26914303158401037</c:v>
                </c:pt>
                <c:pt idx="528">
                  <c:v>0.27108315914359771</c:v>
                </c:pt>
                <c:pt idx="529">
                  <c:v>0.2726391935889026</c:v>
                </c:pt>
                <c:pt idx="530">
                  <c:v>0.2674424864229677</c:v>
                </c:pt>
                <c:pt idx="531">
                  <c:v>0.26972052444845257</c:v>
                </c:pt>
                <c:pt idx="532">
                  <c:v>0.26391942472348862</c:v>
                </c:pt>
                <c:pt idx="533">
                  <c:v>0.25263261931343389</c:v>
                </c:pt>
                <c:pt idx="534">
                  <c:v>0.24643260013840229</c:v>
                </c:pt>
                <c:pt idx="535">
                  <c:v>0.2487252290594478</c:v>
                </c:pt>
                <c:pt idx="536">
                  <c:v>0.244858188287499</c:v>
                </c:pt>
                <c:pt idx="537">
                  <c:v>0.24595932638274923</c:v>
                </c:pt>
                <c:pt idx="538">
                  <c:v>0.23974075068056366</c:v>
                </c:pt>
                <c:pt idx="539">
                  <c:v>0.24045527592300586</c:v>
                </c:pt>
                <c:pt idx="540">
                  <c:v>0.24334727984603333</c:v>
                </c:pt>
                <c:pt idx="541">
                  <c:v>0.23827425670746799</c:v>
                </c:pt>
                <c:pt idx="542">
                  <c:v>0.24068262666684154</c:v>
                </c:pt>
                <c:pt idx="543">
                  <c:v>0.23789095987544212</c:v>
                </c:pt>
                <c:pt idx="544">
                  <c:v>0.23686989358004548</c:v>
                </c:pt>
                <c:pt idx="545">
                  <c:v>0.22575564634898343</c:v>
                </c:pt>
                <c:pt idx="546">
                  <c:v>0.2190852473267344</c:v>
                </c:pt>
                <c:pt idx="547">
                  <c:v>0.21414397741905777</c:v>
                </c:pt>
                <c:pt idx="548">
                  <c:v>0.21537527104037377</c:v>
                </c:pt>
                <c:pt idx="549">
                  <c:v>0.21491584230633065</c:v>
                </c:pt>
                <c:pt idx="550">
                  <c:v>0.21508286766801377</c:v>
                </c:pt>
                <c:pt idx="551">
                  <c:v>0.21234916275649476</c:v>
                </c:pt>
                <c:pt idx="552">
                  <c:v>0.20437084613954515</c:v>
                </c:pt>
                <c:pt idx="553">
                  <c:v>0.20221849186966548</c:v>
                </c:pt>
                <c:pt idx="554">
                  <c:v>0.19646355183002703</c:v>
                </c:pt>
                <c:pt idx="555">
                  <c:v>0.19228087806019584</c:v>
                </c:pt>
                <c:pt idx="556">
                  <c:v>0.18713634638966112</c:v>
                </c:pt>
                <c:pt idx="557">
                  <c:v>0.18836059922725373</c:v>
                </c:pt>
                <c:pt idx="558">
                  <c:v>0.18572356056149381</c:v>
                </c:pt>
                <c:pt idx="559">
                  <c:v>0.18403201660523491</c:v>
                </c:pt>
                <c:pt idx="560">
                  <c:v>0.18520581048174276</c:v>
                </c:pt>
                <c:pt idx="561">
                  <c:v>0.1866282834245323</c:v>
                </c:pt>
                <c:pt idx="562">
                  <c:v>0.18747341698533487</c:v>
                </c:pt>
                <c:pt idx="563">
                  <c:v>0.18597417455613019</c:v>
                </c:pt>
                <c:pt idx="564">
                  <c:v>0.18873790022533893</c:v>
                </c:pt>
                <c:pt idx="565">
                  <c:v>0.18556312149133894</c:v>
                </c:pt>
                <c:pt idx="566">
                  <c:v>0.18615492557171617</c:v>
                </c:pt>
                <c:pt idx="567">
                  <c:v>0.18287648368559198</c:v>
                </c:pt>
                <c:pt idx="568">
                  <c:v>0.18405283865654629</c:v>
                </c:pt>
                <c:pt idx="569">
                  <c:v>0.17780304995342994</c:v>
                </c:pt>
                <c:pt idx="570">
                  <c:v>0.17741216496626358</c:v>
                </c:pt>
                <c:pt idx="571">
                  <c:v>0.16922308346335055</c:v>
                </c:pt>
                <c:pt idx="572">
                  <c:v>0.16806167374786055</c:v>
                </c:pt>
                <c:pt idx="573">
                  <c:v>0.16649364080044654</c:v>
                </c:pt>
                <c:pt idx="574">
                  <c:v>0.16827826883156191</c:v>
                </c:pt>
                <c:pt idx="575">
                  <c:v>0.1695488075469383</c:v>
                </c:pt>
                <c:pt idx="576">
                  <c:v>0.16645679980658565</c:v>
                </c:pt>
                <c:pt idx="577">
                  <c:v>0.16675069405909984</c:v>
                </c:pt>
                <c:pt idx="578">
                  <c:v>0.16356181127285982</c:v>
                </c:pt>
                <c:pt idx="579">
                  <c:v>0.16191008480362765</c:v>
                </c:pt>
                <c:pt idx="580">
                  <c:v>0.16423081528590081</c:v>
                </c:pt>
                <c:pt idx="581">
                  <c:v>0.16646110085884555</c:v>
                </c:pt>
                <c:pt idx="582">
                  <c:v>0.16485422395382127</c:v>
                </c:pt>
                <c:pt idx="583">
                  <c:v>0.17050982092432759</c:v>
                </c:pt>
                <c:pt idx="584">
                  <c:v>0.16980128799289998</c:v>
                </c:pt>
                <c:pt idx="585">
                  <c:v>0.16521744015073256</c:v>
                </c:pt>
                <c:pt idx="586">
                  <c:v>0.16669207302309971</c:v>
                </c:pt>
                <c:pt idx="587">
                  <c:v>0.165931358807764</c:v>
                </c:pt>
                <c:pt idx="588">
                  <c:v>0.16645751307393519</c:v>
                </c:pt>
                <c:pt idx="589">
                  <c:v>0.16647741472864769</c:v>
                </c:pt>
                <c:pt idx="590">
                  <c:v>0.16514443668235446</c:v>
                </c:pt>
                <c:pt idx="591">
                  <c:v>0.16110984964300923</c:v>
                </c:pt>
                <c:pt idx="592">
                  <c:v>0.15544049983041563</c:v>
                </c:pt>
                <c:pt idx="593">
                  <c:v>0.157139270234496</c:v>
                </c:pt>
                <c:pt idx="594">
                  <c:v>0.15537453382184979</c:v>
                </c:pt>
                <c:pt idx="595">
                  <c:v>0.15236983273200419</c:v>
                </c:pt>
                <c:pt idx="596">
                  <c:v>0.15758845840587807</c:v>
                </c:pt>
                <c:pt idx="597">
                  <c:v>0.15587998398045294</c:v>
                </c:pt>
                <c:pt idx="598">
                  <c:v>0.15595821746411842</c:v>
                </c:pt>
                <c:pt idx="599">
                  <c:v>0.15352804077237878</c:v>
                </c:pt>
                <c:pt idx="600">
                  <c:v>0.14867605527597905</c:v>
                </c:pt>
                <c:pt idx="601">
                  <c:v>0.14791081341968645</c:v>
                </c:pt>
                <c:pt idx="602">
                  <c:v>0.15191162041471334</c:v>
                </c:pt>
                <c:pt idx="603">
                  <c:v>0.1494993648715586</c:v>
                </c:pt>
                <c:pt idx="604">
                  <c:v>0.14486293219870727</c:v>
                </c:pt>
                <c:pt idx="605">
                  <c:v>0.14598434216571052</c:v>
                </c:pt>
                <c:pt idx="606">
                  <c:v>0.13976250975096369</c:v>
                </c:pt>
                <c:pt idx="607">
                  <c:v>0.14591028381103782</c:v>
                </c:pt>
                <c:pt idx="608">
                  <c:v>0.13812988233181117</c:v>
                </c:pt>
                <c:pt idx="609">
                  <c:v>0.13898184803460617</c:v>
                </c:pt>
                <c:pt idx="610">
                  <c:v>0.13277832550790214</c:v>
                </c:pt>
                <c:pt idx="611">
                  <c:v>0.12802344601929197</c:v>
                </c:pt>
                <c:pt idx="612">
                  <c:v>0.12809413886896606</c:v>
                </c:pt>
                <c:pt idx="613">
                  <c:v>0.12525982541318223</c:v>
                </c:pt>
                <c:pt idx="614">
                  <c:v>0.13150754880038584</c:v>
                </c:pt>
                <c:pt idx="615">
                  <c:v>0.13334262819309714</c:v>
                </c:pt>
                <c:pt idx="616">
                  <c:v>0.12769206739624392</c:v>
                </c:pt>
                <c:pt idx="617">
                  <c:v>0.13064893170068645</c:v>
                </c:pt>
                <c:pt idx="618">
                  <c:v>0.13068444734234344</c:v>
                </c:pt>
                <c:pt idx="619">
                  <c:v>0.12696087313200125</c:v>
                </c:pt>
                <c:pt idx="620">
                  <c:v>0.1208846063208046</c:v>
                </c:pt>
                <c:pt idx="621">
                  <c:v>0.11776961894383263</c:v>
                </c:pt>
                <c:pt idx="622">
                  <c:v>0.1150418432807689</c:v>
                </c:pt>
                <c:pt idx="623">
                  <c:v>0.11942718370501525</c:v>
                </c:pt>
                <c:pt idx="624">
                  <c:v>0.11416062890364397</c:v>
                </c:pt>
                <c:pt idx="625">
                  <c:v>0.1079090376790887</c:v>
                </c:pt>
                <c:pt idx="626">
                  <c:v>0.10612566425866565</c:v>
                </c:pt>
                <c:pt idx="627">
                  <c:v>0.10490116846108327</c:v>
                </c:pt>
                <c:pt idx="628">
                  <c:v>0.11197592842979118</c:v>
                </c:pt>
                <c:pt idx="629">
                  <c:v>0.11468772498606185</c:v>
                </c:pt>
                <c:pt idx="630">
                  <c:v>0.1155290620540495</c:v>
                </c:pt>
                <c:pt idx="631">
                  <c:v>0.10680755114972662</c:v>
                </c:pt>
                <c:pt idx="632">
                  <c:v>0.11376992875407932</c:v>
                </c:pt>
                <c:pt idx="633">
                  <c:v>0.11502962331552878</c:v>
                </c:pt>
                <c:pt idx="634">
                  <c:v>0.10977986269632183</c:v>
                </c:pt>
                <c:pt idx="635">
                  <c:v>0.11148294702394536</c:v>
                </c:pt>
                <c:pt idx="636">
                  <c:v>0.10965054388615374</c:v>
                </c:pt>
                <c:pt idx="637">
                  <c:v>0.1089497737893619</c:v>
                </c:pt>
                <c:pt idx="638">
                  <c:v>0.12080341164148893</c:v>
                </c:pt>
                <c:pt idx="639">
                  <c:v>0.10949997507678989</c:v>
                </c:pt>
                <c:pt idx="640">
                  <c:v>0.10781973985165731</c:v>
                </c:pt>
                <c:pt idx="641">
                  <c:v>0.10383268780497557</c:v>
                </c:pt>
                <c:pt idx="642">
                  <c:v>0.10140934558976547</c:v>
                </c:pt>
                <c:pt idx="643">
                  <c:v>9.845231732634957E-2</c:v>
                </c:pt>
                <c:pt idx="644">
                  <c:v>9.7437756735215333E-2</c:v>
                </c:pt>
                <c:pt idx="645">
                  <c:v>9.8163391936954253E-2</c:v>
                </c:pt>
                <c:pt idx="646">
                  <c:v>9.0084154735385211E-2</c:v>
                </c:pt>
                <c:pt idx="647">
                  <c:v>9.1734581030692042E-2</c:v>
                </c:pt>
                <c:pt idx="648">
                  <c:v>0.10172962287747404</c:v>
                </c:pt>
                <c:pt idx="649">
                  <c:v>0.10492237580850577</c:v>
                </c:pt>
                <c:pt idx="650">
                  <c:v>9.6180801650323056E-2</c:v>
                </c:pt>
                <c:pt idx="651">
                  <c:v>9.8237172114488347E-2</c:v>
                </c:pt>
                <c:pt idx="652">
                  <c:v>8.4877733303426892E-2</c:v>
                </c:pt>
                <c:pt idx="653">
                  <c:v>9.1023058359768663E-2</c:v>
                </c:pt>
                <c:pt idx="654">
                  <c:v>9.1212855213484989E-2</c:v>
                </c:pt>
                <c:pt idx="655">
                  <c:v>8.7018932537058905E-2</c:v>
                </c:pt>
                <c:pt idx="656">
                  <c:v>8.9169914785979146E-2</c:v>
                </c:pt>
                <c:pt idx="657">
                  <c:v>8.8020038826477534E-2</c:v>
                </c:pt>
                <c:pt idx="658">
                  <c:v>9.2836494955204615E-2</c:v>
                </c:pt>
                <c:pt idx="659">
                  <c:v>9.2423401542764905E-2</c:v>
                </c:pt>
                <c:pt idx="660">
                  <c:v>8.4763030785929228E-2</c:v>
                </c:pt>
                <c:pt idx="661">
                  <c:v>9.6027958455206661E-2</c:v>
                </c:pt>
                <c:pt idx="662">
                  <c:v>8.0421516951790339E-2</c:v>
                </c:pt>
                <c:pt idx="663">
                  <c:v>8.1183738803247474E-2</c:v>
                </c:pt>
                <c:pt idx="664">
                  <c:v>7.882770535971452E-2</c:v>
                </c:pt>
                <c:pt idx="665">
                  <c:v>7.9974283283251082E-2</c:v>
                </c:pt>
                <c:pt idx="666">
                  <c:v>8.1680819304348964E-2</c:v>
                </c:pt>
                <c:pt idx="667">
                  <c:v>7.6986767490846111E-2</c:v>
                </c:pt>
                <c:pt idx="668">
                  <c:v>7.6915641610600646E-2</c:v>
                </c:pt>
                <c:pt idx="669">
                  <c:v>7.379168021670908E-2</c:v>
                </c:pt>
                <c:pt idx="670">
                  <c:v>7.8296761225426406E-2</c:v>
                </c:pt>
                <c:pt idx="671">
                  <c:v>7.3744608004890688E-2</c:v>
                </c:pt>
                <c:pt idx="672">
                  <c:v>7.88012114931919E-2</c:v>
                </c:pt>
                <c:pt idx="673">
                  <c:v>7.4396843595235115E-2</c:v>
                </c:pt>
                <c:pt idx="674">
                  <c:v>7.7217521987116941E-2</c:v>
                </c:pt>
                <c:pt idx="675">
                  <c:v>7.5790279362497617E-2</c:v>
                </c:pt>
                <c:pt idx="676">
                  <c:v>6.3944693536146749E-2</c:v>
                </c:pt>
                <c:pt idx="677">
                  <c:v>7.2894762887175335E-2</c:v>
                </c:pt>
                <c:pt idx="678">
                  <c:v>7.066074414311653E-2</c:v>
                </c:pt>
                <c:pt idx="679">
                  <c:v>7.229002487378304E-2</c:v>
                </c:pt>
                <c:pt idx="680">
                  <c:v>6.3170759479449223E-2</c:v>
                </c:pt>
                <c:pt idx="681">
                  <c:v>5.2237260106515193E-2</c:v>
                </c:pt>
                <c:pt idx="682">
                  <c:v>5.0921738353128139E-2</c:v>
                </c:pt>
                <c:pt idx="683">
                  <c:v>5.448549102199908E-2</c:v>
                </c:pt>
                <c:pt idx="684">
                  <c:v>6.0489239521517066E-2</c:v>
                </c:pt>
                <c:pt idx="685">
                  <c:v>6.8583026244699627E-2</c:v>
                </c:pt>
                <c:pt idx="686">
                  <c:v>3.1714937092276296E-2</c:v>
                </c:pt>
                <c:pt idx="687">
                  <c:v>6.4507388922982259E-2</c:v>
                </c:pt>
                <c:pt idx="688">
                  <c:v>6.2337670822190772E-2</c:v>
                </c:pt>
                <c:pt idx="689">
                  <c:v>6.2663082113354002E-2</c:v>
                </c:pt>
                <c:pt idx="690">
                  <c:v>5.6417473709105888E-2</c:v>
                </c:pt>
                <c:pt idx="691">
                  <c:v>6.6798215073130982E-2</c:v>
                </c:pt>
                <c:pt idx="692">
                  <c:v>7.2157033426848122E-2</c:v>
                </c:pt>
                <c:pt idx="693">
                  <c:v>6.607284704724127E-2</c:v>
                </c:pt>
                <c:pt idx="694">
                  <c:v>6.7024478493851E-2</c:v>
                </c:pt>
                <c:pt idx="695">
                  <c:v>6.731278126545566E-2</c:v>
                </c:pt>
                <c:pt idx="696">
                  <c:v>6.9734588005667064E-2</c:v>
                </c:pt>
                <c:pt idx="697">
                  <c:v>6.3781836516277543E-2</c:v>
                </c:pt>
                <c:pt idx="698">
                  <c:v>6.5913532697776778E-2</c:v>
                </c:pt>
                <c:pt idx="699">
                  <c:v>7.1238647043938022E-2</c:v>
                </c:pt>
                <c:pt idx="700">
                  <c:v>6.8767119729313222E-2</c:v>
                </c:pt>
                <c:pt idx="701">
                  <c:v>6.549036570503676E-2</c:v>
                </c:pt>
                <c:pt idx="702">
                  <c:v>7.2787923408749511E-2</c:v>
                </c:pt>
                <c:pt idx="703">
                  <c:v>7.8949255042301589E-2</c:v>
                </c:pt>
                <c:pt idx="704">
                  <c:v>8.007502486922724E-2</c:v>
                </c:pt>
                <c:pt idx="705">
                  <c:v>7.6355705250226003E-2</c:v>
                </c:pt>
                <c:pt idx="706">
                  <c:v>7.626013574787735E-2</c:v>
                </c:pt>
                <c:pt idx="707">
                  <c:v>7.3136797251742033E-2</c:v>
                </c:pt>
                <c:pt idx="708">
                  <c:v>7.0959271555655942E-2</c:v>
                </c:pt>
                <c:pt idx="709">
                  <c:v>7.510982285034519E-2</c:v>
                </c:pt>
                <c:pt idx="710">
                  <c:v>6.6571347166022074E-2</c:v>
                </c:pt>
                <c:pt idx="711">
                  <c:v>5.6230832120772074E-2</c:v>
                </c:pt>
                <c:pt idx="712">
                  <c:v>5.4322484173724907E-2</c:v>
                </c:pt>
                <c:pt idx="713">
                  <c:v>6.0972306229317166E-2</c:v>
                </c:pt>
                <c:pt idx="714">
                  <c:v>5.4716937171172694E-2</c:v>
                </c:pt>
                <c:pt idx="715">
                  <c:v>5.3269746439511885E-2</c:v>
                </c:pt>
                <c:pt idx="716">
                  <c:v>4.8045804810766979E-2</c:v>
                </c:pt>
                <c:pt idx="717">
                  <c:v>4.3486717557036952E-2</c:v>
                </c:pt>
                <c:pt idx="718">
                  <c:v>4.3482800323733133E-2</c:v>
                </c:pt>
                <c:pt idx="719">
                  <c:v>4.1922252484650591E-2</c:v>
                </c:pt>
                <c:pt idx="720">
                  <c:v>3.9985520814344658E-2</c:v>
                </c:pt>
                <c:pt idx="721">
                  <c:v>3.5464309146804006E-2</c:v>
                </c:pt>
                <c:pt idx="722">
                  <c:v>3.1876843949939879E-2</c:v>
                </c:pt>
                <c:pt idx="723">
                  <c:v>2.8540551847653989E-2</c:v>
                </c:pt>
                <c:pt idx="724">
                  <c:v>2.7729298249686118E-2</c:v>
                </c:pt>
                <c:pt idx="725">
                  <c:v>2.8912189238575622E-2</c:v>
                </c:pt>
                <c:pt idx="726">
                  <c:v>2.7234658225019102E-2</c:v>
                </c:pt>
                <c:pt idx="727">
                  <c:v>2.5339458668417525E-2</c:v>
                </c:pt>
                <c:pt idx="728">
                  <c:v>2.5725055202067519E-2</c:v>
                </c:pt>
                <c:pt idx="729">
                  <c:v>2.2321251208722779E-2</c:v>
                </c:pt>
                <c:pt idx="730">
                  <c:v>2.5011567210651304E-2</c:v>
                </c:pt>
                <c:pt idx="731">
                  <c:v>2.1136622031956823E-2</c:v>
                </c:pt>
                <c:pt idx="732">
                  <c:v>1.9950205588326567E-2</c:v>
                </c:pt>
                <c:pt idx="733">
                  <c:v>1.7562057435058516E-2</c:v>
                </c:pt>
                <c:pt idx="734">
                  <c:v>1.7434689682952347E-2</c:v>
                </c:pt>
                <c:pt idx="735">
                  <c:v>1.4980232322253921E-2</c:v>
                </c:pt>
                <c:pt idx="736">
                  <c:v>1.572373809114324E-2</c:v>
                </c:pt>
                <c:pt idx="737">
                  <c:v>1.6404340348293245E-2</c:v>
                </c:pt>
                <c:pt idx="738">
                  <c:v>1.4250518840579464E-2</c:v>
                </c:pt>
                <c:pt idx="739">
                  <c:v>1.284736130955722E-2</c:v>
                </c:pt>
                <c:pt idx="740">
                  <c:v>1.5183722678334042E-2</c:v>
                </c:pt>
                <c:pt idx="741">
                  <c:v>1.3360195192665189E-2</c:v>
                </c:pt>
                <c:pt idx="742">
                  <c:v>1.169504375939171E-2</c:v>
                </c:pt>
                <c:pt idx="743">
                  <c:v>1.0164970642358585E-2</c:v>
                </c:pt>
                <c:pt idx="744">
                  <c:v>9.2501551164022294E-3</c:v>
                </c:pt>
                <c:pt idx="745">
                  <c:v>2.931171671354271E-3</c:v>
                </c:pt>
                <c:pt idx="746">
                  <c:v>3.8590212809768878E-3</c:v>
                </c:pt>
                <c:pt idx="747">
                  <c:v>1.6205138725752365E-3</c:v>
                </c:pt>
                <c:pt idx="748">
                  <c:v>4.9455576932433678E-3</c:v>
                </c:pt>
                <c:pt idx="749">
                  <c:v>1.1258429331486338E-3</c:v>
                </c:pt>
                <c:pt idx="750">
                  <c:v>1.9052306859079862E-3</c:v>
                </c:pt>
                <c:pt idx="751">
                  <c:v>3.6899274651169306E-3</c:v>
                </c:pt>
                <c:pt idx="752">
                  <c:v>2.6440097179424083E-3</c:v>
                </c:pt>
                <c:pt idx="753">
                  <c:v>-1.2140249123848241E-3</c:v>
                </c:pt>
                <c:pt idx="754">
                  <c:v>-1.7213105332183285E-4</c:v>
                </c:pt>
                <c:pt idx="755">
                  <c:v>-1.9963495944421155E-4</c:v>
                </c:pt>
                <c:pt idx="756">
                  <c:v>-3.6254058569992935E-3</c:v>
                </c:pt>
                <c:pt idx="757">
                  <c:v>-2.274849899256567E-3</c:v>
                </c:pt>
                <c:pt idx="758">
                  <c:v>-2.2119061940522201E-3</c:v>
                </c:pt>
                <c:pt idx="759">
                  <c:v>-5.1459772916039232E-4</c:v>
                </c:pt>
                <c:pt idx="760">
                  <c:v>1.2974673511790095E-3</c:v>
                </c:pt>
                <c:pt idx="761">
                  <c:v>3.589204842161543E-4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9C5-4DDE-A70A-767F66E99F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81065039"/>
        <c:axId val="981065455"/>
      </c:lineChart>
      <c:dateAx>
        <c:axId val="981065039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1065455"/>
        <c:crosses val="autoZero"/>
        <c:auto val="1"/>
        <c:lblOffset val="100"/>
        <c:baseTimeUnit val="days"/>
      </c:dateAx>
      <c:valAx>
        <c:axId val="9810654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106503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7959BF5-57A8-41BE-B9E7-B20697001D7E}">
  <sheetPr codeName="Chart1"/>
  <sheetViews>
    <sheetView zoomScale="101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308094" cy="6073366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EFA4F3A-3991-4EA7-8A52-A1DACEB96AA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Z2889"/>
  <sheetViews>
    <sheetView zoomScale="90" zoomScaleNormal="90" workbookViewId="0">
      <selection activeCell="I29" sqref="I29"/>
    </sheetView>
  </sheetViews>
  <sheetFormatPr defaultRowHeight="15" x14ac:dyDescent="0.25"/>
  <cols>
    <col min="1" max="1" width="12.85546875" customWidth="1"/>
    <col min="2" max="2" width="6" customWidth="1"/>
    <col min="3" max="4" width="9.140625" style="6"/>
    <col min="5" max="5" width="7" customWidth="1"/>
  </cols>
  <sheetData>
    <row r="1" spans="1:20" x14ac:dyDescent="0.25">
      <c r="A1" s="1" t="s">
        <v>0</v>
      </c>
      <c r="B1" s="1" t="s">
        <v>1</v>
      </c>
      <c r="C1" s="2" t="s">
        <v>2</v>
      </c>
      <c r="D1" s="2" t="s">
        <v>3</v>
      </c>
      <c r="E1" s="1" t="s">
        <v>4</v>
      </c>
      <c r="F1" s="1" t="s">
        <v>5</v>
      </c>
      <c r="G1" s="1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20" x14ac:dyDescent="0.25">
      <c r="A2" s="1"/>
      <c r="B2" s="1"/>
      <c r="C2" s="4">
        <f>MAX(C3:C1913)</f>
        <v>4868</v>
      </c>
      <c r="D2" s="4">
        <f>MIN(D3:D1913)</f>
        <v>81.790000000000006</v>
      </c>
      <c r="E2" s="1"/>
      <c r="F2" s="1"/>
      <c r="G2" s="1"/>
    </row>
    <row r="3" spans="1:20" x14ac:dyDescent="0.25">
      <c r="A3" s="5"/>
    </row>
    <row r="4" spans="1:20" x14ac:dyDescent="0.25">
      <c r="A4" s="5"/>
      <c r="L4" t="s">
        <v>7</v>
      </c>
      <c r="M4" t="s">
        <v>8</v>
      </c>
      <c r="N4" t="s">
        <v>7</v>
      </c>
    </row>
    <row r="5" spans="1:20" x14ac:dyDescent="0.25">
      <c r="A5" s="5">
        <v>44588</v>
      </c>
      <c r="B5">
        <v>2463</v>
      </c>
      <c r="C5">
        <v>2495.25</v>
      </c>
      <c r="D5">
        <v>2405.81</v>
      </c>
      <c r="E5">
        <v>2410.41</v>
      </c>
      <c r="F5">
        <v>47491.877699999997</v>
      </c>
      <c r="G5">
        <v>2410.41</v>
      </c>
      <c r="L5" t="s">
        <v>7</v>
      </c>
      <c r="M5" t="s">
        <v>8</v>
      </c>
      <c r="N5" t="s">
        <v>7</v>
      </c>
      <c r="P5">
        <f t="shared" ref="P5" si="0">IF(C5=D5,0,((E5-D5)-(C5-E5))/(C5-D5))</f>
        <v>-0.89713774597495732</v>
      </c>
      <c r="Q5">
        <f t="shared" ref="Q5" si="1">F5*P5</f>
        <v>-42606.756111896335</v>
      </c>
      <c r="R5">
        <f t="shared" ref="R5" si="2">R6+Q5</f>
        <v>109072750.31887738</v>
      </c>
      <c r="S5">
        <f t="shared" ref="S5" si="3">R5/100000</f>
        <v>1090.7275031887739</v>
      </c>
      <c r="T5">
        <f t="shared" ref="T5" si="4">S5/1000</f>
        <v>1.090727503188774</v>
      </c>
    </row>
    <row r="6" spans="1:20" x14ac:dyDescent="0.25">
      <c r="A6" s="5">
        <v>44587</v>
      </c>
      <c r="B6">
        <v>2459.04</v>
      </c>
      <c r="C6">
        <v>2722</v>
      </c>
      <c r="D6">
        <v>2402.0300000000002</v>
      </c>
      <c r="E6">
        <v>2462.9899999999998</v>
      </c>
      <c r="F6">
        <v>806441.62289</v>
      </c>
      <c r="G6">
        <v>2462.9899999999998</v>
      </c>
      <c r="L6" t="s">
        <v>8</v>
      </c>
      <c r="M6" t="s">
        <v>8</v>
      </c>
      <c r="N6" t="s">
        <v>7</v>
      </c>
      <c r="P6">
        <f t="shared" ref="P6" si="5">IF(C6=D6,0,((E6-D6)-(C6-E6))/(C6-D6))</f>
        <v>-0.61896427790105557</v>
      </c>
      <c r="Q6">
        <f t="shared" ref="Q6" si="6">F6*P6</f>
        <v>-499158.5567814642</v>
      </c>
      <c r="R6">
        <f t="shared" ref="R6" si="7">R7+Q6</f>
        <v>109115357.07498927</v>
      </c>
      <c r="S6">
        <f t="shared" ref="S6" si="8">R6/100000</f>
        <v>1091.1535707498927</v>
      </c>
      <c r="T6">
        <f t="shared" ref="T6" si="9">S6/1000</f>
        <v>1.0911535707498927</v>
      </c>
    </row>
    <row r="7" spans="1:20" x14ac:dyDescent="0.25">
      <c r="A7" s="5">
        <v>44586</v>
      </c>
      <c r="B7">
        <v>2439.56</v>
      </c>
      <c r="C7">
        <v>2506.5500000000002</v>
      </c>
      <c r="D7">
        <v>2348.96</v>
      </c>
      <c r="E7">
        <v>2458.83</v>
      </c>
      <c r="F7">
        <v>510152.95400000003</v>
      </c>
      <c r="G7">
        <v>2458.83</v>
      </c>
      <c r="L7" t="s">
        <v>8</v>
      </c>
      <c r="M7" t="s">
        <v>7</v>
      </c>
      <c r="N7" t="s">
        <v>7</v>
      </c>
      <c r="P7">
        <f t="shared" ref="P7" si="10">IF(C7=D7,0,((E7-D7)-(C7-E7))/(C7-D7))</f>
        <v>0.39437781585125692</v>
      </c>
      <c r="Q7">
        <f t="shared" ref="Q7" si="11">F7*P7</f>
        <v>201193.00774858677</v>
      </c>
      <c r="R7">
        <f t="shared" ref="R7" si="12">R8+Q7</f>
        <v>109614515.63177074</v>
      </c>
      <c r="S7">
        <f t="shared" ref="S7" si="13">R7/100000</f>
        <v>1096.1451563177075</v>
      </c>
      <c r="T7">
        <f t="shared" ref="T7" si="14">S7/1000</f>
        <v>1.0961451563177074</v>
      </c>
    </row>
    <row r="8" spans="1:20" x14ac:dyDescent="0.25">
      <c r="A8" s="5">
        <v>44585</v>
      </c>
      <c r="B8">
        <v>2539</v>
      </c>
      <c r="C8">
        <v>2539.75</v>
      </c>
      <c r="D8">
        <v>2159</v>
      </c>
      <c r="E8">
        <v>2439.29</v>
      </c>
      <c r="F8">
        <v>1123134.70389</v>
      </c>
      <c r="G8">
        <v>2439.29</v>
      </c>
      <c r="L8" t="s">
        <v>7</v>
      </c>
      <c r="M8" t="s">
        <v>7</v>
      </c>
      <c r="N8" t="s">
        <v>7</v>
      </c>
      <c r="P8">
        <f t="shared" ref="P8" si="15">IF(C8=D8,0,((E8-D8)-(C8-E8))/(C8-D8))</f>
        <v>0.47230466185160846</v>
      </c>
      <c r="Q8">
        <f t="shared" ref="Q8" si="16">F8*P8</f>
        <v>530461.75653457281</v>
      </c>
      <c r="R8">
        <f t="shared" ref="R8" si="17">R9+Q8</f>
        <v>109413322.62402216</v>
      </c>
      <c r="S8">
        <f t="shared" ref="S8" si="18">R8/100000</f>
        <v>1094.1332262402216</v>
      </c>
      <c r="T8">
        <f t="shared" ref="T8" si="19">S8/1000</f>
        <v>1.0941332262402215</v>
      </c>
    </row>
    <row r="9" spans="1:20" x14ac:dyDescent="0.25">
      <c r="A9" s="5">
        <v>44584</v>
      </c>
      <c r="B9">
        <v>2412.1799999999998</v>
      </c>
      <c r="C9">
        <v>2556.7800000000002</v>
      </c>
      <c r="D9">
        <v>2370.8000000000002</v>
      </c>
      <c r="E9">
        <v>2539.0100000000002</v>
      </c>
      <c r="F9">
        <v>580497.76130000001</v>
      </c>
      <c r="G9">
        <v>2539.0100000000002</v>
      </c>
      <c r="L9" t="s">
        <v>8</v>
      </c>
      <c r="M9" t="s">
        <v>7</v>
      </c>
      <c r="N9" t="s">
        <v>7</v>
      </c>
      <c r="P9">
        <f t="shared" ref="P9" si="20">IF(C9=D9,0,((E9-D9)-(C9-E9))/(C9-D9))</f>
        <v>0.8089041832455105</v>
      </c>
      <c r="Q9">
        <f t="shared" ref="Q9" si="21">F9*P9</f>
        <v>469567.06748022384</v>
      </c>
      <c r="R9">
        <f t="shared" ref="R9" si="22">R10+Q9</f>
        <v>108882860.86748758</v>
      </c>
      <c r="S9">
        <f t="shared" ref="S9" si="23">R9/100000</f>
        <v>1088.8286086748758</v>
      </c>
      <c r="T9">
        <f t="shared" ref="T9" si="24">S9/1000</f>
        <v>1.0888286086748757</v>
      </c>
    </row>
    <row r="10" spans="1:20" x14ac:dyDescent="0.25">
      <c r="A10" s="5">
        <v>44583</v>
      </c>
      <c r="B10">
        <v>2567.4699999999998</v>
      </c>
      <c r="C10">
        <v>2626</v>
      </c>
      <c r="D10">
        <v>2300</v>
      </c>
      <c r="E10">
        <v>2412.1799999999998</v>
      </c>
      <c r="F10">
        <v>1081357.54893</v>
      </c>
      <c r="G10">
        <v>2412.1799999999998</v>
      </c>
      <c r="L10" t="s">
        <v>7</v>
      </c>
      <c r="M10" t="s">
        <v>7</v>
      </c>
      <c r="N10" t="s">
        <v>7</v>
      </c>
      <c r="P10">
        <f t="shared" ref="P10" si="25">IF(C10=D10,0,((E10-D10)-(C10-E10))/(C10-D10))</f>
        <v>-0.3117791411042955</v>
      </c>
      <c r="Q10">
        <f t="shared" ref="Q10" si="26">F10*P10</f>
        <v>-337144.72783204162</v>
      </c>
      <c r="R10">
        <f t="shared" ref="R10" si="27">R11+Q10</f>
        <v>108413293.80000736</v>
      </c>
      <c r="S10">
        <f t="shared" ref="S10" si="28">R10/100000</f>
        <v>1084.1329380000736</v>
      </c>
      <c r="T10">
        <f t="shared" ref="T10" si="29">S10/1000</f>
        <v>1.0841329380000737</v>
      </c>
    </row>
    <row r="11" spans="1:20" x14ac:dyDescent="0.25">
      <c r="A11" s="5">
        <v>44582</v>
      </c>
      <c r="B11">
        <v>3001.48</v>
      </c>
      <c r="C11">
        <v>3034.12</v>
      </c>
      <c r="D11">
        <v>2403</v>
      </c>
      <c r="E11">
        <v>2568.15</v>
      </c>
      <c r="F11">
        <v>1022021.70024</v>
      </c>
      <c r="G11">
        <v>2568.15</v>
      </c>
      <c r="L11" t="s">
        <v>7</v>
      </c>
      <c r="M11" t="s">
        <v>7</v>
      </c>
      <c r="N11" t="s">
        <v>7</v>
      </c>
      <c r="P11">
        <f t="shared" ref="P11" si="30">IF(C11=D11,0,((E11-D11)-(C11-E11))/(C11-D11))</f>
        <v>-0.47664469514513841</v>
      </c>
      <c r="Q11">
        <f t="shared" ref="Q11" si="31">F11*P11</f>
        <v>-487141.22174261085</v>
      </c>
      <c r="R11">
        <f t="shared" ref="R11" si="32">R12+Q11</f>
        <v>108750438.52783939</v>
      </c>
      <c r="S11">
        <f t="shared" ref="S11" si="33">R11/100000</f>
        <v>1087.504385278394</v>
      </c>
      <c r="T11">
        <f t="shared" ref="T11" si="34">S11/1000</f>
        <v>1.0875043852783941</v>
      </c>
    </row>
    <row r="12" spans="1:20" x14ac:dyDescent="0.25">
      <c r="A12" s="5">
        <v>44581</v>
      </c>
      <c r="B12">
        <v>3084.02</v>
      </c>
      <c r="C12">
        <v>3273.37</v>
      </c>
      <c r="D12">
        <v>2987.15</v>
      </c>
      <c r="E12">
        <v>3001.48</v>
      </c>
      <c r="F12">
        <v>357596.70620000002</v>
      </c>
      <c r="G12">
        <v>3001.48</v>
      </c>
      <c r="L12" t="s">
        <v>8</v>
      </c>
      <c r="M12" t="s">
        <v>7</v>
      </c>
      <c r="N12" t="s">
        <v>7</v>
      </c>
      <c r="P12">
        <f t="shared" ref="P12" si="35">IF(C12=D12,0,((E12-D12)-(C12-E12))/(C12-D12))</f>
        <v>-0.89986723499406096</v>
      </c>
      <c r="Q12">
        <f t="shared" ref="Q12" si="36">F12*P12</f>
        <v>-321789.55925117759</v>
      </c>
      <c r="R12">
        <f t="shared" ref="R12" si="37">R13+Q12</f>
        <v>109237579.74958201</v>
      </c>
      <c r="S12">
        <f t="shared" ref="S12" si="38">R12/100000</f>
        <v>1092.3757974958201</v>
      </c>
      <c r="T12">
        <f t="shared" ref="T12" si="39">S12/1000</f>
        <v>1.0923757974958201</v>
      </c>
    </row>
    <row r="13" spans="1:20" x14ac:dyDescent="0.25">
      <c r="A13" s="5">
        <v>44580</v>
      </c>
      <c r="B13">
        <v>3159.85</v>
      </c>
      <c r="C13">
        <v>3174.87</v>
      </c>
      <c r="D13">
        <v>3000</v>
      </c>
      <c r="E13">
        <v>3084.02</v>
      </c>
      <c r="F13">
        <v>332996.57030000002</v>
      </c>
      <c r="G13">
        <v>3084.02</v>
      </c>
      <c r="L13" t="s">
        <v>7</v>
      </c>
      <c r="M13" t="s">
        <v>7</v>
      </c>
      <c r="N13" t="s">
        <v>7</v>
      </c>
      <c r="P13">
        <f t="shared" ref="P13" si="40">IF(C13=D13,0,((E13-D13)-(C13-E13))/(C13-D13))</f>
        <v>-3.9057585635042781E-2</v>
      </c>
      <c r="Q13">
        <f t="shared" ref="Q13" si="41">F13*P13</f>
        <v>-13006.042060667794</v>
      </c>
      <c r="R13">
        <f t="shared" ref="R13" si="42">R14+Q13</f>
        <v>109559369.30883318</v>
      </c>
      <c r="S13">
        <f t="shared" ref="S13" si="43">R13/100000</f>
        <v>1095.5936930883317</v>
      </c>
      <c r="T13">
        <f t="shared" ref="T13" si="44">S13/1000</f>
        <v>1.0955936930883317</v>
      </c>
    </row>
    <row r="14" spans="1:20" x14ac:dyDescent="0.25">
      <c r="A14" s="5">
        <v>44579</v>
      </c>
      <c r="B14">
        <v>3209.68</v>
      </c>
      <c r="C14">
        <v>3243.87</v>
      </c>
      <c r="D14">
        <v>3082</v>
      </c>
      <c r="E14">
        <v>3159.97</v>
      </c>
      <c r="F14">
        <v>299131.8664</v>
      </c>
      <c r="G14">
        <v>3159.97</v>
      </c>
      <c r="L14" t="s">
        <v>7</v>
      </c>
      <c r="M14" t="s">
        <v>7</v>
      </c>
      <c r="N14" t="s">
        <v>7</v>
      </c>
      <c r="P14">
        <f t="shared" ref="P14" si="45">IF(C14=D14,0,((E14-D14)-(C14-E14))/(C14-D14))</f>
        <v>-3.6634336195714434E-2</v>
      </c>
      <c r="Q14">
        <f t="shared" ref="Q14" si="46">F14*P14</f>
        <v>-10958.497360549134</v>
      </c>
      <c r="R14">
        <f t="shared" ref="R14" si="47">R15+Q14</f>
        <v>109572375.35089386</v>
      </c>
      <c r="S14">
        <f t="shared" ref="S14" si="48">R14/100000</f>
        <v>1095.7237535089384</v>
      </c>
      <c r="T14">
        <f t="shared" ref="T14" si="49">S14/1000</f>
        <v>1.0957237535089384</v>
      </c>
    </row>
    <row r="15" spans="1:20" x14ac:dyDescent="0.25">
      <c r="A15" s="5">
        <v>44578</v>
      </c>
      <c r="B15">
        <v>3346.89</v>
      </c>
      <c r="C15">
        <v>3357.57</v>
      </c>
      <c r="D15">
        <v>3141.1</v>
      </c>
      <c r="E15">
        <v>3209.67</v>
      </c>
      <c r="F15">
        <v>284063.65480000002</v>
      </c>
      <c r="G15">
        <v>3209.67</v>
      </c>
      <c r="L15" t="s">
        <v>7</v>
      </c>
      <c r="M15" t="s">
        <v>7</v>
      </c>
      <c r="N15" t="s">
        <v>7</v>
      </c>
      <c r="P15">
        <f t="shared" ref="P15" si="50">IF(C15=D15,0,((E15-D15)-(C15-E15))/(C15-D15))</f>
        <v>-0.3664711045410442</v>
      </c>
      <c r="Q15">
        <f t="shared" ref="Q15" si="51">F15*P15</f>
        <v>-104101.1213345219</v>
      </c>
      <c r="R15">
        <f t="shared" ref="R15" si="52">R16+Q15</f>
        <v>109583333.8482544</v>
      </c>
      <c r="S15">
        <f t="shared" ref="S15" si="53">R15/100000</f>
        <v>1095.8333384825439</v>
      </c>
      <c r="T15">
        <f t="shared" ref="T15" si="54">S15/1000</f>
        <v>1.0958333384825438</v>
      </c>
    </row>
    <row r="16" spans="1:20" x14ac:dyDescent="0.25">
      <c r="A16" s="5">
        <v>44577</v>
      </c>
      <c r="B16">
        <v>3326.51</v>
      </c>
      <c r="C16">
        <v>3393.6</v>
      </c>
      <c r="D16">
        <v>3269.62</v>
      </c>
      <c r="E16">
        <v>3346.88</v>
      </c>
      <c r="F16">
        <v>210782.22769999999</v>
      </c>
      <c r="G16">
        <v>3346.88</v>
      </c>
      <c r="L16" t="s">
        <v>8</v>
      </c>
      <c r="M16" t="s">
        <v>7</v>
      </c>
      <c r="N16" t="s">
        <v>7</v>
      </c>
      <c r="P16">
        <f t="shared" ref="P16" si="55">IF(C16=D16,0,((E16-D16)-(C16-E16))/(C16-D16))</f>
        <v>0.246330053234396</v>
      </c>
      <c r="Q16">
        <f t="shared" ref="Q16" si="56">F16*P16</f>
        <v>51921.997370205572</v>
      </c>
      <c r="R16">
        <f t="shared" ref="R16" si="57">R17+Q16</f>
        <v>109687434.96958892</v>
      </c>
      <c r="S16">
        <f t="shared" ref="S16" si="58">R16/100000</f>
        <v>1096.8743496958891</v>
      </c>
      <c r="T16">
        <f t="shared" ref="T16" si="59">S16/1000</f>
        <v>1.096874349695889</v>
      </c>
    </row>
    <row r="17" spans="1:20" x14ac:dyDescent="0.25">
      <c r="A17" s="5">
        <v>44576</v>
      </c>
      <c r="B17">
        <v>3307.42</v>
      </c>
      <c r="C17">
        <v>3371.64</v>
      </c>
      <c r="D17">
        <v>3261</v>
      </c>
      <c r="E17">
        <v>3326.04</v>
      </c>
      <c r="F17">
        <v>203100.37779999999</v>
      </c>
      <c r="G17">
        <v>3326.04</v>
      </c>
      <c r="L17" t="s">
        <v>8</v>
      </c>
      <c r="M17" t="s">
        <v>7</v>
      </c>
      <c r="N17" t="s">
        <v>7</v>
      </c>
      <c r="P17">
        <f t="shared" ref="P17" si="60">IF(C17=D17,0,((E17-D17)-(C17-E17))/(C17-D17))</f>
        <v>0.17570498915401372</v>
      </c>
      <c r="Q17">
        <f t="shared" ref="Q17" si="61">F17*P17</f>
        <v>35685.749678525084</v>
      </c>
      <c r="R17">
        <f t="shared" ref="R17" si="62">R18+Q17</f>
        <v>109635512.97221872</v>
      </c>
      <c r="S17">
        <f t="shared" ref="S17" si="63">R17/100000</f>
        <v>1096.3551297221873</v>
      </c>
      <c r="T17">
        <f t="shared" ref="T17" si="64">S17/1000</f>
        <v>1.0963551297221872</v>
      </c>
    </row>
    <row r="18" spans="1:20" x14ac:dyDescent="0.25">
      <c r="A18" s="5">
        <v>44575</v>
      </c>
      <c r="B18">
        <v>3240.61</v>
      </c>
      <c r="C18">
        <v>3342.79</v>
      </c>
      <c r="D18">
        <v>3188</v>
      </c>
      <c r="E18">
        <v>3307.42</v>
      </c>
      <c r="F18">
        <v>285326.3505</v>
      </c>
      <c r="G18">
        <v>3307.42</v>
      </c>
      <c r="L18" t="s">
        <v>8</v>
      </c>
      <c r="M18" t="s">
        <v>7</v>
      </c>
      <c r="N18" t="s">
        <v>7</v>
      </c>
      <c r="P18">
        <f t="shared" ref="P18" si="65">IF(C18=D18,0,((E18-D18)-(C18-E18))/(C18-D18))</f>
        <v>0.54299373344531432</v>
      </c>
      <c r="Q18">
        <f t="shared" ref="Q18" si="66">F18*P18</f>
        <v>154930.42030832134</v>
      </c>
      <c r="R18">
        <f t="shared" ref="R18" si="67">R19+Q18</f>
        <v>109599827.2225402</v>
      </c>
      <c r="S18">
        <f t="shared" ref="S18" si="68">R18/100000</f>
        <v>1095.9982722254019</v>
      </c>
      <c r="T18">
        <f t="shared" ref="T18" si="69">S18/1000</f>
        <v>1.095998272225402</v>
      </c>
    </row>
    <row r="19" spans="1:20" x14ac:dyDescent="0.25">
      <c r="A19" s="5">
        <v>44574</v>
      </c>
      <c r="B19">
        <v>3371.6</v>
      </c>
      <c r="C19">
        <v>3410</v>
      </c>
      <c r="D19">
        <v>3233.43</v>
      </c>
      <c r="E19">
        <v>3240.61</v>
      </c>
      <c r="F19">
        <v>336234.8799</v>
      </c>
      <c r="G19">
        <v>3240.61</v>
      </c>
      <c r="L19" t="s">
        <v>8</v>
      </c>
      <c r="M19" t="s">
        <v>7</v>
      </c>
      <c r="N19" t="s">
        <v>7</v>
      </c>
      <c r="P19">
        <f t="shared" ref="P19" si="70">IF(C19=D19,0,((E19-D19)-(C19-E19))/(C19-D19))</f>
        <v>-0.91867248116893829</v>
      </c>
      <c r="Q19">
        <f t="shared" ref="Q19" si="71">F19*P19</f>
        <v>-308889.73137327295</v>
      </c>
      <c r="R19">
        <f t="shared" ref="R19" si="72">R20+Q19</f>
        <v>109444896.80223188</v>
      </c>
      <c r="S19">
        <f t="shared" ref="S19" si="73">R19/100000</f>
        <v>1094.4489680223187</v>
      </c>
      <c r="T19">
        <f t="shared" ref="T19" si="74">S19/1000</f>
        <v>1.0944489680223186</v>
      </c>
    </row>
    <row r="20" spans="1:20" x14ac:dyDescent="0.25">
      <c r="A20" s="5">
        <v>44573</v>
      </c>
      <c r="B20">
        <v>3239.73</v>
      </c>
      <c r="C20">
        <v>3411.43</v>
      </c>
      <c r="D20">
        <v>3206.2</v>
      </c>
      <c r="E20">
        <v>3371.26</v>
      </c>
      <c r="F20">
        <v>370465.8015</v>
      </c>
      <c r="G20">
        <v>3371.26</v>
      </c>
      <c r="L20" t="s">
        <v>8</v>
      </c>
      <c r="M20" t="s">
        <v>7</v>
      </c>
      <c r="N20" t="s">
        <v>7</v>
      </c>
      <c r="P20">
        <f t="shared" ref="P20" si="75">IF(C20=D20,0,((E20-D20)-(C20-E20))/(C20-D20))</f>
        <v>0.6085367636310518</v>
      </c>
      <c r="Q20">
        <f t="shared" ref="Q20" si="76">F20*P20</f>
        <v>225442.05988079365</v>
      </c>
      <c r="R20">
        <f t="shared" ref="R20" si="77">R21+Q20</f>
        <v>109753786.53360516</v>
      </c>
      <c r="S20">
        <f t="shared" ref="S20" si="78">R20/100000</f>
        <v>1097.5378653360515</v>
      </c>
      <c r="T20">
        <f t="shared" ref="T20" si="79">S20/1000</f>
        <v>1.0975378653360515</v>
      </c>
    </row>
    <row r="21" spans="1:20" x14ac:dyDescent="0.25">
      <c r="A21" s="5">
        <v>44572</v>
      </c>
      <c r="B21">
        <v>3082.87</v>
      </c>
      <c r="C21">
        <v>3263.54</v>
      </c>
      <c r="D21">
        <v>3051.8</v>
      </c>
      <c r="E21">
        <v>3239.72</v>
      </c>
      <c r="F21">
        <v>362446.70870000002</v>
      </c>
      <c r="G21">
        <v>3239.72</v>
      </c>
      <c r="L21" t="s">
        <v>8</v>
      </c>
      <c r="M21" t="s">
        <v>7</v>
      </c>
      <c r="N21" t="s">
        <v>7</v>
      </c>
      <c r="P21">
        <f t="shared" ref="P21" si="80">IF(C21=D21,0,((E21-D21)-(C21-E21))/(C21-D21))</f>
        <v>0.77500708415981689</v>
      </c>
      <c r="Q21">
        <f t="shared" ref="Q21" si="81">F21*P21</f>
        <v>280898.76687290956</v>
      </c>
      <c r="R21">
        <f t="shared" ref="R21" si="82">R22+Q21</f>
        <v>109528344.47372437</v>
      </c>
      <c r="S21">
        <f t="shared" ref="S21" si="83">R21/100000</f>
        <v>1095.2834447372436</v>
      </c>
      <c r="T21">
        <f t="shared" ref="T21" si="84">S21/1000</f>
        <v>1.0952834447372437</v>
      </c>
    </row>
    <row r="22" spans="1:20" x14ac:dyDescent="0.25">
      <c r="A22" s="5">
        <v>44571</v>
      </c>
      <c r="B22">
        <v>3151.97</v>
      </c>
      <c r="C22">
        <v>3185</v>
      </c>
      <c r="D22">
        <v>2928.83</v>
      </c>
      <c r="E22">
        <v>3082.68</v>
      </c>
      <c r="F22">
        <v>529818.38659999997</v>
      </c>
      <c r="G22">
        <v>3082.68</v>
      </c>
      <c r="L22" t="s">
        <v>7</v>
      </c>
      <c r="M22" t="s">
        <v>7</v>
      </c>
      <c r="N22" t="s">
        <v>7</v>
      </c>
      <c r="P22">
        <f t="shared" ref="P22" si="85">IF(C22=D22,0,((E22-D22)-(C22-E22))/(C22-D22))</f>
        <v>0.20115548268727693</v>
      </c>
      <c r="Q22">
        <f t="shared" ref="Q22" si="86">F22*P22</f>
        <v>106575.87329311729</v>
      </c>
      <c r="R22">
        <f t="shared" ref="R22" si="87">R23+Q22</f>
        <v>109247445.70685145</v>
      </c>
      <c r="S22">
        <f t="shared" ref="S22" si="88">R22/100000</f>
        <v>1092.4744570685145</v>
      </c>
      <c r="T22">
        <f t="shared" ref="T22" si="89">S22/1000</f>
        <v>1.0924744570685145</v>
      </c>
    </row>
    <row r="23" spans="1:20" x14ac:dyDescent="0.25">
      <c r="A23" s="5">
        <v>44570</v>
      </c>
      <c r="B23">
        <v>3080.98</v>
      </c>
      <c r="C23">
        <v>3211.72</v>
      </c>
      <c r="D23">
        <v>3057.35</v>
      </c>
      <c r="E23">
        <v>3151.97</v>
      </c>
      <c r="F23">
        <v>275874.1643</v>
      </c>
      <c r="G23">
        <v>3151.97</v>
      </c>
      <c r="L23" t="s">
        <v>7</v>
      </c>
      <c r="M23" t="s">
        <v>7</v>
      </c>
      <c r="N23" t="s">
        <v>7</v>
      </c>
      <c r="P23">
        <f t="shared" ref="P23" si="90">IF(C23=D23,0,((E23-D23)-(C23-E23))/(C23-D23))</f>
        <v>0.22588585865129179</v>
      </c>
      <c r="Q23">
        <f t="shared" ref="Q23" si="91">F23*P23</f>
        <v>62316.072482613046</v>
      </c>
      <c r="R23">
        <f t="shared" ref="R23" si="92">R24+Q23</f>
        <v>109140869.83355834</v>
      </c>
      <c r="S23">
        <f t="shared" ref="S23" si="93">R23/100000</f>
        <v>1091.4086983355833</v>
      </c>
      <c r="T23">
        <f t="shared" ref="T23" si="94">S23/1000</f>
        <v>1.0914086983355833</v>
      </c>
    </row>
    <row r="24" spans="1:20" x14ac:dyDescent="0.25">
      <c r="A24" s="5">
        <v>44569</v>
      </c>
      <c r="B24">
        <v>3198.68</v>
      </c>
      <c r="C24">
        <v>3250</v>
      </c>
      <c r="D24">
        <v>3000</v>
      </c>
      <c r="E24">
        <v>3080.95</v>
      </c>
      <c r="F24">
        <v>400692.10609999998</v>
      </c>
      <c r="G24">
        <v>3080.95</v>
      </c>
      <c r="L24" t="s">
        <v>7</v>
      </c>
      <c r="M24" t="s">
        <v>7</v>
      </c>
      <c r="N24" t="s">
        <v>7</v>
      </c>
      <c r="P24">
        <f t="shared" ref="P24" si="95">IF(C24=D24,0,((E24-D24)-(C24-E24))/(C24-D24))</f>
        <v>-0.35240000000000143</v>
      </c>
      <c r="Q24">
        <f t="shared" ref="Q24" si="96">F24*P24</f>
        <v>-141203.89818964057</v>
      </c>
      <c r="R24">
        <f t="shared" ref="R24" si="97">R25+Q24</f>
        <v>109078553.76107572</v>
      </c>
      <c r="S24">
        <f t="shared" ref="S24" si="98">R24/100000</f>
        <v>1090.7855376107573</v>
      </c>
      <c r="T24">
        <f t="shared" ref="T24" si="99">S24/1000</f>
        <v>1.0907855376107574</v>
      </c>
    </row>
    <row r="25" spans="1:20" x14ac:dyDescent="0.25">
      <c r="A25" s="5">
        <v>44568</v>
      </c>
      <c r="B25">
        <v>3406.81</v>
      </c>
      <c r="C25">
        <v>3416.76</v>
      </c>
      <c r="D25">
        <v>3064.42</v>
      </c>
      <c r="E25">
        <v>3199.24</v>
      </c>
      <c r="F25">
        <v>669631.72620000003</v>
      </c>
      <c r="G25">
        <v>3199.24</v>
      </c>
      <c r="L25" t="s">
        <v>7</v>
      </c>
      <c r="M25" t="s">
        <v>7</v>
      </c>
      <c r="N25" t="s">
        <v>7</v>
      </c>
      <c r="P25">
        <f t="shared" ref="P25" si="100">IF(C25=D25,0,((E25-D25)-(C25-E25))/(C25-D25))</f>
        <v>-0.23471646704887522</v>
      </c>
      <c r="Q25">
        <f t="shared" ref="Q25" si="101">F25*P25</f>
        <v>-157173.59299750373</v>
      </c>
      <c r="R25">
        <f t="shared" ref="R25" si="102">R26+Q25</f>
        <v>109219757.65926535</v>
      </c>
      <c r="S25">
        <f t="shared" ref="S25" si="103">R25/100000</f>
        <v>1092.1975765926536</v>
      </c>
      <c r="T25">
        <f t="shared" ref="T25" si="104">S25/1000</f>
        <v>1.0921975765926537</v>
      </c>
    </row>
    <row r="26" spans="1:20" x14ac:dyDescent="0.25">
      <c r="A26" s="5">
        <v>44567</v>
      </c>
      <c r="B26">
        <v>3539.82</v>
      </c>
      <c r="C26">
        <v>3550.43</v>
      </c>
      <c r="D26">
        <v>3300</v>
      </c>
      <c r="E26">
        <v>3406.81</v>
      </c>
      <c r="F26">
        <v>496745.74129999999</v>
      </c>
      <c r="G26">
        <v>3406.81</v>
      </c>
      <c r="L26" t="s">
        <v>7</v>
      </c>
      <c r="M26" t="s">
        <v>7</v>
      </c>
      <c r="N26" t="s">
        <v>7</v>
      </c>
      <c r="P26">
        <f t="shared" ref="P26" si="105">IF(C26=D26,0,((E26-D26)-(C26-E26))/(C26-D26))</f>
        <v>-0.14698718204687924</v>
      </c>
      <c r="Q26">
        <f t="shared" ref="Q26" si="106">F26*P26</f>
        <v>-73015.256707475084</v>
      </c>
      <c r="R26">
        <f t="shared" ref="R26" si="107">R27+Q26</f>
        <v>109376931.25226286</v>
      </c>
      <c r="S26">
        <f t="shared" ref="S26" si="108">R26/100000</f>
        <v>1093.7693125226285</v>
      </c>
      <c r="T26">
        <f t="shared" ref="T26" si="109">S26/1000</f>
        <v>1.0937693125226284</v>
      </c>
    </row>
    <row r="27" spans="1:20" x14ac:dyDescent="0.25">
      <c r="A27" s="5">
        <v>44566</v>
      </c>
      <c r="B27">
        <v>3785.1</v>
      </c>
      <c r="C27">
        <v>3848</v>
      </c>
      <c r="D27">
        <v>3415</v>
      </c>
      <c r="E27">
        <v>3540.63</v>
      </c>
      <c r="F27">
        <v>397942.03629999998</v>
      </c>
      <c r="G27">
        <v>3540.63</v>
      </c>
      <c r="L27" t="s">
        <v>7</v>
      </c>
      <c r="M27" t="s">
        <v>7</v>
      </c>
      <c r="N27" t="s">
        <v>7</v>
      </c>
      <c r="P27">
        <f t="shared" ref="P27" si="110">IF(C27=D27,0,((E27-D27)-(C27-E27))/(C27-D27))</f>
        <v>-0.41972286374133899</v>
      </c>
      <c r="Q27">
        <f t="shared" ref="Q27" si="111">F27*P27</f>
        <v>-167025.37107889587</v>
      </c>
      <c r="R27">
        <f t="shared" ref="R27" si="112">R28+Q27</f>
        <v>109449946.50897034</v>
      </c>
      <c r="S27">
        <f t="shared" ref="S27" si="113">R27/100000</f>
        <v>1094.4994650897033</v>
      </c>
      <c r="T27">
        <f t="shared" ref="T27" si="114">S27/1000</f>
        <v>1.0944994650897033</v>
      </c>
    </row>
    <row r="28" spans="1:20" x14ac:dyDescent="0.25">
      <c r="A28" s="5">
        <v>44565</v>
      </c>
      <c r="B28">
        <v>3765.89</v>
      </c>
      <c r="C28">
        <v>3900.73</v>
      </c>
      <c r="D28">
        <v>3713.11</v>
      </c>
      <c r="E28">
        <v>3785.11</v>
      </c>
      <c r="F28">
        <v>288258.55489999999</v>
      </c>
      <c r="G28">
        <v>3785.11</v>
      </c>
      <c r="L28" t="s">
        <v>8</v>
      </c>
      <c r="M28" t="s">
        <v>7</v>
      </c>
      <c r="N28" t="s">
        <v>7</v>
      </c>
      <c r="P28">
        <f t="shared" ref="P28" si="115">IF(C28=D28,0,((E28-D28)-(C28-E28))/(C28-D28))</f>
        <v>-0.23249120562839737</v>
      </c>
      <c r="Q28">
        <f t="shared" ref="Q28" si="116">F28*P28</f>
        <v>-67017.578961400563</v>
      </c>
      <c r="R28">
        <f t="shared" ref="R28" si="117">R29+Q28</f>
        <v>109616971.88004923</v>
      </c>
      <c r="S28">
        <f t="shared" ref="S28" si="118">R28/100000</f>
        <v>1096.1697188004923</v>
      </c>
      <c r="T28">
        <f t="shared" ref="T28" si="119">S28/1000</f>
        <v>1.0961697188004924</v>
      </c>
    </row>
    <row r="29" spans="1:20" x14ac:dyDescent="0.25">
      <c r="A29" s="5">
        <v>44564</v>
      </c>
      <c r="B29">
        <v>3828.11</v>
      </c>
      <c r="C29">
        <v>3853.09</v>
      </c>
      <c r="D29">
        <v>3680</v>
      </c>
      <c r="E29">
        <v>3765.89</v>
      </c>
      <c r="F29">
        <v>236245.85860000001</v>
      </c>
      <c r="G29">
        <v>3765.89</v>
      </c>
      <c r="L29" t="s">
        <v>8</v>
      </c>
      <c r="M29" t="s">
        <v>7</v>
      </c>
      <c r="N29" t="s">
        <v>7</v>
      </c>
      <c r="P29">
        <f t="shared" ref="P29" si="120">IF(C29=D29,0,((E29-D29)-(C29-E29))/(C29-D29))</f>
        <v>-7.5683170604910685E-3</v>
      </c>
      <c r="Q29">
        <f t="shared" ref="Q29" si="121">F29*P29</f>
        <v>-1787.9835621127406</v>
      </c>
      <c r="R29">
        <f t="shared" ref="R29" si="122">R30+Q29</f>
        <v>109683989.45901063</v>
      </c>
      <c r="S29">
        <f t="shared" ref="S29" si="123">R29/100000</f>
        <v>1096.8398945901063</v>
      </c>
      <c r="T29">
        <f t="shared" ref="T29" si="124">S29/1000</f>
        <v>1.0968398945901063</v>
      </c>
    </row>
    <row r="30" spans="1:20" x14ac:dyDescent="0.25">
      <c r="A30" s="5">
        <v>44563</v>
      </c>
      <c r="B30">
        <v>3765.54</v>
      </c>
      <c r="C30">
        <v>3857.44</v>
      </c>
      <c r="D30">
        <v>3717.3</v>
      </c>
      <c r="E30">
        <v>3828.27</v>
      </c>
      <c r="F30">
        <v>154791.42629999999</v>
      </c>
      <c r="G30">
        <v>3828.27</v>
      </c>
      <c r="L30" t="s">
        <v>8</v>
      </c>
      <c r="M30" t="s">
        <v>7</v>
      </c>
      <c r="N30" t="s">
        <v>7</v>
      </c>
      <c r="P30">
        <f t="shared" ref="P30" si="125">IF(C30=D30,0,((E30-D30)-(C30-E30))/(C30-D30))</f>
        <v>0.58370201227343943</v>
      </c>
      <c r="Q30">
        <f t="shared" ref="Q30" si="126">F30*P30</f>
        <v>90352.067013985798</v>
      </c>
      <c r="R30">
        <f t="shared" ref="R30" si="127">R31+Q30</f>
        <v>109685777.44257274</v>
      </c>
      <c r="S30">
        <f t="shared" ref="S30" si="128">R30/100000</f>
        <v>1096.8577744257275</v>
      </c>
      <c r="T30">
        <f t="shared" ref="T30" si="129">S30/1000</f>
        <v>1.0968577744257275</v>
      </c>
    </row>
    <row r="31" spans="1:20" x14ac:dyDescent="0.25">
      <c r="A31" s="5">
        <v>44562</v>
      </c>
      <c r="B31">
        <v>3676.22</v>
      </c>
      <c r="C31">
        <v>3776.45</v>
      </c>
      <c r="D31">
        <v>3673.46</v>
      </c>
      <c r="E31">
        <v>3765.54</v>
      </c>
      <c r="F31">
        <v>154143.89679999999</v>
      </c>
      <c r="G31">
        <v>3765.54</v>
      </c>
      <c r="L31" t="s">
        <v>7</v>
      </c>
      <c r="M31" t="s">
        <v>7</v>
      </c>
      <c r="N31" t="s">
        <v>7</v>
      </c>
      <c r="P31">
        <f t="shared" ref="P31" si="130">IF(C31=D31,0,((E31-D31)-(C31-E31))/(C31-D31))</f>
        <v>0.78813477036605728</v>
      </c>
      <c r="Q31">
        <f t="shared" ref="Q31" si="131">F31*P31</f>
        <v>121486.16470779722</v>
      </c>
      <c r="R31">
        <f t="shared" ref="R31" si="132">R32+Q31</f>
        <v>109595425.37555876</v>
      </c>
      <c r="S31">
        <f t="shared" ref="S31" si="133">R31/100000</f>
        <v>1095.9542537555876</v>
      </c>
      <c r="T31">
        <f t="shared" ref="T31" si="134">S31/1000</f>
        <v>1.0959542537555875</v>
      </c>
    </row>
    <row r="32" spans="1:20" x14ac:dyDescent="0.25">
      <c r="A32" s="5">
        <v>44561</v>
      </c>
      <c r="B32">
        <v>3709.27</v>
      </c>
      <c r="C32">
        <v>3815</v>
      </c>
      <c r="D32">
        <v>3622.29</v>
      </c>
      <c r="E32">
        <v>3676.23</v>
      </c>
      <c r="F32">
        <v>268014.2942</v>
      </c>
      <c r="G32">
        <v>3676.23</v>
      </c>
      <c r="L32" t="s">
        <v>7</v>
      </c>
      <c r="M32" t="s">
        <v>7</v>
      </c>
      <c r="N32" t="s">
        <v>7</v>
      </c>
      <c r="P32">
        <f t="shared" ref="P32" si="135">IF(C32=D32,0,((E32-D32)-(C32-E32))/(C32-D32))</f>
        <v>-0.44019511182605942</v>
      </c>
      <c r="Q32">
        <f t="shared" ref="Q32" si="136">F32*P32</f>
        <v>-117978.58220635139</v>
      </c>
      <c r="R32">
        <f t="shared" ref="R32" si="137">R33+Q32</f>
        <v>109473939.21085097</v>
      </c>
      <c r="S32">
        <f t="shared" ref="S32" si="138">R32/100000</f>
        <v>1094.7393921085097</v>
      </c>
      <c r="T32">
        <f t="shared" ref="T32" si="139">S32/1000</f>
        <v>1.0947393921085098</v>
      </c>
    </row>
    <row r="33" spans="1:20" x14ac:dyDescent="0.25">
      <c r="A33" s="5">
        <v>44560</v>
      </c>
      <c r="B33">
        <v>3630.18</v>
      </c>
      <c r="C33">
        <v>3769.1</v>
      </c>
      <c r="D33">
        <v>3585</v>
      </c>
      <c r="E33">
        <v>3709.27</v>
      </c>
      <c r="F33">
        <v>249263.73050000001</v>
      </c>
      <c r="G33">
        <v>3709.27</v>
      </c>
      <c r="L33" t="s">
        <v>7</v>
      </c>
      <c r="M33" t="s">
        <v>7</v>
      </c>
      <c r="N33" t="s">
        <v>7</v>
      </c>
      <c r="P33">
        <f t="shared" ref="P33" si="140">IF(C33=D33,0,((E33-D33)-(C33-E33))/(C33-D33))</f>
        <v>0.35002715915263488</v>
      </c>
      <c r="Q33">
        <f t="shared" ref="Q33" si="141">F33*P33</f>
        <v>87249.075466702998</v>
      </c>
      <c r="R33">
        <f t="shared" ref="R33" si="142">R34+Q33</f>
        <v>109591917.79305732</v>
      </c>
      <c r="S33">
        <f t="shared" ref="S33" si="143">R33/100000</f>
        <v>1095.9191779305731</v>
      </c>
      <c r="T33">
        <f t="shared" ref="T33" si="144">S33/1000</f>
        <v>1.0959191779305733</v>
      </c>
    </row>
    <row r="34" spans="1:20" x14ac:dyDescent="0.25">
      <c r="A34" s="5">
        <v>44559</v>
      </c>
      <c r="B34">
        <v>3792.75</v>
      </c>
      <c r="C34">
        <v>3827.78</v>
      </c>
      <c r="D34">
        <v>3604.2</v>
      </c>
      <c r="E34">
        <v>3630.19</v>
      </c>
      <c r="F34">
        <v>302753.63750000001</v>
      </c>
      <c r="G34">
        <v>3630.19</v>
      </c>
      <c r="L34" t="s">
        <v>7</v>
      </c>
      <c r="M34" t="s">
        <v>7</v>
      </c>
      <c r="N34" t="s">
        <v>7</v>
      </c>
      <c r="P34">
        <f t="shared" ref="P34" si="145">IF(C34=D34,0,((E34-D34)-(C34-E34))/(C34-D34))</f>
        <v>-0.76751051077913779</v>
      </c>
      <c r="Q34">
        <f t="shared" ref="Q34" si="146">F34*P34</f>
        <v>-232366.59895786693</v>
      </c>
      <c r="R34">
        <f t="shared" ref="R34" si="147">R35+Q34</f>
        <v>109504668.71759062</v>
      </c>
      <c r="S34">
        <f t="shared" ref="S34" si="148">R34/100000</f>
        <v>1095.0466871759061</v>
      </c>
      <c r="T34">
        <f t="shared" ref="T34" si="149">S34/1000</f>
        <v>1.0950466871759061</v>
      </c>
    </row>
    <row r="35" spans="1:20" x14ac:dyDescent="0.25">
      <c r="A35" s="5">
        <v>44558</v>
      </c>
      <c r="B35">
        <v>4037.22</v>
      </c>
      <c r="C35">
        <v>4037.23</v>
      </c>
      <c r="D35">
        <v>3759.36</v>
      </c>
      <c r="E35">
        <v>3792.75</v>
      </c>
      <c r="F35">
        <v>358064.71629999997</v>
      </c>
      <c r="G35">
        <v>3792.75</v>
      </c>
      <c r="L35" t="s">
        <v>7</v>
      </c>
      <c r="M35" t="s">
        <v>7</v>
      </c>
      <c r="N35" t="s">
        <v>7</v>
      </c>
      <c r="P35">
        <f t="shared" ref="P35" si="150">IF(C35=D35,0,((E35-D35)-(C35-E35))/(C35-D35))</f>
        <v>-0.75967178896606413</v>
      </c>
      <c r="Q35">
        <f t="shared" ref="Q35" si="151">F35*P35</f>
        <v>-272011.66359724721</v>
      </c>
      <c r="R35">
        <f t="shared" ref="R35" si="152">R36+Q35</f>
        <v>109737035.31654848</v>
      </c>
      <c r="S35">
        <f t="shared" ref="S35" si="153">R35/100000</f>
        <v>1097.3703531654849</v>
      </c>
      <c r="T35">
        <f t="shared" ref="T35" si="154">S35/1000</f>
        <v>1.0973703531654848</v>
      </c>
    </row>
    <row r="36" spans="1:20" x14ac:dyDescent="0.25">
      <c r="A36" s="5">
        <v>44557</v>
      </c>
      <c r="B36">
        <v>4063.57</v>
      </c>
      <c r="C36">
        <v>4127.46</v>
      </c>
      <c r="D36">
        <v>4031</v>
      </c>
      <c r="E36">
        <v>4037.23</v>
      </c>
      <c r="F36">
        <v>222202.13829999999</v>
      </c>
      <c r="G36">
        <v>4037.23</v>
      </c>
      <c r="L36" t="s">
        <v>8</v>
      </c>
      <c r="M36" t="s">
        <v>7</v>
      </c>
      <c r="N36" t="s">
        <v>7</v>
      </c>
      <c r="P36">
        <f t="shared" ref="P36" si="155">IF(C36=D36,0,((E36-D36)-(C36-E36))/(C36-D36))</f>
        <v>-0.87082728592162517</v>
      </c>
      <c r="Q36">
        <f t="shared" ref="Q36" si="156">F36*P36</f>
        <v>-193499.68502177059</v>
      </c>
      <c r="R36">
        <f t="shared" ref="R36" si="157">R37+Q36</f>
        <v>110009046.98014572</v>
      </c>
      <c r="S36">
        <f t="shared" ref="S36" si="158">R36/100000</f>
        <v>1100.0904698014572</v>
      </c>
      <c r="T36">
        <f t="shared" ref="T36" si="159">S36/1000</f>
        <v>1.1000904698014571</v>
      </c>
    </row>
    <row r="37" spans="1:20" x14ac:dyDescent="0.25">
      <c r="A37" s="5">
        <v>44556</v>
      </c>
      <c r="B37">
        <v>4094.36</v>
      </c>
      <c r="C37">
        <v>4105</v>
      </c>
      <c r="D37">
        <v>4000</v>
      </c>
      <c r="E37">
        <v>4063.56</v>
      </c>
      <c r="F37">
        <v>189309.255</v>
      </c>
      <c r="G37">
        <v>4063.56</v>
      </c>
      <c r="L37" t="s">
        <v>8</v>
      </c>
      <c r="M37" t="s">
        <v>7</v>
      </c>
      <c r="N37" t="s">
        <v>7</v>
      </c>
      <c r="P37">
        <f t="shared" ref="P37" si="160">IF(C37=D37,0,((E37-D37)-(C37-E37))/(C37-D37))</f>
        <v>0.21066666666666561</v>
      </c>
      <c r="Q37">
        <f t="shared" ref="Q37" si="161">F37*P37</f>
        <v>39881.149719999805</v>
      </c>
      <c r="R37">
        <f t="shared" ref="R37" si="162">R38+Q37</f>
        <v>110202546.6651675</v>
      </c>
      <c r="S37">
        <f t="shared" ref="S37" si="163">R37/100000</f>
        <v>1102.0254666516751</v>
      </c>
      <c r="T37">
        <f t="shared" ref="T37" si="164">S37/1000</f>
        <v>1.1020254666516751</v>
      </c>
    </row>
    <row r="38" spans="1:20" x14ac:dyDescent="0.25">
      <c r="A38" s="5">
        <v>44555</v>
      </c>
      <c r="B38">
        <v>4046.35</v>
      </c>
      <c r="C38">
        <v>4137.91</v>
      </c>
      <c r="D38">
        <v>4018.62</v>
      </c>
      <c r="E38">
        <v>4094.83</v>
      </c>
      <c r="F38">
        <v>208126.8805</v>
      </c>
      <c r="G38">
        <v>4094.83</v>
      </c>
      <c r="L38" t="s">
        <v>8</v>
      </c>
      <c r="M38" t="s">
        <v>7</v>
      </c>
      <c r="N38" t="s">
        <v>7</v>
      </c>
      <c r="P38">
        <f t="shared" ref="P38" si="165">IF(C38=D38,0,((E38-D38)-(C38-E38))/(C38-D38))</f>
        <v>0.27772654874675262</v>
      </c>
      <c r="Q38">
        <f t="shared" ref="Q38" si="166">F38*P38</f>
        <v>57802.360222692805</v>
      </c>
      <c r="R38">
        <f t="shared" ref="R38" si="167">R39+Q38</f>
        <v>110162665.5154475</v>
      </c>
      <c r="S38">
        <f t="shared" ref="S38" si="168">R38/100000</f>
        <v>1101.626655154475</v>
      </c>
      <c r="T38">
        <f t="shared" ref="T38" si="169">S38/1000</f>
        <v>1.1016266551544749</v>
      </c>
    </row>
    <row r="39" spans="1:20" x14ac:dyDescent="0.25">
      <c r="A39" s="5">
        <v>44554</v>
      </c>
      <c r="B39">
        <v>4111.41</v>
      </c>
      <c r="C39">
        <v>4134.84</v>
      </c>
      <c r="D39">
        <v>4017.17</v>
      </c>
      <c r="E39">
        <v>4046.36</v>
      </c>
      <c r="F39">
        <v>230833.1661</v>
      </c>
      <c r="G39">
        <v>4046.36</v>
      </c>
      <c r="L39" t="s">
        <v>8</v>
      </c>
      <c r="M39" t="s">
        <v>7</v>
      </c>
      <c r="N39" t="s">
        <v>7</v>
      </c>
      <c r="P39">
        <f t="shared" ref="P39" si="170">IF(C39=D39,0,((E39-D39)-(C39-E39))/(C39-D39))</f>
        <v>-0.5038667459845324</v>
      </c>
      <c r="Q39">
        <f t="shared" ref="Q39" si="171">F39*P39</f>
        <v>-116309.15626811408</v>
      </c>
      <c r="R39">
        <f t="shared" ref="R39" si="172">R40+Q39</f>
        <v>110104863.1552248</v>
      </c>
      <c r="S39">
        <f t="shared" ref="S39" si="173">R39/100000</f>
        <v>1101.048631552248</v>
      </c>
      <c r="T39">
        <f t="shared" ref="T39" si="174">S39/1000</f>
        <v>1.1010486315522481</v>
      </c>
    </row>
    <row r="40" spans="1:20" x14ac:dyDescent="0.25">
      <c r="A40" s="5">
        <v>44553</v>
      </c>
      <c r="B40">
        <v>3979.51</v>
      </c>
      <c r="C40">
        <v>4150</v>
      </c>
      <c r="D40">
        <v>3893.23</v>
      </c>
      <c r="E40">
        <v>4111.41</v>
      </c>
      <c r="F40">
        <v>380207.81660000002</v>
      </c>
      <c r="G40">
        <v>4111.41</v>
      </c>
      <c r="L40" t="s">
        <v>8</v>
      </c>
      <c r="M40" t="s">
        <v>7</v>
      </c>
      <c r="N40" t="s">
        <v>7</v>
      </c>
      <c r="P40">
        <f t="shared" ref="P40" si="175">IF(C40=D40,0,((E40-D40)-(C40-E40))/(C40-D40))</f>
        <v>0.69941971414105897</v>
      </c>
      <c r="Q40">
        <f t="shared" ref="Q40" si="176">F40*P40</f>
        <v>265924.84240056819</v>
      </c>
      <c r="R40">
        <f t="shared" ref="R40" si="177">R41+Q40</f>
        <v>110221172.31149292</v>
      </c>
      <c r="S40">
        <f t="shared" ref="S40" si="178">R40/100000</f>
        <v>1102.2117231149291</v>
      </c>
      <c r="T40">
        <f t="shared" ref="T40" si="179">S40/1000</f>
        <v>1.1022117231149291</v>
      </c>
    </row>
    <row r="41" spans="1:20" x14ac:dyDescent="0.25">
      <c r="A41" s="5">
        <v>44552</v>
      </c>
      <c r="B41">
        <v>4014.41</v>
      </c>
      <c r="C41">
        <v>4074.87</v>
      </c>
      <c r="D41">
        <v>3933.4</v>
      </c>
      <c r="E41">
        <v>3979.51</v>
      </c>
      <c r="F41">
        <v>303191.8076</v>
      </c>
      <c r="G41">
        <v>3979.51</v>
      </c>
      <c r="L41" t="s">
        <v>8</v>
      </c>
      <c r="M41" t="s">
        <v>7</v>
      </c>
      <c r="N41" t="s">
        <v>7</v>
      </c>
      <c r="P41">
        <f t="shared" ref="P41" si="180">IF(C41=D41,0,((E41-D41)-(C41-E41))/(C41-D41))</f>
        <v>-0.34813034565632017</v>
      </c>
      <c r="Q41">
        <f t="shared" ref="Q41" si="181">F41*P41</f>
        <v>-105550.26877995252</v>
      </c>
      <c r="R41">
        <f t="shared" ref="R41" si="182">R42+Q41</f>
        <v>109955247.46909235</v>
      </c>
      <c r="S41">
        <f t="shared" ref="S41" si="183">R41/100000</f>
        <v>1099.5524746909236</v>
      </c>
      <c r="T41">
        <f t="shared" ref="T41" si="184">S41/1000</f>
        <v>1.0995524746909235</v>
      </c>
    </row>
    <row r="42" spans="1:20" x14ac:dyDescent="0.25">
      <c r="A42" s="5">
        <v>44551</v>
      </c>
      <c r="B42">
        <v>3944.72</v>
      </c>
      <c r="C42">
        <v>4063</v>
      </c>
      <c r="D42">
        <v>3913.21</v>
      </c>
      <c r="E42">
        <v>4014.15</v>
      </c>
      <c r="F42">
        <v>340826.3553</v>
      </c>
      <c r="G42">
        <v>4014.15</v>
      </c>
      <c r="L42" t="s">
        <v>8</v>
      </c>
      <c r="M42" t="s">
        <v>7</v>
      </c>
      <c r="N42" t="s">
        <v>7</v>
      </c>
      <c r="P42">
        <f t="shared" ref="P42" si="185">IF(C42=D42,0,((E42-D42)-(C42-E42))/(C42-D42))</f>
        <v>0.34775352159690337</v>
      </c>
      <c r="Q42">
        <f t="shared" ref="Q42" si="186">F42*P42</f>
        <v>118523.56530861241</v>
      </c>
      <c r="R42">
        <f t="shared" ref="R42" si="187">R43+Q42</f>
        <v>110060797.7378723</v>
      </c>
      <c r="S42">
        <f t="shared" ref="S42" si="188">R42/100000</f>
        <v>1100.607977378723</v>
      </c>
      <c r="T42">
        <f t="shared" ref="T42" si="189">S42/1000</f>
        <v>1.100607977378723</v>
      </c>
    </row>
    <row r="43" spans="1:20" x14ac:dyDescent="0.25">
      <c r="A43" s="5">
        <v>44550</v>
      </c>
      <c r="B43">
        <v>3924.14</v>
      </c>
      <c r="C43">
        <v>3983.37</v>
      </c>
      <c r="D43">
        <v>3753</v>
      </c>
      <c r="E43">
        <v>3944.73</v>
      </c>
      <c r="F43">
        <v>366916.47710000002</v>
      </c>
      <c r="G43">
        <v>3944.73</v>
      </c>
      <c r="L43" t="s">
        <v>7</v>
      </c>
      <c r="M43" t="s">
        <v>7</v>
      </c>
      <c r="N43" t="s">
        <v>7</v>
      </c>
      <c r="P43">
        <f t="shared" ref="P43" si="190">IF(C43=D43,0,((E43-D43)-(C43-E43))/(C43-D43))</f>
        <v>0.6645396536007302</v>
      </c>
      <c r="Q43">
        <f t="shared" ref="Q43" si="191">F43*P43</f>
        <v>243830.54859243426</v>
      </c>
      <c r="R43">
        <f t="shared" ref="R43" si="192">R44+Q43</f>
        <v>109942274.17256369</v>
      </c>
      <c r="S43">
        <f t="shared" ref="S43" si="193">R43/100000</f>
        <v>1099.4227417256368</v>
      </c>
      <c r="T43">
        <f t="shared" ref="T43" si="194">S43/1000</f>
        <v>1.0994227417256368</v>
      </c>
    </row>
    <row r="44" spans="1:20" x14ac:dyDescent="0.25">
      <c r="A44" s="5">
        <v>44549</v>
      </c>
      <c r="B44">
        <v>3959.93</v>
      </c>
      <c r="C44">
        <v>4032.43</v>
      </c>
      <c r="D44">
        <v>3884</v>
      </c>
      <c r="E44">
        <v>3924.14</v>
      </c>
      <c r="F44">
        <v>306006.32299999997</v>
      </c>
      <c r="G44">
        <v>3924.14</v>
      </c>
      <c r="L44" t="s">
        <v>8</v>
      </c>
      <c r="M44" t="s">
        <v>7</v>
      </c>
      <c r="N44" t="s">
        <v>7</v>
      </c>
      <c r="P44">
        <f t="shared" ref="P44" si="195">IF(C44=D44,0,((E44-D44)-(C44-E44))/(C44-D44))</f>
        <v>-0.4591389880751881</v>
      </c>
      <c r="Q44">
        <f t="shared" ref="Q44" si="196">F44*P44</f>
        <v>-140499.43348682913</v>
      </c>
      <c r="R44">
        <f t="shared" ref="R44" si="197">R45+Q44</f>
        <v>109698443.62397125</v>
      </c>
      <c r="S44">
        <f t="shared" ref="S44" si="198">R44/100000</f>
        <v>1096.9844362397125</v>
      </c>
      <c r="T44">
        <f t="shared" ref="T44" si="199">S44/1000</f>
        <v>1.0969844362397125</v>
      </c>
    </row>
    <row r="45" spans="1:20" x14ac:dyDescent="0.25">
      <c r="A45" s="5">
        <v>44548</v>
      </c>
      <c r="B45">
        <v>3875.43</v>
      </c>
      <c r="C45">
        <v>3996.93</v>
      </c>
      <c r="D45">
        <v>3767.01</v>
      </c>
      <c r="E45">
        <v>3959.93</v>
      </c>
      <c r="F45">
        <v>339593.25429999997</v>
      </c>
      <c r="G45">
        <v>3959.93</v>
      </c>
      <c r="L45" t="s">
        <v>8</v>
      </c>
      <c r="M45" t="s">
        <v>7</v>
      </c>
      <c r="N45" t="s">
        <v>7</v>
      </c>
      <c r="P45">
        <f t="shared" ref="P45" si="200">IF(C45=D45,0,((E45-D45)-(C45-E45))/(C45-D45))</f>
        <v>0.67814892136395211</v>
      </c>
      <c r="Q45">
        <f t="shared" ref="Q45" si="201">F45*P45</f>
        <v>230294.79910601926</v>
      </c>
      <c r="R45">
        <f t="shared" ref="R45" si="202">R46+Q45</f>
        <v>109838943.05745809</v>
      </c>
      <c r="S45">
        <f t="shared" ref="S45" si="203">R45/100000</f>
        <v>1098.389430574581</v>
      </c>
      <c r="T45">
        <f t="shared" ref="T45" si="204">S45/1000</f>
        <v>1.0983894305745809</v>
      </c>
    </row>
    <row r="46" spans="1:20" x14ac:dyDescent="0.25">
      <c r="A46" s="5">
        <v>44547</v>
      </c>
      <c r="B46">
        <v>3959.11</v>
      </c>
      <c r="C46">
        <v>3994.1</v>
      </c>
      <c r="D46">
        <v>3700</v>
      </c>
      <c r="E46">
        <v>3875.42</v>
      </c>
      <c r="F46">
        <v>463370.92249999999</v>
      </c>
      <c r="G46">
        <v>3875.42</v>
      </c>
      <c r="L46" t="s">
        <v>7</v>
      </c>
      <c r="M46" t="s">
        <v>7</v>
      </c>
      <c r="N46" t="s">
        <v>7</v>
      </c>
      <c r="P46">
        <f t="shared" ref="P46" si="205">IF(C46=D46,0,((E46-D46)-(C46-E46))/(C46-D46))</f>
        <v>0.19292757565454013</v>
      </c>
      <c r="Q46">
        <f t="shared" ref="Q46" si="206">F46*P46</f>
        <v>89397.028706732803</v>
      </c>
      <c r="R46">
        <f t="shared" ref="R46" si="207">R47+Q46</f>
        <v>109608648.25835207</v>
      </c>
      <c r="S46">
        <f t="shared" ref="S46" si="208">R46/100000</f>
        <v>1096.0864825835208</v>
      </c>
      <c r="T46">
        <f t="shared" ref="T46" si="209">S46/1000</f>
        <v>1.0960864825835208</v>
      </c>
    </row>
    <row r="47" spans="1:20" x14ac:dyDescent="0.25">
      <c r="A47" s="5">
        <v>44546</v>
      </c>
      <c r="B47">
        <v>4019.54</v>
      </c>
      <c r="C47">
        <v>4113.43</v>
      </c>
      <c r="D47">
        <v>3942.11</v>
      </c>
      <c r="E47">
        <v>3958.11</v>
      </c>
      <c r="F47">
        <v>368780.03100000002</v>
      </c>
      <c r="G47">
        <v>3958.11</v>
      </c>
      <c r="L47" t="s">
        <v>8</v>
      </c>
      <c r="M47" t="s">
        <v>7</v>
      </c>
      <c r="N47" t="s">
        <v>7</v>
      </c>
      <c r="P47">
        <f t="shared" ref="P47" si="210">IF(C47=D47,0,((E47-D47)-(C47-E47))/(C47-D47))</f>
        <v>-0.8132150361895869</v>
      </c>
      <c r="Q47">
        <f t="shared" ref="Q47" si="211">F47*P47</f>
        <v>-299897.46625566197</v>
      </c>
      <c r="R47">
        <f t="shared" ref="R47" si="212">R48+Q47</f>
        <v>109519251.22964534</v>
      </c>
      <c r="S47">
        <f t="shared" ref="S47" si="213">R47/100000</f>
        <v>1095.1925122964535</v>
      </c>
      <c r="T47">
        <f t="shared" ref="T47" si="214">S47/1000</f>
        <v>1.0951925122964534</v>
      </c>
    </row>
    <row r="48" spans="1:20" x14ac:dyDescent="0.25">
      <c r="A48" s="5">
        <v>44545</v>
      </c>
      <c r="B48">
        <v>3858.99</v>
      </c>
      <c r="C48">
        <v>4092.22</v>
      </c>
      <c r="D48">
        <v>3643.73</v>
      </c>
      <c r="E48">
        <v>4019.08</v>
      </c>
      <c r="F48">
        <v>542068.05729999999</v>
      </c>
      <c r="G48">
        <v>4019.08</v>
      </c>
      <c r="L48" t="s">
        <v>8</v>
      </c>
      <c r="M48" t="s">
        <v>7</v>
      </c>
      <c r="N48" t="s">
        <v>7</v>
      </c>
      <c r="P48">
        <f t="shared" ref="P48" si="215">IF(C48=D48,0,((E48-D48)-(C48-E48))/(C48-D48))</f>
        <v>0.67383888158041472</v>
      </c>
      <c r="Q48">
        <f t="shared" ref="Q48" si="216">F48*P48</f>
        <v>365266.53347150015</v>
      </c>
      <c r="R48">
        <f t="shared" ref="R48" si="217">R49+Q48</f>
        <v>109819148.69590101</v>
      </c>
      <c r="S48">
        <f t="shared" ref="S48" si="218">R48/100000</f>
        <v>1098.19148695901</v>
      </c>
      <c r="T48">
        <f t="shared" ref="T48" si="219">S48/1000</f>
        <v>1.0981914869590101</v>
      </c>
    </row>
    <row r="49" spans="1:20" x14ac:dyDescent="0.25">
      <c r="A49" s="5">
        <v>44544</v>
      </c>
      <c r="B49">
        <v>3781.92</v>
      </c>
      <c r="C49">
        <v>3882.74</v>
      </c>
      <c r="D49">
        <v>3685</v>
      </c>
      <c r="E49">
        <v>3858.99</v>
      </c>
      <c r="F49">
        <v>395145.74619999999</v>
      </c>
      <c r="G49">
        <v>3858.99</v>
      </c>
      <c r="L49" t="s">
        <v>7</v>
      </c>
      <c r="M49" t="s">
        <v>7</v>
      </c>
      <c r="N49" t="s">
        <v>7</v>
      </c>
      <c r="P49">
        <f t="shared" ref="P49" si="220">IF(C49=D49,0,((E49-D49)-(C49-E49))/(C49-D49))</f>
        <v>0.75978557702032945</v>
      </c>
      <c r="Q49">
        <f t="shared" ref="Q49" si="221">F49*P49</f>
        <v>300226.03878369567</v>
      </c>
      <c r="R49">
        <f t="shared" ref="R49" si="222">R50+Q49</f>
        <v>109453882.16242951</v>
      </c>
      <c r="S49">
        <f t="shared" ref="S49" si="223">R49/100000</f>
        <v>1094.5388216242952</v>
      </c>
      <c r="T49">
        <f t="shared" ref="T49" si="224">S49/1000</f>
        <v>1.0945388216242953</v>
      </c>
    </row>
    <row r="50" spans="1:20" x14ac:dyDescent="0.25">
      <c r="A50" s="5">
        <v>44543</v>
      </c>
      <c r="B50">
        <v>4130</v>
      </c>
      <c r="C50">
        <v>4142.75</v>
      </c>
      <c r="D50">
        <v>3671.45</v>
      </c>
      <c r="E50">
        <v>3781.93</v>
      </c>
      <c r="F50">
        <v>533467.23069999996</v>
      </c>
      <c r="G50">
        <v>3781.93</v>
      </c>
      <c r="L50" t="s">
        <v>7</v>
      </c>
      <c r="M50" t="s">
        <v>7</v>
      </c>
      <c r="N50" t="s">
        <v>7</v>
      </c>
      <c r="P50">
        <f t="shared" ref="P50" si="225">IF(C50=D50,0,((E50-D50)-(C50-E50))/(C50-D50))</f>
        <v>-0.53116910672607687</v>
      </c>
      <c r="Q50">
        <f t="shared" ref="Q50" si="226">F50*P50</f>
        <v>-283361.31239855295</v>
      </c>
      <c r="R50">
        <f t="shared" ref="R50" si="227">R51+Q50</f>
        <v>109153656.12364581</v>
      </c>
      <c r="S50">
        <f t="shared" ref="S50" si="228">R50/100000</f>
        <v>1091.5365612364581</v>
      </c>
      <c r="T50">
        <f t="shared" ref="T50" si="229">S50/1000</f>
        <v>1.091536561236458</v>
      </c>
    </row>
    <row r="51" spans="1:20" x14ac:dyDescent="0.25">
      <c r="A51" s="5">
        <v>44542</v>
      </c>
      <c r="B51">
        <v>4089.68</v>
      </c>
      <c r="C51">
        <v>4173.63</v>
      </c>
      <c r="D51">
        <v>3986.25</v>
      </c>
      <c r="E51">
        <v>4130</v>
      </c>
      <c r="F51">
        <v>260535.51569999999</v>
      </c>
      <c r="G51">
        <v>4130</v>
      </c>
      <c r="L51" t="s">
        <v>8</v>
      </c>
      <c r="M51" t="s">
        <v>8</v>
      </c>
      <c r="N51" t="s">
        <v>7</v>
      </c>
      <c r="P51">
        <f t="shared" ref="P51" si="230">IF(C51=D51,0,((E51-D51)-(C51-E51))/(C51-D51))</f>
        <v>0.53431529512221065</v>
      </c>
      <c r="Q51">
        <f t="shared" ref="Q51" si="231">F51*P51</f>
        <v>139208.11096106283</v>
      </c>
      <c r="R51">
        <f t="shared" ref="R51" si="232">R52+Q51</f>
        <v>109437017.43604437</v>
      </c>
      <c r="S51">
        <f t="shared" ref="S51" si="233">R51/100000</f>
        <v>1094.3701743604436</v>
      </c>
      <c r="T51">
        <f t="shared" ref="T51" si="234">S51/1000</f>
        <v>1.0943701743604435</v>
      </c>
    </row>
    <row r="52" spans="1:20" x14ac:dyDescent="0.25">
      <c r="A52" s="5">
        <v>44541</v>
      </c>
      <c r="B52">
        <v>3898.31</v>
      </c>
      <c r="C52">
        <v>3954.05</v>
      </c>
      <c r="D52">
        <v>3828.22</v>
      </c>
      <c r="E52">
        <v>3942.91</v>
      </c>
      <c r="F52">
        <v>51188.123299999999</v>
      </c>
      <c r="G52">
        <v>3942.91</v>
      </c>
      <c r="L52" t="s">
        <v>7</v>
      </c>
      <c r="M52" t="s">
        <v>8</v>
      </c>
      <c r="N52" t="s">
        <v>7</v>
      </c>
      <c r="P52">
        <f t="shared" ref="P52" si="235">IF(C52=D52,0,((E52-D52)-(C52-E52))/(C52-D52))</f>
        <v>0.8229357069061386</v>
      </c>
      <c r="Q52">
        <f t="shared" ref="Q52" si="236">F52*P52</f>
        <v>42124.534433084082</v>
      </c>
      <c r="R52">
        <f t="shared" ref="R52" si="237">R53+Q52</f>
        <v>109297809.3250833</v>
      </c>
      <c r="S52">
        <f t="shared" ref="S52" si="238">R52/100000</f>
        <v>1092.9780932508329</v>
      </c>
      <c r="T52">
        <f t="shared" ref="T52" si="239">S52/1000</f>
        <v>1.0929780932508328</v>
      </c>
    </row>
    <row r="53" spans="1:20" x14ac:dyDescent="0.25">
      <c r="A53" s="5">
        <v>44540</v>
      </c>
      <c r="B53">
        <v>4105.6400000000003</v>
      </c>
      <c r="C53">
        <v>4231.08</v>
      </c>
      <c r="D53">
        <v>3887.37</v>
      </c>
      <c r="E53">
        <v>3897.94</v>
      </c>
      <c r="F53">
        <v>563236.56709999999</v>
      </c>
      <c r="G53">
        <v>3897.94</v>
      </c>
      <c r="L53" t="s">
        <v>7</v>
      </c>
      <c r="M53" t="s">
        <v>8</v>
      </c>
      <c r="N53" t="s">
        <v>7</v>
      </c>
      <c r="P53">
        <f t="shared" ref="P53" si="240">IF(C53=D53,0,((E53-D53)-(C53-E53))/(C53-D53))</f>
        <v>-0.93849466119693836</v>
      </c>
      <c r="Q53">
        <f t="shared" ref="Q53" si="241">F53*P53</f>
        <v>-528594.51121424115</v>
      </c>
      <c r="R53">
        <f t="shared" ref="R53" si="242">R54+Q53</f>
        <v>109255684.79065022</v>
      </c>
      <c r="S53">
        <f t="shared" ref="S53" si="243">R53/100000</f>
        <v>1092.5568479065023</v>
      </c>
      <c r="T53">
        <f t="shared" ref="T53" si="244">S53/1000</f>
        <v>1.0925568479065022</v>
      </c>
    </row>
    <row r="54" spans="1:20" x14ac:dyDescent="0.25">
      <c r="A54" s="5">
        <v>44539</v>
      </c>
      <c r="B54">
        <v>4436.91</v>
      </c>
      <c r="C54">
        <v>4488</v>
      </c>
      <c r="D54">
        <v>4076.16</v>
      </c>
      <c r="E54">
        <v>4105.6400000000003</v>
      </c>
      <c r="F54">
        <v>462173.71100000001</v>
      </c>
      <c r="G54">
        <v>4105.6400000000003</v>
      </c>
      <c r="L54" t="s">
        <v>7</v>
      </c>
      <c r="M54" t="s">
        <v>8</v>
      </c>
      <c r="N54" t="s">
        <v>7</v>
      </c>
      <c r="P54">
        <f t="shared" ref="P54" si="245">IF(C54=D54,0,((E54-D54)-(C54-E54))/(C54-D54))</f>
        <v>-0.85683760683760457</v>
      </c>
      <c r="Q54">
        <f t="shared" ref="Q54" si="246">F54*P54</f>
        <v>-396007.81647649471</v>
      </c>
      <c r="R54">
        <f t="shared" ref="R54" si="247">R55+Q54</f>
        <v>109784279.30186446</v>
      </c>
      <c r="S54">
        <f t="shared" ref="S54" si="248">R54/100000</f>
        <v>1097.8427930186447</v>
      </c>
      <c r="T54">
        <f t="shared" ref="T54" si="249">S54/1000</f>
        <v>1.0978427930186447</v>
      </c>
    </row>
    <row r="55" spans="1:20" x14ac:dyDescent="0.25">
      <c r="A55" s="5">
        <v>44538</v>
      </c>
      <c r="B55">
        <v>4306.3999999999996</v>
      </c>
      <c r="C55">
        <v>4450.49</v>
      </c>
      <c r="D55">
        <v>4222.95</v>
      </c>
      <c r="E55">
        <v>4436.91</v>
      </c>
      <c r="F55">
        <v>429403.9351</v>
      </c>
      <c r="G55">
        <v>4436.91</v>
      </c>
      <c r="L55" t="s">
        <v>8</v>
      </c>
      <c r="M55" t="s">
        <v>8</v>
      </c>
      <c r="N55" t="s">
        <v>7</v>
      </c>
      <c r="P55">
        <f t="shared" ref="P55" si="250">IF(C55=D55,0,((E55-D55)-(C55-E55))/(C55-D55))</f>
        <v>0.88063637162696728</v>
      </c>
      <c r="Q55">
        <f t="shared" ref="Q55" si="251">F55*P55</f>
        <v>378148.72336880572</v>
      </c>
      <c r="R55">
        <f t="shared" ref="R55" si="252">R56+Q55</f>
        <v>110180287.11834095</v>
      </c>
      <c r="S55">
        <f t="shared" ref="S55" si="253">R55/100000</f>
        <v>1101.8028711834095</v>
      </c>
      <c r="T55">
        <f t="shared" ref="T55" si="254">S55/1000</f>
        <v>1.1018028711834096</v>
      </c>
    </row>
    <row r="56" spans="1:20" x14ac:dyDescent="0.25">
      <c r="A56" s="5">
        <v>44537</v>
      </c>
      <c r="B56">
        <v>4347.57</v>
      </c>
      <c r="C56">
        <v>4425</v>
      </c>
      <c r="D56">
        <v>4255.92</v>
      </c>
      <c r="E56">
        <v>4306.3999999999996</v>
      </c>
      <c r="F56">
        <v>420749.75099999999</v>
      </c>
      <c r="G56">
        <v>4306.3999999999996</v>
      </c>
      <c r="L56" t="s">
        <v>8</v>
      </c>
      <c r="M56" t="s">
        <v>8</v>
      </c>
      <c r="N56" t="s">
        <v>7</v>
      </c>
      <c r="P56">
        <f t="shared" ref="P56" si="255">IF(C56=D56,0,((E56-D56)-(C56-E56))/(C56-D56))</f>
        <v>-0.40288620771233041</v>
      </c>
      <c r="Q56">
        <f t="shared" ref="Q56" si="256">F56*P56</f>
        <v>-169514.27157629729</v>
      </c>
      <c r="R56">
        <f t="shared" ref="R56" si="257">R57+Q56</f>
        <v>109802138.39497215</v>
      </c>
      <c r="S56">
        <f t="shared" ref="S56" si="258">R56/100000</f>
        <v>1098.0213839497214</v>
      </c>
      <c r="T56">
        <f t="shared" ref="T56" si="259">S56/1000</f>
        <v>1.0980213839497215</v>
      </c>
    </row>
    <row r="57" spans="1:20" x14ac:dyDescent="0.25">
      <c r="A57" s="5">
        <v>44536</v>
      </c>
      <c r="B57">
        <v>4196.4399999999996</v>
      </c>
      <c r="C57">
        <v>4376.1499999999996</v>
      </c>
      <c r="D57">
        <v>3921</v>
      </c>
      <c r="E57">
        <v>4347.59</v>
      </c>
      <c r="F57">
        <v>726742.96380000003</v>
      </c>
      <c r="G57">
        <v>4347.59</v>
      </c>
      <c r="L57" t="s">
        <v>8</v>
      </c>
      <c r="M57" t="s">
        <v>8</v>
      </c>
      <c r="N57" t="s">
        <v>7</v>
      </c>
      <c r="P57">
        <f t="shared" ref="P57" si="260">IF(C57=D57,0,((E57-D57)-(C57-E57))/(C57-D57))</f>
        <v>0.87450291112820167</v>
      </c>
      <c r="Q57">
        <f t="shared" ref="Q57" si="261">F57*P57</f>
        <v>635538.83748503728</v>
      </c>
      <c r="R57">
        <f t="shared" ref="R57" si="262">R58+Q57</f>
        <v>109971652.66654845</v>
      </c>
      <c r="S57">
        <f t="shared" ref="S57" si="263">R57/100000</f>
        <v>1099.7165266654845</v>
      </c>
      <c r="T57">
        <f t="shared" ref="T57" si="264">S57/1000</f>
        <v>1.0997165266654845</v>
      </c>
    </row>
    <row r="58" spans="1:20" x14ac:dyDescent="0.25">
      <c r="A58" s="5">
        <v>44535</v>
      </c>
      <c r="B58">
        <v>4117.25</v>
      </c>
      <c r="C58">
        <v>4248.1899999999996</v>
      </c>
      <c r="D58">
        <v>4031.39</v>
      </c>
      <c r="E58">
        <v>4196.4399999999996</v>
      </c>
      <c r="F58">
        <v>536325.44129999995</v>
      </c>
      <c r="G58">
        <v>4196.4399999999996</v>
      </c>
      <c r="L58" t="s">
        <v>8</v>
      </c>
      <c r="M58" t="s">
        <v>8</v>
      </c>
      <c r="N58" t="s">
        <v>7</v>
      </c>
      <c r="P58">
        <f t="shared" ref="P58" si="265">IF(C58=D58,0,((E58-D58)-(C58-E58))/(C58-D58))</f>
        <v>0.52260147601475959</v>
      </c>
      <c r="Q58">
        <f t="shared" ref="Q58" si="266">F58*P58</f>
        <v>280284.46724764729</v>
      </c>
      <c r="R58">
        <f t="shared" ref="R58" si="267">R59+Q58</f>
        <v>109336113.82906342</v>
      </c>
      <c r="S58">
        <f t="shared" ref="S58" si="268">R58/100000</f>
        <v>1093.3611382906342</v>
      </c>
      <c r="T58">
        <f t="shared" ref="T58" si="269">S58/1000</f>
        <v>1.0933611382906343</v>
      </c>
    </row>
    <row r="59" spans="1:20" x14ac:dyDescent="0.25">
      <c r="A59" s="5">
        <v>44534</v>
      </c>
      <c r="B59">
        <v>4215.01</v>
      </c>
      <c r="C59">
        <v>4238.59</v>
      </c>
      <c r="D59">
        <v>3503.68</v>
      </c>
      <c r="E59">
        <v>4117.25</v>
      </c>
      <c r="F59">
        <v>1111773.1451000001</v>
      </c>
      <c r="G59">
        <v>4117.25</v>
      </c>
      <c r="L59" t="s">
        <v>7</v>
      </c>
      <c r="M59" t="s">
        <v>7</v>
      </c>
      <c r="N59" t="s">
        <v>7</v>
      </c>
      <c r="P59">
        <f t="shared" ref="P59" si="270">IF(C59=D59,0,((E59-D59)-(C59-E59))/(C59-D59))</f>
        <v>0.66978269447959593</v>
      </c>
      <c r="Q59">
        <f t="shared" ref="Q59" si="271">F59*P59</f>
        <v>744646.41277513281</v>
      </c>
      <c r="R59">
        <f t="shared" ref="R59" si="272">R60+Q59</f>
        <v>109055829.36181577</v>
      </c>
      <c r="S59">
        <f t="shared" ref="S59" si="273">R59/100000</f>
        <v>1090.5582936181577</v>
      </c>
      <c r="T59">
        <f t="shared" ref="T59" si="274">S59/1000</f>
        <v>1.0905582936181577</v>
      </c>
    </row>
    <row r="60" spans="1:20" x14ac:dyDescent="0.25">
      <c r="A60" s="5">
        <v>44533</v>
      </c>
      <c r="B60">
        <v>4511.3500000000004</v>
      </c>
      <c r="C60">
        <v>4654.88</v>
      </c>
      <c r="D60">
        <v>4032.5</v>
      </c>
      <c r="E60">
        <v>4215.7299999999996</v>
      </c>
      <c r="F60">
        <v>677974.86589999998</v>
      </c>
      <c r="G60">
        <v>4215.7299999999996</v>
      </c>
      <c r="L60" t="s">
        <v>7</v>
      </c>
      <c r="M60" t="s">
        <v>8</v>
      </c>
      <c r="N60" t="s">
        <v>8</v>
      </c>
      <c r="P60">
        <f t="shared" ref="P60" si="275">IF(C60=D60,0,((E60-D60)-(C60-E60))/(C60-D60))</f>
        <v>-0.41119573251068631</v>
      </c>
      <c r="Q60">
        <f t="shared" ref="Q60" si="276">F60*P60</f>
        <v>-278780.37160758482</v>
      </c>
      <c r="R60">
        <f t="shared" ref="R60" si="277">R61+Q60</f>
        <v>108311182.94904064</v>
      </c>
      <c r="S60">
        <f t="shared" ref="S60" si="278">R60/100000</f>
        <v>1083.1118294904063</v>
      </c>
      <c r="T60">
        <f t="shared" ref="T60" si="279">S60/1000</f>
        <v>1.0831118294904063</v>
      </c>
    </row>
    <row r="61" spans="1:20" x14ac:dyDescent="0.25">
      <c r="A61" s="5">
        <v>44532</v>
      </c>
      <c r="B61">
        <v>4582.95</v>
      </c>
      <c r="C61">
        <v>4634.83</v>
      </c>
      <c r="D61">
        <v>4433</v>
      </c>
      <c r="E61">
        <v>4511.21</v>
      </c>
      <c r="F61">
        <v>451861.95449999999</v>
      </c>
      <c r="G61">
        <v>4511.21</v>
      </c>
      <c r="L61" t="s">
        <v>8</v>
      </c>
      <c r="M61" t="s">
        <v>8</v>
      </c>
      <c r="N61" t="s">
        <v>8</v>
      </c>
      <c r="P61">
        <f t="shared" ref="P61" si="280">IF(C61=D61,0,((E61-D61)-(C61-E61))/(C61-D61))</f>
        <v>-0.22499132933656973</v>
      </c>
      <c r="Q61">
        <f t="shared" ref="Q61" si="281">F61*P61</f>
        <v>-101665.02181957559</v>
      </c>
      <c r="R61">
        <f t="shared" ref="R61" si="282">R62+Q61</f>
        <v>108589963.32064822</v>
      </c>
      <c r="S61">
        <f t="shared" ref="S61" si="283">R61/100000</f>
        <v>1085.8996332064821</v>
      </c>
      <c r="T61">
        <f t="shared" ref="T61" si="284">S61/1000</f>
        <v>1.0858996332064821</v>
      </c>
    </row>
    <row r="62" spans="1:20" x14ac:dyDescent="0.25">
      <c r="A62" s="5">
        <v>44531</v>
      </c>
      <c r="B62">
        <v>4630.25</v>
      </c>
      <c r="C62">
        <v>4778.75</v>
      </c>
      <c r="D62">
        <v>4523.99</v>
      </c>
      <c r="E62">
        <v>4582.95</v>
      </c>
      <c r="F62">
        <v>508198.31050000002</v>
      </c>
      <c r="G62">
        <v>4582.95</v>
      </c>
      <c r="L62" t="s">
        <v>8</v>
      </c>
      <c r="M62" t="s">
        <v>8</v>
      </c>
      <c r="N62" t="s">
        <v>8</v>
      </c>
      <c r="P62">
        <f t="shared" ref="P62" si="285">IF(C62=D62,0,((E62-D62)-(C62-E62))/(C62-D62))</f>
        <v>-0.53713298791019004</v>
      </c>
      <c r="Q62">
        <f t="shared" ref="Q62" si="286">F62*P62</f>
        <v>-272970.07696977549</v>
      </c>
      <c r="R62">
        <f t="shared" ref="R62" si="287">R63+Q62</f>
        <v>108691628.3424678</v>
      </c>
      <c r="S62">
        <f t="shared" ref="S62" si="288">R62/100000</f>
        <v>1086.9162834246779</v>
      </c>
      <c r="T62">
        <f t="shared" ref="T62" si="289">S62/1000</f>
        <v>1.0869162834246779</v>
      </c>
    </row>
    <row r="63" spans="1:20" x14ac:dyDescent="0.25">
      <c r="A63" s="5">
        <v>44530</v>
      </c>
      <c r="B63">
        <v>4444.54</v>
      </c>
      <c r="C63">
        <v>4753</v>
      </c>
      <c r="D63">
        <v>4346.3599999999997</v>
      </c>
      <c r="E63">
        <v>4630.26</v>
      </c>
      <c r="F63">
        <v>743024.46620000002</v>
      </c>
      <c r="G63">
        <v>4630.26</v>
      </c>
      <c r="L63" t="s">
        <v>8</v>
      </c>
      <c r="M63" t="s">
        <v>8</v>
      </c>
      <c r="N63" t="s">
        <v>8</v>
      </c>
      <c r="P63">
        <f t="shared" ref="P63" si="290">IF(C63=D63,0,((E63-D63)-(C63-E63))/(C63-D63))</f>
        <v>0.39632107023411528</v>
      </c>
      <c r="Q63">
        <f t="shared" ref="Q63" si="291">F63*P63</f>
        <v>294476.25165451621</v>
      </c>
      <c r="R63">
        <f t="shared" ref="R63" si="292">R64+Q63</f>
        <v>108964598.41943757</v>
      </c>
      <c r="S63">
        <f t="shared" ref="S63" si="293">R63/100000</f>
        <v>1089.6459841943756</v>
      </c>
      <c r="T63">
        <f t="shared" ref="T63" si="294">S63/1000</f>
        <v>1.0896459841943755</v>
      </c>
    </row>
    <row r="64" spans="1:20" x14ac:dyDescent="0.25">
      <c r="A64" s="5">
        <v>44529</v>
      </c>
      <c r="B64">
        <v>4294.7700000000004</v>
      </c>
      <c r="C64">
        <v>4458.92</v>
      </c>
      <c r="D64">
        <v>4276.8900000000003</v>
      </c>
      <c r="E64">
        <v>4444.53</v>
      </c>
      <c r="F64">
        <v>406881.22840000002</v>
      </c>
      <c r="G64">
        <v>4444.53</v>
      </c>
      <c r="L64" t="s">
        <v>8</v>
      </c>
      <c r="M64" t="s">
        <v>7</v>
      </c>
      <c r="N64" t="s">
        <v>8</v>
      </c>
      <c r="P64">
        <f t="shared" ref="P64" si="295">IF(C64=D64,0,((E64-D64)-(C64-E64))/(C64-D64))</f>
        <v>0.84189419326484261</v>
      </c>
      <c r="Q64">
        <f t="shared" ref="Q64" si="296">F64*P64</f>
        <v>342550.94353842619</v>
      </c>
      <c r="R64">
        <f t="shared" ref="R64" si="297">R65+Q64</f>
        <v>108670122.16778305</v>
      </c>
      <c r="S64">
        <f t="shared" ref="S64" si="298">R64/100000</f>
        <v>1086.7012216778305</v>
      </c>
      <c r="T64">
        <f t="shared" ref="T64" si="299">S64/1000</f>
        <v>1.0867012216778305</v>
      </c>
    </row>
    <row r="65" spans="1:20" x14ac:dyDescent="0.25">
      <c r="A65" s="5">
        <v>44528</v>
      </c>
      <c r="B65">
        <v>4095.29</v>
      </c>
      <c r="C65">
        <v>4298.51</v>
      </c>
      <c r="D65">
        <v>3964</v>
      </c>
      <c r="E65">
        <v>4294.78</v>
      </c>
      <c r="F65">
        <v>346471.35509999999</v>
      </c>
      <c r="G65">
        <v>4294.78</v>
      </c>
      <c r="L65" t="s">
        <v>8</v>
      </c>
      <c r="M65" t="s">
        <v>7</v>
      </c>
      <c r="N65" t="s">
        <v>8</v>
      </c>
      <c r="P65">
        <f t="shared" ref="P65" si="300">IF(C65=D65,0,((E65-D65)-(C65-E65))/(C65-D65))</f>
        <v>0.97769872350602094</v>
      </c>
      <c r="Q65">
        <f t="shared" ref="Q65" si="301">F65*P65</f>
        <v>338744.60161267128</v>
      </c>
      <c r="R65">
        <f t="shared" ref="R65" si="302">R66+Q65</f>
        <v>108327571.22424462</v>
      </c>
      <c r="S65">
        <f t="shared" ref="S65" si="303">R65/100000</f>
        <v>1083.2757122424462</v>
      </c>
      <c r="T65">
        <f t="shared" ref="T65" si="304">S65/1000</f>
        <v>1.0832757122424461</v>
      </c>
    </row>
    <row r="66" spans="1:20" x14ac:dyDescent="0.25">
      <c r="A66" s="5">
        <v>44527</v>
      </c>
      <c r="B66">
        <v>4041.2</v>
      </c>
      <c r="C66">
        <v>4183.66</v>
      </c>
      <c r="D66">
        <v>4028.34</v>
      </c>
      <c r="E66">
        <v>4095.29</v>
      </c>
      <c r="F66">
        <v>275326.52020000003</v>
      </c>
      <c r="G66">
        <v>4095.29</v>
      </c>
      <c r="L66" t="s">
        <v>8</v>
      </c>
      <c r="M66" t="s">
        <v>7</v>
      </c>
      <c r="N66" t="s">
        <v>8</v>
      </c>
      <c r="P66">
        <f t="shared" ref="P66" si="305">IF(C66=D66,0,((E66-D66)-(C66-E66))/(C66-D66))</f>
        <v>-0.1379088333762562</v>
      </c>
      <c r="Q66">
        <f t="shared" ref="Q66" si="306">F66*P66</f>
        <v>-37969.959198326243</v>
      </c>
      <c r="R66">
        <f t="shared" ref="R66" si="307">R67+Q66</f>
        <v>107988826.62263195</v>
      </c>
      <c r="S66">
        <f t="shared" ref="S66" si="308">R66/100000</f>
        <v>1079.8882662263195</v>
      </c>
      <c r="T66">
        <f t="shared" ref="T66" si="309">S66/1000</f>
        <v>1.0798882662263194</v>
      </c>
    </row>
    <row r="67" spans="1:20" x14ac:dyDescent="0.25">
      <c r="A67" s="5">
        <v>44526</v>
      </c>
      <c r="B67">
        <v>4524.4799999999996</v>
      </c>
      <c r="C67">
        <v>4551</v>
      </c>
      <c r="D67">
        <v>3913</v>
      </c>
      <c r="E67">
        <v>4041.2</v>
      </c>
      <c r="F67">
        <v>720245.16119999997</v>
      </c>
      <c r="G67">
        <v>4041.2</v>
      </c>
      <c r="L67" t="s">
        <v>7</v>
      </c>
      <c r="M67" t="s">
        <v>7</v>
      </c>
      <c r="N67" t="s">
        <v>8</v>
      </c>
      <c r="P67">
        <f t="shared" ref="P67" si="310">IF(C67=D67,0,((E67-D67)-(C67-E67))/(C67-D67))</f>
        <v>-0.59811912225705388</v>
      </c>
      <c r="Q67">
        <f t="shared" ref="Q67" si="311">F67*P67</f>
        <v>-430792.40362683428</v>
      </c>
      <c r="R67">
        <f t="shared" ref="R67" si="312">R68+Q67</f>
        <v>108026796.58183028</v>
      </c>
      <c r="S67">
        <f t="shared" ref="S67" si="313">R67/100000</f>
        <v>1080.2679658183029</v>
      </c>
      <c r="T67">
        <f t="shared" ref="T67" si="314">S67/1000</f>
        <v>1.0802679658183028</v>
      </c>
    </row>
    <row r="68" spans="1:20" x14ac:dyDescent="0.25">
      <c r="A68" s="5">
        <v>44525</v>
      </c>
      <c r="B68">
        <v>4270.1000000000004</v>
      </c>
      <c r="C68">
        <v>4550</v>
      </c>
      <c r="D68">
        <v>4248.2700000000004</v>
      </c>
      <c r="E68">
        <v>4524.8500000000004</v>
      </c>
      <c r="F68">
        <v>445868.24339999998</v>
      </c>
      <c r="G68">
        <v>4524.8500000000004</v>
      </c>
      <c r="L68" t="s">
        <v>8</v>
      </c>
      <c r="M68" t="s">
        <v>7</v>
      </c>
      <c r="N68" t="s">
        <v>8</v>
      </c>
      <c r="P68">
        <f t="shared" ref="P68" si="315">IF(C68=D68,0,((E68-D68)-(C68-E68))/(C68-D68))</f>
        <v>0.83329466741789238</v>
      </c>
      <c r="Q68">
        <f t="shared" ref="Q68" si="316">F68*P68</f>
        <v>371539.62959620287</v>
      </c>
      <c r="R68">
        <f t="shared" ref="R68" si="317">R69+Q68</f>
        <v>108457588.98545711</v>
      </c>
      <c r="S68">
        <f t="shared" ref="S68" si="318">R68/100000</f>
        <v>1084.5758898545712</v>
      </c>
      <c r="T68">
        <f t="shared" ref="T68" si="319">S68/1000</f>
        <v>1.0845758898545712</v>
      </c>
    </row>
    <row r="69" spans="1:20" x14ac:dyDescent="0.25">
      <c r="A69" s="5">
        <v>44524</v>
      </c>
      <c r="B69">
        <v>4339.45</v>
      </c>
      <c r="C69">
        <v>4373.9399999999996</v>
      </c>
      <c r="D69">
        <v>4216.75</v>
      </c>
      <c r="E69">
        <v>4275.18</v>
      </c>
      <c r="F69">
        <v>159080.98560000001</v>
      </c>
      <c r="G69">
        <v>4275.18</v>
      </c>
      <c r="L69" t="s">
        <v>8</v>
      </c>
      <c r="M69" t="s">
        <v>7</v>
      </c>
      <c r="N69" t="s">
        <v>8</v>
      </c>
      <c r="P69">
        <f t="shared" ref="P69" si="320">IF(C69=D69,0,((E69-D69)-(C69-E69))/(C69-D69))</f>
        <v>-0.2565684840002489</v>
      </c>
      <c r="Q69">
        <f t="shared" ref="Q69" si="321">F69*P69</f>
        <v>-40815.16730865743</v>
      </c>
      <c r="R69">
        <f t="shared" ref="R69" si="322">R70+Q69</f>
        <v>108086049.3558609</v>
      </c>
      <c r="S69">
        <f t="shared" ref="S69" si="323">R69/100000</f>
        <v>1080.8604935586091</v>
      </c>
      <c r="T69">
        <f t="shared" ref="T69" si="324">S69/1000</f>
        <v>1.080860493558609</v>
      </c>
    </row>
    <row r="70" spans="1:20" x14ac:dyDescent="0.25">
      <c r="A70" s="5">
        <v>44523</v>
      </c>
      <c r="B70">
        <v>4086.28</v>
      </c>
      <c r="C70">
        <v>4385.59</v>
      </c>
      <c r="D70">
        <v>4059.62</v>
      </c>
      <c r="E70">
        <v>4339.4399999999996</v>
      </c>
      <c r="F70">
        <v>502811.79019999999</v>
      </c>
      <c r="G70">
        <v>4339.4399999999996</v>
      </c>
      <c r="L70" t="s">
        <v>8</v>
      </c>
      <c r="M70" t="s">
        <v>7</v>
      </c>
      <c r="N70" t="s">
        <v>8</v>
      </c>
      <c r="P70">
        <f t="shared" ref="P70" si="325">IF(C70=D70,0,((E70-D70)-(C70-E70))/(C70-D70))</f>
        <v>0.71684510844555938</v>
      </c>
      <c r="Q70">
        <f t="shared" ref="Q70" si="326">F70*P70</f>
        <v>360438.17227362486</v>
      </c>
      <c r="R70">
        <f t="shared" ref="R70" si="327">R71+Q70</f>
        <v>108126864.52316956</v>
      </c>
      <c r="S70">
        <f t="shared" ref="S70" si="328">R70/100000</f>
        <v>1081.2686452316957</v>
      </c>
      <c r="T70">
        <f t="shared" ref="T70" si="329">S70/1000</f>
        <v>1.0812686452316957</v>
      </c>
    </row>
    <row r="71" spans="1:20" x14ac:dyDescent="0.25">
      <c r="A71" s="5">
        <v>44522</v>
      </c>
      <c r="B71">
        <v>4259.7</v>
      </c>
      <c r="C71">
        <v>4320</v>
      </c>
      <c r="D71">
        <v>4022.74</v>
      </c>
      <c r="E71">
        <v>4085.97</v>
      </c>
      <c r="F71">
        <v>518501.33380000002</v>
      </c>
      <c r="G71">
        <v>4085.97</v>
      </c>
      <c r="L71" t="s">
        <v>7</v>
      </c>
      <c r="M71" t="s">
        <v>7</v>
      </c>
      <c r="N71" t="s">
        <v>8</v>
      </c>
      <c r="P71">
        <f t="shared" ref="P71" si="330">IF(C71=D71,0,((E71-D71)-(C71-E71))/(C71-D71))</f>
        <v>-0.57458117472919346</v>
      </c>
      <c r="Q71">
        <f t="shared" ref="Q71" si="331">F71*P71</f>
        <v>-297921.10547345766</v>
      </c>
      <c r="R71">
        <f t="shared" ref="R71" si="332">R72+Q71</f>
        <v>107766426.35089594</v>
      </c>
      <c r="S71">
        <f t="shared" ref="S71" si="333">R71/100000</f>
        <v>1077.6642635089595</v>
      </c>
      <c r="T71">
        <f t="shared" ref="T71" si="334">S71/1000</f>
        <v>1.0776642635089595</v>
      </c>
    </row>
    <row r="72" spans="1:20" x14ac:dyDescent="0.25">
      <c r="A72" s="5">
        <v>44521</v>
      </c>
      <c r="B72">
        <v>4412.17</v>
      </c>
      <c r="C72">
        <v>4451</v>
      </c>
      <c r="D72">
        <v>4242.41</v>
      </c>
      <c r="E72">
        <v>4258.3100000000004</v>
      </c>
      <c r="F72">
        <v>340206.32030000002</v>
      </c>
      <c r="G72">
        <v>4258.3100000000004</v>
      </c>
      <c r="L72" t="s">
        <v>8</v>
      </c>
      <c r="M72" t="s">
        <v>7</v>
      </c>
      <c r="N72" t="s">
        <v>8</v>
      </c>
      <c r="P72">
        <f t="shared" ref="P72" si="335">IF(C72=D72,0,((E72-D72)-(C72-E72))/(C72-D72))</f>
        <v>-0.84754782108441884</v>
      </c>
      <c r="Q72">
        <f t="shared" ref="Q72" si="336">F72*P72</f>
        <v>-288341.12548941292</v>
      </c>
      <c r="R72">
        <f t="shared" ref="R72" si="337">R73+Q72</f>
        <v>108064347.4563694</v>
      </c>
      <c r="S72">
        <f t="shared" ref="S72" si="338">R72/100000</f>
        <v>1080.6434745636941</v>
      </c>
      <c r="T72">
        <f t="shared" ref="T72" si="339">S72/1000</f>
        <v>1.0806434745636941</v>
      </c>
    </row>
    <row r="73" spans="1:20" x14ac:dyDescent="0.25">
      <c r="A73" s="5">
        <v>44520</v>
      </c>
      <c r="B73">
        <v>4294.75</v>
      </c>
      <c r="C73">
        <v>4435.88</v>
      </c>
      <c r="D73">
        <v>4199.8599999999997</v>
      </c>
      <c r="E73">
        <v>4412.17</v>
      </c>
      <c r="F73">
        <v>365584.57799999998</v>
      </c>
      <c r="G73">
        <v>4412.17</v>
      </c>
      <c r="L73" t="s">
        <v>8</v>
      </c>
      <c r="M73" t="s">
        <v>7</v>
      </c>
      <c r="N73" t="s">
        <v>8</v>
      </c>
      <c r="P73">
        <f t="shared" ref="P73" si="340">IF(C73=D73,0,((E73-D73)-(C73-E73))/(C73-D73))</f>
        <v>0.7990848233200577</v>
      </c>
      <c r="Q73">
        <f t="shared" ref="Q73" si="341">F73*P73</f>
        <v>292133.08791966783</v>
      </c>
      <c r="R73">
        <f t="shared" ref="R73" si="342">R74+Q73</f>
        <v>108352688.58185881</v>
      </c>
      <c r="S73">
        <f t="shared" ref="S73" si="343">R73/100000</f>
        <v>1083.5268858185882</v>
      </c>
      <c r="T73">
        <f t="shared" ref="T73" si="344">S73/1000</f>
        <v>1.0835268858185882</v>
      </c>
    </row>
    <row r="74" spans="1:20" x14ac:dyDescent="0.25">
      <c r="A74" s="5">
        <v>44519</v>
      </c>
      <c r="B74">
        <v>3996.9</v>
      </c>
      <c r="C74">
        <v>4308.97</v>
      </c>
      <c r="D74">
        <v>3973.01</v>
      </c>
      <c r="E74">
        <v>4294.76</v>
      </c>
      <c r="F74">
        <v>420045.08970000001</v>
      </c>
      <c r="G74">
        <v>4294.76</v>
      </c>
      <c r="L74" t="s">
        <v>8</v>
      </c>
      <c r="M74" t="s">
        <v>7</v>
      </c>
      <c r="N74" t="s">
        <v>8</v>
      </c>
      <c r="P74">
        <f t="shared" ref="P74" si="345">IF(C74=D74,0,((E74-D74)-(C74-E74))/(C74-D74))</f>
        <v>0.91540659602333585</v>
      </c>
      <c r="Q74">
        <f t="shared" ref="Q74" si="346">F74*P74</f>
        <v>384512.04573859379</v>
      </c>
      <c r="R74">
        <f t="shared" ref="R74" si="347">R75+Q74</f>
        <v>108060555.49393915</v>
      </c>
      <c r="S74">
        <f t="shared" ref="S74" si="348">R74/100000</f>
        <v>1080.6055549393914</v>
      </c>
      <c r="T74">
        <f t="shared" ref="T74" si="349">S74/1000</f>
        <v>1.0806055549393914</v>
      </c>
    </row>
    <row r="75" spans="1:20" x14ac:dyDescent="0.25">
      <c r="A75" s="5">
        <v>44518</v>
      </c>
      <c r="B75">
        <v>4288.07</v>
      </c>
      <c r="C75">
        <v>4344.8100000000004</v>
      </c>
      <c r="D75">
        <v>3956.44</v>
      </c>
      <c r="E75">
        <v>3996.9</v>
      </c>
      <c r="F75">
        <v>576945.18370000005</v>
      </c>
      <c r="G75">
        <v>3996.9</v>
      </c>
      <c r="L75" t="s">
        <v>7</v>
      </c>
      <c r="M75" t="s">
        <v>7</v>
      </c>
      <c r="N75" t="s">
        <v>8</v>
      </c>
      <c r="P75">
        <f t="shared" ref="P75" si="350">IF(C75=D75,0,((E75-D75)-(C75-E75))/(C75-D75))</f>
        <v>-0.79164199088498077</v>
      </c>
      <c r="Q75">
        <f t="shared" ref="Q75" si="351">F75*P75</f>
        <v>-456734.03385576903</v>
      </c>
      <c r="R75">
        <f t="shared" ref="R75" si="352">R76+Q75</f>
        <v>107676043.44820055</v>
      </c>
      <c r="S75">
        <f t="shared" ref="S75" si="353">R75/100000</f>
        <v>1076.7604344820056</v>
      </c>
      <c r="T75">
        <f t="shared" ref="T75" si="354">S75/1000</f>
        <v>1.0767604344820056</v>
      </c>
    </row>
    <row r="76" spans="1:20" x14ac:dyDescent="0.25">
      <c r="A76" s="5">
        <v>44517</v>
      </c>
      <c r="B76">
        <v>4209.59</v>
      </c>
      <c r="C76">
        <v>4299.91</v>
      </c>
      <c r="D76">
        <v>4063.48</v>
      </c>
      <c r="E76">
        <v>4287.8</v>
      </c>
      <c r="F76">
        <v>472852.18420000002</v>
      </c>
      <c r="G76">
        <v>4287.8</v>
      </c>
      <c r="L76" t="s">
        <v>7</v>
      </c>
      <c r="M76" t="s">
        <v>7</v>
      </c>
      <c r="N76" t="s">
        <v>8</v>
      </c>
      <c r="P76">
        <f t="shared" ref="P76" si="355">IF(C76=D76,0,((E76-D76)-(C76-E76))/(C76-D76))</f>
        <v>0.897559531362351</v>
      </c>
      <c r="Q76">
        <f t="shared" ref="Q76" si="356">F76*P76</f>
        <v>424412.98485421611</v>
      </c>
      <c r="R76">
        <f t="shared" ref="R76" si="357">R77+Q76</f>
        <v>108132777.48205632</v>
      </c>
      <c r="S76">
        <f t="shared" ref="S76" si="358">R76/100000</f>
        <v>1081.3277748205633</v>
      </c>
      <c r="T76">
        <f t="shared" ref="T76" si="359">S76/1000</f>
        <v>1.0813277748205632</v>
      </c>
    </row>
    <row r="77" spans="1:20" x14ac:dyDescent="0.25">
      <c r="A77" s="5">
        <v>44516</v>
      </c>
      <c r="B77">
        <v>4563.7700000000004</v>
      </c>
      <c r="C77">
        <v>4563.7700000000004</v>
      </c>
      <c r="D77">
        <v>4103</v>
      </c>
      <c r="E77">
        <v>4209.76</v>
      </c>
      <c r="F77">
        <v>735857.06299999997</v>
      </c>
      <c r="G77">
        <v>4209.76</v>
      </c>
      <c r="L77" t="s">
        <v>7</v>
      </c>
      <c r="M77" t="s">
        <v>7</v>
      </c>
      <c r="N77" t="s">
        <v>8</v>
      </c>
      <c r="P77">
        <f t="shared" ref="P77" si="360">IF(C77=D77,0,((E77-D77)-(C77-E77))/(C77-D77))</f>
        <v>-0.53660177528918929</v>
      </c>
      <c r="Q77">
        <f t="shared" ref="Q77" si="361">F77*P77</f>
        <v>-394862.20636488881</v>
      </c>
      <c r="R77">
        <f t="shared" ref="R77" si="362">R78+Q77</f>
        <v>107708364.4972021</v>
      </c>
      <c r="S77">
        <f t="shared" ref="S77" si="363">R77/100000</f>
        <v>1077.0836449720209</v>
      </c>
      <c r="T77">
        <f t="shared" ref="T77" si="364">S77/1000</f>
        <v>1.0770836449720209</v>
      </c>
    </row>
    <row r="78" spans="1:20" x14ac:dyDescent="0.25">
      <c r="A78" s="5">
        <v>44515</v>
      </c>
      <c r="B78">
        <v>4626.5</v>
      </c>
      <c r="C78">
        <v>4772.01</v>
      </c>
      <c r="D78">
        <v>4540</v>
      </c>
      <c r="E78">
        <v>4563.78</v>
      </c>
      <c r="F78">
        <v>375421.66009999998</v>
      </c>
      <c r="G78">
        <v>4563.78</v>
      </c>
      <c r="L78" t="s">
        <v>7</v>
      </c>
      <c r="M78" t="s">
        <v>8</v>
      </c>
      <c r="N78" t="s">
        <v>8</v>
      </c>
      <c r="P78">
        <f t="shared" ref="P78" si="365">IF(C78=D78,0,((E78-D78)-(C78-E78))/(C78-D78))</f>
        <v>-0.79500883582604442</v>
      </c>
      <c r="Q78">
        <f t="shared" ref="Q78" si="366">F78*P78</f>
        <v>-298463.53693998192</v>
      </c>
      <c r="R78">
        <f t="shared" ref="R78" si="367">R79+Q78</f>
        <v>108103226.70356698</v>
      </c>
      <c r="S78">
        <f t="shared" ref="S78" si="368">R78/100000</f>
        <v>1081.0322670356697</v>
      </c>
      <c r="T78">
        <f t="shared" ref="T78" si="369">S78/1000</f>
        <v>1.0810322670356698</v>
      </c>
    </row>
    <row r="79" spans="1:20" x14ac:dyDescent="0.25">
      <c r="A79" s="5">
        <v>44514</v>
      </c>
      <c r="B79">
        <v>4644.2700000000004</v>
      </c>
      <c r="C79">
        <v>4696.05</v>
      </c>
      <c r="D79">
        <v>4514.12</v>
      </c>
      <c r="E79">
        <v>4626.5</v>
      </c>
      <c r="F79">
        <v>245309.0674</v>
      </c>
      <c r="G79">
        <v>4626.5</v>
      </c>
      <c r="L79" t="s">
        <v>7</v>
      </c>
      <c r="M79" t="s">
        <v>8</v>
      </c>
      <c r="N79" t="s">
        <v>8</v>
      </c>
      <c r="P79">
        <f t="shared" ref="P79" si="370">IF(C79=D79,0,((E79-D79)-(C79-E79))/(C79-D79))</f>
        <v>0.23542021656681064</v>
      </c>
      <c r="Q79">
        <f t="shared" ref="Q79" si="371">F79*P79</f>
        <v>57750.71377311035</v>
      </c>
      <c r="R79">
        <f t="shared" ref="R79" si="372">R80+Q79</f>
        <v>108401690.24050696</v>
      </c>
      <c r="S79">
        <f t="shared" ref="S79" si="373">R79/100000</f>
        <v>1084.0169024050697</v>
      </c>
      <c r="T79">
        <f t="shared" ref="T79" si="374">S79/1000</f>
        <v>1.0840169024050696</v>
      </c>
    </row>
    <row r="80" spans="1:20" x14ac:dyDescent="0.25">
      <c r="A80" s="5">
        <v>44513</v>
      </c>
      <c r="B80">
        <v>4665.47</v>
      </c>
      <c r="C80">
        <v>4707.6000000000004</v>
      </c>
      <c r="D80">
        <v>4584.08</v>
      </c>
      <c r="E80">
        <v>4644.28</v>
      </c>
      <c r="F80">
        <v>220720.6611</v>
      </c>
      <c r="G80">
        <v>4644.28</v>
      </c>
      <c r="L80" t="s">
        <v>8</v>
      </c>
      <c r="M80" t="s">
        <v>8</v>
      </c>
      <c r="N80" t="s">
        <v>8</v>
      </c>
      <c r="P80">
        <f t="shared" ref="P80" si="375">IF(C80=D80,0,((E80-D80)-(C80-E80))/(C80-D80))</f>
        <v>-2.5259067357519344E-2</v>
      </c>
      <c r="Q80">
        <f t="shared" ref="Q80" si="376">F80*P80</f>
        <v>-5575.1980459210999</v>
      </c>
      <c r="R80">
        <f t="shared" ref="R80" si="377">R81+Q80</f>
        <v>108343939.52673385</v>
      </c>
      <c r="S80">
        <f t="shared" ref="S80" si="378">R80/100000</f>
        <v>1083.4393952673386</v>
      </c>
      <c r="T80">
        <f t="shared" ref="T80" si="379">S80/1000</f>
        <v>1.0834393952673387</v>
      </c>
    </row>
    <row r="81" spans="1:20" x14ac:dyDescent="0.25">
      <c r="A81" s="5">
        <v>44512</v>
      </c>
      <c r="B81">
        <v>4719</v>
      </c>
      <c r="C81">
        <v>4809.71</v>
      </c>
      <c r="D81">
        <v>4507.8500000000004</v>
      </c>
      <c r="E81">
        <v>4665.46</v>
      </c>
      <c r="F81">
        <v>461580.04149999999</v>
      </c>
      <c r="G81">
        <v>4665.46</v>
      </c>
      <c r="L81" t="s">
        <v>8</v>
      </c>
      <c r="M81" t="s">
        <v>8</v>
      </c>
      <c r="N81" t="s">
        <v>8</v>
      </c>
      <c r="P81">
        <f t="shared" ref="P81" si="380">IF(C81=D81,0,((E81-D81)-(C81-E81))/(C81-D81))</f>
        <v>4.4258927979857178E-2</v>
      </c>
      <c r="Q81">
        <f t="shared" ref="Q81" si="381">F81*P81</f>
        <v>20429.037813687988</v>
      </c>
      <c r="R81">
        <f t="shared" ref="R81" si="382">R82+Q81</f>
        <v>108349514.72477977</v>
      </c>
      <c r="S81">
        <f t="shared" ref="S81" si="383">R81/100000</f>
        <v>1083.4951472477976</v>
      </c>
      <c r="T81">
        <f t="shared" ref="T81" si="384">S81/1000</f>
        <v>1.0834951472477976</v>
      </c>
    </row>
    <row r="82" spans="1:20" x14ac:dyDescent="0.25">
      <c r="A82" s="5">
        <v>44511</v>
      </c>
      <c r="B82">
        <v>4628.68</v>
      </c>
      <c r="C82">
        <v>4779</v>
      </c>
      <c r="D82">
        <v>4576.47</v>
      </c>
      <c r="E82">
        <v>4719</v>
      </c>
      <c r="F82">
        <v>303688.97649999999</v>
      </c>
      <c r="G82">
        <v>4719</v>
      </c>
      <c r="L82" t="s">
        <v>7</v>
      </c>
      <c r="M82" t="s">
        <v>8</v>
      </c>
      <c r="N82" t="s">
        <v>8</v>
      </c>
      <c r="P82">
        <f t="shared" ref="P82" si="385">IF(C82=D82,0,((E82-D82)-(C82-E82))/(C82-D82))</f>
        <v>0.40749518589838468</v>
      </c>
      <c r="Q82">
        <f t="shared" ref="Q82" si="386">F82*P82</f>
        <v>123751.79593415768</v>
      </c>
      <c r="R82">
        <f t="shared" ref="R82" si="387">R83+Q82</f>
        <v>108329085.68696608</v>
      </c>
      <c r="S82">
        <f t="shared" ref="S82" si="388">R82/100000</f>
        <v>1083.2908568696607</v>
      </c>
      <c r="T82">
        <f t="shared" ref="T82" si="389">S82/1000</f>
        <v>1.0832908568696606</v>
      </c>
    </row>
    <row r="83" spans="1:20" x14ac:dyDescent="0.25">
      <c r="A83" s="5">
        <v>44510</v>
      </c>
      <c r="B83">
        <v>4732.33</v>
      </c>
      <c r="C83">
        <v>4868</v>
      </c>
      <c r="D83">
        <v>4461.93</v>
      </c>
      <c r="E83">
        <v>4628.78</v>
      </c>
      <c r="F83">
        <v>553596.99162999995</v>
      </c>
      <c r="G83">
        <v>4628.78</v>
      </c>
      <c r="L83" t="s">
        <v>7</v>
      </c>
      <c r="M83" t="s">
        <v>8</v>
      </c>
      <c r="N83" t="s">
        <v>8</v>
      </c>
      <c r="P83">
        <f t="shared" ref="P83" si="390">IF(C83=D83,0,((E83-D83)-(C83-E83))/(C83-D83))</f>
        <v>-0.17822050385401741</v>
      </c>
      <c r="Q83">
        <f t="shared" ref="Q83" si="391">F83*P83</f>
        <v>-98662.334780366858</v>
      </c>
      <c r="R83">
        <f t="shared" ref="R83" si="392">R84+Q83</f>
        <v>108205333.89103192</v>
      </c>
      <c r="S83">
        <f t="shared" ref="S83" si="393">R83/100000</f>
        <v>1082.0533389103191</v>
      </c>
      <c r="T83">
        <f t="shared" ref="T83" si="394">S83/1000</f>
        <v>1.0820533389103191</v>
      </c>
    </row>
    <row r="84" spans="1:20" x14ac:dyDescent="0.25">
      <c r="A84" s="5">
        <v>44509</v>
      </c>
      <c r="B84">
        <v>4807.9799999999996</v>
      </c>
      <c r="C84">
        <v>4838.28</v>
      </c>
      <c r="D84">
        <v>4713.8900000000003</v>
      </c>
      <c r="E84">
        <v>4732.33</v>
      </c>
      <c r="F84">
        <v>311267.57997999998</v>
      </c>
      <c r="G84">
        <v>4732.33</v>
      </c>
      <c r="L84" t="s">
        <v>8</v>
      </c>
      <c r="M84" t="s">
        <v>8</v>
      </c>
      <c r="N84" t="s">
        <v>8</v>
      </c>
      <c r="P84">
        <f t="shared" ref="P84" si="395">IF(C84=D84,0,((E84-D84)-(C84-E84))/(C84-D84))</f>
        <v>-0.70351314414342492</v>
      </c>
      <c r="Q84">
        <f t="shared" ref="Q84" si="396">F84*P84</f>
        <v>-218980.83386164476</v>
      </c>
      <c r="R84">
        <f t="shared" ref="R84" si="397">R85+Q84</f>
        <v>108303996.22581229</v>
      </c>
      <c r="S84">
        <f t="shared" ref="S84" si="398">R84/100000</f>
        <v>1083.0399622581228</v>
      </c>
      <c r="T84">
        <f t="shared" ref="T84" si="399">S84/1000</f>
        <v>1.0830399622581228</v>
      </c>
    </row>
    <row r="85" spans="1:20" x14ac:dyDescent="0.25">
      <c r="A85" s="5">
        <v>44508</v>
      </c>
      <c r="B85">
        <v>4612.59</v>
      </c>
      <c r="C85">
        <v>4822.97</v>
      </c>
      <c r="D85">
        <v>4612</v>
      </c>
      <c r="E85">
        <v>4807.9799999999996</v>
      </c>
      <c r="F85">
        <v>391102.31806000002</v>
      </c>
      <c r="G85">
        <v>4807.9799999999996</v>
      </c>
      <c r="L85" t="s">
        <v>8</v>
      </c>
      <c r="M85" t="s">
        <v>8</v>
      </c>
      <c r="N85" t="s">
        <v>8</v>
      </c>
      <c r="P85">
        <f t="shared" ref="P85" si="400">IF(C85=D85,0,((E85-D85)-(C85-E85))/(C85-D85))</f>
        <v>0.85789448736786578</v>
      </c>
      <c r="Q85">
        <f t="shared" ref="Q85" si="401">F85*P85</f>
        <v>335524.52266046772</v>
      </c>
      <c r="R85">
        <f t="shared" ref="R85" si="402">R86+Q85</f>
        <v>108522977.05967394</v>
      </c>
      <c r="S85">
        <f t="shared" ref="S85" si="403">R85/100000</f>
        <v>1085.2297705967394</v>
      </c>
      <c r="T85">
        <f t="shared" ref="T85" si="404">S85/1000</f>
        <v>1.0852297705967393</v>
      </c>
    </row>
    <row r="86" spans="1:20" x14ac:dyDescent="0.25">
      <c r="A86" s="5">
        <v>44507</v>
      </c>
      <c r="B86">
        <v>4518</v>
      </c>
      <c r="C86">
        <v>4637.9799999999996</v>
      </c>
      <c r="D86">
        <v>4502.37</v>
      </c>
      <c r="E86">
        <v>4612.59</v>
      </c>
      <c r="F86">
        <v>243596.59520000001</v>
      </c>
      <c r="G86">
        <v>4612.59</v>
      </c>
      <c r="L86" t="s">
        <v>8</v>
      </c>
      <c r="M86" t="s">
        <v>8</v>
      </c>
      <c r="N86" t="s">
        <v>8</v>
      </c>
      <c r="P86">
        <f t="shared" ref="P86" si="405">IF(C86=D86,0,((E86-D86)-(C86-E86))/(C86-D86))</f>
        <v>0.62554383894993759</v>
      </c>
      <c r="Q86">
        <f t="shared" ref="Q86" si="406">F86*P86</f>
        <v>152380.34931654195</v>
      </c>
      <c r="R86">
        <f t="shared" ref="R86" si="407">R87+Q86</f>
        <v>108187452.53701347</v>
      </c>
      <c r="S86">
        <f t="shared" ref="S86" si="408">R86/100000</f>
        <v>1081.8745253701347</v>
      </c>
      <c r="T86">
        <f t="shared" ref="T86" si="409">S86/1000</f>
        <v>1.0818745253701347</v>
      </c>
    </row>
    <row r="87" spans="1:20" x14ac:dyDescent="0.25">
      <c r="A87" s="5">
        <v>44506</v>
      </c>
      <c r="B87">
        <v>4474.24</v>
      </c>
      <c r="C87">
        <v>4530</v>
      </c>
      <c r="D87">
        <v>4326.17</v>
      </c>
      <c r="E87">
        <v>4518</v>
      </c>
      <c r="F87">
        <v>322154.09730000002</v>
      </c>
      <c r="G87">
        <v>4518</v>
      </c>
      <c r="L87" t="s">
        <v>7</v>
      </c>
      <c r="M87" t="s">
        <v>8</v>
      </c>
      <c r="N87" t="s">
        <v>8</v>
      </c>
      <c r="P87">
        <f t="shared" ref="P87" si="410">IF(C87=D87,0,((E87-D87)-(C87-E87))/(C87-D87))</f>
        <v>0.88225482019329826</v>
      </c>
      <c r="Q87">
        <f t="shared" ref="Q87" si="411">F87*P87</f>
        <v>284222.00518794585</v>
      </c>
      <c r="R87">
        <f t="shared" ref="R87" si="412">R88+Q87</f>
        <v>108035072.18769693</v>
      </c>
      <c r="S87">
        <f t="shared" ref="S87" si="413">R87/100000</f>
        <v>1080.3507218769694</v>
      </c>
      <c r="T87">
        <f t="shared" ref="T87" si="414">S87/1000</f>
        <v>1.0803507218769695</v>
      </c>
    </row>
    <row r="88" spans="1:20" x14ac:dyDescent="0.25">
      <c r="A88" s="5">
        <v>44505</v>
      </c>
      <c r="B88">
        <v>4532.3100000000004</v>
      </c>
      <c r="C88">
        <v>4570.05</v>
      </c>
      <c r="D88">
        <v>4438.8</v>
      </c>
      <c r="E88">
        <v>4474.24</v>
      </c>
      <c r="F88">
        <v>305651.72440000001</v>
      </c>
      <c r="G88">
        <v>4474.24</v>
      </c>
      <c r="L88" t="s">
        <v>8</v>
      </c>
      <c r="M88" t="s">
        <v>8</v>
      </c>
      <c r="N88" t="s">
        <v>8</v>
      </c>
      <c r="P88">
        <f t="shared" ref="P88" si="415">IF(C88=D88,0,((E88-D88)-(C88-E88))/(C88-D88))</f>
        <v>-0.45996190476191084</v>
      </c>
      <c r="Q88">
        <f t="shared" ref="Q88" si="416">F88*P88</f>
        <v>-140588.14934878662</v>
      </c>
      <c r="R88">
        <f t="shared" ref="R88" si="417">R89+Q88</f>
        <v>107750850.18250899</v>
      </c>
      <c r="S88">
        <f t="shared" ref="S88" si="418">R88/100000</f>
        <v>1077.50850182509</v>
      </c>
      <c r="T88">
        <f t="shared" ref="T88" si="419">S88/1000</f>
        <v>1.0775085018250901</v>
      </c>
    </row>
    <row r="89" spans="1:20" x14ac:dyDescent="0.25">
      <c r="A89" s="5">
        <v>44504</v>
      </c>
      <c r="B89">
        <v>4603.3500000000004</v>
      </c>
      <c r="C89">
        <v>4606.6499999999996</v>
      </c>
      <c r="D89">
        <v>4420.08</v>
      </c>
      <c r="E89">
        <v>4532.32</v>
      </c>
      <c r="F89">
        <v>368218.25695000001</v>
      </c>
      <c r="G89">
        <v>4532.32</v>
      </c>
      <c r="L89" t="s">
        <v>8</v>
      </c>
      <c r="M89" t="s">
        <v>8</v>
      </c>
      <c r="N89" t="s">
        <v>8</v>
      </c>
      <c r="P89">
        <f t="shared" ref="P89" si="420">IF(C89=D89,0,((E89-D89)-(C89-E89))/(C89-D89))</f>
        <v>0.2031945114434256</v>
      </c>
      <c r="Q89">
        <f t="shared" ref="Q89" si="421">F89*P89</f>
        <v>74819.928825505005</v>
      </c>
      <c r="R89">
        <f t="shared" ref="R89" si="422">R90+Q89</f>
        <v>107891438.33185777</v>
      </c>
      <c r="S89">
        <f t="shared" ref="S89" si="423">R89/100000</f>
        <v>1078.9143833185776</v>
      </c>
      <c r="T89">
        <f t="shared" ref="T89" si="424">S89/1000</f>
        <v>1.0789143833185777</v>
      </c>
    </row>
    <row r="90" spans="1:20" x14ac:dyDescent="0.25">
      <c r="A90" s="5">
        <v>44503</v>
      </c>
      <c r="B90">
        <v>4589.68</v>
      </c>
      <c r="C90">
        <v>4665.87</v>
      </c>
      <c r="D90">
        <v>4455</v>
      </c>
      <c r="E90">
        <v>4603.3500000000004</v>
      </c>
      <c r="F90">
        <v>448658.35125000001</v>
      </c>
      <c r="G90">
        <v>4603.3500000000004</v>
      </c>
      <c r="L90" t="s">
        <v>8</v>
      </c>
      <c r="M90" t="s">
        <v>8</v>
      </c>
      <c r="N90" t="s">
        <v>8</v>
      </c>
      <c r="P90">
        <f t="shared" ref="P90" si="425">IF(C90=D90,0,((E90-D90)-(C90-E90))/(C90-D90))</f>
        <v>0.40702802674634081</v>
      </c>
      <c r="Q90">
        <f t="shared" ref="Q90" si="426">F90*P90</f>
        <v>182616.52339255417</v>
      </c>
      <c r="R90">
        <f t="shared" ref="R90" si="427">R91+Q90</f>
        <v>107816618.40303227</v>
      </c>
      <c r="S90">
        <f t="shared" ref="S90" si="428">R90/100000</f>
        <v>1078.1661840303227</v>
      </c>
      <c r="T90">
        <f t="shared" ref="T90" si="429">S90/1000</f>
        <v>1.0781661840303227</v>
      </c>
    </row>
    <row r="91" spans="1:20" x14ac:dyDescent="0.25">
      <c r="A91" s="5">
        <v>44502</v>
      </c>
      <c r="B91">
        <v>4319.43</v>
      </c>
      <c r="C91">
        <v>4599.6000000000004</v>
      </c>
      <c r="D91">
        <v>4284.43</v>
      </c>
      <c r="E91">
        <v>4589.8900000000003</v>
      </c>
      <c r="F91">
        <v>468184.79301000002</v>
      </c>
      <c r="G91">
        <v>4589.8900000000003</v>
      </c>
      <c r="L91" t="s">
        <v>8</v>
      </c>
      <c r="M91" t="s">
        <v>8</v>
      </c>
      <c r="N91" t="s">
        <v>8</v>
      </c>
      <c r="P91">
        <f t="shared" ref="P91" si="430">IF(C91=D91,0,((E91-D91)-(C91-E91))/(C91-D91))</f>
        <v>0.93838246025954231</v>
      </c>
      <c r="Q91">
        <f t="shared" ref="Q91" si="431">F91*P91</f>
        <v>439336.39792082837</v>
      </c>
      <c r="R91">
        <f t="shared" ref="R91" si="432">R92+Q91</f>
        <v>107634001.87963971</v>
      </c>
      <c r="S91">
        <f t="shared" ref="S91" si="433">R91/100000</f>
        <v>1076.3400187963971</v>
      </c>
      <c r="T91">
        <f t="shared" ref="T91" si="434">S91/1000</f>
        <v>1.0763400187963972</v>
      </c>
    </row>
    <row r="92" spans="1:20" x14ac:dyDescent="0.25">
      <c r="A92" s="5">
        <v>44501</v>
      </c>
      <c r="B92">
        <v>4287.4799999999996</v>
      </c>
      <c r="C92">
        <v>4386.58</v>
      </c>
      <c r="D92">
        <v>4146.3</v>
      </c>
      <c r="E92">
        <v>4319.43</v>
      </c>
      <c r="F92">
        <v>417620.70730000001</v>
      </c>
      <c r="G92">
        <v>4319.43</v>
      </c>
      <c r="L92" t="s">
        <v>7</v>
      </c>
      <c r="M92" t="s">
        <v>8</v>
      </c>
      <c r="N92" t="s">
        <v>8</v>
      </c>
      <c r="P92">
        <f t="shared" ref="P92" si="435">IF(C92=D92,0,((E92-D92)-(C92-E92))/(C92-D92))</f>
        <v>0.44106875312136085</v>
      </c>
      <c r="Q92">
        <f t="shared" ref="Q92" si="436">F92*P92</f>
        <v>184199.44464647179</v>
      </c>
      <c r="R92">
        <f t="shared" ref="R92" si="437">R93+Q92</f>
        <v>107194665.48171888</v>
      </c>
      <c r="S92">
        <f t="shared" ref="S92" si="438">R92/100000</f>
        <v>1071.9466548171888</v>
      </c>
      <c r="T92">
        <f t="shared" ref="T92" si="439">S92/1000</f>
        <v>1.0719466548171888</v>
      </c>
    </row>
    <row r="93" spans="1:20" x14ac:dyDescent="0.25">
      <c r="A93" s="5">
        <v>44500</v>
      </c>
      <c r="B93">
        <v>4322.68</v>
      </c>
      <c r="C93">
        <v>4399.1400000000003</v>
      </c>
      <c r="D93">
        <v>4164.3500000000004</v>
      </c>
      <c r="E93">
        <v>4287.21</v>
      </c>
      <c r="F93">
        <v>412856.2893</v>
      </c>
      <c r="G93">
        <v>4287.21</v>
      </c>
      <c r="L93" t="s">
        <v>7</v>
      </c>
      <c r="M93" t="s">
        <v>8</v>
      </c>
      <c r="N93" t="s">
        <v>8</v>
      </c>
      <c r="P93">
        <f t="shared" ref="P93" si="440">IF(C93=D93,0,((E93-D93)-(C93-E93))/(C93-D93))</f>
        <v>4.6552238170277198E-2</v>
      </c>
      <c r="Q93">
        <f t="shared" ref="Q93" si="441">F93*P93</f>
        <v>19219.384309590467</v>
      </c>
      <c r="R93">
        <f t="shared" ref="R93" si="442">R94+Q93</f>
        <v>107010466.03707241</v>
      </c>
      <c r="S93">
        <f t="shared" ref="S93" si="443">R93/100000</f>
        <v>1070.1046603707241</v>
      </c>
      <c r="T93">
        <f t="shared" ref="T93" si="444">S93/1000</f>
        <v>1.070104660370724</v>
      </c>
    </row>
    <row r="94" spans="1:20" x14ac:dyDescent="0.25">
      <c r="A94" s="5">
        <v>44499</v>
      </c>
      <c r="B94">
        <v>4418.8900000000003</v>
      </c>
      <c r="C94">
        <v>4434.0600000000004</v>
      </c>
      <c r="D94">
        <v>4232.2</v>
      </c>
      <c r="E94">
        <v>4322.68</v>
      </c>
      <c r="F94">
        <v>340223.06900000002</v>
      </c>
      <c r="G94">
        <v>4322.68</v>
      </c>
      <c r="L94" t="s">
        <v>8</v>
      </c>
      <c r="M94" t="s">
        <v>8</v>
      </c>
      <c r="N94" t="s">
        <v>8</v>
      </c>
      <c r="P94">
        <f t="shared" ref="P94" si="445">IF(C94=D94,0,((E94-D94)-(C94-E94))/(C94-D94))</f>
        <v>-0.10353710492420279</v>
      </c>
      <c r="Q94">
        <f t="shared" ref="Q94" si="446">F94*P94</f>
        <v>-35225.711592687287</v>
      </c>
      <c r="R94">
        <f t="shared" ref="R94" si="447">R95+Q94</f>
        <v>106991246.65276282</v>
      </c>
      <c r="S94">
        <f t="shared" ref="S94" si="448">R94/100000</f>
        <v>1069.9124665276281</v>
      </c>
      <c r="T94">
        <f t="shared" ref="T94" si="449">S94/1000</f>
        <v>1.0699124665276281</v>
      </c>
    </row>
    <row r="95" spans="1:20" x14ac:dyDescent="0.25">
      <c r="A95" s="5">
        <v>44498</v>
      </c>
      <c r="B95">
        <v>4286.01</v>
      </c>
      <c r="C95">
        <v>4460.47</v>
      </c>
      <c r="D95">
        <v>4265.97</v>
      </c>
      <c r="E95">
        <v>4418.8900000000003</v>
      </c>
      <c r="F95">
        <v>559231.07690999995</v>
      </c>
      <c r="G95">
        <v>4418.8900000000003</v>
      </c>
      <c r="L95" t="s">
        <v>8</v>
      </c>
      <c r="M95" t="s">
        <v>8</v>
      </c>
      <c r="N95" t="s">
        <v>8</v>
      </c>
      <c r="P95">
        <f t="shared" ref="P95" si="450">IF(C95=D95,0,((E95-D95)-(C95-E95))/(C95-D95))</f>
        <v>0.57244215938303422</v>
      </c>
      <c r="Q95">
        <f t="shared" ref="Q95" si="451">F95*P95</f>
        <v>320127.44526046008</v>
      </c>
      <c r="R95">
        <f t="shared" ref="R95" si="452">R96+Q95</f>
        <v>107026472.3643555</v>
      </c>
      <c r="S95">
        <f t="shared" ref="S95" si="453">R95/100000</f>
        <v>1070.264723643555</v>
      </c>
      <c r="T95">
        <f t="shared" ref="T95" si="454">S95/1000</f>
        <v>1.070264723643555</v>
      </c>
    </row>
    <row r="96" spans="1:20" x14ac:dyDescent="0.25">
      <c r="A96" s="5">
        <v>44497</v>
      </c>
      <c r="B96">
        <v>3921.99</v>
      </c>
      <c r="C96">
        <v>4295</v>
      </c>
      <c r="D96">
        <v>3890.17</v>
      </c>
      <c r="E96">
        <v>4286.0200000000004</v>
      </c>
      <c r="F96">
        <v>626378.50549999997</v>
      </c>
      <c r="G96">
        <v>4286.0200000000004</v>
      </c>
      <c r="L96" t="s">
        <v>8</v>
      </c>
      <c r="M96" t="s">
        <v>8</v>
      </c>
      <c r="N96" t="s">
        <v>8</v>
      </c>
      <c r="P96">
        <f t="shared" ref="P96" si="455">IF(C96=D96,0,((E96-D96)-(C96-E96))/(C96-D96))</f>
        <v>0.95563569893535771</v>
      </c>
      <c r="Q96">
        <f t="shared" ref="Q96" si="456">F96*P96</f>
        <v>598589.66090157733</v>
      </c>
      <c r="R96">
        <f t="shared" ref="R96" si="457">R97+Q96</f>
        <v>106706344.91909504</v>
      </c>
      <c r="S96">
        <f t="shared" ref="S96" si="458">R96/100000</f>
        <v>1067.0634491909505</v>
      </c>
      <c r="T96">
        <f t="shared" ref="T96" si="459">S96/1000</f>
        <v>1.0670634491909505</v>
      </c>
    </row>
    <row r="97" spans="1:20" x14ac:dyDescent="0.25">
      <c r="A97" s="5">
        <v>44496</v>
      </c>
      <c r="B97">
        <v>4131.5200000000004</v>
      </c>
      <c r="C97">
        <v>4307</v>
      </c>
      <c r="D97">
        <v>3909</v>
      </c>
      <c r="E97">
        <v>3922</v>
      </c>
      <c r="F97">
        <v>704604.25</v>
      </c>
      <c r="G97">
        <v>3922</v>
      </c>
      <c r="L97" t="s">
        <v>7</v>
      </c>
      <c r="M97" t="s">
        <v>8</v>
      </c>
      <c r="N97" t="s">
        <v>8</v>
      </c>
      <c r="P97">
        <f t="shared" ref="P97" si="460">IF(C97=D97,0,((E97-D97)-(C97-E97))/(C97-D97))</f>
        <v>-0.9346733668341709</v>
      </c>
      <c r="Q97">
        <f t="shared" ref="Q97" si="461">F97*P97</f>
        <v>-658574.82663316582</v>
      </c>
      <c r="R97">
        <f t="shared" ref="R97" si="462">R98+Q97</f>
        <v>106107755.25819346</v>
      </c>
      <c r="S97">
        <f t="shared" ref="S97" si="463">R97/100000</f>
        <v>1061.0775525819347</v>
      </c>
      <c r="T97">
        <f t="shared" ref="T97" si="464">S97/1000</f>
        <v>1.0610775525819347</v>
      </c>
    </row>
    <row r="98" spans="1:20" x14ac:dyDescent="0.25">
      <c r="A98" s="5">
        <v>44495</v>
      </c>
      <c r="B98">
        <v>4220.3599999999997</v>
      </c>
      <c r="C98">
        <v>4297</v>
      </c>
      <c r="D98">
        <v>4090.21</v>
      </c>
      <c r="E98">
        <v>4131.5200000000004</v>
      </c>
      <c r="F98">
        <v>414498.15990000003</v>
      </c>
      <c r="G98">
        <v>4131.5200000000004</v>
      </c>
      <c r="L98" t="s">
        <v>8</v>
      </c>
      <c r="M98" t="s">
        <v>8</v>
      </c>
      <c r="N98" t="s">
        <v>8</v>
      </c>
      <c r="P98">
        <f t="shared" ref="P98" si="465">IF(C98=D98,0,((E98-D98)-(C98-E98))/(C98-D98))</f>
        <v>-0.60046423908312385</v>
      </c>
      <c r="Q98">
        <f t="shared" ref="Q98" si="466">F98*P98</f>
        <v>-248891.32218570853</v>
      </c>
      <c r="R98">
        <f t="shared" ref="R98" si="467">R99+Q98</f>
        <v>106766330.08482663</v>
      </c>
      <c r="S98">
        <f t="shared" ref="S98" si="468">R98/100000</f>
        <v>1067.6633008482663</v>
      </c>
      <c r="T98">
        <f t="shared" ref="T98" si="469">S98/1000</f>
        <v>1.0676633008482663</v>
      </c>
    </row>
    <row r="99" spans="1:20" x14ac:dyDescent="0.25">
      <c r="A99" s="5">
        <v>44494</v>
      </c>
      <c r="B99">
        <v>4082.33</v>
      </c>
      <c r="C99">
        <v>4236</v>
      </c>
      <c r="D99">
        <v>4067.71</v>
      </c>
      <c r="E99">
        <v>4220.37</v>
      </c>
      <c r="F99">
        <v>347438.65340000001</v>
      </c>
      <c r="G99">
        <v>4220.37</v>
      </c>
      <c r="L99" t="s">
        <v>8</v>
      </c>
      <c r="M99" t="s">
        <v>8</v>
      </c>
      <c r="N99" t="s">
        <v>8</v>
      </c>
      <c r="P99">
        <f t="shared" ref="P99" si="470">IF(C99=D99,0,((E99-D99)-(C99-E99))/(C99-D99))</f>
        <v>0.81424921266860639</v>
      </c>
      <c r="Q99">
        <f t="shared" ref="Q99" si="471">F99*P99</f>
        <v>282901.64998159086</v>
      </c>
      <c r="R99">
        <f t="shared" ref="R99" si="472">R100+Q99</f>
        <v>107015221.40701234</v>
      </c>
      <c r="S99">
        <f t="shared" ref="S99" si="473">R99/100000</f>
        <v>1070.1522140701234</v>
      </c>
      <c r="T99">
        <f t="shared" ref="T99" si="474">S99/1000</f>
        <v>1.0701522140701234</v>
      </c>
    </row>
    <row r="100" spans="1:20" x14ac:dyDescent="0.25">
      <c r="A100" s="5">
        <v>44493</v>
      </c>
      <c r="B100">
        <v>4167.13</v>
      </c>
      <c r="C100">
        <v>4186.57</v>
      </c>
      <c r="D100">
        <v>3961.5</v>
      </c>
      <c r="E100">
        <v>4082.33</v>
      </c>
      <c r="F100">
        <v>350115.83860000002</v>
      </c>
      <c r="G100">
        <v>4082.33</v>
      </c>
      <c r="L100" t="s">
        <v>8</v>
      </c>
      <c r="M100" t="s">
        <v>8</v>
      </c>
      <c r="N100" t="s">
        <v>8</v>
      </c>
      <c r="P100">
        <f t="shared" ref="P100" si="475">IF(C100=D100,0,((E100-D100)-(C100-E100))/(C100-D100))</f>
        <v>7.3710401208513646E-2</v>
      </c>
      <c r="Q100">
        <f t="shared" ref="Q100" si="476">F100*P100</f>
        <v>25807.178932661209</v>
      </c>
      <c r="R100">
        <f t="shared" ref="R100" si="477">R101+Q100</f>
        <v>106732319.75703076</v>
      </c>
      <c r="S100">
        <f t="shared" ref="S100" si="478">R100/100000</f>
        <v>1067.3231975703075</v>
      </c>
      <c r="T100">
        <f t="shared" ref="T100" si="479">S100/1000</f>
        <v>1.0673231975703075</v>
      </c>
    </row>
    <row r="101" spans="1:20" x14ac:dyDescent="0.25">
      <c r="A101" s="5">
        <v>44492</v>
      </c>
      <c r="B101">
        <v>3972.19</v>
      </c>
      <c r="C101">
        <v>4172</v>
      </c>
      <c r="D101">
        <v>3937.51</v>
      </c>
      <c r="E101">
        <v>4167.12</v>
      </c>
      <c r="F101">
        <v>326576.96010000003</v>
      </c>
      <c r="G101">
        <v>4167.12</v>
      </c>
      <c r="L101" t="s">
        <v>7</v>
      </c>
      <c r="M101" t="s">
        <v>8</v>
      </c>
      <c r="N101" t="s">
        <v>8</v>
      </c>
      <c r="P101">
        <f t="shared" ref="P101" si="480">IF(C101=D101,0,((E101-D101)-(C101-E101))/(C101-D101))</f>
        <v>0.95837775598106434</v>
      </c>
      <c r="Q101">
        <f t="shared" ref="Q101" si="481">F101*P101</f>
        <v>312984.09417575563</v>
      </c>
      <c r="R101">
        <f t="shared" ref="R101" si="482">R102+Q101</f>
        <v>106706512.57809809</v>
      </c>
      <c r="S101">
        <f t="shared" ref="S101" si="483">R101/100000</f>
        <v>1067.0651257809809</v>
      </c>
      <c r="T101">
        <f t="shared" ref="T101" si="484">S101/1000</f>
        <v>1.0670651257809809</v>
      </c>
    </row>
    <row r="102" spans="1:20" x14ac:dyDescent="0.25">
      <c r="A102" s="5">
        <v>44491</v>
      </c>
      <c r="B102">
        <v>4053</v>
      </c>
      <c r="C102">
        <v>4167.41</v>
      </c>
      <c r="D102">
        <v>3888</v>
      </c>
      <c r="E102">
        <v>3972.2</v>
      </c>
      <c r="F102">
        <v>463222.5428</v>
      </c>
      <c r="G102">
        <v>3972.2</v>
      </c>
      <c r="L102" t="s">
        <v>7</v>
      </c>
      <c r="M102" t="s">
        <v>8</v>
      </c>
      <c r="N102" t="s">
        <v>8</v>
      </c>
      <c r="P102">
        <f t="shared" ref="P102" si="485">IF(C102=D102,0,((E102-D102)-(C102-E102))/(C102-D102))</f>
        <v>-0.39730145664077976</v>
      </c>
      <c r="Q102">
        <f t="shared" ref="Q102" si="486">F102*P102</f>
        <v>-184038.99100328595</v>
      </c>
      <c r="R102">
        <f t="shared" ref="R102" si="487">R103+Q102</f>
        <v>106393528.48392233</v>
      </c>
      <c r="S102">
        <f t="shared" ref="S102" si="488">R102/100000</f>
        <v>1063.9352848392234</v>
      </c>
      <c r="T102">
        <f t="shared" ref="T102" si="489">S102/1000</f>
        <v>1.0639352848392234</v>
      </c>
    </row>
    <row r="103" spans="1:20" x14ac:dyDescent="0.25">
      <c r="A103" s="5">
        <v>44490</v>
      </c>
      <c r="B103">
        <v>4161.37</v>
      </c>
      <c r="C103">
        <v>4375</v>
      </c>
      <c r="D103">
        <v>4013.13</v>
      </c>
      <c r="E103">
        <v>4052.99</v>
      </c>
      <c r="F103">
        <v>798566.55804999999</v>
      </c>
      <c r="G103">
        <v>4052.99</v>
      </c>
      <c r="L103" t="s">
        <v>8</v>
      </c>
      <c r="M103" t="s">
        <v>8</v>
      </c>
      <c r="N103" t="s">
        <v>8</v>
      </c>
      <c r="P103">
        <f t="shared" ref="P103" si="490">IF(C103=D103,0,((E103-D103)-(C103-E103))/(C103-D103))</f>
        <v>-0.77969989222649194</v>
      </c>
      <c r="Q103">
        <f t="shared" ref="Q103" si="491">F103*P103</f>
        <v>-622642.25924726564</v>
      </c>
      <c r="R103">
        <f t="shared" ref="R103" si="492">R104+Q103</f>
        <v>106577567.47492562</v>
      </c>
      <c r="S103">
        <f t="shared" ref="S103" si="493">R103/100000</f>
        <v>1065.7756747492563</v>
      </c>
      <c r="T103">
        <f t="shared" ref="T103" si="494">S103/1000</f>
        <v>1.0657756747492562</v>
      </c>
    </row>
    <row r="104" spans="1:20" x14ac:dyDescent="0.25">
      <c r="A104" s="5">
        <v>44489</v>
      </c>
      <c r="B104">
        <v>3876.98</v>
      </c>
      <c r="C104">
        <v>4169</v>
      </c>
      <c r="D104">
        <v>3828.05</v>
      </c>
      <c r="E104">
        <v>4161.1499999999996</v>
      </c>
      <c r="F104">
        <v>537383.09731999994</v>
      </c>
      <c r="G104">
        <v>4161.1499999999996</v>
      </c>
      <c r="L104" t="s">
        <v>8</v>
      </c>
      <c r="M104" t="s">
        <v>8</v>
      </c>
      <c r="N104" t="s">
        <v>8</v>
      </c>
      <c r="P104">
        <f t="shared" ref="P104" si="495">IF(C104=D104,0,((E104-D104)-(C104-E104))/(C104-D104))</f>
        <v>0.95395219240357609</v>
      </c>
      <c r="Q104">
        <f t="shared" ref="Q104" si="496">F104*P104</f>
        <v>512637.78384903824</v>
      </c>
      <c r="R104">
        <f t="shared" ref="R104" si="497">R105+Q104</f>
        <v>107200209.73417288</v>
      </c>
      <c r="S104">
        <f t="shared" ref="S104" si="498">R104/100000</f>
        <v>1072.0020973417288</v>
      </c>
      <c r="T104">
        <f t="shared" ref="T104" si="499">S104/1000</f>
        <v>1.0720020973417288</v>
      </c>
    </row>
    <row r="105" spans="1:20" x14ac:dyDescent="0.25">
      <c r="A105" s="5">
        <v>44488</v>
      </c>
      <c r="B105">
        <v>3744.96</v>
      </c>
      <c r="C105">
        <v>3886.89</v>
      </c>
      <c r="D105">
        <v>3732</v>
      </c>
      <c r="E105">
        <v>3877.03</v>
      </c>
      <c r="F105">
        <v>341268.37229999999</v>
      </c>
      <c r="G105">
        <v>3877.03</v>
      </c>
      <c r="L105" t="s">
        <v>7</v>
      </c>
      <c r="M105" t="s">
        <v>8</v>
      </c>
      <c r="N105" t="s">
        <v>8</v>
      </c>
      <c r="P105">
        <f t="shared" ref="P105" si="500">IF(C105=D105,0,((E105-D105)-(C105-E105))/(C105-D105))</f>
        <v>0.87268384014462286</v>
      </c>
      <c r="Q105">
        <f t="shared" ref="Q105" si="501">F105*P105</f>
        <v>297819.39365866885</v>
      </c>
      <c r="R105">
        <f t="shared" ref="R105" si="502">R106+Q105</f>
        <v>106687571.95032384</v>
      </c>
      <c r="S105">
        <f t="shared" ref="S105" si="503">R105/100000</f>
        <v>1066.8757195032383</v>
      </c>
      <c r="T105">
        <f t="shared" ref="T105" si="504">S105/1000</f>
        <v>1.0668757195032383</v>
      </c>
    </row>
    <row r="106" spans="1:20" x14ac:dyDescent="0.25">
      <c r="A106" s="5">
        <v>44487</v>
      </c>
      <c r="B106">
        <v>3847</v>
      </c>
      <c r="C106">
        <v>3893.14</v>
      </c>
      <c r="D106">
        <v>3676</v>
      </c>
      <c r="E106">
        <v>3744.96</v>
      </c>
      <c r="F106">
        <v>401819.97340000002</v>
      </c>
      <c r="G106">
        <v>3744.96</v>
      </c>
      <c r="L106" t="s">
        <v>7</v>
      </c>
      <c r="M106" t="s">
        <v>8</v>
      </c>
      <c r="N106" t="s">
        <v>8</v>
      </c>
      <c r="P106">
        <f t="shared" ref="P106" si="505">IF(C106=D106,0,((E106-D106)-(C106-E106))/(C106-D106))</f>
        <v>-0.36483374781247052</v>
      </c>
      <c r="Q106">
        <f t="shared" ref="Q106" si="506">F106*P106</f>
        <v>-146597.48684142923</v>
      </c>
      <c r="R106">
        <f t="shared" ref="R106" si="507">R107+Q106</f>
        <v>106389752.55666517</v>
      </c>
      <c r="S106">
        <f t="shared" ref="S106" si="508">R106/100000</f>
        <v>1063.8975255666517</v>
      </c>
      <c r="T106">
        <f t="shared" ref="T106" si="509">S106/1000</f>
        <v>1.0638975255666516</v>
      </c>
    </row>
    <row r="107" spans="1:20" x14ac:dyDescent="0.25">
      <c r="A107" s="5">
        <v>44486</v>
      </c>
      <c r="B107">
        <v>3829.96</v>
      </c>
      <c r="C107">
        <v>3919.19</v>
      </c>
      <c r="D107">
        <v>3640</v>
      </c>
      <c r="E107">
        <v>3846.85</v>
      </c>
      <c r="F107">
        <v>368898.98310000001</v>
      </c>
      <c r="G107">
        <v>3846.85</v>
      </c>
      <c r="L107" t="s">
        <v>7</v>
      </c>
      <c r="M107" t="s">
        <v>8</v>
      </c>
      <c r="N107" t="s">
        <v>8</v>
      </c>
      <c r="P107">
        <f t="shared" ref="P107" si="510">IF(C107=D107,0,((E107-D107)-(C107-E107))/(C107-D107))</f>
        <v>0.48178659694115022</v>
      </c>
      <c r="Q107">
        <f t="shared" ref="Q107" si="511">F107*P107</f>
        <v>177730.58568279989</v>
      </c>
      <c r="R107">
        <f t="shared" ref="R107" si="512">R108+Q107</f>
        <v>106536350.04350659</v>
      </c>
      <c r="S107">
        <f t="shared" ref="S107" si="513">R107/100000</f>
        <v>1065.3635004350658</v>
      </c>
      <c r="T107">
        <f t="shared" ref="T107" si="514">S107/1000</f>
        <v>1.0653635004350659</v>
      </c>
    </row>
    <row r="108" spans="1:20" x14ac:dyDescent="0.25">
      <c r="A108" s="5">
        <v>44485</v>
      </c>
      <c r="B108">
        <v>3868.38</v>
      </c>
      <c r="C108">
        <v>3971</v>
      </c>
      <c r="D108">
        <v>3803.56</v>
      </c>
      <c r="E108">
        <v>3829.96</v>
      </c>
      <c r="F108">
        <v>373727.85489999998</v>
      </c>
      <c r="G108">
        <v>3829.96</v>
      </c>
      <c r="L108" t="s">
        <v>8</v>
      </c>
      <c r="M108" t="s">
        <v>8</v>
      </c>
      <c r="N108" t="s">
        <v>8</v>
      </c>
      <c r="P108">
        <f t="shared" ref="P108" si="515">IF(C108=D108,0,((E108-D108)-(C108-E108))/(C108-D108))</f>
        <v>-0.68466316292403151</v>
      </c>
      <c r="Q108">
        <f t="shared" ref="Q108" si="516">F108*P108</f>
        <v>-255877.69520864749</v>
      </c>
      <c r="R108">
        <f t="shared" ref="R108" si="517">R109+Q108</f>
        <v>106358619.4578238</v>
      </c>
      <c r="S108">
        <f t="shared" ref="S108" si="518">R108/100000</f>
        <v>1063.5861945782381</v>
      </c>
      <c r="T108">
        <f t="shared" ref="T108" si="519">S108/1000</f>
        <v>1.0635861945782381</v>
      </c>
    </row>
    <row r="109" spans="1:20" x14ac:dyDescent="0.25">
      <c r="A109" s="5">
        <v>44484</v>
      </c>
      <c r="B109">
        <v>3790.82</v>
      </c>
      <c r="C109">
        <v>3907.77</v>
      </c>
      <c r="D109">
        <v>3734.1</v>
      </c>
      <c r="E109">
        <v>3868.99</v>
      </c>
      <c r="F109">
        <v>504321.73200000002</v>
      </c>
      <c r="G109">
        <v>3868.99</v>
      </c>
      <c r="L109" t="s">
        <v>8</v>
      </c>
      <c r="M109" t="s">
        <v>8</v>
      </c>
      <c r="N109" t="s">
        <v>8</v>
      </c>
      <c r="P109">
        <f t="shared" ref="P109" si="520">IF(C109=D109,0,((E109-D109)-(C109-E109))/(C109-D109))</f>
        <v>0.55340588472389951</v>
      </c>
      <c r="Q109">
        <f t="shared" ref="Q109" si="521">F109*P109</f>
        <v>279094.61428294936</v>
      </c>
      <c r="R109">
        <f t="shared" ref="R109" si="522">R110+Q109</f>
        <v>106614497.15303245</v>
      </c>
      <c r="S109">
        <f t="shared" ref="S109" si="523">R109/100000</f>
        <v>1066.1449715303245</v>
      </c>
      <c r="T109">
        <f t="shared" ref="T109" si="524">S109/1000</f>
        <v>1.0661449715303244</v>
      </c>
    </row>
    <row r="110" spans="1:20" x14ac:dyDescent="0.25">
      <c r="A110" s="5">
        <v>44483</v>
      </c>
      <c r="B110">
        <v>3607.41</v>
      </c>
      <c r="C110">
        <v>3824</v>
      </c>
      <c r="D110">
        <v>3586.04</v>
      </c>
      <c r="E110">
        <v>3790.82</v>
      </c>
      <c r="F110">
        <v>481894.14730000001</v>
      </c>
      <c r="G110">
        <v>3790.82</v>
      </c>
      <c r="L110" t="s">
        <v>8</v>
      </c>
      <c r="M110" t="s">
        <v>8</v>
      </c>
      <c r="N110" t="s">
        <v>8</v>
      </c>
      <c r="P110">
        <f t="shared" ref="P110" si="525">IF(C110=D110,0,((E110-D110)-(C110-E110))/(C110-D110))</f>
        <v>0.72112960161371797</v>
      </c>
      <c r="Q110">
        <f t="shared" ref="Q110" si="526">F110*P110</f>
        <v>347508.13446243136</v>
      </c>
      <c r="R110">
        <f t="shared" ref="R110" si="527">R111+Q110</f>
        <v>106335402.5387495</v>
      </c>
      <c r="S110">
        <f t="shared" ref="S110" si="528">R110/100000</f>
        <v>1063.3540253874951</v>
      </c>
      <c r="T110">
        <f t="shared" ref="T110" si="529">S110/1000</f>
        <v>1.0633540253874951</v>
      </c>
    </row>
    <row r="111" spans="1:20" x14ac:dyDescent="0.25">
      <c r="A111" s="5">
        <v>44482</v>
      </c>
      <c r="B111">
        <v>3491.43</v>
      </c>
      <c r="C111">
        <v>3613</v>
      </c>
      <c r="D111">
        <v>3412.7</v>
      </c>
      <c r="E111">
        <v>3607.42</v>
      </c>
      <c r="F111">
        <v>393463.12219999998</v>
      </c>
      <c r="G111">
        <v>3607.42</v>
      </c>
      <c r="L111" t="s">
        <v>7</v>
      </c>
      <c r="M111" t="s">
        <v>8</v>
      </c>
      <c r="N111" t="s">
        <v>8</v>
      </c>
      <c r="P111">
        <f t="shared" ref="P111" si="530">IF(C111=D111,0,((E111-D111)-(C111-E111))/(C111-D111))</f>
        <v>0.94428357463804369</v>
      </c>
      <c r="Q111">
        <f t="shared" ref="Q111" si="531">F111*P111</f>
        <v>371540.76351926138</v>
      </c>
      <c r="R111">
        <f t="shared" ref="R111" si="532">R112+Q111</f>
        <v>105987894.40428707</v>
      </c>
      <c r="S111">
        <f t="shared" ref="S111" si="533">R111/100000</f>
        <v>1059.8789440428707</v>
      </c>
      <c r="T111">
        <f t="shared" ref="T111" si="534">S111/1000</f>
        <v>1.0598789440428706</v>
      </c>
    </row>
    <row r="112" spans="1:20" x14ac:dyDescent="0.25">
      <c r="A112" s="5">
        <v>44481</v>
      </c>
      <c r="B112">
        <v>3542.12</v>
      </c>
      <c r="C112">
        <v>3547.11</v>
      </c>
      <c r="D112">
        <v>3403.21</v>
      </c>
      <c r="E112">
        <v>3491.46</v>
      </c>
      <c r="F112">
        <v>409377.19179999997</v>
      </c>
      <c r="G112">
        <v>3491.46</v>
      </c>
      <c r="L112" t="s">
        <v>7</v>
      </c>
      <c r="M112" t="s">
        <v>8</v>
      </c>
      <c r="N112" t="s">
        <v>8</v>
      </c>
      <c r="P112">
        <f t="shared" ref="P112" si="535">IF(C112=D112,0,((E112-D112)-(C112-E112))/(C112-D112))</f>
        <v>0.22654621264767122</v>
      </c>
      <c r="Q112">
        <f t="shared" ref="Q112" si="536">F112*P112</f>
        <v>92742.852346629283</v>
      </c>
      <c r="R112">
        <f t="shared" ref="R112" si="537">R113+Q112</f>
        <v>105616353.64076781</v>
      </c>
      <c r="S112">
        <f t="shared" ref="S112" si="538">R112/100000</f>
        <v>1056.1635364076781</v>
      </c>
      <c r="T112">
        <f t="shared" ref="T112" si="539">S112/1000</f>
        <v>1.056163536407678</v>
      </c>
    </row>
    <row r="113" spans="1:20" x14ac:dyDescent="0.25">
      <c r="A113" s="5">
        <v>44480</v>
      </c>
      <c r="B113">
        <v>3414.22</v>
      </c>
      <c r="C113">
        <v>3623.8</v>
      </c>
      <c r="D113">
        <v>3371</v>
      </c>
      <c r="E113">
        <v>3542.12</v>
      </c>
      <c r="F113">
        <v>493521.88199999998</v>
      </c>
      <c r="G113">
        <v>3542.12</v>
      </c>
      <c r="L113" t="s">
        <v>7</v>
      </c>
      <c r="M113" t="s">
        <v>8</v>
      </c>
      <c r="N113" t="s">
        <v>8</v>
      </c>
      <c r="P113">
        <f t="shared" ref="P113" si="540">IF(C113=D113,0,((E113-D113)-(C113-E113))/(C113-D113))</f>
        <v>0.35379746835442855</v>
      </c>
      <c r="Q113">
        <f t="shared" ref="Q113" si="541">F113*P113</f>
        <v>174606.792429113</v>
      </c>
      <c r="R113">
        <f t="shared" ref="R113" si="542">R114+Q113</f>
        <v>105523610.78842118</v>
      </c>
      <c r="S113">
        <f t="shared" ref="S113" si="543">R113/100000</f>
        <v>1055.2361078842118</v>
      </c>
      <c r="T113">
        <f t="shared" ref="T113" si="544">S113/1000</f>
        <v>1.0552361078842118</v>
      </c>
    </row>
    <row r="114" spans="1:20" x14ac:dyDescent="0.25">
      <c r="A114" s="5">
        <v>44479</v>
      </c>
      <c r="B114">
        <v>3574.83</v>
      </c>
      <c r="C114">
        <v>3604</v>
      </c>
      <c r="D114">
        <v>3405</v>
      </c>
      <c r="E114">
        <v>3414.22</v>
      </c>
      <c r="F114">
        <v>580223.63020000001</v>
      </c>
      <c r="G114">
        <v>3414.22</v>
      </c>
      <c r="L114" t="s">
        <v>7</v>
      </c>
      <c r="M114" t="s">
        <v>8</v>
      </c>
      <c r="N114" t="s">
        <v>8</v>
      </c>
      <c r="P114">
        <f t="shared" ref="P114" si="545">IF(C114=D114,0,((E114-D114)-(C114-E114))/(C114-D114))</f>
        <v>-0.9073366834170874</v>
      </c>
      <c r="Q114">
        <f t="shared" ref="Q114" si="546">F114*P114</f>
        <v>-526458.18426589062</v>
      </c>
      <c r="R114">
        <f t="shared" ref="R114" si="547">R115+Q114</f>
        <v>105349003.99599206</v>
      </c>
      <c r="S114">
        <f t="shared" ref="S114" si="548">R114/100000</f>
        <v>1053.4900399599208</v>
      </c>
      <c r="T114">
        <f t="shared" ref="T114" si="549">S114/1000</f>
        <v>1.0534900399599207</v>
      </c>
    </row>
    <row r="115" spans="1:20" x14ac:dyDescent="0.25">
      <c r="A115" s="5">
        <v>44478</v>
      </c>
      <c r="B115">
        <v>3563.13</v>
      </c>
      <c r="C115">
        <v>3635</v>
      </c>
      <c r="D115">
        <v>3538.07</v>
      </c>
      <c r="E115">
        <v>3574.82</v>
      </c>
      <c r="F115">
        <v>361906.75140000001</v>
      </c>
      <c r="G115">
        <v>3574.82</v>
      </c>
      <c r="L115" t="s">
        <v>8</v>
      </c>
      <c r="M115" t="s">
        <v>8</v>
      </c>
      <c r="N115" t="s">
        <v>8</v>
      </c>
      <c r="P115">
        <f t="shared" ref="P115" si="550">IF(C115=D115,0,((E115-D115)-(C115-E115))/(C115-D115))</f>
        <v>-0.24172082946456078</v>
      </c>
      <c r="Q115">
        <f t="shared" ref="Q115" si="551">F115*P115</f>
        <v>-87480.400137232587</v>
      </c>
      <c r="R115">
        <f t="shared" ref="R115" si="552">R116+Q115</f>
        <v>105875462.18025796</v>
      </c>
      <c r="S115">
        <f t="shared" ref="S115" si="553">R115/100000</f>
        <v>1058.7546218025795</v>
      </c>
      <c r="T115">
        <f t="shared" ref="T115" si="554">S115/1000</f>
        <v>1.0587546218025796</v>
      </c>
    </row>
    <row r="116" spans="1:20" x14ac:dyDescent="0.25">
      <c r="A116" s="5">
        <v>44477</v>
      </c>
      <c r="B116">
        <v>3587.47</v>
      </c>
      <c r="C116">
        <v>3695</v>
      </c>
      <c r="D116">
        <v>3532</v>
      </c>
      <c r="E116">
        <v>3563.13</v>
      </c>
      <c r="F116">
        <v>403597.14370000002</v>
      </c>
      <c r="G116">
        <v>3563.13</v>
      </c>
      <c r="L116" t="s">
        <v>8</v>
      </c>
      <c r="M116" t="s">
        <v>8</v>
      </c>
      <c r="N116" t="s">
        <v>8</v>
      </c>
      <c r="P116">
        <f t="shared" ref="P116" si="555">IF(C116=D116,0,((E116-D116)-(C116-E116))/(C116-D116))</f>
        <v>-0.61803680981594955</v>
      </c>
      <c r="Q116">
        <f t="shared" ref="Q116" si="556">F116*P116</f>
        <v>-249437.89114317737</v>
      </c>
      <c r="R116">
        <f t="shared" ref="R116" si="557">R117+Q116</f>
        <v>105962942.58039519</v>
      </c>
      <c r="S116">
        <f t="shared" ref="S116" si="558">R116/100000</f>
        <v>1059.629425803952</v>
      </c>
      <c r="T116">
        <f t="shared" ref="T116" si="559">S116/1000</f>
        <v>1.059629425803952</v>
      </c>
    </row>
    <row r="117" spans="1:20" x14ac:dyDescent="0.25">
      <c r="A117" s="5">
        <v>44476</v>
      </c>
      <c r="B117">
        <v>3574.88</v>
      </c>
      <c r="C117">
        <v>3653.98</v>
      </c>
      <c r="D117">
        <v>3470.8</v>
      </c>
      <c r="E117">
        <v>3587.47</v>
      </c>
      <c r="F117">
        <v>486102.3591</v>
      </c>
      <c r="G117">
        <v>3587.47</v>
      </c>
      <c r="L117" t="s">
        <v>8</v>
      </c>
      <c r="M117" t="s">
        <v>8</v>
      </c>
      <c r="N117" t="s">
        <v>8</v>
      </c>
      <c r="P117">
        <f t="shared" ref="P117" si="560">IF(C117=D117,0,((E117-D117)-(C117-E117))/(C117-D117))</f>
        <v>0.27382902063543751</v>
      </c>
      <c r="Q117">
        <f t="shared" ref="Q117" si="561">F117*P117</f>
        <v>133108.93292092875</v>
      </c>
      <c r="R117">
        <f t="shared" ref="R117" si="562">R118+Q117</f>
        <v>106212380.47153836</v>
      </c>
      <c r="S117">
        <f t="shared" ref="S117" si="563">R117/100000</f>
        <v>1062.1238047153836</v>
      </c>
      <c r="T117">
        <f t="shared" ref="T117" si="564">S117/1000</f>
        <v>1.0621238047153836</v>
      </c>
    </row>
    <row r="118" spans="1:20" x14ac:dyDescent="0.25">
      <c r="A118" s="5">
        <v>44475</v>
      </c>
      <c r="B118">
        <v>3515.48</v>
      </c>
      <c r="C118">
        <v>3632.11</v>
      </c>
      <c r="D118">
        <v>3342</v>
      </c>
      <c r="E118">
        <v>3574.89</v>
      </c>
      <c r="F118">
        <v>618265.54020000005</v>
      </c>
      <c r="G118">
        <v>3574.89</v>
      </c>
      <c r="L118" t="s">
        <v>8</v>
      </c>
      <c r="M118" t="s">
        <v>8</v>
      </c>
      <c r="N118" t="s">
        <v>8</v>
      </c>
      <c r="P118">
        <f t="shared" ref="P118" si="565">IF(C118=D118,0,((E118-D118)-(C118-E118))/(C118-D118))</f>
        <v>0.60552893729964341</v>
      </c>
      <c r="Q118">
        <f t="shared" ref="Q118" si="566">F118*P118</f>
        <v>374377.67552629596</v>
      </c>
      <c r="R118">
        <f t="shared" ref="R118" si="567">R119+Q118</f>
        <v>106079271.53861743</v>
      </c>
      <c r="S118">
        <f t="shared" ref="S118" si="568">R118/100000</f>
        <v>1060.7927153861742</v>
      </c>
      <c r="T118">
        <f t="shared" ref="T118" si="569">S118/1000</f>
        <v>1.0607927153861743</v>
      </c>
    </row>
    <row r="119" spans="1:20" x14ac:dyDescent="0.25">
      <c r="A119" s="5">
        <v>44474</v>
      </c>
      <c r="B119">
        <v>3386.31</v>
      </c>
      <c r="C119">
        <v>3545</v>
      </c>
      <c r="D119">
        <v>3363.78</v>
      </c>
      <c r="E119">
        <v>3515.27</v>
      </c>
      <c r="F119">
        <v>393900.88179999997</v>
      </c>
      <c r="G119">
        <v>3515.27</v>
      </c>
      <c r="L119" t="s">
        <v>8</v>
      </c>
      <c r="M119" t="s">
        <v>8</v>
      </c>
      <c r="N119" t="s">
        <v>7</v>
      </c>
      <c r="P119">
        <f t="shared" ref="P119" si="570">IF(C119=D119,0,((E119-D119)-(C119-E119))/(C119-D119))</f>
        <v>0.67189051981017489</v>
      </c>
      <c r="Q119">
        <f t="shared" ref="Q119" si="571">F119*P119</f>
        <v>264658.26822628826</v>
      </c>
      <c r="R119">
        <f t="shared" ref="R119" si="572">R120+Q119</f>
        <v>105704893.86309114</v>
      </c>
      <c r="S119">
        <f t="shared" ref="S119" si="573">R119/100000</f>
        <v>1057.0489386309114</v>
      </c>
      <c r="T119">
        <f t="shared" ref="T119" si="574">S119/1000</f>
        <v>1.0570489386309114</v>
      </c>
    </row>
    <row r="120" spans="1:20" x14ac:dyDescent="0.25">
      <c r="A120" s="5">
        <v>44473</v>
      </c>
      <c r="B120">
        <v>3417.73</v>
      </c>
      <c r="C120">
        <v>3437.19</v>
      </c>
      <c r="D120">
        <v>3270</v>
      </c>
      <c r="E120">
        <v>3396.96</v>
      </c>
      <c r="F120">
        <v>476359.45860000001</v>
      </c>
      <c r="G120">
        <v>3396.96</v>
      </c>
      <c r="L120" t="s">
        <v>8</v>
      </c>
      <c r="M120" t="s">
        <v>8</v>
      </c>
      <c r="N120" t="s">
        <v>7</v>
      </c>
      <c r="P120">
        <f t="shared" ref="P120" si="575">IF(C120=D120,0,((E120-D120)-(C120-E120))/(C120-D120))</f>
        <v>0.51875112147855729</v>
      </c>
      <c r="Q120">
        <f t="shared" ref="Q120" si="576">F120*P120</f>
        <v>247112.0033756684</v>
      </c>
      <c r="R120">
        <f t="shared" ref="R120" si="577">R121+Q120</f>
        <v>105440235.59486486</v>
      </c>
      <c r="S120">
        <f t="shared" ref="S120" si="578">R120/100000</f>
        <v>1054.4023559486486</v>
      </c>
      <c r="T120">
        <f t="shared" ref="T120" si="579">S120/1000</f>
        <v>1.0544023559486486</v>
      </c>
    </row>
    <row r="121" spans="1:20" x14ac:dyDescent="0.25">
      <c r="A121" s="5">
        <v>44472</v>
      </c>
      <c r="B121">
        <v>3387.77</v>
      </c>
      <c r="C121">
        <v>3488</v>
      </c>
      <c r="D121">
        <v>3342.51</v>
      </c>
      <c r="E121">
        <v>3416.3</v>
      </c>
      <c r="F121">
        <v>357304.64679999999</v>
      </c>
      <c r="G121">
        <v>3416.3</v>
      </c>
      <c r="L121" t="s">
        <v>8</v>
      </c>
      <c r="M121" t="s">
        <v>8</v>
      </c>
      <c r="N121" t="s">
        <v>7</v>
      </c>
      <c r="P121">
        <f t="shared" ref="P121" si="580">IF(C121=D121,0,((E121-D121)-(C121-E121))/(C121-D121))</f>
        <v>1.4365248470686293E-2</v>
      </c>
      <c r="Q121">
        <f t="shared" ref="Q121" si="581">F121*P121</f>
        <v>5132.7700310128057</v>
      </c>
      <c r="R121">
        <f t="shared" ref="R121" si="582">R122+Q121</f>
        <v>105193123.5914892</v>
      </c>
      <c r="S121">
        <f t="shared" ref="S121" si="583">R121/100000</f>
        <v>1051.9312359148919</v>
      </c>
      <c r="T121">
        <f t="shared" ref="T121" si="584">S121/1000</f>
        <v>1.0519312359148918</v>
      </c>
    </row>
    <row r="122" spans="1:20" x14ac:dyDescent="0.25">
      <c r="A122" s="5">
        <v>44471</v>
      </c>
      <c r="B122">
        <v>3309.91</v>
      </c>
      <c r="C122">
        <v>3469</v>
      </c>
      <c r="D122">
        <v>3257</v>
      </c>
      <c r="E122">
        <v>3387.76</v>
      </c>
      <c r="F122">
        <v>422551.18109999999</v>
      </c>
      <c r="G122">
        <v>3387.76</v>
      </c>
      <c r="L122" t="s">
        <v>8</v>
      </c>
      <c r="M122" t="s">
        <v>8</v>
      </c>
      <c r="N122" t="s">
        <v>7</v>
      </c>
      <c r="P122">
        <f t="shared" ref="P122" si="585">IF(C122=D122,0,((E122-D122)-(C122-E122))/(C122-D122))</f>
        <v>0.23358490566037943</v>
      </c>
      <c r="Q122">
        <f t="shared" ref="Q122" si="586">F122*P122</f>
        <v>98701.577773925397</v>
      </c>
      <c r="R122">
        <f t="shared" ref="R122" si="587">R123+Q122</f>
        <v>105187990.82145818</v>
      </c>
      <c r="S122">
        <f t="shared" ref="S122" si="588">R122/100000</f>
        <v>1051.8799082145817</v>
      </c>
      <c r="T122">
        <f t="shared" ref="T122" si="589">S122/1000</f>
        <v>1.0518799082145818</v>
      </c>
    </row>
    <row r="123" spans="1:20" x14ac:dyDescent="0.25">
      <c r="A123" s="5">
        <v>44470</v>
      </c>
      <c r="B123">
        <v>3000.62</v>
      </c>
      <c r="C123">
        <v>3330</v>
      </c>
      <c r="D123">
        <v>2969.07</v>
      </c>
      <c r="E123">
        <v>3309.91</v>
      </c>
      <c r="F123">
        <v>648714.61510000005</v>
      </c>
      <c r="G123">
        <v>3309.91</v>
      </c>
      <c r="L123" t="s">
        <v>8</v>
      </c>
      <c r="M123" t="s">
        <v>8</v>
      </c>
      <c r="N123" t="s">
        <v>7</v>
      </c>
      <c r="P123">
        <f t="shared" ref="P123" si="590">IF(C123=D123,0,((E123-D123)-(C123-E123))/(C123-D123))</f>
        <v>0.88867647466267607</v>
      </c>
      <c r="Q123">
        <f t="shared" ref="Q123" si="591">F123*P123</f>
        <v>576497.41720922291</v>
      </c>
      <c r="R123">
        <f t="shared" ref="R123" si="592">R124+Q123</f>
        <v>105089289.24368425</v>
      </c>
      <c r="S123">
        <f t="shared" ref="S123" si="593">R123/100000</f>
        <v>1050.8928924368424</v>
      </c>
      <c r="T123">
        <f t="shared" ref="T123" si="594">S123/1000</f>
        <v>1.0508928924368424</v>
      </c>
    </row>
    <row r="124" spans="1:20" x14ac:dyDescent="0.25">
      <c r="A124" s="5">
        <v>44469</v>
      </c>
      <c r="B124">
        <v>2850.45</v>
      </c>
      <c r="C124">
        <v>3048.42</v>
      </c>
      <c r="D124">
        <v>2837.19</v>
      </c>
      <c r="E124">
        <v>3000.61</v>
      </c>
      <c r="F124">
        <v>506896.76120000001</v>
      </c>
      <c r="G124">
        <v>3000.61</v>
      </c>
      <c r="L124" t="s">
        <v>8</v>
      </c>
      <c r="M124" t="s">
        <v>8</v>
      </c>
      <c r="N124" t="s">
        <v>7</v>
      </c>
      <c r="P124">
        <f t="shared" ref="P124" si="595">IF(C124=D124,0,((E124-D124)-(C124-E124))/(C124-D124))</f>
        <v>0.54731808928656023</v>
      </c>
      <c r="Q124">
        <f t="shared" ref="Q124" si="596">F124*P124</f>
        <v>277433.76680552983</v>
      </c>
      <c r="R124">
        <f t="shared" ref="R124" si="597">R125+Q124</f>
        <v>104512791.82647502</v>
      </c>
      <c r="S124">
        <f t="shared" ref="S124" si="598">R124/100000</f>
        <v>1045.1279182647502</v>
      </c>
      <c r="T124">
        <f t="shared" ref="T124" si="599">S124/1000</f>
        <v>1.0451279182647502</v>
      </c>
    </row>
    <row r="125" spans="1:20" x14ac:dyDescent="0.25">
      <c r="A125" s="5">
        <v>44468</v>
      </c>
      <c r="B125">
        <v>2805.15</v>
      </c>
      <c r="C125">
        <v>2950</v>
      </c>
      <c r="D125">
        <v>2782</v>
      </c>
      <c r="E125">
        <v>2850.45</v>
      </c>
      <c r="F125">
        <v>411305.08929999999</v>
      </c>
      <c r="G125">
        <v>2850.45</v>
      </c>
      <c r="L125" t="s">
        <v>7</v>
      </c>
      <c r="M125" t="s">
        <v>8</v>
      </c>
      <c r="N125" t="s">
        <v>7</v>
      </c>
      <c r="P125">
        <f t="shared" ref="P125" si="600">IF(C125=D125,0,((E125-D125)-(C125-E125))/(C125-D125))</f>
        <v>-0.18511904761904979</v>
      </c>
      <c r="Q125">
        <f t="shared" ref="Q125" si="601">F125*P125</f>
        <v>-76140.406412084223</v>
      </c>
      <c r="R125">
        <f t="shared" ref="R125" si="602">R126+Q125</f>
        <v>104235358.05966949</v>
      </c>
      <c r="S125">
        <f t="shared" ref="S125" si="603">R125/100000</f>
        <v>1042.3535805966949</v>
      </c>
      <c r="T125">
        <f t="shared" ref="T125" si="604">S125/1000</f>
        <v>1.0423535805966948</v>
      </c>
    </row>
    <row r="126" spans="1:20" x14ac:dyDescent="0.25">
      <c r="A126" s="5">
        <v>44467</v>
      </c>
      <c r="B126">
        <v>2924.76</v>
      </c>
      <c r="C126">
        <v>2970.82</v>
      </c>
      <c r="D126">
        <v>2789</v>
      </c>
      <c r="E126">
        <v>2804.91</v>
      </c>
      <c r="F126">
        <v>511325.46429999999</v>
      </c>
      <c r="G126">
        <v>2804.91</v>
      </c>
      <c r="L126" t="s">
        <v>7</v>
      </c>
      <c r="M126" t="s">
        <v>8</v>
      </c>
      <c r="N126" t="s">
        <v>7</v>
      </c>
      <c r="P126">
        <f t="shared" ref="P126" si="605">IF(C126=D126,0,((E126-D126)-(C126-E126))/(C126-D126))</f>
        <v>-0.82499175008250092</v>
      </c>
      <c r="Q126">
        <f t="shared" ref="Q126" si="606">F126*P126</f>
        <v>-421839.28965460433</v>
      </c>
      <c r="R126">
        <f t="shared" ref="R126" si="607">R127+Q126</f>
        <v>104311498.46608157</v>
      </c>
      <c r="S126">
        <f t="shared" ref="S126" si="608">R126/100000</f>
        <v>1043.1149846608157</v>
      </c>
      <c r="T126">
        <f t="shared" ref="T126" si="609">S126/1000</f>
        <v>1.0431149846608156</v>
      </c>
    </row>
    <row r="127" spans="1:20" x14ac:dyDescent="0.25">
      <c r="A127" s="5">
        <v>44466</v>
      </c>
      <c r="B127">
        <v>3059.36</v>
      </c>
      <c r="C127">
        <v>3164.94</v>
      </c>
      <c r="D127">
        <v>2922.71</v>
      </c>
      <c r="E127">
        <v>2925.59</v>
      </c>
      <c r="F127">
        <v>510130.73190000001</v>
      </c>
      <c r="G127">
        <v>2925.59</v>
      </c>
      <c r="L127" t="s">
        <v>8</v>
      </c>
      <c r="M127" t="s">
        <v>8</v>
      </c>
      <c r="N127" t="s">
        <v>7</v>
      </c>
      <c r="P127">
        <f t="shared" ref="P127" si="610">IF(C127=D127,0,((E127-D127)-(C127-E127))/(C127-D127))</f>
        <v>-0.9762209470338099</v>
      </c>
      <c r="Q127">
        <f t="shared" ref="Q127" si="611">F127*P127</f>
        <v>-498000.30620646861</v>
      </c>
      <c r="R127">
        <f t="shared" ref="R127" si="612">R128+Q127</f>
        <v>104733337.75573617</v>
      </c>
      <c r="S127">
        <f t="shared" ref="S127" si="613">R127/100000</f>
        <v>1047.3333775573617</v>
      </c>
      <c r="T127">
        <f t="shared" ref="T127" si="614">S127/1000</f>
        <v>1.0473333775573617</v>
      </c>
    </row>
    <row r="128" spans="1:20" x14ac:dyDescent="0.25">
      <c r="A128" s="5">
        <v>44465</v>
      </c>
      <c r="B128">
        <v>2921.84</v>
      </c>
      <c r="C128">
        <v>3115.51</v>
      </c>
      <c r="D128">
        <v>2738.17</v>
      </c>
      <c r="E128">
        <v>3059.37</v>
      </c>
      <c r="F128">
        <v>703594.478</v>
      </c>
      <c r="G128">
        <v>3059.37</v>
      </c>
      <c r="L128" t="s">
        <v>8</v>
      </c>
      <c r="M128" t="s">
        <v>8</v>
      </c>
      <c r="N128" t="s">
        <v>7</v>
      </c>
      <c r="P128">
        <f t="shared" ref="P128" si="615">IF(C128=D128,0,((E128-D128)-(C128-E128))/(C128-D128))</f>
        <v>0.70244341972756508</v>
      </c>
      <c r="Q128">
        <f t="shared" ref="Q128" si="616">F128*P128</f>
        <v>494235.31122775108</v>
      </c>
      <c r="R128">
        <f t="shared" ref="R128" si="617">R129+Q128</f>
        <v>105231338.06194264</v>
      </c>
      <c r="S128">
        <f t="shared" ref="S128" si="618">R128/100000</f>
        <v>1052.3133806194264</v>
      </c>
      <c r="T128">
        <f t="shared" ref="T128" si="619">S128/1000</f>
        <v>1.0523133806194265</v>
      </c>
    </row>
    <row r="129" spans="1:20" x14ac:dyDescent="0.25">
      <c r="A129" s="5">
        <v>44464</v>
      </c>
      <c r="B129">
        <v>2928.22</v>
      </c>
      <c r="C129">
        <v>2967.52</v>
      </c>
      <c r="D129">
        <v>2801.57</v>
      </c>
      <c r="E129">
        <v>2921.73</v>
      </c>
      <c r="F129">
        <v>491974.02260000003</v>
      </c>
      <c r="G129">
        <v>2921.73</v>
      </c>
      <c r="L129" t="s">
        <v>8</v>
      </c>
      <c r="M129" t="s">
        <v>8</v>
      </c>
      <c r="N129" t="s">
        <v>7</v>
      </c>
      <c r="P129">
        <f t="shared" ref="P129" si="620">IF(C129=D129,0,((E129-D129)-(C129-E129))/(C129-D129))</f>
        <v>0.44814703223862595</v>
      </c>
      <c r="Q129">
        <f t="shared" ref="Q129" si="621">F129*P129</f>
        <v>220476.6981666887</v>
      </c>
      <c r="R129">
        <f t="shared" ref="R129" si="622">R130+Q129</f>
        <v>104737102.75071488</v>
      </c>
      <c r="S129">
        <f t="shared" ref="S129" si="623">R129/100000</f>
        <v>1047.3710275071489</v>
      </c>
      <c r="T129">
        <f t="shared" ref="T129" si="624">S129/1000</f>
        <v>1.0473710275071488</v>
      </c>
    </row>
    <row r="130" spans="1:20" x14ac:dyDescent="0.25">
      <c r="A130" s="5">
        <v>44463</v>
      </c>
      <c r="B130">
        <v>3152.41</v>
      </c>
      <c r="C130">
        <v>3158.52</v>
      </c>
      <c r="D130">
        <v>2733</v>
      </c>
      <c r="E130">
        <v>2928.53</v>
      </c>
      <c r="F130">
        <v>932090.88560000004</v>
      </c>
      <c r="G130">
        <v>2928.53</v>
      </c>
      <c r="L130" t="s">
        <v>7</v>
      </c>
      <c r="M130" t="s">
        <v>8</v>
      </c>
      <c r="N130" t="s">
        <v>7</v>
      </c>
      <c r="P130">
        <f t="shared" ref="P130" si="625">IF(C130=D130,0,((E130-D130)-(C130-E130))/(C130-D130))</f>
        <v>-8.0983267531489905E-2</v>
      </c>
      <c r="Q130">
        <f t="shared" ref="Q130" si="626">F130*P130</f>
        <v>-75483.765552208148</v>
      </c>
      <c r="R130">
        <f t="shared" ref="R130" si="627">R131+Q130</f>
        <v>104516626.0525482</v>
      </c>
      <c r="S130">
        <f t="shared" ref="S130" si="628">R130/100000</f>
        <v>1045.1662605254819</v>
      </c>
      <c r="T130">
        <f t="shared" ref="T130" si="629">S130/1000</f>
        <v>1.0451662605254819</v>
      </c>
    </row>
    <row r="131" spans="1:20" x14ac:dyDescent="0.25">
      <c r="A131" s="5">
        <v>44462</v>
      </c>
      <c r="B131">
        <v>3076.92</v>
      </c>
      <c r="C131">
        <v>3174.5</v>
      </c>
      <c r="D131">
        <v>3033.85</v>
      </c>
      <c r="E131">
        <v>3152.5</v>
      </c>
      <c r="F131">
        <v>459293.88579999999</v>
      </c>
      <c r="G131">
        <v>3152.5</v>
      </c>
      <c r="L131" t="s">
        <v>8</v>
      </c>
      <c r="M131" t="s">
        <v>8</v>
      </c>
      <c r="N131" t="s">
        <v>7</v>
      </c>
      <c r="P131">
        <f t="shared" ref="P131" si="630">IF(C131=D131,0,((E131-D131)-(C131-E131))/(C131-D131))</f>
        <v>0.68716672591539307</v>
      </c>
      <c r="Q131">
        <f t="shared" ref="Q131" si="631">F131*P131</f>
        <v>315611.47573814442</v>
      </c>
      <c r="R131">
        <f t="shared" ref="R131" si="632">R132+Q131</f>
        <v>104592109.81810041</v>
      </c>
      <c r="S131">
        <f t="shared" ref="S131" si="633">R131/100000</f>
        <v>1045.921098181004</v>
      </c>
      <c r="T131">
        <f t="shared" ref="T131" si="634">S131/1000</f>
        <v>1.0459210981810041</v>
      </c>
    </row>
    <row r="132" spans="1:20" x14ac:dyDescent="0.25">
      <c r="A132" s="5">
        <v>44461</v>
      </c>
      <c r="B132">
        <v>2766.72</v>
      </c>
      <c r="C132">
        <v>3088.88</v>
      </c>
      <c r="D132">
        <v>2737.54</v>
      </c>
      <c r="E132">
        <v>3076.92</v>
      </c>
      <c r="F132">
        <v>677457.64824999997</v>
      </c>
      <c r="G132">
        <v>3076.92</v>
      </c>
      <c r="L132" t="s">
        <v>8</v>
      </c>
      <c r="M132" t="s">
        <v>7</v>
      </c>
      <c r="N132" t="s">
        <v>7</v>
      </c>
      <c r="P132">
        <f t="shared" ref="P132" si="635">IF(C132=D132,0,((E132-D132)-(C132-E132))/(C132-D132))</f>
        <v>0.93191780042124417</v>
      </c>
      <c r="Q132">
        <f t="shared" ref="Q132" si="636">F132*P132</f>
        <v>631334.8414356889</v>
      </c>
      <c r="R132">
        <f t="shared" ref="R132" si="637">R133+Q132</f>
        <v>104276498.34236227</v>
      </c>
      <c r="S132">
        <f t="shared" ref="S132" si="638">R132/100000</f>
        <v>1042.7649834236227</v>
      </c>
      <c r="T132">
        <f t="shared" ref="T132" si="639">S132/1000</f>
        <v>1.0427649834236226</v>
      </c>
    </row>
    <row r="133" spans="1:20" x14ac:dyDescent="0.25">
      <c r="A133" s="5">
        <v>44460</v>
      </c>
      <c r="B133">
        <v>2977.32</v>
      </c>
      <c r="C133">
        <v>3105.83</v>
      </c>
      <c r="D133">
        <v>2652</v>
      </c>
      <c r="E133">
        <v>2765.9</v>
      </c>
      <c r="F133">
        <v>971519.88940999995</v>
      </c>
      <c r="G133">
        <v>2765.9</v>
      </c>
      <c r="L133" t="s">
        <v>7</v>
      </c>
      <c r="M133" t="s">
        <v>7</v>
      </c>
      <c r="N133" t="s">
        <v>7</v>
      </c>
      <c r="P133">
        <f t="shared" ref="P133" si="640">IF(C133=D133,0,((E133-D133)-(C133-E133))/(C133-D133))</f>
        <v>-0.49804993059074937</v>
      </c>
      <c r="Q133">
        <f t="shared" ref="Q133" si="641">F133*P133</f>
        <v>-483865.413488183</v>
      </c>
      <c r="R133">
        <f t="shared" ref="R133" si="642">R134+Q133</f>
        <v>103645163.50092658</v>
      </c>
      <c r="S133">
        <f t="shared" ref="S133" si="643">R133/100000</f>
        <v>1036.4516350092658</v>
      </c>
      <c r="T133">
        <f t="shared" ref="T133" si="644">S133/1000</f>
        <v>1.0364516350092658</v>
      </c>
    </row>
    <row r="134" spans="1:20" x14ac:dyDescent="0.25">
      <c r="A134" s="5">
        <v>44459</v>
      </c>
      <c r="B134">
        <v>3328.57</v>
      </c>
      <c r="C134">
        <v>3347.82</v>
      </c>
      <c r="D134">
        <v>3100</v>
      </c>
      <c r="E134">
        <v>3137.07</v>
      </c>
      <c r="F134">
        <v>319617.64779999998</v>
      </c>
      <c r="G134">
        <v>3137.07</v>
      </c>
      <c r="L134" t="s">
        <v>7</v>
      </c>
      <c r="M134" t="s">
        <v>7</v>
      </c>
      <c r="N134" t="s">
        <v>8</v>
      </c>
      <c r="P134">
        <f t="shared" ref="P134" si="645">IF(C134=D134,0,((E134-D134)-(C134-E134))/(C134-D134))</f>
        <v>-0.70083124848680378</v>
      </c>
      <c r="Q134">
        <f t="shared" ref="Q134" si="646">F134*P134</f>
        <v>-223998.0351460895</v>
      </c>
      <c r="R134">
        <f t="shared" ref="R134" si="647">R135+Q134</f>
        <v>104129028.91441476</v>
      </c>
      <c r="S134">
        <f t="shared" ref="S134" si="648">R134/100000</f>
        <v>1041.2902891441477</v>
      </c>
      <c r="T134">
        <f t="shared" ref="T134" si="649">S134/1000</f>
        <v>1.0412902891441476</v>
      </c>
    </row>
    <row r="135" spans="1:20" x14ac:dyDescent="0.25">
      <c r="A135" s="5">
        <v>44458</v>
      </c>
      <c r="B135">
        <v>3435.64</v>
      </c>
      <c r="C135">
        <v>3456.53</v>
      </c>
      <c r="D135">
        <v>3277.74</v>
      </c>
      <c r="E135">
        <v>3328.62</v>
      </c>
      <c r="F135">
        <v>312948.0013</v>
      </c>
      <c r="G135">
        <v>3328.62</v>
      </c>
      <c r="L135" t="s">
        <v>7</v>
      </c>
      <c r="M135" t="s">
        <v>8</v>
      </c>
      <c r="N135" t="s">
        <v>8</v>
      </c>
      <c r="P135">
        <f t="shared" ref="P135" si="650">IF(C135=D135,0,((E135-D135)-(C135-E135))/(C135-D135))</f>
        <v>-0.4308406510431233</v>
      </c>
      <c r="Q135">
        <f t="shared" ref="Q135" si="651">F135*P135</f>
        <v>-134830.7206227362</v>
      </c>
      <c r="R135">
        <f t="shared" ref="R135" si="652">R136+Q135</f>
        <v>104353026.94956085</v>
      </c>
      <c r="S135">
        <f t="shared" ref="S135" si="653">R135/100000</f>
        <v>1043.5302694956085</v>
      </c>
      <c r="T135">
        <f t="shared" ref="T135" si="654">S135/1000</f>
        <v>1.0435302694956086</v>
      </c>
    </row>
    <row r="136" spans="1:20" x14ac:dyDescent="0.25">
      <c r="A136" s="5">
        <v>44457</v>
      </c>
      <c r="B136">
        <v>3399.89</v>
      </c>
      <c r="C136">
        <v>3541.96</v>
      </c>
      <c r="D136">
        <v>3368.88</v>
      </c>
      <c r="E136">
        <v>3435.64</v>
      </c>
      <c r="F136">
        <v>315162.76270000002</v>
      </c>
      <c r="G136">
        <v>3435.64</v>
      </c>
      <c r="L136" t="s">
        <v>7</v>
      </c>
      <c r="M136" t="s">
        <v>8</v>
      </c>
      <c r="N136" t="s">
        <v>8</v>
      </c>
      <c r="P136">
        <f t="shared" ref="P136" si="655">IF(C136=D136,0,((E136-D136)-(C136-E136))/(C136-D136))</f>
        <v>-0.22856482551421547</v>
      </c>
      <c r="Q136">
        <f t="shared" ref="Q136" si="656">F136*P136</f>
        <v>-72035.121865103603</v>
      </c>
      <c r="R136">
        <f t="shared" ref="R136" si="657">R137+Q136</f>
        <v>104487857.67018358</v>
      </c>
      <c r="S136">
        <f t="shared" ref="S136" si="658">R136/100000</f>
        <v>1044.8785767018358</v>
      </c>
      <c r="T136">
        <f t="shared" ref="T136" si="659">S136/1000</f>
        <v>1.0448785767018358</v>
      </c>
    </row>
    <row r="137" spans="1:20" x14ac:dyDescent="0.25">
      <c r="A137" s="5">
        <v>44456</v>
      </c>
      <c r="B137">
        <v>3567.97</v>
      </c>
      <c r="C137">
        <v>3594.17</v>
      </c>
      <c r="D137">
        <v>3350.07</v>
      </c>
      <c r="E137">
        <v>3399.81</v>
      </c>
      <c r="F137">
        <v>398888.37050000002</v>
      </c>
      <c r="G137">
        <v>3399.81</v>
      </c>
      <c r="L137" t="s">
        <v>7</v>
      </c>
      <c r="M137" t="s">
        <v>8</v>
      </c>
      <c r="N137" t="s">
        <v>8</v>
      </c>
      <c r="P137">
        <f t="shared" ref="P137" si="660">IF(C137=D137,0,((E137-D137)-(C137-E137))/(C137-D137))</f>
        <v>-0.59246210569438917</v>
      </c>
      <c r="Q137">
        <f t="shared" ref="Q137" si="661">F137*P137</f>
        <v>-236326.24392343368</v>
      </c>
      <c r="R137">
        <f t="shared" ref="R137" si="662">R138+Q137</f>
        <v>104559892.79204869</v>
      </c>
      <c r="S137">
        <f t="shared" ref="S137" si="663">R137/100000</f>
        <v>1045.5989279204869</v>
      </c>
      <c r="T137">
        <f t="shared" ref="T137" si="664">S137/1000</f>
        <v>1.0455989279204869</v>
      </c>
    </row>
    <row r="138" spans="1:20" x14ac:dyDescent="0.25">
      <c r="A138" s="5">
        <v>44455</v>
      </c>
      <c r="B138">
        <v>3613.55</v>
      </c>
      <c r="C138">
        <v>3676.28</v>
      </c>
      <c r="D138">
        <v>3481.14</v>
      </c>
      <c r="E138">
        <v>3567.98</v>
      </c>
      <c r="F138">
        <v>467985.49190000002</v>
      </c>
      <c r="G138">
        <v>3567.98</v>
      </c>
      <c r="L138" t="s">
        <v>8</v>
      </c>
      <c r="M138" t="s">
        <v>8</v>
      </c>
      <c r="N138" t="s">
        <v>8</v>
      </c>
      <c r="P138">
        <f t="shared" ref="P138" si="665">IF(C138=D138,0,((E138-D138)-(C138-E138))/(C138-D138))</f>
        <v>-0.10997232755970072</v>
      </c>
      <c r="Q138">
        <f t="shared" ref="Q138" si="666">F138*P138</f>
        <v>-51465.453808414473</v>
      </c>
      <c r="R138">
        <f t="shared" ref="R138" si="667">R139+Q138</f>
        <v>104796219.03597213</v>
      </c>
      <c r="S138">
        <f t="shared" ref="S138" si="668">R138/100000</f>
        <v>1047.9621903597213</v>
      </c>
      <c r="T138">
        <f t="shared" ref="T138" si="669">S138/1000</f>
        <v>1.0479621903597212</v>
      </c>
    </row>
    <row r="139" spans="1:20" x14ac:dyDescent="0.25">
      <c r="A139" s="5">
        <v>44454</v>
      </c>
      <c r="B139">
        <v>3434.37</v>
      </c>
      <c r="C139">
        <v>3616.16</v>
      </c>
      <c r="D139">
        <v>3357.78</v>
      </c>
      <c r="E139">
        <v>3613.55</v>
      </c>
      <c r="F139">
        <v>428507.52779999998</v>
      </c>
      <c r="G139">
        <v>3613.55</v>
      </c>
      <c r="L139" t="s">
        <v>8</v>
      </c>
      <c r="M139" t="s">
        <v>7</v>
      </c>
      <c r="N139" t="s">
        <v>8</v>
      </c>
      <c r="P139">
        <f t="shared" ref="P139" si="670">IF(C139=D139,0,((E139-D139)-(C139-E139))/(C139-D139))</f>
        <v>0.97979719792553854</v>
      </c>
      <c r="Q139">
        <f t="shared" ref="Q139" si="671">F139*P139</f>
        <v>419850.47502843977</v>
      </c>
      <c r="R139">
        <f t="shared" ref="R139" si="672">R140+Q139</f>
        <v>104847684.48978055</v>
      </c>
      <c r="S139">
        <f t="shared" ref="S139" si="673">R139/100000</f>
        <v>1048.4768448978054</v>
      </c>
      <c r="T139">
        <f t="shared" ref="T139" si="674">S139/1000</f>
        <v>1.0484768448978055</v>
      </c>
    </row>
    <row r="140" spans="1:20" x14ac:dyDescent="0.25">
      <c r="A140" s="5">
        <v>44453</v>
      </c>
      <c r="B140">
        <v>3285.09</v>
      </c>
      <c r="C140">
        <v>3437.05</v>
      </c>
      <c r="D140">
        <v>3269.95</v>
      </c>
      <c r="E140">
        <v>3434.37</v>
      </c>
      <c r="F140">
        <v>373634.90259999997</v>
      </c>
      <c r="G140">
        <v>3434.37</v>
      </c>
      <c r="L140" t="s">
        <v>8</v>
      </c>
      <c r="M140" t="s">
        <v>7</v>
      </c>
      <c r="N140" t="s">
        <v>8</v>
      </c>
      <c r="P140">
        <f t="shared" ref="P140" si="675">IF(C140=D140,0,((E140-D140)-(C140-E140))/(C140-D140))</f>
        <v>0.96792339916217496</v>
      </c>
      <c r="Q140">
        <f t="shared" ref="Q140" si="676">F140*P140</f>
        <v>361649.96497022011</v>
      </c>
      <c r="R140">
        <f t="shared" ref="R140" si="677">R141+Q140</f>
        <v>104427834.0147521</v>
      </c>
      <c r="S140">
        <f t="shared" ref="S140" si="678">R140/100000</f>
        <v>1044.278340147521</v>
      </c>
      <c r="T140">
        <f t="shared" ref="T140" si="679">S140/1000</f>
        <v>1.0442783401475211</v>
      </c>
    </row>
    <row r="141" spans="1:20" x14ac:dyDescent="0.25">
      <c r="A141" s="5">
        <v>44452</v>
      </c>
      <c r="B141">
        <v>3404.3</v>
      </c>
      <c r="C141">
        <v>3430.3</v>
      </c>
      <c r="D141">
        <v>3108.49</v>
      </c>
      <c r="E141">
        <v>3285.35</v>
      </c>
      <c r="F141">
        <v>647855.71990000003</v>
      </c>
      <c r="G141">
        <v>3285.35</v>
      </c>
      <c r="L141" t="s">
        <v>7</v>
      </c>
      <c r="M141" t="s">
        <v>7</v>
      </c>
      <c r="N141" t="s">
        <v>8</v>
      </c>
      <c r="P141">
        <f t="shared" ref="P141" si="680">IF(C141=D141,0,((E141-D141)-(C141-E141))/(C141-D141))</f>
        <v>9.9157888194897029E-2</v>
      </c>
      <c r="Q141">
        <f t="shared" ref="Q141" si="681">F141*P141</f>
        <v>64240.005040268727</v>
      </c>
      <c r="R141">
        <f t="shared" ref="R141" si="682">R142+Q141</f>
        <v>104066184.04978189</v>
      </c>
      <c r="S141">
        <f t="shared" ref="S141" si="683">R141/100000</f>
        <v>1040.661840497819</v>
      </c>
      <c r="T141">
        <f t="shared" ref="T141" si="684">S141/1000</f>
        <v>1.040661840497819</v>
      </c>
    </row>
    <row r="142" spans="1:20" x14ac:dyDescent="0.25">
      <c r="A142" s="5">
        <v>44451</v>
      </c>
      <c r="B142">
        <v>3267.1</v>
      </c>
      <c r="C142">
        <v>3474.16</v>
      </c>
      <c r="D142">
        <v>3231.1</v>
      </c>
      <c r="E142">
        <v>3404.21</v>
      </c>
      <c r="F142">
        <v>408858.9595</v>
      </c>
      <c r="G142">
        <v>3404.21</v>
      </c>
      <c r="L142" t="s">
        <v>8</v>
      </c>
      <c r="M142" t="s">
        <v>7</v>
      </c>
      <c r="N142" t="s">
        <v>8</v>
      </c>
      <c r="P142">
        <f t="shared" ref="P142" si="685">IF(C142=D142,0,((E142-D142)-(C142-E142))/(C142-D142))</f>
        <v>0.42442195342713868</v>
      </c>
      <c r="Q142">
        <f t="shared" ref="Q142" si="686">F142*P142</f>
        <v>173528.71826717738</v>
      </c>
      <c r="R142">
        <f t="shared" ref="R142" si="687">R143+Q142</f>
        <v>104001944.04474162</v>
      </c>
      <c r="S142">
        <f t="shared" ref="S142" si="688">R142/100000</f>
        <v>1040.0194404474162</v>
      </c>
      <c r="T142">
        <f t="shared" ref="T142" si="689">S142/1000</f>
        <v>1.0400194404474161</v>
      </c>
    </row>
    <row r="143" spans="1:20" x14ac:dyDescent="0.25">
      <c r="A143" s="5">
        <v>44450</v>
      </c>
      <c r="B143">
        <v>3208.85</v>
      </c>
      <c r="C143">
        <v>3348.37</v>
      </c>
      <c r="D143">
        <v>3200</v>
      </c>
      <c r="E143">
        <v>3267.21</v>
      </c>
      <c r="F143">
        <v>413524.17609999998</v>
      </c>
      <c r="G143">
        <v>3267.21</v>
      </c>
      <c r="L143" t="s">
        <v>7</v>
      </c>
      <c r="M143" t="s">
        <v>7</v>
      </c>
      <c r="N143" t="s">
        <v>8</v>
      </c>
      <c r="P143">
        <f t="shared" ref="P143" si="690">IF(C143=D143,0,((E143-D143)-(C143-E143))/(C143-D143))</f>
        <v>-9.4021702500504331E-2</v>
      </c>
      <c r="Q143">
        <f t="shared" ref="Q143" si="691">F143*P143</f>
        <v>-38880.247062040362</v>
      </c>
      <c r="R143">
        <f t="shared" ref="R143" si="692">R144+Q143</f>
        <v>103828415.32647444</v>
      </c>
      <c r="S143">
        <f t="shared" ref="S143" si="693">R143/100000</f>
        <v>1038.2841532647444</v>
      </c>
      <c r="T143">
        <f t="shared" ref="T143" si="694">S143/1000</f>
        <v>1.0382841532647444</v>
      </c>
    </row>
    <row r="144" spans="1:20" x14ac:dyDescent="0.25">
      <c r="A144" s="5">
        <v>44449</v>
      </c>
      <c r="B144">
        <v>3424.94</v>
      </c>
      <c r="C144">
        <v>3514.11</v>
      </c>
      <c r="D144">
        <v>3150</v>
      </c>
      <c r="E144">
        <v>3208.86</v>
      </c>
      <c r="F144">
        <v>633026.2659</v>
      </c>
      <c r="G144">
        <v>3208.86</v>
      </c>
      <c r="L144" t="s">
        <v>7</v>
      </c>
      <c r="M144" t="s">
        <v>7</v>
      </c>
      <c r="N144" t="s">
        <v>8</v>
      </c>
      <c r="P144">
        <f t="shared" ref="P144" si="695">IF(C144=D144,0,((E144-D144)-(C144-E144))/(C144-D144))</f>
        <v>-0.67669110982944658</v>
      </c>
      <c r="Q144">
        <f t="shared" ref="Q144" si="696">F144*P144</f>
        <v>-428363.24642306136</v>
      </c>
      <c r="R144">
        <f t="shared" ref="R144" si="697">R145+Q144</f>
        <v>103867295.57353649</v>
      </c>
      <c r="S144">
        <f t="shared" ref="S144" si="698">R144/100000</f>
        <v>1038.6729557353649</v>
      </c>
      <c r="T144">
        <f t="shared" ref="T144" si="699">S144/1000</f>
        <v>1.0386729557353649</v>
      </c>
    </row>
    <row r="145" spans="1:20" x14ac:dyDescent="0.25">
      <c r="A145" s="5">
        <v>44448</v>
      </c>
      <c r="B145">
        <v>3499.01</v>
      </c>
      <c r="C145">
        <v>3567.06</v>
      </c>
      <c r="D145">
        <v>3390.4</v>
      </c>
      <c r="E145">
        <v>3424.93</v>
      </c>
      <c r="F145">
        <v>628553.88309999998</v>
      </c>
      <c r="G145">
        <v>3424.93</v>
      </c>
      <c r="L145" t="s">
        <v>8</v>
      </c>
      <c r="M145" t="s">
        <v>7</v>
      </c>
      <c r="N145" t="s">
        <v>8</v>
      </c>
      <c r="P145">
        <f t="shared" ref="P145" si="700">IF(C145=D145,0,((E145-D145)-(C145-E145))/(C145-D145))</f>
        <v>-0.60907958790898031</v>
      </c>
      <c r="Q145">
        <f t="shared" ref="Q145" si="701">F145*P145</f>
        <v>-382839.34009713738</v>
      </c>
      <c r="R145">
        <f t="shared" ref="R145" si="702">R146+Q145</f>
        <v>104295658.81995955</v>
      </c>
      <c r="S145">
        <f t="shared" ref="S145" si="703">R145/100000</f>
        <v>1042.9565881995954</v>
      </c>
      <c r="T145">
        <f t="shared" ref="T145" si="704">S145/1000</f>
        <v>1.0429565881995955</v>
      </c>
    </row>
    <row r="146" spans="1:20" x14ac:dyDescent="0.25">
      <c r="A146" s="5">
        <v>44447</v>
      </c>
      <c r="B146">
        <v>3434.84</v>
      </c>
      <c r="C146">
        <v>3560</v>
      </c>
      <c r="D146">
        <v>3215.16</v>
      </c>
      <c r="E146">
        <v>3499</v>
      </c>
      <c r="F146">
        <v>780611.76569999999</v>
      </c>
      <c r="G146">
        <v>3499</v>
      </c>
      <c r="L146" t="s">
        <v>8</v>
      </c>
      <c r="M146" t="s">
        <v>7</v>
      </c>
      <c r="N146" t="s">
        <v>8</v>
      </c>
      <c r="P146">
        <f t="shared" ref="P146" si="705">IF(C146=D146,0,((E146-D146)-(C146-E146))/(C146-D146))</f>
        <v>0.6462127363414919</v>
      </c>
      <c r="Q146">
        <f t="shared" ref="Q146" si="706">F146*P146</f>
        <v>504441.26513336052</v>
      </c>
      <c r="R146">
        <f t="shared" ref="R146" si="707">R147+Q146</f>
        <v>104678498.1600567</v>
      </c>
      <c r="S146">
        <f t="shared" ref="S146" si="708">R146/100000</f>
        <v>1046.7849816005669</v>
      </c>
      <c r="T146">
        <f t="shared" ref="T146" si="709">S146/1000</f>
        <v>1.046784981600567</v>
      </c>
    </row>
    <row r="147" spans="1:20" x14ac:dyDescent="0.25">
      <c r="A147" s="5">
        <v>44446</v>
      </c>
      <c r="B147">
        <v>3926.67</v>
      </c>
      <c r="C147">
        <v>3947.15</v>
      </c>
      <c r="D147">
        <v>3005</v>
      </c>
      <c r="E147">
        <v>3434.57</v>
      </c>
      <c r="F147">
        <v>1203536.0020900001</v>
      </c>
      <c r="G147">
        <v>3434.57</v>
      </c>
      <c r="L147" t="s">
        <v>7</v>
      </c>
      <c r="M147" t="s">
        <v>7</v>
      </c>
      <c r="N147" t="s">
        <v>8</v>
      </c>
      <c r="P147">
        <f t="shared" ref="P147" si="710">IF(C147=D147,0,((E147-D147)-(C147-E147))/(C147-D147))</f>
        <v>-8.8106989332908517E-2</v>
      </c>
      <c r="Q147">
        <f t="shared" ref="Q147" si="711">F147*P147</f>
        <v>-106039.933697915</v>
      </c>
      <c r="R147">
        <f t="shared" ref="R147" si="712">R148+Q147</f>
        <v>104174056.89492333</v>
      </c>
      <c r="S147">
        <f t="shared" ref="S147" si="713">R147/100000</f>
        <v>1041.7405689492332</v>
      </c>
      <c r="T147">
        <f t="shared" ref="T147" si="714">S147/1000</f>
        <v>1.0417405689492332</v>
      </c>
    </row>
    <row r="148" spans="1:20" x14ac:dyDescent="0.25">
      <c r="A148" s="5">
        <v>44445</v>
      </c>
      <c r="B148">
        <v>3950.28</v>
      </c>
      <c r="C148">
        <v>3970</v>
      </c>
      <c r="D148">
        <v>3864.3</v>
      </c>
      <c r="E148">
        <v>3926.77</v>
      </c>
      <c r="F148">
        <v>397768.57829999999</v>
      </c>
      <c r="G148">
        <v>3926.77</v>
      </c>
      <c r="L148" t="s">
        <v>8</v>
      </c>
      <c r="M148" t="s">
        <v>8</v>
      </c>
      <c r="N148" t="s">
        <v>8</v>
      </c>
      <c r="P148">
        <f t="shared" ref="P148" si="715">IF(C148=D148,0,((E148-D148)-(C148-E148))/(C148-D148))</f>
        <v>0.1820245979186359</v>
      </c>
      <c r="Q148">
        <f t="shared" ref="Q148" si="716">F148*P148</f>
        <v>72403.665529724938</v>
      </c>
      <c r="R148">
        <f t="shared" ref="R148" si="717">R149+Q148</f>
        <v>104280096.82862124</v>
      </c>
      <c r="S148">
        <f t="shared" ref="S148" si="718">R148/100000</f>
        <v>1042.8009682862123</v>
      </c>
      <c r="T148">
        <f t="shared" ref="T148" si="719">S148/1000</f>
        <v>1.0428009682862123</v>
      </c>
    </row>
    <row r="149" spans="1:20" x14ac:dyDescent="0.25">
      <c r="A149" s="5">
        <v>44444</v>
      </c>
      <c r="B149">
        <v>3885.61</v>
      </c>
      <c r="C149">
        <v>3980</v>
      </c>
      <c r="D149">
        <v>3830</v>
      </c>
      <c r="E149">
        <v>3950.29</v>
      </c>
      <c r="F149">
        <v>365759.85969999997</v>
      </c>
      <c r="G149">
        <v>3950.29</v>
      </c>
      <c r="L149" t="s">
        <v>8</v>
      </c>
      <c r="M149" t="s">
        <v>8</v>
      </c>
      <c r="N149" t="s">
        <v>8</v>
      </c>
      <c r="P149">
        <f t="shared" ref="P149" si="720">IF(C149=D149,0,((E149-D149)-(C149-E149))/(C149-D149))</f>
        <v>0.60386666666666622</v>
      </c>
      <c r="Q149">
        <f t="shared" ref="Q149" si="721">F149*P149</f>
        <v>220870.18727750648</v>
      </c>
      <c r="R149">
        <f t="shared" ref="R149" si="722">R150+Q149</f>
        <v>104207693.16309151</v>
      </c>
      <c r="S149">
        <f t="shared" ref="S149" si="723">R149/100000</f>
        <v>1042.0769316309152</v>
      </c>
      <c r="T149">
        <f t="shared" ref="T149" si="724">S149/1000</f>
        <v>1.0420769316309151</v>
      </c>
    </row>
    <row r="150" spans="1:20" x14ac:dyDescent="0.25">
      <c r="A150" s="5">
        <v>44443</v>
      </c>
      <c r="B150">
        <v>3938.11</v>
      </c>
      <c r="C150">
        <v>3970</v>
      </c>
      <c r="D150">
        <v>3832.5</v>
      </c>
      <c r="E150">
        <v>3885.52</v>
      </c>
      <c r="F150">
        <v>364478.11930000002</v>
      </c>
      <c r="G150">
        <v>3885.52</v>
      </c>
      <c r="L150" t="s">
        <v>8</v>
      </c>
      <c r="M150" t="s">
        <v>8</v>
      </c>
      <c r="N150" t="s">
        <v>8</v>
      </c>
      <c r="P150">
        <f t="shared" ref="P150" si="725">IF(C150=D150,0,((E150-D150)-(C150-E150))/(C150-D150))</f>
        <v>-0.22880000000000025</v>
      </c>
      <c r="Q150">
        <f t="shared" ref="Q150" si="726">F150*P150</f>
        <v>-83392.5936958401</v>
      </c>
      <c r="R150">
        <f t="shared" ref="R150" si="727">R151+Q150</f>
        <v>103986822.975814</v>
      </c>
      <c r="S150">
        <f t="shared" ref="S150" si="728">R150/100000</f>
        <v>1039.8682297581399</v>
      </c>
      <c r="T150">
        <f t="shared" ref="T150" si="729">S150/1000</f>
        <v>1.0398682297581399</v>
      </c>
    </row>
    <row r="151" spans="1:20" x14ac:dyDescent="0.25">
      <c r="A151" s="5">
        <v>44442</v>
      </c>
      <c r="B151">
        <v>3785.82</v>
      </c>
      <c r="C151">
        <v>4027.88</v>
      </c>
      <c r="D151">
        <v>3705.05</v>
      </c>
      <c r="E151">
        <v>3938.11</v>
      </c>
      <c r="F151">
        <v>655903.75739000004</v>
      </c>
      <c r="G151">
        <v>3938.11</v>
      </c>
      <c r="L151" t="s">
        <v>8</v>
      </c>
      <c r="M151" t="s">
        <v>8</v>
      </c>
      <c r="N151" t="s">
        <v>8</v>
      </c>
      <c r="P151">
        <f t="shared" ref="P151" si="730">IF(C151=D151,0,((E151-D151)-(C151-E151))/(C151-D151))</f>
        <v>0.44385589938977171</v>
      </c>
      <c r="Q151">
        <f t="shared" ref="Q151" si="731">F151*P151</f>
        <v>291126.7521494691</v>
      </c>
      <c r="R151">
        <f t="shared" ref="R151" si="732">R152+Q151</f>
        <v>104070215.56950983</v>
      </c>
      <c r="S151">
        <f t="shared" ref="S151" si="733">R151/100000</f>
        <v>1040.7021556950983</v>
      </c>
      <c r="T151">
        <f t="shared" ref="T151" si="734">S151/1000</f>
        <v>1.0407021556950984</v>
      </c>
    </row>
    <row r="152" spans="1:20" x14ac:dyDescent="0.25">
      <c r="A152" s="5">
        <v>44441</v>
      </c>
      <c r="B152">
        <v>3826.82</v>
      </c>
      <c r="C152">
        <v>3836.8</v>
      </c>
      <c r="D152">
        <v>3717.04</v>
      </c>
      <c r="E152">
        <v>3785.82</v>
      </c>
      <c r="F152">
        <v>525165.79960000003</v>
      </c>
      <c r="G152">
        <v>3785.82</v>
      </c>
      <c r="L152" t="s">
        <v>8</v>
      </c>
      <c r="M152" t="s">
        <v>8</v>
      </c>
      <c r="N152" t="s">
        <v>8</v>
      </c>
      <c r="P152">
        <f t="shared" ref="P152" si="735">IF(C152=D152,0,((E152-D152)-(C152-E152))/(C152-D152))</f>
        <v>0.14863059452237934</v>
      </c>
      <c r="Q152">
        <f t="shared" ref="Q152" si="736">F152*P152</f>
        <v>78055.705017368731</v>
      </c>
      <c r="R152">
        <f t="shared" ref="R152" si="737">R153+Q152</f>
        <v>103779088.81736037</v>
      </c>
      <c r="S152">
        <f t="shared" ref="S152" si="738">R152/100000</f>
        <v>1037.7908881736037</v>
      </c>
      <c r="T152">
        <f t="shared" ref="T152" si="739">S152/1000</f>
        <v>1.0377908881736038</v>
      </c>
    </row>
    <row r="153" spans="1:20" x14ac:dyDescent="0.25">
      <c r="A153" s="5">
        <v>44440</v>
      </c>
      <c r="B153">
        <v>3429.19</v>
      </c>
      <c r="C153">
        <v>3842</v>
      </c>
      <c r="D153">
        <v>3382.22</v>
      </c>
      <c r="E153">
        <v>3826.82</v>
      </c>
      <c r="F153">
        <v>845759.95868000004</v>
      </c>
      <c r="G153">
        <v>3826.82</v>
      </c>
      <c r="L153" t="s">
        <v>8</v>
      </c>
      <c r="M153" t="s">
        <v>8</v>
      </c>
      <c r="N153" t="s">
        <v>8</v>
      </c>
      <c r="P153">
        <f t="shared" ref="P153" si="740">IF(C153=D153,0,((E153-D153)-(C153-E153))/(C153-D153))</f>
        <v>0.93396841967897759</v>
      </c>
      <c r="Q153">
        <f t="shared" ref="Q153" si="741">F153*P153</f>
        <v>789913.09203611698</v>
      </c>
      <c r="R153">
        <f t="shared" ref="R153" si="742">R154+Q153</f>
        <v>103701033.112343</v>
      </c>
      <c r="S153">
        <f t="shared" ref="S153" si="743">R153/100000</f>
        <v>1037.01033112343</v>
      </c>
      <c r="T153">
        <f t="shared" ref="T153" si="744">S153/1000</f>
        <v>1.03701033112343</v>
      </c>
    </row>
    <row r="154" spans="1:20" x14ac:dyDescent="0.25">
      <c r="A154" s="5">
        <v>44439</v>
      </c>
      <c r="B154">
        <v>3229.14</v>
      </c>
      <c r="C154">
        <v>3476</v>
      </c>
      <c r="D154">
        <v>3188.77</v>
      </c>
      <c r="E154">
        <v>3429.2</v>
      </c>
      <c r="F154">
        <v>863071.13092000003</v>
      </c>
      <c r="G154">
        <v>3429.2</v>
      </c>
      <c r="L154" t="s">
        <v>8</v>
      </c>
      <c r="M154" t="s">
        <v>8</v>
      </c>
      <c r="N154" t="s">
        <v>8</v>
      </c>
      <c r="P154">
        <f t="shared" ref="P154" si="745">IF(C154=D154,0,((E154-D154)-(C154-E154))/(C154-D154))</f>
        <v>0.67412874699717873</v>
      </c>
      <c r="Q154">
        <f t="shared" ref="Q154" si="746">F154*P154</f>
        <v>581821.06005653762</v>
      </c>
      <c r="R154">
        <f t="shared" ref="R154" si="747">R155+Q154</f>
        <v>102911120.02030689</v>
      </c>
      <c r="S154">
        <f t="shared" ref="S154" si="748">R154/100000</f>
        <v>1029.1112002030688</v>
      </c>
      <c r="T154">
        <f t="shared" ref="T154" si="749">S154/1000</f>
        <v>1.0291112002030689</v>
      </c>
    </row>
    <row r="155" spans="1:20" x14ac:dyDescent="0.25">
      <c r="A155" s="5">
        <v>44438</v>
      </c>
      <c r="B155">
        <v>3223.47</v>
      </c>
      <c r="C155">
        <v>3347.95</v>
      </c>
      <c r="D155">
        <v>3143</v>
      </c>
      <c r="E155">
        <v>3229.64</v>
      </c>
      <c r="F155">
        <v>625347.27541</v>
      </c>
      <c r="G155">
        <v>3229.64</v>
      </c>
      <c r="L155" t="s">
        <v>8</v>
      </c>
      <c r="M155" t="s">
        <v>8</v>
      </c>
      <c r="N155" t="s">
        <v>8</v>
      </c>
      <c r="P155">
        <f t="shared" ref="P155" si="750">IF(C155=D155,0,((E155-D155)-(C155-E155))/(C155-D155))</f>
        <v>-0.15452549402293292</v>
      </c>
      <c r="Q155">
        <f t="shared" ref="Q155" si="751">F155*P155</f>
        <v>-96632.096668625338</v>
      </c>
      <c r="R155">
        <f t="shared" ref="R155" si="752">R156+Q155</f>
        <v>102329298.96025035</v>
      </c>
      <c r="S155">
        <f t="shared" ref="S155" si="753">R155/100000</f>
        <v>1023.2929896025034</v>
      </c>
      <c r="T155">
        <f t="shared" ref="T155" si="754">S155/1000</f>
        <v>1.0232929896025034</v>
      </c>
    </row>
    <row r="156" spans="1:20" x14ac:dyDescent="0.25">
      <c r="A156" s="5">
        <v>44437</v>
      </c>
      <c r="B156">
        <v>3244.75</v>
      </c>
      <c r="C156">
        <v>3285</v>
      </c>
      <c r="D156">
        <v>3152.34</v>
      </c>
      <c r="E156">
        <v>3223.47</v>
      </c>
      <c r="F156">
        <v>335806.78269999998</v>
      </c>
      <c r="G156">
        <v>3223.47</v>
      </c>
      <c r="L156" t="s">
        <v>7</v>
      </c>
      <c r="M156" t="s">
        <v>8</v>
      </c>
      <c r="N156" t="s">
        <v>8</v>
      </c>
      <c r="P156">
        <f t="shared" ref="P156" si="755">IF(C156=D156,0,((E156-D156)-(C156-E156))/(C156-D156))</f>
        <v>7.2365445499769823E-2</v>
      </c>
      <c r="Q156">
        <f t="shared" ref="Q156" si="756">F156*P156</f>
        <v>24300.807431929898</v>
      </c>
      <c r="R156">
        <f t="shared" ref="R156" si="757">R157+Q156</f>
        <v>102425931.05691898</v>
      </c>
      <c r="S156">
        <f t="shared" ref="S156" si="758">R156/100000</f>
        <v>1024.2593105691899</v>
      </c>
      <c r="T156">
        <f t="shared" ref="T156" si="759">S156/1000</f>
        <v>1.02425931056919</v>
      </c>
    </row>
    <row r="157" spans="1:20" x14ac:dyDescent="0.25">
      <c r="A157" s="5">
        <v>44436</v>
      </c>
      <c r="B157">
        <v>3273.89</v>
      </c>
      <c r="C157">
        <v>3287</v>
      </c>
      <c r="D157">
        <v>3210.31</v>
      </c>
      <c r="E157">
        <v>3244.48</v>
      </c>
      <c r="F157">
        <v>262360.34921000001</v>
      </c>
      <c r="G157">
        <v>3244.48</v>
      </c>
      <c r="L157" t="s">
        <v>7</v>
      </c>
      <c r="M157" t="s">
        <v>8</v>
      </c>
      <c r="N157" t="s">
        <v>8</v>
      </c>
      <c r="P157">
        <f t="shared" ref="P157" si="760">IF(C157=D157,0,((E157-D157)-(C157-E157))/(C157-D157))</f>
        <v>-0.10887990611552879</v>
      </c>
      <c r="Q157">
        <f t="shared" ref="Q157" si="761">F157*P157</f>
        <v>-28565.77019042215</v>
      </c>
      <c r="R157">
        <f t="shared" ref="R157" si="762">R158+Q157</f>
        <v>102401630.24948704</v>
      </c>
      <c r="S157">
        <f t="shared" ref="S157" si="763">R157/100000</f>
        <v>1024.0163024948704</v>
      </c>
      <c r="T157">
        <f t="shared" ref="T157" si="764">S157/1000</f>
        <v>1.0240163024948703</v>
      </c>
    </row>
    <row r="158" spans="1:20" x14ac:dyDescent="0.25">
      <c r="A158" s="5">
        <v>44435</v>
      </c>
      <c r="B158">
        <v>3093.06</v>
      </c>
      <c r="C158">
        <v>3280</v>
      </c>
      <c r="D158">
        <v>3060.18</v>
      </c>
      <c r="E158">
        <v>3273.45</v>
      </c>
      <c r="F158">
        <v>451027.80710999999</v>
      </c>
      <c r="G158">
        <v>3273.45</v>
      </c>
      <c r="L158" t="s">
        <v>7</v>
      </c>
      <c r="M158" t="s">
        <v>8</v>
      </c>
      <c r="N158" t="s">
        <v>8</v>
      </c>
      <c r="P158">
        <f t="shared" ref="P158" si="765">IF(C158=D158,0,((E158-D158)-(C158-E158))/(C158-D158))</f>
        <v>0.94040578655263241</v>
      </c>
      <c r="Q158">
        <f t="shared" ref="Q158" si="766">F158*P158</f>
        <v>424149.15970238851</v>
      </c>
      <c r="R158">
        <f t="shared" ref="R158" si="767">R159+Q158</f>
        <v>102430196.01967746</v>
      </c>
      <c r="S158">
        <f t="shared" ref="S158" si="768">R158/100000</f>
        <v>1024.3019601967746</v>
      </c>
      <c r="T158">
        <f t="shared" ref="T158" si="769">S158/1000</f>
        <v>1.0243019601967747</v>
      </c>
    </row>
    <row r="159" spans="1:20" x14ac:dyDescent="0.25">
      <c r="A159" s="5">
        <v>44434</v>
      </c>
      <c r="B159">
        <v>3226.88</v>
      </c>
      <c r="C159">
        <v>3250</v>
      </c>
      <c r="D159">
        <v>3053.3</v>
      </c>
      <c r="E159">
        <v>3093.2</v>
      </c>
      <c r="F159">
        <v>442298.47372000001</v>
      </c>
      <c r="G159">
        <v>3093.2</v>
      </c>
      <c r="L159" t="s">
        <v>7</v>
      </c>
      <c r="M159" t="s">
        <v>8</v>
      </c>
      <c r="N159" t="s">
        <v>8</v>
      </c>
      <c r="P159">
        <f t="shared" ref="P159" si="770">IF(C159=D159,0,((E159-D159)-(C159-E159))/(C159-D159))</f>
        <v>-0.59430604982206736</v>
      </c>
      <c r="Q159">
        <f t="shared" ref="Q159" si="771">F159*P159</f>
        <v>-262860.6587588627</v>
      </c>
      <c r="R159">
        <f t="shared" ref="R159" si="772">R160+Q159</f>
        <v>102006046.85997507</v>
      </c>
      <c r="S159">
        <f t="shared" ref="S159" si="773">R159/100000</f>
        <v>1020.0604685997507</v>
      </c>
      <c r="T159">
        <f t="shared" ref="T159" si="774">S159/1000</f>
        <v>1.0200604685997507</v>
      </c>
    </row>
    <row r="160" spans="1:20" x14ac:dyDescent="0.25">
      <c r="A160" s="5">
        <v>44433</v>
      </c>
      <c r="B160">
        <v>3170.63</v>
      </c>
      <c r="C160">
        <v>3248</v>
      </c>
      <c r="D160">
        <v>3080</v>
      </c>
      <c r="E160">
        <v>3226.87</v>
      </c>
      <c r="F160">
        <v>483697.69443999999</v>
      </c>
      <c r="G160">
        <v>3226.87</v>
      </c>
      <c r="L160" t="s">
        <v>7</v>
      </c>
      <c r="M160" t="s">
        <v>8</v>
      </c>
      <c r="N160" t="s">
        <v>8</v>
      </c>
      <c r="P160">
        <f t="shared" ref="P160" si="775">IF(C160=D160,0,((E160-D160)-(C160-E160))/(C160-D160))</f>
        <v>0.74845238095237965</v>
      </c>
      <c r="Q160">
        <f t="shared" ref="Q160" si="776">F160*P160</f>
        <v>362024.69106479461</v>
      </c>
      <c r="R160">
        <f t="shared" ref="R160" si="777">R161+Q160</f>
        <v>102268907.51873393</v>
      </c>
      <c r="S160">
        <f t="shared" ref="S160" si="778">R160/100000</f>
        <v>1022.6890751873393</v>
      </c>
      <c r="T160">
        <f t="shared" ref="T160" si="779">S160/1000</f>
        <v>1.0226890751873392</v>
      </c>
    </row>
    <row r="161" spans="1:20" x14ac:dyDescent="0.25">
      <c r="A161" s="5">
        <v>44432</v>
      </c>
      <c r="B161">
        <v>3321.28</v>
      </c>
      <c r="C161">
        <v>3357.85</v>
      </c>
      <c r="D161">
        <v>3147.31</v>
      </c>
      <c r="E161">
        <v>3170.62</v>
      </c>
      <c r="F161">
        <v>540480.07853000006</v>
      </c>
      <c r="G161">
        <v>3170.62</v>
      </c>
      <c r="L161" t="s">
        <v>7</v>
      </c>
      <c r="M161" t="s">
        <v>8</v>
      </c>
      <c r="N161" t="s">
        <v>8</v>
      </c>
      <c r="P161">
        <f t="shared" ref="P161" si="780">IF(C161=D161,0,((E161-D161)-(C161-E161))/(C161-D161))</f>
        <v>-0.77856939298945615</v>
      </c>
      <c r="Q161">
        <f t="shared" ref="Q161" si="781">F161*P161</f>
        <v>-420801.24666399573</v>
      </c>
      <c r="R161">
        <f t="shared" ref="R161" si="782">R162+Q161</f>
        <v>101906882.82766914</v>
      </c>
      <c r="S161">
        <f t="shared" ref="S161" si="783">R161/100000</f>
        <v>1019.0688282766914</v>
      </c>
      <c r="T161">
        <f t="shared" ref="T161" si="784">S161/1000</f>
        <v>1.0190688282766913</v>
      </c>
    </row>
    <row r="162" spans="1:20" x14ac:dyDescent="0.25">
      <c r="A162" s="5">
        <v>44431</v>
      </c>
      <c r="B162">
        <v>3238</v>
      </c>
      <c r="C162">
        <v>3377.89</v>
      </c>
      <c r="D162">
        <v>3230.02</v>
      </c>
      <c r="E162">
        <v>3321.28</v>
      </c>
      <c r="F162">
        <v>602103.44614000001</v>
      </c>
      <c r="G162">
        <v>3321.28</v>
      </c>
      <c r="L162" t="s">
        <v>8</v>
      </c>
      <c r="M162" t="s">
        <v>8</v>
      </c>
      <c r="N162" t="s">
        <v>8</v>
      </c>
      <c r="P162">
        <f t="shared" ref="P162" si="785">IF(C162=D162,0,((E162-D162)-(C162-E162))/(C162-D162))</f>
        <v>0.23432744978697892</v>
      </c>
      <c r="Q162">
        <f t="shared" ref="Q162" si="786">F162*P162</f>
        <v>141089.36504193782</v>
      </c>
      <c r="R162">
        <f t="shared" ref="R162" si="787">R163+Q162</f>
        <v>102327684.07433315</v>
      </c>
      <c r="S162">
        <f t="shared" ref="S162" si="788">R162/100000</f>
        <v>1023.2768407433315</v>
      </c>
      <c r="T162">
        <f t="shared" ref="T162" si="789">S162/1000</f>
        <v>1.0232768407433315</v>
      </c>
    </row>
    <row r="163" spans="1:20" x14ac:dyDescent="0.25">
      <c r="A163" s="5">
        <v>44430</v>
      </c>
      <c r="B163">
        <v>3223.36</v>
      </c>
      <c r="C163">
        <v>3257.26</v>
      </c>
      <c r="D163">
        <v>3217</v>
      </c>
      <c r="E163">
        <v>3246.66</v>
      </c>
      <c r="F163">
        <v>64641.809329999996</v>
      </c>
      <c r="G163">
        <v>3246.66</v>
      </c>
      <c r="L163" t="s">
        <v>8</v>
      </c>
      <c r="M163" t="s">
        <v>8</v>
      </c>
      <c r="N163" t="s">
        <v>8</v>
      </c>
      <c r="P163">
        <f t="shared" ref="P163" si="790">IF(C163=D163,0,((E163-D163)-(C163-E163))/(C163-D163))</f>
        <v>0.4734227521112615</v>
      </c>
      <c r="Q163">
        <f t="shared" ref="Q163" si="791">F163*P163</f>
        <v>30602.903274460019</v>
      </c>
      <c r="R163">
        <f t="shared" ref="R163" si="792">R164+Q163</f>
        <v>102186594.7092912</v>
      </c>
      <c r="S163">
        <f t="shared" ref="S163" si="793">R163/100000</f>
        <v>1021.8659470929121</v>
      </c>
      <c r="T163">
        <f t="shared" ref="T163" si="794">S163/1000</f>
        <v>1.0218659470929121</v>
      </c>
    </row>
    <row r="164" spans="1:20" x14ac:dyDescent="0.25">
      <c r="A164" s="5">
        <v>44429</v>
      </c>
      <c r="B164">
        <v>3284.81</v>
      </c>
      <c r="C164">
        <v>3309.16</v>
      </c>
      <c r="D164">
        <v>3207</v>
      </c>
      <c r="E164">
        <v>3223.43</v>
      </c>
      <c r="F164">
        <v>421156.09084000002</v>
      </c>
      <c r="G164">
        <v>3223.43</v>
      </c>
      <c r="L164" t="s">
        <v>8</v>
      </c>
      <c r="M164" t="s">
        <v>8</v>
      </c>
      <c r="N164" t="s">
        <v>8</v>
      </c>
      <c r="P164">
        <f t="shared" ref="P164" si="795">IF(C164=D164,0,((E164-D164)-(C164-E164))/(C164-D164))</f>
        <v>-0.6783476898982016</v>
      </c>
      <c r="Q164">
        <f t="shared" ref="Q164" si="796">F164*P164</f>
        <v>-285690.26130787114</v>
      </c>
      <c r="R164">
        <f t="shared" ref="R164" si="797">R165+Q164</f>
        <v>102155991.80601674</v>
      </c>
      <c r="S164">
        <f t="shared" ref="S164" si="798">R164/100000</f>
        <v>1021.5599180601674</v>
      </c>
      <c r="T164">
        <f t="shared" ref="T164" si="799">S164/1000</f>
        <v>1.0215599180601673</v>
      </c>
    </row>
    <row r="165" spans="1:20" x14ac:dyDescent="0.25">
      <c r="A165" s="5">
        <v>44428</v>
      </c>
      <c r="B165">
        <v>3184.11</v>
      </c>
      <c r="C165">
        <v>3300</v>
      </c>
      <c r="D165">
        <v>3177.16</v>
      </c>
      <c r="E165">
        <v>3284.82</v>
      </c>
      <c r="F165">
        <v>558127.45539999998</v>
      </c>
      <c r="G165">
        <v>3284.82</v>
      </c>
      <c r="L165" t="s">
        <v>8</v>
      </c>
      <c r="M165" t="s">
        <v>8</v>
      </c>
      <c r="N165" t="s">
        <v>8</v>
      </c>
      <c r="P165">
        <f t="shared" ref="P165" si="800">IF(C165=D165,0,((E165-D165)-(C165-E165))/(C165-D165))</f>
        <v>0.75284923477694854</v>
      </c>
      <c r="Q165">
        <f t="shared" ref="Q165" si="801">F165*P165</f>
        <v>420185.82770589547</v>
      </c>
      <c r="R165">
        <f t="shared" ref="R165" si="802">R166+Q165</f>
        <v>102441682.06732461</v>
      </c>
      <c r="S165">
        <f t="shared" ref="S165" si="803">R165/100000</f>
        <v>1024.4168206732461</v>
      </c>
      <c r="T165">
        <f t="shared" ref="T165" si="804">S165/1000</f>
        <v>1.024416820673246</v>
      </c>
    </row>
    <row r="166" spans="1:20" x14ac:dyDescent="0.25">
      <c r="A166" s="5">
        <v>44427</v>
      </c>
      <c r="B166">
        <v>3014.18</v>
      </c>
      <c r="C166">
        <v>3188</v>
      </c>
      <c r="D166">
        <v>2958.33</v>
      </c>
      <c r="E166">
        <v>3184.12</v>
      </c>
      <c r="F166">
        <v>634769.92174000002</v>
      </c>
      <c r="G166">
        <v>3184.12</v>
      </c>
      <c r="L166" t="s">
        <v>8</v>
      </c>
      <c r="M166" t="s">
        <v>8</v>
      </c>
      <c r="N166" t="s">
        <v>8</v>
      </c>
      <c r="P166">
        <f t="shared" ref="P166" si="805">IF(C166=D166,0,((E166-D166)-(C166-E166))/(C166-D166))</f>
        <v>0.96621239169242734</v>
      </c>
      <c r="Q166">
        <f t="shared" ref="Q166" si="806">F166*P166</f>
        <v>613322.56425882038</v>
      </c>
      <c r="R166">
        <f t="shared" ref="R166" si="807">R167+Q166</f>
        <v>102021496.23961872</v>
      </c>
      <c r="S166">
        <f t="shared" ref="S166" si="808">R166/100000</f>
        <v>1020.2149623961872</v>
      </c>
      <c r="T166">
        <f t="shared" ref="T166" si="809">S166/1000</f>
        <v>1.0202149623961871</v>
      </c>
    </row>
    <row r="167" spans="1:20" x14ac:dyDescent="0.25">
      <c r="A167" s="5">
        <v>44426</v>
      </c>
      <c r="B167">
        <v>3011.73</v>
      </c>
      <c r="C167">
        <v>3125.81</v>
      </c>
      <c r="D167">
        <v>2950</v>
      </c>
      <c r="E167">
        <v>3014.55</v>
      </c>
      <c r="F167">
        <v>625103.25567999994</v>
      </c>
      <c r="G167">
        <v>3014.55</v>
      </c>
      <c r="L167" t="s">
        <v>7</v>
      </c>
      <c r="M167" t="s">
        <v>8</v>
      </c>
      <c r="N167" t="s">
        <v>8</v>
      </c>
      <c r="P167">
        <f t="shared" ref="P167" si="810">IF(C167=D167,0,((E167-D167)-(C167-E167))/(C167-D167))</f>
        <v>-0.26568454581650414</v>
      </c>
      <c r="Q167">
        <f t="shared" ref="Q167" si="811">F167*P167</f>
        <v>-166080.27457375886</v>
      </c>
      <c r="R167">
        <f t="shared" ref="R167" si="812">R168+Q167</f>
        <v>101408173.6753599</v>
      </c>
      <c r="S167">
        <f t="shared" ref="S167" si="813">R167/100000</f>
        <v>1014.0817367535991</v>
      </c>
      <c r="T167">
        <f t="shared" ref="T167" si="814">S167/1000</f>
        <v>1.014081736753599</v>
      </c>
    </row>
    <row r="168" spans="1:20" x14ac:dyDescent="0.25">
      <c r="A168" s="5">
        <v>44425</v>
      </c>
      <c r="B168">
        <v>3147.18</v>
      </c>
      <c r="C168">
        <v>3290</v>
      </c>
      <c r="D168">
        <v>2991.89</v>
      </c>
      <c r="E168">
        <v>3011.72</v>
      </c>
      <c r="F168">
        <v>804996.06970999995</v>
      </c>
      <c r="G168">
        <v>3011.72</v>
      </c>
      <c r="L168" t="s">
        <v>7</v>
      </c>
      <c r="M168" t="s">
        <v>8</v>
      </c>
      <c r="N168" t="s">
        <v>8</v>
      </c>
      <c r="P168">
        <f t="shared" ref="P168" si="815">IF(C168=D168,0,((E168-D168)-(C168-E168))/(C168-D168))</f>
        <v>-0.86696185971621265</v>
      </c>
      <c r="Q168">
        <f t="shared" ref="Q168" si="816">F168*P168</f>
        <v>-697900.8896600235</v>
      </c>
      <c r="R168">
        <f t="shared" ref="R168" si="817">R169+Q168</f>
        <v>101574253.94993366</v>
      </c>
      <c r="S168">
        <f t="shared" ref="S168" si="818">R168/100000</f>
        <v>1015.7425394993367</v>
      </c>
      <c r="T168">
        <f t="shared" ref="T168" si="819">S168/1000</f>
        <v>1.0157425394993367</v>
      </c>
    </row>
    <row r="169" spans="1:20" x14ac:dyDescent="0.25">
      <c r="A169" s="5">
        <v>44424</v>
      </c>
      <c r="B169">
        <v>3307.35</v>
      </c>
      <c r="C169">
        <v>3335</v>
      </c>
      <c r="D169">
        <v>3135.22</v>
      </c>
      <c r="E169">
        <v>3146.53</v>
      </c>
      <c r="F169">
        <v>635667.05422000005</v>
      </c>
      <c r="G169">
        <v>3146.53</v>
      </c>
      <c r="L169" t="s">
        <v>8</v>
      </c>
      <c r="M169" t="s">
        <v>8</v>
      </c>
      <c r="N169" t="s">
        <v>8</v>
      </c>
      <c r="P169">
        <f t="shared" ref="P169" si="820">IF(C169=D169,0,((E169-D169)-(C169-E169))/(C169-D169))</f>
        <v>-0.88677545299829419</v>
      </c>
      <c r="Q169">
        <f t="shared" ref="Q169" si="821">F169*P169</f>
        <v>-563693.93996203179</v>
      </c>
      <c r="R169">
        <f t="shared" ref="R169" si="822">R170+Q169</f>
        <v>102272154.83959369</v>
      </c>
      <c r="S169">
        <f t="shared" ref="S169" si="823">R169/100000</f>
        <v>1022.7215483959369</v>
      </c>
      <c r="T169">
        <f t="shared" ref="T169" si="824">S169/1000</f>
        <v>1.0227215483959369</v>
      </c>
    </row>
    <row r="170" spans="1:20" x14ac:dyDescent="0.25">
      <c r="A170" s="5">
        <v>44423</v>
      </c>
      <c r="B170">
        <v>3263.16</v>
      </c>
      <c r="C170">
        <v>3320</v>
      </c>
      <c r="D170">
        <v>3111.13</v>
      </c>
      <c r="E170">
        <v>3307.09</v>
      </c>
      <c r="F170">
        <v>565579.67764999997</v>
      </c>
      <c r="G170">
        <v>3307.09</v>
      </c>
      <c r="L170" t="s">
        <v>8</v>
      </c>
      <c r="M170" t="s">
        <v>8</v>
      </c>
      <c r="N170" t="s">
        <v>8</v>
      </c>
      <c r="P170">
        <f t="shared" ref="P170" si="825">IF(C170=D170,0,((E170-D170)-(C170-E170))/(C170-D170))</f>
        <v>0.87638243883755584</v>
      </c>
      <c r="Q170">
        <f t="shared" ref="Q170" si="826">F170*P170</f>
        <v>495664.09725586564</v>
      </c>
      <c r="R170">
        <f t="shared" ref="R170" si="827">R171+Q170</f>
        <v>102835848.77955572</v>
      </c>
      <c r="S170">
        <f t="shared" ref="S170" si="828">R170/100000</f>
        <v>1028.3584877955573</v>
      </c>
      <c r="T170">
        <f t="shared" ref="T170" si="829">S170/1000</f>
        <v>1.0283584877955572</v>
      </c>
    </row>
    <row r="171" spans="1:20" x14ac:dyDescent="0.25">
      <c r="A171" s="5">
        <v>44422</v>
      </c>
      <c r="B171">
        <v>3322.33</v>
      </c>
      <c r="C171">
        <v>3330.98</v>
      </c>
      <c r="D171">
        <v>3200</v>
      </c>
      <c r="E171">
        <v>3263.16</v>
      </c>
      <c r="F171">
        <v>486102.53787</v>
      </c>
      <c r="G171">
        <v>3263.16</v>
      </c>
      <c r="L171" t="s">
        <v>8</v>
      </c>
      <c r="M171" t="s">
        <v>8</v>
      </c>
      <c r="N171" t="s">
        <v>8</v>
      </c>
      <c r="P171">
        <f t="shared" ref="P171" si="830">IF(C171=D171,0,((E171-D171)-(C171-E171))/(C171-D171))</f>
        <v>-3.5577950832190473E-2</v>
      </c>
      <c r="Q171">
        <f t="shared" ref="Q171" si="831">F171*P171</f>
        <v>-17294.532191741866</v>
      </c>
      <c r="R171">
        <f t="shared" ref="R171" si="832">R172+Q171</f>
        <v>102340184.68229985</v>
      </c>
      <c r="S171">
        <f t="shared" ref="S171" si="833">R171/100000</f>
        <v>1023.4018468229986</v>
      </c>
      <c r="T171">
        <f t="shared" ref="T171" si="834">S171/1000</f>
        <v>1.0234018468229986</v>
      </c>
    </row>
    <row r="172" spans="1:20" x14ac:dyDescent="0.25">
      <c r="A172" s="5">
        <v>44421</v>
      </c>
      <c r="B172">
        <v>3046.11</v>
      </c>
      <c r="C172">
        <v>3327.83</v>
      </c>
      <c r="D172">
        <v>3033.8</v>
      </c>
      <c r="E172">
        <v>3322.32</v>
      </c>
      <c r="F172">
        <v>579333.40323000005</v>
      </c>
      <c r="G172">
        <v>3322.32</v>
      </c>
      <c r="L172" t="s">
        <v>8</v>
      </c>
      <c r="M172" t="s">
        <v>8</v>
      </c>
      <c r="N172" t="s">
        <v>8</v>
      </c>
      <c r="P172">
        <f t="shared" ref="P172" si="835">IF(C172=D172,0,((E172-D172)-(C172-E172))/(C172-D172))</f>
        <v>0.96252083120770149</v>
      </c>
      <c r="Q172">
        <f t="shared" ref="Q172" si="836">F172*P172</f>
        <v>557620.46882332617</v>
      </c>
      <c r="R172">
        <f t="shared" ref="R172" si="837">R173+Q172</f>
        <v>102357479.21449159</v>
      </c>
      <c r="S172">
        <f t="shared" ref="S172" si="838">R172/100000</f>
        <v>1023.5747921449159</v>
      </c>
      <c r="T172">
        <f t="shared" ref="T172" si="839">S172/1000</f>
        <v>1.0235747921449159</v>
      </c>
    </row>
    <row r="173" spans="1:20" x14ac:dyDescent="0.25">
      <c r="A173" s="5">
        <v>44420</v>
      </c>
      <c r="B173">
        <v>3160.4</v>
      </c>
      <c r="C173">
        <v>3239</v>
      </c>
      <c r="D173">
        <v>2979.29</v>
      </c>
      <c r="E173">
        <v>3045.96</v>
      </c>
      <c r="F173">
        <v>737628.45808000001</v>
      </c>
      <c r="G173">
        <v>3045.96</v>
      </c>
      <c r="L173" t="s">
        <v>7</v>
      </c>
      <c r="M173" t="s">
        <v>8</v>
      </c>
      <c r="N173" t="s">
        <v>8</v>
      </c>
      <c r="P173">
        <f t="shared" ref="P173" si="840">IF(C173=D173,0,((E173-D173)-(C173-E173))/(C173-D173))</f>
        <v>-0.48658118670825101</v>
      </c>
      <c r="Q173">
        <f t="shared" ref="Q173" si="841">F173*P173</f>
        <v>-358916.13048234378</v>
      </c>
      <c r="R173">
        <f t="shared" ref="R173" si="842">R174+Q173</f>
        <v>101799858.74566826</v>
      </c>
      <c r="S173">
        <f t="shared" ref="S173" si="843">R173/100000</f>
        <v>1017.9985874566826</v>
      </c>
      <c r="T173">
        <f t="shared" ref="T173" si="844">S173/1000</f>
        <v>1.0179985874566826</v>
      </c>
    </row>
    <row r="174" spans="1:20" x14ac:dyDescent="0.25">
      <c r="A174" s="5">
        <v>44419</v>
      </c>
      <c r="B174">
        <v>3141.14</v>
      </c>
      <c r="C174">
        <v>3274</v>
      </c>
      <c r="D174">
        <v>3120.27</v>
      </c>
      <c r="E174">
        <v>3160.5</v>
      </c>
      <c r="F174">
        <v>732546.60433</v>
      </c>
      <c r="G174">
        <v>3160.5</v>
      </c>
      <c r="L174" t="s">
        <v>8</v>
      </c>
      <c r="M174" t="s">
        <v>8</v>
      </c>
      <c r="N174" t="s">
        <v>8</v>
      </c>
      <c r="P174">
        <f t="shared" ref="P174" si="845">IF(C174=D174,0,((E174-D174)-(C174-E174))/(C174-D174))</f>
        <v>-0.47661484420737638</v>
      </c>
      <c r="Q174">
        <f t="shared" ref="Q174" si="846">F174*P174</f>
        <v>-349142.58569738554</v>
      </c>
      <c r="R174">
        <f t="shared" ref="R174" si="847">R175+Q174</f>
        <v>102158774.87615061</v>
      </c>
      <c r="S174">
        <f t="shared" ref="S174" si="848">R174/100000</f>
        <v>1021.5877487615061</v>
      </c>
      <c r="T174">
        <f t="shared" ref="T174" si="849">S174/1000</f>
        <v>1.0215877487615062</v>
      </c>
    </row>
    <row r="175" spans="1:20" x14ac:dyDescent="0.25">
      <c r="A175" s="5">
        <v>44418</v>
      </c>
      <c r="B175">
        <v>3160.51</v>
      </c>
      <c r="C175">
        <v>3233</v>
      </c>
      <c r="D175">
        <v>3051.22</v>
      </c>
      <c r="E175">
        <v>3141.66</v>
      </c>
      <c r="F175">
        <v>880675.74442999996</v>
      </c>
      <c r="G175">
        <v>3141.66</v>
      </c>
      <c r="L175" t="s">
        <v>8</v>
      </c>
      <c r="M175" t="s">
        <v>8</v>
      </c>
      <c r="N175" t="s">
        <v>8</v>
      </c>
      <c r="P175">
        <f t="shared" ref="P175" si="850">IF(C175=D175,0,((E175-D175)-(C175-E175))/(C175-D175))</f>
        <v>-4.9510397183413464E-3</v>
      </c>
      <c r="Q175">
        <f t="shared" ref="Q175" si="851">F175*P175</f>
        <v>-4360.260589652763</v>
      </c>
      <c r="R175">
        <f t="shared" ref="R175" si="852">R176+Q175</f>
        <v>102507917.46184799</v>
      </c>
      <c r="S175">
        <f t="shared" ref="S175" si="853">R175/100000</f>
        <v>1025.07917461848</v>
      </c>
      <c r="T175">
        <f t="shared" ref="T175" si="854">S175/1000</f>
        <v>1.02507917461848</v>
      </c>
    </row>
    <row r="176" spans="1:20" x14ac:dyDescent="0.25">
      <c r="A176" s="5">
        <v>44417</v>
      </c>
      <c r="B176">
        <v>3011.84</v>
      </c>
      <c r="C176">
        <v>3186</v>
      </c>
      <c r="D176">
        <v>2893.23</v>
      </c>
      <c r="E176">
        <v>3160.52</v>
      </c>
      <c r="F176">
        <v>1129584.6161400001</v>
      </c>
      <c r="G176">
        <v>3160.52</v>
      </c>
      <c r="L176" t="s">
        <v>7</v>
      </c>
      <c r="M176" t="s">
        <v>8</v>
      </c>
      <c r="N176" t="s">
        <v>8</v>
      </c>
      <c r="P176">
        <f t="shared" ref="P176" si="855">IF(C176=D176,0,((E176-D176)-(C176-E176))/(C176-D176))</f>
        <v>0.82593844997779808</v>
      </c>
      <c r="Q176">
        <f t="shared" ref="Q176" si="856">F176*P176</f>
        <v>932967.36697343772</v>
      </c>
      <c r="R176">
        <f t="shared" ref="R176" si="857">R177+Q176</f>
        <v>102512277.72243765</v>
      </c>
      <c r="S176">
        <f t="shared" ref="S176" si="858">R176/100000</f>
        <v>1025.1227772243765</v>
      </c>
      <c r="T176">
        <f t="shared" ref="T176" si="859">S176/1000</f>
        <v>1.0251227772243765</v>
      </c>
    </row>
    <row r="177" spans="1:20" x14ac:dyDescent="0.25">
      <c r="A177" s="5">
        <v>44416</v>
      </c>
      <c r="B177">
        <v>3160.48</v>
      </c>
      <c r="C177">
        <v>3189.99</v>
      </c>
      <c r="D177">
        <v>2949.03</v>
      </c>
      <c r="E177">
        <v>3011.85</v>
      </c>
      <c r="F177">
        <v>966349.70579000004</v>
      </c>
      <c r="G177">
        <v>3011.85</v>
      </c>
      <c r="L177" t="s">
        <v>7</v>
      </c>
      <c r="M177" t="s">
        <v>8</v>
      </c>
      <c r="N177" t="s">
        <v>8</v>
      </c>
      <c r="P177">
        <f t="shared" ref="P177" si="860">IF(C177=D177,0,((E177-D177)-(C177-E177))/(C177-D177))</f>
        <v>-0.47858565737051945</v>
      </c>
      <c r="Q177">
        <f t="shared" ref="Q177" si="861">F177*P177</f>
        <v>-462481.10919531522</v>
      </c>
      <c r="R177">
        <f t="shared" ref="R177" si="862">R178+Q177</f>
        <v>101579310.35546421</v>
      </c>
      <c r="S177">
        <f t="shared" ref="S177" si="863">R177/100000</f>
        <v>1015.793103554642</v>
      </c>
      <c r="T177">
        <f t="shared" ref="T177" si="864">S177/1000</f>
        <v>1.0157931035546419</v>
      </c>
    </row>
    <row r="178" spans="1:20" x14ac:dyDescent="0.25">
      <c r="A178" s="5">
        <v>44415</v>
      </c>
      <c r="B178">
        <v>2891.54</v>
      </c>
      <c r="C178">
        <v>3171</v>
      </c>
      <c r="D178">
        <v>2865.5</v>
      </c>
      <c r="E178">
        <v>3160.31</v>
      </c>
      <c r="F178">
        <v>1205277.1009500001</v>
      </c>
      <c r="G178">
        <v>3160.31</v>
      </c>
      <c r="L178" t="s">
        <v>8</v>
      </c>
      <c r="M178" t="s">
        <v>8</v>
      </c>
      <c r="N178" t="s">
        <v>8</v>
      </c>
      <c r="P178">
        <f t="shared" ref="P178" si="865">IF(C178=D178,0,((E178-D178)-(C178-E178))/(C178-D178))</f>
        <v>0.93001636661211096</v>
      </c>
      <c r="Q178">
        <f t="shared" ref="Q178" si="866">F178*P178</f>
        <v>1120927.4301862975</v>
      </c>
      <c r="R178">
        <f t="shared" ref="R178" si="867">R179+Q178</f>
        <v>102041791.46465953</v>
      </c>
      <c r="S178">
        <f t="shared" ref="S178" si="868">R178/100000</f>
        <v>1020.4179146465952</v>
      </c>
      <c r="T178">
        <f t="shared" ref="T178" si="869">S178/1000</f>
        <v>1.0204179146465953</v>
      </c>
    </row>
    <row r="179" spans="1:20" x14ac:dyDescent="0.25">
      <c r="A179" s="5">
        <v>44414</v>
      </c>
      <c r="B179">
        <v>2827.01</v>
      </c>
      <c r="C179">
        <v>2946.75</v>
      </c>
      <c r="D179">
        <v>2720.06</v>
      </c>
      <c r="E179">
        <v>2891.58</v>
      </c>
      <c r="F179">
        <v>825399.48637000006</v>
      </c>
      <c r="G179">
        <v>2891.58</v>
      </c>
      <c r="L179" t="s">
        <v>8</v>
      </c>
      <c r="M179" t="s">
        <v>8</v>
      </c>
      <c r="N179" t="s">
        <v>8</v>
      </c>
      <c r="P179">
        <f t="shared" ref="P179" si="870">IF(C179=D179,0,((E179-D179)-(C179-E179))/(C179-D179))</f>
        <v>0.51325598835413944</v>
      </c>
      <c r="Q179">
        <f t="shared" ref="Q179" si="871">F179*P179</f>
        <v>423641.22916383343</v>
      </c>
      <c r="R179">
        <f t="shared" ref="R179" si="872">R180+Q179</f>
        <v>100920864.03447323</v>
      </c>
      <c r="S179">
        <f t="shared" ref="S179" si="873">R179/100000</f>
        <v>1009.2086403447322</v>
      </c>
      <c r="T179">
        <f t="shared" ref="T179" si="874">S179/1000</f>
        <v>1.0092086403447322</v>
      </c>
    </row>
    <row r="180" spans="1:20" x14ac:dyDescent="0.25">
      <c r="A180" s="5">
        <v>44413</v>
      </c>
      <c r="B180">
        <v>2724.55</v>
      </c>
      <c r="C180">
        <v>2843.98</v>
      </c>
      <c r="D180">
        <v>2529.91</v>
      </c>
      <c r="E180">
        <v>2826.99</v>
      </c>
      <c r="F180">
        <v>1307720.2065399999</v>
      </c>
      <c r="G180">
        <v>2826.99</v>
      </c>
      <c r="L180" t="s">
        <v>8</v>
      </c>
      <c r="M180" t="s">
        <v>8</v>
      </c>
      <c r="N180" t="s">
        <v>8</v>
      </c>
      <c r="P180">
        <f t="shared" ref="P180" si="875">IF(C180=D180,0,((E180-D180)-(C180-E180))/(C180-D180))</f>
        <v>0.89180755882446439</v>
      </c>
      <c r="Q180">
        <f t="shared" ref="Q180" si="876">F180*P180</f>
        <v>1166234.7650198617</v>
      </c>
      <c r="R180">
        <f t="shared" ref="R180" si="877">R181+Q180</f>
        <v>100497222.80530939</v>
      </c>
      <c r="S180">
        <f t="shared" ref="S180" si="878">R180/100000</f>
        <v>1004.9722280530939</v>
      </c>
      <c r="T180">
        <f t="shared" ref="T180" si="879">S180/1000</f>
        <v>1.0049722280530939</v>
      </c>
    </row>
    <row r="181" spans="1:20" x14ac:dyDescent="0.25">
      <c r="A181" s="5">
        <v>44412</v>
      </c>
      <c r="B181">
        <v>2508.5100000000002</v>
      </c>
      <c r="C181">
        <v>2772.71</v>
      </c>
      <c r="D181">
        <v>2457.6799999999998</v>
      </c>
      <c r="E181">
        <v>2724.78</v>
      </c>
      <c r="F181">
        <v>954590.75360000005</v>
      </c>
      <c r="G181">
        <v>2724.78</v>
      </c>
      <c r="L181" t="s">
        <v>8</v>
      </c>
      <c r="M181" t="s">
        <v>8</v>
      </c>
      <c r="N181" t="s">
        <v>8</v>
      </c>
      <c r="P181">
        <f t="shared" ref="P181" si="880">IF(C181=D181,0,((E181-D181)-(C181-E181))/(C181-D181))</f>
        <v>0.69571151953782306</v>
      </c>
      <c r="Q181">
        <f t="shared" ref="Q181" si="881">F181*P181</f>
        <v>664119.78372381174</v>
      </c>
      <c r="R181">
        <f t="shared" ref="R181" si="882">R182+Q181</f>
        <v>99330988.040289521</v>
      </c>
      <c r="S181">
        <f t="shared" ref="S181" si="883">R181/100000</f>
        <v>993.30988040289526</v>
      </c>
      <c r="T181">
        <f t="shared" ref="T181" si="884">S181/1000</f>
        <v>0.99330988040289525</v>
      </c>
    </row>
    <row r="182" spans="1:20" x14ac:dyDescent="0.25">
      <c r="A182" s="5">
        <v>44411</v>
      </c>
      <c r="B182">
        <v>2606.92</v>
      </c>
      <c r="C182">
        <v>2632.44</v>
      </c>
      <c r="D182">
        <v>2442.3200000000002</v>
      </c>
      <c r="E182">
        <v>2509.04</v>
      </c>
      <c r="F182">
        <v>792960.84375</v>
      </c>
      <c r="G182">
        <v>2509.04</v>
      </c>
      <c r="L182" t="s">
        <v>7</v>
      </c>
      <c r="M182" t="s">
        <v>8</v>
      </c>
      <c r="N182" t="s">
        <v>8</v>
      </c>
      <c r="P182">
        <f t="shared" ref="P182" si="885">IF(C182=D182,0,((E182-D182)-(C182-E182))/(C182-D182))</f>
        <v>-0.29812749842205094</v>
      </c>
      <c r="Q182">
        <f t="shared" ref="Q182" si="886">F182*P182</f>
        <v>-236403.4326938263</v>
      </c>
      <c r="R182">
        <f t="shared" ref="R182" si="887">R183+Q182</f>
        <v>98666868.256565705</v>
      </c>
      <c r="S182">
        <f t="shared" ref="S182" si="888">R182/100000</f>
        <v>986.66868256565704</v>
      </c>
      <c r="T182">
        <f t="shared" ref="T182" si="889">S182/1000</f>
        <v>0.98666868256565698</v>
      </c>
    </row>
    <row r="183" spans="1:20" x14ac:dyDescent="0.25">
      <c r="A183" s="5">
        <v>44410</v>
      </c>
      <c r="B183">
        <v>2555.5</v>
      </c>
      <c r="C183">
        <v>2666</v>
      </c>
      <c r="D183">
        <v>2507</v>
      </c>
      <c r="E183">
        <v>2606.9299999999998</v>
      </c>
      <c r="F183">
        <v>726701.84952000005</v>
      </c>
      <c r="G183">
        <v>2606.9299999999998</v>
      </c>
      <c r="L183" t="s">
        <v>8</v>
      </c>
      <c r="M183" t="s">
        <v>8</v>
      </c>
      <c r="N183" t="s">
        <v>8</v>
      </c>
      <c r="P183">
        <f t="shared" ref="P183" si="890">IF(C183=D183,0,((E183-D183)-(C183-E183))/(C183-D183))</f>
        <v>0.25698113207546963</v>
      </c>
      <c r="Q183">
        <f t="shared" ref="Q183" si="891">F183*P183</f>
        <v>186748.6639709872</v>
      </c>
      <c r="R183">
        <f t="shared" ref="R183" si="892">R184+Q183</f>
        <v>98903271.689259529</v>
      </c>
      <c r="S183">
        <f t="shared" ref="S183" si="893">R183/100000</f>
        <v>989.03271689259532</v>
      </c>
      <c r="T183">
        <f t="shared" ref="T183" si="894">S183/1000</f>
        <v>0.98903271689259531</v>
      </c>
    </row>
    <row r="184" spans="1:20" x14ac:dyDescent="0.25">
      <c r="A184" s="5">
        <v>44409</v>
      </c>
      <c r="B184">
        <v>2531.1</v>
      </c>
      <c r="C184">
        <v>2697.61</v>
      </c>
      <c r="D184">
        <v>2511.2399999999998</v>
      </c>
      <c r="E184">
        <v>2555.69</v>
      </c>
      <c r="F184">
        <v>853495.94077999995</v>
      </c>
      <c r="G184">
        <v>2555.69</v>
      </c>
      <c r="L184" t="s">
        <v>8</v>
      </c>
      <c r="M184" t="s">
        <v>8</v>
      </c>
      <c r="N184" t="s">
        <v>8</v>
      </c>
      <c r="P184">
        <f t="shared" ref="P184" si="895">IF(C184=D184,0,((E184-D184)-(C184-E184))/(C184-D184))</f>
        <v>-0.52299189783763278</v>
      </c>
      <c r="Q184">
        <f t="shared" ref="Q184" si="896">F184*P184</f>
        <v>-446371.46186524798</v>
      </c>
      <c r="R184">
        <f t="shared" ref="R184" si="897">R185+Q184</f>
        <v>98716523.025288537</v>
      </c>
      <c r="S184">
        <f t="shared" ref="S184" si="898">R184/100000</f>
        <v>987.16523025288541</v>
      </c>
      <c r="T184">
        <f t="shared" ref="T184" si="899">S184/1000</f>
        <v>0.98716523025288538</v>
      </c>
    </row>
    <row r="185" spans="1:20" x14ac:dyDescent="0.25">
      <c r="A185" s="5">
        <v>44408</v>
      </c>
      <c r="B185">
        <v>2461.77</v>
      </c>
      <c r="C185">
        <v>2553.86</v>
      </c>
      <c r="D185">
        <v>2420.6799999999998</v>
      </c>
      <c r="E185">
        <v>2531.0500000000002</v>
      </c>
      <c r="F185">
        <v>507601.05025999999</v>
      </c>
      <c r="G185">
        <v>2531.0500000000002</v>
      </c>
      <c r="L185" t="s">
        <v>8</v>
      </c>
      <c r="M185" t="s">
        <v>8</v>
      </c>
      <c r="N185" t="s">
        <v>8</v>
      </c>
      <c r="P185">
        <f t="shared" ref="P185" si="900">IF(C185=D185,0,((E185-D185)-(C185-E185))/(C185-D185))</f>
        <v>0.65745607448566012</v>
      </c>
      <c r="Q185">
        <f t="shared" ref="Q185" si="901">F185*P185</f>
        <v>333725.39390873787</v>
      </c>
      <c r="R185">
        <f t="shared" ref="R185" si="902">R186+Q185</f>
        <v>99162894.487153783</v>
      </c>
      <c r="S185">
        <f t="shared" ref="S185" si="903">R185/100000</f>
        <v>991.62894487153778</v>
      </c>
      <c r="T185">
        <f t="shared" ref="T185" si="904">S185/1000</f>
        <v>0.99162894487153774</v>
      </c>
    </row>
    <row r="186" spans="1:20" x14ac:dyDescent="0.25">
      <c r="A186" s="5">
        <v>44407</v>
      </c>
      <c r="B186">
        <v>2382.9299999999998</v>
      </c>
      <c r="C186">
        <v>2471.6999999999998</v>
      </c>
      <c r="D186">
        <v>2315.92</v>
      </c>
      <c r="E186">
        <v>2461.81</v>
      </c>
      <c r="F186">
        <v>762577.28796999995</v>
      </c>
      <c r="G186">
        <v>2461.81</v>
      </c>
      <c r="L186" t="s">
        <v>8</v>
      </c>
      <c r="M186" t="s">
        <v>8</v>
      </c>
      <c r="N186" t="s">
        <v>7</v>
      </c>
      <c r="P186">
        <f t="shared" ref="P186" si="905">IF(C186=D186,0,((E186-D186)-(C186-E186))/(C186-D186))</f>
        <v>0.8730260623956877</v>
      </c>
      <c r="Q186">
        <f t="shared" ref="Q186" si="906">F186*P186</f>
        <v>665749.84698883153</v>
      </c>
      <c r="R186">
        <f t="shared" ref="R186" si="907">R187+Q186</f>
        <v>98829169.093245044</v>
      </c>
      <c r="S186">
        <f t="shared" ref="S186" si="908">R186/100000</f>
        <v>988.29169093245048</v>
      </c>
      <c r="T186">
        <f t="shared" ref="T186" si="909">S186/1000</f>
        <v>0.98829169093245051</v>
      </c>
    </row>
    <row r="187" spans="1:20" x14ac:dyDescent="0.25">
      <c r="A187" s="5">
        <v>44406</v>
      </c>
      <c r="B187">
        <v>2300.9</v>
      </c>
      <c r="C187">
        <v>2400</v>
      </c>
      <c r="D187">
        <v>2266.12</v>
      </c>
      <c r="E187">
        <v>2382.92</v>
      </c>
      <c r="F187">
        <v>499364.83496000001</v>
      </c>
      <c r="G187">
        <v>2382.92</v>
      </c>
      <c r="L187" t="s">
        <v>8</v>
      </c>
      <c r="M187" t="s">
        <v>8</v>
      </c>
      <c r="N187" t="s">
        <v>7</v>
      </c>
      <c r="P187">
        <f t="shared" ref="P187" si="910">IF(C187=D187,0,((E187-D187)-(C187-E187))/(C187-D187))</f>
        <v>0.74484613086346108</v>
      </c>
      <c r="Q187">
        <f t="shared" ref="Q187" si="911">F187*P187</f>
        <v>371949.96520922682</v>
      </c>
      <c r="R187">
        <f t="shared" ref="R187" si="912">R188+Q187</f>
        <v>98163419.246256217</v>
      </c>
      <c r="S187">
        <f t="shared" ref="S187" si="913">R187/100000</f>
        <v>981.63419246256217</v>
      </c>
      <c r="T187">
        <f t="shared" ref="T187" si="914">S187/1000</f>
        <v>0.98163419246256212</v>
      </c>
    </row>
    <row r="188" spans="1:20" x14ac:dyDescent="0.25">
      <c r="A188" s="5">
        <v>44405</v>
      </c>
      <c r="B188">
        <v>2299.4699999999998</v>
      </c>
      <c r="C188">
        <v>2345</v>
      </c>
      <c r="D188">
        <v>2243.15</v>
      </c>
      <c r="E188">
        <v>2300.9</v>
      </c>
      <c r="F188">
        <v>718202.57727000001</v>
      </c>
      <c r="G188">
        <v>2300.9</v>
      </c>
      <c r="L188" t="s">
        <v>8</v>
      </c>
      <c r="M188" t="s">
        <v>8</v>
      </c>
      <c r="N188" t="s">
        <v>7</v>
      </c>
      <c r="P188">
        <f t="shared" ref="P188" si="915">IF(C188=D188,0,((E188-D188)-(C188-E188))/(C188-D188))</f>
        <v>0.13402061855670205</v>
      </c>
      <c r="Q188">
        <f t="shared" ref="Q188" si="916">F188*P188</f>
        <v>96253.953654743003</v>
      </c>
      <c r="R188">
        <f t="shared" ref="R188" si="917">R189+Q188</f>
        <v>97791469.281046987</v>
      </c>
      <c r="S188">
        <f t="shared" ref="S188" si="918">R188/100000</f>
        <v>977.91469281046989</v>
      </c>
      <c r="T188">
        <f t="shared" ref="T188" si="919">S188/1000</f>
        <v>0.97791469281046983</v>
      </c>
    </row>
    <row r="189" spans="1:20" x14ac:dyDescent="0.25">
      <c r="A189" s="5">
        <v>44404</v>
      </c>
      <c r="B189">
        <v>2227.81</v>
      </c>
      <c r="C189">
        <v>2319.2600000000002</v>
      </c>
      <c r="D189">
        <v>2150.5</v>
      </c>
      <c r="E189">
        <v>2299.4899999999998</v>
      </c>
      <c r="F189">
        <v>906359.23478000006</v>
      </c>
      <c r="G189">
        <v>2299.4899999999998</v>
      </c>
      <c r="L189" t="s">
        <v>7</v>
      </c>
      <c r="M189" t="s">
        <v>8</v>
      </c>
      <c r="N189" t="s">
        <v>7</v>
      </c>
      <c r="P189">
        <f t="shared" ref="P189" si="920">IF(C189=D189,0,((E189-D189)-(C189-E189))/(C189-D189))</f>
        <v>0.76570277316899249</v>
      </c>
      <c r="Q189">
        <f t="shared" ref="Q189" si="921">F189*P189</f>
        <v>694001.77955837199</v>
      </c>
      <c r="R189">
        <f t="shared" ref="R189" si="922">R190+Q189</f>
        <v>97695215.32739225</v>
      </c>
      <c r="S189">
        <f t="shared" ref="S189" si="923">R189/100000</f>
        <v>976.95215327392248</v>
      </c>
      <c r="T189">
        <f t="shared" ref="T189" si="924">S189/1000</f>
        <v>0.97695215327392249</v>
      </c>
    </row>
    <row r="190" spans="1:20" x14ac:dyDescent="0.25">
      <c r="A190" s="5">
        <v>44403</v>
      </c>
      <c r="B190">
        <v>2189.8200000000002</v>
      </c>
      <c r="C190">
        <v>2433.65</v>
      </c>
      <c r="D190">
        <v>2171.5700000000002</v>
      </c>
      <c r="E190">
        <v>2228.08</v>
      </c>
      <c r="F190">
        <v>1393738.1629999999</v>
      </c>
      <c r="G190">
        <v>2228.08</v>
      </c>
      <c r="L190" t="s">
        <v>8</v>
      </c>
      <c r="M190" t="s">
        <v>8</v>
      </c>
      <c r="N190" t="s">
        <v>7</v>
      </c>
      <c r="P190">
        <f t="shared" ref="P190" si="925">IF(C190=D190,0,((E190-D190)-(C190-E190))/(C190-D190))</f>
        <v>-0.5687576312576329</v>
      </c>
      <c r="Q190">
        <f t="shared" ref="Q190" si="926">F190*P190</f>
        <v>-792699.21618124458</v>
      </c>
      <c r="R190">
        <f t="shared" ref="R190" si="927">R191+Q190</f>
        <v>97001213.547833875</v>
      </c>
      <c r="S190">
        <f t="shared" ref="S190" si="928">R190/100000</f>
        <v>970.01213547833879</v>
      </c>
      <c r="T190">
        <f t="shared" ref="T190" si="929">S190/1000</f>
        <v>0.97001213547833876</v>
      </c>
    </row>
    <row r="191" spans="1:20" x14ac:dyDescent="0.25">
      <c r="A191" s="5">
        <v>44402</v>
      </c>
      <c r="B191">
        <v>2184.9</v>
      </c>
      <c r="C191">
        <v>2197.41</v>
      </c>
      <c r="D191">
        <v>2105.9299999999998</v>
      </c>
      <c r="E191">
        <v>2189.79</v>
      </c>
      <c r="F191">
        <v>535630.27</v>
      </c>
      <c r="G191">
        <v>2189.79</v>
      </c>
      <c r="L191" t="s">
        <v>8</v>
      </c>
      <c r="M191" t="s">
        <v>8</v>
      </c>
      <c r="N191" t="s">
        <v>7</v>
      </c>
      <c r="P191">
        <f t="shared" ref="P191" si="930">IF(C191=D191,0,((E191-D191)-(C191-E191))/(C191-D191))</f>
        <v>0.83340620900743578</v>
      </c>
      <c r="Q191">
        <f t="shared" ref="Q191" si="931">F191*P191</f>
        <v>446397.59275032929</v>
      </c>
      <c r="R191">
        <f t="shared" ref="R191" si="932">R192+Q191</f>
        <v>97793912.764015123</v>
      </c>
      <c r="S191">
        <f t="shared" ref="S191" si="933">R191/100000</f>
        <v>977.93912764015124</v>
      </c>
      <c r="T191">
        <f t="shared" ref="T191:T197" si="934">S191/1000</f>
        <v>0.97793912764015123</v>
      </c>
    </row>
    <row r="192" spans="1:20" x14ac:dyDescent="0.25">
      <c r="A192" s="5">
        <v>44401</v>
      </c>
      <c r="B192">
        <v>2124.2600000000002</v>
      </c>
      <c r="C192">
        <v>2199.5</v>
      </c>
      <c r="D192">
        <v>2105.58</v>
      </c>
      <c r="E192">
        <v>2184.75</v>
      </c>
      <c r="F192">
        <v>633075.18591999996</v>
      </c>
      <c r="G192">
        <v>2184.75</v>
      </c>
      <c r="L192" t="s">
        <v>8</v>
      </c>
      <c r="M192" t="s">
        <v>8</v>
      </c>
      <c r="N192" t="s">
        <v>7</v>
      </c>
      <c r="P192">
        <f t="shared" ref="P192" si="935">IF(C192=D192,0,((E192-D192)-(C192-E192))/(C192-D192))</f>
        <v>0.68590289608177202</v>
      </c>
      <c r="Q192">
        <f t="shared" ref="Q192" si="936">F192*P192</f>
        <v>434228.10346003424</v>
      </c>
      <c r="R192">
        <f t="shared" ref="R192" si="937">R193+Q192</f>
        <v>97347515.171264797</v>
      </c>
      <c r="S192">
        <f t="shared" ref="S192" si="938">R192/100000</f>
        <v>973.47515171264797</v>
      </c>
      <c r="T192">
        <f t="shared" si="934"/>
        <v>0.97347515171264798</v>
      </c>
    </row>
    <row r="193" spans="1:20" x14ac:dyDescent="0.25">
      <c r="A193" s="5">
        <v>44400</v>
      </c>
      <c r="B193">
        <v>2024.27</v>
      </c>
      <c r="C193">
        <v>2130.9</v>
      </c>
      <c r="D193">
        <v>1993.22</v>
      </c>
      <c r="E193">
        <v>2124.25</v>
      </c>
      <c r="F193">
        <v>708160.91321999999</v>
      </c>
      <c r="G193">
        <v>2124.25</v>
      </c>
      <c r="L193" t="s">
        <v>8</v>
      </c>
      <c r="M193" t="s">
        <v>8</v>
      </c>
      <c r="N193" t="s">
        <v>7</v>
      </c>
      <c r="P193">
        <f t="shared" ref="P193" si="939">IF(C193=D193,0,((E193-D193)-(C193-E193))/(C193-D193))</f>
        <v>0.90339918651946416</v>
      </c>
      <c r="Q193">
        <f t="shared" ref="Q193" si="940">F193*P193</f>
        <v>639751.9929278288</v>
      </c>
      <c r="R193">
        <f t="shared" ref="R193" si="941">R194+Q193</f>
        <v>96913287.067804769</v>
      </c>
      <c r="S193">
        <f t="shared" ref="S193" si="942">R193/100000</f>
        <v>969.13287067804765</v>
      </c>
      <c r="T193">
        <f t="shared" si="934"/>
        <v>0.96913287067804765</v>
      </c>
    </row>
    <row r="194" spans="1:20" x14ac:dyDescent="0.25">
      <c r="A194" s="5">
        <v>44399</v>
      </c>
      <c r="B194">
        <v>1995.5</v>
      </c>
      <c r="C194">
        <v>2046</v>
      </c>
      <c r="D194">
        <v>1947.62</v>
      </c>
      <c r="E194">
        <v>2024.56</v>
      </c>
      <c r="F194">
        <v>768854.36589999998</v>
      </c>
      <c r="G194">
        <v>2024.56</v>
      </c>
      <c r="L194" t="s">
        <v>8</v>
      </c>
      <c r="M194" t="s">
        <v>8</v>
      </c>
      <c r="N194" t="s">
        <v>7</v>
      </c>
      <c r="P194">
        <f t="shared" ref="P194" si="943">IF(C194=D194,0,((E194-D194)-(C194-E194))/(C194-D194))</f>
        <v>0.56413905265297759</v>
      </c>
      <c r="Q194">
        <f t="shared" ref="Q194" si="944">F194*P194</f>
        <v>433740.77360693179</v>
      </c>
      <c r="R194">
        <f t="shared" ref="R194" si="945">R195+Q194</f>
        <v>96273535.074876934</v>
      </c>
      <c r="S194">
        <f t="shared" ref="S194" si="946">R194/100000</f>
        <v>962.73535074876929</v>
      </c>
      <c r="T194">
        <f t="shared" si="934"/>
        <v>0.96273535074876926</v>
      </c>
    </row>
    <row r="195" spans="1:20" x14ac:dyDescent="0.25">
      <c r="A195" s="5">
        <v>44398</v>
      </c>
      <c r="B195">
        <v>1786.03</v>
      </c>
      <c r="C195">
        <v>2035.23</v>
      </c>
      <c r="D195">
        <v>1747.55</v>
      </c>
      <c r="E195">
        <v>1995.5</v>
      </c>
      <c r="F195">
        <v>1115949.82033</v>
      </c>
      <c r="G195">
        <v>1995.5</v>
      </c>
      <c r="L195" t="s">
        <v>8</v>
      </c>
      <c r="M195" t="s">
        <v>8</v>
      </c>
      <c r="N195" t="s">
        <v>7</v>
      </c>
      <c r="P195">
        <f t="shared" ref="P195" si="947">IF(C195=D195,0,((E195-D195)-(C195-E195))/(C195-D195))</f>
        <v>0.72379032258064513</v>
      </c>
      <c r="Q195">
        <f t="shared" ref="Q195" si="948">F195*P195</f>
        <v>807713.68044046371</v>
      </c>
      <c r="R195">
        <f t="shared" ref="R195" si="949">R196+Q195</f>
        <v>95839794.301270008</v>
      </c>
      <c r="S195">
        <f t="shared" ref="S195" si="950">R195/100000</f>
        <v>958.39794301270013</v>
      </c>
      <c r="T195">
        <f t="shared" si="934"/>
        <v>0.95839794301270009</v>
      </c>
    </row>
    <row r="196" spans="1:20" x14ac:dyDescent="0.25">
      <c r="A196" s="5">
        <v>44397</v>
      </c>
      <c r="B196">
        <v>1818.73</v>
      </c>
      <c r="C196">
        <v>1841.34</v>
      </c>
      <c r="D196">
        <v>1706</v>
      </c>
      <c r="E196">
        <v>1786.03</v>
      </c>
      <c r="F196">
        <v>786257.272</v>
      </c>
      <c r="G196">
        <v>1786.03</v>
      </c>
      <c r="L196" t="s">
        <v>7</v>
      </c>
      <c r="M196" t="s">
        <v>7</v>
      </c>
      <c r="N196" t="s">
        <v>7</v>
      </c>
      <c r="P196">
        <f t="shared" ref="P196" si="951">IF(C196=D196,0,((E196-D196)-(C196-E196))/(C196-D196))</f>
        <v>0.18265110093098894</v>
      </c>
      <c r="Q196">
        <f t="shared" ref="Q196" si="952">F196*P196</f>
        <v>143610.75634579602</v>
      </c>
      <c r="R196">
        <f t="shared" ref="R196" si="953">R197+Q196</f>
        <v>95032080.620829538</v>
      </c>
      <c r="S196">
        <f t="shared" ref="S196" si="954">R196/100000</f>
        <v>950.32080620829538</v>
      </c>
      <c r="T196">
        <f t="shared" si="934"/>
        <v>0.9503208062082954</v>
      </c>
    </row>
    <row r="197" spans="1:20" x14ac:dyDescent="0.25">
      <c r="A197" s="5">
        <v>44396</v>
      </c>
      <c r="B197">
        <v>1891.65</v>
      </c>
      <c r="C197">
        <v>1919</v>
      </c>
      <c r="D197">
        <v>1805</v>
      </c>
      <c r="E197">
        <v>1818.73</v>
      </c>
      <c r="F197">
        <v>547419.93770999997</v>
      </c>
      <c r="G197">
        <v>0</v>
      </c>
      <c r="L197" t="s">
        <v>7</v>
      </c>
      <c r="M197" t="s">
        <v>7</v>
      </c>
      <c r="N197" t="s">
        <v>7</v>
      </c>
      <c r="P197">
        <f t="shared" ref="P197" si="955">IF(C197=D197,0,((E197-D197)-(C197-E197))/(C197-D197))</f>
        <v>-0.75912280701754353</v>
      </c>
      <c r="Q197">
        <f t="shared" ref="Q197" si="956">F197*P197</f>
        <v>-415558.95973178401</v>
      </c>
      <c r="R197">
        <f t="shared" ref="R197" si="957">R198+Q197</f>
        <v>94888469.864483744</v>
      </c>
      <c r="S197">
        <f t="shared" ref="S197" si="958">R197/100000</f>
        <v>948.88469864483739</v>
      </c>
      <c r="T197">
        <f t="shared" si="934"/>
        <v>0.94888469864483738</v>
      </c>
    </row>
    <row r="198" spans="1:20" x14ac:dyDescent="0.25">
      <c r="A198" s="5">
        <v>44395</v>
      </c>
      <c r="B198">
        <v>1899.5</v>
      </c>
      <c r="C198">
        <v>1993.79</v>
      </c>
      <c r="D198">
        <v>1877.1</v>
      </c>
      <c r="E198">
        <v>1891.64</v>
      </c>
      <c r="F198">
        <v>534837.63653999998</v>
      </c>
      <c r="G198">
        <v>0</v>
      </c>
      <c r="L198" t="s">
        <v>8</v>
      </c>
      <c r="M198" t="s">
        <v>7</v>
      </c>
      <c r="N198" t="s">
        <v>7</v>
      </c>
      <c r="P198">
        <f t="shared" ref="P198:P261" si="959">IF(C198=D198,0,((E198-D198)-(C198-E198))/(C198-D198))</f>
        <v>-0.75079269860313336</v>
      </c>
      <c r="Q198">
        <f t="shared" ref="Q198:Q261" si="960">F198*P198</f>
        <v>-401552.19245238841</v>
      </c>
      <c r="R198">
        <f t="shared" ref="R198:R261" si="961">R199+Q198</f>
        <v>95304028.824215531</v>
      </c>
      <c r="S198">
        <f t="shared" ref="S198:S261" si="962">R198/100000</f>
        <v>953.04028824215527</v>
      </c>
      <c r="T198">
        <f t="shared" ref="T198:T261" si="963">S198/1000</f>
        <v>0.95304028824215525</v>
      </c>
    </row>
    <row r="199" spans="1:20" x14ac:dyDescent="0.25">
      <c r="A199" s="5">
        <v>44394</v>
      </c>
      <c r="B199">
        <v>1876.47</v>
      </c>
      <c r="C199">
        <v>1919.19</v>
      </c>
      <c r="D199">
        <v>1844.45</v>
      </c>
      <c r="E199">
        <v>1899.59</v>
      </c>
      <c r="F199">
        <v>430300.51578000002</v>
      </c>
      <c r="G199">
        <v>0</v>
      </c>
      <c r="L199" t="s">
        <v>7</v>
      </c>
      <c r="M199" t="s">
        <v>7</v>
      </c>
      <c r="N199" t="s">
        <v>7</v>
      </c>
      <c r="P199">
        <f t="shared" si="959"/>
        <v>0.47551511907947192</v>
      </c>
      <c r="Q199">
        <f t="shared" si="960"/>
        <v>204614.40100108489</v>
      </c>
      <c r="R199">
        <f t="shared" si="961"/>
        <v>95705581.016667917</v>
      </c>
      <c r="S199">
        <f t="shared" si="962"/>
        <v>957.05581016667918</v>
      </c>
      <c r="T199">
        <f t="shared" si="963"/>
        <v>0.95705581016667918</v>
      </c>
    </row>
    <row r="200" spans="1:20" x14ac:dyDescent="0.25">
      <c r="A200" s="5">
        <v>44393</v>
      </c>
      <c r="B200">
        <v>1919.54</v>
      </c>
      <c r="C200">
        <v>1965</v>
      </c>
      <c r="D200">
        <v>1850</v>
      </c>
      <c r="E200">
        <v>1876.26</v>
      </c>
      <c r="F200">
        <v>577068.89723999996</v>
      </c>
      <c r="G200">
        <v>0</v>
      </c>
      <c r="L200" t="s">
        <v>7</v>
      </c>
      <c r="M200" t="s">
        <v>7</v>
      </c>
      <c r="N200" t="s">
        <v>7</v>
      </c>
      <c r="P200">
        <f t="shared" si="959"/>
        <v>-0.54330434782608716</v>
      </c>
      <c r="Q200">
        <f t="shared" si="960"/>
        <v>-313524.04086569749</v>
      </c>
      <c r="R200">
        <f t="shared" si="961"/>
        <v>95500966.615666837</v>
      </c>
      <c r="S200">
        <f t="shared" si="962"/>
        <v>955.00966615666835</v>
      </c>
      <c r="T200">
        <f t="shared" si="963"/>
        <v>0.95500966615666838</v>
      </c>
    </row>
    <row r="201" spans="1:20" x14ac:dyDescent="0.25">
      <c r="A201" s="5">
        <v>44392</v>
      </c>
      <c r="B201">
        <v>1994.41</v>
      </c>
      <c r="C201">
        <v>2042.88</v>
      </c>
      <c r="D201">
        <v>1881</v>
      </c>
      <c r="E201">
        <v>1919.51</v>
      </c>
      <c r="F201">
        <v>645271.32562999998</v>
      </c>
      <c r="G201">
        <v>0</v>
      </c>
      <c r="L201" t="s">
        <v>8</v>
      </c>
      <c r="M201" t="s">
        <v>7</v>
      </c>
      <c r="N201" t="s">
        <v>7</v>
      </c>
      <c r="P201">
        <f t="shared" si="959"/>
        <v>-0.5242154682480854</v>
      </c>
      <c r="Q201">
        <f t="shared" si="960"/>
        <v>-338261.21011219325</v>
      </c>
      <c r="R201">
        <f t="shared" si="961"/>
        <v>95814490.656532541</v>
      </c>
      <c r="S201">
        <f t="shared" si="962"/>
        <v>958.14490656532541</v>
      </c>
      <c r="T201">
        <f t="shared" si="963"/>
        <v>0.95814490656532536</v>
      </c>
    </row>
    <row r="202" spans="1:20" x14ac:dyDescent="0.25">
      <c r="A202" s="5">
        <v>44391</v>
      </c>
      <c r="B202">
        <v>1940.44</v>
      </c>
      <c r="C202">
        <v>2019.18</v>
      </c>
      <c r="D202">
        <v>1865</v>
      </c>
      <c r="E202">
        <v>1994.58</v>
      </c>
      <c r="F202">
        <v>690505.60936999996</v>
      </c>
      <c r="G202">
        <v>0</v>
      </c>
      <c r="L202" t="s">
        <v>7</v>
      </c>
      <c r="M202" t="s">
        <v>7</v>
      </c>
      <c r="N202" t="s">
        <v>7</v>
      </c>
      <c r="P202">
        <f t="shared" si="959"/>
        <v>0.68089246335451903</v>
      </c>
      <c r="Q202">
        <f t="shared" si="960"/>
        <v>470160.06532405253</v>
      </c>
      <c r="R202">
        <f t="shared" si="961"/>
        <v>96152751.86664474</v>
      </c>
      <c r="S202">
        <f t="shared" si="962"/>
        <v>961.52751866644735</v>
      </c>
      <c r="T202">
        <f t="shared" si="963"/>
        <v>0.96152751866644737</v>
      </c>
    </row>
    <row r="203" spans="1:20" x14ac:dyDescent="0.25">
      <c r="A203" s="5">
        <v>44390</v>
      </c>
      <c r="B203">
        <v>2031.57</v>
      </c>
      <c r="C203">
        <v>2047.35</v>
      </c>
      <c r="D203">
        <v>1918</v>
      </c>
      <c r="E203">
        <v>1940.15</v>
      </c>
      <c r="F203">
        <v>647388.24968999997</v>
      </c>
      <c r="G203">
        <v>0</v>
      </c>
      <c r="L203" t="s">
        <v>7</v>
      </c>
      <c r="M203" t="s">
        <v>7</v>
      </c>
      <c r="N203" t="s">
        <v>7</v>
      </c>
      <c r="P203">
        <f t="shared" si="959"/>
        <v>-0.6575183610359473</v>
      </c>
      <c r="Q203">
        <f t="shared" si="960"/>
        <v>-425669.66089009942</v>
      </c>
      <c r="R203">
        <f t="shared" si="961"/>
        <v>95682591.801320687</v>
      </c>
      <c r="S203">
        <f t="shared" si="962"/>
        <v>956.82591801320689</v>
      </c>
      <c r="T203">
        <f t="shared" si="963"/>
        <v>0.95682591801320693</v>
      </c>
    </row>
    <row r="204" spans="1:20" x14ac:dyDescent="0.25">
      <c r="A204" s="5">
        <v>44389</v>
      </c>
      <c r="B204">
        <v>2140.54</v>
      </c>
      <c r="C204">
        <v>2167.83</v>
      </c>
      <c r="D204">
        <v>2006.68</v>
      </c>
      <c r="E204">
        <v>2031.58</v>
      </c>
      <c r="F204">
        <v>540630.10742000001</v>
      </c>
      <c r="G204">
        <v>0</v>
      </c>
      <c r="L204" t="s">
        <v>7</v>
      </c>
      <c r="M204" t="s">
        <v>7</v>
      </c>
      <c r="N204" t="s">
        <v>7</v>
      </c>
      <c r="P204">
        <f t="shared" si="959"/>
        <v>-0.69097114489606104</v>
      </c>
      <c r="Q204">
        <f t="shared" si="960"/>
        <v>-373559.80428927788</v>
      </c>
      <c r="R204">
        <f t="shared" si="961"/>
        <v>96108261.462210789</v>
      </c>
      <c r="S204">
        <f t="shared" si="962"/>
        <v>961.08261462210794</v>
      </c>
      <c r="T204">
        <f t="shared" si="963"/>
        <v>0.96108261462210798</v>
      </c>
    </row>
    <row r="205" spans="1:20" x14ac:dyDescent="0.25">
      <c r="A205" s="5">
        <v>44388</v>
      </c>
      <c r="B205">
        <v>2110.6799999999998</v>
      </c>
      <c r="C205">
        <v>2174</v>
      </c>
      <c r="D205">
        <v>2081.02</v>
      </c>
      <c r="E205">
        <v>2140.4499999999998</v>
      </c>
      <c r="F205">
        <v>342294.40302000003</v>
      </c>
      <c r="G205">
        <v>0</v>
      </c>
      <c r="L205" t="s">
        <v>8</v>
      </c>
      <c r="M205" t="s">
        <v>8</v>
      </c>
      <c r="N205" t="s">
        <v>7</v>
      </c>
      <c r="P205">
        <f t="shared" si="959"/>
        <v>0.278339427833939</v>
      </c>
      <c r="Q205">
        <f t="shared" si="960"/>
        <v>95274.028287346533</v>
      </c>
      <c r="R205">
        <f t="shared" si="961"/>
        <v>96481821.266500071</v>
      </c>
      <c r="S205">
        <f t="shared" si="962"/>
        <v>964.81821266500071</v>
      </c>
      <c r="T205">
        <f t="shared" si="963"/>
        <v>0.96481821266500067</v>
      </c>
    </row>
    <row r="206" spans="1:20" x14ac:dyDescent="0.25">
      <c r="A206" s="5">
        <v>44387</v>
      </c>
      <c r="B206">
        <v>2146.9899999999998</v>
      </c>
      <c r="C206">
        <v>2194.8200000000002</v>
      </c>
      <c r="D206">
        <v>2074.16</v>
      </c>
      <c r="E206">
        <v>2110.69</v>
      </c>
      <c r="F206">
        <v>499071.85904000001</v>
      </c>
      <c r="G206">
        <v>0</v>
      </c>
      <c r="L206" t="s">
        <v>8</v>
      </c>
      <c r="M206" t="s">
        <v>8</v>
      </c>
      <c r="N206" t="s">
        <v>7</v>
      </c>
      <c r="P206">
        <f t="shared" si="959"/>
        <v>-0.39449693353223758</v>
      </c>
      <c r="Q206">
        <f t="shared" si="960"/>
        <v>-196882.31800351312</v>
      </c>
      <c r="R206">
        <f t="shared" si="961"/>
        <v>96386547.23821272</v>
      </c>
      <c r="S206">
        <f t="shared" si="962"/>
        <v>963.86547238212722</v>
      </c>
      <c r="T206">
        <f t="shared" si="963"/>
        <v>0.96386547238212728</v>
      </c>
    </row>
    <row r="207" spans="1:20" x14ac:dyDescent="0.25">
      <c r="A207" s="5">
        <v>44386</v>
      </c>
      <c r="B207">
        <v>2116.3200000000002</v>
      </c>
      <c r="C207">
        <v>2189.4</v>
      </c>
      <c r="D207">
        <v>2046.51</v>
      </c>
      <c r="E207">
        <v>2146.9899999999998</v>
      </c>
      <c r="F207">
        <v>738611.36303999997</v>
      </c>
      <c r="G207">
        <v>0</v>
      </c>
      <c r="L207" t="s">
        <v>7</v>
      </c>
      <c r="M207" t="s">
        <v>8</v>
      </c>
      <c r="N207" t="s">
        <v>7</v>
      </c>
      <c r="P207">
        <f t="shared" si="959"/>
        <v>0.40639652879837246</v>
      </c>
      <c r="Q207">
        <f t="shared" si="960"/>
        <v>300169.09407049051</v>
      </c>
      <c r="R207">
        <f t="shared" si="961"/>
        <v>96583429.55621624</v>
      </c>
      <c r="S207">
        <f t="shared" si="962"/>
        <v>965.83429556216242</v>
      </c>
      <c r="T207">
        <f t="shared" si="963"/>
        <v>0.96583429556216238</v>
      </c>
    </row>
    <row r="208" spans="1:20" x14ac:dyDescent="0.25">
      <c r="A208" s="5">
        <v>44385</v>
      </c>
      <c r="B208">
        <v>2316.25</v>
      </c>
      <c r="C208">
        <v>2325.6</v>
      </c>
      <c r="D208">
        <v>2084.79</v>
      </c>
      <c r="E208">
        <v>2116.33</v>
      </c>
      <c r="F208">
        <v>880265.04124000005</v>
      </c>
      <c r="G208">
        <v>0</v>
      </c>
      <c r="L208" t="s">
        <v>7</v>
      </c>
      <c r="M208" t="s">
        <v>8</v>
      </c>
      <c r="N208" t="s">
        <v>7</v>
      </c>
      <c r="P208">
        <f t="shared" si="959"/>
        <v>-0.73805074540093873</v>
      </c>
      <c r="Q208">
        <f t="shared" si="960"/>
        <v>-649680.26983757014</v>
      </c>
      <c r="R208">
        <f t="shared" si="961"/>
        <v>96283260.462145746</v>
      </c>
      <c r="S208">
        <f t="shared" si="962"/>
        <v>962.83260462145745</v>
      </c>
      <c r="T208">
        <f t="shared" si="963"/>
        <v>0.96283260462145748</v>
      </c>
    </row>
    <row r="209" spans="1:20" x14ac:dyDescent="0.25">
      <c r="A209" s="5">
        <v>44384</v>
      </c>
      <c r="B209">
        <v>2322.5100000000002</v>
      </c>
      <c r="C209">
        <v>2409</v>
      </c>
      <c r="D209">
        <v>2291.9</v>
      </c>
      <c r="E209">
        <v>2316.5700000000002</v>
      </c>
      <c r="F209">
        <v>666501.35571999999</v>
      </c>
      <c r="G209">
        <v>0</v>
      </c>
      <c r="L209" t="s">
        <v>8</v>
      </c>
      <c r="M209" t="s">
        <v>8</v>
      </c>
      <c r="N209" t="s">
        <v>7</v>
      </c>
      <c r="P209">
        <f t="shared" si="959"/>
        <v>-0.57865072587531863</v>
      </c>
      <c r="Q209">
        <f t="shared" si="960"/>
        <v>-385671.49328426196</v>
      </c>
      <c r="R209">
        <f t="shared" si="961"/>
        <v>96932940.731983319</v>
      </c>
      <c r="S209">
        <f t="shared" si="962"/>
        <v>969.32940731983319</v>
      </c>
      <c r="T209">
        <f t="shared" si="963"/>
        <v>0.96932940731983319</v>
      </c>
    </row>
    <row r="210" spans="1:20" x14ac:dyDescent="0.25">
      <c r="A210" s="5">
        <v>44383</v>
      </c>
      <c r="B210">
        <v>2196.85</v>
      </c>
      <c r="C210">
        <v>2350</v>
      </c>
      <c r="D210">
        <v>2193</v>
      </c>
      <c r="E210">
        <v>2322.5</v>
      </c>
      <c r="F210">
        <v>785330.17151999997</v>
      </c>
      <c r="G210">
        <v>0</v>
      </c>
      <c r="L210" t="s">
        <v>8</v>
      </c>
      <c r="M210" t="s">
        <v>8</v>
      </c>
      <c r="N210" t="s">
        <v>7</v>
      </c>
      <c r="P210">
        <f t="shared" si="959"/>
        <v>0.64968152866242035</v>
      </c>
      <c r="Q210">
        <f t="shared" si="960"/>
        <v>510214.50633783435</v>
      </c>
      <c r="R210">
        <f t="shared" si="961"/>
        <v>97318612.225267574</v>
      </c>
      <c r="S210">
        <f t="shared" si="962"/>
        <v>973.18612225267577</v>
      </c>
      <c r="T210">
        <f t="shared" si="963"/>
        <v>0.97318612225267576</v>
      </c>
    </row>
    <row r="211" spans="1:20" x14ac:dyDescent="0.25">
      <c r="A211" s="5">
        <v>44382</v>
      </c>
      <c r="B211">
        <v>2322.69</v>
      </c>
      <c r="C211">
        <v>2324.64</v>
      </c>
      <c r="D211">
        <v>2157.3200000000002</v>
      </c>
      <c r="E211">
        <v>2196.5300000000002</v>
      </c>
      <c r="F211">
        <v>781806.31605000002</v>
      </c>
      <c r="G211">
        <v>0</v>
      </c>
      <c r="L211" t="s">
        <v>7</v>
      </c>
      <c r="M211" t="s">
        <v>8</v>
      </c>
      <c r="N211" t="s">
        <v>7</v>
      </c>
      <c r="P211">
        <f t="shared" si="959"/>
        <v>-0.53131723643318063</v>
      </c>
      <c r="Q211">
        <f t="shared" si="960"/>
        <v>-415387.17126969178</v>
      </c>
      <c r="R211">
        <f t="shared" si="961"/>
        <v>96808397.718929738</v>
      </c>
      <c r="S211">
        <f t="shared" si="962"/>
        <v>968.08397718929734</v>
      </c>
      <c r="T211">
        <f t="shared" si="963"/>
        <v>0.9680839771892974</v>
      </c>
    </row>
    <row r="212" spans="1:20" x14ac:dyDescent="0.25">
      <c r="A212" s="5">
        <v>44381</v>
      </c>
      <c r="B212">
        <v>2226.9899999999998</v>
      </c>
      <c r="C212">
        <v>2389.9299999999998</v>
      </c>
      <c r="D212">
        <v>2189.58</v>
      </c>
      <c r="E212">
        <v>2322.69</v>
      </c>
      <c r="F212">
        <v>590656.25069000002</v>
      </c>
      <c r="G212">
        <v>0</v>
      </c>
      <c r="L212" t="s">
        <v>8</v>
      </c>
      <c r="M212" t="s">
        <v>8</v>
      </c>
      <c r="N212" t="s">
        <v>7</v>
      </c>
      <c r="P212">
        <f t="shared" si="959"/>
        <v>0.32877464437235027</v>
      </c>
      <c r="Q212">
        <f t="shared" si="960"/>
        <v>194192.79876691054</v>
      </c>
      <c r="R212">
        <f t="shared" si="961"/>
        <v>97223784.890199423</v>
      </c>
      <c r="S212">
        <f t="shared" si="962"/>
        <v>972.2378489019942</v>
      </c>
      <c r="T212">
        <f t="shared" si="963"/>
        <v>0.97223784890199416</v>
      </c>
    </row>
    <row r="213" spans="1:20" x14ac:dyDescent="0.25">
      <c r="A213" s="5">
        <v>44380</v>
      </c>
      <c r="B213">
        <v>2153.9499999999998</v>
      </c>
      <c r="C213">
        <v>2240</v>
      </c>
      <c r="D213">
        <v>2112.0100000000002</v>
      </c>
      <c r="E213">
        <v>2226.9899999999998</v>
      </c>
      <c r="F213">
        <v>569264.80099999998</v>
      </c>
      <c r="G213">
        <v>0</v>
      </c>
      <c r="L213" t="s">
        <v>8</v>
      </c>
      <c r="M213" t="s">
        <v>8</v>
      </c>
      <c r="N213" t="s">
        <v>7</v>
      </c>
      <c r="P213">
        <f t="shared" si="959"/>
        <v>0.79670286741151275</v>
      </c>
      <c r="Q213">
        <f t="shared" si="960"/>
        <v>453534.8992731442</v>
      </c>
      <c r="R213">
        <f t="shared" si="961"/>
        <v>97029592.091432512</v>
      </c>
      <c r="S213">
        <f t="shared" si="962"/>
        <v>970.29592091432517</v>
      </c>
      <c r="T213">
        <f t="shared" si="963"/>
        <v>0.97029592091432515</v>
      </c>
    </row>
    <row r="214" spans="1:20" x14ac:dyDescent="0.25">
      <c r="A214" s="5">
        <v>44379</v>
      </c>
      <c r="B214">
        <v>2106.41</v>
      </c>
      <c r="C214">
        <v>2160</v>
      </c>
      <c r="D214">
        <v>2018.5</v>
      </c>
      <c r="E214">
        <v>2154.13</v>
      </c>
      <c r="F214">
        <v>672282.37476000004</v>
      </c>
      <c r="G214">
        <v>0</v>
      </c>
      <c r="L214" t="s">
        <v>7</v>
      </c>
      <c r="M214" t="s">
        <v>8</v>
      </c>
      <c r="N214" t="s">
        <v>7</v>
      </c>
      <c r="P214">
        <f t="shared" si="959"/>
        <v>0.9170318021201429</v>
      </c>
      <c r="Q214">
        <f t="shared" si="960"/>
        <v>616504.31765977212</v>
      </c>
      <c r="R214">
        <f t="shared" si="961"/>
        <v>96576057.19215937</v>
      </c>
      <c r="S214">
        <f t="shared" si="962"/>
        <v>965.76057192159374</v>
      </c>
      <c r="T214">
        <f t="shared" si="963"/>
        <v>0.9657605719215937</v>
      </c>
    </row>
    <row r="215" spans="1:20" x14ac:dyDescent="0.25">
      <c r="A215" s="5">
        <v>44378</v>
      </c>
      <c r="B215">
        <v>2275.6799999999998</v>
      </c>
      <c r="C215">
        <v>2275.9299999999998</v>
      </c>
      <c r="D215">
        <v>2073.12</v>
      </c>
      <c r="E215">
        <v>2106.41</v>
      </c>
      <c r="F215">
        <v>787865.25136999995</v>
      </c>
      <c r="G215">
        <v>0</v>
      </c>
      <c r="L215" t="s">
        <v>7</v>
      </c>
      <c r="M215" t="s">
        <v>8</v>
      </c>
      <c r="N215" t="s">
        <v>7</v>
      </c>
      <c r="P215">
        <f t="shared" si="959"/>
        <v>-0.67171244021497978</v>
      </c>
      <c r="Q215">
        <f t="shared" si="960"/>
        <v>-529218.89055833116</v>
      </c>
      <c r="R215">
        <f t="shared" si="961"/>
        <v>95959552.874499604</v>
      </c>
      <c r="S215">
        <f t="shared" si="962"/>
        <v>959.59552874499605</v>
      </c>
      <c r="T215">
        <f t="shared" si="963"/>
        <v>0.9595955287449961</v>
      </c>
    </row>
    <row r="216" spans="1:20" x14ac:dyDescent="0.25">
      <c r="A216" s="5">
        <v>44377</v>
      </c>
      <c r="B216">
        <v>2165.46</v>
      </c>
      <c r="C216">
        <v>2287.7800000000002</v>
      </c>
      <c r="D216">
        <v>2087.9899999999998</v>
      </c>
      <c r="E216">
        <v>2275.6799999999998</v>
      </c>
      <c r="F216">
        <v>910583.60320000001</v>
      </c>
      <c r="G216">
        <v>0</v>
      </c>
      <c r="L216" t="s">
        <v>8</v>
      </c>
      <c r="M216" t="s">
        <v>8</v>
      </c>
      <c r="N216" t="s">
        <v>7</v>
      </c>
      <c r="P216">
        <f t="shared" si="959"/>
        <v>0.87887281645727677</v>
      </c>
      <c r="Q216">
        <f t="shared" si="960"/>
        <v>800287.17596419936</v>
      </c>
      <c r="R216">
        <f t="shared" si="961"/>
        <v>96488771.765057936</v>
      </c>
      <c r="S216">
        <f t="shared" si="962"/>
        <v>964.88771765057936</v>
      </c>
      <c r="T216">
        <f t="shared" si="963"/>
        <v>0.96488771765057935</v>
      </c>
    </row>
    <row r="217" spans="1:20" x14ac:dyDescent="0.25">
      <c r="A217" s="5">
        <v>44376</v>
      </c>
      <c r="B217">
        <v>2084.42</v>
      </c>
      <c r="C217">
        <v>2245</v>
      </c>
      <c r="D217">
        <v>2073.5700000000002</v>
      </c>
      <c r="E217">
        <v>2165.33</v>
      </c>
      <c r="F217">
        <v>831257.23277</v>
      </c>
      <c r="G217">
        <v>0</v>
      </c>
      <c r="L217" t="s">
        <v>8</v>
      </c>
      <c r="M217" t="s">
        <v>8</v>
      </c>
      <c r="N217" t="s">
        <v>7</v>
      </c>
      <c r="P217">
        <f t="shared" si="959"/>
        <v>7.0524412296562464E-2</v>
      </c>
      <c r="Q217">
        <f t="shared" si="960"/>
        <v>58623.927808371074</v>
      </c>
      <c r="R217">
        <f t="shared" si="961"/>
        <v>95688484.58909373</v>
      </c>
      <c r="S217">
        <f t="shared" si="962"/>
        <v>956.8848458909373</v>
      </c>
      <c r="T217">
        <f t="shared" si="963"/>
        <v>0.95688484589093725</v>
      </c>
    </row>
    <row r="218" spans="1:20" x14ac:dyDescent="0.25">
      <c r="A218" s="5">
        <v>44375</v>
      </c>
      <c r="B218">
        <v>1982.27</v>
      </c>
      <c r="C218">
        <v>2145</v>
      </c>
      <c r="D218">
        <v>1960.52</v>
      </c>
      <c r="E218">
        <v>2084.41</v>
      </c>
      <c r="F218">
        <v>1044244.68308</v>
      </c>
      <c r="G218">
        <v>0</v>
      </c>
      <c r="L218" t="s">
        <v>8</v>
      </c>
      <c r="M218" t="s">
        <v>8</v>
      </c>
      <c r="N218" t="s">
        <v>7</v>
      </c>
      <c r="P218">
        <f t="shared" si="959"/>
        <v>0.3431266261925397</v>
      </c>
      <c r="Q218">
        <f t="shared" si="960"/>
        <v>358308.15502473823</v>
      </c>
      <c r="R218">
        <f t="shared" si="961"/>
        <v>95629860.661285356</v>
      </c>
      <c r="S218">
        <f t="shared" si="962"/>
        <v>956.29860661285352</v>
      </c>
      <c r="T218">
        <f t="shared" si="963"/>
        <v>0.95629860661285349</v>
      </c>
    </row>
    <row r="219" spans="1:20" x14ac:dyDescent="0.25">
      <c r="A219" s="5">
        <v>44374</v>
      </c>
      <c r="B219">
        <v>1829.84</v>
      </c>
      <c r="C219">
        <v>1984.5</v>
      </c>
      <c r="D219">
        <v>1804.26</v>
      </c>
      <c r="E219">
        <v>1982.28</v>
      </c>
      <c r="F219">
        <v>696055.79307000001</v>
      </c>
      <c r="G219">
        <v>0</v>
      </c>
      <c r="L219" t="s">
        <v>8</v>
      </c>
      <c r="M219" t="s">
        <v>7</v>
      </c>
      <c r="N219" t="s">
        <v>7</v>
      </c>
      <c r="P219">
        <f t="shared" si="959"/>
        <v>0.97536617842876139</v>
      </c>
      <c r="Q219">
        <f t="shared" si="960"/>
        <v>678909.27885988669</v>
      </c>
      <c r="R219">
        <f t="shared" si="961"/>
        <v>95271552.506260619</v>
      </c>
      <c r="S219">
        <f t="shared" si="962"/>
        <v>952.71552506260616</v>
      </c>
      <c r="T219">
        <f t="shared" si="963"/>
        <v>0.95271552506260615</v>
      </c>
    </row>
    <row r="220" spans="1:20" x14ac:dyDescent="0.25">
      <c r="A220" s="5">
        <v>44373</v>
      </c>
      <c r="B220">
        <v>1808.97</v>
      </c>
      <c r="C220">
        <v>1852.8</v>
      </c>
      <c r="D220">
        <v>1717.32</v>
      </c>
      <c r="E220">
        <v>1829.64</v>
      </c>
      <c r="F220">
        <v>832315.14904000005</v>
      </c>
      <c r="G220">
        <v>0</v>
      </c>
      <c r="L220" t="s">
        <v>7</v>
      </c>
      <c r="M220" t="s">
        <v>7</v>
      </c>
      <c r="N220" t="s">
        <v>7</v>
      </c>
      <c r="P220">
        <f t="shared" si="959"/>
        <v>0.65810451727192421</v>
      </c>
      <c r="Q220">
        <f t="shared" si="960"/>
        <v>547750.35937707883</v>
      </c>
      <c r="R220">
        <f t="shared" si="961"/>
        <v>94592643.227400735</v>
      </c>
      <c r="S220">
        <f t="shared" si="962"/>
        <v>945.92643227400731</v>
      </c>
      <c r="T220">
        <f t="shared" si="963"/>
        <v>0.9459264322740073</v>
      </c>
    </row>
    <row r="221" spans="1:20" x14ac:dyDescent="0.25">
      <c r="A221" s="5">
        <v>44372</v>
      </c>
      <c r="B221">
        <v>1989.53</v>
      </c>
      <c r="C221">
        <v>2019.99</v>
      </c>
      <c r="D221">
        <v>1791.22</v>
      </c>
      <c r="E221">
        <v>1808.82</v>
      </c>
      <c r="F221">
        <v>858808.54767</v>
      </c>
      <c r="G221">
        <v>0</v>
      </c>
      <c r="L221" t="s">
        <v>7</v>
      </c>
      <c r="M221" t="s">
        <v>8</v>
      </c>
      <c r="N221" t="s">
        <v>7</v>
      </c>
      <c r="P221">
        <f t="shared" si="959"/>
        <v>-0.84613367137299544</v>
      </c>
      <c r="Q221">
        <f t="shared" si="960"/>
        <v>-726666.82944652729</v>
      </c>
      <c r="R221">
        <f t="shared" si="961"/>
        <v>94044892.868023649</v>
      </c>
      <c r="S221">
        <f t="shared" si="962"/>
        <v>940.44892868023646</v>
      </c>
      <c r="T221">
        <f t="shared" si="963"/>
        <v>0.94044892868023644</v>
      </c>
    </row>
    <row r="222" spans="1:20" x14ac:dyDescent="0.25">
      <c r="A222" s="5">
        <v>44371</v>
      </c>
      <c r="B222">
        <v>1967.95</v>
      </c>
      <c r="C222">
        <v>2036.61</v>
      </c>
      <c r="D222">
        <v>1884.79</v>
      </c>
      <c r="E222">
        <v>1989.52</v>
      </c>
      <c r="F222">
        <v>701231.67478</v>
      </c>
      <c r="G222">
        <v>0</v>
      </c>
      <c r="L222" t="s">
        <v>7</v>
      </c>
      <c r="M222" t="s">
        <v>8</v>
      </c>
      <c r="N222" t="s">
        <v>7</v>
      </c>
      <c r="P222">
        <f t="shared" si="959"/>
        <v>0.37966012383085312</v>
      </c>
      <c r="Q222">
        <f t="shared" si="960"/>
        <v>266229.70448109135</v>
      </c>
      <c r="R222">
        <f t="shared" si="961"/>
        <v>94771559.697470173</v>
      </c>
      <c r="S222">
        <f t="shared" si="962"/>
        <v>947.71559697470173</v>
      </c>
      <c r="T222">
        <f t="shared" si="963"/>
        <v>0.94771559697470176</v>
      </c>
    </row>
    <row r="223" spans="1:20" x14ac:dyDescent="0.25">
      <c r="A223" s="5">
        <v>44370</v>
      </c>
      <c r="B223">
        <v>1879.29</v>
      </c>
      <c r="C223">
        <v>2045</v>
      </c>
      <c r="D223">
        <v>1821.95</v>
      </c>
      <c r="E223">
        <v>1968.14</v>
      </c>
      <c r="F223">
        <v>918612.30493999994</v>
      </c>
      <c r="G223">
        <v>0</v>
      </c>
      <c r="L223" t="s">
        <v>8</v>
      </c>
      <c r="M223" t="s">
        <v>8</v>
      </c>
      <c r="N223" t="s">
        <v>7</v>
      </c>
      <c r="P223">
        <f t="shared" si="959"/>
        <v>0.31082716879623479</v>
      </c>
      <c r="Q223">
        <f t="shared" si="960"/>
        <v>285529.66196588369</v>
      </c>
      <c r="R223">
        <f t="shared" si="961"/>
        <v>94505329.992989078</v>
      </c>
      <c r="S223">
        <f t="shared" si="962"/>
        <v>945.05329992989073</v>
      </c>
      <c r="T223">
        <f t="shared" si="963"/>
        <v>0.94505329992989073</v>
      </c>
    </row>
    <row r="224" spans="1:20" x14ac:dyDescent="0.25">
      <c r="A224" s="5">
        <v>44369</v>
      </c>
      <c r="B224">
        <v>1885.27</v>
      </c>
      <c r="C224">
        <v>1998</v>
      </c>
      <c r="D224">
        <v>1700.48</v>
      </c>
      <c r="E224">
        <v>1879.28</v>
      </c>
      <c r="F224">
        <v>1695338.0805200001</v>
      </c>
      <c r="G224">
        <v>0</v>
      </c>
      <c r="L224" t="s">
        <v>7</v>
      </c>
      <c r="M224" t="s">
        <v>7</v>
      </c>
      <c r="N224" t="s">
        <v>7</v>
      </c>
      <c r="P224">
        <f t="shared" si="959"/>
        <v>0.20193600430223155</v>
      </c>
      <c r="Q224">
        <f t="shared" si="960"/>
        <v>342349.79792162369</v>
      </c>
      <c r="R224">
        <f t="shared" si="961"/>
        <v>94219800.331023201</v>
      </c>
      <c r="S224">
        <f t="shared" si="962"/>
        <v>942.19800331023202</v>
      </c>
      <c r="T224">
        <f t="shared" si="963"/>
        <v>0.94219800331023207</v>
      </c>
    </row>
    <row r="225" spans="1:20" x14ac:dyDescent="0.25">
      <c r="A225" s="5">
        <v>44368</v>
      </c>
      <c r="B225">
        <v>2243.4899999999998</v>
      </c>
      <c r="C225">
        <v>2260.16</v>
      </c>
      <c r="D225">
        <v>1865.54</v>
      </c>
      <c r="E225">
        <v>1885.49</v>
      </c>
      <c r="F225">
        <v>1629819.66576</v>
      </c>
      <c r="G225">
        <v>0</v>
      </c>
      <c r="L225" t="s">
        <v>7</v>
      </c>
      <c r="M225" t="s">
        <v>7</v>
      </c>
      <c r="N225" t="s">
        <v>7</v>
      </c>
      <c r="P225">
        <f t="shared" si="959"/>
        <v>-0.8988900714611523</v>
      </c>
      <c r="Q225">
        <f t="shared" si="960"/>
        <v>-1465028.7158237977</v>
      </c>
      <c r="R225">
        <f t="shared" si="961"/>
        <v>93877450.533101574</v>
      </c>
      <c r="S225">
        <f t="shared" si="962"/>
        <v>938.77450533101569</v>
      </c>
      <c r="T225">
        <f t="shared" si="963"/>
        <v>0.9387745053310157</v>
      </c>
    </row>
    <row r="226" spans="1:20" x14ac:dyDescent="0.25">
      <c r="A226" s="5">
        <v>44367</v>
      </c>
      <c r="B226">
        <v>2165.34</v>
      </c>
      <c r="C226">
        <v>2280.0100000000002</v>
      </c>
      <c r="D226">
        <v>2040.68</v>
      </c>
      <c r="E226">
        <v>2243.4699999999998</v>
      </c>
      <c r="F226">
        <v>743883.64740999998</v>
      </c>
      <c r="G226">
        <v>0</v>
      </c>
      <c r="L226" t="s">
        <v>7</v>
      </c>
      <c r="M226" t="s">
        <v>7</v>
      </c>
      <c r="N226" t="s">
        <v>7</v>
      </c>
      <c r="P226">
        <f t="shared" si="959"/>
        <v>0.69464755776542519</v>
      </c>
      <c r="Q226">
        <f t="shared" si="960"/>
        <v>516736.95893499313</v>
      </c>
      <c r="R226">
        <f t="shared" si="961"/>
        <v>95342479.248925373</v>
      </c>
      <c r="S226">
        <f t="shared" si="962"/>
        <v>953.42479248925372</v>
      </c>
      <c r="T226">
        <f t="shared" si="963"/>
        <v>0.95342479248925371</v>
      </c>
    </row>
    <row r="227" spans="1:20" x14ac:dyDescent="0.25">
      <c r="A227" s="5">
        <v>44366</v>
      </c>
      <c r="B227">
        <v>2234.09</v>
      </c>
      <c r="C227">
        <v>2278.8200000000002</v>
      </c>
      <c r="D227">
        <v>2161.67</v>
      </c>
      <c r="E227">
        <v>2164.67</v>
      </c>
      <c r="F227">
        <v>496872.24997</v>
      </c>
      <c r="G227">
        <v>0</v>
      </c>
      <c r="L227" t="s">
        <v>7</v>
      </c>
      <c r="M227" t="s">
        <v>7</v>
      </c>
      <c r="N227" t="s">
        <v>8</v>
      </c>
      <c r="P227">
        <f t="shared" si="959"/>
        <v>-0.94878361075544182</v>
      </c>
      <c r="Q227">
        <f t="shared" si="960"/>
        <v>-471424.24741071707</v>
      </c>
      <c r="R227">
        <f t="shared" si="961"/>
        <v>94825742.28999038</v>
      </c>
      <c r="S227">
        <f t="shared" si="962"/>
        <v>948.25742289990376</v>
      </c>
      <c r="T227">
        <f t="shared" si="963"/>
        <v>0.94825742289990378</v>
      </c>
    </row>
    <row r="228" spans="1:20" x14ac:dyDescent="0.25">
      <c r="A228" s="5">
        <v>44365</v>
      </c>
      <c r="B228">
        <v>2373.2800000000002</v>
      </c>
      <c r="C228">
        <v>2378</v>
      </c>
      <c r="D228">
        <v>2139</v>
      </c>
      <c r="E228">
        <v>2234.09</v>
      </c>
      <c r="F228">
        <v>778905.20197000005</v>
      </c>
      <c r="G228">
        <v>0</v>
      </c>
      <c r="L228" t="s">
        <v>7</v>
      </c>
      <c r="M228" t="s">
        <v>7</v>
      </c>
      <c r="N228" t="s">
        <v>8</v>
      </c>
      <c r="P228">
        <f t="shared" si="959"/>
        <v>-0.20426778242677701</v>
      </c>
      <c r="Q228">
        <f t="shared" si="960"/>
        <v>-159105.23832709278</v>
      </c>
      <c r="R228">
        <f t="shared" si="961"/>
        <v>95297166.537401095</v>
      </c>
      <c r="S228">
        <f t="shared" si="962"/>
        <v>952.97166537401097</v>
      </c>
      <c r="T228">
        <f t="shared" si="963"/>
        <v>0.95297166537401101</v>
      </c>
    </row>
    <row r="229" spans="1:20" x14ac:dyDescent="0.25">
      <c r="A229" s="5">
        <v>44364</v>
      </c>
      <c r="B229">
        <v>2368.02</v>
      </c>
      <c r="C229">
        <v>2460.5</v>
      </c>
      <c r="D229">
        <v>2306</v>
      </c>
      <c r="E229">
        <v>2373.2800000000002</v>
      </c>
      <c r="F229">
        <v>560667.58565999998</v>
      </c>
      <c r="G229">
        <v>0</v>
      </c>
      <c r="L229" t="s">
        <v>7</v>
      </c>
      <c r="M229" t="s">
        <v>7</v>
      </c>
      <c r="N229" t="s">
        <v>8</v>
      </c>
      <c r="P229">
        <f t="shared" si="959"/>
        <v>-0.12906148867313658</v>
      </c>
      <c r="Q229">
        <f t="shared" si="960"/>
        <v>-72360.593256052918</v>
      </c>
      <c r="R229">
        <f t="shared" si="961"/>
        <v>95456271.775728181</v>
      </c>
      <c r="S229">
        <f t="shared" si="962"/>
        <v>954.5627177572818</v>
      </c>
      <c r="T229">
        <f t="shared" si="963"/>
        <v>0.95456271775728185</v>
      </c>
    </row>
    <row r="230" spans="1:20" x14ac:dyDescent="0.25">
      <c r="A230" s="5">
        <v>44363</v>
      </c>
      <c r="B230">
        <v>2543.5500000000002</v>
      </c>
      <c r="C230">
        <v>2556.19</v>
      </c>
      <c r="D230">
        <v>2351.1799999999998</v>
      </c>
      <c r="E230">
        <v>2367.89</v>
      </c>
      <c r="F230">
        <v>624741.78358000005</v>
      </c>
      <c r="G230">
        <v>0</v>
      </c>
      <c r="L230" t="s">
        <v>7</v>
      </c>
      <c r="M230" t="s">
        <v>7</v>
      </c>
      <c r="N230" t="s">
        <v>8</v>
      </c>
      <c r="P230">
        <f t="shared" si="959"/>
        <v>-0.83698356177747413</v>
      </c>
      <c r="Q230">
        <f t="shared" si="960"/>
        <v>-522898.60321200034</v>
      </c>
      <c r="R230">
        <f t="shared" si="961"/>
        <v>95528632.368984237</v>
      </c>
      <c r="S230">
        <f t="shared" si="962"/>
        <v>955.28632368984233</v>
      </c>
      <c r="T230">
        <f t="shared" si="963"/>
        <v>0.95528632368984234</v>
      </c>
    </row>
    <row r="231" spans="1:20" x14ac:dyDescent="0.25">
      <c r="A231" s="5">
        <v>44362</v>
      </c>
      <c r="B231">
        <v>2580.58</v>
      </c>
      <c r="C231">
        <v>2640</v>
      </c>
      <c r="D231">
        <v>2507.6999999999998</v>
      </c>
      <c r="E231">
        <v>2543.54</v>
      </c>
      <c r="F231">
        <v>599826.64933000004</v>
      </c>
      <c r="G231">
        <v>0</v>
      </c>
      <c r="L231" t="s">
        <v>8</v>
      </c>
      <c r="M231" t="s">
        <v>7</v>
      </c>
      <c r="N231" t="s">
        <v>8</v>
      </c>
      <c r="P231">
        <f t="shared" si="959"/>
        <v>-0.45820105820105672</v>
      </c>
      <c r="Q231">
        <f t="shared" si="960"/>
        <v>-274841.2054602002</v>
      </c>
      <c r="R231">
        <f t="shared" si="961"/>
        <v>96051530.972196236</v>
      </c>
      <c r="S231">
        <f t="shared" si="962"/>
        <v>960.51530972196235</v>
      </c>
      <c r="T231">
        <f t="shared" si="963"/>
        <v>0.96051530972196231</v>
      </c>
    </row>
    <row r="232" spans="1:20" x14ac:dyDescent="0.25">
      <c r="A232" s="5">
        <v>44361</v>
      </c>
      <c r="B232">
        <v>2509.33</v>
      </c>
      <c r="C232">
        <v>2609.17</v>
      </c>
      <c r="D232">
        <v>2461</v>
      </c>
      <c r="E232">
        <v>2580.77</v>
      </c>
      <c r="F232">
        <v>684183.55622000003</v>
      </c>
      <c r="G232">
        <v>0</v>
      </c>
      <c r="L232" t="s">
        <v>8</v>
      </c>
      <c r="M232" t="s">
        <v>7</v>
      </c>
      <c r="N232" t="s">
        <v>8</v>
      </c>
      <c r="P232">
        <f t="shared" si="959"/>
        <v>0.61665654315988283</v>
      </c>
      <c r="Q232">
        <f t="shared" si="960"/>
        <v>421906.26666546054</v>
      </c>
      <c r="R232">
        <f t="shared" si="961"/>
        <v>96326372.177656442</v>
      </c>
      <c r="S232">
        <f t="shared" si="962"/>
        <v>963.26372177656447</v>
      </c>
      <c r="T232">
        <f t="shared" si="963"/>
        <v>0.9632637217765645</v>
      </c>
    </row>
    <row r="233" spans="1:20" x14ac:dyDescent="0.25">
      <c r="A233" s="5">
        <v>44360</v>
      </c>
      <c r="B233">
        <v>2370.64</v>
      </c>
      <c r="C233">
        <v>2548.41</v>
      </c>
      <c r="D233">
        <v>2308.41</v>
      </c>
      <c r="E233">
        <v>2509.33</v>
      </c>
      <c r="F233">
        <v>715948.75985999999</v>
      </c>
      <c r="G233">
        <v>0</v>
      </c>
      <c r="L233" t="s">
        <v>8</v>
      </c>
      <c r="M233" t="s">
        <v>7</v>
      </c>
      <c r="N233" t="s">
        <v>8</v>
      </c>
      <c r="P233">
        <f t="shared" si="959"/>
        <v>0.6743333333333339</v>
      </c>
      <c r="Q233">
        <f t="shared" si="960"/>
        <v>482788.11373226042</v>
      </c>
      <c r="R233">
        <f t="shared" si="961"/>
        <v>95904465.910990983</v>
      </c>
      <c r="S233">
        <f t="shared" si="962"/>
        <v>959.04465910990984</v>
      </c>
      <c r="T233">
        <f t="shared" si="963"/>
        <v>0.95904465910990988</v>
      </c>
    </row>
    <row r="234" spans="1:20" x14ac:dyDescent="0.25">
      <c r="A234" s="5">
        <v>44359</v>
      </c>
      <c r="B234">
        <v>2354.09</v>
      </c>
      <c r="C234">
        <v>2454.5300000000002</v>
      </c>
      <c r="D234">
        <v>2256.2199999999998</v>
      </c>
      <c r="E234">
        <v>2370.7399999999998</v>
      </c>
      <c r="F234">
        <v>767439.49840000004</v>
      </c>
      <c r="G234">
        <v>0</v>
      </c>
      <c r="L234" t="s">
        <v>7</v>
      </c>
      <c r="M234" t="s">
        <v>7</v>
      </c>
      <c r="N234" t="s">
        <v>8</v>
      </c>
      <c r="P234">
        <f t="shared" si="959"/>
        <v>0.15495940698905503</v>
      </c>
      <c r="Q234">
        <f t="shared" si="960"/>
        <v>118921.96957204185</v>
      </c>
      <c r="R234">
        <f t="shared" si="961"/>
        <v>95421677.79725872</v>
      </c>
      <c r="S234">
        <f t="shared" si="962"/>
        <v>954.21677797258724</v>
      </c>
      <c r="T234">
        <f t="shared" si="963"/>
        <v>0.95421677797258719</v>
      </c>
    </row>
    <row r="235" spans="1:20" x14ac:dyDescent="0.25">
      <c r="A235" s="5">
        <v>44358</v>
      </c>
      <c r="B235">
        <v>2471.0100000000002</v>
      </c>
      <c r="C235">
        <v>2497.9899999999998</v>
      </c>
      <c r="D235">
        <v>2321.37</v>
      </c>
      <c r="E235">
        <v>2354.0100000000002</v>
      </c>
      <c r="F235">
        <v>587364.27358000004</v>
      </c>
      <c r="G235">
        <v>0</v>
      </c>
      <c r="L235" t="s">
        <v>7</v>
      </c>
      <c r="M235" t="s">
        <v>7</v>
      </c>
      <c r="N235" t="s">
        <v>8</v>
      </c>
      <c r="P235">
        <f t="shared" si="959"/>
        <v>-0.63039293398255747</v>
      </c>
      <c r="Q235">
        <f t="shared" si="960"/>
        <v>-370270.28773862979</v>
      </c>
      <c r="R235">
        <f t="shared" si="961"/>
        <v>95302755.827686682</v>
      </c>
      <c r="S235">
        <f t="shared" si="962"/>
        <v>953.02755827686678</v>
      </c>
      <c r="T235">
        <f t="shared" si="963"/>
        <v>0.9530275582768668</v>
      </c>
    </row>
    <row r="236" spans="1:20" x14ac:dyDescent="0.25">
      <c r="A236" s="5">
        <v>44357</v>
      </c>
      <c r="B236">
        <v>2610.1999999999998</v>
      </c>
      <c r="C236">
        <v>2624.46</v>
      </c>
      <c r="D236">
        <v>2425.11</v>
      </c>
      <c r="E236">
        <v>2471.09</v>
      </c>
      <c r="F236">
        <v>741237.49925999995</v>
      </c>
      <c r="G236">
        <v>0</v>
      </c>
      <c r="L236" t="s">
        <v>7</v>
      </c>
      <c r="M236" t="s">
        <v>7</v>
      </c>
      <c r="N236" t="s">
        <v>8</v>
      </c>
      <c r="P236">
        <f t="shared" si="959"/>
        <v>-0.53870077752696222</v>
      </c>
      <c r="Q236">
        <f t="shared" si="960"/>
        <v>-399305.21718350303</v>
      </c>
      <c r="R236">
        <f t="shared" si="961"/>
        <v>95673026.115425318</v>
      </c>
      <c r="S236">
        <f t="shared" si="962"/>
        <v>956.73026115425318</v>
      </c>
      <c r="T236">
        <f t="shared" si="963"/>
        <v>0.95673026115425319</v>
      </c>
    </row>
    <row r="237" spans="1:20" x14ac:dyDescent="0.25">
      <c r="A237" s="5">
        <v>44356</v>
      </c>
      <c r="B237">
        <v>2507.4299999999998</v>
      </c>
      <c r="C237">
        <v>2626.63</v>
      </c>
      <c r="D237">
        <v>2405.2800000000002</v>
      </c>
      <c r="E237">
        <v>2610.1799999999998</v>
      </c>
      <c r="F237">
        <v>1276718.2401099999</v>
      </c>
      <c r="G237">
        <v>0</v>
      </c>
      <c r="L237" t="s">
        <v>8</v>
      </c>
      <c r="M237" t="s">
        <v>7</v>
      </c>
      <c r="N237" t="s">
        <v>8</v>
      </c>
      <c r="P237">
        <f t="shared" si="959"/>
        <v>0.85136661395978963</v>
      </c>
      <c r="Q237">
        <f t="shared" si="960"/>
        <v>1086955.2850631522</v>
      </c>
      <c r="R237">
        <f t="shared" si="961"/>
        <v>96072331.332608819</v>
      </c>
      <c r="S237">
        <f t="shared" si="962"/>
        <v>960.72331332608815</v>
      </c>
      <c r="T237">
        <f t="shared" si="963"/>
        <v>0.96072331332608818</v>
      </c>
    </row>
    <row r="238" spans="1:20" x14ac:dyDescent="0.25">
      <c r="A238" s="5">
        <v>44355</v>
      </c>
      <c r="B238">
        <v>2592.0500000000002</v>
      </c>
      <c r="C238">
        <v>2620.9899999999998</v>
      </c>
      <c r="D238">
        <v>2304.91</v>
      </c>
      <c r="E238">
        <v>2507.23</v>
      </c>
      <c r="F238">
        <v>1693747.42759</v>
      </c>
      <c r="G238">
        <v>0</v>
      </c>
      <c r="L238" t="s">
        <v>7</v>
      </c>
      <c r="M238" t="s">
        <v>7</v>
      </c>
      <c r="N238" t="s">
        <v>8</v>
      </c>
      <c r="P238">
        <f t="shared" si="959"/>
        <v>0.28018223234624279</v>
      </c>
      <c r="Q238">
        <f t="shared" si="960"/>
        <v>474557.93529287243</v>
      </c>
      <c r="R238">
        <f t="shared" si="961"/>
        <v>94985376.047545671</v>
      </c>
      <c r="S238">
        <f t="shared" si="962"/>
        <v>949.85376047545674</v>
      </c>
      <c r="T238">
        <f t="shared" si="963"/>
        <v>0.94985376047545678</v>
      </c>
    </row>
    <row r="239" spans="1:20" x14ac:dyDescent="0.25">
      <c r="A239" s="5">
        <v>44354</v>
      </c>
      <c r="B239">
        <v>2711.92</v>
      </c>
      <c r="C239">
        <v>2847.55</v>
      </c>
      <c r="D239">
        <v>2570</v>
      </c>
      <c r="E239">
        <v>2592.0500000000002</v>
      </c>
      <c r="F239">
        <v>1152128.0785600001</v>
      </c>
      <c r="G239">
        <v>0</v>
      </c>
      <c r="L239" t="s">
        <v>7</v>
      </c>
      <c r="M239" t="s">
        <v>8</v>
      </c>
      <c r="N239" t="s">
        <v>8</v>
      </c>
      <c r="P239">
        <f t="shared" si="959"/>
        <v>-0.84110970996216772</v>
      </c>
      <c r="Q239">
        <f t="shared" si="960"/>
        <v>-969066.11399687128</v>
      </c>
      <c r="R239">
        <f t="shared" si="961"/>
        <v>94510818.112252802</v>
      </c>
      <c r="S239">
        <f t="shared" si="962"/>
        <v>945.10818112252798</v>
      </c>
      <c r="T239">
        <f t="shared" si="963"/>
        <v>0.94510818112252803</v>
      </c>
    </row>
    <row r="240" spans="1:20" x14ac:dyDescent="0.25">
      <c r="A240" s="5">
        <v>44353</v>
      </c>
      <c r="B240">
        <v>2627.63</v>
      </c>
      <c r="C240">
        <v>2745</v>
      </c>
      <c r="D240">
        <v>2614</v>
      </c>
      <c r="E240">
        <v>2711.92</v>
      </c>
      <c r="F240">
        <v>673792.69368999999</v>
      </c>
      <c r="G240">
        <v>0</v>
      </c>
      <c r="L240" t="s">
        <v>7</v>
      </c>
      <c r="M240" t="s">
        <v>8</v>
      </c>
      <c r="N240" t="s">
        <v>8</v>
      </c>
      <c r="P240">
        <f t="shared" si="959"/>
        <v>0.49496183206106981</v>
      </c>
      <c r="Q240">
        <f t="shared" si="960"/>
        <v>333501.66609816562</v>
      </c>
      <c r="R240">
        <f t="shared" si="961"/>
        <v>95479884.22624968</v>
      </c>
      <c r="S240">
        <f t="shared" si="962"/>
        <v>954.79884226249681</v>
      </c>
      <c r="T240">
        <f t="shared" si="963"/>
        <v>0.95479884226249678</v>
      </c>
    </row>
    <row r="241" spans="1:20" x14ac:dyDescent="0.25">
      <c r="A241" s="5">
        <v>44352</v>
      </c>
      <c r="B241">
        <v>2689.54</v>
      </c>
      <c r="C241">
        <v>2816.87</v>
      </c>
      <c r="D241">
        <v>2552.23</v>
      </c>
      <c r="E241">
        <v>2627.73</v>
      </c>
      <c r="F241">
        <v>961824.12413000001</v>
      </c>
      <c r="G241">
        <v>0</v>
      </c>
      <c r="L241" t="s">
        <v>8</v>
      </c>
      <c r="M241" t="s">
        <v>8</v>
      </c>
      <c r="N241" t="s">
        <v>8</v>
      </c>
      <c r="P241">
        <f t="shared" si="959"/>
        <v>-0.42941354292623912</v>
      </c>
      <c r="Q241">
        <f t="shared" si="960"/>
        <v>-413020.30481459008</v>
      </c>
      <c r="R241">
        <f t="shared" si="961"/>
        <v>95146382.560151517</v>
      </c>
      <c r="S241">
        <f t="shared" si="962"/>
        <v>951.46382560151517</v>
      </c>
      <c r="T241">
        <f t="shared" si="963"/>
        <v>0.95146382560151521</v>
      </c>
    </row>
    <row r="242" spans="1:20" x14ac:dyDescent="0.25">
      <c r="A242" s="5">
        <v>44351</v>
      </c>
      <c r="B242">
        <v>2857.25</v>
      </c>
      <c r="C242">
        <v>2860</v>
      </c>
      <c r="D242">
        <v>2552</v>
      </c>
      <c r="E242">
        <v>2689.51</v>
      </c>
      <c r="F242">
        <v>1188314.11191</v>
      </c>
      <c r="G242">
        <v>0</v>
      </c>
      <c r="L242" t="s">
        <v>7</v>
      </c>
      <c r="M242" t="s">
        <v>8</v>
      </c>
      <c r="N242" t="s">
        <v>8</v>
      </c>
      <c r="P242">
        <f t="shared" si="959"/>
        <v>-0.10707792207792066</v>
      </c>
      <c r="Q242">
        <f t="shared" si="960"/>
        <v>-127242.20587919246</v>
      </c>
      <c r="R242">
        <f t="shared" si="961"/>
        <v>95559402.864966109</v>
      </c>
      <c r="S242">
        <f t="shared" si="962"/>
        <v>955.59402864966114</v>
      </c>
      <c r="T242">
        <f t="shared" si="963"/>
        <v>0.95559402864966114</v>
      </c>
    </row>
    <row r="243" spans="1:20" x14ac:dyDescent="0.25">
      <c r="A243" s="5">
        <v>44350</v>
      </c>
      <c r="B243">
        <v>2706.21</v>
      </c>
      <c r="C243">
        <v>2891.95</v>
      </c>
      <c r="D243">
        <v>2662.4</v>
      </c>
      <c r="E243">
        <v>2857.25</v>
      </c>
      <c r="F243">
        <v>1024290.89423</v>
      </c>
      <c r="G243">
        <v>0</v>
      </c>
      <c r="L243" t="s">
        <v>8</v>
      </c>
      <c r="M243" t="s">
        <v>8</v>
      </c>
      <c r="N243" t="s">
        <v>8</v>
      </c>
      <c r="P243">
        <f t="shared" si="959"/>
        <v>0.69766935308211842</v>
      </c>
      <c r="Q243">
        <f t="shared" si="960"/>
        <v>714616.36554534861</v>
      </c>
      <c r="R243">
        <f t="shared" si="961"/>
        <v>95686645.070845306</v>
      </c>
      <c r="S243">
        <f t="shared" si="962"/>
        <v>956.86645070845304</v>
      </c>
      <c r="T243">
        <f t="shared" si="963"/>
        <v>0.956866450708453</v>
      </c>
    </row>
    <row r="244" spans="1:20" x14ac:dyDescent="0.25">
      <c r="A244" s="5">
        <v>44349</v>
      </c>
      <c r="B244">
        <v>2634.31</v>
      </c>
      <c r="C244">
        <v>2802.99</v>
      </c>
      <c r="D244">
        <v>2550</v>
      </c>
      <c r="E244">
        <v>2706.22</v>
      </c>
      <c r="F244">
        <v>970070.53563000006</v>
      </c>
      <c r="G244">
        <v>0</v>
      </c>
      <c r="L244" t="s">
        <v>8</v>
      </c>
      <c r="M244" t="s">
        <v>8</v>
      </c>
      <c r="N244" t="s">
        <v>8</v>
      </c>
      <c r="P244">
        <f t="shared" si="959"/>
        <v>0.23498952527767844</v>
      </c>
      <c r="Q244">
        <f t="shared" si="960"/>
        <v>227956.41465355697</v>
      </c>
      <c r="R244">
        <f t="shared" si="961"/>
        <v>94972028.705299959</v>
      </c>
      <c r="S244">
        <f t="shared" si="962"/>
        <v>949.72028705299954</v>
      </c>
      <c r="T244">
        <f t="shared" si="963"/>
        <v>0.94972028705299949</v>
      </c>
    </row>
    <row r="245" spans="1:20" x14ac:dyDescent="0.25">
      <c r="A245" s="5">
        <v>44348</v>
      </c>
      <c r="B245">
        <v>2706.15</v>
      </c>
      <c r="C245">
        <v>2740</v>
      </c>
      <c r="D245">
        <v>2523.7399999999998</v>
      </c>
      <c r="E245">
        <v>2634.57</v>
      </c>
      <c r="F245">
        <v>1179577.10806</v>
      </c>
      <c r="G245">
        <v>0</v>
      </c>
      <c r="L245" t="s">
        <v>7</v>
      </c>
      <c r="M245" t="s">
        <v>8</v>
      </c>
      <c r="N245" t="s">
        <v>8</v>
      </c>
      <c r="P245">
        <f t="shared" si="959"/>
        <v>2.4969943586426246E-2</v>
      </c>
      <c r="Q245">
        <f t="shared" si="960"/>
        <v>29453.973844098015</v>
      </c>
      <c r="R245">
        <f t="shared" si="961"/>
        <v>94744072.290646404</v>
      </c>
      <c r="S245">
        <f t="shared" si="962"/>
        <v>947.44072290646409</v>
      </c>
      <c r="T245">
        <f t="shared" si="963"/>
        <v>0.94744072290646408</v>
      </c>
    </row>
    <row r="246" spans="1:20" x14ac:dyDescent="0.25">
      <c r="A246" s="5">
        <v>44347</v>
      </c>
      <c r="B246">
        <v>2385.8200000000002</v>
      </c>
      <c r="C246">
        <v>2720</v>
      </c>
      <c r="D246">
        <v>2271.44</v>
      </c>
      <c r="E246">
        <v>2706.15</v>
      </c>
      <c r="F246">
        <v>1307958.0406800001</v>
      </c>
      <c r="G246">
        <v>0</v>
      </c>
      <c r="L246" t="s">
        <v>8</v>
      </c>
      <c r="M246" t="s">
        <v>8</v>
      </c>
      <c r="N246" t="s">
        <v>8</v>
      </c>
      <c r="P246">
        <f t="shared" si="959"/>
        <v>0.93824683431425049</v>
      </c>
      <c r="Q246">
        <f t="shared" si="960"/>
        <v>1227187.4910838797</v>
      </c>
      <c r="R246">
        <f t="shared" si="961"/>
        <v>94714618.316802308</v>
      </c>
      <c r="S246">
        <f t="shared" si="962"/>
        <v>947.14618316802307</v>
      </c>
      <c r="T246">
        <f t="shared" si="963"/>
        <v>0.94714618316802313</v>
      </c>
    </row>
    <row r="247" spans="1:20" x14ac:dyDescent="0.25">
      <c r="A247" s="5">
        <v>44346</v>
      </c>
      <c r="B247">
        <v>2278.7399999999998</v>
      </c>
      <c r="C247">
        <v>2476.42</v>
      </c>
      <c r="D247">
        <v>2180.5300000000002</v>
      </c>
      <c r="E247">
        <v>2385.98</v>
      </c>
      <c r="F247">
        <v>1151113.1988299999</v>
      </c>
      <c r="G247">
        <v>0</v>
      </c>
      <c r="L247" t="s">
        <v>8</v>
      </c>
      <c r="M247" t="s">
        <v>7</v>
      </c>
      <c r="N247" t="s">
        <v>8</v>
      </c>
      <c r="P247">
        <f t="shared" si="959"/>
        <v>0.3886917435533469</v>
      </c>
      <c r="Q247">
        <f t="shared" si="960"/>
        <v>447428.19628050312</v>
      </c>
      <c r="R247">
        <f t="shared" si="961"/>
        <v>93487430.825718433</v>
      </c>
      <c r="S247">
        <f t="shared" si="962"/>
        <v>934.87430825718434</v>
      </c>
      <c r="T247">
        <f t="shared" si="963"/>
        <v>0.93487430825718432</v>
      </c>
    </row>
    <row r="248" spans="1:20" x14ac:dyDescent="0.25">
      <c r="A248" s="5">
        <v>44345</v>
      </c>
      <c r="B248">
        <v>2412.34</v>
      </c>
      <c r="C248">
        <v>2574.27</v>
      </c>
      <c r="D248">
        <v>2204.1</v>
      </c>
      <c r="E248">
        <v>2278.7399999999998</v>
      </c>
      <c r="F248">
        <v>1379427.18851</v>
      </c>
      <c r="G248">
        <v>0</v>
      </c>
      <c r="L248" t="s">
        <v>7</v>
      </c>
      <c r="M248" t="s">
        <v>7</v>
      </c>
      <c r="N248" t="s">
        <v>8</v>
      </c>
      <c r="P248">
        <f t="shared" si="959"/>
        <v>-0.59672582867331303</v>
      </c>
      <c r="Q248">
        <f t="shared" si="960"/>
        <v>-823139.83215812815</v>
      </c>
      <c r="R248">
        <f t="shared" si="961"/>
        <v>93040002.629437923</v>
      </c>
      <c r="S248">
        <f t="shared" si="962"/>
        <v>930.40002629437924</v>
      </c>
      <c r="T248">
        <f t="shared" si="963"/>
        <v>0.93040002629437923</v>
      </c>
    </row>
    <row r="249" spans="1:20" x14ac:dyDescent="0.25">
      <c r="A249" s="5">
        <v>44344</v>
      </c>
      <c r="B249">
        <v>2742.23</v>
      </c>
      <c r="C249">
        <v>2762.45</v>
      </c>
      <c r="D249">
        <v>2327.38</v>
      </c>
      <c r="E249">
        <v>2412.1</v>
      </c>
      <c r="F249">
        <v>1554584.61362</v>
      </c>
      <c r="G249">
        <v>0</v>
      </c>
      <c r="L249" t="s">
        <v>7</v>
      </c>
      <c r="M249" t="s">
        <v>7</v>
      </c>
      <c r="N249" t="s">
        <v>8</v>
      </c>
      <c r="P249">
        <f t="shared" si="959"/>
        <v>-0.61054542947112023</v>
      </c>
      <c r="Q249">
        <f t="shared" si="960"/>
        <v>-949144.53057181835</v>
      </c>
      <c r="R249">
        <f t="shared" si="961"/>
        <v>93863142.461596057</v>
      </c>
      <c r="S249">
        <f t="shared" si="962"/>
        <v>938.63142461596055</v>
      </c>
      <c r="T249">
        <f t="shared" si="963"/>
        <v>0.93863142461596061</v>
      </c>
    </row>
    <row r="250" spans="1:20" x14ac:dyDescent="0.25">
      <c r="A250" s="5">
        <v>44343</v>
      </c>
      <c r="B250">
        <v>2884.82</v>
      </c>
      <c r="C250">
        <v>2889.74</v>
      </c>
      <c r="D250">
        <v>2633.68</v>
      </c>
      <c r="E250">
        <v>2742.23</v>
      </c>
      <c r="F250">
        <v>1099029.91206</v>
      </c>
      <c r="G250">
        <v>0</v>
      </c>
      <c r="L250" t="s">
        <v>7</v>
      </c>
      <c r="M250" t="s">
        <v>8</v>
      </c>
      <c r="N250" t="s">
        <v>8</v>
      </c>
      <c r="P250">
        <f t="shared" si="959"/>
        <v>-0.15215183941263608</v>
      </c>
      <c r="Q250">
        <f t="shared" si="960"/>
        <v>-167219.42268943667</v>
      </c>
      <c r="R250">
        <f t="shared" si="961"/>
        <v>94812286.992167875</v>
      </c>
      <c r="S250">
        <f t="shared" si="962"/>
        <v>948.12286992167878</v>
      </c>
      <c r="T250">
        <f t="shared" si="963"/>
        <v>0.94812286992167882</v>
      </c>
    </row>
    <row r="251" spans="1:20" x14ac:dyDescent="0.25">
      <c r="A251" s="5">
        <v>44342</v>
      </c>
      <c r="B251">
        <v>2705.1</v>
      </c>
      <c r="C251">
        <v>2910</v>
      </c>
      <c r="D251">
        <v>2643</v>
      </c>
      <c r="E251">
        <v>2884.94</v>
      </c>
      <c r="F251">
        <v>1583799.5925100001</v>
      </c>
      <c r="G251">
        <v>0</v>
      </c>
      <c r="L251" t="s">
        <v>8</v>
      </c>
      <c r="M251" t="s">
        <v>8</v>
      </c>
      <c r="N251" t="s">
        <v>8</v>
      </c>
      <c r="P251">
        <f t="shared" si="959"/>
        <v>0.81228464419475699</v>
      </c>
      <c r="Q251">
        <f t="shared" si="960"/>
        <v>1286496.0884777866</v>
      </c>
      <c r="R251">
        <f t="shared" si="961"/>
        <v>94979506.414857313</v>
      </c>
      <c r="S251">
        <f t="shared" si="962"/>
        <v>949.79506414857315</v>
      </c>
      <c r="T251">
        <f t="shared" si="963"/>
        <v>0.94979506414857318</v>
      </c>
    </row>
    <row r="252" spans="1:20" x14ac:dyDescent="0.25">
      <c r="A252" s="5">
        <v>44341</v>
      </c>
      <c r="B252">
        <v>2647.92</v>
      </c>
      <c r="C252">
        <v>2750</v>
      </c>
      <c r="D252">
        <v>2378.54</v>
      </c>
      <c r="E252">
        <v>2705.11</v>
      </c>
      <c r="F252">
        <v>2115349.5044499999</v>
      </c>
      <c r="G252">
        <v>0</v>
      </c>
      <c r="L252" t="s">
        <v>8</v>
      </c>
      <c r="M252" t="s">
        <v>8</v>
      </c>
      <c r="N252" t="s">
        <v>8</v>
      </c>
      <c r="P252">
        <f t="shared" si="959"/>
        <v>0.75830506649437424</v>
      </c>
      <c r="Q252">
        <f t="shared" si="960"/>
        <v>1604080.2466307988</v>
      </c>
      <c r="R252">
        <f t="shared" si="961"/>
        <v>93693010.326379523</v>
      </c>
      <c r="S252">
        <f t="shared" si="962"/>
        <v>936.93010326379522</v>
      </c>
      <c r="T252">
        <f t="shared" si="963"/>
        <v>0.93693010326379522</v>
      </c>
    </row>
    <row r="253" spans="1:20" x14ac:dyDescent="0.25">
      <c r="A253" s="5">
        <v>44340</v>
      </c>
      <c r="B253">
        <v>2096.63</v>
      </c>
      <c r="C253">
        <v>2675</v>
      </c>
      <c r="D253">
        <v>2079.94</v>
      </c>
      <c r="E253">
        <v>2648.43</v>
      </c>
      <c r="F253">
        <v>2186632.92245</v>
      </c>
      <c r="G253">
        <v>0</v>
      </c>
      <c r="L253" t="s">
        <v>8</v>
      </c>
      <c r="M253" t="s">
        <v>8</v>
      </c>
      <c r="N253" t="s">
        <v>8</v>
      </c>
      <c r="P253">
        <f t="shared" si="959"/>
        <v>0.91069808086579451</v>
      </c>
      <c r="Q253">
        <f t="shared" si="960"/>
        <v>1991362.4060331786</v>
      </c>
      <c r="R253">
        <f t="shared" si="961"/>
        <v>92088930.07974872</v>
      </c>
      <c r="S253">
        <f t="shared" si="962"/>
        <v>920.88930079748718</v>
      </c>
      <c r="T253">
        <f t="shared" si="963"/>
        <v>0.92088930079748721</v>
      </c>
    </row>
    <row r="254" spans="1:20" x14ac:dyDescent="0.25">
      <c r="A254" s="5">
        <v>44339</v>
      </c>
      <c r="B254">
        <v>2295.4499999999998</v>
      </c>
      <c r="C254">
        <v>2381.5700000000002</v>
      </c>
      <c r="D254">
        <v>1728.74</v>
      </c>
      <c r="E254">
        <v>2096.39</v>
      </c>
      <c r="F254">
        <v>2914548.7312500002</v>
      </c>
      <c r="G254">
        <v>0</v>
      </c>
      <c r="L254" t="s">
        <v>7</v>
      </c>
      <c r="M254" t="s">
        <v>7</v>
      </c>
      <c r="N254" t="s">
        <v>7</v>
      </c>
      <c r="P254">
        <f t="shared" si="959"/>
        <v>0.1263269151233852</v>
      </c>
      <c r="Q254">
        <f t="shared" si="960"/>
        <v>368185.95019558881</v>
      </c>
      <c r="R254">
        <f t="shared" si="961"/>
        <v>90097567.673715547</v>
      </c>
      <c r="S254">
        <f t="shared" si="962"/>
        <v>900.97567673715548</v>
      </c>
      <c r="T254">
        <f t="shared" si="963"/>
        <v>0.90097567673715551</v>
      </c>
    </row>
    <row r="255" spans="1:20" x14ac:dyDescent="0.25">
      <c r="A255" s="5">
        <v>44338</v>
      </c>
      <c r="B255">
        <v>2430.98</v>
      </c>
      <c r="C255">
        <v>2485</v>
      </c>
      <c r="D255">
        <v>2145</v>
      </c>
      <c r="E255">
        <v>2294.87</v>
      </c>
      <c r="F255">
        <v>1684318.0115700001</v>
      </c>
      <c r="G255">
        <v>0</v>
      </c>
      <c r="L255" t="s">
        <v>8</v>
      </c>
      <c r="M255" t="s">
        <v>8</v>
      </c>
      <c r="N255" t="s">
        <v>8</v>
      </c>
      <c r="P255">
        <f t="shared" si="959"/>
        <v>-0.11841176470588299</v>
      </c>
      <c r="Q255">
        <f t="shared" si="960"/>
        <v>-199443.06807590756</v>
      </c>
      <c r="R255">
        <f t="shared" si="961"/>
        <v>89729381.723519951</v>
      </c>
      <c r="S255">
        <f t="shared" si="962"/>
        <v>897.29381723519953</v>
      </c>
      <c r="T255">
        <f t="shared" si="963"/>
        <v>0.89729381723519952</v>
      </c>
    </row>
    <row r="256" spans="1:20" x14ac:dyDescent="0.25">
      <c r="A256" s="5">
        <v>44337</v>
      </c>
      <c r="B256">
        <v>2767.87</v>
      </c>
      <c r="C256">
        <v>2938.54</v>
      </c>
      <c r="D256">
        <v>2101</v>
      </c>
      <c r="E256">
        <v>2430.98</v>
      </c>
      <c r="F256">
        <v>2727031.9351400002</v>
      </c>
      <c r="G256">
        <v>0</v>
      </c>
      <c r="L256" t="s">
        <v>7</v>
      </c>
      <c r="M256" t="s">
        <v>7</v>
      </c>
      <c r="N256" t="s">
        <v>8</v>
      </c>
      <c r="P256">
        <f t="shared" si="959"/>
        <v>-0.21202569429519777</v>
      </c>
      <c r="Q256">
        <f t="shared" si="960"/>
        <v>-578200.83941323531</v>
      </c>
      <c r="R256">
        <f t="shared" si="961"/>
        <v>89928824.791595861</v>
      </c>
      <c r="S256">
        <f t="shared" si="962"/>
        <v>899.28824791595866</v>
      </c>
      <c r="T256">
        <f t="shared" si="963"/>
        <v>0.89928824791595863</v>
      </c>
    </row>
    <row r="257" spans="1:20" x14ac:dyDescent="0.25">
      <c r="A257" s="5">
        <v>44336</v>
      </c>
      <c r="B257">
        <v>2438.92</v>
      </c>
      <c r="C257">
        <v>2990.05</v>
      </c>
      <c r="D257">
        <v>2155</v>
      </c>
      <c r="E257">
        <v>2768.62</v>
      </c>
      <c r="F257">
        <v>2942777.9301</v>
      </c>
      <c r="G257">
        <v>0</v>
      </c>
      <c r="L257" t="s">
        <v>8</v>
      </c>
      <c r="M257" t="s">
        <v>8</v>
      </c>
      <c r="N257" t="s">
        <v>8</v>
      </c>
      <c r="P257">
        <f t="shared" si="959"/>
        <v>0.46966049937129456</v>
      </c>
      <c r="Q257">
        <f t="shared" si="960"/>
        <v>1382106.5521895906</v>
      </c>
      <c r="R257">
        <f t="shared" si="961"/>
        <v>90507025.631009102</v>
      </c>
      <c r="S257">
        <f t="shared" si="962"/>
        <v>905.07025631009105</v>
      </c>
      <c r="T257">
        <f t="shared" si="963"/>
        <v>0.90507025631009108</v>
      </c>
    </row>
    <row r="258" spans="1:20" x14ac:dyDescent="0.25">
      <c r="A258" s="5">
        <v>44335</v>
      </c>
      <c r="B258">
        <v>3375.08</v>
      </c>
      <c r="C258">
        <v>3441.73</v>
      </c>
      <c r="D258">
        <v>1888</v>
      </c>
      <c r="E258">
        <v>2438.92</v>
      </c>
      <c r="F258">
        <v>4309836.3193899998</v>
      </c>
      <c r="G258">
        <v>0</v>
      </c>
      <c r="L258" t="s">
        <v>7</v>
      </c>
      <c r="M258" t="s">
        <v>7</v>
      </c>
      <c r="N258" t="s">
        <v>7</v>
      </c>
      <c r="P258">
        <f t="shared" si="959"/>
        <v>-0.29084203819196375</v>
      </c>
      <c r="Q258">
        <f t="shared" si="960"/>
        <v>-1253481.5794051387</v>
      </c>
      <c r="R258">
        <f t="shared" si="961"/>
        <v>89124919.078819513</v>
      </c>
      <c r="S258">
        <f t="shared" si="962"/>
        <v>891.24919078819516</v>
      </c>
      <c r="T258">
        <f t="shared" si="963"/>
        <v>0.8912491907881952</v>
      </c>
    </row>
    <row r="259" spans="1:20" x14ac:dyDescent="0.25">
      <c r="A259" s="5">
        <v>44334</v>
      </c>
      <c r="B259">
        <v>3282.25</v>
      </c>
      <c r="C259">
        <v>3565.71</v>
      </c>
      <c r="D259">
        <v>3240</v>
      </c>
      <c r="E259">
        <v>3375.07</v>
      </c>
      <c r="F259">
        <v>1287110.84143</v>
      </c>
      <c r="G259">
        <v>0</v>
      </c>
      <c r="L259" t="s">
        <v>8</v>
      </c>
      <c r="M259" t="s">
        <v>7</v>
      </c>
      <c r="N259" t="s">
        <v>8</v>
      </c>
      <c r="P259">
        <f t="shared" si="959"/>
        <v>-0.17061189401614843</v>
      </c>
      <c r="Q259">
        <f t="shared" si="960"/>
        <v>-219596.4184650908</v>
      </c>
      <c r="R259">
        <f t="shared" si="961"/>
        <v>90378400.658224657</v>
      </c>
      <c r="S259">
        <f t="shared" si="962"/>
        <v>903.78400658224655</v>
      </c>
      <c r="T259">
        <f t="shared" si="963"/>
        <v>0.90378400658224656</v>
      </c>
    </row>
    <row r="260" spans="1:20" x14ac:dyDescent="0.25">
      <c r="A260" s="5">
        <v>44333</v>
      </c>
      <c r="B260">
        <v>3581.81</v>
      </c>
      <c r="C260">
        <v>3587.06</v>
      </c>
      <c r="D260">
        <v>3102</v>
      </c>
      <c r="E260">
        <v>3282.51</v>
      </c>
      <c r="F260">
        <v>1904012.43998</v>
      </c>
      <c r="G260">
        <v>0</v>
      </c>
      <c r="L260" t="s">
        <v>7</v>
      </c>
      <c r="M260" t="s">
        <v>7</v>
      </c>
      <c r="N260" t="s">
        <v>8</v>
      </c>
      <c r="P260">
        <f t="shared" si="959"/>
        <v>-0.25572094173916532</v>
      </c>
      <c r="Q260">
        <f t="shared" si="960"/>
        <v>-486895.85423477157</v>
      </c>
      <c r="R260">
        <f t="shared" si="961"/>
        <v>90597997.07668975</v>
      </c>
      <c r="S260">
        <f t="shared" si="962"/>
        <v>905.97997076689751</v>
      </c>
      <c r="T260">
        <f t="shared" si="963"/>
        <v>0.90597997076689751</v>
      </c>
    </row>
    <row r="261" spans="1:20" x14ac:dyDescent="0.25">
      <c r="A261" s="5">
        <v>44332</v>
      </c>
      <c r="B261">
        <v>3646.24</v>
      </c>
      <c r="C261">
        <v>3879</v>
      </c>
      <c r="D261">
        <v>3343.06</v>
      </c>
      <c r="E261">
        <v>3582.1</v>
      </c>
      <c r="F261">
        <v>1324065.6587499999</v>
      </c>
      <c r="G261">
        <v>0</v>
      </c>
      <c r="L261" t="s">
        <v>7</v>
      </c>
      <c r="M261" t="s">
        <v>7</v>
      </c>
      <c r="N261" t="s">
        <v>8</v>
      </c>
      <c r="P261">
        <f t="shared" si="959"/>
        <v>-0.10795984625144628</v>
      </c>
      <c r="Q261">
        <f t="shared" si="960"/>
        <v>-142945.92494546992</v>
      </c>
      <c r="R261">
        <f t="shared" si="961"/>
        <v>91084892.93092452</v>
      </c>
      <c r="S261">
        <f t="shared" si="962"/>
        <v>910.84892930924525</v>
      </c>
      <c r="T261">
        <f t="shared" si="963"/>
        <v>0.91084892930924521</v>
      </c>
    </row>
    <row r="262" spans="1:20" x14ac:dyDescent="0.25">
      <c r="A262" s="5">
        <v>44331</v>
      </c>
      <c r="B262">
        <v>4075.02</v>
      </c>
      <c r="C262">
        <v>4134.05</v>
      </c>
      <c r="D262">
        <v>3632</v>
      </c>
      <c r="E262">
        <v>3646.68</v>
      </c>
      <c r="F262">
        <v>1039174.88082</v>
      </c>
      <c r="G262">
        <v>0</v>
      </c>
      <c r="L262" t="s">
        <v>7</v>
      </c>
      <c r="M262" t="s">
        <v>7</v>
      </c>
      <c r="N262" t="s">
        <v>8</v>
      </c>
      <c r="P262">
        <f t="shared" ref="P262:P325" si="964">IF(C262=D262,0,((E262-D262)-(C262-E262))/(C262-D262))</f>
        <v>-0.9415197689473167</v>
      </c>
      <c r="Q262">
        <f t="shared" ref="Q262:Q325" si="965">F262*P262</f>
        <v>-978403.6936855017</v>
      </c>
      <c r="R262">
        <f t="shared" ref="R262:R325" si="966">R263+Q262</f>
        <v>91227838.855869994</v>
      </c>
      <c r="S262">
        <f t="shared" ref="S262:S325" si="967">R262/100000</f>
        <v>912.27838855869993</v>
      </c>
      <c r="T262">
        <f t="shared" ref="T262:T325" si="968">S262/1000</f>
        <v>0.91227838855869992</v>
      </c>
    </row>
    <row r="263" spans="1:20" x14ac:dyDescent="0.25">
      <c r="A263" s="5">
        <v>44330</v>
      </c>
      <c r="B263">
        <v>3717.92</v>
      </c>
      <c r="C263">
        <v>4173.28</v>
      </c>
      <c r="D263">
        <v>3691.35</v>
      </c>
      <c r="E263">
        <v>4075.01</v>
      </c>
      <c r="F263">
        <v>1153390.42631</v>
      </c>
      <c r="G263">
        <v>0</v>
      </c>
      <c r="L263" t="s">
        <v>8</v>
      </c>
      <c r="M263" t="s">
        <v>7</v>
      </c>
      <c r="N263" t="s">
        <v>8</v>
      </c>
      <c r="P263">
        <f t="shared" si="964"/>
        <v>0.59218143713817539</v>
      </c>
      <c r="Q263">
        <f t="shared" si="965"/>
        <v>683016.40023366862</v>
      </c>
      <c r="R263">
        <f t="shared" si="966"/>
        <v>92206242.549555495</v>
      </c>
      <c r="S263">
        <f t="shared" si="967"/>
        <v>922.06242549555498</v>
      </c>
      <c r="T263">
        <f t="shared" si="968"/>
        <v>0.92206242549555495</v>
      </c>
    </row>
    <row r="264" spans="1:20" x14ac:dyDescent="0.25">
      <c r="A264" s="5">
        <v>44329</v>
      </c>
      <c r="B264">
        <v>3810.15</v>
      </c>
      <c r="C264">
        <v>4034.77</v>
      </c>
      <c r="D264">
        <v>3500</v>
      </c>
      <c r="E264">
        <v>3717.91</v>
      </c>
      <c r="F264">
        <v>2068708.1742700001</v>
      </c>
      <c r="G264">
        <v>0</v>
      </c>
      <c r="L264" t="s">
        <v>7</v>
      </c>
      <c r="M264" t="s">
        <v>7</v>
      </c>
      <c r="N264" t="s">
        <v>8</v>
      </c>
      <c r="P264">
        <f t="shared" si="964"/>
        <v>-0.18503281784692535</v>
      </c>
      <c r="Q264">
        <f t="shared" si="965"/>
        <v>-382778.90278814646</v>
      </c>
      <c r="R264">
        <f t="shared" si="966"/>
        <v>91523226.149321824</v>
      </c>
      <c r="S264">
        <f t="shared" si="967"/>
        <v>915.23226149321829</v>
      </c>
      <c r="T264">
        <f t="shared" si="968"/>
        <v>0.91523226149321824</v>
      </c>
    </row>
    <row r="265" spans="1:20" x14ac:dyDescent="0.25">
      <c r="A265" s="5">
        <v>44328</v>
      </c>
      <c r="B265">
        <v>4173.46</v>
      </c>
      <c r="C265">
        <v>4372.72</v>
      </c>
      <c r="D265">
        <v>3701.58</v>
      </c>
      <c r="E265">
        <v>3823.21</v>
      </c>
      <c r="F265">
        <v>1601842.7401699999</v>
      </c>
      <c r="G265">
        <v>0</v>
      </c>
      <c r="L265" t="s">
        <v>7</v>
      </c>
      <c r="M265" t="s">
        <v>8</v>
      </c>
      <c r="N265" t="s">
        <v>8</v>
      </c>
      <c r="P265">
        <f t="shared" si="964"/>
        <v>-0.63754209255892946</v>
      </c>
      <c r="Q265">
        <f t="shared" si="965"/>
        <v>-1021242.1725183113</v>
      </c>
      <c r="R265">
        <f t="shared" si="966"/>
        <v>91906005.052109972</v>
      </c>
      <c r="S265">
        <f t="shared" si="967"/>
        <v>919.0600505210997</v>
      </c>
      <c r="T265">
        <f t="shared" si="968"/>
        <v>0.91906005052109974</v>
      </c>
    </row>
    <row r="266" spans="1:20" x14ac:dyDescent="0.25">
      <c r="A266" s="5">
        <v>44327</v>
      </c>
      <c r="B266">
        <v>3946.63</v>
      </c>
      <c r="C266">
        <v>4180.22</v>
      </c>
      <c r="D266">
        <v>3771.64</v>
      </c>
      <c r="E266">
        <v>4173.45</v>
      </c>
      <c r="F266">
        <v>1095927.10403</v>
      </c>
      <c r="G266">
        <v>0</v>
      </c>
      <c r="L266" t="s">
        <v>7</v>
      </c>
      <c r="M266" t="s">
        <v>8</v>
      </c>
      <c r="N266" t="s">
        <v>8</v>
      </c>
      <c r="P266">
        <f t="shared" si="964"/>
        <v>0.96686083508737364</v>
      </c>
      <c r="Q266">
        <f t="shared" si="965"/>
        <v>1059608.9949973328</v>
      </c>
      <c r="R266">
        <f t="shared" si="966"/>
        <v>92927247.224628285</v>
      </c>
      <c r="S266">
        <f t="shared" si="967"/>
        <v>929.27247224628286</v>
      </c>
      <c r="T266">
        <f t="shared" si="968"/>
        <v>0.92927247224628284</v>
      </c>
    </row>
    <row r="267" spans="1:20" x14ac:dyDescent="0.25">
      <c r="A267" s="5">
        <v>44326</v>
      </c>
      <c r="B267">
        <v>3923.95</v>
      </c>
      <c r="C267">
        <v>4208</v>
      </c>
      <c r="D267">
        <v>3650</v>
      </c>
      <c r="E267">
        <v>3945.88</v>
      </c>
      <c r="F267">
        <v>1505897.92612</v>
      </c>
      <c r="G267">
        <v>0</v>
      </c>
      <c r="L267" t="s">
        <v>8</v>
      </c>
      <c r="M267" t="s">
        <v>8</v>
      </c>
      <c r="N267" t="s">
        <v>8</v>
      </c>
      <c r="P267">
        <f t="shared" si="964"/>
        <v>6.0501792114695731E-2</v>
      </c>
      <c r="Q267">
        <f t="shared" si="965"/>
        <v>91109.52327206367</v>
      </c>
      <c r="R267">
        <f t="shared" si="966"/>
        <v>91867638.229630947</v>
      </c>
      <c r="S267">
        <f t="shared" si="967"/>
        <v>918.6763822963095</v>
      </c>
      <c r="T267">
        <f t="shared" si="968"/>
        <v>0.91867638229630955</v>
      </c>
    </row>
    <row r="268" spans="1:20" x14ac:dyDescent="0.25">
      <c r="A268" s="5">
        <v>44325</v>
      </c>
      <c r="B268">
        <v>3910.26</v>
      </c>
      <c r="C268">
        <v>3983.65</v>
      </c>
      <c r="D268">
        <v>3726.08</v>
      </c>
      <c r="E268">
        <v>3923.95</v>
      </c>
      <c r="F268">
        <v>1000401.0082</v>
      </c>
      <c r="G268">
        <v>0</v>
      </c>
      <c r="L268" t="s">
        <v>8</v>
      </c>
      <c r="M268" t="s">
        <v>8</v>
      </c>
      <c r="N268" t="s">
        <v>8</v>
      </c>
      <c r="P268">
        <f t="shared" si="964"/>
        <v>0.53643669682028006</v>
      </c>
      <c r="Q268">
        <f t="shared" si="965"/>
        <v>536651.81233448593</v>
      </c>
      <c r="R268">
        <f t="shared" si="966"/>
        <v>91776528.70635888</v>
      </c>
      <c r="S268">
        <f t="shared" si="967"/>
        <v>917.76528706358874</v>
      </c>
      <c r="T268">
        <f t="shared" si="968"/>
        <v>0.91776528706358873</v>
      </c>
    </row>
    <row r="269" spans="1:20" x14ac:dyDescent="0.25">
      <c r="A269" s="5">
        <v>44324</v>
      </c>
      <c r="B269">
        <v>3479.79</v>
      </c>
      <c r="C269">
        <v>3958.33</v>
      </c>
      <c r="D269">
        <v>3449.27</v>
      </c>
      <c r="E269">
        <v>3910.26</v>
      </c>
      <c r="F269">
        <v>1130467.54852</v>
      </c>
      <c r="G269">
        <v>0</v>
      </c>
      <c r="L269" t="s">
        <v>8</v>
      </c>
      <c r="M269" t="s">
        <v>8</v>
      </c>
      <c r="N269" t="s">
        <v>8</v>
      </c>
      <c r="P269">
        <f t="shared" si="964"/>
        <v>0.81114210505637951</v>
      </c>
      <c r="Q269">
        <f t="shared" si="965"/>
        <v>916969.82700443757</v>
      </c>
      <c r="R269">
        <f t="shared" si="966"/>
        <v>91239876.894024387</v>
      </c>
      <c r="S269">
        <f t="shared" si="967"/>
        <v>912.39876894024383</v>
      </c>
      <c r="T269">
        <f t="shared" si="968"/>
        <v>0.91239876894024385</v>
      </c>
    </row>
    <row r="270" spans="1:20" x14ac:dyDescent="0.25">
      <c r="A270" s="5">
        <v>44323</v>
      </c>
      <c r="B270">
        <v>3489.74</v>
      </c>
      <c r="C270">
        <v>3587</v>
      </c>
      <c r="D270">
        <v>3353.23</v>
      </c>
      <c r="E270">
        <v>3479.53</v>
      </c>
      <c r="F270">
        <v>760544.64780999999</v>
      </c>
      <c r="G270">
        <v>0</v>
      </c>
      <c r="L270" t="s">
        <v>7</v>
      </c>
      <c r="M270" t="s">
        <v>8</v>
      </c>
      <c r="N270" t="s">
        <v>8</v>
      </c>
      <c r="P270">
        <f t="shared" si="964"/>
        <v>8.0549257817514583E-2</v>
      </c>
      <c r="Q270">
        <f t="shared" si="965"/>
        <v>61261.306918178518</v>
      </c>
      <c r="R270">
        <f t="shared" si="966"/>
        <v>90322907.067019954</v>
      </c>
      <c r="S270">
        <f t="shared" si="967"/>
        <v>903.22907067019958</v>
      </c>
      <c r="T270">
        <f t="shared" si="968"/>
        <v>0.90322907067019953</v>
      </c>
    </row>
    <row r="271" spans="1:20" x14ac:dyDescent="0.25">
      <c r="A271" s="5">
        <v>44322</v>
      </c>
      <c r="B271">
        <v>3524.33</v>
      </c>
      <c r="C271">
        <v>3605.4</v>
      </c>
      <c r="D271">
        <v>3376.47</v>
      </c>
      <c r="E271">
        <v>3489.73</v>
      </c>
      <c r="F271">
        <v>920592.57706000004</v>
      </c>
      <c r="G271">
        <v>0</v>
      </c>
      <c r="L271" t="s">
        <v>8</v>
      </c>
      <c r="M271" t="s">
        <v>8</v>
      </c>
      <c r="N271" t="s">
        <v>8</v>
      </c>
      <c r="P271">
        <f t="shared" si="964"/>
        <v>-1.0527235399466437E-2</v>
      </c>
      <c r="Q271">
        <f t="shared" si="965"/>
        <v>-9691.2947657120658</v>
      </c>
      <c r="R271">
        <f t="shared" si="966"/>
        <v>90261645.76010178</v>
      </c>
      <c r="S271">
        <f t="shared" si="967"/>
        <v>902.61645760101783</v>
      </c>
      <c r="T271">
        <f t="shared" si="968"/>
        <v>0.90261645760101783</v>
      </c>
    </row>
    <row r="272" spans="1:20" x14ac:dyDescent="0.25">
      <c r="A272" s="5">
        <v>44321</v>
      </c>
      <c r="B272">
        <v>3239.01</v>
      </c>
      <c r="C272">
        <v>3549.34</v>
      </c>
      <c r="D272">
        <v>3200.23</v>
      </c>
      <c r="E272">
        <v>3524.26</v>
      </c>
      <c r="F272">
        <v>1174816.7358800001</v>
      </c>
      <c r="G272">
        <v>0</v>
      </c>
      <c r="L272" t="s">
        <v>7</v>
      </c>
      <c r="M272" t="s">
        <v>8</v>
      </c>
      <c r="N272" t="s">
        <v>8</v>
      </c>
      <c r="P272">
        <f t="shared" si="964"/>
        <v>0.85632035748045077</v>
      </c>
      <c r="Q272">
        <f t="shared" si="965"/>
        <v>1006019.4872427779</v>
      </c>
      <c r="R272">
        <f t="shared" si="966"/>
        <v>90271337.054867491</v>
      </c>
      <c r="S272">
        <f t="shared" si="967"/>
        <v>902.7133705486749</v>
      </c>
      <c r="T272">
        <f t="shared" si="968"/>
        <v>0.90271337054867495</v>
      </c>
    </row>
    <row r="273" spans="1:20" x14ac:dyDescent="0.25">
      <c r="A273" s="5">
        <v>44320</v>
      </c>
      <c r="B273">
        <v>3431.04</v>
      </c>
      <c r="C273">
        <v>3527</v>
      </c>
      <c r="D273">
        <v>3160</v>
      </c>
      <c r="E273">
        <v>3239.01</v>
      </c>
      <c r="F273">
        <v>1826039.38558</v>
      </c>
      <c r="G273">
        <v>0</v>
      </c>
      <c r="L273" t="s">
        <v>8</v>
      </c>
      <c r="M273" t="s">
        <v>8</v>
      </c>
      <c r="N273" t="s">
        <v>8</v>
      </c>
      <c r="P273">
        <f t="shared" si="964"/>
        <v>-0.56942779291553014</v>
      </c>
      <c r="Q273">
        <f t="shared" si="965"/>
        <v>-1039797.5771076501</v>
      </c>
      <c r="R273">
        <f t="shared" si="966"/>
        <v>89265317.567624718</v>
      </c>
      <c r="S273">
        <f t="shared" si="967"/>
        <v>892.6531756762472</v>
      </c>
      <c r="T273">
        <f t="shared" si="968"/>
        <v>0.89265317567624725</v>
      </c>
    </row>
    <row r="274" spans="1:20" x14ac:dyDescent="0.25">
      <c r="A274" s="5">
        <v>44319</v>
      </c>
      <c r="B274">
        <v>2949.33</v>
      </c>
      <c r="C274">
        <v>3454</v>
      </c>
      <c r="D274">
        <v>2949.32</v>
      </c>
      <c r="E274">
        <v>3431.04</v>
      </c>
      <c r="F274">
        <v>1329088.0628</v>
      </c>
      <c r="G274">
        <v>0</v>
      </c>
      <c r="L274" t="s">
        <v>8</v>
      </c>
      <c r="M274" t="s">
        <v>8</v>
      </c>
      <c r="N274" t="s">
        <v>8</v>
      </c>
      <c r="P274">
        <f t="shared" si="964"/>
        <v>0.90901165094713465</v>
      </c>
      <c r="Q274">
        <f t="shared" si="965"/>
        <v>1208156.534219957</v>
      </c>
      <c r="R274">
        <f t="shared" si="966"/>
        <v>90305115.144732371</v>
      </c>
      <c r="S274">
        <f t="shared" si="967"/>
        <v>903.05115144732372</v>
      </c>
      <c r="T274">
        <f t="shared" si="968"/>
        <v>0.90305115144732373</v>
      </c>
    </row>
    <row r="275" spans="1:20" x14ac:dyDescent="0.25">
      <c r="A275" s="5">
        <v>44318</v>
      </c>
      <c r="B275">
        <v>2944.83</v>
      </c>
      <c r="C275">
        <v>2985</v>
      </c>
      <c r="D275">
        <v>2852.26</v>
      </c>
      <c r="E275">
        <v>2949.56</v>
      </c>
      <c r="F275">
        <v>571982.54449999996</v>
      </c>
      <c r="G275">
        <v>0</v>
      </c>
      <c r="L275" t="s">
        <v>8</v>
      </c>
      <c r="M275" t="s">
        <v>8</v>
      </c>
      <c r="N275" t="s">
        <v>8</v>
      </c>
      <c r="P275">
        <f t="shared" si="964"/>
        <v>0.46602380593641535</v>
      </c>
      <c r="Q275">
        <f t="shared" si="965"/>
        <v>266557.48231708503</v>
      </c>
      <c r="R275">
        <f t="shared" si="966"/>
        <v>89096958.610512421</v>
      </c>
      <c r="S275">
        <f t="shared" si="967"/>
        <v>890.96958610512422</v>
      </c>
      <c r="T275">
        <f t="shared" si="968"/>
        <v>0.89096958610512422</v>
      </c>
    </row>
    <row r="276" spans="1:20" x14ac:dyDescent="0.25">
      <c r="A276" s="5">
        <v>44317</v>
      </c>
      <c r="B276">
        <v>2772.42</v>
      </c>
      <c r="C276">
        <v>2954.28</v>
      </c>
      <c r="D276">
        <v>2743.41</v>
      </c>
      <c r="E276">
        <v>2944.77</v>
      </c>
      <c r="F276">
        <v>690260.07741000003</v>
      </c>
      <c r="G276">
        <v>0</v>
      </c>
      <c r="L276" t="s">
        <v>8</v>
      </c>
      <c r="M276" t="s">
        <v>8</v>
      </c>
      <c r="N276" t="s">
        <v>8</v>
      </c>
      <c r="P276">
        <f t="shared" si="964"/>
        <v>0.90980224783041497</v>
      </c>
      <c r="Q276">
        <f t="shared" si="965"/>
        <v>628000.17001521424</v>
      </c>
      <c r="R276">
        <f t="shared" si="966"/>
        <v>88830401.128195331</v>
      </c>
      <c r="S276">
        <f t="shared" si="967"/>
        <v>888.30401128195331</v>
      </c>
      <c r="T276">
        <f t="shared" si="968"/>
        <v>0.88830401128195335</v>
      </c>
    </row>
    <row r="277" spans="1:20" x14ac:dyDescent="0.25">
      <c r="A277" s="5">
        <v>44316</v>
      </c>
      <c r="B277">
        <v>2757.04</v>
      </c>
      <c r="C277">
        <v>2798.3</v>
      </c>
      <c r="D277">
        <v>2723.09</v>
      </c>
      <c r="E277">
        <v>2772.42</v>
      </c>
      <c r="F277">
        <v>695339.20481999998</v>
      </c>
      <c r="G277">
        <v>0</v>
      </c>
      <c r="L277" t="s">
        <v>8</v>
      </c>
      <c r="M277" t="s">
        <v>8</v>
      </c>
      <c r="N277" t="s">
        <v>8</v>
      </c>
      <c r="P277">
        <f t="shared" si="964"/>
        <v>0.31179364446217001</v>
      </c>
      <c r="Q277">
        <f t="shared" si="965"/>
        <v>216802.34480825509</v>
      </c>
      <c r="R277">
        <f t="shared" si="966"/>
        <v>88202400.958180115</v>
      </c>
      <c r="S277">
        <f t="shared" si="967"/>
        <v>882.02400958180112</v>
      </c>
      <c r="T277">
        <f t="shared" si="968"/>
        <v>0.88202400958180116</v>
      </c>
    </row>
    <row r="278" spans="1:20" x14ac:dyDescent="0.25">
      <c r="A278" s="5">
        <v>44315</v>
      </c>
      <c r="B278">
        <v>2748.23</v>
      </c>
      <c r="C278">
        <v>2798</v>
      </c>
      <c r="D278">
        <v>2668</v>
      </c>
      <c r="E278">
        <v>2757.04</v>
      </c>
      <c r="F278">
        <v>863890.01069000002</v>
      </c>
      <c r="G278">
        <v>0</v>
      </c>
      <c r="L278" t="s">
        <v>8</v>
      </c>
      <c r="M278" t="s">
        <v>8</v>
      </c>
      <c r="N278" t="s">
        <v>8</v>
      </c>
      <c r="P278">
        <f t="shared" si="964"/>
        <v>0.36984615384615327</v>
      </c>
      <c r="Q278">
        <f t="shared" si="965"/>
        <v>319506.39779980876</v>
      </c>
      <c r="R278">
        <f t="shared" si="966"/>
        <v>87985598.613371864</v>
      </c>
      <c r="S278">
        <f t="shared" si="967"/>
        <v>879.8559861337186</v>
      </c>
      <c r="T278">
        <f t="shared" si="968"/>
        <v>0.87985598613371863</v>
      </c>
    </row>
    <row r="279" spans="1:20" x14ac:dyDescent="0.25">
      <c r="A279" s="5">
        <v>44314</v>
      </c>
      <c r="B279">
        <v>2666.13</v>
      </c>
      <c r="C279">
        <v>2760</v>
      </c>
      <c r="D279">
        <v>2559.44</v>
      </c>
      <c r="E279">
        <v>2748.24</v>
      </c>
      <c r="F279">
        <v>999383.18519999995</v>
      </c>
      <c r="G279">
        <v>0</v>
      </c>
      <c r="L279" t="s">
        <v>8</v>
      </c>
      <c r="M279" t="s">
        <v>8</v>
      </c>
      <c r="N279" t="s">
        <v>8</v>
      </c>
      <c r="P279">
        <f t="shared" si="964"/>
        <v>0.88272836059034487</v>
      </c>
      <c r="Q279">
        <f t="shared" si="965"/>
        <v>882183.88067315298</v>
      </c>
      <c r="R279">
        <f t="shared" si="966"/>
        <v>87666092.215572059</v>
      </c>
      <c r="S279">
        <f t="shared" si="967"/>
        <v>876.66092215572064</v>
      </c>
      <c r="T279">
        <f t="shared" si="968"/>
        <v>0.87666092215572067</v>
      </c>
    </row>
    <row r="280" spans="1:20" x14ac:dyDescent="0.25">
      <c r="A280" s="5">
        <v>44313</v>
      </c>
      <c r="B280">
        <v>2532.06</v>
      </c>
      <c r="C280">
        <v>2680</v>
      </c>
      <c r="D280">
        <v>2480.29</v>
      </c>
      <c r="E280">
        <v>2666.13</v>
      </c>
      <c r="F280">
        <v>771728.46450999996</v>
      </c>
      <c r="G280">
        <v>0</v>
      </c>
      <c r="L280" t="s">
        <v>8</v>
      </c>
      <c r="M280" t="s">
        <v>8</v>
      </c>
      <c r="N280" t="s">
        <v>8</v>
      </c>
      <c r="P280">
        <f t="shared" si="964"/>
        <v>0.86109859295979285</v>
      </c>
      <c r="Q280">
        <f t="shared" si="965"/>
        <v>664534.29493658245</v>
      </c>
      <c r="R280">
        <f t="shared" si="966"/>
        <v>86783908.334898904</v>
      </c>
      <c r="S280">
        <f t="shared" si="967"/>
        <v>867.83908334898899</v>
      </c>
      <c r="T280">
        <f t="shared" si="968"/>
        <v>0.86783908334898896</v>
      </c>
    </row>
    <row r="281" spans="1:20" x14ac:dyDescent="0.25">
      <c r="A281" s="5">
        <v>44312</v>
      </c>
      <c r="B281">
        <v>2320.44</v>
      </c>
      <c r="C281">
        <v>2542.8000000000002</v>
      </c>
      <c r="D281">
        <v>2303.64</v>
      </c>
      <c r="E281">
        <v>2532.6</v>
      </c>
      <c r="F281">
        <v>1076469.01367</v>
      </c>
      <c r="G281">
        <v>0</v>
      </c>
      <c r="L281" t="s">
        <v>8</v>
      </c>
      <c r="M281" t="s">
        <v>8</v>
      </c>
      <c r="N281" t="s">
        <v>8</v>
      </c>
      <c r="P281">
        <f t="shared" si="964"/>
        <v>0.91470145509282275</v>
      </c>
      <c r="Q281">
        <f t="shared" si="965"/>
        <v>984647.77316628466</v>
      </c>
      <c r="R281">
        <f t="shared" si="966"/>
        <v>86119374.039962322</v>
      </c>
      <c r="S281">
        <f t="shared" si="967"/>
        <v>861.19374039962327</v>
      </c>
      <c r="T281">
        <f t="shared" si="968"/>
        <v>0.86119374039962326</v>
      </c>
    </row>
    <row r="282" spans="1:20" x14ac:dyDescent="0.25">
      <c r="A282" s="5">
        <v>44311</v>
      </c>
      <c r="B282">
        <v>2214.08</v>
      </c>
      <c r="C282">
        <v>2356.64</v>
      </c>
      <c r="D282">
        <v>2168</v>
      </c>
      <c r="E282">
        <v>2320.4899999999998</v>
      </c>
      <c r="F282">
        <v>857517.38217999996</v>
      </c>
      <c r="G282">
        <v>0</v>
      </c>
      <c r="L282" t="s">
        <v>7</v>
      </c>
      <c r="M282" t="s">
        <v>7</v>
      </c>
      <c r="N282" t="s">
        <v>8</v>
      </c>
      <c r="P282">
        <f t="shared" si="964"/>
        <v>0.6167302798982176</v>
      </c>
      <c r="Q282">
        <f t="shared" si="965"/>
        <v>528856.9351294582</v>
      </c>
      <c r="R282">
        <f t="shared" si="966"/>
        <v>85134726.266796038</v>
      </c>
      <c r="S282">
        <f t="shared" si="967"/>
        <v>851.34726266796042</v>
      </c>
      <c r="T282">
        <f t="shared" si="968"/>
        <v>0.85134726266796046</v>
      </c>
    </row>
    <row r="283" spans="1:20" x14ac:dyDescent="0.25">
      <c r="A283" s="5">
        <v>44310</v>
      </c>
      <c r="B283">
        <v>2367.39</v>
      </c>
      <c r="C283">
        <v>2368.7399999999998</v>
      </c>
      <c r="D283">
        <v>2154.8000000000002</v>
      </c>
      <c r="E283">
        <v>2213.35</v>
      </c>
      <c r="F283">
        <v>997688.94623</v>
      </c>
      <c r="G283">
        <v>0</v>
      </c>
      <c r="L283" t="s">
        <v>8</v>
      </c>
      <c r="M283" t="s">
        <v>7</v>
      </c>
      <c r="N283" t="s">
        <v>8</v>
      </c>
      <c r="P283">
        <f t="shared" si="964"/>
        <v>-0.45265027577825712</v>
      </c>
      <c r="Q283">
        <f t="shared" si="965"/>
        <v>-451604.17665192822</v>
      </c>
      <c r="R283">
        <f t="shared" si="966"/>
        <v>84605869.331666574</v>
      </c>
      <c r="S283">
        <f t="shared" si="967"/>
        <v>846.05869331666577</v>
      </c>
      <c r="T283">
        <f t="shared" si="968"/>
        <v>0.84605869331666572</v>
      </c>
    </row>
    <row r="284" spans="1:20" x14ac:dyDescent="0.25">
      <c r="A284" s="5">
        <v>44309</v>
      </c>
      <c r="B284">
        <v>2397.94</v>
      </c>
      <c r="C284">
        <v>2442.89</v>
      </c>
      <c r="D284">
        <v>2107</v>
      </c>
      <c r="E284">
        <v>2367.39</v>
      </c>
      <c r="F284">
        <v>2532242.4418500001</v>
      </c>
      <c r="G284">
        <v>0</v>
      </c>
      <c r="L284" t="s">
        <v>7</v>
      </c>
      <c r="M284" t="s">
        <v>7</v>
      </c>
      <c r="N284" t="s">
        <v>8</v>
      </c>
      <c r="P284">
        <f t="shared" si="964"/>
        <v>0.55044806335407404</v>
      </c>
      <c r="Q284">
        <f t="shared" si="965"/>
        <v>1393867.9480593239</v>
      </c>
      <c r="R284">
        <f t="shared" si="966"/>
        <v>85057473.508318499</v>
      </c>
      <c r="S284">
        <f t="shared" si="967"/>
        <v>850.57473508318503</v>
      </c>
      <c r="T284">
        <f t="shared" si="968"/>
        <v>0.85057473508318504</v>
      </c>
    </row>
    <row r="285" spans="1:20" x14ac:dyDescent="0.25">
      <c r="A285" s="5">
        <v>44308</v>
      </c>
      <c r="B285">
        <v>2357.06</v>
      </c>
      <c r="C285">
        <v>2644.47</v>
      </c>
      <c r="D285">
        <v>2303.44</v>
      </c>
      <c r="E285">
        <v>2397.94</v>
      </c>
      <c r="F285">
        <v>2220753.0974599998</v>
      </c>
      <c r="G285">
        <v>0</v>
      </c>
      <c r="L285" t="s">
        <v>8</v>
      </c>
      <c r="M285" t="s">
        <v>8</v>
      </c>
      <c r="N285" t="s">
        <v>8</v>
      </c>
      <c r="P285">
        <f t="shared" si="964"/>
        <v>-0.44579655748761066</v>
      </c>
      <c r="Q285">
        <f t="shared" si="965"/>
        <v>-990004.08587761631</v>
      </c>
      <c r="R285">
        <f t="shared" si="966"/>
        <v>83663605.560259178</v>
      </c>
      <c r="S285">
        <f t="shared" si="967"/>
        <v>836.6360556025918</v>
      </c>
      <c r="T285">
        <f t="shared" si="968"/>
        <v>0.8366360556025918</v>
      </c>
    </row>
    <row r="286" spans="1:20" x14ac:dyDescent="0.25">
      <c r="A286" s="5">
        <v>44307</v>
      </c>
      <c r="B286">
        <v>2330.2600000000002</v>
      </c>
      <c r="C286">
        <v>2469.54</v>
      </c>
      <c r="D286">
        <v>2235.16</v>
      </c>
      <c r="E286">
        <v>2357.06</v>
      </c>
      <c r="F286">
        <v>1177885.8617</v>
      </c>
      <c r="G286">
        <v>0</v>
      </c>
      <c r="L286" t="s">
        <v>8</v>
      </c>
      <c r="M286" t="s">
        <v>8</v>
      </c>
      <c r="N286" t="s">
        <v>8</v>
      </c>
      <c r="P286">
        <f t="shared" si="964"/>
        <v>4.0191142588958395E-2</v>
      </c>
      <c r="Q286">
        <f t="shared" si="965"/>
        <v>47340.578621102832</v>
      </c>
      <c r="R286">
        <f t="shared" si="966"/>
        <v>84653609.646136791</v>
      </c>
      <c r="S286">
        <f t="shared" si="967"/>
        <v>846.53609646136795</v>
      </c>
      <c r="T286">
        <f t="shared" si="968"/>
        <v>0.84653609646136796</v>
      </c>
    </row>
    <row r="287" spans="1:20" x14ac:dyDescent="0.25">
      <c r="A287" s="5">
        <v>44306</v>
      </c>
      <c r="B287">
        <v>2161.12</v>
      </c>
      <c r="C287">
        <v>2346.62</v>
      </c>
      <c r="D287">
        <v>2055</v>
      </c>
      <c r="E287">
        <v>2330.0300000000002</v>
      </c>
      <c r="F287">
        <v>992240.80900000001</v>
      </c>
      <c r="G287">
        <v>0</v>
      </c>
      <c r="L287" t="s">
        <v>8</v>
      </c>
      <c r="M287" t="s">
        <v>8</v>
      </c>
      <c r="N287" t="s">
        <v>8</v>
      </c>
      <c r="P287">
        <f t="shared" si="964"/>
        <v>0.88622179548728008</v>
      </c>
      <c r="Q287">
        <f t="shared" si="965"/>
        <v>879345.43130773131</v>
      </c>
      <c r="R287">
        <f t="shared" si="966"/>
        <v>84606269.067515686</v>
      </c>
      <c r="S287">
        <f t="shared" si="967"/>
        <v>846.06269067515689</v>
      </c>
      <c r="T287">
        <f t="shared" si="968"/>
        <v>0.84606269067515694</v>
      </c>
    </row>
    <row r="288" spans="1:20" x14ac:dyDescent="0.25">
      <c r="A288" s="5">
        <v>44305</v>
      </c>
      <c r="B288">
        <v>2235.65</v>
      </c>
      <c r="C288">
        <v>2300</v>
      </c>
      <c r="D288">
        <v>2080</v>
      </c>
      <c r="E288">
        <v>2161.12</v>
      </c>
      <c r="F288">
        <v>820592.26555000001</v>
      </c>
      <c r="G288">
        <v>0</v>
      </c>
      <c r="L288" t="s">
        <v>8</v>
      </c>
      <c r="M288" t="s">
        <v>7</v>
      </c>
      <c r="N288" t="s">
        <v>8</v>
      </c>
      <c r="P288">
        <f t="shared" si="964"/>
        <v>-0.26254545454545553</v>
      </c>
      <c r="Q288">
        <f t="shared" si="965"/>
        <v>-215442.76935530989</v>
      </c>
      <c r="R288">
        <f t="shared" si="966"/>
        <v>83726923.636207953</v>
      </c>
      <c r="S288">
        <f t="shared" si="967"/>
        <v>837.26923636207948</v>
      </c>
      <c r="T288">
        <f t="shared" si="968"/>
        <v>0.83726923636207951</v>
      </c>
    </row>
    <row r="289" spans="1:20" x14ac:dyDescent="0.25">
      <c r="A289" s="5">
        <v>44304</v>
      </c>
      <c r="B289">
        <v>2317.65</v>
      </c>
      <c r="C289">
        <v>2340</v>
      </c>
      <c r="D289">
        <v>1946.8</v>
      </c>
      <c r="E289">
        <v>2235.64</v>
      </c>
      <c r="F289">
        <v>1475383.6920400001</v>
      </c>
      <c r="G289">
        <v>0</v>
      </c>
      <c r="L289" t="s">
        <v>7</v>
      </c>
      <c r="M289" t="s">
        <v>7</v>
      </c>
      <c r="N289" t="s">
        <v>8</v>
      </c>
      <c r="P289">
        <f t="shared" si="964"/>
        <v>0.46917599186164743</v>
      </c>
      <c r="Q289">
        <f t="shared" si="965"/>
        <v>692214.60708936641</v>
      </c>
      <c r="R289">
        <f t="shared" si="966"/>
        <v>83942366.405563265</v>
      </c>
      <c r="S289">
        <f t="shared" si="967"/>
        <v>839.42366405563268</v>
      </c>
      <c r="T289">
        <f t="shared" si="968"/>
        <v>0.83942366405563273</v>
      </c>
    </row>
    <row r="290" spans="1:20" x14ac:dyDescent="0.25">
      <c r="A290" s="5">
        <v>44303</v>
      </c>
      <c r="B290">
        <v>2422.38</v>
      </c>
      <c r="C290">
        <v>2495</v>
      </c>
      <c r="D290">
        <v>2310</v>
      </c>
      <c r="E290">
        <v>2317.6</v>
      </c>
      <c r="F290">
        <v>624232.25567999994</v>
      </c>
      <c r="G290">
        <v>0</v>
      </c>
      <c r="L290" t="s">
        <v>7</v>
      </c>
      <c r="M290" t="s">
        <v>8</v>
      </c>
      <c r="N290" t="s">
        <v>8</v>
      </c>
      <c r="P290">
        <f t="shared" si="964"/>
        <v>-0.91783783783783879</v>
      </c>
      <c r="Q290">
        <f t="shared" si="965"/>
        <v>-572943.98386196815</v>
      </c>
      <c r="R290">
        <f t="shared" si="966"/>
        <v>83250151.798473895</v>
      </c>
      <c r="S290">
        <f t="shared" si="967"/>
        <v>832.50151798473894</v>
      </c>
      <c r="T290">
        <f t="shared" si="968"/>
        <v>0.83250151798473893</v>
      </c>
    </row>
    <row r="291" spans="1:20" x14ac:dyDescent="0.25">
      <c r="A291" s="5">
        <v>44302</v>
      </c>
      <c r="B291">
        <v>2514.04</v>
      </c>
      <c r="C291">
        <v>2548.29</v>
      </c>
      <c r="D291">
        <v>2300</v>
      </c>
      <c r="E291">
        <v>2422.67</v>
      </c>
      <c r="F291">
        <v>999163.75205000001</v>
      </c>
      <c r="G291">
        <v>0</v>
      </c>
      <c r="L291" t="s">
        <v>8</v>
      </c>
      <c r="M291" t="s">
        <v>8</v>
      </c>
      <c r="N291" t="s">
        <v>8</v>
      </c>
      <c r="P291">
        <f t="shared" si="964"/>
        <v>-1.1881267872245433E-2</v>
      </c>
      <c r="Q291">
        <f t="shared" si="965"/>
        <v>-11871.332186343867</v>
      </c>
      <c r="R291">
        <f t="shared" si="966"/>
        <v>83823095.782335863</v>
      </c>
      <c r="S291">
        <f t="shared" si="967"/>
        <v>838.23095782335861</v>
      </c>
      <c r="T291">
        <f t="shared" si="968"/>
        <v>0.83823095782335866</v>
      </c>
    </row>
    <row r="292" spans="1:20" x14ac:dyDescent="0.25">
      <c r="A292" s="5">
        <v>44301</v>
      </c>
      <c r="B292">
        <v>2432.59</v>
      </c>
      <c r="C292">
        <v>2543.4699999999998</v>
      </c>
      <c r="D292">
        <v>2400</v>
      </c>
      <c r="E292">
        <v>2514.04</v>
      </c>
      <c r="F292">
        <v>681950.96644999995</v>
      </c>
      <c r="G292">
        <v>0</v>
      </c>
      <c r="L292" t="s">
        <v>8</v>
      </c>
      <c r="M292" t="s">
        <v>8</v>
      </c>
      <c r="N292" t="s">
        <v>8</v>
      </c>
      <c r="P292">
        <f t="shared" si="964"/>
        <v>0.58974001533421794</v>
      </c>
      <c r="Q292">
        <f t="shared" si="965"/>
        <v>402173.77341140772</v>
      </c>
      <c r="R292">
        <f t="shared" si="966"/>
        <v>83834967.114522204</v>
      </c>
      <c r="S292">
        <f t="shared" si="967"/>
        <v>838.34967114522203</v>
      </c>
      <c r="T292">
        <f t="shared" si="968"/>
        <v>0.83834967114522208</v>
      </c>
    </row>
    <row r="293" spans="1:20" x14ac:dyDescent="0.25">
      <c r="A293" s="5">
        <v>44300</v>
      </c>
      <c r="B293">
        <v>2299.19</v>
      </c>
      <c r="C293">
        <v>2447.29</v>
      </c>
      <c r="D293">
        <v>2281.33</v>
      </c>
      <c r="E293">
        <v>2432.6</v>
      </c>
      <c r="F293">
        <v>972931.60866000003</v>
      </c>
      <c r="G293">
        <v>0</v>
      </c>
      <c r="L293" t="s">
        <v>8</v>
      </c>
      <c r="M293" t="s">
        <v>8</v>
      </c>
      <c r="N293" t="s">
        <v>8</v>
      </c>
      <c r="P293">
        <f t="shared" si="964"/>
        <v>0.82296939021450888</v>
      </c>
      <c r="Q293">
        <f t="shared" si="965"/>
        <v>800692.93269934144</v>
      </c>
      <c r="R293">
        <f t="shared" si="966"/>
        <v>83432793.341110796</v>
      </c>
      <c r="S293">
        <f t="shared" si="967"/>
        <v>834.32793341110801</v>
      </c>
      <c r="T293">
        <f t="shared" si="968"/>
        <v>0.834327933411108</v>
      </c>
    </row>
    <row r="294" spans="1:20" x14ac:dyDescent="0.25">
      <c r="A294" s="5">
        <v>44299</v>
      </c>
      <c r="B294">
        <v>2137.86</v>
      </c>
      <c r="C294">
        <v>2318</v>
      </c>
      <c r="D294">
        <v>2135.5300000000002</v>
      </c>
      <c r="E294">
        <v>2299.19</v>
      </c>
      <c r="F294">
        <v>782608.62089999998</v>
      </c>
      <c r="G294">
        <v>0</v>
      </c>
      <c r="L294" t="s">
        <v>8</v>
      </c>
      <c r="M294" t="s">
        <v>8</v>
      </c>
      <c r="N294" t="s">
        <v>8</v>
      </c>
      <c r="P294">
        <f t="shared" si="964"/>
        <v>0.79382912259549554</v>
      </c>
      <c r="Q294">
        <f t="shared" si="965"/>
        <v>621257.51486471773</v>
      </c>
      <c r="R294">
        <f t="shared" si="966"/>
        <v>82632100.408411458</v>
      </c>
      <c r="S294">
        <f t="shared" si="967"/>
        <v>826.32100408411463</v>
      </c>
      <c r="T294">
        <f t="shared" si="968"/>
        <v>0.82632100408411469</v>
      </c>
    </row>
    <row r="295" spans="1:20" x14ac:dyDescent="0.25">
      <c r="A295" s="5">
        <v>44298</v>
      </c>
      <c r="B295">
        <v>2151.42</v>
      </c>
      <c r="C295">
        <v>2203.46</v>
      </c>
      <c r="D295">
        <v>2102</v>
      </c>
      <c r="E295">
        <v>2137.69</v>
      </c>
      <c r="F295">
        <v>579093.35693999997</v>
      </c>
      <c r="G295">
        <v>0</v>
      </c>
      <c r="L295" t="s">
        <v>8</v>
      </c>
      <c r="M295" t="s">
        <v>8</v>
      </c>
      <c r="N295" t="s">
        <v>8</v>
      </c>
      <c r="P295">
        <f t="shared" si="964"/>
        <v>-0.29647151586832166</v>
      </c>
      <c r="Q295">
        <f t="shared" si="965"/>
        <v>-171684.68536127685</v>
      </c>
      <c r="R295">
        <f t="shared" si="966"/>
        <v>82010842.893546745</v>
      </c>
      <c r="S295">
        <f t="shared" si="967"/>
        <v>820.10842893546749</v>
      </c>
      <c r="T295">
        <f t="shared" si="968"/>
        <v>0.82010842893546754</v>
      </c>
    </row>
    <row r="296" spans="1:20" x14ac:dyDescent="0.25">
      <c r="A296" s="5">
        <v>44297</v>
      </c>
      <c r="B296">
        <v>2133.4899999999998</v>
      </c>
      <c r="C296">
        <v>2165.02</v>
      </c>
      <c r="D296">
        <v>2113.4</v>
      </c>
      <c r="E296">
        <v>2151.36</v>
      </c>
      <c r="F296">
        <v>392265.50773000001</v>
      </c>
      <c r="G296">
        <v>0</v>
      </c>
      <c r="L296" t="s">
        <v>8</v>
      </c>
      <c r="M296" t="s">
        <v>8</v>
      </c>
      <c r="N296" t="s">
        <v>8</v>
      </c>
      <c r="P296">
        <f t="shared" si="964"/>
        <v>0.47074777218132957</v>
      </c>
      <c r="Q296">
        <f t="shared" si="965"/>
        <v>184658.11386747562</v>
      </c>
      <c r="R296">
        <f t="shared" si="966"/>
        <v>82182527.578908026</v>
      </c>
      <c r="S296">
        <f t="shared" si="967"/>
        <v>821.82527578908025</v>
      </c>
      <c r="T296">
        <f t="shared" si="968"/>
        <v>0.82182527578908027</v>
      </c>
    </row>
    <row r="297" spans="1:20" x14ac:dyDescent="0.25">
      <c r="A297" s="5">
        <v>44296</v>
      </c>
      <c r="B297">
        <v>2067.19</v>
      </c>
      <c r="C297">
        <v>2200</v>
      </c>
      <c r="D297">
        <v>2058</v>
      </c>
      <c r="E297">
        <v>2133.4899999999998</v>
      </c>
      <c r="F297">
        <v>655458.20894000004</v>
      </c>
      <c r="G297">
        <v>0</v>
      </c>
      <c r="L297" t="s">
        <v>8</v>
      </c>
      <c r="M297" t="s">
        <v>8</v>
      </c>
      <c r="N297" t="s">
        <v>8</v>
      </c>
      <c r="P297">
        <f t="shared" si="964"/>
        <v>6.3239436619715234E-2</v>
      </c>
      <c r="Q297">
        <f t="shared" si="965"/>
        <v>41450.807861133195</v>
      </c>
      <c r="R297">
        <f t="shared" si="966"/>
        <v>81997869.46504055</v>
      </c>
      <c r="S297">
        <f t="shared" si="967"/>
        <v>819.97869465040549</v>
      </c>
      <c r="T297">
        <f t="shared" si="968"/>
        <v>0.81997869465040552</v>
      </c>
    </row>
    <row r="298" spans="1:20" x14ac:dyDescent="0.25">
      <c r="A298" s="5">
        <v>44295</v>
      </c>
      <c r="B298">
        <v>2080.39</v>
      </c>
      <c r="C298">
        <v>2100</v>
      </c>
      <c r="D298">
        <v>2047.57</v>
      </c>
      <c r="E298">
        <v>2066.87</v>
      </c>
      <c r="F298">
        <v>426387.43790000002</v>
      </c>
      <c r="G298">
        <v>0</v>
      </c>
      <c r="L298" t="s">
        <v>8</v>
      </c>
      <c r="M298" t="s">
        <v>8</v>
      </c>
      <c r="N298" t="s">
        <v>8</v>
      </c>
      <c r="P298">
        <f t="shared" si="964"/>
        <v>-0.26378027846652941</v>
      </c>
      <c r="Q298">
        <f t="shared" si="965"/>
        <v>-112472.59710389203</v>
      </c>
      <c r="R298">
        <f t="shared" si="966"/>
        <v>81956418.657179415</v>
      </c>
      <c r="S298">
        <f t="shared" si="967"/>
        <v>819.56418657179415</v>
      </c>
      <c r="T298">
        <f t="shared" si="968"/>
        <v>0.8195641865717942</v>
      </c>
    </row>
    <row r="299" spans="1:20" x14ac:dyDescent="0.25">
      <c r="A299" s="5">
        <v>44294</v>
      </c>
      <c r="B299">
        <v>1963.46</v>
      </c>
      <c r="C299">
        <v>2084.61</v>
      </c>
      <c r="D299">
        <v>1947.35</v>
      </c>
      <c r="E299">
        <v>2080.46</v>
      </c>
      <c r="F299">
        <v>501355.99800000002</v>
      </c>
      <c r="G299">
        <v>0</v>
      </c>
      <c r="L299" t="s">
        <v>7</v>
      </c>
      <c r="M299" t="s">
        <v>8</v>
      </c>
      <c r="N299" t="s">
        <v>8</v>
      </c>
      <c r="P299">
        <f t="shared" si="964"/>
        <v>0.93953081742678002</v>
      </c>
      <c r="Q299">
        <f t="shared" si="965"/>
        <v>471039.41062275908</v>
      </c>
      <c r="R299">
        <f t="shared" si="966"/>
        <v>82068891.254283309</v>
      </c>
      <c r="S299">
        <f t="shared" si="967"/>
        <v>820.68891254283312</v>
      </c>
      <c r="T299">
        <f t="shared" si="968"/>
        <v>0.82068891254283316</v>
      </c>
    </row>
    <row r="300" spans="1:20" x14ac:dyDescent="0.25">
      <c r="A300" s="5">
        <v>44293</v>
      </c>
      <c r="B300">
        <v>2112.2199999999998</v>
      </c>
      <c r="C300">
        <v>2129.0100000000002</v>
      </c>
      <c r="D300">
        <v>1930.01</v>
      </c>
      <c r="E300">
        <v>1963.47</v>
      </c>
      <c r="F300">
        <v>892984.90422000003</v>
      </c>
      <c r="G300">
        <v>0</v>
      </c>
      <c r="L300" t="s">
        <v>7</v>
      </c>
      <c r="M300" t="s">
        <v>8</v>
      </c>
      <c r="N300" t="s">
        <v>8</v>
      </c>
      <c r="P300">
        <f t="shared" si="964"/>
        <v>-0.66371859296482416</v>
      </c>
      <c r="Q300">
        <f t="shared" si="965"/>
        <v>-592690.68416772666</v>
      </c>
      <c r="R300">
        <f t="shared" si="966"/>
        <v>81597851.843660548</v>
      </c>
      <c r="S300">
        <f t="shared" si="967"/>
        <v>815.97851843660544</v>
      </c>
      <c r="T300">
        <f t="shared" si="968"/>
        <v>0.8159785184366054</v>
      </c>
    </row>
    <row r="301" spans="1:20" x14ac:dyDescent="0.25">
      <c r="A301" s="5">
        <v>44292</v>
      </c>
      <c r="B301">
        <v>2107.4299999999998</v>
      </c>
      <c r="C301">
        <v>2151</v>
      </c>
      <c r="D301">
        <v>2044.65</v>
      </c>
      <c r="E301">
        <v>2112.21</v>
      </c>
      <c r="F301">
        <v>673386.05575000006</v>
      </c>
      <c r="G301">
        <v>0</v>
      </c>
      <c r="L301" t="s">
        <v>8</v>
      </c>
      <c r="M301" t="s">
        <v>8</v>
      </c>
      <c r="N301" t="s">
        <v>8</v>
      </c>
      <c r="P301">
        <f t="shared" si="964"/>
        <v>0.27052186177715098</v>
      </c>
      <c r="Q301">
        <f t="shared" si="965"/>
        <v>182165.6494962624</v>
      </c>
      <c r="R301">
        <f t="shared" si="966"/>
        <v>82190542.527828276</v>
      </c>
      <c r="S301">
        <f t="shared" si="967"/>
        <v>821.90542527828279</v>
      </c>
      <c r="T301">
        <f t="shared" si="968"/>
        <v>0.82190542527828281</v>
      </c>
    </row>
    <row r="302" spans="1:20" x14ac:dyDescent="0.25">
      <c r="A302" s="5">
        <v>44291</v>
      </c>
      <c r="B302">
        <v>2075.6999999999998</v>
      </c>
      <c r="C302">
        <v>2130.64</v>
      </c>
      <c r="D302">
        <v>2002.15</v>
      </c>
      <c r="E302">
        <v>2107.38</v>
      </c>
      <c r="F302">
        <v>684923.61494</v>
      </c>
      <c r="G302">
        <v>0</v>
      </c>
      <c r="L302" t="s">
        <v>8</v>
      </c>
      <c r="M302" t="s">
        <v>8</v>
      </c>
      <c r="N302" t="s">
        <v>8</v>
      </c>
      <c r="P302">
        <f t="shared" si="964"/>
        <v>0.6379484784808187</v>
      </c>
      <c r="Q302">
        <f t="shared" si="965"/>
        <v>436945.97802655515</v>
      </c>
      <c r="R302">
        <f t="shared" si="966"/>
        <v>82008376.878332019</v>
      </c>
      <c r="S302">
        <f t="shared" si="967"/>
        <v>820.08376878332024</v>
      </c>
      <c r="T302">
        <f t="shared" si="968"/>
        <v>0.82008376878332023</v>
      </c>
    </row>
    <row r="303" spans="1:20" x14ac:dyDescent="0.25">
      <c r="A303" s="5">
        <v>44290</v>
      </c>
      <c r="B303">
        <v>2008.59</v>
      </c>
      <c r="C303">
        <v>2091.83</v>
      </c>
      <c r="D303">
        <v>1975.24</v>
      </c>
      <c r="E303">
        <v>2075.69</v>
      </c>
      <c r="F303">
        <v>514345.76553999999</v>
      </c>
      <c r="G303">
        <v>0</v>
      </c>
      <c r="L303" t="s">
        <v>7</v>
      </c>
      <c r="M303" t="s">
        <v>8</v>
      </c>
      <c r="N303" t="s">
        <v>8</v>
      </c>
      <c r="P303">
        <f t="shared" si="964"/>
        <v>0.7231323441118469</v>
      </c>
      <c r="Q303">
        <f t="shared" si="965"/>
        <v>371940.05911894259</v>
      </c>
      <c r="R303">
        <f t="shared" si="966"/>
        <v>81571430.900305465</v>
      </c>
      <c r="S303">
        <f t="shared" si="967"/>
        <v>815.71430900305461</v>
      </c>
      <c r="T303">
        <f t="shared" si="968"/>
        <v>0.81571430900305464</v>
      </c>
    </row>
    <row r="304" spans="1:20" x14ac:dyDescent="0.25">
      <c r="A304" s="5">
        <v>44289</v>
      </c>
      <c r="B304">
        <v>2133.69</v>
      </c>
      <c r="C304">
        <v>2138.12</v>
      </c>
      <c r="D304">
        <v>1996.3</v>
      </c>
      <c r="E304">
        <v>2008.52</v>
      </c>
      <c r="F304">
        <v>770176.32192000002</v>
      </c>
      <c r="G304">
        <v>0</v>
      </c>
      <c r="L304" t="s">
        <v>7</v>
      </c>
      <c r="M304" t="s">
        <v>8</v>
      </c>
      <c r="N304" t="s">
        <v>8</v>
      </c>
      <c r="P304">
        <f t="shared" si="964"/>
        <v>-0.82766887604005035</v>
      </c>
      <c r="Q304">
        <f t="shared" si="965"/>
        <v>-637450.97071618645</v>
      </c>
      <c r="R304">
        <f t="shared" si="966"/>
        <v>81199490.841186523</v>
      </c>
      <c r="S304">
        <f t="shared" si="967"/>
        <v>811.99490841186525</v>
      </c>
      <c r="T304">
        <f t="shared" si="968"/>
        <v>0.81199490841186528</v>
      </c>
    </row>
    <row r="305" spans="1:20" x14ac:dyDescent="0.25">
      <c r="A305" s="5">
        <v>44288</v>
      </c>
      <c r="B305">
        <v>1968.05</v>
      </c>
      <c r="C305">
        <v>2146</v>
      </c>
      <c r="D305">
        <v>1948.48</v>
      </c>
      <c r="E305">
        <v>2133.69</v>
      </c>
      <c r="F305">
        <v>846197.93215000001</v>
      </c>
      <c r="G305">
        <v>0</v>
      </c>
      <c r="L305" t="s">
        <v>8</v>
      </c>
      <c r="M305" t="s">
        <v>8</v>
      </c>
      <c r="N305" t="s">
        <v>8</v>
      </c>
      <c r="P305">
        <f t="shared" si="964"/>
        <v>0.87535439449169761</v>
      </c>
      <c r="Q305">
        <f t="shared" si="965"/>
        <v>740723.07851728983</v>
      </c>
      <c r="R305">
        <f t="shared" si="966"/>
        <v>81836941.811902717</v>
      </c>
      <c r="S305">
        <f t="shared" si="967"/>
        <v>818.36941811902716</v>
      </c>
      <c r="T305">
        <f t="shared" si="968"/>
        <v>0.81836941811902719</v>
      </c>
    </row>
    <row r="306" spans="1:20" x14ac:dyDescent="0.25">
      <c r="A306" s="5">
        <v>44287</v>
      </c>
      <c r="B306">
        <v>1919.37</v>
      </c>
      <c r="C306">
        <v>1984.77</v>
      </c>
      <c r="D306">
        <v>1885.02</v>
      </c>
      <c r="E306">
        <v>1968.05</v>
      </c>
      <c r="F306">
        <v>741585.07265999995</v>
      </c>
      <c r="G306">
        <v>0</v>
      </c>
      <c r="L306" t="s">
        <v>8</v>
      </c>
      <c r="M306" t="s">
        <v>8</v>
      </c>
      <c r="N306" t="s">
        <v>8</v>
      </c>
      <c r="P306">
        <f t="shared" si="964"/>
        <v>0.66476190476190422</v>
      </c>
      <c r="Q306">
        <f t="shared" si="965"/>
        <v>492977.50544445671</v>
      </c>
      <c r="R306">
        <f t="shared" si="966"/>
        <v>81096218.733385429</v>
      </c>
      <c r="S306">
        <f t="shared" si="967"/>
        <v>810.96218733385433</v>
      </c>
      <c r="T306">
        <f t="shared" si="968"/>
        <v>0.81096218733385428</v>
      </c>
    </row>
    <row r="307" spans="1:20" x14ac:dyDescent="0.25">
      <c r="A307" s="5">
        <v>44286</v>
      </c>
      <c r="B307">
        <v>1840.41</v>
      </c>
      <c r="C307">
        <v>1947.29</v>
      </c>
      <c r="D307">
        <v>1768.15</v>
      </c>
      <c r="E307">
        <v>1919.37</v>
      </c>
      <c r="F307">
        <v>746995.8591</v>
      </c>
      <c r="G307">
        <v>0</v>
      </c>
      <c r="L307" t="s">
        <v>8</v>
      </c>
      <c r="M307" t="s">
        <v>8</v>
      </c>
      <c r="N307" t="s">
        <v>8</v>
      </c>
      <c r="P307">
        <f t="shared" si="964"/>
        <v>0.68828848944959142</v>
      </c>
      <c r="Q307">
        <f t="shared" si="965"/>
        <v>514148.6514850388</v>
      </c>
      <c r="R307">
        <f t="shared" si="966"/>
        <v>80603241.227940977</v>
      </c>
      <c r="S307">
        <f t="shared" si="967"/>
        <v>806.03241227940975</v>
      </c>
      <c r="T307">
        <f t="shared" si="968"/>
        <v>0.8060324122794098</v>
      </c>
    </row>
    <row r="308" spans="1:20" x14ac:dyDescent="0.25">
      <c r="A308" s="5">
        <v>44285</v>
      </c>
      <c r="B308">
        <v>1816.76</v>
      </c>
      <c r="C308">
        <v>1859.13</v>
      </c>
      <c r="D308">
        <v>1786.3</v>
      </c>
      <c r="E308">
        <v>1840.46</v>
      </c>
      <c r="F308">
        <v>568842.00526000001</v>
      </c>
      <c r="G308">
        <v>0</v>
      </c>
      <c r="L308" t="s">
        <v>8</v>
      </c>
      <c r="M308" t="s">
        <v>8</v>
      </c>
      <c r="N308" t="s">
        <v>8</v>
      </c>
      <c r="P308">
        <f t="shared" si="964"/>
        <v>0.48729918989427345</v>
      </c>
      <c r="Q308">
        <f t="shared" si="965"/>
        <v>277196.24834103201</v>
      </c>
      <c r="R308">
        <f t="shared" si="966"/>
        <v>80089092.576455936</v>
      </c>
      <c r="S308">
        <f t="shared" si="967"/>
        <v>800.89092576455937</v>
      </c>
      <c r="T308">
        <f t="shared" si="968"/>
        <v>0.80089092576455934</v>
      </c>
    </row>
    <row r="309" spans="1:20" x14ac:dyDescent="0.25">
      <c r="A309" s="5">
        <v>44284</v>
      </c>
      <c r="B309">
        <v>1687.16</v>
      </c>
      <c r="C309">
        <v>1841</v>
      </c>
      <c r="D309">
        <v>1677.85</v>
      </c>
      <c r="E309">
        <v>1816.74</v>
      </c>
      <c r="F309">
        <v>647724.46386999998</v>
      </c>
      <c r="G309">
        <v>0</v>
      </c>
      <c r="L309" t="s">
        <v>8</v>
      </c>
      <c r="M309" t="s">
        <v>8</v>
      </c>
      <c r="N309" t="s">
        <v>8</v>
      </c>
      <c r="P309">
        <f t="shared" si="964"/>
        <v>0.70260496475635947</v>
      </c>
      <c r="Q309">
        <f t="shared" si="965"/>
        <v>455094.42410921317</v>
      </c>
      <c r="R309">
        <f t="shared" si="966"/>
        <v>79811896.328114897</v>
      </c>
      <c r="S309">
        <f t="shared" si="967"/>
        <v>798.11896328114892</v>
      </c>
      <c r="T309">
        <f t="shared" si="968"/>
        <v>0.79811896328114895</v>
      </c>
    </row>
    <row r="310" spans="1:20" x14ac:dyDescent="0.25">
      <c r="A310" s="5">
        <v>44283</v>
      </c>
      <c r="B310">
        <v>1712.52</v>
      </c>
      <c r="C310">
        <v>1725.66</v>
      </c>
      <c r="D310">
        <v>1661.4</v>
      </c>
      <c r="E310">
        <v>1687.01</v>
      </c>
      <c r="F310">
        <v>348895.51314</v>
      </c>
      <c r="G310">
        <v>0</v>
      </c>
      <c r="L310" t="s">
        <v>8</v>
      </c>
      <c r="M310" t="s">
        <v>7</v>
      </c>
      <c r="N310" t="s">
        <v>8</v>
      </c>
      <c r="P310">
        <f t="shared" si="964"/>
        <v>-0.20292561469032358</v>
      </c>
      <c r="Q310">
        <f t="shared" si="965"/>
        <v>-70799.836466630368</v>
      </c>
      <c r="R310">
        <f t="shared" si="966"/>
        <v>79356801.904005677</v>
      </c>
      <c r="S310">
        <f t="shared" si="967"/>
        <v>793.56801904005681</v>
      </c>
      <c r="T310">
        <f t="shared" si="968"/>
        <v>0.7935680190400568</v>
      </c>
    </row>
    <row r="311" spans="1:20" x14ac:dyDescent="0.25">
      <c r="A311" s="5">
        <v>44282</v>
      </c>
      <c r="B311">
        <v>1698.84</v>
      </c>
      <c r="C311">
        <v>1732.67</v>
      </c>
      <c r="D311">
        <v>1666.41</v>
      </c>
      <c r="E311">
        <v>1712.63</v>
      </c>
      <c r="F311">
        <v>443845.49956999999</v>
      </c>
      <c r="G311">
        <v>0</v>
      </c>
      <c r="L311" t="s">
        <v>8</v>
      </c>
      <c r="M311" t="s">
        <v>7</v>
      </c>
      <c r="N311" t="s">
        <v>8</v>
      </c>
      <c r="P311">
        <f t="shared" si="964"/>
        <v>0.39511017204950299</v>
      </c>
      <c r="Q311">
        <f t="shared" si="965"/>
        <v>175367.8716985003</v>
      </c>
      <c r="R311">
        <f t="shared" si="966"/>
        <v>79427601.740472302</v>
      </c>
      <c r="S311">
        <f t="shared" si="967"/>
        <v>794.27601740472301</v>
      </c>
      <c r="T311">
        <f t="shared" si="968"/>
        <v>0.79427601740472298</v>
      </c>
    </row>
    <row r="312" spans="1:20" x14ac:dyDescent="0.25">
      <c r="A312" s="5">
        <v>44281</v>
      </c>
      <c r="B312">
        <v>1585.83</v>
      </c>
      <c r="C312">
        <v>1699.93</v>
      </c>
      <c r="D312">
        <v>1585.79</v>
      </c>
      <c r="E312">
        <v>1698.84</v>
      </c>
      <c r="F312">
        <v>515470.92907000001</v>
      </c>
      <c r="G312">
        <v>0</v>
      </c>
      <c r="L312" t="s">
        <v>8</v>
      </c>
      <c r="M312" t="s">
        <v>7</v>
      </c>
      <c r="N312" t="s">
        <v>8</v>
      </c>
      <c r="P312">
        <f t="shared" si="964"/>
        <v>0.98090064832661394</v>
      </c>
      <c r="Q312">
        <f t="shared" si="965"/>
        <v>505625.76851828507</v>
      </c>
      <c r="R312">
        <f t="shared" si="966"/>
        <v>79252233.868773803</v>
      </c>
      <c r="S312">
        <f t="shared" si="967"/>
        <v>792.52233868773806</v>
      </c>
      <c r="T312">
        <f t="shared" si="968"/>
        <v>0.79252233868773803</v>
      </c>
    </row>
    <row r="313" spans="1:20" x14ac:dyDescent="0.25">
      <c r="A313" s="5">
        <v>44280</v>
      </c>
      <c r="B313">
        <v>1581.88</v>
      </c>
      <c r="C313">
        <v>1622</v>
      </c>
      <c r="D313">
        <v>1549.4</v>
      </c>
      <c r="E313">
        <v>1585.74</v>
      </c>
      <c r="F313">
        <v>701697.00257999997</v>
      </c>
      <c r="G313">
        <v>0</v>
      </c>
      <c r="L313" t="s">
        <v>7</v>
      </c>
      <c r="M313" t="s">
        <v>7</v>
      </c>
      <c r="N313" t="s">
        <v>8</v>
      </c>
      <c r="P313">
        <f t="shared" si="964"/>
        <v>1.1019283746546466E-3</v>
      </c>
      <c r="Q313">
        <f t="shared" si="965"/>
        <v>773.21983755301676</v>
      </c>
      <c r="R313">
        <f t="shared" si="966"/>
        <v>78746608.100255519</v>
      </c>
      <c r="S313">
        <f t="shared" si="967"/>
        <v>787.46608100255514</v>
      </c>
      <c r="T313">
        <f t="shared" si="968"/>
        <v>0.78746608100255511</v>
      </c>
    </row>
    <row r="314" spans="1:20" x14ac:dyDescent="0.25">
      <c r="A314" s="5">
        <v>44279</v>
      </c>
      <c r="B314">
        <v>1668.2</v>
      </c>
      <c r="C314">
        <v>1740.86</v>
      </c>
      <c r="D314">
        <v>1536.92</v>
      </c>
      <c r="E314">
        <v>1581.84</v>
      </c>
      <c r="F314">
        <v>753834.52393000002</v>
      </c>
      <c r="G314">
        <v>0</v>
      </c>
      <c r="L314" t="s">
        <v>7</v>
      </c>
      <c r="M314" t="s">
        <v>7</v>
      </c>
      <c r="N314" t="s">
        <v>8</v>
      </c>
      <c r="P314">
        <f t="shared" si="964"/>
        <v>-0.55947827792488103</v>
      </c>
      <c r="Q314">
        <f t="shared" si="965"/>
        <v>-421754.04128867894</v>
      </c>
      <c r="R314">
        <f t="shared" si="966"/>
        <v>78745834.880417973</v>
      </c>
      <c r="S314">
        <f t="shared" si="967"/>
        <v>787.45834880417976</v>
      </c>
      <c r="T314">
        <f t="shared" si="968"/>
        <v>0.78745834880417975</v>
      </c>
    </row>
    <row r="315" spans="1:20" x14ac:dyDescent="0.25">
      <c r="A315" s="5">
        <v>44278</v>
      </c>
      <c r="B315">
        <v>1681.17</v>
      </c>
      <c r="C315">
        <v>1721.17</v>
      </c>
      <c r="D315">
        <v>1650</v>
      </c>
      <c r="E315">
        <v>1668.08</v>
      </c>
      <c r="F315">
        <v>577213.99589000002</v>
      </c>
      <c r="G315">
        <v>0</v>
      </c>
      <c r="L315" t="s">
        <v>7</v>
      </c>
      <c r="M315" t="s">
        <v>7</v>
      </c>
      <c r="N315" t="s">
        <v>8</v>
      </c>
      <c r="P315">
        <f t="shared" si="964"/>
        <v>-0.49192075312631983</v>
      </c>
      <c r="Q315">
        <f t="shared" si="965"/>
        <v>-283943.5435732613</v>
      </c>
      <c r="R315">
        <f t="shared" si="966"/>
        <v>79167588.921706647</v>
      </c>
      <c r="S315">
        <f t="shared" si="967"/>
        <v>791.67588921706647</v>
      </c>
      <c r="T315">
        <f t="shared" si="968"/>
        <v>0.79167588921706644</v>
      </c>
    </row>
    <row r="316" spans="1:20" x14ac:dyDescent="0.25">
      <c r="A316" s="5">
        <v>44277</v>
      </c>
      <c r="B316">
        <v>1783.23</v>
      </c>
      <c r="C316">
        <v>1807.51</v>
      </c>
      <c r="D316">
        <v>1655.15</v>
      </c>
      <c r="E316">
        <v>1680.97</v>
      </c>
      <c r="F316">
        <v>582727.49080999999</v>
      </c>
      <c r="G316">
        <v>0</v>
      </c>
      <c r="L316" t="s">
        <v>7</v>
      </c>
      <c r="M316" t="s">
        <v>7</v>
      </c>
      <c r="N316" t="s">
        <v>8</v>
      </c>
      <c r="P316">
        <f t="shared" si="964"/>
        <v>-0.66106589656077774</v>
      </c>
      <c r="Q316">
        <f t="shared" si="965"/>
        <v>-385221.271162925</v>
      </c>
      <c r="R316">
        <f t="shared" si="966"/>
        <v>79451532.465279907</v>
      </c>
      <c r="S316">
        <f t="shared" si="967"/>
        <v>794.51532465279911</v>
      </c>
      <c r="T316">
        <f t="shared" si="968"/>
        <v>0.79451532465279906</v>
      </c>
    </row>
    <row r="317" spans="1:20" x14ac:dyDescent="0.25">
      <c r="A317" s="5">
        <v>44276</v>
      </c>
      <c r="B317">
        <v>1806.57</v>
      </c>
      <c r="C317">
        <v>1817.16</v>
      </c>
      <c r="D317">
        <v>1747</v>
      </c>
      <c r="E317">
        <v>1782.98</v>
      </c>
      <c r="F317">
        <v>465953.98749000003</v>
      </c>
      <c r="G317">
        <v>0</v>
      </c>
      <c r="L317" t="s">
        <v>8</v>
      </c>
      <c r="M317" t="s">
        <v>8</v>
      </c>
      <c r="N317" t="s">
        <v>8</v>
      </c>
      <c r="P317">
        <f t="shared" si="964"/>
        <v>2.5655644241732504E-2</v>
      </c>
      <c r="Q317">
        <f t="shared" si="965"/>
        <v>11954.349736060118</v>
      </c>
      <c r="R317">
        <f t="shared" si="966"/>
        <v>79836753.736442834</v>
      </c>
      <c r="S317">
        <f t="shared" si="967"/>
        <v>798.36753736442836</v>
      </c>
      <c r="T317">
        <f t="shared" si="968"/>
        <v>0.79836753736442834</v>
      </c>
    </row>
    <row r="318" spans="1:20" x14ac:dyDescent="0.25">
      <c r="A318" s="5">
        <v>44275</v>
      </c>
      <c r="B318">
        <v>1809.01</v>
      </c>
      <c r="C318">
        <v>1868.83</v>
      </c>
      <c r="D318">
        <v>1800.86</v>
      </c>
      <c r="E318">
        <v>1806.1</v>
      </c>
      <c r="F318">
        <v>451556.10638999997</v>
      </c>
      <c r="G318">
        <v>0</v>
      </c>
      <c r="L318" t="s">
        <v>8</v>
      </c>
      <c r="M318" t="s">
        <v>8</v>
      </c>
      <c r="N318" t="s">
        <v>8</v>
      </c>
      <c r="P318">
        <f t="shared" si="964"/>
        <v>-0.84581432985140481</v>
      </c>
      <c r="Q318">
        <f t="shared" si="965"/>
        <v>-381932.6255165675</v>
      </c>
      <c r="R318">
        <f t="shared" si="966"/>
        <v>79824799.386706769</v>
      </c>
      <c r="S318">
        <f t="shared" si="967"/>
        <v>798.24799386706775</v>
      </c>
      <c r="T318">
        <f t="shared" si="968"/>
        <v>0.7982479938670678</v>
      </c>
    </row>
    <row r="319" spans="1:20" x14ac:dyDescent="0.25">
      <c r="A319" s="5">
        <v>44274</v>
      </c>
      <c r="B319">
        <v>1775.92</v>
      </c>
      <c r="C319">
        <v>1840.61</v>
      </c>
      <c r="D319">
        <v>1733.47</v>
      </c>
      <c r="E319">
        <v>1809.1</v>
      </c>
      <c r="F319">
        <v>500258.42875000002</v>
      </c>
      <c r="G319">
        <v>0</v>
      </c>
      <c r="L319" t="s">
        <v>8</v>
      </c>
      <c r="M319" t="s">
        <v>8</v>
      </c>
      <c r="N319" t="s">
        <v>8</v>
      </c>
      <c r="P319">
        <f t="shared" si="964"/>
        <v>0.4117976479372778</v>
      </c>
      <c r="Q319">
        <f t="shared" si="965"/>
        <v>206005.24432004828</v>
      </c>
      <c r="R319">
        <f t="shared" si="966"/>
        <v>80206732.012223333</v>
      </c>
      <c r="S319">
        <f t="shared" si="967"/>
        <v>802.06732012223335</v>
      </c>
      <c r="T319">
        <f t="shared" si="968"/>
        <v>0.80206732012223336</v>
      </c>
    </row>
    <row r="320" spans="1:20" x14ac:dyDescent="0.25">
      <c r="A320" s="5">
        <v>44273</v>
      </c>
      <c r="B320">
        <v>1823.58</v>
      </c>
      <c r="C320">
        <v>1850</v>
      </c>
      <c r="D320">
        <v>1759.04</v>
      </c>
      <c r="E320">
        <v>1776.08</v>
      </c>
      <c r="F320">
        <v>603721.61055999994</v>
      </c>
      <c r="G320">
        <v>0</v>
      </c>
      <c r="L320" t="s">
        <v>8</v>
      </c>
      <c r="M320" t="s">
        <v>8</v>
      </c>
      <c r="N320" t="s">
        <v>8</v>
      </c>
      <c r="P320">
        <f t="shared" si="964"/>
        <v>-0.62532981530343101</v>
      </c>
      <c r="Q320">
        <f t="shared" si="965"/>
        <v>-377525.12322617468</v>
      </c>
      <c r="R320">
        <f t="shared" si="966"/>
        <v>80000726.767903283</v>
      </c>
      <c r="S320">
        <f t="shared" si="967"/>
        <v>800.00726767903279</v>
      </c>
      <c r="T320">
        <f t="shared" si="968"/>
        <v>0.80000726767903274</v>
      </c>
    </row>
    <row r="321" spans="1:20" x14ac:dyDescent="0.25">
      <c r="A321" s="5">
        <v>44272</v>
      </c>
      <c r="B321">
        <v>1805.01</v>
      </c>
      <c r="C321">
        <v>1838.88</v>
      </c>
      <c r="D321">
        <v>1741.18</v>
      </c>
      <c r="E321">
        <v>1823.58</v>
      </c>
      <c r="F321">
        <v>658349.44842999999</v>
      </c>
      <c r="G321">
        <v>0</v>
      </c>
      <c r="L321" t="s">
        <v>8</v>
      </c>
      <c r="M321" t="s">
        <v>8</v>
      </c>
      <c r="N321" t="s">
        <v>8</v>
      </c>
      <c r="P321">
        <f t="shared" si="964"/>
        <v>0.68679631525076412</v>
      </c>
      <c r="Q321">
        <f t="shared" si="965"/>
        <v>452151.97532909695</v>
      </c>
      <c r="R321">
        <f t="shared" si="966"/>
        <v>80378251.891129464</v>
      </c>
      <c r="S321">
        <f t="shared" si="967"/>
        <v>803.78251891129469</v>
      </c>
      <c r="T321">
        <f t="shared" si="968"/>
        <v>0.80378251891129471</v>
      </c>
    </row>
    <row r="322" spans="1:20" x14ac:dyDescent="0.25">
      <c r="A322" s="5">
        <v>44271</v>
      </c>
      <c r="B322">
        <v>1793.99</v>
      </c>
      <c r="C322">
        <v>1819.5</v>
      </c>
      <c r="D322">
        <v>1711.68</v>
      </c>
      <c r="E322">
        <v>1805.12</v>
      </c>
      <c r="F322">
        <v>764993.40147000004</v>
      </c>
      <c r="G322">
        <v>0</v>
      </c>
      <c r="L322" t="s">
        <v>7</v>
      </c>
      <c r="M322" t="s">
        <v>8</v>
      </c>
      <c r="N322" t="s">
        <v>8</v>
      </c>
      <c r="P322">
        <f t="shared" si="964"/>
        <v>0.73325913559636213</v>
      </c>
      <c r="Q322">
        <f t="shared" si="965"/>
        <v>560938.40029881301</v>
      </c>
      <c r="R322">
        <f t="shared" si="966"/>
        <v>79926099.915800363</v>
      </c>
      <c r="S322">
        <f t="shared" si="967"/>
        <v>799.26099915800364</v>
      </c>
      <c r="T322">
        <f t="shared" si="968"/>
        <v>0.79926099915800364</v>
      </c>
    </row>
    <row r="323" spans="1:20" x14ac:dyDescent="0.25">
      <c r="A323" s="5">
        <v>44270</v>
      </c>
      <c r="B323">
        <v>1848.1</v>
      </c>
      <c r="C323">
        <v>1891.76</v>
      </c>
      <c r="D323">
        <v>1730</v>
      </c>
      <c r="E323">
        <v>1793.48</v>
      </c>
      <c r="F323">
        <v>1025326.79658</v>
      </c>
      <c r="G323">
        <v>0</v>
      </c>
      <c r="L323" t="s">
        <v>7</v>
      </c>
      <c r="M323" t="s">
        <v>8</v>
      </c>
      <c r="N323" t="s">
        <v>8</v>
      </c>
      <c r="P323">
        <f t="shared" si="964"/>
        <v>-0.21513353115726977</v>
      </c>
      <c r="Q323">
        <f t="shared" si="965"/>
        <v>-220582.17433842702</v>
      </c>
      <c r="R323">
        <f t="shared" si="966"/>
        <v>79365161.515501544</v>
      </c>
      <c r="S323">
        <f t="shared" si="967"/>
        <v>793.65161515501541</v>
      </c>
      <c r="T323">
        <f t="shared" si="968"/>
        <v>0.79365161515501537</v>
      </c>
    </row>
    <row r="324" spans="1:20" x14ac:dyDescent="0.25">
      <c r="A324" s="5">
        <v>44269</v>
      </c>
      <c r="B324">
        <v>1922.35</v>
      </c>
      <c r="C324">
        <v>1933.1</v>
      </c>
      <c r="D324">
        <v>1836</v>
      </c>
      <c r="E324">
        <v>1848.1</v>
      </c>
      <c r="F324">
        <v>637963.63627000002</v>
      </c>
      <c r="G324">
        <v>0</v>
      </c>
      <c r="L324" t="s">
        <v>8</v>
      </c>
      <c r="M324" t="s">
        <v>8</v>
      </c>
      <c r="N324" t="s">
        <v>8</v>
      </c>
      <c r="P324">
        <f t="shared" si="964"/>
        <v>-0.75077239958805519</v>
      </c>
      <c r="Q324">
        <f t="shared" si="965"/>
        <v>-478965.49005234917</v>
      </c>
      <c r="R324">
        <f t="shared" si="966"/>
        <v>79585743.689839974</v>
      </c>
      <c r="S324">
        <f t="shared" si="967"/>
        <v>795.85743689839978</v>
      </c>
      <c r="T324">
        <f t="shared" si="968"/>
        <v>0.79585743689839983</v>
      </c>
    </row>
    <row r="325" spans="1:20" x14ac:dyDescent="0.25">
      <c r="A325" s="5">
        <v>44268</v>
      </c>
      <c r="B325">
        <v>1766.13</v>
      </c>
      <c r="C325">
        <v>1944.3</v>
      </c>
      <c r="D325">
        <v>1727.75</v>
      </c>
      <c r="E325">
        <v>1922.35</v>
      </c>
      <c r="F325">
        <v>926283.22641999996</v>
      </c>
      <c r="G325">
        <v>0</v>
      </c>
      <c r="L325" t="s">
        <v>8</v>
      </c>
      <c r="M325" t="s">
        <v>8</v>
      </c>
      <c r="N325" t="s">
        <v>8</v>
      </c>
      <c r="P325">
        <f t="shared" si="964"/>
        <v>0.79727545601477667</v>
      </c>
      <c r="Q325">
        <f t="shared" si="965"/>
        <v>738502.88174284413</v>
      </c>
      <c r="R325">
        <f t="shared" si="966"/>
        <v>80064709.179892316</v>
      </c>
      <c r="S325">
        <f t="shared" si="967"/>
        <v>800.64709179892316</v>
      </c>
      <c r="T325">
        <f t="shared" si="968"/>
        <v>0.80064709179892313</v>
      </c>
    </row>
    <row r="326" spans="1:20" x14ac:dyDescent="0.25">
      <c r="A326" s="5">
        <v>44267</v>
      </c>
      <c r="B326">
        <v>1825.78</v>
      </c>
      <c r="C326">
        <v>1841.88</v>
      </c>
      <c r="D326">
        <v>1719.72</v>
      </c>
      <c r="E326">
        <v>1766.1</v>
      </c>
      <c r="F326">
        <v>869564.6361</v>
      </c>
      <c r="G326">
        <v>0</v>
      </c>
      <c r="L326" t="s">
        <v>7</v>
      </c>
      <c r="M326" t="s">
        <v>8</v>
      </c>
      <c r="N326" t="s">
        <v>8</v>
      </c>
      <c r="P326">
        <f t="shared" ref="P326:P389" si="969">IF(C326=D326,0,((E326-D326)-(C326-E326))/(C326-D326))</f>
        <v>-0.24066797642436394</v>
      </c>
      <c r="Q326">
        <f t="shared" ref="Q326:Q389" si="970">F326*P326</f>
        <v>-209276.36134037541</v>
      </c>
      <c r="R326">
        <f t="shared" ref="R326:R389" si="971">R327+Q326</f>
        <v>79326206.298149467</v>
      </c>
      <c r="S326">
        <f t="shared" ref="S326:S389" si="972">R326/100000</f>
        <v>793.26206298149464</v>
      </c>
      <c r="T326">
        <f t="shared" ref="T326:T389" si="973">S326/1000</f>
        <v>0.7932620629814946</v>
      </c>
    </row>
    <row r="327" spans="1:20" x14ac:dyDescent="0.25">
      <c r="A327" s="5">
        <v>44266</v>
      </c>
      <c r="B327">
        <v>1795.28</v>
      </c>
      <c r="C327">
        <v>1846.7</v>
      </c>
      <c r="D327">
        <v>1725</v>
      </c>
      <c r="E327">
        <v>1825.78</v>
      </c>
      <c r="F327">
        <v>909011.49609999999</v>
      </c>
      <c r="G327">
        <v>0</v>
      </c>
      <c r="L327" t="s">
        <v>7</v>
      </c>
      <c r="M327" t="s">
        <v>8</v>
      </c>
      <c r="N327" t="s">
        <v>8</v>
      </c>
      <c r="P327">
        <f t="shared" si="969"/>
        <v>0.6562037797863588</v>
      </c>
      <c r="Q327">
        <f t="shared" si="970"/>
        <v>596496.77961007296</v>
      </c>
      <c r="R327">
        <f t="shared" si="971"/>
        <v>79535482.65948984</v>
      </c>
      <c r="S327">
        <f t="shared" si="972"/>
        <v>795.35482659489844</v>
      </c>
      <c r="T327">
        <f t="shared" si="973"/>
        <v>0.79535482659489842</v>
      </c>
    </row>
    <row r="328" spans="1:20" x14ac:dyDescent="0.25">
      <c r="A328" s="5">
        <v>44265</v>
      </c>
      <c r="B328">
        <v>1870.5</v>
      </c>
      <c r="C328">
        <v>1877.69</v>
      </c>
      <c r="D328">
        <v>1757</v>
      </c>
      <c r="E328">
        <v>1795.12</v>
      </c>
      <c r="F328">
        <v>937230.62830999994</v>
      </c>
      <c r="G328">
        <v>0</v>
      </c>
      <c r="L328" t="s">
        <v>8</v>
      </c>
      <c r="M328" t="s">
        <v>8</v>
      </c>
      <c r="N328" t="s">
        <v>8</v>
      </c>
      <c r="P328">
        <f t="shared" si="969"/>
        <v>-0.36829894771729432</v>
      </c>
      <c r="Q328">
        <f t="shared" si="970"/>
        <v>-345181.05417499156</v>
      </c>
      <c r="R328">
        <f t="shared" si="971"/>
        <v>78938985.879879773</v>
      </c>
      <c r="S328">
        <f t="shared" si="972"/>
        <v>789.38985879879772</v>
      </c>
      <c r="T328">
        <f t="shared" si="973"/>
        <v>0.78938985879879775</v>
      </c>
    </row>
    <row r="329" spans="1:20" x14ac:dyDescent="0.25">
      <c r="A329" s="5">
        <v>44264</v>
      </c>
      <c r="B329">
        <v>1833.22</v>
      </c>
      <c r="C329">
        <v>1870.77</v>
      </c>
      <c r="D329">
        <v>1798.2</v>
      </c>
      <c r="E329">
        <v>1870.51</v>
      </c>
      <c r="F329">
        <v>857229.47855</v>
      </c>
      <c r="G329">
        <v>0</v>
      </c>
      <c r="L329" t="s">
        <v>8</v>
      </c>
      <c r="M329" t="s">
        <v>8</v>
      </c>
      <c r="N329" t="s">
        <v>8</v>
      </c>
      <c r="P329">
        <f t="shared" si="969"/>
        <v>0.99283450461623279</v>
      </c>
      <c r="Q329">
        <f t="shared" si="970"/>
        <v>851087.00467862084</v>
      </c>
      <c r="R329">
        <f t="shared" si="971"/>
        <v>79284166.934054762</v>
      </c>
      <c r="S329">
        <f t="shared" si="972"/>
        <v>792.84166934054758</v>
      </c>
      <c r="T329">
        <f t="shared" si="973"/>
        <v>0.79284166934054756</v>
      </c>
    </row>
    <row r="330" spans="1:20" x14ac:dyDescent="0.25">
      <c r="A330" s="5">
        <v>44263</v>
      </c>
      <c r="B330">
        <v>1726.46</v>
      </c>
      <c r="C330">
        <v>1843.59</v>
      </c>
      <c r="D330">
        <v>1664.96</v>
      </c>
      <c r="E330">
        <v>1833.18</v>
      </c>
      <c r="F330">
        <v>1149711.3998700001</v>
      </c>
      <c r="G330">
        <v>0</v>
      </c>
      <c r="L330" t="s">
        <v>8</v>
      </c>
      <c r="M330" t="s">
        <v>8</v>
      </c>
      <c r="N330" t="s">
        <v>7</v>
      </c>
      <c r="P330">
        <f t="shared" si="969"/>
        <v>0.88344622963668074</v>
      </c>
      <c r="Q330">
        <f t="shared" si="970"/>
        <v>1015708.2013854617</v>
      </c>
      <c r="R330">
        <f t="shared" si="971"/>
        <v>78433079.92937614</v>
      </c>
      <c r="S330">
        <f t="shared" si="972"/>
        <v>784.3307992937614</v>
      </c>
      <c r="T330">
        <f t="shared" si="973"/>
        <v>0.78433079929376137</v>
      </c>
    </row>
    <row r="331" spans="1:20" x14ac:dyDescent="0.25">
      <c r="A331" s="5">
        <v>44262</v>
      </c>
      <c r="B331">
        <v>1650.68</v>
      </c>
      <c r="C331">
        <v>1734.16</v>
      </c>
      <c r="D331">
        <v>1630.35</v>
      </c>
      <c r="E331">
        <v>1726.16</v>
      </c>
      <c r="F331">
        <v>848470.78136000002</v>
      </c>
      <c r="G331">
        <v>0</v>
      </c>
      <c r="L331" t="s">
        <v>8</v>
      </c>
      <c r="M331" t="s">
        <v>8</v>
      </c>
      <c r="N331" t="s">
        <v>7</v>
      </c>
      <c r="P331">
        <f t="shared" si="969"/>
        <v>0.84587226664097892</v>
      </c>
      <c r="Q331">
        <f t="shared" si="970"/>
        <v>717697.90300762572</v>
      </c>
      <c r="R331">
        <f t="shared" si="971"/>
        <v>77417371.727990672</v>
      </c>
      <c r="S331">
        <f t="shared" si="972"/>
        <v>774.17371727990667</v>
      </c>
      <c r="T331">
        <f t="shared" si="973"/>
        <v>0.77417371727990669</v>
      </c>
    </row>
    <row r="332" spans="1:20" x14ac:dyDescent="0.25">
      <c r="A332" s="5">
        <v>44261</v>
      </c>
      <c r="B332">
        <v>1528.08</v>
      </c>
      <c r="C332">
        <v>1671.58</v>
      </c>
      <c r="D332">
        <v>1513.03</v>
      </c>
      <c r="E332">
        <v>1650.35</v>
      </c>
      <c r="F332">
        <v>1013300.93928</v>
      </c>
      <c r="G332">
        <v>0</v>
      </c>
      <c r="L332" t="s">
        <v>8</v>
      </c>
      <c r="M332" t="s">
        <v>8</v>
      </c>
      <c r="N332" t="s">
        <v>7</v>
      </c>
      <c r="P332">
        <f t="shared" si="969"/>
        <v>0.73219804478082595</v>
      </c>
      <c r="Q332">
        <f t="shared" si="970"/>
        <v>741936.96651539044</v>
      </c>
      <c r="R332">
        <f t="shared" si="971"/>
        <v>76699673.824983045</v>
      </c>
      <c r="S332">
        <f t="shared" si="972"/>
        <v>766.9967382498304</v>
      </c>
      <c r="T332">
        <f t="shared" si="973"/>
        <v>0.76699673824983039</v>
      </c>
    </row>
    <row r="333" spans="1:20" x14ac:dyDescent="0.25">
      <c r="A333" s="5">
        <v>44260</v>
      </c>
      <c r="B333">
        <v>1539.22</v>
      </c>
      <c r="C333">
        <v>1548.96</v>
      </c>
      <c r="D333">
        <v>1441.66</v>
      </c>
      <c r="E333">
        <v>1528.31</v>
      </c>
      <c r="F333">
        <v>910786.28975999996</v>
      </c>
      <c r="G333">
        <v>0</v>
      </c>
      <c r="L333" t="s">
        <v>7</v>
      </c>
      <c r="M333" t="s">
        <v>8</v>
      </c>
      <c r="N333" t="s">
        <v>7</v>
      </c>
      <c r="P333">
        <f t="shared" si="969"/>
        <v>0.61509785647716497</v>
      </c>
      <c r="Q333">
        <f t="shared" si="970"/>
        <v>560222.69454016606</v>
      </c>
      <c r="R333">
        <f t="shared" si="971"/>
        <v>75957736.858467653</v>
      </c>
      <c r="S333">
        <f t="shared" si="972"/>
        <v>759.57736858467649</v>
      </c>
      <c r="T333">
        <f t="shared" si="973"/>
        <v>0.7595773685846765</v>
      </c>
    </row>
    <row r="334" spans="1:20" x14ac:dyDescent="0.25">
      <c r="A334" s="5">
        <v>44259</v>
      </c>
      <c r="B334">
        <v>1567.68</v>
      </c>
      <c r="C334">
        <v>1624.87</v>
      </c>
      <c r="D334">
        <v>1506.36</v>
      </c>
      <c r="E334">
        <v>1539.23</v>
      </c>
      <c r="F334">
        <v>946365.67087999999</v>
      </c>
      <c r="G334">
        <v>0</v>
      </c>
      <c r="L334" t="s">
        <v>7</v>
      </c>
      <c r="M334" t="s">
        <v>8</v>
      </c>
      <c r="N334" t="s">
        <v>7</v>
      </c>
      <c r="P334">
        <f t="shared" si="969"/>
        <v>-0.44527887941945621</v>
      </c>
      <c r="Q334">
        <f t="shared" si="970"/>
        <v>-421396.64545048831</v>
      </c>
      <c r="R334">
        <f t="shared" si="971"/>
        <v>75397514.163927481</v>
      </c>
      <c r="S334">
        <f t="shared" si="972"/>
        <v>753.97514163927485</v>
      </c>
      <c r="T334">
        <f t="shared" si="973"/>
        <v>0.75397514163927482</v>
      </c>
    </row>
    <row r="335" spans="1:20" x14ac:dyDescent="0.25">
      <c r="A335" s="5">
        <v>44258</v>
      </c>
      <c r="B335">
        <v>1486.79</v>
      </c>
      <c r="C335">
        <v>1656.94</v>
      </c>
      <c r="D335">
        <v>1475.47</v>
      </c>
      <c r="E335">
        <v>1567.69</v>
      </c>
      <c r="F335">
        <v>1054846.3147100001</v>
      </c>
      <c r="G335">
        <v>0</v>
      </c>
      <c r="L335" t="s">
        <v>8</v>
      </c>
      <c r="M335" t="s">
        <v>8</v>
      </c>
      <c r="N335" t="s">
        <v>7</v>
      </c>
      <c r="P335">
        <f t="shared" si="969"/>
        <v>1.6366341544057018E-2</v>
      </c>
      <c r="Q335">
        <f t="shared" si="970"/>
        <v>17263.975063033718</v>
      </c>
      <c r="R335">
        <f t="shared" si="971"/>
        <v>75818910.809377968</v>
      </c>
      <c r="S335">
        <f t="shared" si="972"/>
        <v>758.18910809377974</v>
      </c>
      <c r="T335">
        <f t="shared" si="973"/>
        <v>0.75818910809377971</v>
      </c>
    </row>
    <row r="336" spans="1:20" x14ac:dyDescent="0.25">
      <c r="A336" s="5">
        <v>44257</v>
      </c>
      <c r="B336">
        <v>1570</v>
      </c>
      <c r="C336">
        <v>1602.9</v>
      </c>
      <c r="D336">
        <v>1455.52</v>
      </c>
      <c r="E336">
        <v>1486.78</v>
      </c>
      <c r="F336">
        <v>1061142.3874299999</v>
      </c>
      <c r="G336">
        <v>0</v>
      </c>
      <c r="L336" t="s">
        <v>8</v>
      </c>
      <c r="M336" t="s">
        <v>8</v>
      </c>
      <c r="N336" t="s">
        <v>7</v>
      </c>
      <c r="P336">
        <f t="shared" si="969"/>
        <v>-0.57579047360564573</v>
      </c>
      <c r="Q336">
        <f t="shared" si="970"/>
        <v>-610995.67782134528</v>
      </c>
      <c r="R336">
        <f t="shared" si="971"/>
        <v>75801646.834314927</v>
      </c>
      <c r="S336">
        <f t="shared" si="972"/>
        <v>758.01646834314931</v>
      </c>
      <c r="T336">
        <f t="shared" si="973"/>
        <v>0.75801646834314929</v>
      </c>
    </row>
    <row r="337" spans="1:20" x14ac:dyDescent="0.25">
      <c r="A337" s="5">
        <v>44256</v>
      </c>
      <c r="B337">
        <v>1418.67</v>
      </c>
      <c r="C337">
        <v>1572</v>
      </c>
      <c r="D337">
        <v>1409.91</v>
      </c>
      <c r="E337">
        <v>1569.86</v>
      </c>
      <c r="F337">
        <v>1094695.17839</v>
      </c>
      <c r="G337">
        <v>0</v>
      </c>
      <c r="L337" t="s">
        <v>8</v>
      </c>
      <c r="M337" t="s">
        <v>8</v>
      </c>
      <c r="N337" t="s">
        <v>7</v>
      </c>
      <c r="P337">
        <f t="shared" si="969"/>
        <v>0.97359491640446538</v>
      </c>
      <c r="Q337">
        <f t="shared" si="970"/>
        <v>1065789.6606929833</v>
      </c>
      <c r="R337">
        <f t="shared" si="971"/>
        <v>76412642.512136266</v>
      </c>
      <c r="S337">
        <f t="shared" si="972"/>
        <v>764.12642512136267</v>
      </c>
      <c r="T337">
        <f t="shared" si="973"/>
        <v>0.76412642512136264</v>
      </c>
    </row>
    <row r="338" spans="1:20" x14ac:dyDescent="0.25">
      <c r="A338" s="5">
        <v>44255</v>
      </c>
      <c r="B338">
        <v>1458.27</v>
      </c>
      <c r="C338">
        <v>1468.75</v>
      </c>
      <c r="D338">
        <v>1293.18</v>
      </c>
      <c r="E338">
        <v>1419.18</v>
      </c>
      <c r="F338">
        <v>1410207.56284</v>
      </c>
      <c r="G338">
        <v>0</v>
      </c>
      <c r="L338" t="s">
        <v>7</v>
      </c>
      <c r="M338" t="s">
        <v>7</v>
      </c>
      <c r="N338" t="s">
        <v>7</v>
      </c>
      <c r="P338">
        <f t="shared" si="969"/>
        <v>0.43532494161872809</v>
      </c>
      <c r="Q338">
        <f t="shared" si="970"/>
        <v>613898.52496361185</v>
      </c>
      <c r="R338">
        <f t="shared" si="971"/>
        <v>75346852.851443276</v>
      </c>
      <c r="S338">
        <f t="shared" si="972"/>
        <v>753.46852851443271</v>
      </c>
      <c r="T338">
        <f t="shared" si="973"/>
        <v>0.75346852851443269</v>
      </c>
    </row>
    <row r="339" spans="1:20" x14ac:dyDescent="0.25">
      <c r="A339" s="5">
        <v>44254</v>
      </c>
      <c r="B339">
        <v>1444.56</v>
      </c>
      <c r="C339">
        <v>1529</v>
      </c>
      <c r="D339">
        <v>1425</v>
      </c>
      <c r="E339">
        <v>1458.13</v>
      </c>
      <c r="F339">
        <v>927423.04749999999</v>
      </c>
      <c r="G339">
        <v>0</v>
      </c>
      <c r="L339" t="s">
        <v>8</v>
      </c>
      <c r="M339" t="s">
        <v>7</v>
      </c>
      <c r="N339" t="s">
        <v>7</v>
      </c>
      <c r="P339">
        <f t="shared" si="969"/>
        <v>-0.36288461538461331</v>
      </c>
      <c r="Q339">
        <f t="shared" si="970"/>
        <v>-336547.55589086347</v>
      </c>
      <c r="R339">
        <f t="shared" si="971"/>
        <v>74732954.326479658</v>
      </c>
      <c r="S339">
        <f t="shared" si="972"/>
        <v>747.3295432647966</v>
      </c>
      <c r="T339">
        <f t="shared" si="973"/>
        <v>0.74732954326479661</v>
      </c>
    </row>
    <row r="340" spans="1:20" x14ac:dyDescent="0.25">
      <c r="A340" s="5">
        <v>44253</v>
      </c>
      <c r="B340">
        <v>1482.08</v>
      </c>
      <c r="C340">
        <v>1562.25</v>
      </c>
      <c r="D340">
        <v>1400</v>
      </c>
      <c r="E340">
        <v>1444.59</v>
      </c>
      <c r="F340">
        <v>1355973.2937799999</v>
      </c>
      <c r="G340">
        <v>0</v>
      </c>
      <c r="L340" t="s">
        <v>7</v>
      </c>
      <c r="M340" t="s">
        <v>7</v>
      </c>
      <c r="N340" t="s">
        <v>7</v>
      </c>
      <c r="P340">
        <f t="shared" si="969"/>
        <v>-0.45035439137134153</v>
      </c>
      <c r="Q340">
        <f t="shared" si="970"/>
        <v>-610668.52743608516</v>
      </c>
      <c r="R340">
        <f t="shared" si="971"/>
        <v>75069501.882370517</v>
      </c>
      <c r="S340">
        <f t="shared" si="972"/>
        <v>750.69501882370514</v>
      </c>
      <c r="T340">
        <f t="shared" si="973"/>
        <v>0.75069501882370515</v>
      </c>
    </row>
    <row r="341" spans="1:20" x14ac:dyDescent="0.25">
      <c r="A341" s="5">
        <v>44252</v>
      </c>
      <c r="B341">
        <v>1623.16</v>
      </c>
      <c r="C341">
        <v>1671.59</v>
      </c>
      <c r="D341">
        <v>1459.16</v>
      </c>
      <c r="E341">
        <v>1481.75</v>
      </c>
      <c r="F341">
        <v>1032670.79409</v>
      </c>
      <c r="G341">
        <v>0</v>
      </c>
      <c r="L341" t="s">
        <v>7</v>
      </c>
      <c r="M341" t="s">
        <v>8</v>
      </c>
      <c r="N341" t="s">
        <v>7</v>
      </c>
      <c r="P341">
        <f t="shared" si="969"/>
        <v>-0.78731817539895554</v>
      </c>
      <c r="Q341">
        <f t="shared" si="970"/>
        <v>-813040.48539072927</v>
      </c>
      <c r="R341">
        <f t="shared" si="971"/>
        <v>75680170.409806609</v>
      </c>
      <c r="S341">
        <f t="shared" si="972"/>
        <v>756.80170409806612</v>
      </c>
      <c r="T341">
        <f t="shared" si="973"/>
        <v>0.75680170409806613</v>
      </c>
    </row>
    <row r="342" spans="1:20" x14ac:dyDescent="0.25">
      <c r="A342" s="5">
        <v>44251</v>
      </c>
      <c r="B342">
        <v>1577.79</v>
      </c>
      <c r="C342">
        <v>1712.7</v>
      </c>
      <c r="D342">
        <v>1500.2</v>
      </c>
      <c r="E342">
        <v>1623.39</v>
      </c>
      <c r="F342">
        <v>1384388.81727</v>
      </c>
      <c r="G342">
        <v>0</v>
      </c>
      <c r="L342" t="s">
        <v>8</v>
      </c>
      <c r="M342" t="s">
        <v>8</v>
      </c>
      <c r="N342" t="s">
        <v>7</v>
      </c>
      <c r="P342">
        <f t="shared" si="969"/>
        <v>0.15943529411764756</v>
      </c>
      <c r="Q342">
        <f t="shared" si="970"/>
        <v>220720.43825462469</v>
      </c>
      <c r="R342">
        <f t="shared" si="971"/>
        <v>76493210.895197332</v>
      </c>
      <c r="S342">
        <f t="shared" si="972"/>
        <v>764.93210895197331</v>
      </c>
      <c r="T342">
        <f t="shared" si="973"/>
        <v>0.76493210895197328</v>
      </c>
    </row>
    <row r="343" spans="1:20" x14ac:dyDescent="0.25">
      <c r="A343" s="5">
        <v>44250</v>
      </c>
      <c r="B343">
        <v>1777.42</v>
      </c>
      <c r="C343">
        <v>1782.39</v>
      </c>
      <c r="D343">
        <v>1355</v>
      </c>
      <c r="E343">
        <v>1577.89</v>
      </c>
      <c r="F343">
        <v>2547837.8206799999</v>
      </c>
      <c r="G343">
        <v>0</v>
      </c>
      <c r="L343" t="s">
        <v>7</v>
      </c>
      <c r="M343" t="s">
        <v>7</v>
      </c>
      <c r="N343" t="s">
        <v>7</v>
      </c>
      <c r="P343">
        <f t="shared" si="969"/>
        <v>4.3028615550200273E-2</v>
      </c>
      <c r="Q343">
        <f t="shared" si="970"/>
        <v>109629.93407029982</v>
      </c>
      <c r="R343">
        <f t="shared" si="971"/>
        <v>76272490.456942707</v>
      </c>
      <c r="S343">
        <f t="shared" si="972"/>
        <v>762.72490456942705</v>
      </c>
      <c r="T343">
        <f t="shared" si="973"/>
        <v>0.7627249045694271</v>
      </c>
    </row>
    <row r="344" spans="1:20" x14ac:dyDescent="0.25">
      <c r="A344" s="5">
        <v>44249</v>
      </c>
      <c r="B344">
        <v>1933.54</v>
      </c>
      <c r="C344">
        <v>1936.29</v>
      </c>
      <c r="D344">
        <v>1551</v>
      </c>
      <c r="E344">
        <v>1777.58</v>
      </c>
      <c r="F344">
        <v>1807244.9809900001</v>
      </c>
      <c r="G344">
        <v>0</v>
      </c>
      <c r="L344" t="s">
        <v>7</v>
      </c>
      <c r="M344" t="s">
        <v>7</v>
      </c>
      <c r="N344" t="s">
        <v>8</v>
      </c>
      <c r="P344">
        <f t="shared" si="969"/>
        <v>0.17615302758960757</v>
      </c>
      <c r="Q344">
        <f t="shared" si="970"/>
        <v>318351.67499751132</v>
      </c>
      <c r="R344">
        <f t="shared" si="971"/>
        <v>76162860.522872403</v>
      </c>
      <c r="S344">
        <f t="shared" si="972"/>
        <v>761.62860522872404</v>
      </c>
      <c r="T344">
        <f t="shared" si="973"/>
        <v>0.761628605228724</v>
      </c>
    </row>
    <row r="345" spans="1:20" x14ac:dyDescent="0.25">
      <c r="A345" s="5">
        <v>44248</v>
      </c>
      <c r="B345">
        <v>1912.9</v>
      </c>
      <c r="C345">
        <v>1976.31</v>
      </c>
      <c r="D345">
        <v>1883.01</v>
      </c>
      <c r="E345">
        <v>1933.53</v>
      </c>
      <c r="F345">
        <v>756568.19742999994</v>
      </c>
      <c r="G345">
        <v>0</v>
      </c>
      <c r="L345" t="s">
        <v>7</v>
      </c>
      <c r="M345" t="s">
        <v>8</v>
      </c>
      <c r="N345" t="s">
        <v>8</v>
      </c>
      <c r="P345">
        <f t="shared" si="969"/>
        <v>8.2958199356913315E-2</v>
      </c>
      <c r="Q345">
        <f t="shared" si="970"/>
        <v>62763.535349498488</v>
      </c>
      <c r="R345">
        <f t="shared" si="971"/>
        <v>75844508.847874895</v>
      </c>
      <c r="S345">
        <f t="shared" si="972"/>
        <v>758.44508847874897</v>
      </c>
      <c r="T345">
        <f t="shared" si="973"/>
        <v>0.75844508847874892</v>
      </c>
    </row>
    <row r="346" spans="1:20" x14ac:dyDescent="0.25">
      <c r="A346" s="5">
        <v>44247</v>
      </c>
      <c r="B346">
        <v>1955.46</v>
      </c>
      <c r="C346">
        <v>2042.34</v>
      </c>
      <c r="D346">
        <v>1803.14</v>
      </c>
      <c r="E346">
        <v>1913</v>
      </c>
      <c r="F346">
        <v>1261315.8127900001</v>
      </c>
      <c r="G346">
        <v>0</v>
      </c>
      <c r="L346" t="s">
        <v>8</v>
      </c>
      <c r="M346" t="s">
        <v>8</v>
      </c>
      <c r="N346" t="s">
        <v>8</v>
      </c>
      <c r="P346">
        <f t="shared" si="969"/>
        <v>-8.1438127090301141E-2</v>
      </c>
      <c r="Q346">
        <f t="shared" si="970"/>
        <v>-102719.19746299851</v>
      </c>
      <c r="R346">
        <f t="shared" si="971"/>
        <v>75781745.312525392</v>
      </c>
      <c r="S346">
        <f t="shared" si="972"/>
        <v>757.81745312525391</v>
      </c>
      <c r="T346">
        <f t="shared" si="973"/>
        <v>0.75781745312525395</v>
      </c>
    </row>
    <row r="347" spans="1:20" x14ac:dyDescent="0.25">
      <c r="A347" s="5">
        <v>44246</v>
      </c>
      <c r="B347">
        <v>1938.91</v>
      </c>
      <c r="C347">
        <v>1972.82</v>
      </c>
      <c r="D347">
        <v>1891</v>
      </c>
      <c r="E347">
        <v>1955</v>
      </c>
      <c r="F347">
        <v>793404.41150000005</v>
      </c>
      <c r="G347">
        <v>0</v>
      </c>
      <c r="L347" t="s">
        <v>8</v>
      </c>
      <c r="M347" t="s">
        <v>8</v>
      </c>
      <c r="N347" t="s">
        <v>8</v>
      </c>
      <c r="P347">
        <f t="shared" si="969"/>
        <v>0.56440967978489487</v>
      </c>
      <c r="Q347">
        <f t="shared" si="970"/>
        <v>447805.12983463798</v>
      </c>
      <c r="R347">
        <f t="shared" si="971"/>
        <v>75884464.509988397</v>
      </c>
      <c r="S347">
        <f t="shared" si="972"/>
        <v>758.84464509988402</v>
      </c>
      <c r="T347">
        <f t="shared" si="973"/>
        <v>0.75884464509988403</v>
      </c>
    </row>
    <row r="348" spans="1:20" x14ac:dyDescent="0.25">
      <c r="A348" s="5">
        <v>44245</v>
      </c>
      <c r="B348">
        <v>1849.7</v>
      </c>
      <c r="C348">
        <v>1950.5</v>
      </c>
      <c r="D348">
        <v>1849.69</v>
      </c>
      <c r="E348">
        <v>1939.61</v>
      </c>
      <c r="F348">
        <v>937227.10190999997</v>
      </c>
      <c r="G348">
        <v>0</v>
      </c>
      <c r="L348" t="s">
        <v>8</v>
      </c>
      <c r="M348" t="s">
        <v>8</v>
      </c>
      <c r="N348" t="s">
        <v>8</v>
      </c>
      <c r="P348">
        <f t="shared" si="969"/>
        <v>0.78395000495982337</v>
      </c>
      <c r="Q348">
        <f t="shared" si="970"/>
        <v>734739.19119082531</v>
      </c>
      <c r="R348">
        <f t="shared" si="971"/>
        <v>75436659.38015376</v>
      </c>
      <c r="S348">
        <f t="shared" si="972"/>
        <v>754.36659380153765</v>
      </c>
      <c r="T348">
        <f t="shared" si="973"/>
        <v>0.7543665938015377</v>
      </c>
    </row>
    <row r="349" spans="1:20" x14ac:dyDescent="0.25">
      <c r="A349" s="5">
        <v>44244</v>
      </c>
      <c r="B349">
        <v>1781.99</v>
      </c>
      <c r="C349">
        <v>1855</v>
      </c>
      <c r="D349">
        <v>1733.01</v>
      </c>
      <c r="E349">
        <v>1849.88</v>
      </c>
      <c r="F349">
        <v>795711.63311000005</v>
      </c>
      <c r="G349">
        <v>0</v>
      </c>
      <c r="L349" t="s">
        <v>8</v>
      </c>
      <c r="M349" t="s">
        <v>8</v>
      </c>
      <c r="N349" t="s">
        <v>8</v>
      </c>
      <c r="P349">
        <f t="shared" si="969"/>
        <v>0.91605869333552115</v>
      </c>
      <c r="Q349">
        <f t="shared" si="970"/>
        <v>728918.55889862031</v>
      </c>
      <c r="R349">
        <f t="shared" si="971"/>
        <v>74701920.188962936</v>
      </c>
      <c r="S349">
        <f t="shared" si="972"/>
        <v>747.01920188962936</v>
      </c>
      <c r="T349">
        <f t="shared" si="973"/>
        <v>0.74701920188962934</v>
      </c>
    </row>
    <row r="350" spans="1:20" x14ac:dyDescent="0.25">
      <c r="A350" s="5">
        <v>44243</v>
      </c>
      <c r="B350">
        <v>1779.33</v>
      </c>
      <c r="C350">
        <v>1827.28</v>
      </c>
      <c r="D350">
        <v>1724</v>
      </c>
      <c r="E350">
        <v>1781.99</v>
      </c>
      <c r="F350">
        <v>817493.47513000004</v>
      </c>
      <c r="G350">
        <v>0</v>
      </c>
      <c r="L350" t="s">
        <v>8</v>
      </c>
      <c r="M350" t="s">
        <v>8</v>
      </c>
      <c r="N350" t="s">
        <v>8</v>
      </c>
      <c r="P350">
        <f t="shared" si="969"/>
        <v>0.12296669248644509</v>
      </c>
      <c r="Q350">
        <f t="shared" si="970"/>
        <v>100524.46876598606</v>
      </c>
      <c r="R350">
        <f t="shared" si="971"/>
        <v>73973001.630064324</v>
      </c>
      <c r="S350">
        <f t="shared" si="972"/>
        <v>739.73001630064323</v>
      </c>
      <c r="T350">
        <f t="shared" si="973"/>
        <v>0.73973001630064328</v>
      </c>
    </row>
    <row r="351" spans="1:20" x14ac:dyDescent="0.25">
      <c r="A351" s="5">
        <v>44242</v>
      </c>
      <c r="B351">
        <v>1800.03</v>
      </c>
      <c r="C351">
        <v>1835.72</v>
      </c>
      <c r="D351">
        <v>1655.67</v>
      </c>
      <c r="E351">
        <v>1779.25</v>
      </c>
      <c r="F351">
        <v>1053474.5787899999</v>
      </c>
      <c r="G351">
        <v>0</v>
      </c>
      <c r="L351" t="s">
        <v>7</v>
      </c>
      <c r="M351" t="s">
        <v>8</v>
      </c>
      <c r="N351" t="s">
        <v>8</v>
      </c>
      <c r="P351">
        <f t="shared" si="969"/>
        <v>0.37272979727853328</v>
      </c>
      <c r="Q351">
        <f t="shared" si="970"/>
        <v>392661.3661904849</v>
      </c>
      <c r="R351">
        <f t="shared" si="971"/>
        <v>73872477.161298335</v>
      </c>
      <c r="S351">
        <f t="shared" si="972"/>
        <v>738.72477161298332</v>
      </c>
      <c r="T351">
        <f t="shared" si="973"/>
        <v>0.73872477161298333</v>
      </c>
    </row>
    <row r="352" spans="1:20" x14ac:dyDescent="0.25">
      <c r="A352" s="5">
        <v>44241</v>
      </c>
      <c r="B352">
        <v>1815.25</v>
      </c>
      <c r="C352">
        <v>1850</v>
      </c>
      <c r="D352">
        <v>1784.11</v>
      </c>
      <c r="E352">
        <v>1800.42</v>
      </c>
      <c r="F352">
        <v>675261.77873000002</v>
      </c>
      <c r="G352">
        <v>0</v>
      </c>
      <c r="L352" t="s">
        <v>8</v>
      </c>
      <c r="M352" t="s">
        <v>8</v>
      </c>
      <c r="N352" t="s">
        <v>8</v>
      </c>
      <c r="P352">
        <f t="shared" si="969"/>
        <v>-0.50493246319623164</v>
      </c>
      <c r="Q352">
        <f t="shared" si="970"/>
        <v>-340961.59323640767</v>
      </c>
      <c r="R352">
        <f t="shared" si="971"/>
        <v>73479815.795107856</v>
      </c>
      <c r="S352">
        <f t="shared" si="972"/>
        <v>734.79815795107857</v>
      </c>
      <c r="T352">
        <f t="shared" si="973"/>
        <v>0.73479815795107861</v>
      </c>
    </row>
    <row r="353" spans="1:20" x14ac:dyDescent="0.25">
      <c r="A353" s="5">
        <v>44240</v>
      </c>
      <c r="B353">
        <v>1840.24</v>
      </c>
      <c r="C353">
        <v>1871.72</v>
      </c>
      <c r="D353">
        <v>1765</v>
      </c>
      <c r="E353">
        <v>1814.96</v>
      </c>
      <c r="F353">
        <v>767589.07285</v>
      </c>
      <c r="G353">
        <v>0</v>
      </c>
      <c r="L353" t="s">
        <v>8</v>
      </c>
      <c r="M353" t="s">
        <v>8</v>
      </c>
      <c r="N353" t="s">
        <v>8</v>
      </c>
      <c r="P353">
        <f t="shared" si="969"/>
        <v>-6.3718140929534789E-2</v>
      </c>
      <c r="Q353">
        <f t="shared" si="970"/>
        <v>-48909.348719827249</v>
      </c>
      <c r="R353">
        <f t="shared" si="971"/>
        <v>73820777.388344258</v>
      </c>
      <c r="S353">
        <f t="shared" si="972"/>
        <v>738.20777388344254</v>
      </c>
      <c r="T353">
        <f t="shared" si="973"/>
        <v>0.7382077738834425</v>
      </c>
    </row>
    <row r="354" spans="1:20" x14ac:dyDescent="0.25">
      <c r="A354" s="5">
        <v>44239</v>
      </c>
      <c r="B354">
        <v>1785.83</v>
      </c>
      <c r="C354">
        <v>1864.88</v>
      </c>
      <c r="D354">
        <v>1739.88</v>
      </c>
      <c r="E354">
        <v>1840.26</v>
      </c>
      <c r="F354">
        <v>909600.20652999997</v>
      </c>
      <c r="G354">
        <v>0</v>
      </c>
      <c r="L354" t="s">
        <v>8</v>
      </c>
      <c r="M354" t="s">
        <v>8</v>
      </c>
      <c r="N354" t="s">
        <v>8</v>
      </c>
      <c r="P354">
        <f t="shared" si="969"/>
        <v>0.60607999999999806</v>
      </c>
      <c r="Q354">
        <f t="shared" si="970"/>
        <v>551290.49317370064</v>
      </c>
      <c r="R354">
        <f t="shared" si="971"/>
        <v>73869686.737064078</v>
      </c>
      <c r="S354">
        <f t="shared" si="972"/>
        <v>738.6968673706408</v>
      </c>
      <c r="T354">
        <f t="shared" si="973"/>
        <v>0.73869686737064078</v>
      </c>
    </row>
    <row r="355" spans="1:20" x14ac:dyDescent="0.25">
      <c r="A355" s="5">
        <v>44238</v>
      </c>
      <c r="B355">
        <v>1740.76</v>
      </c>
      <c r="C355">
        <v>1819</v>
      </c>
      <c r="D355">
        <v>1703.44</v>
      </c>
      <c r="E355">
        <v>1785.62</v>
      </c>
      <c r="F355">
        <v>735079.82698999997</v>
      </c>
      <c r="G355">
        <v>0</v>
      </c>
      <c r="L355" t="s">
        <v>8</v>
      </c>
      <c r="M355" t="s">
        <v>8</v>
      </c>
      <c r="N355" t="s">
        <v>8</v>
      </c>
      <c r="P355">
        <f t="shared" si="969"/>
        <v>0.42229145032883136</v>
      </c>
      <c r="Q355">
        <f t="shared" si="970"/>
        <v>310417.92624707351</v>
      </c>
      <c r="R355">
        <f t="shared" si="971"/>
        <v>73318396.243890375</v>
      </c>
      <c r="S355">
        <f t="shared" si="972"/>
        <v>733.18396243890379</v>
      </c>
      <c r="T355">
        <f t="shared" si="973"/>
        <v>0.73318396243890382</v>
      </c>
    </row>
    <row r="356" spans="1:20" x14ac:dyDescent="0.25">
      <c r="A356" s="5">
        <v>44237</v>
      </c>
      <c r="B356">
        <v>1769.14</v>
      </c>
      <c r="C356">
        <v>1837.86</v>
      </c>
      <c r="D356">
        <v>1680</v>
      </c>
      <c r="E356">
        <v>1740.78</v>
      </c>
      <c r="F356">
        <v>1219932.25474</v>
      </c>
      <c r="G356">
        <v>0</v>
      </c>
      <c r="L356" t="s">
        <v>7</v>
      </c>
      <c r="M356" t="s">
        <v>8</v>
      </c>
      <c r="N356" t="s">
        <v>8</v>
      </c>
      <c r="P356">
        <f t="shared" si="969"/>
        <v>-0.22995058912960836</v>
      </c>
      <c r="Q356">
        <f t="shared" si="970"/>
        <v>-280524.14067567448</v>
      </c>
      <c r="R356">
        <f t="shared" si="971"/>
        <v>73007978.3176433</v>
      </c>
      <c r="S356">
        <f t="shared" si="972"/>
        <v>730.07978317643301</v>
      </c>
      <c r="T356">
        <f t="shared" si="973"/>
        <v>0.73007978317643296</v>
      </c>
    </row>
    <row r="357" spans="1:20" x14ac:dyDescent="0.25">
      <c r="A357" s="5">
        <v>44236</v>
      </c>
      <c r="B357">
        <v>1749.68</v>
      </c>
      <c r="C357">
        <v>1821.88</v>
      </c>
      <c r="D357">
        <v>1708.49</v>
      </c>
      <c r="E357">
        <v>1769.13</v>
      </c>
      <c r="F357">
        <v>1185071.8959300001</v>
      </c>
      <c r="G357">
        <v>0</v>
      </c>
      <c r="L357" t="s">
        <v>8</v>
      </c>
      <c r="M357" t="s">
        <v>8</v>
      </c>
      <c r="N357" t="s">
        <v>8</v>
      </c>
      <c r="P357">
        <f t="shared" si="969"/>
        <v>6.9582855631008841E-2</v>
      </c>
      <c r="Q357">
        <f t="shared" si="970"/>
        <v>82460.686646863134</v>
      </c>
      <c r="R357">
        <f t="shared" si="971"/>
        <v>73288502.458318979</v>
      </c>
      <c r="S357">
        <f t="shared" si="972"/>
        <v>732.88502458318976</v>
      </c>
      <c r="T357">
        <f t="shared" si="973"/>
        <v>0.73288502458318971</v>
      </c>
    </row>
    <row r="358" spans="1:20" x14ac:dyDescent="0.25">
      <c r="A358" s="5">
        <v>44235</v>
      </c>
      <c r="B358">
        <v>1611.46</v>
      </c>
      <c r="C358">
        <v>1775.57</v>
      </c>
      <c r="D358">
        <v>1563.89</v>
      </c>
      <c r="E358">
        <v>1750.15</v>
      </c>
      <c r="F358">
        <v>1339777.0953599999</v>
      </c>
      <c r="G358">
        <v>0</v>
      </c>
      <c r="L358" t="s">
        <v>8</v>
      </c>
      <c r="M358" t="s">
        <v>8</v>
      </c>
      <c r="N358" t="s">
        <v>8</v>
      </c>
      <c r="P358">
        <f t="shared" si="969"/>
        <v>0.75982615268329678</v>
      </c>
      <c r="Q358">
        <f t="shared" si="970"/>
        <v>1017997.6758205912</v>
      </c>
      <c r="R358">
        <f t="shared" si="971"/>
        <v>73206041.771672115</v>
      </c>
      <c r="S358">
        <f t="shared" si="972"/>
        <v>732.06041771672119</v>
      </c>
      <c r="T358">
        <f t="shared" si="973"/>
        <v>0.73206041771672115</v>
      </c>
    </row>
    <row r="359" spans="1:20" x14ac:dyDescent="0.25">
      <c r="A359" s="5">
        <v>44234</v>
      </c>
      <c r="B359">
        <v>1676.35</v>
      </c>
      <c r="C359">
        <v>1693</v>
      </c>
      <c r="D359">
        <v>1490.46</v>
      </c>
      <c r="E359">
        <v>1611.62</v>
      </c>
      <c r="F359">
        <v>1281734.8681399999</v>
      </c>
      <c r="G359">
        <v>0</v>
      </c>
      <c r="L359" t="s">
        <v>7</v>
      </c>
      <c r="M359" t="s">
        <v>7</v>
      </c>
      <c r="N359" t="s">
        <v>8</v>
      </c>
      <c r="P359">
        <f t="shared" si="969"/>
        <v>0.19640564826700777</v>
      </c>
      <c r="Q359">
        <f t="shared" si="970"/>
        <v>251739.96768346441</v>
      </c>
      <c r="R359">
        <f t="shared" si="971"/>
        <v>72188044.095851526</v>
      </c>
      <c r="S359">
        <f t="shared" si="972"/>
        <v>721.88044095851524</v>
      </c>
      <c r="T359">
        <f t="shared" si="973"/>
        <v>0.72188044095851522</v>
      </c>
    </row>
    <row r="360" spans="1:20" x14ac:dyDescent="0.25">
      <c r="A360" s="5">
        <v>44233</v>
      </c>
      <c r="B360">
        <v>1718.95</v>
      </c>
      <c r="C360">
        <v>1743.67</v>
      </c>
      <c r="D360">
        <v>1642.94</v>
      </c>
      <c r="E360">
        <v>1676.35</v>
      </c>
      <c r="F360">
        <v>1149808.3310100001</v>
      </c>
      <c r="G360">
        <v>0</v>
      </c>
      <c r="L360" t="s">
        <v>7</v>
      </c>
      <c r="M360" t="s">
        <v>8</v>
      </c>
      <c r="N360" t="s">
        <v>8</v>
      </c>
      <c r="P360">
        <f t="shared" si="969"/>
        <v>-0.33664250967934384</v>
      </c>
      <c r="Q360">
        <f t="shared" si="970"/>
        <v>-387074.36220142414</v>
      </c>
      <c r="R360">
        <f t="shared" si="971"/>
        <v>71936304.128168061</v>
      </c>
      <c r="S360">
        <f t="shared" si="972"/>
        <v>719.36304128168058</v>
      </c>
      <c r="T360">
        <f t="shared" si="973"/>
        <v>0.7193630412816806</v>
      </c>
    </row>
    <row r="361" spans="1:20" x14ac:dyDescent="0.25">
      <c r="A361" s="5">
        <v>44232</v>
      </c>
      <c r="B361">
        <v>1595.53</v>
      </c>
      <c r="C361">
        <v>1760.49</v>
      </c>
      <c r="D361">
        <v>1591</v>
      </c>
      <c r="E361">
        <v>1719.19</v>
      </c>
      <c r="F361">
        <v>1194123.2994599999</v>
      </c>
      <c r="G361">
        <v>0</v>
      </c>
      <c r="L361" t="s">
        <v>8</v>
      </c>
      <c r="M361" t="s">
        <v>8</v>
      </c>
      <c r="N361" t="s">
        <v>8</v>
      </c>
      <c r="P361">
        <f t="shared" si="969"/>
        <v>0.51265561390052572</v>
      </c>
      <c r="Q361">
        <f t="shared" si="970"/>
        <v>612174.01315758761</v>
      </c>
      <c r="R361">
        <f t="shared" si="971"/>
        <v>72323378.490369484</v>
      </c>
      <c r="S361">
        <f t="shared" si="972"/>
        <v>723.23378490369487</v>
      </c>
      <c r="T361">
        <f t="shared" si="973"/>
        <v>0.72323378490369483</v>
      </c>
    </row>
    <row r="362" spans="1:20" x14ac:dyDescent="0.25">
      <c r="A362" s="5">
        <v>44231</v>
      </c>
      <c r="B362">
        <v>1664.67</v>
      </c>
      <c r="C362">
        <v>1695.2</v>
      </c>
      <c r="D362">
        <v>1554.44</v>
      </c>
      <c r="E362">
        <v>1595.67</v>
      </c>
      <c r="F362">
        <v>1646502.32962</v>
      </c>
      <c r="G362">
        <v>0</v>
      </c>
      <c r="L362" t="s">
        <v>8</v>
      </c>
      <c r="M362" t="s">
        <v>8</v>
      </c>
      <c r="N362" t="s">
        <v>8</v>
      </c>
      <c r="P362">
        <f t="shared" si="969"/>
        <v>-0.41418016481955072</v>
      </c>
      <c r="Q362">
        <f t="shared" si="970"/>
        <v>-681948.60625778581</v>
      </c>
      <c r="R362">
        <f t="shared" si="971"/>
        <v>71711204.477211893</v>
      </c>
      <c r="S362">
        <f t="shared" si="972"/>
        <v>717.11204477211891</v>
      </c>
      <c r="T362">
        <f t="shared" si="973"/>
        <v>0.71711204477211887</v>
      </c>
    </row>
    <row r="363" spans="1:20" x14ac:dyDescent="0.25">
      <c r="A363" s="5">
        <v>44230</v>
      </c>
      <c r="B363">
        <v>1511.93</v>
      </c>
      <c r="C363">
        <v>1669.35</v>
      </c>
      <c r="D363">
        <v>1508.39</v>
      </c>
      <c r="E363">
        <v>1664.49</v>
      </c>
      <c r="F363">
        <v>1535869.8880100001</v>
      </c>
      <c r="G363">
        <v>0</v>
      </c>
      <c r="L363" t="s">
        <v>8</v>
      </c>
      <c r="M363" t="s">
        <v>8</v>
      </c>
      <c r="N363" t="s">
        <v>8</v>
      </c>
      <c r="P363">
        <f t="shared" si="969"/>
        <v>0.93961232604373879</v>
      </c>
      <c r="Q363">
        <f t="shared" si="970"/>
        <v>1443122.2779736128</v>
      </c>
      <c r="R363">
        <f t="shared" si="971"/>
        <v>72393153.083469674</v>
      </c>
      <c r="S363">
        <f t="shared" si="972"/>
        <v>723.93153083469679</v>
      </c>
      <c r="T363">
        <f t="shared" si="973"/>
        <v>0.72393153083469675</v>
      </c>
    </row>
    <row r="364" spans="1:20" x14ac:dyDescent="0.25">
      <c r="A364" s="5">
        <v>44229</v>
      </c>
      <c r="B364">
        <v>1374.09</v>
      </c>
      <c r="C364">
        <v>1547.9</v>
      </c>
      <c r="D364">
        <v>1360.28</v>
      </c>
      <c r="E364">
        <v>1511.87</v>
      </c>
      <c r="F364">
        <v>1944227.99878</v>
      </c>
      <c r="G364">
        <v>0</v>
      </c>
      <c r="L364" t="s">
        <v>8</v>
      </c>
      <c r="M364" t="s">
        <v>8</v>
      </c>
      <c r="N364" t="s">
        <v>8</v>
      </c>
      <c r="P364">
        <f t="shared" si="969"/>
        <v>0.61592580748320891</v>
      </c>
      <c r="Q364">
        <f t="shared" si="970"/>
        <v>1197500.2000800348</v>
      </c>
      <c r="R364">
        <f t="shared" si="971"/>
        <v>70950030.805496067</v>
      </c>
      <c r="S364">
        <f t="shared" si="972"/>
        <v>709.50030805496067</v>
      </c>
      <c r="T364">
        <f t="shared" si="973"/>
        <v>0.70950030805496067</v>
      </c>
    </row>
    <row r="365" spans="1:20" x14ac:dyDescent="0.25">
      <c r="A365" s="5">
        <v>44228</v>
      </c>
      <c r="B365">
        <v>1312.45</v>
      </c>
      <c r="C365">
        <v>1377.99</v>
      </c>
      <c r="D365">
        <v>1269.99</v>
      </c>
      <c r="E365">
        <v>1374.17</v>
      </c>
      <c r="F365">
        <v>1096397.9186199999</v>
      </c>
      <c r="G365">
        <v>0</v>
      </c>
      <c r="L365" t="s">
        <v>7</v>
      </c>
      <c r="M365" t="s">
        <v>8</v>
      </c>
      <c r="N365" t="s">
        <v>8</v>
      </c>
      <c r="P365">
        <f t="shared" si="969"/>
        <v>0.92925925925926045</v>
      </c>
      <c r="Q365">
        <f t="shared" si="970"/>
        <v>1018837.917710216</v>
      </c>
      <c r="R365">
        <f t="shared" si="971"/>
        <v>69752530.60541603</v>
      </c>
      <c r="S365">
        <f t="shared" si="972"/>
        <v>697.5253060541603</v>
      </c>
      <c r="T365">
        <f t="shared" si="973"/>
        <v>0.6975253060541603</v>
      </c>
    </row>
    <row r="366" spans="1:20" x14ac:dyDescent="0.25">
      <c r="A366" s="5">
        <v>44227</v>
      </c>
      <c r="B366">
        <v>1378.04</v>
      </c>
      <c r="C366">
        <v>1380.74</v>
      </c>
      <c r="D366">
        <v>1281.1199999999999</v>
      </c>
      <c r="E366">
        <v>1312.55</v>
      </c>
      <c r="F366">
        <v>958704.85571000003</v>
      </c>
      <c r="G366">
        <v>0</v>
      </c>
      <c r="L366" t="s">
        <v>7</v>
      </c>
      <c r="M366" t="s">
        <v>8</v>
      </c>
      <c r="N366" t="s">
        <v>8</v>
      </c>
      <c r="P366">
        <f t="shared" si="969"/>
        <v>-0.36900220839188863</v>
      </c>
      <c r="Q366">
        <f t="shared" si="970"/>
        <v>-353764.20895301696</v>
      </c>
      <c r="R366">
        <f t="shared" si="971"/>
        <v>68733692.687705815</v>
      </c>
      <c r="S366">
        <f t="shared" si="972"/>
        <v>687.3369268770582</v>
      </c>
      <c r="T366">
        <f t="shared" si="973"/>
        <v>0.68733692687705816</v>
      </c>
    </row>
    <row r="367" spans="1:20" x14ac:dyDescent="0.25">
      <c r="A367" s="5">
        <v>44226</v>
      </c>
      <c r="B367">
        <v>1379.56</v>
      </c>
      <c r="C367">
        <v>1406</v>
      </c>
      <c r="D367">
        <v>1326.41</v>
      </c>
      <c r="E367">
        <v>1378.05</v>
      </c>
      <c r="F367">
        <v>1040042.2363</v>
      </c>
      <c r="G367">
        <v>0</v>
      </c>
      <c r="L367" t="s">
        <v>7</v>
      </c>
      <c r="M367" t="s">
        <v>8</v>
      </c>
      <c r="N367" t="s">
        <v>8</v>
      </c>
      <c r="P367">
        <f t="shared" si="969"/>
        <v>0.2976504586003248</v>
      </c>
      <c r="Q367">
        <f t="shared" si="970"/>
        <v>309569.04859840235</v>
      </c>
      <c r="R367">
        <f t="shared" si="971"/>
        <v>69087456.896658838</v>
      </c>
      <c r="S367">
        <f t="shared" si="972"/>
        <v>690.87456896658841</v>
      </c>
      <c r="T367">
        <f t="shared" si="973"/>
        <v>0.69087456896658839</v>
      </c>
    </row>
    <row r="368" spans="1:20" x14ac:dyDescent="0.25">
      <c r="A368" s="5">
        <v>44225</v>
      </c>
      <c r="B368">
        <v>1329.44</v>
      </c>
      <c r="C368">
        <v>1436.9</v>
      </c>
      <c r="D368">
        <v>1285.3499999999999</v>
      </c>
      <c r="E368">
        <v>1379.5</v>
      </c>
      <c r="F368">
        <v>2253963.1868199999</v>
      </c>
      <c r="G368">
        <v>0</v>
      </c>
      <c r="L368" t="s">
        <v>8</v>
      </c>
      <c r="M368" t="s">
        <v>8</v>
      </c>
      <c r="N368" t="s">
        <v>8</v>
      </c>
      <c r="P368">
        <f t="shared" si="969"/>
        <v>0.24249422632794429</v>
      </c>
      <c r="Q368">
        <f t="shared" si="970"/>
        <v>546573.05915958364</v>
      </c>
      <c r="R368">
        <f t="shared" si="971"/>
        <v>68777887.848060429</v>
      </c>
      <c r="S368">
        <f t="shared" si="972"/>
        <v>687.77887848060425</v>
      </c>
      <c r="T368">
        <f t="shared" si="973"/>
        <v>0.68777887848060426</v>
      </c>
    </row>
    <row r="369" spans="1:20" x14ac:dyDescent="0.25">
      <c r="A369" s="5">
        <v>44224</v>
      </c>
      <c r="B369">
        <v>1238.93</v>
      </c>
      <c r="C369">
        <v>1360</v>
      </c>
      <c r="D369">
        <v>1217.23</v>
      </c>
      <c r="E369">
        <v>1329.69</v>
      </c>
      <c r="F369">
        <v>1365269.7196200001</v>
      </c>
      <c r="G369">
        <v>0</v>
      </c>
      <c r="L369" t="s">
        <v>8</v>
      </c>
      <c r="M369" t="s">
        <v>7</v>
      </c>
      <c r="N369" t="s">
        <v>8</v>
      </c>
      <c r="P369">
        <f t="shared" si="969"/>
        <v>0.57540099460671079</v>
      </c>
      <c r="Q369">
        <f t="shared" si="970"/>
        <v>785577.55457577319</v>
      </c>
      <c r="R369">
        <f t="shared" si="971"/>
        <v>68231314.788900852</v>
      </c>
      <c r="S369">
        <f t="shared" si="972"/>
        <v>682.31314788900852</v>
      </c>
      <c r="T369">
        <f t="shared" si="973"/>
        <v>0.68231314788900854</v>
      </c>
    </row>
    <row r="370" spans="1:20" x14ac:dyDescent="0.25">
      <c r="A370" s="5">
        <v>44223</v>
      </c>
      <c r="B370">
        <v>1366.54</v>
      </c>
      <c r="C370">
        <v>1373.9</v>
      </c>
      <c r="D370">
        <v>1207</v>
      </c>
      <c r="E370">
        <v>1239.03</v>
      </c>
      <c r="F370">
        <v>2009772.0835800001</v>
      </c>
      <c r="G370">
        <v>0</v>
      </c>
      <c r="L370" t="s">
        <v>7</v>
      </c>
      <c r="M370" t="s">
        <v>7</v>
      </c>
      <c r="N370" t="s">
        <v>8</v>
      </c>
      <c r="P370">
        <f t="shared" si="969"/>
        <v>-0.6161773517076099</v>
      </c>
      <c r="Q370">
        <f t="shared" si="970"/>
        <v>-1238376.0399962098</v>
      </c>
      <c r="R370">
        <f t="shared" si="971"/>
        <v>67445737.234325081</v>
      </c>
      <c r="S370">
        <f t="shared" si="972"/>
        <v>674.45737234325077</v>
      </c>
      <c r="T370">
        <f t="shared" si="973"/>
        <v>0.67445737234325076</v>
      </c>
    </row>
    <row r="371" spans="1:20" x14ac:dyDescent="0.25">
      <c r="A371" s="5">
        <v>44222</v>
      </c>
      <c r="B371">
        <v>1317.6</v>
      </c>
      <c r="C371">
        <v>1378.49</v>
      </c>
      <c r="D371">
        <v>1244.56</v>
      </c>
      <c r="E371">
        <v>1365.97</v>
      </c>
      <c r="F371">
        <v>1682923.65799</v>
      </c>
      <c r="G371">
        <v>0</v>
      </c>
      <c r="L371" t="s">
        <v>7</v>
      </c>
      <c r="M371" t="s">
        <v>8</v>
      </c>
      <c r="N371" t="s">
        <v>8</v>
      </c>
      <c r="P371">
        <f t="shared" si="969"/>
        <v>0.81303666094228366</v>
      </c>
      <c r="Q371">
        <f t="shared" si="970"/>
        <v>1368278.6315129634</v>
      </c>
      <c r="R371">
        <f t="shared" si="971"/>
        <v>68684113.274321288</v>
      </c>
      <c r="S371">
        <f t="shared" si="972"/>
        <v>686.84113274321282</v>
      </c>
      <c r="T371">
        <f t="shared" si="973"/>
        <v>0.68684113274321279</v>
      </c>
    </row>
    <row r="372" spans="1:20" x14ac:dyDescent="0.25">
      <c r="A372" s="5">
        <v>44221</v>
      </c>
      <c r="B372">
        <v>1392.19</v>
      </c>
      <c r="C372">
        <v>1475</v>
      </c>
      <c r="D372">
        <v>1293.69</v>
      </c>
      <c r="E372">
        <v>1317.88</v>
      </c>
      <c r="F372">
        <v>1885441.3128899999</v>
      </c>
      <c r="G372">
        <v>0</v>
      </c>
      <c r="L372" t="s">
        <v>8</v>
      </c>
      <c r="M372" t="s">
        <v>8</v>
      </c>
      <c r="N372" t="s">
        <v>8</v>
      </c>
      <c r="P372">
        <f t="shared" si="969"/>
        <v>-0.73316419392201138</v>
      </c>
      <c r="Q372">
        <f t="shared" si="970"/>
        <v>-1382338.0603522556</v>
      </c>
      <c r="R372">
        <f t="shared" si="971"/>
        <v>67315834.642808318</v>
      </c>
      <c r="S372">
        <f t="shared" si="972"/>
        <v>673.15834642808318</v>
      </c>
      <c r="T372">
        <f t="shared" si="973"/>
        <v>0.67315834642808314</v>
      </c>
    </row>
    <row r="373" spans="1:20" x14ac:dyDescent="0.25">
      <c r="A373" s="5">
        <v>44220</v>
      </c>
      <c r="B373">
        <v>1233.46</v>
      </c>
      <c r="C373">
        <v>1398.83</v>
      </c>
      <c r="D373">
        <v>1220</v>
      </c>
      <c r="E373">
        <v>1392.51</v>
      </c>
      <c r="F373">
        <v>1510879.5381700001</v>
      </c>
      <c r="G373">
        <v>0</v>
      </c>
      <c r="L373" t="s">
        <v>8</v>
      </c>
      <c r="M373" t="s">
        <v>8</v>
      </c>
      <c r="N373" t="s">
        <v>7</v>
      </c>
      <c r="P373">
        <f t="shared" si="969"/>
        <v>0.92931834703349614</v>
      </c>
      <c r="Q373">
        <f t="shared" si="970"/>
        <v>1404088.0749788764</v>
      </c>
      <c r="R373">
        <f t="shared" si="971"/>
        <v>68698172.703160569</v>
      </c>
      <c r="S373">
        <f t="shared" si="972"/>
        <v>686.98172703160571</v>
      </c>
      <c r="T373">
        <f t="shared" si="973"/>
        <v>0.68698172703160576</v>
      </c>
    </row>
    <row r="374" spans="1:20" x14ac:dyDescent="0.25">
      <c r="A374" s="5">
        <v>44219</v>
      </c>
      <c r="B374">
        <v>1232.6099999999999</v>
      </c>
      <c r="C374">
        <v>1272.44</v>
      </c>
      <c r="D374">
        <v>1195.9000000000001</v>
      </c>
      <c r="E374">
        <v>1233.5999999999999</v>
      </c>
      <c r="F374">
        <v>1009545.08258</v>
      </c>
      <c r="G374">
        <v>0</v>
      </c>
      <c r="L374" t="s">
        <v>8</v>
      </c>
      <c r="M374" t="s">
        <v>8</v>
      </c>
      <c r="N374" t="s">
        <v>7</v>
      </c>
      <c r="P374">
        <f t="shared" si="969"/>
        <v>-1.4894172981451894E-2</v>
      </c>
      <c r="Q374">
        <f t="shared" si="970"/>
        <v>-15036.339092520659</v>
      </c>
      <c r="R374">
        <f t="shared" si="971"/>
        <v>67294084.628181696</v>
      </c>
      <c r="S374">
        <f t="shared" si="972"/>
        <v>672.9408462818169</v>
      </c>
      <c r="T374">
        <f t="shared" si="973"/>
        <v>0.67294084628181694</v>
      </c>
    </row>
    <row r="375" spans="1:20" x14ac:dyDescent="0.25">
      <c r="A375" s="5">
        <v>44218</v>
      </c>
      <c r="B375">
        <v>1111.98</v>
      </c>
      <c r="C375">
        <v>1273.79</v>
      </c>
      <c r="D375">
        <v>1042.31</v>
      </c>
      <c r="E375">
        <v>1232.6199999999999</v>
      </c>
      <c r="F375">
        <v>2020593.21673</v>
      </c>
      <c r="G375">
        <v>0</v>
      </c>
      <c r="L375" t="s">
        <v>7</v>
      </c>
      <c r="M375" t="s">
        <v>7</v>
      </c>
      <c r="N375" t="s">
        <v>7</v>
      </c>
      <c r="P375">
        <f t="shared" si="969"/>
        <v>0.64428892344910949</v>
      </c>
      <c r="Q375">
        <f t="shared" si="970"/>
        <v>1301845.8283355448</v>
      </c>
      <c r="R375">
        <f t="shared" si="971"/>
        <v>67309120.967274219</v>
      </c>
      <c r="S375">
        <f t="shared" si="972"/>
        <v>673.09120967274214</v>
      </c>
      <c r="T375">
        <f t="shared" si="973"/>
        <v>0.67309120967274216</v>
      </c>
    </row>
    <row r="376" spans="1:20" x14ac:dyDescent="0.25">
      <c r="A376" s="5">
        <v>44217</v>
      </c>
      <c r="B376">
        <v>1376.72</v>
      </c>
      <c r="C376">
        <v>1390</v>
      </c>
      <c r="D376">
        <v>1086</v>
      </c>
      <c r="E376">
        <v>1110.96</v>
      </c>
      <c r="F376">
        <v>2254164.8036500001</v>
      </c>
      <c r="G376">
        <v>0</v>
      </c>
      <c r="L376" t="s">
        <v>7</v>
      </c>
      <c r="M376" t="s">
        <v>7</v>
      </c>
      <c r="N376" t="s">
        <v>8</v>
      </c>
      <c r="P376">
        <f t="shared" si="969"/>
        <v>-0.8357894736842103</v>
      </c>
      <c r="Q376">
        <f t="shared" si="970"/>
        <v>-1884007.2148401048</v>
      </c>
      <c r="R376">
        <f t="shared" si="971"/>
        <v>66007275.138938673</v>
      </c>
      <c r="S376">
        <f t="shared" si="972"/>
        <v>660.07275138938678</v>
      </c>
      <c r="T376">
        <f t="shared" si="973"/>
        <v>0.66007275138938681</v>
      </c>
    </row>
    <row r="377" spans="1:20" x14ac:dyDescent="0.25">
      <c r="A377" s="5">
        <v>44216</v>
      </c>
      <c r="B377">
        <v>1365.36</v>
      </c>
      <c r="C377">
        <v>1407.93</v>
      </c>
      <c r="D377">
        <v>1235.42</v>
      </c>
      <c r="E377">
        <v>1376.99</v>
      </c>
      <c r="F377">
        <v>2219137.6214399999</v>
      </c>
      <c r="G377">
        <v>0</v>
      </c>
      <c r="L377" t="s">
        <v>7</v>
      </c>
      <c r="M377" t="s">
        <v>7</v>
      </c>
      <c r="N377" t="s">
        <v>8</v>
      </c>
      <c r="P377">
        <f t="shared" si="969"/>
        <v>0.64129615674453588</v>
      </c>
      <c r="Q377">
        <f t="shared" si="970"/>
        <v>1423124.4279166828</v>
      </c>
      <c r="R377">
        <f t="shared" si="971"/>
        <v>67891282.35377878</v>
      </c>
      <c r="S377">
        <f t="shared" si="972"/>
        <v>678.91282353778774</v>
      </c>
      <c r="T377">
        <f t="shared" si="973"/>
        <v>0.6789128235377877</v>
      </c>
    </row>
    <row r="378" spans="1:20" x14ac:dyDescent="0.25">
      <c r="A378" s="5">
        <v>44215</v>
      </c>
      <c r="B378">
        <v>1258.52</v>
      </c>
      <c r="C378">
        <v>1438.3</v>
      </c>
      <c r="D378">
        <v>1251.49</v>
      </c>
      <c r="E378">
        <v>1365.36</v>
      </c>
      <c r="F378">
        <v>2278852.5575799998</v>
      </c>
      <c r="G378">
        <v>0</v>
      </c>
      <c r="L378" t="s">
        <v>8</v>
      </c>
      <c r="M378" t="s">
        <v>8</v>
      </c>
      <c r="N378" t="s">
        <v>8</v>
      </c>
      <c r="P378">
        <f t="shared" si="969"/>
        <v>0.21909961993469218</v>
      </c>
      <c r="Q378">
        <f t="shared" si="970"/>
        <v>499295.72925297916</v>
      </c>
      <c r="R378">
        <f t="shared" si="971"/>
        <v>66468157.925862104</v>
      </c>
      <c r="S378">
        <f t="shared" si="972"/>
        <v>664.68157925862101</v>
      </c>
      <c r="T378">
        <f t="shared" si="973"/>
        <v>0.66468157925862104</v>
      </c>
    </row>
    <row r="379" spans="1:20" x14ac:dyDescent="0.25">
      <c r="A379" s="5">
        <v>44214</v>
      </c>
      <c r="B379">
        <v>1232.5</v>
      </c>
      <c r="C379">
        <v>1260.75</v>
      </c>
      <c r="D379">
        <v>1182.58</v>
      </c>
      <c r="E379">
        <v>1258.45</v>
      </c>
      <c r="F379">
        <v>998050.11072999996</v>
      </c>
      <c r="G379">
        <v>0</v>
      </c>
      <c r="L379" t="s">
        <v>8</v>
      </c>
      <c r="M379" t="s">
        <v>8</v>
      </c>
      <c r="N379" t="s">
        <v>8</v>
      </c>
      <c r="P379">
        <f t="shared" si="969"/>
        <v>0.94115389535627603</v>
      </c>
      <c r="Q379">
        <f t="shared" si="970"/>
        <v>939318.74947430205</v>
      </c>
      <c r="R379">
        <f t="shared" si="971"/>
        <v>65968862.196609125</v>
      </c>
      <c r="S379">
        <f t="shared" si="972"/>
        <v>659.6886219660912</v>
      </c>
      <c r="T379">
        <f t="shared" si="973"/>
        <v>0.65968862196609124</v>
      </c>
    </row>
    <row r="380" spans="1:20" x14ac:dyDescent="0.25">
      <c r="A380" s="5">
        <v>44213</v>
      </c>
      <c r="B380">
        <v>1227.83</v>
      </c>
      <c r="C380">
        <v>1269.02</v>
      </c>
      <c r="D380">
        <v>1165</v>
      </c>
      <c r="E380">
        <v>1232.45</v>
      </c>
      <c r="F380">
        <v>1317285.0057900001</v>
      </c>
      <c r="G380">
        <v>0</v>
      </c>
      <c r="L380" t="s">
        <v>7</v>
      </c>
      <c r="M380" t="s">
        <v>8</v>
      </c>
      <c r="N380" t="s">
        <v>8</v>
      </c>
      <c r="P380">
        <f t="shared" si="969"/>
        <v>0.29686598731013375</v>
      </c>
      <c r="Q380">
        <f t="shared" si="970"/>
        <v>391057.11381268362</v>
      </c>
      <c r="R380">
        <f t="shared" si="971"/>
        <v>65029543.447134823</v>
      </c>
      <c r="S380">
        <f t="shared" si="972"/>
        <v>650.29543447134824</v>
      </c>
      <c r="T380">
        <f t="shared" si="973"/>
        <v>0.6502954344713483</v>
      </c>
    </row>
    <row r="381" spans="1:20" x14ac:dyDescent="0.25">
      <c r="A381" s="5">
        <v>44212</v>
      </c>
      <c r="B381">
        <v>1168.48</v>
      </c>
      <c r="C381">
        <v>1298</v>
      </c>
      <c r="D381">
        <v>1151.77</v>
      </c>
      <c r="E381">
        <v>1227.83</v>
      </c>
      <c r="F381">
        <v>1575384.4379700001</v>
      </c>
      <c r="G381">
        <v>0</v>
      </c>
      <c r="L381" t="s">
        <v>8</v>
      </c>
      <c r="M381" t="s">
        <v>8</v>
      </c>
      <c r="N381" t="s">
        <v>8</v>
      </c>
      <c r="P381">
        <f t="shared" si="969"/>
        <v>4.0279012514531025E-2</v>
      </c>
      <c r="Q381">
        <f t="shared" si="970"/>
        <v>63454.929492191055</v>
      </c>
      <c r="R381">
        <f t="shared" si="971"/>
        <v>64638486.333322138</v>
      </c>
      <c r="S381">
        <f t="shared" si="972"/>
        <v>646.38486333322135</v>
      </c>
      <c r="T381">
        <f t="shared" si="973"/>
        <v>0.64638486333322132</v>
      </c>
    </row>
    <row r="382" spans="1:20" x14ac:dyDescent="0.25">
      <c r="A382" s="5">
        <v>44211</v>
      </c>
      <c r="B382">
        <v>1231.8900000000001</v>
      </c>
      <c r="C382">
        <v>1256.98</v>
      </c>
      <c r="D382">
        <v>1069.42</v>
      </c>
      <c r="E382">
        <v>1168.53</v>
      </c>
      <c r="F382">
        <v>1944038.8373799999</v>
      </c>
      <c r="G382">
        <v>0</v>
      </c>
      <c r="L382" t="s">
        <v>8</v>
      </c>
      <c r="M382" t="s">
        <v>7</v>
      </c>
      <c r="N382" t="s">
        <v>7</v>
      </c>
      <c r="P382">
        <f t="shared" si="969"/>
        <v>5.6835146086584867E-2</v>
      </c>
      <c r="Q382">
        <f t="shared" si="970"/>
        <v>110489.7313204869</v>
      </c>
      <c r="R382">
        <f t="shared" si="971"/>
        <v>64575031.403829947</v>
      </c>
      <c r="S382">
        <f t="shared" si="972"/>
        <v>645.75031403829951</v>
      </c>
      <c r="T382">
        <f t="shared" si="973"/>
        <v>0.64575031403829952</v>
      </c>
    </row>
    <row r="383" spans="1:20" x14ac:dyDescent="0.25">
      <c r="A383" s="5">
        <v>44210</v>
      </c>
      <c r="B383">
        <v>1129.79</v>
      </c>
      <c r="C383">
        <v>1247.55</v>
      </c>
      <c r="D383">
        <v>1086.7</v>
      </c>
      <c r="E383">
        <v>1231.6199999999999</v>
      </c>
      <c r="F383">
        <v>1555737.3855600001</v>
      </c>
      <c r="G383">
        <v>0</v>
      </c>
      <c r="L383" t="s">
        <v>8</v>
      </c>
      <c r="M383" t="s">
        <v>8</v>
      </c>
      <c r="N383" t="s">
        <v>7</v>
      </c>
      <c r="P383">
        <f t="shared" si="969"/>
        <v>0.80192726142368576</v>
      </c>
      <c r="Q383">
        <f t="shared" si="970"/>
        <v>1247588.2210965755</v>
      </c>
      <c r="R383">
        <f t="shared" si="971"/>
        <v>64464541.672509462</v>
      </c>
      <c r="S383">
        <f t="shared" si="972"/>
        <v>644.64541672509461</v>
      </c>
      <c r="T383">
        <f t="shared" si="973"/>
        <v>0.64464541672509457</v>
      </c>
    </row>
    <row r="384" spans="1:20" x14ac:dyDescent="0.25">
      <c r="A384" s="5">
        <v>44209</v>
      </c>
      <c r="B384">
        <v>1050.3599999999999</v>
      </c>
      <c r="C384">
        <v>1137.6500000000001</v>
      </c>
      <c r="D384">
        <v>987.48</v>
      </c>
      <c r="E384">
        <v>1129.8900000000001</v>
      </c>
      <c r="F384">
        <v>1564202.39081</v>
      </c>
      <c r="G384">
        <v>0</v>
      </c>
      <c r="L384" t="s">
        <v>7</v>
      </c>
      <c r="M384" t="s">
        <v>8</v>
      </c>
      <c r="N384" t="s">
        <v>7</v>
      </c>
      <c r="P384">
        <f t="shared" si="969"/>
        <v>0.89665046280881688</v>
      </c>
      <c r="Q384">
        <f t="shared" si="970"/>
        <v>1402542.7976464443</v>
      </c>
      <c r="R384">
        <f t="shared" si="971"/>
        <v>63216953.451412886</v>
      </c>
      <c r="S384">
        <f t="shared" si="972"/>
        <v>632.16953451412883</v>
      </c>
      <c r="T384">
        <f t="shared" si="973"/>
        <v>0.63216953451412883</v>
      </c>
    </row>
    <row r="385" spans="1:20" x14ac:dyDescent="0.25">
      <c r="A385" s="5">
        <v>44208</v>
      </c>
      <c r="B385">
        <v>1087</v>
      </c>
      <c r="C385">
        <v>1150.02</v>
      </c>
      <c r="D385">
        <v>1006.33</v>
      </c>
      <c r="E385">
        <v>1050.1600000000001</v>
      </c>
      <c r="F385">
        <v>2302645.3405200001</v>
      </c>
      <c r="G385">
        <v>0</v>
      </c>
      <c r="L385" t="s">
        <v>8</v>
      </c>
      <c r="M385" t="s">
        <v>8</v>
      </c>
      <c r="N385" t="s">
        <v>7</v>
      </c>
      <c r="P385">
        <f t="shared" si="969"/>
        <v>-0.3899366692184556</v>
      </c>
      <c r="Q385">
        <f t="shared" si="970"/>
        <v>-897885.85447376536</v>
      </c>
      <c r="R385">
        <f t="shared" si="971"/>
        <v>61814410.653766446</v>
      </c>
      <c r="S385">
        <f t="shared" si="972"/>
        <v>618.14410653766447</v>
      </c>
      <c r="T385">
        <f t="shared" si="973"/>
        <v>0.61814410653766449</v>
      </c>
    </row>
    <row r="386" spans="1:20" x14ac:dyDescent="0.25">
      <c r="A386" s="5">
        <v>44207</v>
      </c>
      <c r="B386">
        <v>1254.24</v>
      </c>
      <c r="C386">
        <v>1260</v>
      </c>
      <c r="D386">
        <v>915</v>
      </c>
      <c r="E386">
        <v>1087.01</v>
      </c>
      <c r="F386">
        <v>4068784.6567799998</v>
      </c>
      <c r="G386">
        <v>0</v>
      </c>
      <c r="L386" t="s">
        <v>7</v>
      </c>
      <c r="M386" t="s">
        <v>7</v>
      </c>
      <c r="N386" t="s">
        <v>7</v>
      </c>
      <c r="P386">
        <f t="shared" si="969"/>
        <v>-2.8405797101449803E-3</v>
      </c>
      <c r="Q386">
        <f t="shared" si="970"/>
        <v>-11557.707140998475</v>
      </c>
      <c r="R386">
        <f t="shared" si="971"/>
        <v>62712296.508240208</v>
      </c>
      <c r="S386">
        <f t="shared" si="972"/>
        <v>627.12296508240206</v>
      </c>
      <c r="T386">
        <f t="shared" si="973"/>
        <v>0.62712296508240206</v>
      </c>
    </row>
    <row r="387" spans="1:20" x14ac:dyDescent="0.25">
      <c r="A387" s="5">
        <v>44206</v>
      </c>
      <c r="B387">
        <v>1276</v>
      </c>
      <c r="C387">
        <v>1348.33</v>
      </c>
      <c r="D387">
        <v>1170</v>
      </c>
      <c r="E387">
        <v>1254.25</v>
      </c>
      <c r="F387">
        <v>1951179.3500300001</v>
      </c>
      <c r="G387">
        <v>0</v>
      </c>
      <c r="L387" t="s">
        <v>8</v>
      </c>
      <c r="M387" t="s">
        <v>8</v>
      </c>
      <c r="N387" t="s">
        <v>8</v>
      </c>
      <c r="P387">
        <f t="shared" si="969"/>
        <v>-5.5122525654684749E-2</v>
      </c>
      <c r="Q387">
        <f t="shared" si="970"/>
        <v>-107553.93377891979</v>
      </c>
      <c r="R387">
        <f t="shared" si="971"/>
        <v>62723854.215381205</v>
      </c>
      <c r="S387">
        <f t="shared" si="972"/>
        <v>627.23854215381209</v>
      </c>
      <c r="T387">
        <f t="shared" si="973"/>
        <v>0.62723854215381214</v>
      </c>
    </row>
    <row r="388" spans="1:20" x14ac:dyDescent="0.25">
      <c r="A388" s="5">
        <v>44205</v>
      </c>
      <c r="B388">
        <v>1216.72</v>
      </c>
      <c r="C388">
        <v>1304.3699999999999</v>
      </c>
      <c r="D388">
        <v>1171.3599999999999</v>
      </c>
      <c r="E388">
        <v>1276</v>
      </c>
      <c r="F388">
        <v>1448871.1151399999</v>
      </c>
      <c r="G388">
        <v>0</v>
      </c>
      <c r="L388" t="s">
        <v>8</v>
      </c>
      <c r="M388" t="s">
        <v>8</v>
      </c>
      <c r="N388" t="s">
        <v>8</v>
      </c>
      <c r="P388">
        <f t="shared" si="969"/>
        <v>0.57341553266671841</v>
      </c>
      <c r="Q388">
        <f t="shared" si="970"/>
        <v>830805.20225342538</v>
      </c>
      <c r="R388">
        <f t="shared" si="971"/>
        <v>62831408.149160124</v>
      </c>
      <c r="S388">
        <f t="shared" si="972"/>
        <v>628.3140814916012</v>
      </c>
      <c r="T388">
        <f t="shared" si="973"/>
        <v>0.62831408149160117</v>
      </c>
    </row>
    <row r="389" spans="1:20" x14ac:dyDescent="0.25">
      <c r="A389" s="5">
        <v>44204</v>
      </c>
      <c r="B389">
        <v>1224.8599999999999</v>
      </c>
      <c r="C389">
        <v>1273.75</v>
      </c>
      <c r="D389">
        <v>1065</v>
      </c>
      <c r="E389">
        <v>1216.93</v>
      </c>
      <c r="F389">
        <v>2131172.9234099998</v>
      </c>
      <c r="G389">
        <v>0</v>
      </c>
      <c r="L389" t="s">
        <v>7</v>
      </c>
      <c r="M389" t="s">
        <v>7</v>
      </c>
      <c r="N389" t="s">
        <v>8</v>
      </c>
      <c r="P389">
        <f t="shared" si="969"/>
        <v>0.4556167664670665</v>
      </c>
      <c r="Q389">
        <f t="shared" si="970"/>
        <v>970998.11614622932</v>
      </c>
      <c r="R389">
        <f t="shared" si="971"/>
        <v>62000602.946906701</v>
      </c>
      <c r="S389">
        <f t="shared" si="972"/>
        <v>620.00602946906702</v>
      </c>
      <c r="T389">
        <f t="shared" si="973"/>
        <v>0.62000602946906702</v>
      </c>
    </row>
    <row r="390" spans="1:20" x14ac:dyDescent="0.25">
      <c r="A390" s="5">
        <v>44203</v>
      </c>
      <c r="B390">
        <v>1208.75</v>
      </c>
      <c r="C390">
        <v>1289</v>
      </c>
      <c r="D390">
        <v>1131</v>
      </c>
      <c r="E390">
        <v>1224.8699999999999</v>
      </c>
      <c r="F390">
        <v>1972922.8205899999</v>
      </c>
      <c r="G390">
        <v>0</v>
      </c>
      <c r="L390" t="s">
        <v>8</v>
      </c>
      <c r="M390" t="s">
        <v>8</v>
      </c>
      <c r="N390" t="s">
        <v>8</v>
      </c>
      <c r="P390">
        <f t="shared" ref="P390:P453" si="974">IF(C390=D390,0,((E390-D390)-(C390-E390))/(C390-D390))</f>
        <v>0.18822784810126444</v>
      </c>
      <c r="Q390">
        <f t="shared" ref="Q390:Q453" si="975">F390*P390</f>
        <v>371359.01698953268</v>
      </c>
      <c r="R390">
        <f t="shared" ref="R390:R453" si="976">R391+Q390</f>
        <v>61029604.830760472</v>
      </c>
      <c r="S390">
        <f t="shared" ref="S390:S453" si="977">R390/100000</f>
        <v>610.29604830760468</v>
      </c>
      <c r="T390">
        <f t="shared" ref="T390:T453" si="978">S390/1000</f>
        <v>0.61029604830760464</v>
      </c>
    </row>
    <row r="391" spans="1:20" x14ac:dyDescent="0.25">
      <c r="A391" s="5">
        <v>44202</v>
      </c>
      <c r="B391">
        <v>1100.1600000000001</v>
      </c>
      <c r="C391">
        <v>1213</v>
      </c>
      <c r="D391">
        <v>1057.26</v>
      </c>
      <c r="E391">
        <v>1208.42</v>
      </c>
      <c r="F391">
        <v>2390136.5933400001</v>
      </c>
      <c r="G391">
        <v>0</v>
      </c>
      <c r="L391" t="s">
        <v>8</v>
      </c>
      <c r="M391" t="s">
        <v>8</v>
      </c>
      <c r="N391" t="s">
        <v>8</v>
      </c>
      <c r="P391">
        <f t="shared" si="974"/>
        <v>0.94118402465647966</v>
      </c>
      <c r="Q391">
        <f t="shared" si="975"/>
        <v>2249558.3783984692</v>
      </c>
      <c r="R391">
        <f t="shared" si="976"/>
        <v>60658245.813770942</v>
      </c>
      <c r="S391">
        <f t="shared" si="977"/>
        <v>606.58245813770941</v>
      </c>
      <c r="T391">
        <f t="shared" si="978"/>
        <v>0.60658245813770939</v>
      </c>
    </row>
    <row r="392" spans="1:20" x14ac:dyDescent="0.25">
      <c r="A392" s="5">
        <v>44201</v>
      </c>
      <c r="B392">
        <v>1041.45</v>
      </c>
      <c r="C392">
        <v>1134.5999999999999</v>
      </c>
      <c r="D392">
        <v>974.45</v>
      </c>
      <c r="E392">
        <v>1099.56</v>
      </c>
      <c r="F392">
        <v>2706995.6752499999</v>
      </c>
      <c r="G392">
        <v>0</v>
      </c>
      <c r="L392" t="s">
        <v>7</v>
      </c>
      <c r="M392" t="s">
        <v>8</v>
      </c>
      <c r="N392" t="s">
        <v>8</v>
      </c>
      <c r="P392">
        <f t="shared" si="974"/>
        <v>0.56241024039962539</v>
      </c>
      <c r="Q392">
        <f t="shared" si="975"/>
        <v>1522442.0884780986</v>
      </c>
      <c r="R392">
        <f t="shared" si="976"/>
        <v>58408687.435372472</v>
      </c>
      <c r="S392">
        <f t="shared" si="977"/>
        <v>584.08687435372474</v>
      </c>
      <c r="T392">
        <f t="shared" si="978"/>
        <v>0.58408687435372475</v>
      </c>
    </row>
    <row r="393" spans="1:20" x14ac:dyDescent="0.25">
      <c r="A393" s="5">
        <v>44200</v>
      </c>
      <c r="B393">
        <v>978.33</v>
      </c>
      <c r="C393">
        <v>1162.97</v>
      </c>
      <c r="D393">
        <v>890</v>
      </c>
      <c r="E393">
        <v>1041.43</v>
      </c>
      <c r="F393">
        <v>4245010.9400399998</v>
      </c>
      <c r="G393">
        <v>0</v>
      </c>
      <c r="L393" t="s">
        <v>8</v>
      </c>
      <c r="M393" t="s">
        <v>8</v>
      </c>
      <c r="N393" t="s">
        <v>8</v>
      </c>
      <c r="P393">
        <f t="shared" si="974"/>
        <v>0.1094992123676598</v>
      </c>
      <c r="Q393">
        <f t="shared" si="975"/>
        <v>464825.35442647914</v>
      </c>
      <c r="R393">
        <f t="shared" si="976"/>
        <v>56886245.346894376</v>
      </c>
      <c r="S393">
        <f t="shared" si="977"/>
        <v>568.86245346894373</v>
      </c>
      <c r="T393">
        <f t="shared" si="978"/>
        <v>0.56886245346894371</v>
      </c>
    </row>
    <row r="394" spans="1:20" x14ac:dyDescent="0.25">
      <c r="A394" s="5">
        <v>44199</v>
      </c>
      <c r="B394">
        <v>774.44</v>
      </c>
      <c r="C394">
        <v>1011.07</v>
      </c>
      <c r="D394">
        <v>768.71</v>
      </c>
      <c r="E394">
        <v>978.28</v>
      </c>
      <c r="F394">
        <v>2813603.8861500002</v>
      </c>
      <c r="G394">
        <v>0</v>
      </c>
      <c r="L394" t="s">
        <v>8</v>
      </c>
      <c r="M394" t="s">
        <v>8</v>
      </c>
      <c r="N394" t="s">
        <v>8</v>
      </c>
      <c r="P394">
        <f t="shared" si="974"/>
        <v>0.72941079386037233</v>
      </c>
      <c r="Q394">
        <f t="shared" si="975"/>
        <v>2052273.0442053003</v>
      </c>
      <c r="R394">
        <f t="shared" si="976"/>
        <v>56421419.992467895</v>
      </c>
      <c r="S394">
        <f t="shared" si="977"/>
        <v>564.21419992467895</v>
      </c>
      <c r="T394">
        <f t="shared" si="978"/>
        <v>0.56421419992467892</v>
      </c>
    </row>
    <row r="395" spans="1:20" x14ac:dyDescent="0.25">
      <c r="A395" s="5">
        <v>44198</v>
      </c>
      <c r="B395">
        <v>728.91</v>
      </c>
      <c r="C395">
        <v>787.69</v>
      </c>
      <c r="D395">
        <v>714.91</v>
      </c>
      <c r="E395">
        <v>774.56</v>
      </c>
      <c r="F395">
        <v>1352618.5766799999</v>
      </c>
      <c r="G395">
        <v>0</v>
      </c>
      <c r="L395" t="s">
        <v>8</v>
      </c>
      <c r="M395" t="s">
        <v>8</v>
      </c>
      <c r="N395" t="s">
        <v>8</v>
      </c>
      <c r="P395">
        <f t="shared" si="974"/>
        <v>0.63918658972244868</v>
      </c>
      <c r="Q395">
        <f t="shared" si="975"/>
        <v>864575.65522332164</v>
      </c>
      <c r="R395">
        <f t="shared" si="976"/>
        <v>54369146.948262595</v>
      </c>
      <c r="S395">
        <f t="shared" si="977"/>
        <v>543.69146948262596</v>
      </c>
      <c r="T395">
        <f t="shared" si="978"/>
        <v>0.54369146948262592</v>
      </c>
    </row>
    <row r="396" spans="1:20" x14ac:dyDescent="0.25">
      <c r="A396" s="5">
        <v>44197</v>
      </c>
      <c r="B396">
        <v>736.42</v>
      </c>
      <c r="C396">
        <v>749</v>
      </c>
      <c r="D396">
        <v>714.29</v>
      </c>
      <c r="E396">
        <v>728.91</v>
      </c>
      <c r="F396">
        <v>675114.09328999999</v>
      </c>
      <c r="G396">
        <v>0</v>
      </c>
      <c r="L396" t="s">
        <v>8</v>
      </c>
      <c r="M396" t="s">
        <v>8</v>
      </c>
      <c r="N396" t="s">
        <v>8</v>
      </c>
      <c r="P396">
        <f t="shared" si="974"/>
        <v>-0.1575914721982144</v>
      </c>
      <c r="Q396">
        <f t="shared" si="975"/>
        <v>-106392.22386333375</v>
      </c>
      <c r="R396">
        <f t="shared" si="976"/>
        <v>53504571.29303927</v>
      </c>
      <c r="S396">
        <f t="shared" si="977"/>
        <v>535.04571293039271</v>
      </c>
      <c r="T396">
        <f t="shared" si="978"/>
        <v>0.53504571293039271</v>
      </c>
    </row>
    <row r="397" spans="1:20" x14ac:dyDescent="0.25">
      <c r="A397" s="5">
        <v>44196</v>
      </c>
      <c r="B397">
        <v>752.17</v>
      </c>
      <c r="C397">
        <v>755.74</v>
      </c>
      <c r="D397">
        <v>722</v>
      </c>
      <c r="E397">
        <v>736.42</v>
      </c>
      <c r="F397">
        <v>863375.57981000002</v>
      </c>
      <c r="G397">
        <v>0</v>
      </c>
      <c r="L397" t="s">
        <v>8</v>
      </c>
      <c r="M397" t="s">
        <v>8</v>
      </c>
      <c r="N397" t="s">
        <v>8</v>
      </c>
      <c r="P397">
        <f t="shared" si="974"/>
        <v>-0.1452282157676375</v>
      </c>
      <c r="Q397">
        <f t="shared" si="975"/>
        <v>-125386.49499315582</v>
      </c>
      <c r="R397">
        <f t="shared" si="976"/>
        <v>53610963.516902603</v>
      </c>
      <c r="S397">
        <f t="shared" si="977"/>
        <v>536.10963516902598</v>
      </c>
      <c r="T397">
        <f t="shared" si="978"/>
        <v>0.53610963516902599</v>
      </c>
    </row>
    <row r="398" spans="1:20" x14ac:dyDescent="0.25">
      <c r="A398" s="5">
        <v>44195</v>
      </c>
      <c r="B398">
        <v>732</v>
      </c>
      <c r="C398">
        <v>758.74</v>
      </c>
      <c r="D398">
        <v>716.62</v>
      </c>
      <c r="E398">
        <v>752.17</v>
      </c>
      <c r="F398">
        <v>1008574.09906</v>
      </c>
      <c r="G398">
        <v>0</v>
      </c>
      <c r="L398" t="s">
        <v>8</v>
      </c>
      <c r="M398" t="s">
        <v>8</v>
      </c>
      <c r="N398" t="s">
        <v>8</v>
      </c>
      <c r="P398">
        <f t="shared" si="974"/>
        <v>0.6880341880341857</v>
      </c>
      <c r="Q398">
        <f t="shared" si="975"/>
        <v>693933.4613190575</v>
      </c>
      <c r="R398">
        <f t="shared" si="976"/>
        <v>53736350.011895761</v>
      </c>
      <c r="S398">
        <f t="shared" si="977"/>
        <v>537.36350011895763</v>
      </c>
      <c r="T398">
        <f t="shared" si="978"/>
        <v>0.53736350011895762</v>
      </c>
    </row>
    <row r="399" spans="1:20" x14ac:dyDescent="0.25">
      <c r="A399" s="5">
        <v>44194</v>
      </c>
      <c r="B399">
        <v>730.4</v>
      </c>
      <c r="C399">
        <v>740.78</v>
      </c>
      <c r="D399">
        <v>689.2</v>
      </c>
      <c r="E399">
        <v>732</v>
      </c>
      <c r="F399">
        <v>1106876.35855</v>
      </c>
      <c r="G399">
        <v>0</v>
      </c>
      <c r="L399" t="s">
        <v>7</v>
      </c>
      <c r="M399" t="s">
        <v>8</v>
      </c>
      <c r="N399" t="s">
        <v>8</v>
      </c>
      <c r="P399">
        <f t="shared" si="974"/>
        <v>0.65955796820473112</v>
      </c>
      <c r="Q399">
        <f t="shared" si="975"/>
        <v>730049.12209908944</v>
      </c>
      <c r="R399">
        <f t="shared" si="976"/>
        <v>53042416.550576702</v>
      </c>
      <c r="S399">
        <f t="shared" si="977"/>
        <v>530.42416550576706</v>
      </c>
      <c r="T399">
        <f t="shared" si="978"/>
        <v>0.5304241655057671</v>
      </c>
    </row>
    <row r="400" spans="1:20" x14ac:dyDescent="0.25">
      <c r="A400" s="5">
        <v>44193</v>
      </c>
      <c r="B400">
        <v>685.1</v>
      </c>
      <c r="C400">
        <v>748.09</v>
      </c>
      <c r="D400">
        <v>681.04</v>
      </c>
      <c r="E400">
        <v>730.41</v>
      </c>
      <c r="F400">
        <v>1627154.3926599999</v>
      </c>
      <c r="G400">
        <v>0</v>
      </c>
      <c r="L400" t="s">
        <v>8</v>
      </c>
      <c r="M400" t="s">
        <v>8</v>
      </c>
      <c r="N400" t="s">
        <v>8</v>
      </c>
      <c r="P400">
        <f t="shared" si="974"/>
        <v>0.47263236390753033</v>
      </c>
      <c r="Q400">
        <f t="shared" si="975"/>
        <v>769045.82704541762</v>
      </c>
      <c r="R400">
        <f t="shared" si="976"/>
        <v>52312367.428477615</v>
      </c>
      <c r="S400">
        <f t="shared" si="977"/>
        <v>523.12367428477614</v>
      </c>
      <c r="T400">
        <f t="shared" si="978"/>
        <v>0.52312367428477613</v>
      </c>
    </row>
    <row r="401" spans="1:20" x14ac:dyDescent="0.25">
      <c r="A401" s="5">
        <v>44192</v>
      </c>
      <c r="B401">
        <v>637.44000000000005</v>
      </c>
      <c r="C401">
        <v>717.13</v>
      </c>
      <c r="D401">
        <v>625</v>
      </c>
      <c r="E401">
        <v>685.11</v>
      </c>
      <c r="F401">
        <v>1859968.15029</v>
      </c>
      <c r="G401">
        <v>0</v>
      </c>
      <c r="L401" t="s">
        <v>8</v>
      </c>
      <c r="M401" t="s">
        <v>8</v>
      </c>
      <c r="N401" t="s">
        <v>8</v>
      </c>
      <c r="P401">
        <f t="shared" si="974"/>
        <v>0.30489525670248596</v>
      </c>
      <c r="Q401">
        <f t="shared" si="975"/>
        <v>567095.46664111759</v>
      </c>
      <c r="R401">
        <f t="shared" si="976"/>
        <v>51543321.601432197</v>
      </c>
      <c r="S401">
        <f t="shared" si="977"/>
        <v>515.43321601432194</v>
      </c>
      <c r="T401">
        <f t="shared" si="978"/>
        <v>0.5154332160143219</v>
      </c>
    </row>
    <row r="402" spans="1:20" x14ac:dyDescent="0.25">
      <c r="A402" s="5">
        <v>44191</v>
      </c>
      <c r="B402">
        <v>626.78</v>
      </c>
      <c r="C402">
        <v>652.91</v>
      </c>
      <c r="D402">
        <v>615.26</v>
      </c>
      <c r="E402">
        <v>637.44000000000005</v>
      </c>
      <c r="F402">
        <v>958585.50647000002</v>
      </c>
      <c r="G402">
        <v>0</v>
      </c>
      <c r="L402" t="s">
        <v>8</v>
      </c>
      <c r="M402" t="s">
        <v>7</v>
      </c>
      <c r="N402" t="s">
        <v>8</v>
      </c>
      <c r="P402">
        <f t="shared" si="974"/>
        <v>0.17822045152722854</v>
      </c>
      <c r="Q402">
        <f t="shared" si="975"/>
        <v>170839.54179054045</v>
      </c>
      <c r="R402">
        <f t="shared" si="976"/>
        <v>50976226.134791076</v>
      </c>
      <c r="S402">
        <f t="shared" si="977"/>
        <v>509.76226134791074</v>
      </c>
      <c r="T402">
        <f t="shared" si="978"/>
        <v>0.50976226134791069</v>
      </c>
    </row>
    <row r="403" spans="1:20" x14ac:dyDescent="0.25">
      <c r="A403" s="5">
        <v>44190</v>
      </c>
      <c r="B403">
        <v>612.30999999999995</v>
      </c>
      <c r="C403">
        <v>634.24</v>
      </c>
      <c r="D403">
        <v>604.28</v>
      </c>
      <c r="E403">
        <v>626.82000000000005</v>
      </c>
      <c r="F403">
        <v>798009.62915000005</v>
      </c>
      <c r="G403">
        <v>0</v>
      </c>
      <c r="L403" t="s">
        <v>8</v>
      </c>
      <c r="M403" t="s">
        <v>7</v>
      </c>
      <c r="N403" t="s">
        <v>8</v>
      </c>
      <c r="P403">
        <f t="shared" si="974"/>
        <v>0.50467289719626507</v>
      </c>
      <c r="Q403">
        <f t="shared" si="975"/>
        <v>402733.83153364761</v>
      </c>
      <c r="R403">
        <f t="shared" si="976"/>
        <v>50805386.593000539</v>
      </c>
      <c r="S403">
        <f t="shared" si="977"/>
        <v>508.05386593000537</v>
      </c>
      <c r="T403">
        <f t="shared" si="978"/>
        <v>0.50805386593000534</v>
      </c>
    </row>
    <row r="404" spans="1:20" x14ac:dyDescent="0.25">
      <c r="A404" s="5">
        <v>44189</v>
      </c>
      <c r="B404">
        <v>585.48</v>
      </c>
      <c r="C404">
        <v>615.02</v>
      </c>
      <c r="D404">
        <v>565.42999999999995</v>
      </c>
      <c r="E404">
        <v>612.30999999999995</v>
      </c>
      <c r="F404">
        <v>886335.86332999996</v>
      </c>
      <c r="G404">
        <v>0</v>
      </c>
      <c r="L404" t="s">
        <v>8</v>
      </c>
      <c r="M404" t="s">
        <v>7</v>
      </c>
      <c r="N404" t="s">
        <v>8</v>
      </c>
      <c r="P404">
        <f t="shared" si="974"/>
        <v>0.89070377092155539</v>
      </c>
      <c r="Q404">
        <f t="shared" si="975"/>
        <v>789462.69577104331</v>
      </c>
      <c r="R404">
        <f t="shared" si="976"/>
        <v>50402652.761466891</v>
      </c>
      <c r="S404">
        <f t="shared" si="977"/>
        <v>504.02652761466891</v>
      </c>
      <c r="T404">
        <f t="shared" si="978"/>
        <v>0.50402652761466893</v>
      </c>
    </row>
    <row r="405" spans="1:20" x14ac:dyDescent="0.25">
      <c r="A405" s="5">
        <v>44188</v>
      </c>
      <c r="B405">
        <v>636.41</v>
      </c>
      <c r="C405">
        <v>638.44000000000005</v>
      </c>
      <c r="D405">
        <v>551.28</v>
      </c>
      <c r="E405">
        <v>585.55999999999995</v>
      </c>
      <c r="F405">
        <v>1208807.36518</v>
      </c>
      <c r="G405">
        <v>0</v>
      </c>
      <c r="L405" t="s">
        <v>7</v>
      </c>
      <c r="M405" t="s">
        <v>7</v>
      </c>
      <c r="N405" t="s">
        <v>8</v>
      </c>
      <c r="P405">
        <f t="shared" si="974"/>
        <v>-0.21340064249655941</v>
      </c>
      <c r="Q405">
        <f t="shared" si="975"/>
        <v>-257960.26838398509</v>
      </c>
      <c r="R405">
        <f t="shared" si="976"/>
        <v>49613190.065695845</v>
      </c>
      <c r="S405">
        <f t="shared" si="977"/>
        <v>496.13190065695846</v>
      </c>
      <c r="T405">
        <f t="shared" si="978"/>
        <v>0.49613190065695845</v>
      </c>
    </row>
    <row r="406" spans="1:20" x14ac:dyDescent="0.25">
      <c r="A406" s="5">
        <v>44187</v>
      </c>
      <c r="B406">
        <v>607.67999999999995</v>
      </c>
      <c r="C406">
        <v>637.73</v>
      </c>
      <c r="D406">
        <v>588</v>
      </c>
      <c r="E406">
        <v>636.45000000000005</v>
      </c>
      <c r="F406">
        <v>918851.25653999997</v>
      </c>
      <c r="G406">
        <v>0</v>
      </c>
      <c r="L406" t="s">
        <v>8</v>
      </c>
      <c r="M406" t="s">
        <v>8</v>
      </c>
      <c r="N406" t="s">
        <v>8</v>
      </c>
      <c r="P406">
        <f t="shared" si="974"/>
        <v>0.94852201890207233</v>
      </c>
      <c r="Q406">
        <f t="shared" si="975"/>
        <v>871550.64892402675</v>
      </c>
      <c r="R406">
        <f t="shared" si="976"/>
        <v>49871150.334079832</v>
      </c>
      <c r="S406">
        <f t="shared" si="977"/>
        <v>498.71150334079834</v>
      </c>
      <c r="T406">
        <f t="shared" si="978"/>
        <v>0.49871150334079833</v>
      </c>
    </row>
    <row r="407" spans="1:20" x14ac:dyDescent="0.25">
      <c r="A407" s="5">
        <v>44186</v>
      </c>
      <c r="B407">
        <v>638.1</v>
      </c>
      <c r="C407">
        <v>648</v>
      </c>
      <c r="D407">
        <v>595.9</v>
      </c>
      <c r="E407">
        <v>607.58000000000004</v>
      </c>
      <c r="F407">
        <v>843251.16564999998</v>
      </c>
      <c r="G407">
        <v>0</v>
      </c>
      <c r="L407" t="s">
        <v>7</v>
      </c>
      <c r="M407" t="s">
        <v>8</v>
      </c>
      <c r="N407" t="s">
        <v>8</v>
      </c>
      <c r="P407">
        <f t="shared" si="974"/>
        <v>-0.55163147792706113</v>
      </c>
      <c r="Q407">
        <f t="shared" si="975"/>
        <v>-465163.88677122653</v>
      </c>
      <c r="R407">
        <f t="shared" si="976"/>
        <v>48999599.685155801</v>
      </c>
      <c r="S407">
        <f t="shared" si="977"/>
        <v>489.995996851558</v>
      </c>
      <c r="T407">
        <f t="shared" si="978"/>
        <v>0.48999599685155798</v>
      </c>
    </row>
    <row r="408" spans="1:20" x14ac:dyDescent="0.25">
      <c r="A408" s="5">
        <v>44185</v>
      </c>
      <c r="B408">
        <v>658.05</v>
      </c>
      <c r="C408">
        <v>661.39</v>
      </c>
      <c r="D408">
        <v>621.01</v>
      </c>
      <c r="E408">
        <v>638.17999999999995</v>
      </c>
      <c r="F408">
        <v>823958.22843000002</v>
      </c>
      <c r="G408">
        <v>0</v>
      </c>
      <c r="L408" t="s">
        <v>7</v>
      </c>
      <c r="M408" t="s">
        <v>8</v>
      </c>
      <c r="N408" t="s">
        <v>8</v>
      </c>
      <c r="P408">
        <f t="shared" si="974"/>
        <v>-0.14957899950470724</v>
      </c>
      <c r="Q408">
        <f t="shared" si="975"/>
        <v>-123246.84744223043</v>
      </c>
      <c r="R408">
        <f t="shared" si="976"/>
        <v>49464763.571927026</v>
      </c>
      <c r="S408">
        <f t="shared" si="977"/>
        <v>494.64763571927028</v>
      </c>
      <c r="T408">
        <f t="shared" si="978"/>
        <v>0.49464763571927028</v>
      </c>
    </row>
    <row r="409" spans="1:20" x14ac:dyDescent="0.25">
      <c r="A409" s="5">
        <v>44184</v>
      </c>
      <c r="B409">
        <v>653.76</v>
      </c>
      <c r="C409">
        <v>669.95</v>
      </c>
      <c r="D409">
        <v>645.41999999999996</v>
      </c>
      <c r="E409">
        <v>658.03</v>
      </c>
      <c r="F409">
        <v>858803.88459000003</v>
      </c>
      <c r="G409">
        <v>0</v>
      </c>
      <c r="L409" t="s">
        <v>7</v>
      </c>
      <c r="M409" t="s">
        <v>8</v>
      </c>
      <c r="N409" t="s">
        <v>8</v>
      </c>
      <c r="P409">
        <f t="shared" si="974"/>
        <v>2.8128821850792435E-2</v>
      </c>
      <c r="Q409">
        <f t="shared" si="975"/>
        <v>24157.141474400618</v>
      </c>
      <c r="R409">
        <f t="shared" si="976"/>
        <v>49588010.419369258</v>
      </c>
      <c r="S409">
        <f t="shared" si="977"/>
        <v>495.8801041936926</v>
      </c>
      <c r="T409">
        <f t="shared" si="978"/>
        <v>0.49588010419369261</v>
      </c>
    </row>
    <row r="410" spans="1:20" x14ac:dyDescent="0.25">
      <c r="A410" s="5">
        <v>44183</v>
      </c>
      <c r="B410">
        <v>642.71</v>
      </c>
      <c r="C410">
        <v>664.61</v>
      </c>
      <c r="D410">
        <v>629.4</v>
      </c>
      <c r="E410">
        <v>653.85</v>
      </c>
      <c r="F410">
        <v>1000012.98018</v>
      </c>
      <c r="G410">
        <v>0</v>
      </c>
      <c r="L410" t="s">
        <v>7</v>
      </c>
      <c r="M410" t="s">
        <v>8</v>
      </c>
      <c r="N410" t="s">
        <v>8</v>
      </c>
      <c r="P410">
        <f t="shared" si="974"/>
        <v>0.38880999715989889</v>
      </c>
      <c r="Q410">
        <f t="shared" si="975"/>
        <v>388815.04398364783</v>
      </c>
      <c r="R410">
        <f t="shared" si="976"/>
        <v>49563853.277894855</v>
      </c>
      <c r="S410">
        <f t="shared" si="977"/>
        <v>495.63853277894856</v>
      </c>
      <c r="T410">
        <f t="shared" si="978"/>
        <v>0.49563853277894854</v>
      </c>
    </row>
    <row r="411" spans="1:20" x14ac:dyDescent="0.25">
      <c r="A411" s="5">
        <v>44182</v>
      </c>
      <c r="B411">
        <v>637.17999999999995</v>
      </c>
      <c r="C411">
        <v>676.25</v>
      </c>
      <c r="D411">
        <v>625.76</v>
      </c>
      <c r="E411">
        <v>642.70000000000005</v>
      </c>
      <c r="F411">
        <v>2006130.01975</v>
      </c>
      <c r="G411">
        <v>0</v>
      </c>
      <c r="L411" t="s">
        <v>8</v>
      </c>
      <c r="M411" t="s">
        <v>8</v>
      </c>
      <c r="N411" t="s">
        <v>8</v>
      </c>
      <c r="P411">
        <f t="shared" si="974"/>
        <v>-0.32897603485838578</v>
      </c>
      <c r="Q411">
        <f t="shared" si="975"/>
        <v>-659968.69930773019</v>
      </c>
      <c r="R411">
        <f t="shared" si="976"/>
        <v>49175038.233911209</v>
      </c>
      <c r="S411">
        <f t="shared" si="977"/>
        <v>491.75038233911209</v>
      </c>
      <c r="T411">
        <f t="shared" si="978"/>
        <v>0.49175038233911211</v>
      </c>
    </row>
    <row r="412" spans="1:20" x14ac:dyDescent="0.25">
      <c r="A412" s="5">
        <v>44181</v>
      </c>
      <c r="B412">
        <v>588.78</v>
      </c>
      <c r="C412">
        <v>640</v>
      </c>
      <c r="D412">
        <v>580.71</v>
      </c>
      <c r="E412">
        <v>637.17999999999995</v>
      </c>
      <c r="F412">
        <v>1185588.0507799999</v>
      </c>
      <c r="G412">
        <v>0</v>
      </c>
      <c r="L412" t="s">
        <v>8</v>
      </c>
      <c r="M412" t="s">
        <v>8</v>
      </c>
      <c r="N412" t="s">
        <v>8</v>
      </c>
      <c r="P412">
        <f t="shared" si="974"/>
        <v>0.90487434643278619</v>
      </c>
      <c r="Q412">
        <f t="shared" si="975"/>
        <v>1072808.2125880735</v>
      </c>
      <c r="R412">
        <f t="shared" si="976"/>
        <v>49835006.933218941</v>
      </c>
      <c r="S412">
        <f t="shared" si="977"/>
        <v>498.35006933218943</v>
      </c>
      <c r="T412">
        <f t="shared" si="978"/>
        <v>0.49835006933218945</v>
      </c>
    </row>
    <row r="413" spans="1:20" x14ac:dyDescent="0.25">
      <c r="A413" s="5">
        <v>44180</v>
      </c>
      <c r="B413">
        <v>586.29</v>
      </c>
      <c r="C413">
        <v>597.20000000000005</v>
      </c>
      <c r="D413">
        <v>578.58000000000004</v>
      </c>
      <c r="E413">
        <v>588.64</v>
      </c>
      <c r="F413">
        <v>569270.52011000004</v>
      </c>
      <c r="G413">
        <v>0</v>
      </c>
      <c r="L413" t="s">
        <v>8</v>
      </c>
      <c r="M413" t="s">
        <v>7</v>
      </c>
      <c r="N413" t="s">
        <v>8</v>
      </c>
      <c r="P413">
        <f t="shared" si="974"/>
        <v>8.0558539205149618E-2</v>
      </c>
      <c r="Q413">
        <f t="shared" si="975"/>
        <v>45859.601512617352</v>
      </c>
      <c r="R413">
        <f t="shared" si="976"/>
        <v>48762198.720630869</v>
      </c>
      <c r="S413">
        <f t="shared" si="977"/>
        <v>487.62198720630869</v>
      </c>
      <c r="T413">
        <f t="shared" si="978"/>
        <v>0.48762198720630867</v>
      </c>
    </row>
    <row r="414" spans="1:20" x14ac:dyDescent="0.25">
      <c r="A414" s="5">
        <v>44179</v>
      </c>
      <c r="B414">
        <v>590.80999999999995</v>
      </c>
      <c r="C414">
        <v>591.48</v>
      </c>
      <c r="D414">
        <v>575.6</v>
      </c>
      <c r="E414">
        <v>586.29</v>
      </c>
      <c r="F414">
        <v>493012.02705999999</v>
      </c>
      <c r="G414">
        <v>0</v>
      </c>
      <c r="L414" t="s">
        <v>8</v>
      </c>
      <c r="M414" t="s">
        <v>7</v>
      </c>
      <c r="N414" t="s">
        <v>8</v>
      </c>
      <c r="P414">
        <f t="shared" si="974"/>
        <v>0.34634760705288964</v>
      </c>
      <c r="Q414">
        <f t="shared" si="975"/>
        <v>170753.53582052546</v>
      </c>
      <c r="R414">
        <f t="shared" si="976"/>
        <v>48716339.119118251</v>
      </c>
      <c r="S414">
        <f t="shared" si="977"/>
        <v>487.16339119118248</v>
      </c>
      <c r="T414">
        <f t="shared" si="978"/>
        <v>0.48716339119118246</v>
      </c>
    </row>
    <row r="415" spans="1:20" x14ac:dyDescent="0.25">
      <c r="A415" s="5">
        <v>44178</v>
      </c>
      <c r="B415">
        <v>568.09</v>
      </c>
      <c r="C415">
        <v>595</v>
      </c>
      <c r="D415">
        <v>563.22</v>
      </c>
      <c r="E415">
        <v>590.70000000000005</v>
      </c>
      <c r="F415">
        <v>657794.46158</v>
      </c>
      <c r="G415">
        <v>0</v>
      </c>
      <c r="L415" t="s">
        <v>8</v>
      </c>
      <c r="M415" t="s">
        <v>7</v>
      </c>
      <c r="N415" t="s">
        <v>8</v>
      </c>
      <c r="P415">
        <f t="shared" si="974"/>
        <v>0.72938955317810206</v>
      </c>
      <c r="Q415">
        <f t="shared" si="975"/>
        <v>479788.40841486643</v>
      </c>
      <c r="R415">
        <f t="shared" si="976"/>
        <v>48545585.583297722</v>
      </c>
      <c r="S415">
        <f t="shared" si="977"/>
        <v>485.45585583297719</v>
      </c>
      <c r="T415">
        <f t="shared" si="978"/>
        <v>0.48545585583297718</v>
      </c>
    </row>
    <row r="416" spans="1:20" x14ac:dyDescent="0.25">
      <c r="A416" s="5">
        <v>44177</v>
      </c>
      <c r="B416">
        <v>544.46</v>
      </c>
      <c r="C416">
        <v>574</v>
      </c>
      <c r="D416">
        <v>543.1</v>
      </c>
      <c r="E416">
        <v>568.04</v>
      </c>
      <c r="F416">
        <v>573913.95311</v>
      </c>
      <c r="G416">
        <v>0</v>
      </c>
      <c r="L416" t="s">
        <v>8</v>
      </c>
      <c r="M416" t="s">
        <v>7</v>
      </c>
      <c r="N416" t="s">
        <v>8</v>
      </c>
      <c r="P416">
        <f t="shared" si="974"/>
        <v>0.61423948220064462</v>
      </c>
      <c r="Q416">
        <f t="shared" si="975"/>
        <v>352520.60938601143</v>
      </c>
      <c r="R416">
        <f t="shared" si="976"/>
        <v>48065797.174882859</v>
      </c>
      <c r="S416">
        <f t="shared" si="977"/>
        <v>480.65797174882857</v>
      </c>
      <c r="T416">
        <f t="shared" si="978"/>
        <v>0.48065797174882857</v>
      </c>
    </row>
    <row r="417" spans="1:20" x14ac:dyDescent="0.25">
      <c r="A417" s="5">
        <v>44176</v>
      </c>
      <c r="B417">
        <v>558.99</v>
      </c>
      <c r="C417">
        <v>560.79999999999995</v>
      </c>
      <c r="D417">
        <v>535.5</v>
      </c>
      <c r="E417">
        <v>544.42999999999995</v>
      </c>
      <c r="F417">
        <v>768921.78316999995</v>
      </c>
      <c r="G417">
        <v>0</v>
      </c>
      <c r="L417" t="s">
        <v>8</v>
      </c>
      <c r="M417" t="s">
        <v>7</v>
      </c>
      <c r="N417" t="s">
        <v>8</v>
      </c>
      <c r="P417">
        <f t="shared" si="974"/>
        <v>-0.29407114624506198</v>
      </c>
      <c r="Q417">
        <f t="shared" si="975"/>
        <v>-226117.71014959889</v>
      </c>
      <c r="R417">
        <f t="shared" si="976"/>
        <v>47713276.565496847</v>
      </c>
      <c r="S417">
        <f t="shared" si="977"/>
        <v>477.13276565496847</v>
      </c>
      <c r="T417">
        <f t="shared" si="978"/>
        <v>0.47713276565496848</v>
      </c>
    </row>
    <row r="418" spans="1:20" x14ac:dyDescent="0.25">
      <c r="A418" s="5">
        <v>44175</v>
      </c>
      <c r="B418">
        <v>573.20000000000005</v>
      </c>
      <c r="C418">
        <v>575.70000000000005</v>
      </c>
      <c r="D418">
        <v>548.11</v>
      </c>
      <c r="E418">
        <v>558.99</v>
      </c>
      <c r="F418">
        <v>608414.51465999999</v>
      </c>
      <c r="G418">
        <v>0</v>
      </c>
      <c r="L418" t="s">
        <v>8</v>
      </c>
      <c r="M418" t="s">
        <v>7</v>
      </c>
      <c r="N418" t="s">
        <v>8</v>
      </c>
      <c r="P418">
        <f t="shared" si="974"/>
        <v>-0.21130844508880153</v>
      </c>
      <c r="Q418">
        <f t="shared" si="975"/>
        <v>-128563.12506226244</v>
      </c>
      <c r="R418">
        <f t="shared" si="976"/>
        <v>47939394.275646448</v>
      </c>
      <c r="S418">
        <f t="shared" si="977"/>
        <v>479.39394275646447</v>
      </c>
      <c r="T418">
        <f t="shared" si="978"/>
        <v>0.47939394275646446</v>
      </c>
    </row>
    <row r="419" spans="1:20" x14ac:dyDescent="0.25">
      <c r="A419" s="5">
        <v>44174</v>
      </c>
      <c r="B419">
        <v>554.91999999999996</v>
      </c>
      <c r="C419">
        <v>578.08000000000004</v>
      </c>
      <c r="D419">
        <v>530.42999999999995</v>
      </c>
      <c r="E419">
        <v>573.09</v>
      </c>
      <c r="F419">
        <v>997192.16738</v>
      </c>
      <c r="G419">
        <v>0</v>
      </c>
      <c r="L419" t="s">
        <v>7</v>
      </c>
      <c r="M419" t="s">
        <v>7</v>
      </c>
      <c r="N419" t="s">
        <v>8</v>
      </c>
      <c r="P419">
        <f t="shared" si="974"/>
        <v>0.79055613850996853</v>
      </c>
      <c r="Q419">
        <f t="shared" si="975"/>
        <v>788336.38919631904</v>
      </c>
      <c r="R419">
        <f t="shared" si="976"/>
        <v>48067957.400708713</v>
      </c>
      <c r="S419">
        <f t="shared" si="977"/>
        <v>480.67957400708713</v>
      </c>
      <c r="T419">
        <f t="shared" si="978"/>
        <v>0.48067957400708711</v>
      </c>
    </row>
    <row r="420" spans="1:20" x14ac:dyDescent="0.25">
      <c r="A420" s="5">
        <v>44173</v>
      </c>
      <c r="B420">
        <v>591.27</v>
      </c>
      <c r="C420">
        <v>595</v>
      </c>
      <c r="D420">
        <v>549.22</v>
      </c>
      <c r="E420">
        <v>554.94000000000005</v>
      </c>
      <c r="F420">
        <v>804443.00717</v>
      </c>
      <c r="G420">
        <v>0</v>
      </c>
      <c r="L420" t="s">
        <v>7</v>
      </c>
      <c r="M420" t="s">
        <v>8</v>
      </c>
      <c r="N420" t="s">
        <v>8</v>
      </c>
      <c r="P420">
        <f t="shared" si="974"/>
        <v>-0.75010921799912489</v>
      </c>
      <c r="Q420">
        <f t="shared" si="975"/>
        <v>-603420.1150331531</v>
      </c>
      <c r="R420">
        <f t="shared" si="976"/>
        <v>47279621.011512391</v>
      </c>
      <c r="S420">
        <f t="shared" si="977"/>
        <v>472.79621011512393</v>
      </c>
      <c r="T420">
        <f t="shared" si="978"/>
        <v>0.4727962101151239</v>
      </c>
    </row>
    <row r="421" spans="1:20" x14ac:dyDescent="0.25">
      <c r="A421" s="5">
        <v>44172</v>
      </c>
      <c r="B421">
        <v>601.59</v>
      </c>
      <c r="C421">
        <v>603.15</v>
      </c>
      <c r="D421">
        <v>584.22</v>
      </c>
      <c r="E421">
        <v>591.28</v>
      </c>
      <c r="F421">
        <v>498329.37589000002</v>
      </c>
      <c r="G421">
        <v>0</v>
      </c>
      <c r="L421" t="s">
        <v>8</v>
      </c>
      <c r="M421" t="s">
        <v>8</v>
      </c>
      <c r="N421" t="s">
        <v>8</v>
      </c>
      <c r="P421">
        <f t="shared" si="974"/>
        <v>-0.25409403063920083</v>
      </c>
      <c r="Q421">
        <f t="shared" si="975"/>
        <v>-126622.5197058075</v>
      </c>
      <c r="R421">
        <f t="shared" si="976"/>
        <v>47883041.126545541</v>
      </c>
      <c r="S421">
        <f t="shared" si="977"/>
        <v>478.83041126545538</v>
      </c>
      <c r="T421">
        <f t="shared" si="978"/>
        <v>0.47883041126545539</v>
      </c>
    </row>
    <row r="422" spans="1:20" x14ac:dyDescent="0.25">
      <c r="A422" s="5">
        <v>44171</v>
      </c>
      <c r="B422">
        <v>596.82000000000005</v>
      </c>
      <c r="C422">
        <v>607.5</v>
      </c>
      <c r="D422">
        <v>583</v>
      </c>
      <c r="E422">
        <v>601.54</v>
      </c>
      <c r="F422">
        <v>602496.96339000005</v>
      </c>
      <c r="G422">
        <v>0</v>
      </c>
      <c r="L422" t="s">
        <v>8</v>
      </c>
      <c r="M422" t="s">
        <v>8</v>
      </c>
      <c r="N422" t="s">
        <v>8</v>
      </c>
      <c r="P422">
        <f t="shared" si="974"/>
        <v>0.51346938775509909</v>
      </c>
      <c r="Q422">
        <f t="shared" si="975"/>
        <v>309363.74691616965</v>
      </c>
      <c r="R422">
        <f t="shared" si="976"/>
        <v>48009663.646251351</v>
      </c>
      <c r="S422">
        <f t="shared" si="977"/>
        <v>480.09663646251352</v>
      </c>
      <c r="T422">
        <f t="shared" si="978"/>
        <v>0.48009663646251349</v>
      </c>
    </row>
    <row r="423" spans="1:20" x14ac:dyDescent="0.25">
      <c r="A423" s="5">
        <v>44170</v>
      </c>
      <c r="B423">
        <v>567.24</v>
      </c>
      <c r="C423">
        <v>597.11</v>
      </c>
      <c r="D423">
        <v>560.88</v>
      </c>
      <c r="E423">
        <v>596.79999999999995</v>
      </c>
      <c r="F423">
        <v>701567.95563999994</v>
      </c>
      <c r="G423">
        <v>0</v>
      </c>
      <c r="L423" t="s">
        <v>7</v>
      </c>
      <c r="M423" t="s">
        <v>8</v>
      </c>
      <c r="N423" t="s">
        <v>8</v>
      </c>
      <c r="P423">
        <f t="shared" si="974"/>
        <v>0.98288711012972352</v>
      </c>
      <c r="Q423">
        <f t="shared" si="975"/>
        <v>689562.10047861759</v>
      </c>
      <c r="R423">
        <f t="shared" si="976"/>
        <v>47700299.899335183</v>
      </c>
      <c r="S423">
        <f t="shared" si="977"/>
        <v>477.00299899335181</v>
      </c>
      <c r="T423">
        <f t="shared" si="978"/>
        <v>0.4770029989933518</v>
      </c>
    </row>
    <row r="424" spans="1:20" x14ac:dyDescent="0.25">
      <c r="A424" s="5">
        <v>44169</v>
      </c>
      <c r="B424">
        <v>615.84</v>
      </c>
      <c r="C424">
        <v>620</v>
      </c>
      <c r="D424">
        <v>565.82000000000005</v>
      </c>
      <c r="E424">
        <v>567.24</v>
      </c>
      <c r="F424">
        <v>1052452.78666</v>
      </c>
      <c r="G424">
        <v>0</v>
      </c>
      <c r="L424" t="s">
        <v>7</v>
      </c>
      <c r="M424" t="s">
        <v>8</v>
      </c>
      <c r="N424" t="s">
        <v>8</v>
      </c>
      <c r="P424">
        <f t="shared" si="974"/>
        <v>-0.94758213362864674</v>
      </c>
      <c r="Q424">
        <f t="shared" si="975"/>
        <v>-997285.45712669776</v>
      </c>
      <c r="R424">
        <f t="shared" si="976"/>
        <v>47010737.798856564</v>
      </c>
      <c r="S424">
        <f t="shared" si="977"/>
        <v>470.10737798856564</v>
      </c>
      <c r="T424">
        <f t="shared" si="978"/>
        <v>0.47010737798856567</v>
      </c>
    </row>
    <row r="425" spans="1:20" x14ac:dyDescent="0.25">
      <c r="A425" s="5">
        <v>44168</v>
      </c>
      <c r="B425">
        <v>596.88</v>
      </c>
      <c r="C425">
        <v>623.44000000000005</v>
      </c>
      <c r="D425">
        <v>585.82000000000005</v>
      </c>
      <c r="E425">
        <v>615.85</v>
      </c>
      <c r="F425">
        <v>935687.91723000002</v>
      </c>
      <c r="G425">
        <v>0</v>
      </c>
      <c r="L425" t="s">
        <v>8</v>
      </c>
      <c r="M425" t="s">
        <v>8</v>
      </c>
      <c r="N425" t="s">
        <v>8</v>
      </c>
      <c r="P425">
        <f t="shared" si="974"/>
        <v>0.59649122807017374</v>
      </c>
      <c r="Q425">
        <f t="shared" si="975"/>
        <v>558129.63483894581</v>
      </c>
      <c r="R425">
        <f t="shared" si="976"/>
        <v>48008023.255983263</v>
      </c>
      <c r="S425">
        <f t="shared" si="977"/>
        <v>480.08023255983261</v>
      </c>
      <c r="T425">
        <f t="shared" si="978"/>
        <v>0.48008023255983262</v>
      </c>
    </row>
    <row r="426" spans="1:20" x14ac:dyDescent="0.25">
      <c r="A426" s="5">
        <v>44167</v>
      </c>
      <c r="B426">
        <v>585.26</v>
      </c>
      <c r="C426">
        <v>604.92999999999995</v>
      </c>
      <c r="D426">
        <v>575</v>
      </c>
      <c r="E426">
        <v>596.89</v>
      </c>
      <c r="F426">
        <v>1069538.65619</v>
      </c>
      <c r="G426">
        <v>0</v>
      </c>
      <c r="L426" t="s">
        <v>7</v>
      </c>
      <c r="M426" t="s">
        <v>8</v>
      </c>
      <c r="N426" t="s">
        <v>8</v>
      </c>
      <c r="P426">
        <f t="shared" si="974"/>
        <v>0.46274640828600222</v>
      </c>
      <c r="Q426">
        <f t="shared" si="975"/>
        <v>494925.17167495989</v>
      </c>
      <c r="R426">
        <f t="shared" si="976"/>
        <v>47449893.621144317</v>
      </c>
      <c r="S426">
        <f t="shared" si="977"/>
        <v>474.49893621144315</v>
      </c>
      <c r="T426">
        <f t="shared" si="978"/>
        <v>0.47449893621144318</v>
      </c>
    </row>
    <row r="427" spans="1:20" x14ac:dyDescent="0.25">
      <c r="A427" s="5">
        <v>44166</v>
      </c>
      <c r="B427">
        <v>616.65</v>
      </c>
      <c r="C427">
        <v>635.70000000000005</v>
      </c>
      <c r="D427">
        <v>560</v>
      </c>
      <c r="E427">
        <v>585.26</v>
      </c>
      <c r="F427">
        <v>2163875.8137599998</v>
      </c>
      <c r="G427">
        <v>0</v>
      </c>
      <c r="L427" t="s">
        <v>8</v>
      </c>
      <c r="M427" t="s">
        <v>8</v>
      </c>
      <c r="N427" t="s">
        <v>8</v>
      </c>
      <c r="P427">
        <f t="shared" si="974"/>
        <v>-0.33262879788639432</v>
      </c>
      <c r="Q427">
        <f t="shared" si="975"/>
        <v>-719767.41070643207</v>
      </c>
      <c r="R427">
        <f t="shared" si="976"/>
        <v>46954968.449469358</v>
      </c>
      <c r="S427">
        <f t="shared" si="977"/>
        <v>469.54968449469357</v>
      </c>
      <c r="T427">
        <f t="shared" si="978"/>
        <v>0.46954968449469359</v>
      </c>
    </row>
    <row r="428" spans="1:20" x14ac:dyDescent="0.25">
      <c r="A428" s="5">
        <v>44165</v>
      </c>
      <c r="B428">
        <v>576.32000000000005</v>
      </c>
      <c r="C428">
        <v>616.85</v>
      </c>
      <c r="D428">
        <v>570.07000000000005</v>
      </c>
      <c r="E428">
        <v>616.66</v>
      </c>
      <c r="F428">
        <v>1501989.4540800001</v>
      </c>
      <c r="G428">
        <v>0</v>
      </c>
      <c r="L428" t="s">
        <v>8</v>
      </c>
      <c r="M428" t="s">
        <v>8</v>
      </c>
      <c r="N428" t="s">
        <v>8</v>
      </c>
      <c r="P428">
        <f t="shared" si="974"/>
        <v>0.99187687045745809</v>
      </c>
      <c r="Q428">
        <f t="shared" si="975"/>
        <v>1489788.5991729763</v>
      </c>
      <c r="R428">
        <f t="shared" si="976"/>
        <v>47674735.860175788</v>
      </c>
      <c r="S428">
        <f t="shared" si="977"/>
        <v>476.74735860175787</v>
      </c>
      <c r="T428">
        <f t="shared" si="978"/>
        <v>0.47674735860175788</v>
      </c>
    </row>
    <row r="429" spans="1:20" x14ac:dyDescent="0.25">
      <c r="A429" s="5">
        <v>44164</v>
      </c>
      <c r="B429">
        <v>537.5</v>
      </c>
      <c r="C429">
        <v>576.9</v>
      </c>
      <c r="D429">
        <v>530.32000000000005</v>
      </c>
      <c r="E429">
        <v>576.29999999999995</v>
      </c>
      <c r="F429">
        <v>855276.46664</v>
      </c>
      <c r="G429">
        <v>0</v>
      </c>
      <c r="L429" t="s">
        <v>8</v>
      </c>
      <c r="M429" t="s">
        <v>8</v>
      </c>
      <c r="N429" t="s">
        <v>8</v>
      </c>
      <c r="P429">
        <f t="shared" si="974"/>
        <v>0.97423787033061293</v>
      </c>
      <c r="Q429">
        <f t="shared" si="975"/>
        <v>833242.72340324509</v>
      </c>
      <c r="R429">
        <f t="shared" si="976"/>
        <v>46184947.261002809</v>
      </c>
      <c r="S429">
        <f t="shared" si="977"/>
        <v>461.8494726100281</v>
      </c>
      <c r="T429">
        <f t="shared" si="978"/>
        <v>0.46184947261002812</v>
      </c>
    </row>
    <row r="430" spans="1:20" x14ac:dyDescent="0.25">
      <c r="A430" s="5">
        <v>44163</v>
      </c>
      <c r="B430">
        <v>518.59</v>
      </c>
      <c r="C430">
        <v>547.94000000000005</v>
      </c>
      <c r="D430">
        <v>506.59</v>
      </c>
      <c r="E430">
        <v>537.52</v>
      </c>
      <c r="F430">
        <v>900508.61430999998</v>
      </c>
      <c r="G430">
        <v>0</v>
      </c>
      <c r="L430" t="s">
        <v>8</v>
      </c>
      <c r="M430" t="s">
        <v>7</v>
      </c>
      <c r="N430" t="s">
        <v>8</v>
      </c>
      <c r="P430">
        <f t="shared" si="974"/>
        <v>0.49600967351873987</v>
      </c>
      <c r="Q430">
        <f t="shared" si="975"/>
        <v>446660.98378471594</v>
      </c>
      <c r="R430">
        <f t="shared" si="976"/>
        <v>45351704.537599564</v>
      </c>
      <c r="S430">
        <f t="shared" si="977"/>
        <v>453.51704537599562</v>
      </c>
      <c r="T430">
        <f t="shared" si="978"/>
        <v>0.45351704537599563</v>
      </c>
    </row>
    <row r="431" spans="1:20" x14ac:dyDescent="0.25">
      <c r="A431" s="5">
        <v>44162</v>
      </c>
      <c r="B431">
        <v>519.83000000000004</v>
      </c>
      <c r="C431">
        <v>530.62</v>
      </c>
      <c r="D431">
        <v>493.72</v>
      </c>
      <c r="E431">
        <v>518.67999999999995</v>
      </c>
      <c r="F431">
        <v>1088064.2811400001</v>
      </c>
      <c r="G431">
        <v>0</v>
      </c>
      <c r="L431" t="s">
        <v>8</v>
      </c>
      <c r="M431" t="s">
        <v>7</v>
      </c>
      <c r="N431" t="s">
        <v>8</v>
      </c>
      <c r="P431">
        <f t="shared" si="974"/>
        <v>0.35284552845528122</v>
      </c>
      <c r="Q431">
        <f t="shared" si="975"/>
        <v>383918.61627215904</v>
      </c>
      <c r="R431">
        <f t="shared" si="976"/>
        <v>44905043.553814851</v>
      </c>
      <c r="S431">
        <f t="shared" si="977"/>
        <v>449.05043553814852</v>
      </c>
      <c r="T431">
        <f t="shared" si="978"/>
        <v>0.4490504355381485</v>
      </c>
    </row>
    <row r="432" spans="1:20" x14ac:dyDescent="0.25">
      <c r="A432" s="5">
        <v>44161</v>
      </c>
      <c r="B432">
        <v>569.38</v>
      </c>
      <c r="C432">
        <v>577.14</v>
      </c>
      <c r="D432">
        <v>481</v>
      </c>
      <c r="E432">
        <v>519.83000000000004</v>
      </c>
      <c r="F432">
        <v>2683460.7417100002</v>
      </c>
      <c r="G432">
        <v>0</v>
      </c>
      <c r="L432" t="s">
        <v>7</v>
      </c>
      <c r="M432" t="s">
        <v>7</v>
      </c>
      <c r="N432" t="s">
        <v>8</v>
      </c>
      <c r="P432">
        <f t="shared" si="974"/>
        <v>-0.1922196796338663</v>
      </c>
      <c r="Q432">
        <f t="shared" si="975"/>
        <v>-515813.96408155345</v>
      </c>
      <c r="R432">
        <f t="shared" si="976"/>
        <v>44521124.937542692</v>
      </c>
      <c r="S432">
        <f t="shared" si="977"/>
        <v>445.21124937542692</v>
      </c>
      <c r="T432">
        <f t="shared" si="978"/>
        <v>0.44521124937542694</v>
      </c>
    </row>
    <row r="433" spans="1:20" x14ac:dyDescent="0.25">
      <c r="A433" s="5">
        <v>44160</v>
      </c>
      <c r="B433">
        <v>604.98</v>
      </c>
      <c r="C433">
        <v>606</v>
      </c>
      <c r="D433">
        <v>553.83000000000004</v>
      </c>
      <c r="E433">
        <v>569.5</v>
      </c>
      <c r="F433">
        <v>1219440.02727</v>
      </c>
      <c r="G433">
        <v>0</v>
      </c>
      <c r="L433" t="s">
        <v>7</v>
      </c>
      <c r="M433" t="s">
        <v>8</v>
      </c>
      <c r="N433" t="s">
        <v>8</v>
      </c>
      <c r="P433">
        <f t="shared" si="974"/>
        <v>-0.39927161203757056</v>
      </c>
      <c r="Q433">
        <f t="shared" si="975"/>
        <v>-486887.78547123191</v>
      </c>
      <c r="R433">
        <f t="shared" si="976"/>
        <v>45036938.901624247</v>
      </c>
      <c r="S433">
        <f t="shared" si="977"/>
        <v>450.36938901624245</v>
      </c>
      <c r="T433">
        <f t="shared" si="978"/>
        <v>0.45036938901624246</v>
      </c>
    </row>
    <row r="434" spans="1:20" x14ac:dyDescent="0.25">
      <c r="A434" s="5">
        <v>44159</v>
      </c>
      <c r="B434">
        <v>608.58000000000004</v>
      </c>
      <c r="C434">
        <v>623</v>
      </c>
      <c r="D434">
        <v>585</v>
      </c>
      <c r="E434">
        <v>604.97</v>
      </c>
      <c r="F434">
        <v>1606450.49193</v>
      </c>
      <c r="G434">
        <v>0</v>
      </c>
      <c r="L434" t="s">
        <v>8</v>
      </c>
      <c r="M434" t="s">
        <v>8</v>
      </c>
      <c r="N434" t="s">
        <v>8</v>
      </c>
      <c r="P434">
        <f t="shared" si="974"/>
        <v>5.1052631578948807E-2</v>
      </c>
      <c r="Q434">
        <f t="shared" si="975"/>
        <v>82013.525114323362</v>
      </c>
      <c r="R434">
        <f t="shared" si="976"/>
        <v>45523826.687095478</v>
      </c>
      <c r="S434">
        <f t="shared" si="977"/>
        <v>455.23826687095476</v>
      </c>
      <c r="T434">
        <f t="shared" si="978"/>
        <v>0.45523826687095476</v>
      </c>
    </row>
    <row r="435" spans="1:20" x14ac:dyDescent="0.25">
      <c r="A435" s="5">
        <v>44158</v>
      </c>
      <c r="B435">
        <v>560.03</v>
      </c>
      <c r="C435">
        <v>610.85</v>
      </c>
      <c r="D435">
        <v>550.12</v>
      </c>
      <c r="E435">
        <v>608.58000000000004</v>
      </c>
      <c r="F435">
        <v>2076008.84846</v>
      </c>
      <c r="G435">
        <v>0</v>
      </c>
      <c r="L435" t="s">
        <v>8</v>
      </c>
      <c r="M435" t="s">
        <v>8</v>
      </c>
      <c r="N435" t="s">
        <v>8</v>
      </c>
      <c r="P435">
        <f t="shared" si="974"/>
        <v>0.92524287831384877</v>
      </c>
      <c r="Q435">
        <f t="shared" si="975"/>
        <v>1920812.4023541491</v>
      </c>
      <c r="R435">
        <f t="shared" si="976"/>
        <v>45441813.161981158</v>
      </c>
      <c r="S435">
        <f t="shared" si="977"/>
        <v>454.41813161981156</v>
      </c>
      <c r="T435">
        <f t="shared" si="978"/>
        <v>0.45441813161981154</v>
      </c>
    </row>
    <row r="436" spans="1:20" x14ac:dyDescent="0.25">
      <c r="A436" s="5">
        <v>44157</v>
      </c>
      <c r="B436">
        <v>552.41999999999996</v>
      </c>
      <c r="C436">
        <v>580.88</v>
      </c>
      <c r="D436">
        <v>511.28</v>
      </c>
      <c r="E436">
        <v>560.03</v>
      </c>
      <c r="F436">
        <v>1850317.9358099999</v>
      </c>
      <c r="G436">
        <v>0</v>
      </c>
      <c r="L436" t="s">
        <v>8</v>
      </c>
      <c r="M436" t="s">
        <v>8</v>
      </c>
      <c r="N436" t="s">
        <v>8</v>
      </c>
      <c r="P436">
        <f t="shared" si="974"/>
        <v>0.40086206896551679</v>
      </c>
      <c r="Q436">
        <f t="shared" si="975"/>
        <v>741722.27599280083</v>
      </c>
      <c r="R436">
        <f t="shared" si="976"/>
        <v>43521000.759627007</v>
      </c>
      <c r="S436">
        <f t="shared" si="977"/>
        <v>435.21000759627009</v>
      </c>
      <c r="T436">
        <f t="shared" si="978"/>
        <v>0.4352100075962701</v>
      </c>
    </row>
    <row r="437" spans="1:20" x14ac:dyDescent="0.25">
      <c r="A437" s="5">
        <v>44156</v>
      </c>
      <c r="B437">
        <v>510.12</v>
      </c>
      <c r="C437">
        <v>553.32000000000005</v>
      </c>
      <c r="D437">
        <v>502.82</v>
      </c>
      <c r="E437">
        <v>552.35</v>
      </c>
      <c r="F437">
        <v>1548851.29067</v>
      </c>
      <c r="G437">
        <v>0</v>
      </c>
      <c r="L437" t="s">
        <v>8</v>
      </c>
      <c r="M437" t="s">
        <v>8</v>
      </c>
      <c r="N437" t="s">
        <v>8</v>
      </c>
      <c r="P437">
        <f t="shared" si="974"/>
        <v>0.96158415841584055</v>
      </c>
      <c r="Q437">
        <f t="shared" si="975"/>
        <v>1489350.8648502005</v>
      </c>
      <c r="R437">
        <f t="shared" si="976"/>
        <v>42779278.483634204</v>
      </c>
      <c r="S437">
        <f t="shared" si="977"/>
        <v>427.79278483634204</v>
      </c>
      <c r="T437">
        <f t="shared" si="978"/>
        <v>0.42779278483634203</v>
      </c>
    </row>
    <row r="438" spans="1:20" x14ac:dyDescent="0.25">
      <c r="A438" s="5">
        <v>44155</v>
      </c>
      <c r="B438">
        <v>471.26</v>
      </c>
      <c r="C438">
        <v>514.4</v>
      </c>
      <c r="D438">
        <v>470.65</v>
      </c>
      <c r="E438">
        <v>510.12</v>
      </c>
      <c r="F438">
        <v>1516361.9073600001</v>
      </c>
      <c r="G438">
        <v>0</v>
      </c>
      <c r="L438" t="s">
        <v>8</v>
      </c>
      <c r="M438" t="s">
        <v>8</v>
      </c>
      <c r="N438" t="s">
        <v>8</v>
      </c>
      <c r="P438">
        <f t="shared" si="974"/>
        <v>0.80434285714285836</v>
      </c>
      <c r="Q438">
        <f t="shared" si="975"/>
        <v>1219674.8690285368</v>
      </c>
      <c r="R438">
        <f t="shared" si="976"/>
        <v>41289927.618784003</v>
      </c>
      <c r="S438">
        <f t="shared" si="977"/>
        <v>412.89927618784003</v>
      </c>
      <c r="T438">
        <f t="shared" si="978"/>
        <v>0.41289927618784</v>
      </c>
    </row>
    <row r="439" spans="1:20" x14ac:dyDescent="0.25">
      <c r="A439" s="5">
        <v>44154</v>
      </c>
      <c r="B439">
        <v>478.43</v>
      </c>
      <c r="C439">
        <v>480.75</v>
      </c>
      <c r="D439">
        <v>464.86</v>
      </c>
      <c r="E439">
        <v>471.25</v>
      </c>
      <c r="F439">
        <v>817418.52685000002</v>
      </c>
      <c r="G439">
        <v>0</v>
      </c>
      <c r="L439" t="s">
        <v>8</v>
      </c>
      <c r="M439" t="s">
        <v>8</v>
      </c>
      <c r="N439" t="s">
        <v>8</v>
      </c>
      <c r="P439">
        <f t="shared" si="974"/>
        <v>-0.19572057898049189</v>
      </c>
      <c r="Q439">
        <f t="shared" si="975"/>
        <v>-159985.62734446276</v>
      </c>
      <c r="R439">
        <f t="shared" si="976"/>
        <v>40070252.749755464</v>
      </c>
      <c r="S439">
        <f t="shared" si="977"/>
        <v>400.70252749755463</v>
      </c>
      <c r="T439">
        <f t="shared" si="978"/>
        <v>0.40070252749755464</v>
      </c>
    </row>
    <row r="440" spans="1:20" x14ac:dyDescent="0.25">
      <c r="A440" s="5">
        <v>44153</v>
      </c>
      <c r="B440">
        <v>482.11</v>
      </c>
      <c r="C440">
        <v>495.31</v>
      </c>
      <c r="D440">
        <v>456.6</v>
      </c>
      <c r="E440">
        <v>478.41</v>
      </c>
      <c r="F440">
        <v>1477696.29116</v>
      </c>
      <c r="G440">
        <v>0</v>
      </c>
      <c r="L440" t="s">
        <v>8</v>
      </c>
      <c r="M440" t="s">
        <v>8</v>
      </c>
      <c r="N440" t="s">
        <v>8</v>
      </c>
      <c r="P440">
        <f t="shared" si="974"/>
        <v>0.12684060966158686</v>
      </c>
      <c r="Q440">
        <f t="shared" si="975"/>
        <v>187431.89846540018</v>
      </c>
      <c r="R440">
        <f t="shared" si="976"/>
        <v>40230238.377099924</v>
      </c>
      <c r="S440">
        <f t="shared" si="977"/>
        <v>402.30238377099926</v>
      </c>
      <c r="T440">
        <f t="shared" si="978"/>
        <v>0.40230238377099925</v>
      </c>
    </row>
    <row r="441" spans="1:20" x14ac:dyDescent="0.25">
      <c r="A441" s="5">
        <v>44152</v>
      </c>
      <c r="B441">
        <v>460.51</v>
      </c>
      <c r="C441">
        <v>484.88</v>
      </c>
      <c r="D441">
        <v>459.8</v>
      </c>
      <c r="E441">
        <v>482.15</v>
      </c>
      <c r="F441">
        <v>1151573.3745599999</v>
      </c>
      <c r="G441">
        <v>0</v>
      </c>
      <c r="L441" t="s">
        <v>8</v>
      </c>
      <c r="M441" t="s">
        <v>8</v>
      </c>
      <c r="N441" t="s">
        <v>8</v>
      </c>
      <c r="P441">
        <f t="shared" si="974"/>
        <v>0.78229665071770171</v>
      </c>
      <c r="Q441">
        <f t="shared" si="975"/>
        <v>900871.99397396937</v>
      </c>
      <c r="R441">
        <f t="shared" si="976"/>
        <v>40042806.478634521</v>
      </c>
      <c r="S441">
        <f t="shared" si="977"/>
        <v>400.4280647863452</v>
      </c>
      <c r="T441">
        <f t="shared" si="978"/>
        <v>0.40042806478634518</v>
      </c>
    </row>
    <row r="442" spans="1:20" x14ac:dyDescent="0.25">
      <c r="A442" s="5">
        <v>44151</v>
      </c>
      <c r="B442">
        <v>448.07</v>
      </c>
      <c r="C442">
        <v>466</v>
      </c>
      <c r="D442">
        <v>445.45</v>
      </c>
      <c r="E442">
        <v>460.55</v>
      </c>
      <c r="F442">
        <v>812060.44637999998</v>
      </c>
      <c r="G442">
        <v>0</v>
      </c>
      <c r="L442" t="s">
        <v>7</v>
      </c>
      <c r="M442" t="s">
        <v>8</v>
      </c>
      <c r="N442" t="s">
        <v>8</v>
      </c>
      <c r="P442">
        <f t="shared" si="974"/>
        <v>0.46958637469586517</v>
      </c>
      <c r="Q442">
        <f t="shared" si="975"/>
        <v>381332.5210494902</v>
      </c>
      <c r="R442">
        <f t="shared" si="976"/>
        <v>39141934.484660551</v>
      </c>
      <c r="S442">
        <f t="shared" si="977"/>
        <v>391.4193448466055</v>
      </c>
      <c r="T442">
        <f t="shared" si="978"/>
        <v>0.39141934484660551</v>
      </c>
    </row>
    <row r="443" spans="1:20" x14ac:dyDescent="0.25">
      <c r="A443" s="5">
        <v>44150</v>
      </c>
      <c r="B443">
        <v>460.9</v>
      </c>
      <c r="C443">
        <v>462.89</v>
      </c>
      <c r="D443">
        <v>440.19</v>
      </c>
      <c r="E443">
        <v>448.08</v>
      </c>
      <c r="F443">
        <v>665217.56671000004</v>
      </c>
      <c r="G443">
        <v>0</v>
      </c>
      <c r="L443" t="s">
        <v>7</v>
      </c>
      <c r="M443" t="s">
        <v>8</v>
      </c>
      <c r="N443" t="s">
        <v>8</v>
      </c>
      <c r="P443">
        <f t="shared" si="974"/>
        <v>-0.30484581497797442</v>
      </c>
      <c r="Q443">
        <f t="shared" si="975"/>
        <v>-202788.79126137504</v>
      </c>
      <c r="R443">
        <f t="shared" si="976"/>
        <v>38760601.963611059</v>
      </c>
      <c r="S443">
        <f t="shared" si="977"/>
        <v>387.6060196361106</v>
      </c>
      <c r="T443">
        <f t="shared" si="978"/>
        <v>0.38760601963611058</v>
      </c>
    </row>
    <row r="444" spans="1:20" x14ac:dyDescent="0.25">
      <c r="A444" s="5">
        <v>44149</v>
      </c>
      <c r="B444">
        <v>476.42</v>
      </c>
      <c r="C444">
        <v>477.47</v>
      </c>
      <c r="D444">
        <v>452</v>
      </c>
      <c r="E444">
        <v>460.89</v>
      </c>
      <c r="F444">
        <v>735252.78540000005</v>
      </c>
      <c r="G444">
        <v>0</v>
      </c>
      <c r="L444" t="s">
        <v>8</v>
      </c>
      <c r="M444" t="s">
        <v>8</v>
      </c>
      <c r="N444" t="s">
        <v>8</v>
      </c>
      <c r="P444">
        <f t="shared" si="974"/>
        <v>-0.30192383195916944</v>
      </c>
      <c r="Q444">
        <f t="shared" si="975"/>
        <v>-221990.33842662087</v>
      </c>
      <c r="R444">
        <f t="shared" si="976"/>
        <v>38963390.754872434</v>
      </c>
      <c r="S444">
        <f t="shared" si="977"/>
        <v>389.63390754872432</v>
      </c>
      <c r="T444">
        <f t="shared" si="978"/>
        <v>0.38963390754872435</v>
      </c>
    </row>
    <row r="445" spans="1:20" x14ac:dyDescent="0.25">
      <c r="A445" s="5">
        <v>44148</v>
      </c>
      <c r="B445">
        <v>462.48</v>
      </c>
      <c r="C445">
        <v>478.01</v>
      </c>
      <c r="D445">
        <v>457.12</v>
      </c>
      <c r="E445">
        <v>476.43</v>
      </c>
      <c r="F445">
        <v>976665.09751999995</v>
      </c>
      <c r="G445">
        <v>0</v>
      </c>
      <c r="L445" t="s">
        <v>8</v>
      </c>
      <c r="M445" t="s">
        <v>8</v>
      </c>
      <c r="N445" t="s">
        <v>8</v>
      </c>
      <c r="P445">
        <f t="shared" si="974"/>
        <v>0.8487314504547645</v>
      </c>
      <c r="Q445">
        <f t="shared" si="975"/>
        <v>828926.38482669357</v>
      </c>
      <c r="R445">
        <f t="shared" si="976"/>
        <v>39185381.093299054</v>
      </c>
      <c r="S445">
        <f t="shared" si="977"/>
        <v>391.85381093299054</v>
      </c>
      <c r="T445">
        <f t="shared" si="978"/>
        <v>0.39185381093299054</v>
      </c>
    </row>
    <row r="446" spans="1:20" x14ac:dyDescent="0.25">
      <c r="A446" s="5">
        <v>44147</v>
      </c>
      <c r="B446">
        <v>463.09</v>
      </c>
      <c r="C446">
        <v>470</v>
      </c>
      <c r="D446">
        <v>451.2</v>
      </c>
      <c r="E446">
        <v>462.39</v>
      </c>
      <c r="F446">
        <v>990776.62912000006</v>
      </c>
      <c r="G446">
        <v>0</v>
      </c>
      <c r="L446" t="s">
        <v>8</v>
      </c>
      <c r="M446" t="s">
        <v>8</v>
      </c>
      <c r="N446" t="s">
        <v>8</v>
      </c>
      <c r="P446">
        <f t="shared" si="974"/>
        <v>0.19042553191489264</v>
      </c>
      <c r="Q446">
        <f t="shared" si="975"/>
        <v>188669.16660902032</v>
      </c>
      <c r="R446">
        <f t="shared" si="976"/>
        <v>38356454.708472364</v>
      </c>
      <c r="S446">
        <f t="shared" si="977"/>
        <v>383.56454708472364</v>
      </c>
      <c r="T446">
        <f t="shared" si="978"/>
        <v>0.38356454708472365</v>
      </c>
    </row>
    <row r="447" spans="1:20" x14ac:dyDescent="0.25">
      <c r="A447" s="5">
        <v>44146</v>
      </c>
      <c r="B447">
        <v>450.34</v>
      </c>
      <c r="C447">
        <v>476.25</v>
      </c>
      <c r="D447">
        <v>449.28</v>
      </c>
      <c r="E447">
        <v>463.09</v>
      </c>
      <c r="F447">
        <v>1205782.84262</v>
      </c>
      <c r="G447">
        <v>0</v>
      </c>
      <c r="L447" t="s">
        <v>8</v>
      </c>
      <c r="M447" t="s">
        <v>8</v>
      </c>
      <c r="N447" t="s">
        <v>8</v>
      </c>
      <c r="P447">
        <f t="shared" si="974"/>
        <v>2.4100852799405881E-2</v>
      </c>
      <c r="Q447">
        <f t="shared" si="975"/>
        <v>29060.394798033809</v>
      </c>
      <c r="R447">
        <f t="shared" si="976"/>
        <v>38167785.541863345</v>
      </c>
      <c r="S447">
        <f t="shared" si="977"/>
        <v>381.67785541863344</v>
      </c>
      <c r="T447">
        <f t="shared" si="978"/>
        <v>0.38167785541863342</v>
      </c>
    </row>
    <row r="448" spans="1:20" x14ac:dyDescent="0.25">
      <c r="A448" s="5">
        <v>44145</v>
      </c>
      <c r="B448">
        <v>444.32</v>
      </c>
      <c r="C448">
        <v>455</v>
      </c>
      <c r="D448">
        <v>438.7</v>
      </c>
      <c r="E448">
        <v>450.34</v>
      </c>
      <c r="F448">
        <v>866872.41107999999</v>
      </c>
      <c r="G448">
        <v>0</v>
      </c>
      <c r="L448" t="s">
        <v>7</v>
      </c>
      <c r="M448" t="s">
        <v>8</v>
      </c>
      <c r="N448" t="s">
        <v>8</v>
      </c>
      <c r="P448">
        <f t="shared" si="974"/>
        <v>0.42822085889570283</v>
      </c>
      <c r="Q448">
        <f t="shared" si="975"/>
        <v>371212.84842566639</v>
      </c>
      <c r="R448">
        <f t="shared" si="976"/>
        <v>38138725.147065312</v>
      </c>
      <c r="S448">
        <f t="shared" si="977"/>
        <v>381.3872514706531</v>
      </c>
      <c r="T448">
        <f t="shared" si="978"/>
        <v>0.38138725147065311</v>
      </c>
    </row>
    <row r="449" spans="1:20" x14ac:dyDescent="0.25">
      <c r="A449" s="5">
        <v>44144</v>
      </c>
      <c r="B449">
        <v>454.29</v>
      </c>
      <c r="C449">
        <v>459.1</v>
      </c>
      <c r="D449">
        <v>433.09</v>
      </c>
      <c r="E449">
        <v>444.32</v>
      </c>
      <c r="F449">
        <v>1099213.2464099999</v>
      </c>
      <c r="G449">
        <v>0</v>
      </c>
      <c r="L449" t="s">
        <v>7</v>
      </c>
      <c r="M449" t="s">
        <v>8</v>
      </c>
      <c r="N449" t="s">
        <v>8</v>
      </c>
      <c r="P449">
        <f t="shared" si="974"/>
        <v>-0.13648596693579412</v>
      </c>
      <c r="Q449">
        <f t="shared" si="975"/>
        <v>-150027.18280490217</v>
      </c>
      <c r="R449">
        <f t="shared" si="976"/>
        <v>37767512.298639648</v>
      </c>
      <c r="S449">
        <f t="shared" si="977"/>
        <v>377.6751229863965</v>
      </c>
      <c r="T449">
        <f t="shared" si="978"/>
        <v>0.37767512298639649</v>
      </c>
    </row>
    <row r="450" spans="1:20" x14ac:dyDescent="0.25">
      <c r="A450" s="5">
        <v>44143</v>
      </c>
      <c r="B450">
        <v>435.2</v>
      </c>
      <c r="C450">
        <v>460.1</v>
      </c>
      <c r="D450">
        <v>431.99</v>
      </c>
      <c r="E450">
        <v>454.3</v>
      </c>
      <c r="F450">
        <v>840908.46840999997</v>
      </c>
      <c r="G450">
        <v>0</v>
      </c>
      <c r="L450" t="s">
        <v>7</v>
      </c>
      <c r="M450" t="s">
        <v>8</v>
      </c>
      <c r="N450" t="s">
        <v>8</v>
      </c>
      <c r="P450">
        <f t="shared" si="974"/>
        <v>0.58733546780505097</v>
      </c>
      <c r="Q450">
        <f t="shared" si="975"/>
        <v>493895.36867481627</v>
      </c>
      <c r="R450">
        <f t="shared" si="976"/>
        <v>37917539.481444553</v>
      </c>
      <c r="S450">
        <f t="shared" si="977"/>
        <v>379.17539481444555</v>
      </c>
      <c r="T450">
        <f t="shared" si="978"/>
        <v>0.37917539481444557</v>
      </c>
    </row>
    <row r="451" spans="1:20" x14ac:dyDescent="0.25">
      <c r="A451" s="5">
        <v>44142</v>
      </c>
      <c r="B451">
        <v>455.91</v>
      </c>
      <c r="C451">
        <v>468.28</v>
      </c>
      <c r="D451">
        <v>424.14</v>
      </c>
      <c r="E451">
        <v>435.21</v>
      </c>
      <c r="F451">
        <v>1653416.5961</v>
      </c>
      <c r="G451">
        <v>0</v>
      </c>
      <c r="L451" t="s">
        <v>8</v>
      </c>
      <c r="M451" t="s">
        <v>8</v>
      </c>
      <c r="N451" t="s">
        <v>8</v>
      </c>
      <c r="P451">
        <f t="shared" si="974"/>
        <v>-0.49841413683733593</v>
      </c>
      <c r="Q451">
        <f t="shared" si="975"/>
        <v>-824086.20557770762</v>
      </c>
      <c r="R451">
        <f t="shared" si="976"/>
        <v>37423644.112769738</v>
      </c>
      <c r="S451">
        <f t="shared" si="977"/>
        <v>374.23644112769739</v>
      </c>
      <c r="T451">
        <f t="shared" si="978"/>
        <v>0.37423644112769738</v>
      </c>
    </row>
    <row r="452" spans="1:20" x14ac:dyDescent="0.25">
      <c r="A452" s="5">
        <v>44141</v>
      </c>
      <c r="B452">
        <v>416.73</v>
      </c>
      <c r="C452">
        <v>458.27</v>
      </c>
      <c r="D452">
        <v>414.76</v>
      </c>
      <c r="E452">
        <v>455.91</v>
      </c>
      <c r="F452">
        <v>1682440.9602600001</v>
      </c>
      <c r="G452">
        <v>0</v>
      </c>
      <c r="L452" t="s">
        <v>8</v>
      </c>
      <c r="M452" t="s">
        <v>8</v>
      </c>
      <c r="N452" t="s">
        <v>8</v>
      </c>
      <c r="P452">
        <f t="shared" si="974"/>
        <v>0.89151919099057886</v>
      </c>
      <c r="Q452">
        <f t="shared" si="975"/>
        <v>1499928.403780408</v>
      </c>
      <c r="R452">
        <f t="shared" si="976"/>
        <v>38247730.318347447</v>
      </c>
      <c r="S452">
        <f t="shared" si="977"/>
        <v>382.47730318347448</v>
      </c>
      <c r="T452">
        <f t="shared" si="978"/>
        <v>0.38247730318347445</v>
      </c>
    </row>
    <row r="453" spans="1:20" x14ac:dyDescent="0.25">
      <c r="A453" s="5">
        <v>44140</v>
      </c>
      <c r="B453">
        <v>402.5</v>
      </c>
      <c r="C453">
        <v>420.4</v>
      </c>
      <c r="D453">
        <v>396.14</v>
      </c>
      <c r="E453">
        <v>416.69</v>
      </c>
      <c r="F453">
        <v>1475139.77342</v>
      </c>
      <c r="G453">
        <v>0</v>
      </c>
      <c r="L453" t="s">
        <v>8</v>
      </c>
      <c r="M453" t="s">
        <v>8</v>
      </c>
      <c r="N453" t="s">
        <v>7</v>
      </c>
      <c r="P453">
        <f t="shared" si="974"/>
        <v>0.69414674361088369</v>
      </c>
      <c r="Q453">
        <f t="shared" si="975"/>
        <v>1023963.4700903898</v>
      </c>
      <c r="R453">
        <f t="shared" si="976"/>
        <v>36747801.914567038</v>
      </c>
      <c r="S453">
        <f t="shared" si="977"/>
        <v>367.47801914567037</v>
      </c>
      <c r="T453">
        <f t="shared" si="978"/>
        <v>0.36747801914567035</v>
      </c>
    </row>
    <row r="454" spans="1:20" x14ac:dyDescent="0.25">
      <c r="A454" s="5">
        <v>44139</v>
      </c>
      <c r="B454">
        <v>387.88</v>
      </c>
      <c r="C454">
        <v>408.39</v>
      </c>
      <c r="D454">
        <v>376.47</v>
      </c>
      <c r="E454">
        <v>402.49</v>
      </c>
      <c r="F454">
        <v>1157064.3507600001</v>
      </c>
      <c r="G454">
        <v>0</v>
      </c>
      <c r="L454" t="s">
        <v>8</v>
      </c>
      <c r="M454" t="s">
        <v>8</v>
      </c>
      <c r="N454" t="s">
        <v>7</v>
      </c>
      <c r="P454">
        <f t="shared" ref="P454:P517" si="979">IF(C454=D454,0,((E454-D454)-(C454-E454))/(C454-D454))</f>
        <v>0.63032581453634184</v>
      </c>
      <c r="Q454">
        <f t="shared" ref="Q454:Q517" si="980">F454*P454</f>
        <v>729327.52936376061</v>
      </c>
      <c r="R454">
        <f t="shared" ref="R454:R517" si="981">R455+Q454</f>
        <v>35723838.444476649</v>
      </c>
      <c r="S454">
        <f t="shared" ref="S454:S517" si="982">R454/100000</f>
        <v>357.2383844447665</v>
      </c>
      <c r="T454">
        <f t="shared" ref="T454:T517" si="983">S454/1000</f>
        <v>0.35723838444476652</v>
      </c>
    </row>
    <row r="455" spans="1:20" x14ac:dyDescent="0.25">
      <c r="A455" s="5">
        <v>44138</v>
      </c>
      <c r="B455">
        <v>383.01</v>
      </c>
      <c r="C455">
        <v>390</v>
      </c>
      <c r="D455">
        <v>370.23</v>
      </c>
      <c r="E455">
        <v>387.88</v>
      </c>
      <c r="F455">
        <v>752954.37113999994</v>
      </c>
      <c r="G455">
        <v>0</v>
      </c>
      <c r="L455" t="s">
        <v>7</v>
      </c>
      <c r="M455" t="s">
        <v>8</v>
      </c>
      <c r="N455" t="s">
        <v>7</v>
      </c>
      <c r="P455">
        <f t="shared" si="979"/>
        <v>0.78553363682346922</v>
      </c>
      <c r="Q455">
        <f t="shared" si="980"/>
        <v>591470.98552373238</v>
      </c>
      <c r="R455">
        <f t="shared" si="981"/>
        <v>34994510.91511289</v>
      </c>
      <c r="S455">
        <f t="shared" si="982"/>
        <v>349.94510915112892</v>
      </c>
      <c r="T455">
        <f t="shared" si="983"/>
        <v>0.34994510915112892</v>
      </c>
    </row>
    <row r="456" spans="1:20" x14ac:dyDescent="0.25">
      <c r="A456" s="5">
        <v>44137</v>
      </c>
      <c r="B456">
        <v>396.68</v>
      </c>
      <c r="C456">
        <v>404.5</v>
      </c>
      <c r="D456">
        <v>377.92</v>
      </c>
      <c r="E456">
        <v>383.02</v>
      </c>
      <c r="F456">
        <v>779968.57956999994</v>
      </c>
      <c r="G456">
        <v>0</v>
      </c>
      <c r="L456" t="s">
        <v>8</v>
      </c>
      <c r="M456" t="s">
        <v>8</v>
      </c>
      <c r="N456" t="s">
        <v>7</v>
      </c>
      <c r="P456">
        <f t="shared" si="979"/>
        <v>-0.61625282167043127</v>
      </c>
      <c r="Q456">
        <f t="shared" si="980"/>
        <v>-480657.83797429077</v>
      </c>
      <c r="R456">
        <f t="shared" si="981"/>
        <v>34403039.92958916</v>
      </c>
      <c r="S456">
        <f t="shared" si="982"/>
        <v>344.03039929589158</v>
      </c>
      <c r="T456">
        <f t="shared" si="983"/>
        <v>0.34403039929589158</v>
      </c>
    </row>
    <row r="457" spans="1:20" x14ac:dyDescent="0.25">
      <c r="A457" s="5">
        <v>44136</v>
      </c>
      <c r="B457">
        <v>386.44</v>
      </c>
      <c r="C457">
        <v>398.29</v>
      </c>
      <c r="D457">
        <v>384.61</v>
      </c>
      <c r="E457">
        <v>396.67</v>
      </c>
      <c r="F457">
        <v>438952.95565000002</v>
      </c>
      <c r="G457">
        <v>0</v>
      </c>
      <c r="L457" t="s">
        <v>7</v>
      </c>
      <c r="M457" t="s">
        <v>8</v>
      </c>
      <c r="N457" t="s">
        <v>7</v>
      </c>
      <c r="P457">
        <f t="shared" si="979"/>
        <v>0.76315789473684159</v>
      </c>
      <c r="Q457">
        <f t="shared" si="980"/>
        <v>334990.41352236818</v>
      </c>
      <c r="R457">
        <f t="shared" si="981"/>
        <v>34883697.767563447</v>
      </c>
      <c r="S457">
        <f t="shared" si="982"/>
        <v>348.8369776756345</v>
      </c>
      <c r="T457">
        <f t="shared" si="983"/>
        <v>0.34883697767563449</v>
      </c>
    </row>
    <row r="458" spans="1:20" x14ac:dyDescent="0.25">
      <c r="A458" s="5">
        <v>44135</v>
      </c>
      <c r="B458">
        <v>382.59</v>
      </c>
      <c r="C458">
        <v>394.88</v>
      </c>
      <c r="D458">
        <v>379.9</v>
      </c>
      <c r="E458">
        <v>386.46</v>
      </c>
      <c r="F458">
        <v>467453.81050000002</v>
      </c>
      <c r="G458">
        <v>0</v>
      </c>
      <c r="L458" t="s">
        <v>7</v>
      </c>
      <c r="M458" t="s">
        <v>8</v>
      </c>
      <c r="N458" t="s">
        <v>7</v>
      </c>
      <c r="P458">
        <f t="shared" si="979"/>
        <v>-0.12416555407209688</v>
      </c>
      <c r="Q458">
        <f t="shared" si="980"/>
        <v>-58041.66138384548</v>
      </c>
      <c r="R458">
        <f t="shared" si="981"/>
        <v>34548707.354041077</v>
      </c>
      <c r="S458">
        <f t="shared" si="982"/>
        <v>345.48707354041079</v>
      </c>
      <c r="T458">
        <f t="shared" si="983"/>
        <v>0.34548707354041081</v>
      </c>
    </row>
    <row r="459" spans="1:20" x14ac:dyDescent="0.25">
      <c r="A459" s="5">
        <v>44134</v>
      </c>
      <c r="B459">
        <v>387.12</v>
      </c>
      <c r="C459">
        <v>391.97</v>
      </c>
      <c r="D459">
        <v>373.29</v>
      </c>
      <c r="E459">
        <v>382.49</v>
      </c>
      <c r="F459">
        <v>771750.74745999998</v>
      </c>
      <c r="G459">
        <v>0</v>
      </c>
      <c r="L459" t="s">
        <v>7</v>
      </c>
      <c r="M459" t="s">
        <v>8</v>
      </c>
      <c r="N459" t="s">
        <v>7</v>
      </c>
      <c r="P459">
        <f t="shared" si="979"/>
        <v>-1.4989293361885946E-2</v>
      </c>
      <c r="Q459">
        <f t="shared" si="980"/>
        <v>-11567.998355932694</v>
      </c>
      <c r="R459">
        <f t="shared" si="981"/>
        <v>34606749.015424922</v>
      </c>
      <c r="S459">
        <f t="shared" si="982"/>
        <v>346.06749015424924</v>
      </c>
      <c r="T459">
        <f t="shared" si="983"/>
        <v>0.34606749015424926</v>
      </c>
    </row>
    <row r="460" spans="1:20" x14ac:dyDescent="0.25">
      <c r="A460" s="5">
        <v>44133</v>
      </c>
      <c r="B460">
        <v>388.22</v>
      </c>
      <c r="C460">
        <v>393.72</v>
      </c>
      <c r="D460">
        <v>380.52</v>
      </c>
      <c r="E460">
        <v>387.13</v>
      </c>
      <c r="F460">
        <v>573096.01416000002</v>
      </c>
      <c r="G460">
        <v>0</v>
      </c>
      <c r="L460" t="s">
        <v>7</v>
      </c>
      <c r="M460" t="s">
        <v>8</v>
      </c>
      <c r="N460" t="s">
        <v>7</v>
      </c>
      <c r="P460">
        <f t="shared" si="979"/>
        <v>1.5151515151501319E-3</v>
      </c>
      <c r="Q460">
        <f t="shared" si="980"/>
        <v>868.32729418102554</v>
      </c>
      <c r="R460">
        <f t="shared" si="981"/>
        <v>34618317.013780855</v>
      </c>
      <c r="S460">
        <f t="shared" si="982"/>
        <v>346.18317013780853</v>
      </c>
      <c r="T460">
        <f t="shared" si="983"/>
        <v>0.34618317013780853</v>
      </c>
    </row>
    <row r="461" spans="1:20" x14ac:dyDescent="0.25">
      <c r="A461" s="5">
        <v>44132</v>
      </c>
      <c r="B461">
        <v>403.41</v>
      </c>
      <c r="C461">
        <v>409.2</v>
      </c>
      <c r="D461">
        <v>380.52</v>
      </c>
      <c r="E461">
        <v>388.23</v>
      </c>
      <c r="F461">
        <v>855275.46881999995</v>
      </c>
      <c r="G461">
        <v>0</v>
      </c>
      <c r="L461" t="s">
        <v>7</v>
      </c>
      <c r="M461" t="s">
        <v>8</v>
      </c>
      <c r="N461" t="s">
        <v>7</v>
      </c>
      <c r="P461">
        <f t="shared" si="979"/>
        <v>-0.46234309623430719</v>
      </c>
      <c r="Q461">
        <f t="shared" si="980"/>
        <v>-395430.70838748745</v>
      </c>
      <c r="R461">
        <f t="shared" si="981"/>
        <v>34617448.686486676</v>
      </c>
      <c r="S461">
        <f t="shared" si="982"/>
        <v>346.17448686486676</v>
      </c>
      <c r="T461">
        <f t="shared" si="983"/>
        <v>0.34617448686486674</v>
      </c>
    </row>
    <row r="462" spans="1:20" x14ac:dyDescent="0.25">
      <c r="A462" s="5">
        <v>44131</v>
      </c>
      <c r="B462">
        <v>392.52</v>
      </c>
      <c r="C462">
        <v>410.25</v>
      </c>
      <c r="D462">
        <v>389.9</v>
      </c>
      <c r="E462">
        <v>403.45</v>
      </c>
      <c r="F462">
        <v>754244.37552</v>
      </c>
      <c r="G462">
        <v>0</v>
      </c>
      <c r="L462" t="s">
        <v>7</v>
      </c>
      <c r="M462" t="s">
        <v>8</v>
      </c>
      <c r="N462" t="s">
        <v>7</v>
      </c>
      <c r="P462">
        <f t="shared" si="979"/>
        <v>0.33169533169533133</v>
      </c>
      <c r="Q462">
        <f t="shared" si="980"/>
        <v>250179.33831744443</v>
      </c>
      <c r="R462">
        <f t="shared" si="981"/>
        <v>35012879.394874163</v>
      </c>
      <c r="S462">
        <f t="shared" si="982"/>
        <v>350.12879394874165</v>
      </c>
      <c r="T462">
        <f t="shared" si="983"/>
        <v>0.35012879394874163</v>
      </c>
    </row>
    <row r="463" spans="1:20" x14ac:dyDescent="0.25">
      <c r="A463" s="5">
        <v>44130</v>
      </c>
      <c r="B463">
        <v>405.85</v>
      </c>
      <c r="C463">
        <v>411.11</v>
      </c>
      <c r="D463">
        <v>382.3</v>
      </c>
      <c r="E463">
        <v>392.52</v>
      </c>
      <c r="F463">
        <v>895142.67266000004</v>
      </c>
      <c r="G463">
        <v>0</v>
      </c>
      <c r="L463" t="s">
        <v>7</v>
      </c>
      <c r="M463" t="s">
        <v>8</v>
      </c>
      <c r="N463" t="s">
        <v>7</v>
      </c>
      <c r="P463">
        <f t="shared" si="979"/>
        <v>-0.29052412356820762</v>
      </c>
      <c r="Q463">
        <f t="shared" si="980"/>
        <v>-260060.54044304948</v>
      </c>
      <c r="R463">
        <f t="shared" si="981"/>
        <v>34762700.056556717</v>
      </c>
      <c r="S463">
        <f t="shared" si="982"/>
        <v>347.62700056556719</v>
      </c>
      <c r="T463">
        <f t="shared" si="983"/>
        <v>0.34762700056556717</v>
      </c>
    </row>
    <row r="464" spans="1:20" x14ac:dyDescent="0.25">
      <c r="A464" s="5">
        <v>44129</v>
      </c>
      <c r="B464">
        <v>412.14</v>
      </c>
      <c r="C464">
        <v>417.4</v>
      </c>
      <c r="D464">
        <v>402.5</v>
      </c>
      <c r="E464">
        <v>405.86</v>
      </c>
      <c r="F464">
        <v>415586.97610000003</v>
      </c>
      <c r="G464">
        <v>0</v>
      </c>
      <c r="L464" t="s">
        <v>8</v>
      </c>
      <c r="M464" t="s">
        <v>8</v>
      </c>
      <c r="N464" t="s">
        <v>7</v>
      </c>
      <c r="P464">
        <f t="shared" si="979"/>
        <v>-0.54899328859060148</v>
      </c>
      <c r="Q464">
        <f t="shared" si="980"/>
        <v>-228154.46070456272</v>
      </c>
      <c r="R464">
        <f t="shared" si="981"/>
        <v>35022760.596999764</v>
      </c>
      <c r="S464">
        <f t="shared" si="982"/>
        <v>350.22760596999763</v>
      </c>
      <c r="T464">
        <f t="shared" si="983"/>
        <v>0.35022760596999764</v>
      </c>
    </row>
    <row r="465" spans="1:20" x14ac:dyDescent="0.25">
      <c r="A465" s="5">
        <v>44128</v>
      </c>
      <c r="B465">
        <v>409.19</v>
      </c>
      <c r="C465">
        <v>416.66</v>
      </c>
      <c r="D465">
        <v>407</v>
      </c>
      <c r="E465">
        <v>412.14</v>
      </c>
      <c r="F465">
        <v>419236.87105999998</v>
      </c>
      <c r="G465">
        <v>0</v>
      </c>
      <c r="L465" t="s">
        <v>8</v>
      </c>
      <c r="M465" t="s">
        <v>8</v>
      </c>
      <c r="N465" t="s">
        <v>7</v>
      </c>
      <c r="P465">
        <f t="shared" si="979"/>
        <v>6.4182194616971652E-2</v>
      </c>
      <c r="Q465">
        <f t="shared" si="980"/>
        <v>26907.542448983168</v>
      </c>
      <c r="R465">
        <f t="shared" si="981"/>
        <v>35250915.057704329</v>
      </c>
      <c r="S465">
        <f t="shared" si="982"/>
        <v>352.50915057704327</v>
      </c>
      <c r="T465">
        <f t="shared" si="983"/>
        <v>0.3525091505770433</v>
      </c>
    </row>
    <row r="466" spans="1:20" x14ac:dyDescent="0.25">
      <c r="A466" s="5">
        <v>44127</v>
      </c>
      <c r="B466">
        <v>413.94</v>
      </c>
      <c r="C466">
        <v>419.33</v>
      </c>
      <c r="D466">
        <v>401.3</v>
      </c>
      <c r="E466">
        <v>409.11</v>
      </c>
      <c r="F466">
        <v>727832.32239999995</v>
      </c>
      <c r="G466">
        <v>0</v>
      </c>
      <c r="L466" t="s">
        <v>8</v>
      </c>
      <c r="M466" t="s">
        <v>8</v>
      </c>
      <c r="N466" t="s">
        <v>7</v>
      </c>
      <c r="P466">
        <f t="shared" si="979"/>
        <v>-0.13366611203549483</v>
      </c>
      <c r="Q466">
        <f t="shared" si="980"/>
        <v>-97286.51674897279</v>
      </c>
      <c r="R466">
        <f t="shared" si="981"/>
        <v>35224007.515255347</v>
      </c>
      <c r="S466">
        <f t="shared" si="982"/>
        <v>352.24007515255346</v>
      </c>
      <c r="T466">
        <f t="shared" si="983"/>
        <v>0.35224007515255346</v>
      </c>
    </row>
    <row r="467" spans="1:20" x14ac:dyDescent="0.25">
      <c r="A467" s="5">
        <v>44126</v>
      </c>
      <c r="B467">
        <v>390.31</v>
      </c>
      <c r="C467">
        <v>420.73</v>
      </c>
      <c r="D467">
        <v>390.21</v>
      </c>
      <c r="E467">
        <v>413.98</v>
      </c>
      <c r="F467">
        <v>1095897.20667</v>
      </c>
      <c r="G467">
        <v>0</v>
      </c>
      <c r="L467" t="s">
        <v>8</v>
      </c>
      <c r="M467" t="s">
        <v>8</v>
      </c>
      <c r="N467" t="s">
        <v>7</v>
      </c>
      <c r="P467">
        <f t="shared" si="979"/>
        <v>0.55766710353866378</v>
      </c>
      <c r="Q467">
        <f t="shared" si="980"/>
        <v>611145.82101977128</v>
      </c>
      <c r="R467">
        <f t="shared" si="981"/>
        <v>35321294.032004319</v>
      </c>
      <c r="S467">
        <f t="shared" si="982"/>
        <v>353.21294032004317</v>
      </c>
      <c r="T467">
        <f t="shared" si="983"/>
        <v>0.35321294032004319</v>
      </c>
    </row>
    <row r="468" spans="1:20" x14ac:dyDescent="0.25">
      <c r="A468" s="5">
        <v>44125</v>
      </c>
      <c r="B468">
        <v>368.53</v>
      </c>
      <c r="C468">
        <v>401.49</v>
      </c>
      <c r="D468">
        <v>367.74</v>
      </c>
      <c r="E468">
        <v>390.38</v>
      </c>
      <c r="F468">
        <v>1221663.63784</v>
      </c>
      <c r="G468">
        <v>0</v>
      </c>
      <c r="L468" t="s">
        <v>8</v>
      </c>
      <c r="M468" t="s">
        <v>8</v>
      </c>
      <c r="N468" t="s">
        <v>7</v>
      </c>
      <c r="P468">
        <f t="shared" si="979"/>
        <v>0.34162962962962884</v>
      </c>
      <c r="Q468">
        <f t="shared" si="980"/>
        <v>417356.49612726422</v>
      </c>
      <c r="R468">
        <f t="shared" si="981"/>
        <v>34710148.21098455</v>
      </c>
      <c r="S468">
        <f t="shared" si="982"/>
        <v>347.10148210984551</v>
      </c>
      <c r="T468">
        <f t="shared" si="983"/>
        <v>0.34710148210984548</v>
      </c>
    </row>
    <row r="469" spans="1:20" x14ac:dyDescent="0.25">
      <c r="A469" s="5">
        <v>44124</v>
      </c>
      <c r="B469">
        <v>379.3</v>
      </c>
      <c r="C469">
        <v>380.73</v>
      </c>
      <c r="D469">
        <v>365.27</v>
      </c>
      <c r="E469">
        <v>368.52</v>
      </c>
      <c r="F469">
        <v>617309.81677000003</v>
      </c>
      <c r="G469">
        <v>0</v>
      </c>
      <c r="L469" t="s">
        <v>7</v>
      </c>
      <c r="M469" t="s">
        <v>8</v>
      </c>
      <c r="N469" t="s">
        <v>7</v>
      </c>
      <c r="P469">
        <f t="shared" si="979"/>
        <v>-0.57956015523932825</v>
      </c>
      <c r="Q469">
        <f t="shared" si="980"/>
        <v>-357768.1732379825</v>
      </c>
      <c r="R469">
        <f t="shared" si="981"/>
        <v>34292791.714857288</v>
      </c>
      <c r="S469">
        <f t="shared" si="982"/>
        <v>342.92791714857287</v>
      </c>
      <c r="T469">
        <f t="shared" si="983"/>
        <v>0.34292791714857285</v>
      </c>
    </row>
    <row r="470" spans="1:20" x14ac:dyDescent="0.25">
      <c r="A470" s="5">
        <v>44123</v>
      </c>
      <c r="B470">
        <v>378.12</v>
      </c>
      <c r="C470">
        <v>384.32</v>
      </c>
      <c r="D470">
        <v>372.5</v>
      </c>
      <c r="E470">
        <v>379.3</v>
      </c>
      <c r="F470">
        <v>577252.90264999995</v>
      </c>
      <c r="G470">
        <v>0</v>
      </c>
      <c r="L470" t="s">
        <v>7</v>
      </c>
      <c r="M470" t="s">
        <v>8</v>
      </c>
      <c r="N470" t="s">
        <v>7</v>
      </c>
      <c r="P470">
        <f t="shared" si="979"/>
        <v>0.1505922165820669</v>
      </c>
      <c r="Q470">
        <f t="shared" si="980"/>
        <v>86929.794138495563</v>
      </c>
      <c r="R470">
        <f t="shared" si="981"/>
        <v>34650559.888095267</v>
      </c>
      <c r="S470">
        <f t="shared" si="982"/>
        <v>346.50559888095268</v>
      </c>
      <c r="T470">
        <f t="shared" si="983"/>
        <v>0.34650559888095267</v>
      </c>
    </row>
    <row r="471" spans="1:20" x14ac:dyDescent="0.25">
      <c r="A471" s="5">
        <v>44122</v>
      </c>
      <c r="B471">
        <v>368.31</v>
      </c>
      <c r="C471">
        <v>378.64</v>
      </c>
      <c r="D471">
        <v>367.1</v>
      </c>
      <c r="E471">
        <v>378.11</v>
      </c>
      <c r="F471">
        <v>323468.47094999999</v>
      </c>
      <c r="G471">
        <v>0</v>
      </c>
      <c r="L471" t="s">
        <v>7</v>
      </c>
      <c r="M471" t="s">
        <v>8</v>
      </c>
      <c r="N471" t="s">
        <v>7</v>
      </c>
      <c r="P471">
        <f t="shared" si="979"/>
        <v>0.9081455805892592</v>
      </c>
      <c r="Q471">
        <f t="shared" si="980"/>
        <v>293756.46235320764</v>
      </c>
      <c r="R471">
        <f t="shared" si="981"/>
        <v>34563630.093956769</v>
      </c>
      <c r="S471">
        <f t="shared" si="982"/>
        <v>345.63630093956766</v>
      </c>
      <c r="T471">
        <f t="shared" si="983"/>
        <v>0.34563630093956765</v>
      </c>
    </row>
    <row r="472" spans="1:20" x14ac:dyDescent="0.25">
      <c r="A472" s="5">
        <v>44121</v>
      </c>
      <c r="B472">
        <v>365.5</v>
      </c>
      <c r="C472">
        <v>370.46</v>
      </c>
      <c r="D472">
        <v>363.36</v>
      </c>
      <c r="E472">
        <v>368.32</v>
      </c>
      <c r="F472">
        <v>285578.24537000002</v>
      </c>
      <c r="G472">
        <v>0</v>
      </c>
      <c r="L472" t="s">
        <v>7</v>
      </c>
      <c r="M472" t="s">
        <v>8</v>
      </c>
      <c r="N472" t="s">
        <v>7</v>
      </c>
      <c r="P472">
        <f t="shared" si="979"/>
        <v>0.39718309859155027</v>
      </c>
      <c r="Q472">
        <f t="shared" si="980"/>
        <v>113426.85238639465</v>
      </c>
      <c r="R472">
        <f t="shared" si="981"/>
        <v>34269873.631603561</v>
      </c>
      <c r="S472">
        <f t="shared" si="982"/>
        <v>342.69873631603559</v>
      </c>
      <c r="T472">
        <f t="shared" si="983"/>
        <v>0.34269873631603559</v>
      </c>
    </row>
    <row r="473" spans="1:20" x14ac:dyDescent="0.25">
      <c r="A473" s="5">
        <v>44120</v>
      </c>
      <c r="B473">
        <v>377.63</v>
      </c>
      <c r="C473">
        <v>379.83</v>
      </c>
      <c r="D473">
        <v>361.18</v>
      </c>
      <c r="E473">
        <v>365.5</v>
      </c>
      <c r="F473">
        <v>654029.36404000001</v>
      </c>
      <c r="G473">
        <v>0</v>
      </c>
      <c r="L473" t="s">
        <v>7</v>
      </c>
      <c r="M473" t="s">
        <v>8</v>
      </c>
      <c r="N473" t="s">
        <v>7</v>
      </c>
      <c r="P473">
        <f t="shared" si="979"/>
        <v>-0.53672922252010735</v>
      </c>
      <c r="Q473">
        <f t="shared" si="980"/>
        <v>-351036.67206650949</v>
      </c>
      <c r="R473">
        <f t="shared" si="981"/>
        <v>34156446.779217169</v>
      </c>
      <c r="S473">
        <f t="shared" si="982"/>
        <v>341.56446779217168</v>
      </c>
      <c r="T473">
        <f t="shared" si="983"/>
        <v>0.3415644677921717</v>
      </c>
    </row>
    <row r="474" spans="1:20" x14ac:dyDescent="0.25">
      <c r="A474" s="5">
        <v>44119</v>
      </c>
      <c r="B474">
        <v>378.69</v>
      </c>
      <c r="C474">
        <v>381.79</v>
      </c>
      <c r="D474">
        <v>369.85</v>
      </c>
      <c r="E474">
        <v>377.64</v>
      </c>
      <c r="F474">
        <v>634038.09453</v>
      </c>
      <c r="G474">
        <v>0</v>
      </c>
      <c r="L474" t="s">
        <v>8</v>
      </c>
      <c r="M474" t="s">
        <v>8</v>
      </c>
      <c r="N474" t="s">
        <v>7</v>
      </c>
      <c r="P474">
        <f t="shared" si="979"/>
        <v>0.30485762144053019</v>
      </c>
      <c r="Q474">
        <f t="shared" si="980"/>
        <v>193291.34540110183</v>
      </c>
      <c r="R474">
        <f t="shared" si="981"/>
        <v>34507483.451283678</v>
      </c>
      <c r="S474">
        <f t="shared" si="982"/>
        <v>345.07483451283679</v>
      </c>
      <c r="T474">
        <f t="shared" si="983"/>
        <v>0.34507483451283677</v>
      </c>
    </row>
    <row r="475" spans="1:20" x14ac:dyDescent="0.25">
      <c r="A475" s="5">
        <v>44118</v>
      </c>
      <c r="B475">
        <v>381.05</v>
      </c>
      <c r="C475">
        <v>387.41</v>
      </c>
      <c r="D475">
        <v>373.13</v>
      </c>
      <c r="E475">
        <v>378.69</v>
      </c>
      <c r="F475">
        <v>569557.82935999997</v>
      </c>
      <c r="G475">
        <v>0</v>
      </c>
      <c r="L475" t="s">
        <v>8</v>
      </c>
      <c r="M475" t="s">
        <v>8</v>
      </c>
      <c r="N475" t="s">
        <v>7</v>
      </c>
      <c r="P475">
        <f t="shared" si="979"/>
        <v>-0.22128851540616376</v>
      </c>
      <c r="Q475">
        <f t="shared" si="980"/>
        <v>-126036.60649703155</v>
      </c>
      <c r="R475">
        <f t="shared" si="981"/>
        <v>34314192.105882578</v>
      </c>
      <c r="S475">
        <f t="shared" si="982"/>
        <v>343.1419210588258</v>
      </c>
      <c r="T475">
        <f t="shared" si="983"/>
        <v>0.34314192105882579</v>
      </c>
    </row>
    <row r="476" spans="1:20" x14ac:dyDescent="0.25">
      <c r="A476" s="5">
        <v>44117</v>
      </c>
      <c r="B476">
        <v>386.51</v>
      </c>
      <c r="C476">
        <v>387.75</v>
      </c>
      <c r="D476">
        <v>374.51</v>
      </c>
      <c r="E476">
        <v>381.04</v>
      </c>
      <c r="F476">
        <v>645141.91394</v>
      </c>
      <c r="G476">
        <v>0</v>
      </c>
      <c r="L476" t="s">
        <v>8</v>
      </c>
      <c r="M476" t="s">
        <v>8</v>
      </c>
      <c r="N476" t="s">
        <v>7</v>
      </c>
      <c r="P476">
        <f t="shared" si="979"/>
        <v>-1.3595166163138207E-2</v>
      </c>
      <c r="Q476">
        <f t="shared" si="980"/>
        <v>-8770.8115188193096</v>
      </c>
      <c r="R476">
        <f t="shared" si="981"/>
        <v>34440228.712379612</v>
      </c>
      <c r="S476">
        <f t="shared" si="982"/>
        <v>344.4022871237961</v>
      </c>
      <c r="T476">
        <f t="shared" si="983"/>
        <v>0.34440228712379611</v>
      </c>
    </row>
    <row r="477" spans="1:20" x14ac:dyDescent="0.25">
      <c r="A477" s="5">
        <v>44116</v>
      </c>
      <c r="B477">
        <v>374.17</v>
      </c>
      <c r="C477">
        <v>394.8</v>
      </c>
      <c r="D477">
        <v>365.58</v>
      </c>
      <c r="E477">
        <v>386.51</v>
      </c>
      <c r="F477">
        <v>844422.65443999995</v>
      </c>
      <c r="G477">
        <v>0</v>
      </c>
      <c r="L477" t="s">
        <v>8</v>
      </c>
      <c r="M477" t="s">
        <v>8</v>
      </c>
      <c r="N477" t="s">
        <v>7</v>
      </c>
      <c r="P477">
        <f t="shared" si="979"/>
        <v>0.43258042436687111</v>
      </c>
      <c r="Q477">
        <f t="shared" si="980"/>
        <v>365280.71020265494</v>
      </c>
      <c r="R477">
        <f t="shared" si="981"/>
        <v>34448999.52389843</v>
      </c>
      <c r="S477">
        <f t="shared" si="982"/>
        <v>344.48999523898431</v>
      </c>
      <c r="T477">
        <f t="shared" si="983"/>
        <v>0.34448999523898433</v>
      </c>
    </row>
    <row r="478" spans="1:20" x14ac:dyDescent="0.25">
      <c r="A478" s="5">
        <v>44115</v>
      </c>
      <c r="B478">
        <v>370.51</v>
      </c>
      <c r="C478">
        <v>377.6</v>
      </c>
      <c r="D478">
        <v>368.87</v>
      </c>
      <c r="E478">
        <v>374.16</v>
      </c>
      <c r="F478">
        <v>373318.23778999998</v>
      </c>
      <c r="G478">
        <v>0</v>
      </c>
      <c r="L478" t="s">
        <v>8</v>
      </c>
      <c r="M478" t="s">
        <v>8</v>
      </c>
      <c r="N478" t="s">
        <v>7</v>
      </c>
      <c r="P478">
        <f t="shared" si="979"/>
        <v>0.21191294387170892</v>
      </c>
      <c r="Q478">
        <f t="shared" si="980"/>
        <v>79110.966771077554</v>
      </c>
      <c r="R478">
        <f t="shared" si="981"/>
        <v>34083718.813695773</v>
      </c>
      <c r="S478">
        <f t="shared" si="982"/>
        <v>340.83718813695771</v>
      </c>
      <c r="T478">
        <f t="shared" si="983"/>
        <v>0.34083718813695768</v>
      </c>
    </row>
    <row r="479" spans="1:20" x14ac:dyDescent="0.25">
      <c r="A479" s="5">
        <v>44114</v>
      </c>
      <c r="B479">
        <v>365.01</v>
      </c>
      <c r="C479">
        <v>378.4</v>
      </c>
      <c r="D479">
        <v>364.71</v>
      </c>
      <c r="E479">
        <v>370.52</v>
      </c>
      <c r="F479">
        <v>591005.32128999999</v>
      </c>
      <c r="G479">
        <v>0</v>
      </c>
      <c r="L479" t="s">
        <v>8</v>
      </c>
      <c r="M479" t="s">
        <v>8</v>
      </c>
      <c r="N479" t="s">
        <v>7</v>
      </c>
      <c r="P479">
        <f t="shared" si="979"/>
        <v>-0.15120525931336695</v>
      </c>
      <c r="Q479">
        <f t="shared" si="980"/>
        <v>-89363.1128612342</v>
      </c>
      <c r="R479">
        <f t="shared" si="981"/>
        <v>34004607.846924692</v>
      </c>
      <c r="S479">
        <f t="shared" si="982"/>
        <v>340.04607846924694</v>
      </c>
      <c r="T479">
        <f t="shared" si="983"/>
        <v>0.34004607846924695</v>
      </c>
    </row>
    <row r="480" spans="1:20" x14ac:dyDescent="0.25">
      <c r="A480" s="5">
        <v>44113</v>
      </c>
      <c r="B480">
        <v>350.94</v>
      </c>
      <c r="C480">
        <v>368.33</v>
      </c>
      <c r="D480">
        <v>347.32</v>
      </c>
      <c r="E480">
        <v>365.02</v>
      </c>
      <c r="F480">
        <v>650478.19337999995</v>
      </c>
      <c r="G480">
        <v>0</v>
      </c>
      <c r="L480" t="s">
        <v>8</v>
      </c>
      <c r="M480" t="s">
        <v>8</v>
      </c>
      <c r="N480" t="s">
        <v>7</v>
      </c>
      <c r="P480">
        <f t="shared" si="979"/>
        <v>0.68491194669205102</v>
      </c>
      <c r="Q480">
        <f t="shared" si="980"/>
        <v>445520.28570862417</v>
      </c>
      <c r="R480">
        <f t="shared" si="981"/>
        <v>34093970.959785923</v>
      </c>
      <c r="S480">
        <f t="shared" si="982"/>
        <v>340.93970959785923</v>
      </c>
      <c r="T480">
        <f t="shared" si="983"/>
        <v>0.34093970959785924</v>
      </c>
    </row>
    <row r="481" spans="1:20" x14ac:dyDescent="0.25">
      <c r="A481" s="5">
        <v>44112</v>
      </c>
      <c r="B481">
        <v>341.58</v>
      </c>
      <c r="C481">
        <v>353.32</v>
      </c>
      <c r="D481">
        <v>334.21</v>
      </c>
      <c r="E481">
        <v>350.95</v>
      </c>
      <c r="F481">
        <v>631794.87560000003</v>
      </c>
      <c r="G481">
        <v>0</v>
      </c>
      <c r="L481" t="s">
        <v>7</v>
      </c>
      <c r="M481" t="s">
        <v>8</v>
      </c>
      <c r="N481" t="s">
        <v>7</v>
      </c>
      <c r="P481">
        <f t="shared" si="979"/>
        <v>0.75196232339089453</v>
      </c>
      <c r="Q481">
        <f t="shared" si="980"/>
        <v>475085.94256263721</v>
      </c>
      <c r="R481">
        <f t="shared" si="981"/>
        <v>33648450.674077302</v>
      </c>
      <c r="S481">
        <f t="shared" si="982"/>
        <v>336.48450674077304</v>
      </c>
      <c r="T481">
        <f t="shared" si="983"/>
        <v>0.33648450674077302</v>
      </c>
    </row>
    <row r="482" spans="1:20" x14ac:dyDescent="0.25">
      <c r="A482" s="5">
        <v>44111</v>
      </c>
      <c r="B482">
        <v>340.8</v>
      </c>
      <c r="C482">
        <v>342.85</v>
      </c>
      <c r="D482">
        <v>332.18</v>
      </c>
      <c r="E482">
        <v>341.58</v>
      </c>
      <c r="F482">
        <v>541928.86375999998</v>
      </c>
      <c r="G482">
        <v>0</v>
      </c>
      <c r="L482" t="s">
        <v>7</v>
      </c>
      <c r="M482" t="s">
        <v>8</v>
      </c>
      <c r="N482" t="s">
        <v>7</v>
      </c>
      <c r="P482">
        <f t="shared" si="979"/>
        <v>0.76194939081536328</v>
      </c>
      <c r="Q482">
        <f t="shared" si="980"/>
        <v>412922.367607194</v>
      </c>
      <c r="R482">
        <f t="shared" si="981"/>
        <v>33173364.731514663</v>
      </c>
      <c r="S482">
        <f t="shared" si="982"/>
        <v>331.73364731514664</v>
      </c>
      <c r="T482">
        <f t="shared" si="983"/>
        <v>0.33173364731514665</v>
      </c>
    </row>
    <row r="483" spans="1:20" x14ac:dyDescent="0.25">
      <c r="A483" s="5">
        <v>44110</v>
      </c>
      <c r="B483">
        <v>353.63</v>
      </c>
      <c r="C483">
        <v>355.1</v>
      </c>
      <c r="D483">
        <v>336.8</v>
      </c>
      <c r="E483">
        <v>340.75</v>
      </c>
      <c r="F483">
        <v>640063.26951000001</v>
      </c>
      <c r="G483">
        <v>0</v>
      </c>
      <c r="L483" t="s">
        <v>7</v>
      </c>
      <c r="M483" t="s">
        <v>8</v>
      </c>
      <c r="N483" t="s">
        <v>7</v>
      </c>
      <c r="P483">
        <f t="shared" si="979"/>
        <v>-0.56830601092896327</v>
      </c>
      <c r="Q483">
        <f t="shared" si="980"/>
        <v>-363751.80343737802</v>
      </c>
      <c r="R483">
        <f t="shared" si="981"/>
        <v>32760442.363907468</v>
      </c>
      <c r="S483">
        <f t="shared" si="982"/>
        <v>327.6044236390747</v>
      </c>
      <c r="T483">
        <f t="shared" si="983"/>
        <v>0.32760442363907472</v>
      </c>
    </row>
    <row r="484" spans="1:20" x14ac:dyDescent="0.25">
      <c r="A484" s="5">
        <v>44109</v>
      </c>
      <c r="B484">
        <v>352.34</v>
      </c>
      <c r="C484">
        <v>356.1</v>
      </c>
      <c r="D484">
        <v>348.54</v>
      </c>
      <c r="E484">
        <v>353.62</v>
      </c>
      <c r="F484">
        <v>376740.30692</v>
      </c>
      <c r="G484">
        <v>0</v>
      </c>
      <c r="L484" t="s">
        <v>7</v>
      </c>
      <c r="M484" t="s">
        <v>8</v>
      </c>
      <c r="N484" t="s">
        <v>7</v>
      </c>
      <c r="P484">
        <f t="shared" si="979"/>
        <v>0.34391534391533929</v>
      </c>
      <c r="Q484">
        <f t="shared" si="980"/>
        <v>129566.77222116227</v>
      </c>
      <c r="R484">
        <f t="shared" si="981"/>
        <v>33124194.167344846</v>
      </c>
      <c r="S484">
        <f t="shared" si="982"/>
        <v>331.24194167344848</v>
      </c>
      <c r="T484">
        <f t="shared" si="983"/>
        <v>0.3312419416734485</v>
      </c>
    </row>
    <row r="485" spans="1:20" x14ac:dyDescent="0.25">
      <c r="A485" s="5">
        <v>44108</v>
      </c>
      <c r="B485">
        <v>345.94</v>
      </c>
      <c r="C485">
        <v>354.45</v>
      </c>
      <c r="D485">
        <v>343.81</v>
      </c>
      <c r="E485">
        <v>352.37</v>
      </c>
      <c r="F485">
        <v>343932.91712</v>
      </c>
      <c r="G485">
        <v>0</v>
      </c>
      <c r="L485" t="s">
        <v>7</v>
      </c>
      <c r="M485" t="s">
        <v>8</v>
      </c>
      <c r="N485" t="s">
        <v>7</v>
      </c>
      <c r="P485">
        <f t="shared" si="979"/>
        <v>0.60902255639097991</v>
      </c>
      <c r="Q485">
        <f t="shared" si="980"/>
        <v>209462.90441142942</v>
      </c>
      <c r="R485">
        <f t="shared" si="981"/>
        <v>32994627.395123683</v>
      </c>
      <c r="S485">
        <f t="shared" si="982"/>
        <v>329.94627395123683</v>
      </c>
      <c r="T485">
        <f t="shared" si="983"/>
        <v>0.32994627395123682</v>
      </c>
    </row>
    <row r="486" spans="1:20" x14ac:dyDescent="0.25">
      <c r="A486" s="5">
        <v>44107</v>
      </c>
      <c r="B486">
        <v>345.6</v>
      </c>
      <c r="C486">
        <v>351</v>
      </c>
      <c r="D486">
        <v>343.7</v>
      </c>
      <c r="E486">
        <v>345.95</v>
      </c>
      <c r="F486">
        <v>303595.71901</v>
      </c>
      <c r="G486">
        <v>0</v>
      </c>
      <c r="L486" t="s">
        <v>7</v>
      </c>
      <c r="M486" t="s">
        <v>8</v>
      </c>
      <c r="N486" t="s">
        <v>7</v>
      </c>
      <c r="P486">
        <f t="shared" si="979"/>
        <v>-0.38356164383561742</v>
      </c>
      <c r="Q486">
        <f t="shared" si="980"/>
        <v>-116447.6730449318</v>
      </c>
      <c r="R486">
        <f t="shared" si="981"/>
        <v>32785164.490712255</v>
      </c>
      <c r="S486">
        <f t="shared" si="982"/>
        <v>327.85164490712253</v>
      </c>
      <c r="T486">
        <f t="shared" si="983"/>
        <v>0.32785164490712254</v>
      </c>
    </row>
    <row r="487" spans="1:20" x14ac:dyDescent="0.25">
      <c r="A487" s="5">
        <v>44106</v>
      </c>
      <c r="B487">
        <v>352.83</v>
      </c>
      <c r="C487">
        <v>354.55</v>
      </c>
      <c r="D487">
        <v>334.24</v>
      </c>
      <c r="E487">
        <v>345.6</v>
      </c>
      <c r="F487">
        <v>733571.84210999997</v>
      </c>
      <c r="G487">
        <v>0</v>
      </c>
      <c r="L487" t="s">
        <v>7</v>
      </c>
      <c r="M487" t="s">
        <v>8</v>
      </c>
      <c r="N487" t="s">
        <v>7</v>
      </c>
      <c r="P487">
        <f t="shared" si="979"/>
        <v>0.1186607582471701</v>
      </c>
      <c r="Q487">
        <f t="shared" si="980"/>
        <v>87046.191013545933</v>
      </c>
      <c r="R487">
        <f t="shared" si="981"/>
        <v>32901612.163757186</v>
      </c>
      <c r="S487">
        <f t="shared" si="982"/>
        <v>329.01612163757187</v>
      </c>
      <c r="T487">
        <f t="shared" si="983"/>
        <v>0.32901612163757188</v>
      </c>
    </row>
    <row r="488" spans="1:20" x14ac:dyDescent="0.25">
      <c r="A488" s="5">
        <v>44105</v>
      </c>
      <c r="B488">
        <v>359.83</v>
      </c>
      <c r="C488">
        <v>370.45</v>
      </c>
      <c r="D488">
        <v>345.51</v>
      </c>
      <c r="E488">
        <v>352.85</v>
      </c>
      <c r="F488">
        <v>758349.31958999997</v>
      </c>
      <c r="G488">
        <v>0</v>
      </c>
      <c r="L488" t="s">
        <v>8</v>
      </c>
      <c r="M488" t="s">
        <v>8</v>
      </c>
      <c r="N488" t="s">
        <v>7</v>
      </c>
      <c r="P488">
        <f t="shared" si="979"/>
        <v>-0.41138732959101582</v>
      </c>
      <c r="Q488">
        <f t="shared" si="980"/>
        <v>-311975.30148329388</v>
      </c>
      <c r="R488">
        <f t="shared" si="981"/>
        <v>32814565.972743642</v>
      </c>
      <c r="S488">
        <f t="shared" si="982"/>
        <v>328.1456597274364</v>
      </c>
      <c r="T488">
        <f t="shared" si="983"/>
        <v>0.32814565972743642</v>
      </c>
    </row>
    <row r="489" spans="1:20" x14ac:dyDescent="0.25">
      <c r="A489" s="5">
        <v>44104</v>
      </c>
      <c r="B489">
        <v>359.78</v>
      </c>
      <c r="C489">
        <v>361.5</v>
      </c>
      <c r="D489">
        <v>351.56</v>
      </c>
      <c r="E489">
        <v>359.83</v>
      </c>
      <c r="F489">
        <v>498943.23226000002</v>
      </c>
      <c r="G489">
        <v>0</v>
      </c>
      <c r="L489" t="s">
        <v>8</v>
      </c>
      <c r="M489" t="s">
        <v>8</v>
      </c>
      <c r="N489" t="s">
        <v>7</v>
      </c>
      <c r="P489">
        <f t="shared" si="979"/>
        <v>0.66398390342051983</v>
      </c>
      <c r="Q489">
        <f t="shared" si="980"/>
        <v>331290.27494124585</v>
      </c>
      <c r="R489">
        <f t="shared" si="981"/>
        <v>33126541.274226934</v>
      </c>
      <c r="S489">
        <f t="shared" si="982"/>
        <v>331.26541274226935</v>
      </c>
      <c r="T489">
        <f t="shared" si="983"/>
        <v>0.33126541274226934</v>
      </c>
    </row>
    <row r="490" spans="1:20" x14ac:dyDescent="0.25">
      <c r="A490" s="5">
        <v>44103</v>
      </c>
      <c r="B490">
        <v>353.91</v>
      </c>
      <c r="C490">
        <v>360.63</v>
      </c>
      <c r="D490">
        <v>350.45</v>
      </c>
      <c r="E490">
        <v>359.79</v>
      </c>
      <c r="F490">
        <v>585143.16891999997</v>
      </c>
      <c r="G490">
        <v>0</v>
      </c>
      <c r="L490" t="s">
        <v>8</v>
      </c>
      <c r="M490" t="s">
        <v>8</v>
      </c>
      <c r="N490" t="s">
        <v>7</v>
      </c>
      <c r="P490">
        <f t="shared" si="979"/>
        <v>0.83497053045187142</v>
      </c>
      <c r="Q490">
        <f t="shared" si="980"/>
        <v>488577.30214342137</v>
      </c>
      <c r="R490">
        <f t="shared" si="981"/>
        <v>32795250.999285687</v>
      </c>
      <c r="S490">
        <f t="shared" si="982"/>
        <v>327.95250999285685</v>
      </c>
      <c r="T490">
        <f t="shared" si="983"/>
        <v>0.32795250999285686</v>
      </c>
    </row>
    <row r="491" spans="1:20" x14ac:dyDescent="0.25">
      <c r="A491" s="5">
        <v>44102</v>
      </c>
      <c r="B491">
        <v>357.58</v>
      </c>
      <c r="C491">
        <v>368.2</v>
      </c>
      <c r="D491">
        <v>351.7</v>
      </c>
      <c r="E491">
        <v>353.96</v>
      </c>
      <c r="F491">
        <v>757758.43039999995</v>
      </c>
      <c r="G491">
        <v>0</v>
      </c>
      <c r="L491" t="s">
        <v>8</v>
      </c>
      <c r="M491" t="s">
        <v>8</v>
      </c>
      <c r="N491" t="s">
        <v>7</v>
      </c>
      <c r="P491">
        <f t="shared" si="979"/>
        <v>-0.72606060606060718</v>
      </c>
      <c r="Q491">
        <f t="shared" si="980"/>
        <v>-550178.54522375844</v>
      </c>
      <c r="R491">
        <f t="shared" si="981"/>
        <v>32306673.697142266</v>
      </c>
      <c r="S491">
        <f t="shared" si="982"/>
        <v>323.06673697142264</v>
      </c>
      <c r="T491">
        <f t="shared" si="983"/>
        <v>0.32306673697142263</v>
      </c>
    </row>
    <row r="492" spans="1:20" x14ac:dyDescent="0.25">
      <c r="A492" s="5">
        <v>44101</v>
      </c>
      <c r="B492">
        <v>353.95</v>
      </c>
      <c r="C492">
        <v>362.14</v>
      </c>
      <c r="D492">
        <v>347.24</v>
      </c>
      <c r="E492">
        <v>357.49</v>
      </c>
      <c r="F492">
        <v>569568.55041000003</v>
      </c>
      <c r="G492">
        <v>0</v>
      </c>
      <c r="L492" t="s">
        <v>8</v>
      </c>
      <c r="M492" t="s">
        <v>7</v>
      </c>
      <c r="N492" t="s">
        <v>7</v>
      </c>
      <c r="P492">
        <f t="shared" si="979"/>
        <v>0.37583892617449877</v>
      </c>
      <c r="Q492">
        <f t="shared" si="980"/>
        <v>214066.03236886027</v>
      </c>
      <c r="R492">
        <f t="shared" si="981"/>
        <v>32856852.242366023</v>
      </c>
      <c r="S492">
        <f t="shared" si="982"/>
        <v>328.56852242366023</v>
      </c>
      <c r="T492">
        <f t="shared" si="983"/>
        <v>0.32856852242366025</v>
      </c>
    </row>
    <row r="493" spans="1:20" x14ac:dyDescent="0.25">
      <c r="A493" s="5">
        <v>44100</v>
      </c>
      <c r="B493">
        <v>351.93</v>
      </c>
      <c r="C493">
        <v>356.4</v>
      </c>
      <c r="D493">
        <v>345.88</v>
      </c>
      <c r="E493">
        <v>353.92</v>
      </c>
      <c r="F493">
        <v>530879.20755000005</v>
      </c>
      <c r="G493">
        <v>0</v>
      </c>
      <c r="L493" t="s">
        <v>8</v>
      </c>
      <c r="M493" t="s">
        <v>7</v>
      </c>
      <c r="N493" t="s">
        <v>7</v>
      </c>
      <c r="P493">
        <f t="shared" si="979"/>
        <v>0.52851711026616621</v>
      </c>
      <c r="Q493">
        <f t="shared" si="980"/>
        <v>280578.7446747183</v>
      </c>
      <c r="R493">
        <f t="shared" si="981"/>
        <v>32642786.209997162</v>
      </c>
      <c r="S493">
        <f t="shared" si="982"/>
        <v>326.42786209997161</v>
      </c>
      <c r="T493">
        <f t="shared" si="983"/>
        <v>0.3264278620999716</v>
      </c>
    </row>
    <row r="494" spans="1:20" x14ac:dyDescent="0.25">
      <c r="A494" s="5">
        <v>44099</v>
      </c>
      <c r="B494">
        <v>348.97</v>
      </c>
      <c r="C494">
        <v>358</v>
      </c>
      <c r="D494">
        <v>337.58</v>
      </c>
      <c r="E494">
        <v>351.92</v>
      </c>
      <c r="F494">
        <v>860643.77923999995</v>
      </c>
      <c r="G494">
        <v>0</v>
      </c>
      <c r="L494" t="s">
        <v>8</v>
      </c>
      <c r="M494" t="s">
        <v>7</v>
      </c>
      <c r="N494" t="s">
        <v>7</v>
      </c>
      <c r="P494">
        <f t="shared" si="979"/>
        <v>0.40450538687561416</v>
      </c>
      <c r="Q494">
        <f t="shared" si="980"/>
        <v>348135.04488356685</v>
      </c>
      <c r="R494">
        <f t="shared" si="981"/>
        <v>32362207.465322442</v>
      </c>
      <c r="S494">
        <f t="shared" si="982"/>
        <v>323.62207465322444</v>
      </c>
      <c r="T494">
        <f t="shared" si="983"/>
        <v>0.32362207465322446</v>
      </c>
    </row>
    <row r="495" spans="1:20" x14ac:dyDescent="0.25">
      <c r="A495" s="5">
        <v>44098</v>
      </c>
      <c r="B495">
        <v>320.72000000000003</v>
      </c>
      <c r="C495">
        <v>353.1</v>
      </c>
      <c r="D495">
        <v>316.67</v>
      </c>
      <c r="E495">
        <v>348.97</v>
      </c>
      <c r="F495">
        <v>1071705.09721</v>
      </c>
      <c r="G495">
        <v>0</v>
      </c>
      <c r="L495" t="s">
        <v>8</v>
      </c>
      <c r="M495" t="s">
        <v>7</v>
      </c>
      <c r="N495" t="s">
        <v>7</v>
      </c>
      <c r="P495">
        <f t="shared" si="979"/>
        <v>0.77326379357672281</v>
      </c>
      <c r="Q495">
        <f t="shared" si="980"/>
        <v>828710.74906411511</v>
      </c>
      <c r="R495">
        <f t="shared" si="981"/>
        <v>32014072.420438875</v>
      </c>
      <c r="S495">
        <f t="shared" si="982"/>
        <v>320.14072420438873</v>
      </c>
      <c r="T495">
        <f t="shared" si="983"/>
        <v>0.32014072420438872</v>
      </c>
    </row>
    <row r="496" spans="1:20" x14ac:dyDescent="0.25">
      <c r="A496" s="5">
        <v>44097</v>
      </c>
      <c r="B496">
        <v>344.18</v>
      </c>
      <c r="C496">
        <v>344.65</v>
      </c>
      <c r="D496">
        <v>313.29000000000002</v>
      </c>
      <c r="E496">
        <v>320.72000000000003</v>
      </c>
      <c r="F496">
        <v>940904.49756000005</v>
      </c>
      <c r="G496">
        <v>0</v>
      </c>
      <c r="L496" t="s">
        <v>7</v>
      </c>
      <c r="M496" t="s">
        <v>7</v>
      </c>
      <c r="N496" t="s">
        <v>7</v>
      </c>
      <c r="P496">
        <f t="shared" si="979"/>
        <v>-0.52614795918367241</v>
      </c>
      <c r="Q496">
        <f t="shared" si="980"/>
        <v>-495054.9811779327</v>
      </c>
      <c r="R496">
        <f t="shared" si="981"/>
        <v>31185361.671374761</v>
      </c>
      <c r="S496">
        <f t="shared" si="982"/>
        <v>311.85361671374761</v>
      </c>
      <c r="T496">
        <f t="shared" si="983"/>
        <v>0.31185361671374762</v>
      </c>
    </row>
    <row r="497" spans="1:20" x14ac:dyDescent="0.25">
      <c r="A497" s="5">
        <v>44096</v>
      </c>
      <c r="B497">
        <v>340.31</v>
      </c>
      <c r="C497">
        <v>346.91</v>
      </c>
      <c r="D497">
        <v>335.34</v>
      </c>
      <c r="E497">
        <v>344.21</v>
      </c>
      <c r="F497">
        <v>842731.12878000003</v>
      </c>
      <c r="G497">
        <v>0</v>
      </c>
      <c r="L497" t="s">
        <v>7</v>
      </c>
      <c r="M497" t="s">
        <v>7</v>
      </c>
      <c r="N497" t="s">
        <v>7</v>
      </c>
      <c r="P497">
        <f t="shared" si="979"/>
        <v>0.53327571305098809</v>
      </c>
      <c r="Q497">
        <f t="shared" si="980"/>
        <v>449408.04361041856</v>
      </c>
      <c r="R497">
        <f t="shared" si="981"/>
        <v>31680416.652552694</v>
      </c>
      <c r="S497">
        <f t="shared" si="982"/>
        <v>316.80416652552697</v>
      </c>
      <c r="T497">
        <f t="shared" si="983"/>
        <v>0.31680416652552695</v>
      </c>
    </row>
    <row r="498" spans="1:20" x14ac:dyDescent="0.25">
      <c r="A498" s="5">
        <v>44095</v>
      </c>
      <c r="B498">
        <v>371.04</v>
      </c>
      <c r="C498">
        <v>376.8</v>
      </c>
      <c r="D498">
        <v>331</v>
      </c>
      <c r="E498">
        <v>340.36</v>
      </c>
      <c r="F498">
        <v>1283946.03098</v>
      </c>
      <c r="G498">
        <v>0</v>
      </c>
      <c r="L498" t="s">
        <v>7</v>
      </c>
      <c r="M498" t="s">
        <v>7</v>
      </c>
      <c r="N498" t="s">
        <v>7</v>
      </c>
      <c r="P498">
        <f t="shared" si="979"/>
        <v>-0.59126637554585104</v>
      </c>
      <c r="Q498">
        <f t="shared" si="980"/>
        <v>-759154.11613402562</v>
      </c>
      <c r="R498">
        <f t="shared" si="981"/>
        <v>31231008.608942274</v>
      </c>
      <c r="S498">
        <f t="shared" si="982"/>
        <v>312.31008608942273</v>
      </c>
      <c r="T498">
        <f t="shared" si="983"/>
        <v>0.31231008608942273</v>
      </c>
    </row>
    <row r="499" spans="1:20" x14ac:dyDescent="0.25">
      <c r="A499" s="5">
        <v>44094</v>
      </c>
      <c r="B499">
        <v>385.25</v>
      </c>
      <c r="C499">
        <v>385.45</v>
      </c>
      <c r="D499">
        <v>365</v>
      </c>
      <c r="E499">
        <v>371.04</v>
      </c>
      <c r="F499">
        <v>693164.40144000005</v>
      </c>
      <c r="G499">
        <v>0</v>
      </c>
      <c r="L499" t="s">
        <v>7</v>
      </c>
      <c r="M499" t="s">
        <v>8</v>
      </c>
      <c r="N499" t="s">
        <v>7</v>
      </c>
      <c r="P499">
        <f t="shared" si="979"/>
        <v>-0.40929095354522993</v>
      </c>
      <c r="Q499">
        <f t="shared" si="980"/>
        <v>-283705.91882898618</v>
      </c>
      <c r="R499">
        <f t="shared" si="981"/>
        <v>31990162.725076299</v>
      </c>
      <c r="S499">
        <f t="shared" si="982"/>
        <v>319.901627250763</v>
      </c>
      <c r="T499">
        <f t="shared" si="983"/>
        <v>0.31990162725076299</v>
      </c>
    </row>
    <row r="500" spans="1:20" x14ac:dyDescent="0.25">
      <c r="A500" s="5">
        <v>44093</v>
      </c>
      <c r="B500">
        <v>384.4</v>
      </c>
      <c r="C500">
        <v>388.72</v>
      </c>
      <c r="D500">
        <v>377</v>
      </c>
      <c r="E500">
        <v>385.25</v>
      </c>
      <c r="F500">
        <v>570908.33553000004</v>
      </c>
      <c r="G500">
        <v>0</v>
      </c>
      <c r="L500" t="s">
        <v>8</v>
      </c>
      <c r="M500" t="s">
        <v>8</v>
      </c>
      <c r="N500" t="s">
        <v>7</v>
      </c>
      <c r="P500">
        <f t="shared" si="979"/>
        <v>0.40784982935153258</v>
      </c>
      <c r="Q500">
        <f t="shared" si="980"/>
        <v>232844.86722127802</v>
      </c>
      <c r="R500">
        <f t="shared" si="981"/>
        <v>32273868.643905286</v>
      </c>
      <c r="S500">
        <f t="shared" si="982"/>
        <v>322.73868643905286</v>
      </c>
      <c r="T500">
        <f t="shared" si="983"/>
        <v>0.32273868643905285</v>
      </c>
    </row>
    <row r="501" spans="1:20" x14ac:dyDescent="0.25">
      <c r="A501" s="5">
        <v>44092</v>
      </c>
      <c r="B501">
        <v>389.35</v>
      </c>
      <c r="C501">
        <v>392.58</v>
      </c>
      <c r="D501">
        <v>375.33</v>
      </c>
      <c r="E501">
        <v>384.39</v>
      </c>
      <c r="F501">
        <v>804194.47219</v>
      </c>
      <c r="G501">
        <v>0</v>
      </c>
      <c r="L501" t="s">
        <v>8</v>
      </c>
      <c r="M501" t="s">
        <v>8</v>
      </c>
      <c r="N501" t="s">
        <v>7</v>
      </c>
      <c r="P501">
        <f t="shared" si="979"/>
        <v>5.0434782608695918E-2</v>
      </c>
      <c r="Q501">
        <f t="shared" si="980"/>
        <v>40559.373380017605</v>
      </c>
      <c r="R501">
        <f t="shared" si="981"/>
        <v>32041023.776684009</v>
      </c>
      <c r="S501">
        <f t="shared" si="982"/>
        <v>320.41023776684011</v>
      </c>
      <c r="T501">
        <f t="shared" si="983"/>
        <v>0.32041023776684013</v>
      </c>
    </row>
    <row r="502" spans="1:20" x14ac:dyDescent="0.25">
      <c r="A502" s="5">
        <v>44091</v>
      </c>
      <c r="B502">
        <v>365.04</v>
      </c>
      <c r="C502">
        <v>394.14</v>
      </c>
      <c r="D502">
        <v>363.3</v>
      </c>
      <c r="E502">
        <v>389.36</v>
      </c>
      <c r="F502">
        <v>1256300.4110000001</v>
      </c>
      <c r="G502">
        <v>0</v>
      </c>
      <c r="L502" t="s">
        <v>8</v>
      </c>
      <c r="M502" t="s">
        <v>8</v>
      </c>
      <c r="N502" t="s">
        <v>7</v>
      </c>
      <c r="P502">
        <f t="shared" si="979"/>
        <v>0.69001297016861374</v>
      </c>
      <c r="Q502">
        <f t="shared" si="980"/>
        <v>866863.57801816019</v>
      </c>
      <c r="R502">
        <f t="shared" si="981"/>
        <v>32000464.403303992</v>
      </c>
      <c r="S502">
        <f t="shared" si="982"/>
        <v>320.00464403303994</v>
      </c>
      <c r="T502">
        <f t="shared" si="983"/>
        <v>0.32000464403303996</v>
      </c>
    </row>
    <row r="503" spans="1:20" x14ac:dyDescent="0.25">
      <c r="A503" s="5">
        <v>44090</v>
      </c>
      <c r="B503">
        <v>364.05</v>
      </c>
      <c r="C503">
        <v>373.45</v>
      </c>
      <c r="D503">
        <v>355</v>
      </c>
      <c r="E503">
        <v>365.11</v>
      </c>
      <c r="F503">
        <v>841709.98939</v>
      </c>
      <c r="G503">
        <v>0</v>
      </c>
      <c r="L503" t="s">
        <v>7</v>
      </c>
      <c r="M503" t="s">
        <v>8</v>
      </c>
      <c r="N503" t="s">
        <v>7</v>
      </c>
      <c r="P503">
        <f t="shared" si="979"/>
        <v>9.5934959349595644E-2</v>
      </c>
      <c r="Q503">
        <f t="shared" si="980"/>
        <v>80749.413616278238</v>
      </c>
      <c r="R503">
        <f t="shared" si="981"/>
        <v>31133600.825285833</v>
      </c>
      <c r="S503">
        <f t="shared" si="982"/>
        <v>311.33600825285833</v>
      </c>
      <c r="T503">
        <f t="shared" si="983"/>
        <v>0.31133600825285834</v>
      </c>
    </row>
    <row r="504" spans="1:20" x14ac:dyDescent="0.25">
      <c r="A504" s="5">
        <v>44089</v>
      </c>
      <c r="B504">
        <v>377.12</v>
      </c>
      <c r="C504">
        <v>382.47</v>
      </c>
      <c r="D504">
        <v>362.34</v>
      </c>
      <c r="E504">
        <v>364.06</v>
      </c>
      <c r="F504">
        <v>883856.33004999999</v>
      </c>
      <c r="G504">
        <v>0</v>
      </c>
      <c r="L504" t="s">
        <v>8</v>
      </c>
      <c r="M504" t="s">
        <v>8</v>
      </c>
      <c r="N504" t="s">
        <v>7</v>
      </c>
      <c r="P504">
        <f t="shared" si="979"/>
        <v>-0.82911077993044979</v>
      </c>
      <c r="Q504">
        <f t="shared" si="980"/>
        <v>-732814.81115422049</v>
      </c>
      <c r="R504">
        <f t="shared" si="981"/>
        <v>31052851.411669556</v>
      </c>
      <c r="S504">
        <f t="shared" si="982"/>
        <v>310.52851411669553</v>
      </c>
      <c r="T504">
        <f t="shared" si="983"/>
        <v>0.31052851411669552</v>
      </c>
    </row>
    <row r="505" spans="1:20" x14ac:dyDescent="0.25">
      <c r="A505" s="5">
        <v>44088</v>
      </c>
      <c r="B505">
        <v>366.43</v>
      </c>
      <c r="C505">
        <v>384.64</v>
      </c>
      <c r="D505">
        <v>355.73</v>
      </c>
      <c r="E505">
        <v>377.12</v>
      </c>
      <c r="F505">
        <v>1042059.62265</v>
      </c>
      <c r="G505">
        <v>0</v>
      </c>
      <c r="L505" t="s">
        <v>8</v>
      </c>
      <c r="M505" t="s">
        <v>8</v>
      </c>
      <c r="N505" t="s">
        <v>7</v>
      </c>
      <c r="P505">
        <f t="shared" si="979"/>
        <v>0.47976478727084121</v>
      </c>
      <c r="Q505">
        <f t="shared" si="980"/>
        <v>499943.51318421034</v>
      </c>
      <c r="R505">
        <f t="shared" si="981"/>
        <v>31785666.222823776</v>
      </c>
      <c r="S505">
        <f t="shared" si="982"/>
        <v>317.85666222823778</v>
      </c>
      <c r="T505">
        <f t="shared" si="983"/>
        <v>0.31785666222823777</v>
      </c>
    </row>
    <row r="506" spans="1:20" x14ac:dyDescent="0.25">
      <c r="A506" s="5">
        <v>44087</v>
      </c>
      <c r="B506">
        <v>387.78</v>
      </c>
      <c r="C506">
        <v>390.43</v>
      </c>
      <c r="D506">
        <v>350</v>
      </c>
      <c r="E506">
        <v>366.42</v>
      </c>
      <c r="F506">
        <v>989195.69047000003</v>
      </c>
      <c r="G506">
        <v>0</v>
      </c>
      <c r="L506" t="s">
        <v>7</v>
      </c>
      <c r="M506" t="s">
        <v>8</v>
      </c>
      <c r="N506" t="s">
        <v>7</v>
      </c>
      <c r="P506">
        <f t="shared" si="979"/>
        <v>-0.18773188226564366</v>
      </c>
      <c r="Q506">
        <f t="shared" si="980"/>
        <v>-185703.56890099615</v>
      </c>
      <c r="R506">
        <f t="shared" si="981"/>
        <v>31285722.709639564</v>
      </c>
      <c r="S506">
        <f t="shared" si="982"/>
        <v>312.85722709639566</v>
      </c>
      <c r="T506">
        <f t="shared" si="983"/>
        <v>0.31285722709639568</v>
      </c>
    </row>
    <row r="507" spans="1:20" x14ac:dyDescent="0.25">
      <c r="A507" s="5">
        <v>44086</v>
      </c>
      <c r="B507">
        <v>373.62</v>
      </c>
      <c r="C507">
        <v>388.57</v>
      </c>
      <c r="D507">
        <v>364.73</v>
      </c>
      <c r="E507">
        <v>387.78</v>
      </c>
      <c r="F507">
        <v>766542.31634999998</v>
      </c>
      <c r="G507">
        <v>0</v>
      </c>
      <c r="L507" t="s">
        <v>8</v>
      </c>
      <c r="M507" t="s">
        <v>8</v>
      </c>
      <c r="N507" t="s">
        <v>7</v>
      </c>
      <c r="P507">
        <f t="shared" si="979"/>
        <v>0.93372483221476332</v>
      </c>
      <c r="Q507">
        <f t="shared" si="980"/>
        <v>715739.59571941977</v>
      </c>
      <c r="R507">
        <f t="shared" si="981"/>
        <v>31471426.278540559</v>
      </c>
      <c r="S507">
        <f t="shared" si="982"/>
        <v>314.71426278540559</v>
      </c>
      <c r="T507">
        <f t="shared" si="983"/>
        <v>0.3147142627854056</v>
      </c>
    </row>
    <row r="508" spans="1:20" x14ac:dyDescent="0.25">
      <c r="A508" s="5">
        <v>44085</v>
      </c>
      <c r="B508">
        <v>367.93</v>
      </c>
      <c r="C508">
        <v>375.27</v>
      </c>
      <c r="D508">
        <v>355.49</v>
      </c>
      <c r="E508">
        <v>373.63</v>
      </c>
      <c r="F508">
        <v>844017.59965999995</v>
      </c>
      <c r="G508">
        <v>0</v>
      </c>
      <c r="L508" t="s">
        <v>8</v>
      </c>
      <c r="M508" t="s">
        <v>8</v>
      </c>
      <c r="N508" t="s">
        <v>7</v>
      </c>
      <c r="P508">
        <f t="shared" si="979"/>
        <v>0.83417593528817102</v>
      </c>
      <c r="Q508">
        <f t="shared" si="980"/>
        <v>704059.17059605755</v>
      </c>
      <c r="R508">
        <f t="shared" si="981"/>
        <v>30755686.68282114</v>
      </c>
      <c r="S508">
        <f t="shared" si="982"/>
        <v>307.55686682821141</v>
      </c>
      <c r="T508">
        <f t="shared" si="983"/>
        <v>0.30755686682821143</v>
      </c>
    </row>
    <row r="509" spans="1:20" x14ac:dyDescent="0.25">
      <c r="A509" s="5">
        <v>44084</v>
      </c>
      <c r="B509">
        <v>350.85</v>
      </c>
      <c r="C509">
        <v>377.25</v>
      </c>
      <c r="D509">
        <v>349.91</v>
      </c>
      <c r="E509">
        <v>367.93</v>
      </c>
      <c r="F509">
        <v>1134287.6113700001</v>
      </c>
      <c r="G509">
        <v>0</v>
      </c>
      <c r="L509" t="s">
        <v>8</v>
      </c>
      <c r="M509" t="s">
        <v>8</v>
      </c>
      <c r="N509" t="s">
        <v>7</v>
      </c>
      <c r="P509">
        <f t="shared" si="979"/>
        <v>0.31821506949524492</v>
      </c>
      <c r="Q509">
        <f t="shared" si="980"/>
        <v>360947.41107969993</v>
      </c>
      <c r="R509">
        <f t="shared" si="981"/>
        <v>30051627.51222508</v>
      </c>
      <c r="S509">
        <f t="shared" si="982"/>
        <v>300.51627512225082</v>
      </c>
      <c r="T509">
        <f t="shared" si="983"/>
        <v>0.30051627512225082</v>
      </c>
    </row>
    <row r="510" spans="1:20" x14ac:dyDescent="0.25">
      <c r="A510" s="5">
        <v>44083</v>
      </c>
      <c r="B510">
        <v>337.41</v>
      </c>
      <c r="C510">
        <v>359</v>
      </c>
      <c r="D510">
        <v>330.51</v>
      </c>
      <c r="E510">
        <v>350.85</v>
      </c>
      <c r="F510">
        <v>879760.56255000003</v>
      </c>
      <c r="G510">
        <v>0</v>
      </c>
      <c r="L510" t="s">
        <v>8</v>
      </c>
      <c r="M510" t="s">
        <v>7</v>
      </c>
      <c r="N510" t="s">
        <v>7</v>
      </c>
      <c r="P510">
        <f t="shared" si="979"/>
        <v>0.42786942786942966</v>
      </c>
      <c r="Q510">
        <f t="shared" si="980"/>
        <v>376422.64856035612</v>
      </c>
      <c r="R510">
        <f t="shared" si="981"/>
        <v>29690680.101145379</v>
      </c>
      <c r="S510">
        <f t="shared" si="982"/>
        <v>296.90680101145381</v>
      </c>
      <c r="T510">
        <f t="shared" si="983"/>
        <v>0.29690680101145384</v>
      </c>
    </row>
    <row r="511" spans="1:20" x14ac:dyDescent="0.25">
      <c r="A511" s="5">
        <v>44082</v>
      </c>
      <c r="B511">
        <v>353.59</v>
      </c>
      <c r="C511">
        <v>356.58</v>
      </c>
      <c r="D511">
        <v>325.38</v>
      </c>
      <c r="E511">
        <v>337.39</v>
      </c>
      <c r="F511">
        <v>1400246.82962</v>
      </c>
      <c r="G511">
        <v>0</v>
      </c>
      <c r="L511" t="s">
        <v>8</v>
      </c>
      <c r="M511" t="s">
        <v>7</v>
      </c>
      <c r="N511" t="s">
        <v>7</v>
      </c>
      <c r="P511">
        <f t="shared" si="979"/>
        <v>-0.23012820512820542</v>
      </c>
      <c r="Q511">
        <f t="shared" si="980"/>
        <v>-322236.28963691066</v>
      </c>
      <c r="R511">
        <f t="shared" si="981"/>
        <v>29314257.452585023</v>
      </c>
      <c r="S511">
        <f t="shared" si="982"/>
        <v>293.14257452585025</v>
      </c>
      <c r="T511">
        <f t="shared" si="983"/>
        <v>0.29314257452585024</v>
      </c>
    </row>
    <row r="512" spans="1:20" x14ac:dyDescent="0.25">
      <c r="A512" s="5">
        <v>44081</v>
      </c>
      <c r="B512">
        <v>352.85</v>
      </c>
      <c r="C512">
        <v>358.51</v>
      </c>
      <c r="D512">
        <v>323</v>
      </c>
      <c r="E512">
        <v>353.59</v>
      </c>
      <c r="F512">
        <v>1740618.4246199999</v>
      </c>
      <c r="G512">
        <v>0</v>
      </c>
      <c r="L512" t="s">
        <v>7</v>
      </c>
      <c r="M512" t="s">
        <v>7</v>
      </c>
      <c r="N512" t="s">
        <v>7</v>
      </c>
      <c r="P512">
        <f t="shared" si="979"/>
        <v>0.72289495916643098</v>
      </c>
      <c r="Q512">
        <f t="shared" si="980"/>
        <v>1258284.2849900122</v>
      </c>
      <c r="R512">
        <f t="shared" si="981"/>
        <v>29636493.742221933</v>
      </c>
      <c r="S512">
        <f t="shared" si="982"/>
        <v>296.36493742221933</v>
      </c>
      <c r="T512">
        <f t="shared" si="983"/>
        <v>0.29636493742221931</v>
      </c>
    </row>
    <row r="513" spans="1:20" x14ac:dyDescent="0.25">
      <c r="A513" s="5">
        <v>44080</v>
      </c>
      <c r="B513">
        <v>335.04</v>
      </c>
      <c r="C513">
        <v>360</v>
      </c>
      <c r="D513">
        <v>316.10000000000002</v>
      </c>
      <c r="E513">
        <v>352.8</v>
      </c>
      <c r="F513">
        <v>2017811.1472100001</v>
      </c>
      <c r="G513">
        <v>0</v>
      </c>
      <c r="L513" t="s">
        <v>8</v>
      </c>
      <c r="M513" t="s">
        <v>7</v>
      </c>
      <c r="N513" t="s">
        <v>7</v>
      </c>
      <c r="P513">
        <f t="shared" si="979"/>
        <v>0.67198177676537618</v>
      </c>
      <c r="Q513">
        <f t="shared" si="980"/>
        <v>1355932.3198791579</v>
      </c>
      <c r="R513">
        <f t="shared" si="981"/>
        <v>28378209.45723192</v>
      </c>
      <c r="S513">
        <f t="shared" si="982"/>
        <v>283.78209457231918</v>
      </c>
      <c r="T513">
        <f t="shared" si="983"/>
        <v>0.28378209457231918</v>
      </c>
    </row>
    <row r="514" spans="1:20" x14ac:dyDescent="0.25">
      <c r="A514" s="5">
        <v>44079</v>
      </c>
      <c r="B514">
        <v>385.3</v>
      </c>
      <c r="C514">
        <v>395</v>
      </c>
      <c r="D514">
        <v>308.42</v>
      </c>
      <c r="E514">
        <v>335.01</v>
      </c>
      <c r="F514">
        <v>2777166.5138900001</v>
      </c>
      <c r="G514">
        <v>0</v>
      </c>
      <c r="L514" t="s">
        <v>7</v>
      </c>
      <c r="M514" t="s">
        <v>7</v>
      </c>
      <c r="N514" t="s">
        <v>7</v>
      </c>
      <c r="P514">
        <f t="shared" si="979"/>
        <v>-0.38577038577038625</v>
      </c>
      <c r="Q514">
        <f t="shared" si="980"/>
        <v>-1071348.5974119441</v>
      </c>
      <c r="R514">
        <f t="shared" si="981"/>
        <v>27022277.137352761</v>
      </c>
      <c r="S514">
        <f t="shared" si="982"/>
        <v>270.22277137352762</v>
      </c>
      <c r="T514">
        <f t="shared" si="983"/>
        <v>0.27022277137352763</v>
      </c>
    </row>
    <row r="515" spans="1:20" x14ac:dyDescent="0.25">
      <c r="A515" s="5">
        <v>44078</v>
      </c>
      <c r="B515">
        <v>381.35</v>
      </c>
      <c r="C515">
        <v>400.21</v>
      </c>
      <c r="D515">
        <v>357</v>
      </c>
      <c r="E515">
        <v>385.26</v>
      </c>
      <c r="F515">
        <v>1806488.22474</v>
      </c>
      <c r="G515">
        <v>0</v>
      </c>
      <c r="L515" t="s">
        <v>7</v>
      </c>
      <c r="M515" t="s">
        <v>7</v>
      </c>
      <c r="N515" t="s">
        <v>8</v>
      </c>
      <c r="P515">
        <f t="shared" si="979"/>
        <v>0.3080305484841474</v>
      </c>
      <c r="Q515">
        <f t="shared" si="980"/>
        <v>556453.55869681598</v>
      </c>
      <c r="R515">
        <f t="shared" si="981"/>
        <v>28093625.734764706</v>
      </c>
      <c r="S515">
        <f t="shared" si="982"/>
        <v>280.93625734764709</v>
      </c>
      <c r="T515">
        <f t="shared" si="983"/>
        <v>0.2809362573476471</v>
      </c>
    </row>
    <row r="516" spans="1:20" x14ac:dyDescent="0.25">
      <c r="A516" s="5">
        <v>44077</v>
      </c>
      <c r="B516">
        <v>439.5</v>
      </c>
      <c r="C516">
        <v>450.7</v>
      </c>
      <c r="D516">
        <v>372</v>
      </c>
      <c r="E516">
        <v>381.4</v>
      </c>
      <c r="F516">
        <v>2408569.3415100002</v>
      </c>
      <c r="G516">
        <v>0</v>
      </c>
      <c r="L516" t="s">
        <v>7</v>
      </c>
      <c r="M516" t="s">
        <v>7</v>
      </c>
      <c r="N516" t="s">
        <v>8</v>
      </c>
      <c r="P516">
        <f t="shared" si="979"/>
        <v>-0.76111817026683659</v>
      </c>
      <c r="Q516">
        <f t="shared" si="980"/>
        <v>-1833205.8901708908</v>
      </c>
      <c r="R516">
        <f t="shared" si="981"/>
        <v>27537172.176067889</v>
      </c>
      <c r="S516">
        <f t="shared" si="982"/>
        <v>275.37172176067889</v>
      </c>
      <c r="T516">
        <f t="shared" si="983"/>
        <v>0.27537172176067892</v>
      </c>
    </row>
    <row r="517" spans="1:20" x14ac:dyDescent="0.25">
      <c r="A517" s="5">
        <v>44076</v>
      </c>
      <c r="B517">
        <v>475.4</v>
      </c>
      <c r="C517">
        <v>481.39</v>
      </c>
      <c r="D517">
        <v>420</v>
      </c>
      <c r="E517">
        <v>439.5</v>
      </c>
      <c r="F517">
        <v>1880642.46853</v>
      </c>
      <c r="G517">
        <v>0</v>
      </c>
      <c r="L517" t="s">
        <v>7</v>
      </c>
      <c r="M517" t="s">
        <v>8</v>
      </c>
      <c r="N517" t="s">
        <v>8</v>
      </c>
      <c r="P517">
        <f t="shared" si="979"/>
        <v>-0.36471738068089249</v>
      </c>
      <c r="Q517">
        <f t="shared" si="980"/>
        <v>-685902.9951195094</v>
      </c>
      <c r="R517">
        <f t="shared" si="981"/>
        <v>29370378.06623878</v>
      </c>
      <c r="S517">
        <f t="shared" si="982"/>
        <v>293.70378066238777</v>
      </c>
      <c r="T517">
        <f t="shared" si="983"/>
        <v>0.29370378066238778</v>
      </c>
    </row>
    <row r="518" spans="1:20" x14ac:dyDescent="0.25">
      <c r="A518" s="5">
        <v>44075</v>
      </c>
      <c r="B518">
        <v>433.8</v>
      </c>
      <c r="C518">
        <v>488.84</v>
      </c>
      <c r="D518">
        <v>429.03</v>
      </c>
      <c r="E518">
        <v>475.4</v>
      </c>
      <c r="F518">
        <v>1751354.5771900001</v>
      </c>
      <c r="G518">
        <v>0</v>
      </c>
      <c r="L518" t="s">
        <v>8</v>
      </c>
      <c r="M518" t="s">
        <v>8</v>
      </c>
      <c r="N518" t="s">
        <v>8</v>
      </c>
      <c r="P518">
        <f t="shared" ref="P518:P581" si="984">IF(C518=D518,0,((E518-D518)-(C518-E518))/(C518-D518))</f>
        <v>0.55057682661762253</v>
      </c>
      <c r="Q518">
        <f t="shared" ref="Q518:Q581" si="985">F518*P518</f>
        <v>964255.24539151834</v>
      </c>
      <c r="R518">
        <f t="shared" ref="R518:R581" si="986">R519+Q518</f>
        <v>30056281.061358288</v>
      </c>
      <c r="S518">
        <f t="shared" ref="S518:S581" si="987">R518/100000</f>
        <v>300.56281061358288</v>
      </c>
      <c r="T518">
        <f t="shared" ref="T518:T581" si="988">S518/1000</f>
        <v>0.30056281061358286</v>
      </c>
    </row>
    <row r="519" spans="1:20" x14ac:dyDescent="0.25">
      <c r="A519" s="5">
        <v>44074</v>
      </c>
      <c r="B519">
        <v>428.94</v>
      </c>
      <c r="C519">
        <v>439</v>
      </c>
      <c r="D519">
        <v>418.04</v>
      </c>
      <c r="E519">
        <v>433.79</v>
      </c>
      <c r="F519">
        <v>1040748.68881</v>
      </c>
      <c r="G519">
        <v>0</v>
      </c>
      <c r="L519" t="s">
        <v>8</v>
      </c>
      <c r="M519" t="s">
        <v>7</v>
      </c>
      <c r="N519" t="s">
        <v>8</v>
      </c>
      <c r="P519">
        <f t="shared" si="984"/>
        <v>0.50286259541984879</v>
      </c>
      <c r="Q519">
        <f t="shared" si="985"/>
        <v>523353.58683480113</v>
      </c>
      <c r="R519">
        <f t="shared" si="986"/>
        <v>29092025.81596677</v>
      </c>
      <c r="S519">
        <f t="shared" si="987"/>
        <v>290.9202581596677</v>
      </c>
      <c r="T519">
        <f t="shared" si="988"/>
        <v>0.29092025815966771</v>
      </c>
    </row>
    <row r="520" spans="1:20" x14ac:dyDescent="0.25">
      <c r="A520" s="5">
        <v>44073</v>
      </c>
      <c r="B520">
        <v>398.65</v>
      </c>
      <c r="C520">
        <v>429.89</v>
      </c>
      <c r="D520">
        <v>398.3</v>
      </c>
      <c r="E520">
        <v>428.94</v>
      </c>
      <c r="F520">
        <v>894979.71788000001</v>
      </c>
      <c r="G520">
        <v>0</v>
      </c>
      <c r="L520" t="s">
        <v>8</v>
      </c>
      <c r="M520" t="s">
        <v>7</v>
      </c>
      <c r="N520" t="s">
        <v>8</v>
      </c>
      <c r="P520">
        <f t="shared" si="984"/>
        <v>0.93985438429882939</v>
      </c>
      <c r="Q520">
        <f t="shared" si="985"/>
        <v>841150.61170804745</v>
      </c>
      <c r="R520">
        <f t="shared" si="986"/>
        <v>28568672.229131971</v>
      </c>
      <c r="S520">
        <f t="shared" si="987"/>
        <v>285.68672229131971</v>
      </c>
      <c r="T520">
        <f t="shared" si="988"/>
        <v>0.28568672229131969</v>
      </c>
    </row>
    <row r="521" spans="1:20" x14ac:dyDescent="0.25">
      <c r="A521" s="5">
        <v>44072</v>
      </c>
      <c r="B521">
        <v>395.1</v>
      </c>
      <c r="C521">
        <v>405.69</v>
      </c>
      <c r="D521">
        <v>391.88</v>
      </c>
      <c r="E521">
        <v>398.65</v>
      </c>
      <c r="F521">
        <v>659802.63344000001</v>
      </c>
      <c r="G521">
        <v>0</v>
      </c>
      <c r="L521" t="s">
        <v>8</v>
      </c>
      <c r="M521" t="s">
        <v>7</v>
      </c>
      <c r="N521" t="s">
        <v>8</v>
      </c>
      <c r="P521">
        <f t="shared" si="984"/>
        <v>-1.9551049963797147E-2</v>
      </c>
      <c r="Q521">
        <f t="shared" si="985"/>
        <v>-12899.834252630375</v>
      </c>
      <c r="R521">
        <f t="shared" si="986"/>
        <v>27727521.617423922</v>
      </c>
      <c r="S521">
        <f t="shared" si="987"/>
        <v>277.27521617423923</v>
      </c>
      <c r="T521">
        <f t="shared" si="988"/>
        <v>0.27727521617423923</v>
      </c>
    </row>
    <row r="522" spans="1:20" x14ac:dyDescent="0.25">
      <c r="A522" s="5">
        <v>44071</v>
      </c>
      <c r="B522">
        <v>383.31</v>
      </c>
      <c r="C522">
        <v>398</v>
      </c>
      <c r="D522">
        <v>379.75</v>
      </c>
      <c r="E522">
        <v>395.11</v>
      </c>
      <c r="F522">
        <v>732601.46904999996</v>
      </c>
      <c r="G522">
        <v>0</v>
      </c>
      <c r="L522" t="s">
        <v>8</v>
      </c>
      <c r="M522" t="s">
        <v>7</v>
      </c>
      <c r="N522" t="s">
        <v>8</v>
      </c>
      <c r="P522">
        <f t="shared" si="984"/>
        <v>0.68328767123287826</v>
      </c>
      <c r="Q522">
        <f t="shared" si="985"/>
        <v>500577.55172896001</v>
      </c>
      <c r="R522">
        <f t="shared" si="986"/>
        <v>27740421.451676551</v>
      </c>
      <c r="S522">
        <f t="shared" si="987"/>
        <v>277.40421451676553</v>
      </c>
      <c r="T522">
        <f t="shared" si="988"/>
        <v>0.27740421451676556</v>
      </c>
    </row>
    <row r="523" spans="1:20" x14ac:dyDescent="0.25">
      <c r="A523" s="5">
        <v>44070</v>
      </c>
      <c r="B523">
        <v>385.81</v>
      </c>
      <c r="C523">
        <v>397.1</v>
      </c>
      <c r="D523">
        <v>371.48</v>
      </c>
      <c r="E523">
        <v>383.27</v>
      </c>
      <c r="F523">
        <v>877763.73658000003</v>
      </c>
      <c r="G523">
        <v>0</v>
      </c>
      <c r="L523" t="s">
        <v>8</v>
      </c>
      <c r="M523" t="s">
        <v>7</v>
      </c>
      <c r="N523" t="s">
        <v>8</v>
      </c>
      <c r="P523">
        <f t="shared" si="984"/>
        <v>-7.9625292740049841E-2</v>
      </c>
      <c r="Q523">
        <f t="shared" si="985"/>
        <v>-69892.194481782499</v>
      </c>
      <c r="R523">
        <f t="shared" si="986"/>
        <v>27239843.899947591</v>
      </c>
      <c r="S523">
        <f t="shared" si="987"/>
        <v>272.3984389994759</v>
      </c>
      <c r="T523">
        <f t="shared" si="988"/>
        <v>0.27239843899947591</v>
      </c>
    </row>
    <row r="524" spans="1:20" x14ac:dyDescent="0.25">
      <c r="A524" s="5">
        <v>44069</v>
      </c>
      <c r="B524">
        <v>382.91</v>
      </c>
      <c r="C524">
        <v>392.91</v>
      </c>
      <c r="D524">
        <v>377.37</v>
      </c>
      <c r="E524">
        <v>385.81</v>
      </c>
      <c r="F524">
        <v>738690.7794</v>
      </c>
      <c r="G524">
        <v>0</v>
      </c>
      <c r="L524" t="s">
        <v>7</v>
      </c>
      <c r="M524" t="s">
        <v>7</v>
      </c>
      <c r="N524" t="s">
        <v>8</v>
      </c>
      <c r="P524">
        <f t="shared" si="984"/>
        <v>8.6229086229084512E-2</v>
      </c>
      <c r="Q524">
        <f t="shared" si="985"/>
        <v>63696.630913512243</v>
      </c>
      <c r="R524">
        <f t="shared" si="986"/>
        <v>27309736.094429374</v>
      </c>
      <c r="S524">
        <f t="shared" si="987"/>
        <v>273.09736094429371</v>
      </c>
      <c r="T524">
        <f t="shared" si="988"/>
        <v>0.27309736094429371</v>
      </c>
    </row>
    <row r="525" spans="1:20" x14ac:dyDescent="0.25">
      <c r="A525" s="5">
        <v>44068</v>
      </c>
      <c r="B525">
        <v>407.68</v>
      </c>
      <c r="C525">
        <v>409.06</v>
      </c>
      <c r="D525">
        <v>370</v>
      </c>
      <c r="E525">
        <v>382.93</v>
      </c>
      <c r="F525">
        <v>970445.38395000005</v>
      </c>
      <c r="G525">
        <v>0</v>
      </c>
      <c r="L525" t="s">
        <v>7</v>
      </c>
      <c r="M525" t="s">
        <v>7</v>
      </c>
      <c r="N525" t="s">
        <v>8</v>
      </c>
      <c r="P525">
        <f t="shared" si="984"/>
        <v>-0.33794162826420859</v>
      </c>
      <c r="Q525">
        <f t="shared" si="985"/>
        <v>-327953.89319354808</v>
      </c>
      <c r="R525">
        <f t="shared" si="986"/>
        <v>27246039.463515863</v>
      </c>
      <c r="S525">
        <f t="shared" si="987"/>
        <v>272.46039463515865</v>
      </c>
      <c r="T525">
        <f t="shared" si="988"/>
        <v>0.27246039463515864</v>
      </c>
    </row>
    <row r="526" spans="1:20" x14ac:dyDescent="0.25">
      <c r="A526" s="5">
        <v>44067</v>
      </c>
      <c r="B526">
        <v>390.72</v>
      </c>
      <c r="C526">
        <v>410.42</v>
      </c>
      <c r="D526">
        <v>387.44</v>
      </c>
      <c r="E526">
        <v>407.68</v>
      </c>
      <c r="F526">
        <v>717403.81877000001</v>
      </c>
      <c r="G526">
        <v>0</v>
      </c>
      <c r="L526" t="s">
        <v>8</v>
      </c>
      <c r="M526" t="s">
        <v>7</v>
      </c>
      <c r="N526" t="s">
        <v>8</v>
      </c>
      <c r="P526">
        <f t="shared" si="984"/>
        <v>0.76153176675369827</v>
      </c>
      <c r="Q526">
        <f t="shared" si="985"/>
        <v>546325.79758376803</v>
      </c>
      <c r="R526">
        <f t="shared" si="986"/>
        <v>27573993.35670941</v>
      </c>
      <c r="S526">
        <f t="shared" si="987"/>
        <v>275.73993356709411</v>
      </c>
      <c r="T526">
        <f t="shared" si="988"/>
        <v>0.27573993356709409</v>
      </c>
    </row>
    <row r="527" spans="1:20" x14ac:dyDescent="0.25">
      <c r="A527" s="5">
        <v>44066</v>
      </c>
      <c r="B527">
        <v>395.23</v>
      </c>
      <c r="C527">
        <v>396.95</v>
      </c>
      <c r="D527">
        <v>383.15</v>
      </c>
      <c r="E527">
        <v>390.71</v>
      </c>
      <c r="F527">
        <v>445317.81988999998</v>
      </c>
      <c r="G527">
        <v>0</v>
      </c>
      <c r="L527" t="s">
        <v>7</v>
      </c>
      <c r="M527" t="s">
        <v>7</v>
      </c>
      <c r="N527" t="s">
        <v>8</v>
      </c>
      <c r="P527">
        <f t="shared" si="984"/>
        <v>9.5652173913042898E-2</v>
      </c>
      <c r="Q527">
        <f t="shared" si="985"/>
        <v>42595.617554695389</v>
      </c>
      <c r="R527">
        <f t="shared" si="986"/>
        <v>27027667.559125643</v>
      </c>
      <c r="S527">
        <f t="shared" si="987"/>
        <v>270.27667559125643</v>
      </c>
      <c r="T527">
        <f t="shared" si="988"/>
        <v>0.27027667559125645</v>
      </c>
    </row>
    <row r="528" spans="1:20" x14ac:dyDescent="0.25">
      <c r="A528" s="5">
        <v>44065</v>
      </c>
      <c r="B528">
        <v>387.93</v>
      </c>
      <c r="C528">
        <v>397.04</v>
      </c>
      <c r="D528">
        <v>379.92</v>
      </c>
      <c r="E528">
        <v>395.24</v>
      </c>
      <c r="F528">
        <v>643235.76543000003</v>
      </c>
      <c r="G528">
        <v>0</v>
      </c>
      <c r="L528" t="s">
        <v>7</v>
      </c>
      <c r="M528" t="s">
        <v>7</v>
      </c>
      <c r="N528" t="s">
        <v>8</v>
      </c>
      <c r="P528">
        <f t="shared" si="984"/>
        <v>0.789719626168223</v>
      </c>
      <c r="Q528">
        <f t="shared" si="985"/>
        <v>507975.90821341041</v>
      </c>
      <c r="R528">
        <f t="shared" si="986"/>
        <v>26985071.941570949</v>
      </c>
      <c r="S528">
        <f t="shared" si="987"/>
        <v>269.85071941570948</v>
      </c>
      <c r="T528">
        <f t="shared" si="988"/>
        <v>0.26985071941570948</v>
      </c>
    </row>
    <row r="529" spans="1:20" x14ac:dyDescent="0.25">
      <c r="A529" s="5">
        <v>44064</v>
      </c>
      <c r="B529">
        <v>415.94</v>
      </c>
      <c r="C529">
        <v>418.68</v>
      </c>
      <c r="D529">
        <v>385.1</v>
      </c>
      <c r="E529">
        <v>387.97</v>
      </c>
      <c r="F529">
        <v>860998.72560000001</v>
      </c>
      <c r="G529">
        <v>0</v>
      </c>
      <c r="L529" t="s">
        <v>7</v>
      </c>
      <c r="M529" t="s">
        <v>8</v>
      </c>
      <c r="N529" t="s">
        <v>8</v>
      </c>
      <c r="P529">
        <f t="shared" si="984"/>
        <v>-0.82906491959499662</v>
      </c>
      <c r="Q529">
        <f t="shared" si="985"/>
        <v>-713823.83921095857</v>
      </c>
      <c r="R529">
        <f t="shared" si="986"/>
        <v>26477096.033357538</v>
      </c>
      <c r="S529">
        <f t="shared" si="987"/>
        <v>264.77096033357537</v>
      </c>
      <c r="T529">
        <f t="shared" si="988"/>
        <v>0.26477096033357539</v>
      </c>
    </row>
    <row r="530" spans="1:20" x14ac:dyDescent="0.25">
      <c r="A530" s="5">
        <v>44063</v>
      </c>
      <c r="B530">
        <v>407.46</v>
      </c>
      <c r="C530">
        <v>418.98</v>
      </c>
      <c r="D530">
        <v>402.07</v>
      </c>
      <c r="E530">
        <v>415.94</v>
      </c>
      <c r="F530">
        <v>663555.73444999999</v>
      </c>
      <c r="G530">
        <v>0</v>
      </c>
      <c r="L530" t="s">
        <v>7</v>
      </c>
      <c r="M530" t="s">
        <v>8</v>
      </c>
      <c r="N530" t="s">
        <v>8</v>
      </c>
      <c r="P530">
        <f t="shared" si="984"/>
        <v>0.64044943820224531</v>
      </c>
      <c r="Q530">
        <f t="shared" si="985"/>
        <v>424973.89734438079</v>
      </c>
      <c r="R530">
        <f t="shared" si="986"/>
        <v>27190919.872568496</v>
      </c>
      <c r="S530">
        <f t="shared" si="987"/>
        <v>271.90919872568497</v>
      </c>
      <c r="T530">
        <f t="shared" si="988"/>
        <v>0.27190919872568498</v>
      </c>
    </row>
    <row r="531" spans="1:20" x14ac:dyDescent="0.25">
      <c r="A531" s="5">
        <v>44062</v>
      </c>
      <c r="B531">
        <v>421.92</v>
      </c>
      <c r="C531">
        <v>426.75</v>
      </c>
      <c r="D531">
        <v>393.25</v>
      </c>
      <c r="E531">
        <v>407.46</v>
      </c>
      <c r="F531">
        <v>978339.69221000001</v>
      </c>
      <c r="G531">
        <v>0</v>
      </c>
      <c r="L531" t="s">
        <v>7</v>
      </c>
      <c r="M531" t="s">
        <v>8</v>
      </c>
      <c r="N531" t="s">
        <v>8</v>
      </c>
      <c r="P531">
        <f t="shared" si="984"/>
        <v>-0.15164179104477735</v>
      </c>
      <c r="Q531">
        <f t="shared" si="985"/>
        <v>-148357.1831769206</v>
      </c>
      <c r="R531">
        <f t="shared" si="986"/>
        <v>26765945.975224115</v>
      </c>
      <c r="S531">
        <f t="shared" si="987"/>
        <v>267.65945975224116</v>
      </c>
      <c r="T531">
        <f t="shared" si="988"/>
        <v>0.26765945975224115</v>
      </c>
    </row>
    <row r="532" spans="1:20" x14ac:dyDescent="0.25">
      <c r="A532" s="5">
        <v>44061</v>
      </c>
      <c r="B532">
        <v>430.89</v>
      </c>
      <c r="C532">
        <v>433.81</v>
      </c>
      <c r="D532">
        <v>415</v>
      </c>
      <c r="E532">
        <v>421.95</v>
      </c>
      <c r="F532">
        <v>743254.57018000004</v>
      </c>
      <c r="G532">
        <v>0</v>
      </c>
      <c r="L532" t="s">
        <v>7</v>
      </c>
      <c r="M532" t="s">
        <v>8</v>
      </c>
      <c r="N532" t="s">
        <v>8</v>
      </c>
      <c r="P532">
        <f t="shared" si="984"/>
        <v>-0.2610313662945255</v>
      </c>
      <c r="Q532">
        <f t="shared" si="985"/>
        <v>-194012.75595873571</v>
      </c>
      <c r="R532">
        <f t="shared" si="986"/>
        <v>26914303.158401035</v>
      </c>
      <c r="S532">
        <f t="shared" si="987"/>
        <v>269.14303158401037</v>
      </c>
      <c r="T532">
        <f t="shared" si="988"/>
        <v>0.26914303158401037</v>
      </c>
    </row>
    <row r="533" spans="1:20" x14ac:dyDescent="0.25">
      <c r="A533" s="5">
        <v>44060</v>
      </c>
      <c r="B533">
        <v>433.61</v>
      </c>
      <c r="C533">
        <v>446</v>
      </c>
      <c r="D533">
        <v>420.37</v>
      </c>
      <c r="E533">
        <v>430.89</v>
      </c>
      <c r="F533">
        <v>868870.64995999995</v>
      </c>
      <c r="G533">
        <v>0</v>
      </c>
      <c r="L533" t="s">
        <v>8</v>
      </c>
      <c r="M533" t="s">
        <v>8</v>
      </c>
      <c r="N533" t="s">
        <v>8</v>
      </c>
      <c r="P533">
        <f t="shared" si="984"/>
        <v>-0.17908700741318895</v>
      </c>
      <c r="Q533">
        <f t="shared" si="985"/>
        <v>-155603.44453048881</v>
      </c>
      <c r="R533">
        <f t="shared" si="986"/>
        <v>27108315.914359771</v>
      </c>
      <c r="S533">
        <f t="shared" si="987"/>
        <v>271.0831591435977</v>
      </c>
      <c r="T533">
        <f t="shared" si="988"/>
        <v>0.27108315914359771</v>
      </c>
    </row>
    <row r="534" spans="1:20" x14ac:dyDescent="0.25">
      <c r="A534" s="5">
        <v>44059</v>
      </c>
      <c r="B534">
        <v>432.3</v>
      </c>
      <c r="C534">
        <v>436.99</v>
      </c>
      <c r="D534">
        <v>412.47</v>
      </c>
      <c r="E534">
        <v>433.62</v>
      </c>
      <c r="F534">
        <v>716666.25257999997</v>
      </c>
      <c r="G534">
        <v>0</v>
      </c>
      <c r="L534" t="s">
        <v>8</v>
      </c>
      <c r="M534" t="s">
        <v>8</v>
      </c>
      <c r="N534" t="s">
        <v>8</v>
      </c>
      <c r="P534">
        <f t="shared" si="984"/>
        <v>0.72512234910277262</v>
      </c>
      <c r="Q534">
        <f t="shared" si="985"/>
        <v>519670.71659349056</v>
      </c>
      <c r="R534">
        <f t="shared" si="986"/>
        <v>27263919.358890258</v>
      </c>
      <c r="S534">
        <f t="shared" si="987"/>
        <v>272.63919358890257</v>
      </c>
      <c r="T534">
        <f t="shared" si="988"/>
        <v>0.2726391935889026</v>
      </c>
    </row>
    <row r="535" spans="1:20" x14ac:dyDescent="0.25">
      <c r="A535" s="5">
        <v>44058</v>
      </c>
      <c r="B535">
        <v>438.12</v>
      </c>
      <c r="C535">
        <v>442.94</v>
      </c>
      <c r="D535">
        <v>427.02</v>
      </c>
      <c r="E535">
        <v>432.32</v>
      </c>
      <c r="F535">
        <v>681698.59710000001</v>
      </c>
      <c r="G535">
        <v>0</v>
      </c>
      <c r="L535" t="s">
        <v>8</v>
      </c>
      <c r="M535" t="s">
        <v>8</v>
      </c>
      <c r="N535" t="s">
        <v>8</v>
      </c>
      <c r="P535">
        <f t="shared" si="984"/>
        <v>-0.33417085427135601</v>
      </c>
      <c r="Q535">
        <f t="shared" si="985"/>
        <v>-227803.80254849195</v>
      </c>
      <c r="R535">
        <f t="shared" si="986"/>
        <v>26744248.642296769</v>
      </c>
      <c r="S535">
        <f t="shared" si="987"/>
        <v>267.4424864229677</v>
      </c>
      <c r="T535">
        <f t="shared" si="988"/>
        <v>0.2674424864229677</v>
      </c>
    </row>
    <row r="536" spans="1:20" x14ac:dyDescent="0.25">
      <c r="A536" s="5">
        <v>44057</v>
      </c>
      <c r="B536">
        <v>424.54</v>
      </c>
      <c r="C536">
        <v>444.71</v>
      </c>
      <c r="D536">
        <v>417.05</v>
      </c>
      <c r="E536">
        <v>438.11</v>
      </c>
      <c r="F536">
        <v>1109670.9432399999</v>
      </c>
      <c r="G536">
        <v>0</v>
      </c>
      <c r="L536" t="s">
        <v>8</v>
      </c>
      <c r="M536" t="s">
        <v>8</v>
      </c>
      <c r="N536" t="s">
        <v>8</v>
      </c>
      <c r="P536">
        <f t="shared" si="984"/>
        <v>0.52277657266811473</v>
      </c>
      <c r="Q536">
        <f t="shared" si="985"/>
        <v>580109.97249640129</v>
      </c>
      <c r="R536">
        <f t="shared" si="986"/>
        <v>26972052.444845259</v>
      </c>
      <c r="S536">
        <f t="shared" si="987"/>
        <v>269.72052444845258</v>
      </c>
      <c r="T536">
        <f t="shared" si="988"/>
        <v>0.26972052444845257</v>
      </c>
    </row>
    <row r="537" spans="1:20" x14ac:dyDescent="0.25">
      <c r="A537" s="5">
        <v>44056</v>
      </c>
      <c r="B537">
        <v>387.18</v>
      </c>
      <c r="C537">
        <v>431.49</v>
      </c>
      <c r="D537">
        <v>376.59</v>
      </c>
      <c r="E537">
        <v>424.54</v>
      </c>
      <c r="F537">
        <v>1511330.7731999999</v>
      </c>
      <c r="G537">
        <v>0</v>
      </c>
      <c r="L537" t="s">
        <v>8</v>
      </c>
      <c r="M537" t="s">
        <v>8</v>
      </c>
      <c r="N537" t="s">
        <v>8</v>
      </c>
      <c r="P537">
        <f t="shared" si="984"/>
        <v>0.74681238615664902</v>
      </c>
      <c r="Q537">
        <f t="shared" si="985"/>
        <v>1128680.5410054652</v>
      </c>
      <c r="R537">
        <f t="shared" si="986"/>
        <v>26391942.472348858</v>
      </c>
      <c r="S537">
        <f t="shared" si="987"/>
        <v>263.91942472348859</v>
      </c>
      <c r="T537">
        <f t="shared" si="988"/>
        <v>0.26391942472348862</v>
      </c>
    </row>
    <row r="538" spans="1:20" x14ac:dyDescent="0.25">
      <c r="A538" s="5">
        <v>44055</v>
      </c>
      <c r="B538">
        <v>378.99</v>
      </c>
      <c r="C538">
        <v>389.23</v>
      </c>
      <c r="D538">
        <v>365.85</v>
      </c>
      <c r="E538">
        <v>387.18</v>
      </c>
      <c r="F538">
        <v>751848.79830000002</v>
      </c>
      <c r="G538">
        <v>0</v>
      </c>
      <c r="L538" t="s">
        <v>7</v>
      </c>
      <c r="M538" t="s">
        <v>8</v>
      </c>
      <c r="N538" t="s">
        <v>8</v>
      </c>
      <c r="P538">
        <f t="shared" si="984"/>
        <v>0.82463644140290748</v>
      </c>
      <c r="Q538">
        <f t="shared" si="985"/>
        <v>620001.91750316438</v>
      </c>
      <c r="R538">
        <f t="shared" si="986"/>
        <v>25263261.931343392</v>
      </c>
      <c r="S538">
        <f t="shared" si="987"/>
        <v>252.63261931343391</v>
      </c>
      <c r="T538">
        <f t="shared" si="988"/>
        <v>0.25263261931343389</v>
      </c>
    </row>
    <row r="539" spans="1:20" x14ac:dyDescent="0.25">
      <c r="A539" s="5">
        <v>44054</v>
      </c>
      <c r="B539">
        <v>395.43</v>
      </c>
      <c r="C539">
        <v>398.21</v>
      </c>
      <c r="D539">
        <v>367</v>
      </c>
      <c r="E539">
        <v>379</v>
      </c>
      <c r="F539">
        <v>992412.60230000003</v>
      </c>
      <c r="G539">
        <v>0</v>
      </c>
      <c r="L539" t="s">
        <v>7</v>
      </c>
      <c r="M539" t="s">
        <v>8</v>
      </c>
      <c r="N539" t="s">
        <v>8</v>
      </c>
      <c r="P539">
        <f t="shared" si="984"/>
        <v>-0.23101570009612254</v>
      </c>
      <c r="Q539">
        <f t="shared" si="985"/>
        <v>-229262.89210454933</v>
      </c>
      <c r="R539">
        <f t="shared" si="986"/>
        <v>24643260.013840228</v>
      </c>
      <c r="S539">
        <f t="shared" si="987"/>
        <v>246.43260013840228</v>
      </c>
      <c r="T539">
        <f t="shared" si="988"/>
        <v>0.24643260013840229</v>
      </c>
    </row>
    <row r="540" spans="1:20" x14ac:dyDescent="0.25">
      <c r="A540" s="5">
        <v>44053</v>
      </c>
      <c r="B540">
        <v>390.14</v>
      </c>
      <c r="C540">
        <v>399.18</v>
      </c>
      <c r="D540">
        <v>385.13</v>
      </c>
      <c r="E540">
        <v>395.44</v>
      </c>
      <c r="F540">
        <v>826969.90633000003</v>
      </c>
      <c r="G540">
        <v>0</v>
      </c>
      <c r="L540" t="s">
        <v>8</v>
      </c>
      <c r="M540" t="s">
        <v>8</v>
      </c>
      <c r="N540" t="s">
        <v>8</v>
      </c>
      <c r="P540">
        <f t="shared" si="984"/>
        <v>0.46761565836298846</v>
      </c>
      <c r="Q540">
        <f t="shared" si="985"/>
        <v>386704.07719488186</v>
      </c>
      <c r="R540">
        <f t="shared" si="986"/>
        <v>24872522.90594478</v>
      </c>
      <c r="S540">
        <f t="shared" si="987"/>
        <v>248.7252290594478</v>
      </c>
      <c r="T540">
        <f t="shared" si="988"/>
        <v>0.2487252290594478</v>
      </c>
    </row>
    <row r="541" spans="1:20" x14ac:dyDescent="0.25">
      <c r="A541" s="5">
        <v>44052</v>
      </c>
      <c r="B541">
        <v>397.05</v>
      </c>
      <c r="C541">
        <v>400</v>
      </c>
      <c r="D541">
        <v>383.36</v>
      </c>
      <c r="E541">
        <v>390.14</v>
      </c>
      <c r="F541">
        <v>594900.58132999996</v>
      </c>
      <c r="G541">
        <v>0</v>
      </c>
      <c r="L541" t="s">
        <v>8</v>
      </c>
      <c r="M541" t="s">
        <v>8</v>
      </c>
      <c r="N541" t="s">
        <v>8</v>
      </c>
      <c r="P541">
        <f t="shared" si="984"/>
        <v>-0.18509615384615646</v>
      </c>
      <c r="Q541">
        <f t="shared" si="985"/>
        <v>-110113.80952502559</v>
      </c>
      <c r="R541">
        <f t="shared" si="986"/>
        <v>24485818.828749899</v>
      </c>
      <c r="S541">
        <f t="shared" si="987"/>
        <v>244.85818828749899</v>
      </c>
      <c r="T541">
        <f t="shared" si="988"/>
        <v>0.244858188287499</v>
      </c>
    </row>
    <row r="542" spans="1:20" x14ac:dyDescent="0.25">
      <c r="A542" s="5">
        <v>44051</v>
      </c>
      <c r="B542">
        <v>379.34</v>
      </c>
      <c r="C542">
        <v>397.05</v>
      </c>
      <c r="D542">
        <v>375.79</v>
      </c>
      <c r="E542">
        <v>397.03</v>
      </c>
      <c r="F542">
        <v>623029.78052999999</v>
      </c>
      <c r="G542">
        <v>0</v>
      </c>
      <c r="L542" t="s">
        <v>8</v>
      </c>
      <c r="M542" t="s">
        <v>8</v>
      </c>
      <c r="N542" t="s">
        <v>8</v>
      </c>
      <c r="P542">
        <f t="shared" si="984"/>
        <v>0.99811853245531146</v>
      </c>
      <c r="Q542">
        <f t="shared" si="985"/>
        <v>621857.57021855842</v>
      </c>
      <c r="R542">
        <f t="shared" si="986"/>
        <v>24595932.638274923</v>
      </c>
      <c r="S542">
        <f t="shared" si="987"/>
        <v>245.95932638274923</v>
      </c>
      <c r="T542">
        <f t="shared" si="988"/>
        <v>0.24595932638274923</v>
      </c>
    </row>
    <row r="543" spans="1:20" x14ac:dyDescent="0.25">
      <c r="A543" s="5">
        <v>44050</v>
      </c>
      <c r="B543">
        <v>394.77</v>
      </c>
      <c r="C543">
        <v>398.26</v>
      </c>
      <c r="D543">
        <v>362.85</v>
      </c>
      <c r="E543">
        <v>379.34</v>
      </c>
      <c r="F543">
        <v>1041207.3594599999</v>
      </c>
      <c r="G543">
        <v>0</v>
      </c>
      <c r="L543" t="s">
        <v>7</v>
      </c>
      <c r="M543" t="s">
        <v>8</v>
      </c>
      <c r="N543" t="s">
        <v>8</v>
      </c>
      <c r="P543">
        <f t="shared" si="984"/>
        <v>-6.8624682293139394E-2</v>
      </c>
      <c r="Q543">
        <f t="shared" si="985"/>
        <v>-71452.524244221087</v>
      </c>
      <c r="R543">
        <f t="shared" si="986"/>
        <v>23974075.068056364</v>
      </c>
      <c r="S543">
        <f t="shared" si="987"/>
        <v>239.74075068056365</v>
      </c>
      <c r="T543">
        <f t="shared" si="988"/>
        <v>0.23974075068056366</v>
      </c>
    </row>
    <row r="544" spans="1:20" x14ac:dyDescent="0.25">
      <c r="A544" s="5">
        <v>44049</v>
      </c>
      <c r="B544">
        <v>400.72</v>
      </c>
      <c r="C544">
        <v>403.66</v>
      </c>
      <c r="D544">
        <v>390.51</v>
      </c>
      <c r="E544">
        <v>394.77</v>
      </c>
      <c r="F544">
        <v>821379.08397000004</v>
      </c>
      <c r="G544">
        <v>0</v>
      </c>
      <c r="L544" t="s">
        <v>8</v>
      </c>
      <c r="M544" t="s">
        <v>8</v>
      </c>
      <c r="N544" t="s">
        <v>8</v>
      </c>
      <c r="P544">
        <f t="shared" si="984"/>
        <v>-0.3520912547528548</v>
      </c>
      <c r="Q544">
        <f t="shared" si="985"/>
        <v>-289200.39230274782</v>
      </c>
      <c r="R544">
        <f t="shared" si="986"/>
        <v>24045527.592300586</v>
      </c>
      <c r="S544">
        <f t="shared" si="987"/>
        <v>240.45527592300587</v>
      </c>
      <c r="T544">
        <f t="shared" si="988"/>
        <v>0.24045527592300586</v>
      </c>
    </row>
    <row r="545" spans="1:20" x14ac:dyDescent="0.25">
      <c r="A545" s="5">
        <v>44048</v>
      </c>
      <c r="B545">
        <v>389.59</v>
      </c>
      <c r="C545">
        <v>407</v>
      </c>
      <c r="D545">
        <v>384.11</v>
      </c>
      <c r="E545">
        <v>400.72</v>
      </c>
      <c r="F545">
        <v>1124119.0671999999</v>
      </c>
      <c r="G545">
        <v>0</v>
      </c>
      <c r="L545" t="s">
        <v>8</v>
      </c>
      <c r="M545" t="s">
        <v>8</v>
      </c>
      <c r="N545" t="s">
        <v>8</v>
      </c>
      <c r="P545">
        <f t="shared" si="984"/>
        <v>0.45128877238969189</v>
      </c>
      <c r="Q545">
        <f t="shared" si="985"/>
        <v>507302.31385653355</v>
      </c>
      <c r="R545">
        <f t="shared" si="986"/>
        <v>24334727.984603334</v>
      </c>
      <c r="S545">
        <f t="shared" si="987"/>
        <v>243.34727984603333</v>
      </c>
      <c r="T545">
        <f t="shared" si="988"/>
        <v>0.24334727984603333</v>
      </c>
    </row>
    <row r="546" spans="1:20" x14ac:dyDescent="0.25">
      <c r="A546" s="5">
        <v>44047</v>
      </c>
      <c r="B546">
        <v>385.91</v>
      </c>
      <c r="C546">
        <v>402.98</v>
      </c>
      <c r="D546">
        <v>380.77</v>
      </c>
      <c r="E546">
        <v>389.61</v>
      </c>
      <c r="F546">
        <v>1180792.4237899999</v>
      </c>
      <c r="G546">
        <v>0</v>
      </c>
      <c r="L546" t="s">
        <v>8</v>
      </c>
      <c r="M546" t="s">
        <v>8</v>
      </c>
      <c r="N546" t="s">
        <v>8</v>
      </c>
      <c r="P546">
        <f t="shared" si="984"/>
        <v>-0.20396217919855764</v>
      </c>
      <c r="Q546">
        <f t="shared" si="985"/>
        <v>-240836.99593735518</v>
      </c>
      <c r="R546">
        <f t="shared" si="986"/>
        <v>23827425.6707468</v>
      </c>
      <c r="S546">
        <f t="shared" si="987"/>
        <v>238.274256707468</v>
      </c>
      <c r="T546">
        <f t="shared" si="988"/>
        <v>0.23827425670746799</v>
      </c>
    </row>
    <row r="547" spans="1:20" x14ac:dyDescent="0.25">
      <c r="A547" s="5">
        <v>44046</v>
      </c>
      <c r="B547">
        <v>372.45</v>
      </c>
      <c r="C547">
        <v>398</v>
      </c>
      <c r="D547">
        <v>366.5</v>
      </c>
      <c r="E547">
        <v>385.94</v>
      </c>
      <c r="F547">
        <v>1191565.0938899999</v>
      </c>
      <c r="G547">
        <v>0</v>
      </c>
      <c r="L547" t="s">
        <v>7</v>
      </c>
      <c r="M547" t="s">
        <v>8</v>
      </c>
      <c r="N547" t="s">
        <v>8</v>
      </c>
      <c r="P547">
        <f t="shared" si="984"/>
        <v>0.23428571428571415</v>
      </c>
      <c r="Q547">
        <f t="shared" si="985"/>
        <v>279166.67913994269</v>
      </c>
      <c r="R547">
        <f t="shared" si="986"/>
        <v>24068262.666684154</v>
      </c>
      <c r="S547">
        <f t="shared" si="987"/>
        <v>240.68262666684154</v>
      </c>
      <c r="T547">
        <f t="shared" si="988"/>
        <v>0.24068262666684154</v>
      </c>
    </row>
    <row r="548" spans="1:20" x14ac:dyDescent="0.25">
      <c r="A548" s="5">
        <v>44045</v>
      </c>
      <c r="B548">
        <v>387.01</v>
      </c>
      <c r="C548">
        <v>415.85</v>
      </c>
      <c r="D548">
        <v>325</v>
      </c>
      <c r="E548">
        <v>372.42</v>
      </c>
      <c r="F548">
        <v>2324909.0961600002</v>
      </c>
      <c r="G548">
        <v>0</v>
      </c>
      <c r="L548" t="s">
        <v>8</v>
      </c>
      <c r="M548" t="s">
        <v>8</v>
      </c>
      <c r="N548" t="s">
        <v>8</v>
      </c>
      <c r="P548">
        <f t="shared" si="984"/>
        <v>4.3918547055586218E-2</v>
      </c>
      <c r="Q548">
        <f t="shared" si="985"/>
        <v>102106.62953966339</v>
      </c>
      <c r="R548">
        <f t="shared" si="986"/>
        <v>23789095.987544212</v>
      </c>
      <c r="S548">
        <f t="shared" si="987"/>
        <v>237.89095987544212</v>
      </c>
      <c r="T548">
        <f t="shared" si="988"/>
        <v>0.23789095987544212</v>
      </c>
    </row>
    <row r="549" spans="1:20" x14ac:dyDescent="0.25">
      <c r="A549" s="5">
        <v>44044</v>
      </c>
      <c r="B549">
        <v>346.32</v>
      </c>
      <c r="C549">
        <v>392.67</v>
      </c>
      <c r="D549">
        <v>343.07</v>
      </c>
      <c r="E549">
        <v>387</v>
      </c>
      <c r="F549">
        <v>1440843.3420299999</v>
      </c>
      <c r="G549">
        <v>0</v>
      </c>
      <c r="L549" t="s">
        <v>8</v>
      </c>
      <c r="M549" t="s">
        <v>8</v>
      </c>
      <c r="N549" t="s">
        <v>8</v>
      </c>
      <c r="P549">
        <f t="shared" si="984"/>
        <v>0.77137096774193492</v>
      </c>
      <c r="Q549">
        <f t="shared" si="985"/>
        <v>1111424.7231062048</v>
      </c>
      <c r="R549">
        <f t="shared" si="986"/>
        <v>23686989.358004548</v>
      </c>
      <c r="S549">
        <f t="shared" si="987"/>
        <v>236.86989358004547</v>
      </c>
      <c r="T549">
        <f t="shared" si="988"/>
        <v>0.23686989358004548</v>
      </c>
    </row>
    <row r="550" spans="1:20" x14ac:dyDescent="0.25">
      <c r="A550" s="5">
        <v>44043</v>
      </c>
      <c r="B550">
        <v>334.82</v>
      </c>
      <c r="C550">
        <v>349.45</v>
      </c>
      <c r="D550">
        <v>328.4</v>
      </c>
      <c r="E550">
        <v>346.33</v>
      </c>
      <c r="F550">
        <v>948088.44981999998</v>
      </c>
      <c r="G550">
        <v>0</v>
      </c>
      <c r="L550" t="s">
        <v>8</v>
      </c>
      <c r="M550" t="s">
        <v>8</v>
      </c>
      <c r="N550" t="s">
        <v>8</v>
      </c>
      <c r="P550">
        <f t="shared" si="984"/>
        <v>0.70356294536817077</v>
      </c>
      <c r="Q550">
        <f t="shared" si="985"/>
        <v>667039.90222490241</v>
      </c>
      <c r="R550">
        <f t="shared" si="986"/>
        <v>22575564.634898342</v>
      </c>
      <c r="S550">
        <f t="shared" si="987"/>
        <v>225.75564634898342</v>
      </c>
      <c r="T550">
        <f t="shared" si="988"/>
        <v>0.22575564634898343</v>
      </c>
    </row>
    <row r="551" spans="1:20" x14ac:dyDescent="0.25">
      <c r="A551" s="5">
        <v>44042</v>
      </c>
      <c r="B551">
        <v>317.76</v>
      </c>
      <c r="C551">
        <v>342</v>
      </c>
      <c r="D551">
        <v>314.05</v>
      </c>
      <c r="E551">
        <v>334.87</v>
      </c>
      <c r="F551">
        <v>1008827.56698</v>
      </c>
      <c r="G551">
        <v>0</v>
      </c>
      <c r="L551" t="s">
        <v>8</v>
      </c>
      <c r="M551" t="s">
        <v>8</v>
      </c>
      <c r="N551" t="s">
        <v>8</v>
      </c>
      <c r="P551">
        <f t="shared" si="984"/>
        <v>0.48980322003577831</v>
      </c>
      <c r="Q551">
        <f t="shared" si="985"/>
        <v>494126.99076766381</v>
      </c>
      <c r="R551">
        <f t="shared" si="986"/>
        <v>21908524.73267344</v>
      </c>
      <c r="S551">
        <f t="shared" si="987"/>
        <v>219.08524732673439</v>
      </c>
      <c r="T551">
        <f t="shared" si="988"/>
        <v>0.2190852473267344</v>
      </c>
    </row>
    <row r="552" spans="1:20" x14ac:dyDescent="0.25">
      <c r="A552" s="5">
        <v>44041</v>
      </c>
      <c r="B552">
        <v>316.77</v>
      </c>
      <c r="C552">
        <v>325</v>
      </c>
      <c r="D552">
        <v>312.38</v>
      </c>
      <c r="E552">
        <v>317.70999999999998</v>
      </c>
      <c r="F552">
        <v>792802.32148000004</v>
      </c>
      <c r="G552">
        <v>0</v>
      </c>
      <c r="L552" t="s">
        <v>7</v>
      </c>
      <c r="M552" t="s">
        <v>8</v>
      </c>
      <c r="N552" t="s">
        <v>8</v>
      </c>
      <c r="P552">
        <f t="shared" si="984"/>
        <v>-0.15530903328050996</v>
      </c>
      <c r="Q552">
        <f t="shared" si="985"/>
        <v>-123129.36213160289</v>
      </c>
      <c r="R552">
        <f t="shared" si="986"/>
        <v>21414397.741905775</v>
      </c>
      <c r="S552">
        <f t="shared" si="987"/>
        <v>214.14397741905776</v>
      </c>
      <c r="T552">
        <f t="shared" si="988"/>
        <v>0.21414397741905777</v>
      </c>
    </row>
    <row r="553" spans="1:20" x14ac:dyDescent="0.25">
      <c r="A553" s="5">
        <v>44040</v>
      </c>
      <c r="B553">
        <v>321.95</v>
      </c>
      <c r="C553">
        <v>326.8</v>
      </c>
      <c r="D553">
        <v>305.86</v>
      </c>
      <c r="E553">
        <v>316.77</v>
      </c>
      <c r="F553">
        <v>1093231.5557800001</v>
      </c>
      <c r="G553">
        <v>0</v>
      </c>
      <c r="L553" t="s">
        <v>7</v>
      </c>
      <c r="M553" t="s">
        <v>8</v>
      </c>
      <c r="N553" t="s">
        <v>8</v>
      </c>
      <c r="P553">
        <f t="shared" si="984"/>
        <v>4.202483285577549E-2</v>
      </c>
      <c r="Q553">
        <f t="shared" si="985"/>
        <v>45942.873404313905</v>
      </c>
      <c r="R553">
        <f t="shared" si="986"/>
        <v>21537527.104037378</v>
      </c>
      <c r="S553">
        <f t="shared" si="987"/>
        <v>215.37527104037378</v>
      </c>
      <c r="T553">
        <f t="shared" si="988"/>
        <v>0.21537527104037377</v>
      </c>
    </row>
    <row r="554" spans="1:20" x14ac:dyDescent="0.25">
      <c r="A554" s="5">
        <v>44039</v>
      </c>
      <c r="B554">
        <v>311.02</v>
      </c>
      <c r="C554">
        <v>333.31</v>
      </c>
      <c r="D554">
        <v>310.77999999999997</v>
      </c>
      <c r="E554">
        <v>321.93</v>
      </c>
      <c r="F554">
        <v>1636122.34727</v>
      </c>
      <c r="G554">
        <v>0</v>
      </c>
      <c r="L554" t="s">
        <v>8</v>
      </c>
      <c r="M554" t="s">
        <v>8</v>
      </c>
      <c r="N554" t="s">
        <v>8</v>
      </c>
      <c r="P554">
        <f t="shared" si="984"/>
        <v>-1.0208610741232181E-2</v>
      </c>
      <c r="Q554">
        <f t="shared" si="985"/>
        <v>-16702.536168310533</v>
      </c>
      <c r="R554">
        <f t="shared" si="986"/>
        <v>21491584.230633065</v>
      </c>
      <c r="S554">
        <f t="shared" si="987"/>
        <v>214.91584230633066</v>
      </c>
      <c r="T554">
        <f t="shared" si="988"/>
        <v>0.21491584230633065</v>
      </c>
    </row>
    <row r="555" spans="1:20" x14ac:dyDescent="0.25">
      <c r="A555" s="5">
        <v>44038</v>
      </c>
      <c r="B555">
        <v>305.31</v>
      </c>
      <c r="C555">
        <v>318.75</v>
      </c>
      <c r="D555">
        <v>299</v>
      </c>
      <c r="E555">
        <v>311</v>
      </c>
      <c r="F555">
        <v>1270368.753</v>
      </c>
      <c r="G555">
        <v>0</v>
      </c>
      <c r="L555" t="s">
        <v>8</v>
      </c>
      <c r="M555" t="s">
        <v>8</v>
      </c>
      <c r="N555" t="s">
        <v>8</v>
      </c>
      <c r="P555">
        <f t="shared" si="984"/>
        <v>0.21518987341772153</v>
      </c>
      <c r="Q555">
        <f t="shared" si="985"/>
        <v>273370.49115189875</v>
      </c>
      <c r="R555">
        <f t="shared" si="986"/>
        <v>21508286.766801376</v>
      </c>
      <c r="S555">
        <f t="shared" si="987"/>
        <v>215.08286766801376</v>
      </c>
      <c r="T555">
        <f t="shared" si="988"/>
        <v>0.21508286766801377</v>
      </c>
    </row>
    <row r="556" spans="1:20" x14ac:dyDescent="0.25">
      <c r="A556" s="5">
        <v>44037</v>
      </c>
      <c r="B556">
        <v>279.14999999999998</v>
      </c>
      <c r="C556">
        <v>308.94</v>
      </c>
      <c r="D556">
        <v>279.08999999999997</v>
      </c>
      <c r="E556">
        <v>305.26</v>
      </c>
      <c r="F556">
        <v>1058927.3055400001</v>
      </c>
      <c r="G556">
        <v>0</v>
      </c>
      <c r="L556" t="s">
        <v>8</v>
      </c>
      <c r="M556" t="s">
        <v>8</v>
      </c>
      <c r="N556" t="s">
        <v>8</v>
      </c>
      <c r="P556">
        <f t="shared" si="984"/>
        <v>0.75343383584589585</v>
      </c>
      <c r="Q556">
        <f t="shared" si="985"/>
        <v>797831.66169496125</v>
      </c>
      <c r="R556">
        <f t="shared" si="986"/>
        <v>21234916.275649477</v>
      </c>
      <c r="S556">
        <f t="shared" si="987"/>
        <v>212.34916275649476</v>
      </c>
      <c r="T556">
        <f t="shared" si="988"/>
        <v>0.21234916275649476</v>
      </c>
    </row>
    <row r="557" spans="1:20" x14ac:dyDescent="0.25">
      <c r="A557" s="5">
        <v>44036</v>
      </c>
      <c r="B557">
        <v>275.31</v>
      </c>
      <c r="C557">
        <v>287.33999999999997</v>
      </c>
      <c r="D557">
        <v>266</v>
      </c>
      <c r="E557">
        <v>279.14999999999998</v>
      </c>
      <c r="F557">
        <v>926033.06692000001</v>
      </c>
      <c r="G557">
        <v>0</v>
      </c>
      <c r="L557" t="s">
        <v>8</v>
      </c>
      <c r="M557" t="s">
        <v>8</v>
      </c>
      <c r="N557" t="s">
        <v>8</v>
      </c>
      <c r="P557">
        <f t="shared" si="984"/>
        <v>0.23242736644798431</v>
      </c>
      <c r="Q557">
        <f t="shared" si="985"/>
        <v>215235.42698796562</v>
      </c>
      <c r="R557">
        <f t="shared" si="986"/>
        <v>20437084.613954514</v>
      </c>
      <c r="S557">
        <f t="shared" si="987"/>
        <v>204.37084613954514</v>
      </c>
      <c r="T557">
        <f t="shared" si="988"/>
        <v>0.20437084613954515</v>
      </c>
    </row>
    <row r="558" spans="1:20" x14ac:dyDescent="0.25">
      <c r="A558" s="5">
        <v>44035</v>
      </c>
      <c r="B558">
        <v>263.75</v>
      </c>
      <c r="C558">
        <v>279.98</v>
      </c>
      <c r="D558">
        <v>259.7</v>
      </c>
      <c r="E558">
        <v>275.3</v>
      </c>
      <c r="F558">
        <v>1068774.5787899999</v>
      </c>
      <c r="G558">
        <v>0</v>
      </c>
      <c r="L558" t="s">
        <v>8</v>
      </c>
      <c r="M558" t="s">
        <v>8</v>
      </c>
      <c r="N558" t="s">
        <v>8</v>
      </c>
      <c r="P558">
        <f t="shared" si="984"/>
        <v>0.53846153846153844</v>
      </c>
      <c r="Q558">
        <f t="shared" si="985"/>
        <v>575494.00396384613</v>
      </c>
      <c r="R558">
        <f t="shared" si="986"/>
        <v>20221849.18696655</v>
      </c>
      <c r="S558">
        <f t="shared" si="987"/>
        <v>202.21849186966548</v>
      </c>
      <c r="T558">
        <f t="shared" si="988"/>
        <v>0.20221849186966548</v>
      </c>
    </row>
    <row r="559" spans="1:20" x14ac:dyDescent="0.25">
      <c r="A559" s="5">
        <v>44034</v>
      </c>
      <c r="B559">
        <v>245.53</v>
      </c>
      <c r="C559">
        <v>269.61</v>
      </c>
      <c r="D559">
        <v>241.51</v>
      </c>
      <c r="E559">
        <v>263.74</v>
      </c>
      <c r="F559">
        <v>718417.68296000001</v>
      </c>
      <c r="G559">
        <v>0</v>
      </c>
      <c r="L559" t="s">
        <v>8</v>
      </c>
      <c r="M559" t="s">
        <v>8</v>
      </c>
      <c r="N559" t="s">
        <v>8</v>
      </c>
      <c r="P559">
        <f t="shared" si="984"/>
        <v>0.58220640569395021</v>
      </c>
      <c r="Q559">
        <f t="shared" si="985"/>
        <v>418267.37698311749</v>
      </c>
      <c r="R559">
        <f t="shared" si="986"/>
        <v>19646355.183002703</v>
      </c>
      <c r="S559">
        <f t="shared" si="987"/>
        <v>196.46355183002703</v>
      </c>
      <c r="T559">
        <f t="shared" si="988"/>
        <v>0.19646355183002703</v>
      </c>
    </row>
    <row r="560" spans="1:20" x14ac:dyDescent="0.25">
      <c r="A560" s="5">
        <v>44033</v>
      </c>
      <c r="B560">
        <v>236</v>
      </c>
      <c r="C560">
        <v>246.66</v>
      </c>
      <c r="D560">
        <v>235.57</v>
      </c>
      <c r="E560">
        <v>245.59</v>
      </c>
      <c r="F560">
        <v>637462.08074</v>
      </c>
      <c r="G560">
        <v>0</v>
      </c>
      <c r="L560" t="s">
        <v>8</v>
      </c>
      <c r="M560" t="s">
        <v>8</v>
      </c>
      <c r="N560" t="s">
        <v>8</v>
      </c>
      <c r="P560">
        <f t="shared" si="984"/>
        <v>0.80703336339044318</v>
      </c>
      <c r="Q560">
        <f t="shared" si="985"/>
        <v>514453.16705347248</v>
      </c>
      <c r="R560">
        <f t="shared" si="986"/>
        <v>19228087.806019586</v>
      </c>
      <c r="S560">
        <f t="shared" si="987"/>
        <v>192.28087806019585</v>
      </c>
      <c r="T560">
        <f t="shared" si="988"/>
        <v>0.19228087806019584</v>
      </c>
    </row>
    <row r="561" spans="1:104" x14ac:dyDescent="0.25">
      <c r="A561" s="5">
        <v>44032</v>
      </c>
      <c r="B561">
        <v>239.12</v>
      </c>
      <c r="C561">
        <v>239.72</v>
      </c>
      <c r="D561">
        <v>234.05</v>
      </c>
      <c r="E561">
        <v>236.01</v>
      </c>
      <c r="F561">
        <v>396657.91937999998</v>
      </c>
      <c r="G561">
        <v>0</v>
      </c>
      <c r="L561" t="s">
        <v>7</v>
      </c>
      <c r="M561" t="s">
        <v>8</v>
      </c>
      <c r="N561" t="s">
        <v>8</v>
      </c>
      <c r="P561">
        <f t="shared" si="984"/>
        <v>-0.30864197530864768</v>
      </c>
      <c r="Q561">
        <f t="shared" si="985"/>
        <v>-122425.28375926151</v>
      </c>
      <c r="R561">
        <f t="shared" si="986"/>
        <v>18713634.638966113</v>
      </c>
      <c r="S561">
        <f t="shared" si="987"/>
        <v>187.13634638966113</v>
      </c>
      <c r="T561">
        <f t="shared" si="988"/>
        <v>0.18713634638966112</v>
      </c>
      <c r="CZ561" t="s">
        <v>7</v>
      </c>
    </row>
    <row r="562" spans="1:104" x14ac:dyDescent="0.25">
      <c r="A562" s="5">
        <v>44031</v>
      </c>
      <c r="B562">
        <v>235.67</v>
      </c>
      <c r="C562">
        <v>239.92</v>
      </c>
      <c r="D562">
        <v>233.28</v>
      </c>
      <c r="E562">
        <v>239.11</v>
      </c>
      <c r="F562">
        <v>348803.52072999999</v>
      </c>
      <c r="G562">
        <v>0</v>
      </c>
      <c r="L562" t="s">
        <v>7</v>
      </c>
      <c r="M562" t="s">
        <v>8</v>
      </c>
      <c r="N562" t="s">
        <v>8</v>
      </c>
      <c r="P562">
        <f t="shared" si="984"/>
        <v>0.75602409638554957</v>
      </c>
      <c r="Q562">
        <f t="shared" si="985"/>
        <v>263703.86657599657</v>
      </c>
      <c r="R562">
        <f t="shared" si="986"/>
        <v>18836059.922725376</v>
      </c>
      <c r="S562">
        <f t="shared" si="987"/>
        <v>188.36059922725374</v>
      </c>
      <c r="T562">
        <f t="shared" si="988"/>
        <v>0.18836059922725373</v>
      </c>
      <c r="CZ562" t="s">
        <v>7</v>
      </c>
    </row>
    <row r="563" spans="1:104" x14ac:dyDescent="0.25">
      <c r="A563" s="5">
        <v>44030</v>
      </c>
      <c r="B563">
        <v>232.66</v>
      </c>
      <c r="C563">
        <v>236.8</v>
      </c>
      <c r="D563">
        <v>232.32</v>
      </c>
      <c r="E563">
        <v>235.67</v>
      </c>
      <c r="F563">
        <v>341356.61820000003</v>
      </c>
      <c r="G563">
        <v>0</v>
      </c>
      <c r="L563" t="s">
        <v>7</v>
      </c>
      <c r="M563" t="s">
        <v>8</v>
      </c>
      <c r="N563" t="s">
        <v>8</v>
      </c>
      <c r="P563">
        <f t="shared" si="984"/>
        <v>0.4955357142857057</v>
      </c>
      <c r="Q563">
        <f t="shared" si="985"/>
        <v>169154.39562588994</v>
      </c>
      <c r="R563">
        <f t="shared" si="986"/>
        <v>18572356.056149378</v>
      </c>
      <c r="S563">
        <f t="shared" si="987"/>
        <v>185.7235605614938</v>
      </c>
      <c r="T563">
        <f t="shared" si="988"/>
        <v>0.18572356056149381</v>
      </c>
      <c r="CZ563" t="s">
        <v>7</v>
      </c>
    </row>
    <row r="564" spans="1:104" x14ac:dyDescent="0.25">
      <c r="A564" s="5">
        <v>44029</v>
      </c>
      <c r="B564">
        <v>233.58</v>
      </c>
      <c r="C564">
        <v>234.84</v>
      </c>
      <c r="D564">
        <v>231.65</v>
      </c>
      <c r="E564">
        <v>232.67</v>
      </c>
      <c r="F564">
        <v>325600.21444000001</v>
      </c>
      <c r="G564">
        <v>0</v>
      </c>
      <c r="L564" t="s">
        <v>7</v>
      </c>
      <c r="M564" t="s">
        <v>8</v>
      </c>
      <c r="N564" t="s">
        <v>8</v>
      </c>
      <c r="P564">
        <f t="shared" si="984"/>
        <v>-0.36050156739813005</v>
      </c>
      <c r="Q564">
        <f t="shared" si="985"/>
        <v>-117379.38765078726</v>
      </c>
      <c r="R564">
        <f t="shared" si="986"/>
        <v>18403201.660523489</v>
      </c>
      <c r="S564">
        <f t="shared" si="987"/>
        <v>184.0320166052349</v>
      </c>
      <c r="T564">
        <f t="shared" si="988"/>
        <v>0.18403201660523491</v>
      </c>
    </row>
    <row r="565" spans="1:104" x14ac:dyDescent="0.25">
      <c r="A565" s="5">
        <v>44028</v>
      </c>
      <c r="B565">
        <v>238.59</v>
      </c>
      <c r="C565">
        <v>239.39</v>
      </c>
      <c r="D565">
        <v>230.02</v>
      </c>
      <c r="E565">
        <v>233.57</v>
      </c>
      <c r="F565">
        <v>587161.73893999995</v>
      </c>
      <c r="G565">
        <v>0</v>
      </c>
      <c r="L565" t="s">
        <v>7</v>
      </c>
      <c r="M565" t="s">
        <v>8</v>
      </c>
      <c r="N565" t="s">
        <v>8</v>
      </c>
      <c r="P565">
        <f t="shared" si="984"/>
        <v>-0.24226254002134642</v>
      </c>
      <c r="Q565">
        <f t="shared" si="985"/>
        <v>-142247.29427895509</v>
      </c>
      <c r="R565">
        <f t="shared" si="986"/>
        <v>18520581.048174277</v>
      </c>
      <c r="S565">
        <f t="shared" si="987"/>
        <v>185.20581048174276</v>
      </c>
      <c r="T565">
        <f t="shared" si="988"/>
        <v>0.18520581048174276</v>
      </c>
    </row>
    <row r="566" spans="1:104" x14ac:dyDescent="0.25">
      <c r="A566" s="5">
        <v>44027</v>
      </c>
      <c r="B566">
        <v>240.45</v>
      </c>
      <c r="C566">
        <v>241.45</v>
      </c>
      <c r="D566">
        <v>236.83</v>
      </c>
      <c r="E566">
        <v>238.61</v>
      </c>
      <c r="F566">
        <v>368350.66518000001</v>
      </c>
      <c r="G566">
        <v>0</v>
      </c>
      <c r="L566" t="s">
        <v>8</v>
      </c>
      <c r="M566" t="s">
        <v>8</v>
      </c>
      <c r="N566" t="s">
        <v>8</v>
      </c>
      <c r="P566">
        <f t="shared" si="984"/>
        <v>-0.22943722943722497</v>
      </c>
      <c r="Q566">
        <f t="shared" si="985"/>
        <v>-84513.356080258091</v>
      </c>
      <c r="R566">
        <f t="shared" si="986"/>
        <v>18662828.34245323</v>
      </c>
      <c r="S566">
        <f t="shared" si="987"/>
        <v>186.6282834245323</v>
      </c>
      <c r="T566">
        <f t="shared" si="988"/>
        <v>0.1866282834245323</v>
      </c>
    </row>
    <row r="567" spans="1:104" x14ac:dyDescent="0.25">
      <c r="A567" s="5">
        <v>44026</v>
      </c>
      <c r="B567">
        <v>239.5</v>
      </c>
      <c r="C567">
        <v>242.09</v>
      </c>
      <c r="D567">
        <v>237</v>
      </c>
      <c r="E567">
        <v>240.44</v>
      </c>
      <c r="F567">
        <v>426320.89188000001</v>
      </c>
      <c r="G567">
        <v>0</v>
      </c>
      <c r="L567" t="s">
        <v>8</v>
      </c>
      <c r="M567" t="s">
        <v>8</v>
      </c>
      <c r="N567" t="s">
        <v>8</v>
      </c>
      <c r="P567">
        <f t="shared" si="984"/>
        <v>0.35166994106090194</v>
      </c>
      <c r="Q567">
        <f t="shared" si="985"/>
        <v>149924.24292047074</v>
      </c>
      <c r="R567">
        <f t="shared" si="986"/>
        <v>18747341.698533487</v>
      </c>
      <c r="S567">
        <f t="shared" si="987"/>
        <v>187.47341698533486</v>
      </c>
      <c r="T567">
        <f t="shared" si="988"/>
        <v>0.18747341698533487</v>
      </c>
    </row>
    <row r="568" spans="1:104" x14ac:dyDescent="0.25">
      <c r="A568" s="5">
        <v>44025</v>
      </c>
      <c r="B568">
        <v>242.76</v>
      </c>
      <c r="C568">
        <v>245.33</v>
      </c>
      <c r="D568">
        <v>237.33</v>
      </c>
      <c r="E568">
        <v>239.5</v>
      </c>
      <c r="F568">
        <v>604093.04244999995</v>
      </c>
      <c r="G568">
        <v>0</v>
      </c>
      <c r="L568" t="s">
        <v>8</v>
      </c>
      <c r="M568" t="s">
        <v>8</v>
      </c>
      <c r="N568" t="s">
        <v>8</v>
      </c>
      <c r="P568">
        <f t="shared" si="984"/>
        <v>-0.45750000000000313</v>
      </c>
      <c r="Q568">
        <f t="shared" si="985"/>
        <v>-276372.56692087685</v>
      </c>
      <c r="R568">
        <f t="shared" si="986"/>
        <v>18597417.455613017</v>
      </c>
      <c r="S568">
        <f t="shared" si="987"/>
        <v>185.97417455613018</v>
      </c>
      <c r="T568">
        <f t="shared" si="988"/>
        <v>0.18597417455613019</v>
      </c>
    </row>
    <row r="569" spans="1:104" x14ac:dyDescent="0.25">
      <c r="A569" s="5">
        <v>44024</v>
      </c>
      <c r="B569">
        <v>239.19</v>
      </c>
      <c r="C569">
        <v>244</v>
      </c>
      <c r="D569">
        <v>236.52</v>
      </c>
      <c r="E569">
        <v>242.79</v>
      </c>
      <c r="F569">
        <v>469315.11719999998</v>
      </c>
      <c r="G569">
        <v>0</v>
      </c>
      <c r="L569" t="s">
        <v>8</v>
      </c>
      <c r="M569" t="s">
        <v>8</v>
      </c>
      <c r="N569" t="s">
        <v>8</v>
      </c>
      <c r="P569">
        <f t="shared" si="984"/>
        <v>0.67647058823529149</v>
      </c>
      <c r="Q569">
        <f t="shared" si="985"/>
        <v>317477.87339999876</v>
      </c>
      <c r="R569">
        <f t="shared" si="986"/>
        <v>18873790.022533894</v>
      </c>
      <c r="S569">
        <f t="shared" si="987"/>
        <v>188.73790022533893</v>
      </c>
      <c r="T569">
        <f t="shared" si="988"/>
        <v>0.18873790022533893</v>
      </c>
    </row>
    <row r="570" spans="1:104" x14ac:dyDescent="0.25">
      <c r="A570" s="5">
        <v>44023</v>
      </c>
      <c r="B570">
        <v>241.27</v>
      </c>
      <c r="C570">
        <v>241.67</v>
      </c>
      <c r="D570">
        <v>237.54</v>
      </c>
      <c r="E570">
        <v>239.19</v>
      </c>
      <c r="F570">
        <v>294476.00625999999</v>
      </c>
      <c r="G570">
        <v>0</v>
      </c>
      <c r="L570" t="s">
        <v>8</v>
      </c>
      <c r="M570" t="s">
        <v>8</v>
      </c>
      <c r="N570" t="s">
        <v>8</v>
      </c>
      <c r="P570">
        <f t="shared" si="984"/>
        <v>-0.20096852300241769</v>
      </c>
      <c r="Q570">
        <f t="shared" si="985"/>
        <v>-59180.408037722904</v>
      </c>
      <c r="R570">
        <f t="shared" si="986"/>
        <v>18556312.149133895</v>
      </c>
      <c r="S570">
        <f t="shared" si="987"/>
        <v>185.56312149133893</v>
      </c>
      <c r="T570">
        <f t="shared" si="988"/>
        <v>0.18556312149133894</v>
      </c>
    </row>
    <row r="571" spans="1:104" x14ac:dyDescent="0.25">
      <c r="A571" s="5">
        <v>44022</v>
      </c>
      <c r="B571">
        <v>241.97</v>
      </c>
      <c r="C571">
        <v>242.16</v>
      </c>
      <c r="D571">
        <v>235.72</v>
      </c>
      <c r="E571">
        <v>241.26</v>
      </c>
      <c r="F571">
        <v>455025.12384999997</v>
      </c>
      <c r="G571">
        <v>0</v>
      </c>
      <c r="L571" t="s">
        <v>8</v>
      </c>
      <c r="M571" t="s">
        <v>8</v>
      </c>
      <c r="N571" t="s">
        <v>8</v>
      </c>
      <c r="P571">
        <f t="shared" si="984"/>
        <v>0.72049689440993603</v>
      </c>
      <c r="Q571">
        <f t="shared" si="985"/>
        <v>327844.18861242151</v>
      </c>
      <c r="R571">
        <f t="shared" si="986"/>
        <v>18615492.557171617</v>
      </c>
      <c r="S571">
        <f t="shared" si="987"/>
        <v>186.15492557171618</v>
      </c>
      <c r="T571">
        <f t="shared" si="988"/>
        <v>0.18615492557171617</v>
      </c>
    </row>
    <row r="572" spans="1:104" x14ac:dyDescent="0.25">
      <c r="A572" s="5">
        <v>44021</v>
      </c>
      <c r="B572">
        <v>246.94</v>
      </c>
      <c r="C572">
        <v>247.9</v>
      </c>
      <c r="D572">
        <v>237.88</v>
      </c>
      <c r="E572">
        <v>241.98</v>
      </c>
      <c r="F572">
        <v>647641.58291</v>
      </c>
      <c r="G572">
        <v>0</v>
      </c>
      <c r="L572" t="s">
        <v>8</v>
      </c>
      <c r="M572" t="s">
        <v>8</v>
      </c>
      <c r="N572" t="s">
        <v>8</v>
      </c>
      <c r="P572">
        <f t="shared" si="984"/>
        <v>-0.18163672654690816</v>
      </c>
      <c r="Q572">
        <f t="shared" si="985"/>
        <v>-117635.49709543042</v>
      </c>
      <c r="R572">
        <f t="shared" si="986"/>
        <v>18287648.368559197</v>
      </c>
      <c r="S572">
        <f t="shared" si="987"/>
        <v>182.87648368559198</v>
      </c>
      <c r="T572">
        <f t="shared" si="988"/>
        <v>0.18287648368559198</v>
      </c>
    </row>
    <row r="573" spans="1:104" x14ac:dyDescent="0.25">
      <c r="A573" s="5">
        <v>44020</v>
      </c>
      <c r="B573">
        <v>239.39</v>
      </c>
      <c r="C573">
        <v>248.88</v>
      </c>
      <c r="D573">
        <v>237.78</v>
      </c>
      <c r="E573">
        <v>246.95</v>
      </c>
      <c r="F573">
        <v>958185.83707999997</v>
      </c>
      <c r="G573">
        <v>0</v>
      </c>
      <c r="L573" t="s">
        <v>8</v>
      </c>
      <c r="M573" t="s">
        <v>8</v>
      </c>
      <c r="N573" t="s">
        <v>8</v>
      </c>
      <c r="P573">
        <f t="shared" si="984"/>
        <v>0.65225225225225081</v>
      </c>
      <c r="Q573">
        <f t="shared" si="985"/>
        <v>624978.87031163822</v>
      </c>
      <c r="R573">
        <f t="shared" si="986"/>
        <v>18405283.865654629</v>
      </c>
      <c r="S573">
        <f t="shared" si="987"/>
        <v>184.0528386565463</v>
      </c>
      <c r="T573">
        <f t="shared" si="988"/>
        <v>0.18405283865654629</v>
      </c>
    </row>
    <row r="574" spans="1:104" x14ac:dyDescent="0.25">
      <c r="A574" s="5">
        <v>44019</v>
      </c>
      <c r="B574">
        <v>241.6</v>
      </c>
      <c r="C574">
        <v>243.77</v>
      </c>
      <c r="D574">
        <v>234.4</v>
      </c>
      <c r="E574">
        <v>239.39</v>
      </c>
      <c r="F574">
        <v>600424.97209000005</v>
      </c>
      <c r="G574">
        <v>0</v>
      </c>
      <c r="L574" t="s">
        <v>8</v>
      </c>
      <c r="M574" t="s">
        <v>8</v>
      </c>
      <c r="N574" t="s">
        <v>8</v>
      </c>
      <c r="P574">
        <f t="shared" si="984"/>
        <v>6.5101387406612227E-2</v>
      </c>
      <c r="Q574">
        <f t="shared" si="985"/>
        <v>39088.498716635426</v>
      </c>
      <c r="R574">
        <f t="shared" si="986"/>
        <v>17780304.995342992</v>
      </c>
      <c r="S574">
        <f t="shared" si="987"/>
        <v>177.80304995342993</v>
      </c>
      <c r="T574">
        <f t="shared" si="988"/>
        <v>0.17780304995342994</v>
      </c>
    </row>
    <row r="575" spans="1:104" x14ac:dyDescent="0.25">
      <c r="A575" s="5">
        <v>44018</v>
      </c>
      <c r="B575">
        <v>227.54</v>
      </c>
      <c r="C575">
        <v>242</v>
      </c>
      <c r="D575">
        <v>226.93</v>
      </c>
      <c r="E575">
        <v>241.6</v>
      </c>
      <c r="F575">
        <v>864817.50699999998</v>
      </c>
      <c r="G575">
        <v>0</v>
      </c>
      <c r="L575" t="s">
        <v>8</v>
      </c>
      <c r="M575" t="s">
        <v>8</v>
      </c>
      <c r="N575" t="s">
        <v>8</v>
      </c>
      <c r="P575">
        <f t="shared" si="984"/>
        <v>0.94691439946914324</v>
      </c>
      <c r="Q575">
        <f t="shared" si="985"/>
        <v>818908.15029130655</v>
      </c>
      <c r="R575">
        <f t="shared" si="986"/>
        <v>17741216.496626358</v>
      </c>
      <c r="S575">
        <f t="shared" si="987"/>
        <v>177.41216496626359</v>
      </c>
      <c r="T575">
        <f t="shared" si="988"/>
        <v>0.17741216496626358</v>
      </c>
    </row>
    <row r="576" spans="1:104" x14ac:dyDescent="0.25">
      <c r="A576" s="5">
        <v>44017</v>
      </c>
      <c r="B576">
        <v>229.24</v>
      </c>
      <c r="C576">
        <v>229.85</v>
      </c>
      <c r="D576">
        <v>223.05</v>
      </c>
      <c r="E576">
        <v>227.56</v>
      </c>
      <c r="F576">
        <v>355747.12005999999</v>
      </c>
      <c r="G576">
        <v>0</v>
      </c>
      <c r="L576" t="s">
        <v>8</v>
      </c>
      <c r="M576" t="s">
        <v>8</v>
      </c>
      <c r="N576" t="s">
        <v>8</v>
      </c>
      <c r="P576">
        <f t="shared" si="984"/>
        <v>0.32647058823529479</v>
      </c>
      <c r="Q576">
        <f t="shared" si="985"/>
        <v>116140.97154900024</v>
      </c>
      <c r="R576">
        <f t="shared" si="986"/>
        <v>16922308.346335053</v>
      </c>
      <c r="S576">
        <f t="shared" si="987"/>
        <v>169.22308346335055</v>
      </c>
      <c r="T576">
        <f t="shared" si="988"/>
        <v>0.16922308346335055</v>
      </c>
    </row>
    <row r="577" spans="1:20" x14ac:dyDescent="0.25">
      <c r="A577" s="5">
        <v>44016</v>
      </c>
      <c r="B577">
        <v>224.86</v>
      </c>
      <c r="C577">
        <v>230.71</v>
      </c>
      <c r="D577">
        <v>224.43</v>
      </c>
      <c r="E577">
        <v>229.17</v>
      </c>
      <c r="F577">
        <v>307726.46593000001</v>
      </c>
      <c r="G577">
        <v>0</v>
      </c>
      <c r="L577" t="s">
        <v>8</v>
      </c>
      <c r="M577" t="s">
        <v>8</v>
      </c>
      <c r="N577" t="s">
        <v>8</v>
      </c>
      <c r="P577">
        <f t="shared" si="984"/>
        <v>0.50955414012738209</v>
      </c>
      <c r="Q577">
        <f t="shared" si="985"/>
        <v>156803.2947413993</v>
      </c>
      <c r="R577">
        <f t="shared" si="986"/>
        <v>16806167.374786053</v>
      </c>
      <c r="S577">
        <f t="shared" si="987"/>
        <v>168.06167374786054</v>
      </c>
      <c r="T577">
        <f t="shared" si="988"/>
        <v>0.16806167374786055</v>
      </c>
    </row>
    <row r="578" spans="1:20" x14ac:dyDescent="0.25">
      <c r="A578" s="5">
        <v>44015</v>
      </c>
      <c r="B578">
        <v>226.46</v>
      </c>
      <c r="C578">
        <v>228.13</v>
      </c>
      <c r="D578">
        <v>223.97</v>
      </c>
      <c r="E578">
        <v>224.87</v>
      </c>
      <c r="F578">
        <v>314578.50040000002</v>
      </c>
      <c r="G578">
        <v>0</v>
      </c>
      <c r="L578" t="s">
        <v>8</v>
      </c>
      <c r="M578" t="s">
        <v>8</v>
      </c>
      <c r="N578" t="s">
        <v>8</v>
      </c>
      <c r="P578">
        <f t="shared" si="984"/>
        <v>-0.56730769230768918</v>
      </c>
      <c r="Q578">
        <f t="shared" si="985"/>
        <v>-178462.80311153748</v>
      </c>
      <c r="R578">
        <f t="shared" si="986"/>
        <v>16649364.080044653</v>
      </c>
      <c r="S578">
        <f t="shared" si="987"/>
        <v>166.49364080044654</v>
      </c>
      <c r="T578">
        <f t="shared" si="988"/>
        <v>0.16649364080044654</v>
      </c>
    </row>
    <row r="579" spans="1:20" x14ac:dyDescent="0.25">
      <c r="A579" s="5">
        <v>44014</v>
      </c>
      <c r="B579">
        <v>230.99</v>
      </c>
      <c r="C579">
        <v>232.01</v>
      </c>
      <c r="D579">
        <v>222.87</v>
      </c>
      <c r="E579">
        <v>226.46</v>
      </c>
      <c r="F579">
        <v>592485.91115000006</v>
      </c>
      <c r="G579">
        <v>0</v>
      </c>
      <c r="L579" t="s">
        <v>8</v>
      </c>
      <c r="M579" t="s">
        <v>8</v>
      </c>
      <c r="N579" t="s">
        <v>8</v>
      </c>
      <c r="P579">
        <f t="shared" si="984"/>
        <v>-0.21444201312910094</v>
      </c>
      <c r="Q579">
        <f t="shared" si="985"/>
        <v>-127053.87153763564</v>
      </c>
      <c r="R579">
        <f t="shared" si="986"/>
        <v>16827826.883156192</v>
      </c>
      <c r="S579">
        <f t="shared" si="987"/>
        <v>168.27826883156192</v>
      </c>
      <c r="T579">
        <f t="shared" si="988"/>
        <v>0.16827826883156191</v>
      </c>
    </row>
    <row r="580" spans="1:20" x14ac:dyDescent="0.25">
      <c r="A580" s="5">
        <v>44013</v>
      </c>
      <c r="B580">
        <v>225.59</v>
      </c>
      <c r="C580">
        <v>232.71</v>
      </c>
      <c r="D580">
        <v>224.16</v>
      </c>
      <c r="E580">
        <v>230.99</v>
      </c>
      <c r="F580">
        <v>517351.58864999999</v>
      </c>
      <c r="G580">
        <v>0</v>
      </c>
      <c r="L580" t="s">
        <v>8</v>
      </c>
      <c r="M580" t="s">
        <v>8</v>
      </c>
      <c r="N580" t="s">
        <v>8</v>
      </c>
      <c r="P580">
        <f t="shared" si="984"/>
        <v>0.59766081871345111</v>
      </c>
      <c r="Q580">
        <f t="shared" si="985"/>
        <v>309200.77403526357</v>
      </c>
      <c r="R580">
        <f t="shared" si="986"/>
        <v>16954880.754693829</v>
      </c>
      <c r="S580">
        <f t="shared" si="987"/>
        <v>169.54880754693829</v>
      </c>
      <c r="T580">
        <f t="shared" si="988"/>
        <v>0.1695488075469383</v>
      </c>
    </row>
    <row r="581" spans="1:20" x14ac:dyDescent="0.25">
      <c r="A581" s="5">
        <v>44012</v>
      </c>
      <c r="B581">
        <v>227.98</v>
      </c>
      <c r="C581">
        <v>228.7</v>
      </c>
      <c r="D581">
        <v>222.91</v>
      </c>
      <c r="E581">
        <v>225.6</v>
      </c>
      <c r="F581">
        <v>415036.02977000002</v>
      </c>
      <c r="G581">
        <v>0</v>
      </c>
      <c r="L581" t="s">
        <v>7</v>
      </c>
      <c r="M581" t="s">
        <v>8</v>
      </c>
      <c r="N581" t="s">
        <v>8</v>
      </c>
      <c r="P581">
        <f t="shared" si="984"/>
        <v>-7.0811744386873432E-2</v>
      </c>
      <c r="Q581">
        <f t="shared" si="985"/>
        <v>-29389.425251416033</v>
      </c>
      <c r="R581">
        <f t="shared" si="986"/>
        <v>16645679.980658565</v>
      </c>
      <c r="S581">
        <f t="shared" si="987"/>
        <v>166.45679980658565</v>
      </c>
      <c r="T581">
        <f t="shared" si="988"/>
        <v>0.16645679980658565</v>
      </c>
    </row>
    <row r="582" spans="1:20" x14ac:dyDescent="0.25">
      <c r="A582" s="5">
        <v>44011</v>
      </c>
      <c r="B582">
        <v>224.89</v>
      </c>
      <c r="C582">
        <v>229.96</v>
      </c>
      <c r="D582">
        <v>221.26</v>
      </c>
      <c r="E582">
        <v>227.93</v>
      </c>
      <c r="F582">
        <v>597915.52242000005</v>
      </c>
      <c r="G582">
        <v>0</v>
      </c>
      <c r="L582" t="s">
        <v>7</v>
      </c>
      <c r="M582" t="s">
        <v>8</v>
      </c>
      <c r="N582" t="s">
        <v>8</v>
      </c>
      <c r="P582">
        <f t="shared" ref="P582:P645" si="989">IF(C582=D582,0,((E582-D582)-(C582-E582))/(C582-D582))</f>
        <v>0.53333333333333399</v>
      </c>
      <c r="Q582">
        <f t="shared" ref="Q582:Q645" si="990">F582*P582</f>
        <v>318888.27862400044</v>
      </c>
      <c r="R582">
        <f t="shared" ref="R582:R645" si="991">R583+Q582</f>
        <v>16675069.405909982</v>
      </c>
      <c r="S582">
        <f t="shared" ref="S582:S645" si="992">R582/100000</f>
        <v>166.75069405909983</v>
      </c>
      <c r="T582">
        <f t="shared" ref="T582:T645" si="993">S582/1000</f>
        <v>0.16675069405909984</v>
      </c>
    </row>
    <row r="583" spans="1:20" x14ac:dyDescent="0.25">
      <c r="A583" s="5">
        <v>44010</v>
      </c>
      <c r="B583">
        <v>220.94</v>
      </c>
      <c r="C583">
        <v>227.96</v>
      </c>
      <c r="D583">
        <v>218.32</v>
      </c>
      <c r="E583">
        <v>224.93</v>
      </c>
      <c r="F583">
        <v>444766.56881000003</v>
      </c>
      <c r="G583">
        <v>0</v>
      </c>
      <c r="L583" t="s">
        <v>7</v>
      </c>
      <c r="M583" t="s">
        <v>8</v>
      </c>
      <c r="N583" t="s">
        <v>8</v>
      </c>
      <c r="P583">
        <f t="shared" si="989"/>
        <v>0.37136929460580986</v>
      </c>
      <c r="Q583">
        <f t="shared" si="990"/>
        <v>165172.64692321612</v>
      </c>
      <c r="R583">
        <f t="shared" si="991"/>
        <v>16356181.127285982</v>
      </c>
      <c r="S583">
        <f t="shared" si="992"/>
        <v>163.56181127285981</v>
      </c>
      <c r="T583">
        <f t="shared" si="993"/>
        <v>0.16356181127285982</v>
      </c>
    </row>
    <row r="584" spans="1:20" x14ac:dyDescent="0.25">
      <c r="A584" s="5">
        <v>44009</v>
      </c>
      <c r="B584">
        <v>229.66</v>
      </c>
      <c r="C584">
        <v>231.42</v>
      </c>
      <c r="D584">
        <v>216</v>
      </c>
      <c r="E584">
        <v>220.94</v>
      </c>
      <c r="F584">
        <v>645950.61438000004</v>
      </c>
      <c r="G584">
        <v>0</v>
      </c>
      <c r="L584" t="s">
        <v>7</v>
      </c>
      <c r="M584" t="s">
        <v>8</v>
      </c>
      <c r="N584" t="s">
        <v>8</v>
      </c>
      <c r="P584">
        <f t="shared" si="989"/>
        <v>-0.35927367055771703</v>
      </c>
      <c r="Q584">
        <f t="shared" si="990"/>
        <v>-232073.04822731504</v>
      </c>
      <c r="R584">
        <f t="shared" si="991"/>
        <v>16191008.480362765</v>
      </c>
      <c r="S584">
        <f t="shared" si="992"/>
        <v>161.91008480362765</v>
      </c>
      <c r="T584">
        <f t="shared" si="993"/>
        <v>0.16191008480362765</v>
      </c>
    </row>
    <row r="585" spans="1:20" x14ac:dyDescent="0.25">
      <c r="A585" s="5">
        <v>44008</v>
      </c>
      <c r="B585">
        <v>232.49</v>
      </c>
      <c r="C585">
        <v>233.61</v>
      </c>
      <c r="D585">
        <v>227.75</v>
      </c>
      <c r="E585">
        <v>229.64</v>
      </c>
      <c r="F585">
        <v>628340.07007000002</v>
      </c>
      <c r="G585">
        <v>0</v>
      </c>
      <c r="L585" t="s">
        <v>7</v>
      </c>
      <c r="M585" t="s">
        <v>8</v>
      </c>
      <c r="N585" t="s">
        <v>8</v>
      </c>
      <c r="P585">
        <f t="shared" si="989"/>
        <v>-0.35494880546075702</v>
      </c>
      <c r="Q585">
        <f t="shared" si="990"/>
        <v>-223028.55729447489</v>
      </c>
      <c r="R585">
        <f t="shared" si="991"/>
        <v>16423081.528590081</v>
      </c>
      <c r="S585">
        <f t="shared" si="992"/>
        <v>164.2308152859008</v>
      </c>
      <c r="T585">
        <f t="shared" si="993"/>
        <v>0.16423081528590081</v>
      </c>
    </row>
    <row r="586" spans="1:20" x14ac:dyDescent="0.25">
      <c r="A586" s="5">
        <v>44007</v>
      </c>
      <c r="B586">
        <v>234.57</v>
      </c>
      <c r="C586">
        <v>235.39</v>
      </c>
      <c r="D586">
        <v>227.56</v>
      </c>
      <c r="E586">
        <v>232.5</v>
      </c>
      <c r="F586">
        <v>613748.59348000004</v>
      </c>
      <c r="G586">
        <v>0</v>
      </c>
      <c r="L586" t="s">
        <v>7</v>
      </c>
      <c r="M586" t="s">
        <v>8</v>
      </c>
      <c r="N586" t="s">
        <v>8</v>
      </c>
      <c r="P586">
        <f t="shared" si="989"/>
        <v>0.26181353767560861</v>
      </c>
      <c r="Q586">
        <f t="shared" si="990"/>
        <v>160687.69050242778</v>
      </c>
      <c r="R586">
        <f t="shared" si="991"/>
        <v>16646110.085884556</v>
      </c>
      <c r="S586">
        <f t="shared" si="992"/>
        <v>166.46110085884555</v>
      </c>
      <c r="T586">
        <f t="shared" si="993"/>
        <v>0.16646110085884555</v>
      </c>
    </row>
    <row r="587" spans="1:20" x14ac:dyDescent="0.25">
      <c r="A587" s="5">
        <v>44006</v>
      </c>
      <c r="B587">
        <v>243.15</v>
      </c>
      <c r="C587">
        <v>249.24</v>
      </c>
      <c r="D587">
        <v>231.07</v>
      </c>
      <c r="E587">
        <v>234.58</v>
      </c>
      <c r="F587">
        <v>921634.05339999998</v>
      </c>
      <c r="G587">
        <v>0</v>
      </c>
      <c r="L587" t="s">
        <v>7</v>
      </c>
      <c r="M587" t="s">
        <v>8</v>
      </c>
      <c r="N587" t="s">
        <v>8</v>
      </c>
      <c r="P587">
        <f t="shared" si="989"/>
        <v>-0.61364887176664651</v>
      </c>
      <c r="Q587">
        <f t="shared" si="990"/>
        <v>-565559.69705063128</v>
      </c>
      <c r="R587">
        <f t="shared" si="991"/>
        <v>16485422.395382129</v>
      </c>
      <c r="S587">
        <f t="shared" si="992"/>
        <v>164.85422395382128</v>
      </c>
      <c r="T587">
        <f t="shared" si="993"/>
        <v>0.16485422395382127</v>
      </c>
    </row>
    <row r="588" spans="1:20" x14ac:dyDescent="0.25">
      <c r="A588" s="5">
        <v>44005</v>
      </c>
      <c r="B588">
        <v>243.11</v>
      </c>
      <c r="C588">
        <v>244.87</v>
      </c>
      <c r="D588">
        <v>240.75</v>
      </c>
      <c r="E588">
        <v>243.14</v>
      </c>
      <c r="F588">
        <v>442296.31477</v>
      </c>
      <c r="G588">
        <v>0</v>
      </c>
      <c r="L588" t="s">
        <v>8</v>
      </c>
      <c r="M588" t="s">
        <v>8</v>
      </c>
      <c r="N588" t="s">
        <v>8</v>
      </c>
      <c r="P588">
        <f t="shared" si="989"/>
        <v>0.16019417475727366</v>
      </c>
      <c r="Q588">
        <f t="shared" si="990"/>
        <v>70853.29314276349</v>
      </c>
      <c r="R588">
        <f t="shared" si="991"/>
        <v>17050982.09243276</v>
      </c>
      <c r="S588">
        <f t="shared" si="992"/>
        <v>170.50982092432758</v>
      </c>
      <c r="T588">
        <f t="shared" si="993"/>
        <v>0.17050982092432759</v>
      </c>
    </row>
    <row r="589" spans="1:20" x14ac:dyDescent="0.25">
      <c r="A589" s="5">
        <v>44004</v>
      </c>
      <c r="B589">
        <v>228.03</v>
      </c>
      <c r="C589">
        <v>246.89</v>
      </c>
      <c r="D589">
        <v>227.51</v>
      </c>
      <c r="E589">
        <v>243.13</v>
      </c>
      <c r="F589">
        <v>749030.11114000005</v>
      </c>
      <c r="G589">
        <v>0</v>
      </c>
      <c r="L589" t="s">
        <v>8</v>
      </c>
      <c r="M589" t="s">
        <v>8</v>
      </c>
      <c r="N589" t="s">
        <v>8</v>
      </c>
      <c r="P589">
        <f t="shared" si="989"/>
        <v>0.61197110423116696</v>
      </c>
      <c r="Q589">
        <f t="shared" si="990"/>
        <v>458384.78421673953</v>
      </c>
      <c r="R589">
        <f t="shared" si="991"/>
        <v>16980128.799289998</v>
      </c>
      <c r="S589">
        <f t="shared" si="992"/>
        <v>169.80128799289997</v>
      </c>
      <c r="T589">
        <f t="shared" si="993"/>
        <v>0.16980128799289998</v>
      </c>
    </row>
    <row r="590" spans="1:20" x14ac:dyDescent="0.25">
      <c r="A590" s="5">
        <v>44003</v>
      </c>
      <c r="B590">
        <v>228.88</v>
      </c>
      <c r="C590">
        <v>231.49</v>
      </c>
      <c r="D590">
        <v>227.11</v>
      </c>
      <c r="E590">
        <v>228.04</v>
      </c>
      <c r="F590">
        <v>256305.23733999999</v>
      </c>
      <c r="G590">
        <v>0</v>
      </c>
      <c r="L590" t="s">
        <v>8</v>
      </c>
      <c r="M590" t="s">
        <v>8</v>
      </c>
      <c r="N590" t="s">
        <v>8</v>
      </c>
      <c r="P590">
        <f t="shared" si="989"/>
        <v>-0.57534246575343406</v>
      </c>
      <c r="Q590">
        <f t="shared" si="990"/>
        <v>-147463.28723671474</v>
      </c>
      <c r="R590">
        <f t="shared" si="991"/>
        <v>16521744.015073257</v>
      </c>
      <c r="S590">
        <f t="shared" si="992"/>
        <v>165.21744015073256</v>
      </c>
      <c r="T590">
        <f t="shared" si="993"/>
        <v>0.16521744015073256</v>
      </c>
    </row>
    <row r="591" spans="1:20" x14ac:dyDescent="0.25">
      <c r="A591" s="5">
        <v>44002</v>
      </c>
      <c r="B591">
        <v>229</v>
      </c>
      <c r="C591">
        <v>230.85</v>
      </c>
      <c r="D591">
        <v>225.62</v>
      </c>
      <c r="E591">
        <v>228.89</v>
      </c>
      <c r="F591">
        <v>303704.98826000001</v>
      </c>
      <c r="G591">
        <v>0</v>
      </c>
      <c r="L591" t="s">
        <v>8</v>
      </c>
      <c r="M591" t="s">
        <v>8</v>
      </c>
      <c r="N591" t="s">
        <v>8</v>
      </c>
      <c r="P591">
        <f t="shared" si="989"/>
        <v>0.25047801147227083</v>
      </c>
      <c r="Q591">
        <f t="shared" si="990"/>
        <v>76071.421533574161</v>
      </c>
      <c r="R591">
        <f t="shared" si="991"/>
        <v>16669207.302309971</v>
      </c>
      <c r="S591">
        <f t="shared" si="992"/>
        <v>166.69207302309971</v>
      </c>
      <c r="T591">
        <f t="shared" si="993"/>
        <v>0.16669207302309971</v>
      </c>
    </row>
    <row r="592" spans="1:20" x14ac:dyDescent="0.25">
      <c r="A592" s="5">
        <v>44001</v>
      </c>
      <c r="B592">
        <v>231.26</v>
      </c>
      <c r="C592">
        <v>231.95</v>
      </c>
      <c r="D592">
        <v>226.74</v>
      </c>
      <c r="E592">
        <v>229</v>
      </c>
      <c r="F592">
        <v>397284.59808000003</v>
      </c>
      <c r="G592">
        <v>0</v>
      </c>
      <c r="L592" t="s">
        <v>8</v>
      </c>
      <c r="M592" t="s">
        <v>8</v>
      </c>
      <c r="N592" t="s">
        <v>8</v>
      </c>
      <c r="P592">
        <f t="shared" si="989"/>
        <v>-0.13243761996161238</v>
      </c>
      <c r="Q592">
        <f t="shared" si="990"/>
        <v>-52615.42661712096</v>
      </c>
      <c r="R592">
        <f t="shared" si="991"/>
        <v>16593135.880776398</v>
      </c>
      <c r="S592">
        <f t="shared" si="992"/>
        <v>165.93135880776398</v>
      </c>
      <c r="T592">
        <f t="shared" si="993"/>
        <v>0.165931358807764</v>
      </c>
    </row>
    <row r="593" spans="1:20" x14ac:dyDescent="0.25">
      <c r="A593" s="5">
        <v>44000</v>
      </c>
      <c r="B593">
        <v>233.82</v>
      </c>
      <c r="C593">
        <v>234.65</v>
      </c>
      <c r="D593">
        <v>227.93</v>
      </c>
      <c r="E593">
        <v>231.27</v>
      </c>
      <c r="F593">
        <v>334347.79917000001</v>
      </c>
      <c r="G593">
        <v>0</v>
      </c>
      <c r="L593" t="s">
        <v>8</v>
      </c>
      <c r="M593" t="s">
        <v>8</v>
      </c>
      <c r="N593" t="s">
        <v>8</v>
      </c>
      <c r="P593">
        <f t="shared" si="989"/>
        <v>-5.952380952379769E-3</v>
      </c>
      <c r="Q593">
        <f t="shared" si="990"/>
        <v>-1990.1654712496045</v>
      </c>
      <c r="R593">
        <f t="shared" si="991"/>
        <v>16645751.307393519</v>
      </c>
      <c r="S593">
        <f t="shared" si="992"/>
        <v>166.45751307393519</v>
      </c>
      <c r="T593">
        <f t="shared" si="993"/>
        <v>0.16645751307393519</v>
      </c>
    </row>
    <row r="594" spans="1:20" x14ac:dyDescent="0.25">
      <c r="A594" s="5">
        <v>43999</v>
      </c>
      <c r="B594">
        <v>235.31</v>
      </c>
      <c r="C594">
        <v>237.3</v>
      </c>
      <c r="D594">
        <v>227.65</v>
      </c>
      <c r="E594">
        <v>233.82</v>
      </c>
      <c r="F594">
        <v>478187.2917</v>
      </c>
      <c r="G594">
        <v>0</v>
      </c>
      <c r="L594" t="s">
        <v>8</v>
      </c>
      <c r="M594" t="s">
        <v>8</v>
      </c>
      <c r="N594" t="s">
        <v>8</v>
      </c>
      <c r="P594">
        <f t="shared" si="989"/>
        <v>0.2787564766839345</v>
      </c>
      <c r="Q594">
        <f t="shared" si="990"/>
        <v>133297.80462932485</v>
      </c>
      <c r="R594">
        <f t="shared" si="991"/>
        <v>16647741.472864769</v>
      </c>
      <c r="S594">
        <f t="shared" si="992"/>
        <v>166.47741472864769</v>
      </c>
      <c r="T594">
        <f t="shared" si="993"/>
        <v>0.16647741472864769</v>
      </c>
    </row>
    <row r="595" spans="1:20" x14ac:dyDescent="0.25">
      <c r="A595" s="5">
        <v>43998</v>
      </c>
      <c r="B595">
        <v>230.86</v>
      </c>
      <c r="C595">
        <v>236</v>
      </c>
      <c r="D595">
        <v>228.7</v>
      </c>
      <c r="E595">
        <v>235.3</v>
      </c>
      <c r="F595">
        <v>499194.66758000001</v>
      </c>
      <c r="G595">
        <v>0</v>
      </c>
      <c r="L595" t="s">
        <v>8</v>
      </c>
      <c r="M595" t="s">
        <v>8</v>
      </c>
      <c r="N595" t="s">
        <v>8</v>
      </c>
      <c r="P595">
        <f t="shared" si="989"/>
        <v>0.80821917808219523</v>
      </c>
      <c r="Q595">
        <f t="shared" si="990"/>
        <v>403458.70393452229</v>
      </c>
      <c r="R595">
        <f t="shared" si="991"/>
        <v>16514443.668235445</v>
      </c>
      <c r="S595">
        <f t="shared" si="992"/>
        <v>165.14443668235447</v>
      </c>
      <c r="T595">
        <f t="shared" si="993"/>
        <v>0.16514443668235446</v>
      </c>
    </row>
    <row r="596" spans="1:20" x14ac:dyDescent="0.25">
      <c r="A596" s="5">
        <v>43997</v>
      </c>
      <c r="B596">
        <v>231.74</v>
      </c>
      <c r="C596">
        <v>233.55</v>
      </c>
      <c r="D596">
        <v>218.27</v>
      </c>
      <c r="E596">
        <v>230.86</v>
      </c>
      <c r="F596">
        <v>875026.92056999996</v>
      </c>
      <c r="G596">
        <v>0</v>
      </c>
      <c r="L596" t="s">
        <v>7</v>
      </c>
      <c r="M596" t="s">
        <v>8</v>
      </c>
      <c r="N596" t="s">
        <v>8</v>
      </c>
      <c r="P596">
        <f t="shared" si="989"/>
        <v>0.64790575916230397</v>
      </c>
      <c r="Q596">
        <f t="shared" si="990"/>
        <v>566934.98125935893</v>
      </c>
      <c r="R596">
        <f t="shared" si="991"/>
        <v>16110984.964300923</v>
      </c>
      <c r="S596">
        <f t="shared" si="992"/>
        <v>161.10984964300923</v>
      </c>
      <c r="T596">
        <f t="shared" si="993"/>
        <v>0.16110984964300923</v>
      </c>
    </row>
    <row r="597" spans="1:20" x14ac:dyDescent="0.25">
      <c r="A597" s="5">
        <v>43996</v>
      </c>
      <c r="B597">
        <v>238.13</v>
      </c>
      <c r="C597">
        <v>238.59</v>
      </c>
      <c r="D597">
        <v>229.83</v>
      </c>
      <c r="E597">
        <v>231.77</v>
      </c>
      <c r="F597">
        <v>304943.21188000002</v>
      </c>
      <c r="G597">
        <v>0</v>
      </c>
      <c r="L597" t="s">
        <v>7</v>
      </c>
      <c r="M597" t="s">
        <v>8</v>
      </c>
      <c r="N597" t="s">
        <v>8</v>
      </c>
      <c r="P597">
        <f t="shared" si="989"/>
        <v>-0.55707762557077634</v>
      </c>
      <c r="Q597">
        <f t="shared" si="990"/>
        <v>-169877.04040803656</v>
      </c>
      <c r="R597">
        <f t="shared" si="991"/>
        <v>15544049.983041564</v>
      </c>
      <c r="S597">
        <f t="shared" si="992"/>
        <v>155.44049983041563</v>
      </c>
      <c r="T597">
        <f t="shared" si="993"/>
        <v>0.15544049983041563</v>
      </c>
    </row>
    <row r="598" spans="1:20" x14ac:dyDescent="0.25">
      <c r="A598" s="5">
        <v>43995</v>
      </c>
      <c r="B598">
        <v>237.55</v>
      </c>
      <c r="C598">
        <v>238.73</v>
      </c>
      <c r="D598">
        <v>234.66</v>
      </c>
      <c r="E598">
        <v>238.11</v>
      </c>
      <c r="F598">
        <v>253797.78090000001</v>
      </c>
      <c r="G598">
        <v>0</v>
      </c>
      <c r="L598" t="s">
        <v>7</v>
      </c>
      <c r="M598" t="s">
        <v>8</v>
      </c>
      <c r="N598" t="s">
        <v>8</v>
      </c>
      <c r="P598">
        <f t="shared" si="989"/>
        <v>0.69533169533170658</v>
      </c>
      <c r="Q598">
        <f t="shared" si="990"/>
        <v>176473.64126462204</v>
      </c>
      <c r="R598">
        <f t="shared" si="991"/>
        <v>15713927.0234496</v>
      </c>
      <c r="S598">
        <f t="shared" si="992"/>
        <v>157.139270234496</v>
      </c>
      <c r="T598">
        <f t="shared" si="993"/>
        <v>0.157139270234496</v>
      </c>
    </row>
    <row r="599" spans="1:20" x14ac:dyDescent="0.25">
      <c r="A599" s="5">
        <v>43994</v>
      </c>
      <c r="B599">
        <v>230.46</v>
      </c>
      <c r="C599">
        <v>239.38</v>
      </c>
      <c r="D599">
        <v>228.19</v>
      </c>
      <c r="E599">
        <v>237.55</v>
      </c>
      <c r="F599">
        <v>446515.34123999998</v>
      </c>
      <c r="G599">
        <v>0</v>
      </c>
      <c r="L599" t="s">
        <v>7</v>
      </c>
      <c r="M599" t="s">
        <v>8</v>
      </c>
      <c r="N599" t="s">
        <v>8</v>
      </c>
      <c r="P599">
        <f t="shared" si="989"/>
        <v>0.67292225201072664</v>
      </c>
      <c r="Q599">
        <f t="shared" si="990"/>
        <v>300470.10898455884</v>
      </c>
      <c r="R599">
        <f t="shared" si="991"/>
        <v>15537453.382184979</v>
      </c>
      <c r="S599">
        <f t="shared" si="992"/>
        <v>155.37453382184978</v>
      </c>
      <c r="T599">
        <f t="shared" si="993"/>
        <v>0.15537453382184979</v>
      </c>
    </row>
    <row r="600" spans="1:20" x14ac:dyDescent="0.25">
      <c r="A600" s="5">
        <v>43993</v>
      </c>
      <c r="B600">
        <v>247.78</v>
      </c>
      <c r="C600">
        <v>250.09</v>
      </c>
      <c r="D600">
        <v>226.2</v>
      </c>
      <c r="E600">
        <v>230.51</v>
      </c>
      <c r="F600">
        <v>816456.89161000005</v>
      </c>
      <c r="G600">
        <v>0</v>
      </c>
      <c r="L600" t="s">
        <v>7</v>
      </c>
      <c r="M600" t="s">
        <v>8</v>
      </c>
      <c r="N600" t="s">
        <v>8</v>
      </c>
      <c r="P600">
        <f t="shared" si="989"/>
        <v>-0.63917957304311435</v>
      </c>
      <c r="Q600">
        <f t="shared" si="990"/>
        <v>-521862.56738738815</v>
      </c>
      <c r="R600">
        <f t="shared" si="991"/>
        <v>15236983.273200419</v>
      </c>
      <c r="S600">
        <f t="shared" si="992"/>
        <v>152.3698327320042</v>
      </c>
      <c r="T600">
        <f t="shared" si="993"/>
        <v>0.15236983273200419</v>
      </c>
    </row>
    <row r="601" spans="1:20" x14ac:dyDescent="0.25">
      <c r="A601" s="5">
        <v>43992</v>
      </c>
      <c r="B601">
        <v>243.79</v>
      </c>
      <c r="C601">
        <v>250.28</v>
      </c>
      <c r="D601">
        <v>242</v>
      </c>
      <c r="E601">
        <v>247.78</v>
      </c>
      <c r="F601">
        <v>431285.61715000001</v>
      </c>
      <c r="G601">
        <v>0</v>
      </c>
      <c r="L601" t="s">
        <v>7</v>
      </c>
      <c r="M601" t="s">
        <v>8</v>
      </c>
      <c r="N601" t="s">
        <v>8</v>
      </c>
      <c r="P601">
        <f t="shared" si="989"/>
        <v>0.39613526570048319</v>
      </c>
      <c r="Q601">
        <f t="shared" si="990"/>
        <v>170847.44254251212</v>
      </c>
      <c r="R601">
        <f t="shared" si="991"/>
        <v>15758845.840587808</v>
      </c>
      <c r="S601">
        <f t="shared" si="992"/>
        <v>157.58845840587807</v>
      </c>
      <c r="T601">
        <f t="shared" si="993"/>
        <v>0.15758845840587807</v>
      </c>
    </row>
    <row r="602" spans="1:20" x14ac:dyDescent="0.25">
      <c r="A602" s="5">
        <v>43991</v>
      </c>
      <c r="B602">
        <v>246.37</v>
      </c>
      <c r="C602">
        <v>249.82</v>
      </c>
      <c r="D602">
        <v>238</v>
      </c>
      <c r="E602">
        <v>243.8</v>
      </c>
      <c r="F602">
        <v>420327.17132999998</v>
      </c>
      <c r="G602">
        <v>0</v>
      </c>
      <c r="L602" t="s">
        <v>7</v>
      </c>
      <c r="M602" t="s">
        <v>8</v>
      </c>
      <c r="N602" t="s">
        <v>8</v>
      </c>
      <c r="P602">
        <f t="shared" si="989"/>
        <v>-1.8612521150589728E-2</v>
      </c>
      <c r="Q602">
        <f t="shared" si="990"/>
        <v>-7823.3483665471767</v>
      </c>
      <c r="R602">
        <f t="shared" si="991"/>
        <v>15587998.398045296</v>
      </c>
      <c r="S602">
        <f t="shared" si="992"/>
        <v>155.87998398045295</v>
      </c>
      <c r="T602">
        <f t="shared" si="993"/>
        <v>0.15587998398045294</v>
      </c>
    </row>
    <row r="603" spans="1:20" x14ac:dyDescent="0.25">
      <c r="A603" s="5">
        <v>43990</v>
      </c>
      <c r="B603">
        <v>244.57</v>
      </c>
      <c r="C603">
        <v>247.7</v>
      </c>
      <c r="D603">
        <v>240.59</v>
      </c>
      <c r="E603">
        <v>246.4</v>
      </c>
      <c r="F603">
        <v>383116.54719000001</v>
      </c>
      <c r="G603">
        <v>0</v>
      </c>
      <c r="L603" t="s">
        <v>7</v>
      </c>
      <c r="M603" t="s">
        <v>8</v>
      </c>
      <c r="N603" t="s">
        <v>8</v>
      </c>
      <c r="P603">
        <f t="shared" si="989"/>
        <v>0.63431786216596742</v>
      </c>
      <c r="Q603">
        <f t="shared" si="990"/>
        <v>243017.66917396779</v>
      </c>
      <c r="R603">
        <f t="shared" si="991"/>
        <v>15595821.746411843</v>
      </c>
      <c r="S603">
        <f t="shared" si="992"/>
        <v>155.95821746411843</v>
      </c>
      <c r="T603">
        <f t="shared" si="993"/>
        <v>0.15595821746411842</v>
      </c>
    </row>
    <row r="604" spans="1:20" x14ac:dyDescent="0.25">
      <c r="A604" s="5">
        <v>43989</v>
      </c>
      <c r="B604">
        <v>241.94</v>
      </c>
      <c r="C604">
        <v>245.37</v>
      </c>
      <c r="D604">
        <v>234.6</v>
      </c>
      <c r="E604">
        <v>244.56</v>
      </c>
      <c r="F604">
        <v>571102.55515000003</v>
      </c>
      <c r="G604">
        <v>0</v>
      </c>
      <c r="L604" t="s">
        <v>7</v>
      </c>
      <c r="M604" t="s">
        <v>8</v>
      </c>
      <c r="N604" t="s">
        <v>8</v>
      </c>
      <c r="P604">
        <f t="shared" si="989"/>
        <v>0.84958217270194958</v>
      </c>
      <c r="Q604">
        <f t="shared" si="990"/>
        <v>485198.54963997199</v>
      </c>
      <c r="R604">
        <f t="shared" si="991"/>
        <v>15352804.077237876</v>
      </c>
      <c r="S604">
        <f t="shared" si="992"/>
        <v>153.52804077237877</v>
      </c>
      <c r="T604">
        <f t="shared" si="993"/>
        <v>0.15352804077237878</v>
      </c>
    </row>
    <row r="605" spans="1:20" x14ac:dyDescent="0.25">
      <c r="A605" s="5">
        <v>43988</v>
      </c>
      <c r="B605">
        <v>240.04</v>
      </c>
      <c r="C605">
        <v>244.7</v>
      </c>
      <c r="D605">
        <v>237.83</v>
      </c>
      <c r="E605">
        <v>241.94</v>
      </c>
      <c r="F605">
        <v>389423.07798</v>
      </c>
      <c r="G605">
        <v>0</v>
      </c>
      <c r="L605" t="s">
        <v>7</v>
      </c>
      <c r="M605" t="s">
        <v>8</v>
      </c>
      <c r="N605" t="s">
        <v>8</v>
      </c>
      <c r="P605">
        <f t="shared" si="989"/>
        <v>0.19650655021834046</v>
      </c>
      <c r="Q605">
        <f t="shared" si="990"/>
        <v>76524.185629257583</v>
      </c>
      <c r="R605">
        <f t="shared" si="991"/>
        <v>14867605.527597904</v>
      </c>
      <c r="S605">
        <f t="shared" si="992"/>
        <v>148.67605527597905</v>
      </c>
      <c r="T605">
        <f t="shared" si="993"/>
        <v>0.14867605527597905</v>
      </c>
    </row>
    <row r="606" spans="1:20" x14ac:dyDescent="0.25">
      <c r="A606" s="5">
        <v>43987</v>
      </c>
      <c r="B606">
        <v>243.22</v>
      </c>
      <c r="C606">
        <v>247.87</v>
      </c>
      <c r="D606">
        <v>239.14</v>
      </c>
      <c r="E606">
        <v>240.03</v>
      </c>
      <c r="F606">
        <v>502547.41103000002</v>
      </c>
      <c r="G606">
        <v>0</v>
      </c>
      <c r="L606" t="s">
        <v>7</v>
      </c>
      <c r="M606" t="s">
        <v>8</v>
      </c>
      <c r="N606" t="s">
        <v>8</v>
      </c>
      <c r="P606">
        <f t="shared" si="989"/>
        <v>-0.79610538373424677</v>
      </c>
      <c r="Q606">
        <f t="shared" si="990"/>
        <v>-400080.6995026904</v>
      </c>
      <c r="R606">
        <f t="shared" si="991"/>
        <v>14791081.341968646</v>
      </c>
      <c r="S606">
        <f t="shared" si="992"/>
        <v>147.91081341968646</v>
      </c>
      <c r="T606">
        <f t="shared" si="993"/>
        <v>0.14791081341968645</v>
      </c>
    </row>
    <row r="607" spans="1:20" x14ac:dyDescent="0.25">
      <c r="A607" s="5">
        <v>43986</v>
      </c>
      <c r="B607">
        <v>244.54</v>
      </c>
      <c r="C607">
        <v>246.6</v>
      </c>
      <c r="D607">
        <v>236</v>
      </c>
      <c r="E607">
        <v>243.21</v>
      </c>
      <c r="F607">
        <v>669369.33920000005</v>
      </c>
      <c r="G607">
        <v>0</v>
      </c>
      <c r="L607" t="s">
        <v>7</v>
      </c>
      <c r="M607" t="s">
        <v>8</v>
      </c>
      <c r="N607" t="s">
        <v>8</v>
      </c>
      <c r="P607">
        <f t="shared" si="989"/>
        <v>0.36037735849056829</v>
      </c>
      <c r="Q607">
        <f t="shared" si="990"/>
        <v>241225.55431547321</v>
      </c>
      <c r="R607">
        <f t="shared" si="991"/>
        <v>15191162.041471336</v>
      </c>
      <c r="S607">
        <f t="shared" si="992"/>
        <v>151.91162041471335</v>
      </c>
      <c r="T607">
        <f t="shared" si="993"/>
        <v>0.15191162041471334</v>
      </c>
    </row>
    <row r="608" spans="1:20" x14ac:dyDescent="0.25">
      <c r="A608" s="5">
        <v>43985</v>
      </c>
      <c r="B608">
        <v>237.71</v>
      </c>
      <c r="C608">
        <v>245</v>
      </c>
      <c r="D608">
        <v>232.71</v>
      </c>
      <c r="E608">
        <v>244.52</v>
      </c>
      <c r="F608">
        <v>502928.13371000002</v>
      </c>
      <c r="G608">
        <v>0</v>
      </c>
      <c r="L608" t="s">
        <v>7</v>
      </c>
      <c r="M608" t="s">
        <v>8</v>
      </c>
      <c r="N608" t="s">
        <v>8</v>
      </c>
      <c r="P608">
        <f t="shared" si="989"/>
        <v>0.92188771358828481</v>
      </c>
      <c r="Q608">
        <f t="shared" si="990"/>
        <v>463643.26728513511</v>
      </c>
      <c r="R608">
        <f t="shared" si="991"/>
        <v>14949936.487155862</v>
      </c>
      <c r="S608">
        <f t="shared" si="992"/>
        <v>149.49936487155861</v>
      </c>
      <c r="T608">
        <f t="shared" si="993"/>
        <v>0.1494993648715586</v>
      </c>
    </row>
    <row r="609" spans="1:20" x14ac:dyDescent="0.25">
      <c r="A609" s="5">
        <v>43984</v>
      </c>
      <c r="B609">
        <v>248.23</v>
      </c>
      <c r="C609">
        <v>253.8</v>
      </c>
      <c r="D609">
        <v>225</v>
      </c>
      <c r="E609">
        <v>237.71</v>
      </c>
      <c r="F609">
        <v>955520.91862999997</v>
      </c>
      <c r="G609">
        <v>0</v>
      </c>
      <c r="L609" t="s">
        <v>8</v>
      </c>
      <c r="M609" t="s">
        <v>8</v>
      </c>
      <c r="N609" t="s">
        <v>8</v>
      </c>
      <c r="P609">
        <f t="shared" si="989"/>
        <v>-0.1173611111111109</v>
      </c>
      <c r="Q609">
        <f t="shared" si="990"/>
        <v>-112140.99670032618</v>
      </c>
      <c r="R609">
        <f t="shared" si="991"/>
        <v>14486293.219870728</v>
      </c>
      <c r="S609">
        <f t="shared" si="992"/>
        <v>144.86293219870728</v>
      </c>
      <c r="T609">
        <f t="shared" si="993"/>
        <v>0.14486293219870727</v>
      </c>
    </row>
    <row r="610" spans="1:20" x14ac:dyDescent="0.25">
      <c r="A610" s="5">
        <v>43983</v>
      </c>
      <c r="B610">
        <v>231.56</v>
      </c>
      <c r="C610">
        <v>250.68</v>
      </c>
      <c r="D610">
        <v>230.66</v>
      </c>
      <c r="E610">
        <v>248.23</v>
      </c>
      <c r="F610">
        <v>823816.69935999997</v>
      </c>
      <c r="G610">
        <v>0</v>
      </c>
      <c r="L610" t="s">
        <v>8</v>
      </c>
      <c r="M610" t="s">
        <v>8</v>
      </c>
      <c r="N610" t="s">
        <v>8</v>
      </c>
      <c r="P610">
        <f t="shared" si="989"/>
        <v>0.75524475524475365</v>
      </c>
      <c r="Q610">
        <f t="shared" si="990"/>
        <v>622183.24147468398</v>
      </c>
      <c r="R610">
        <f t="shared" si="991"/>
        <v>14598434.216571053</v>
      </c>
      <c r="S610">
        <f t="shared" si="992"/>
        <v>145.98434216571053</v>
      </c>
      <c r="T610">
        <f t="shared" si="993"/>
        <v>0.14598434216571052</v>
      </c>
    </row>
    <row r="611" spans="1:20" x14ac:dyDescent="0.25">
      <c r="A611" s="5">
        <v>43982</v>
      </c>
      <c r="B611">
        <v>243.71</v>
      </c>
      <c r="C611">
        <v>245.39</v>
      </c>
      <c r="D611">
        <v>229.58</v>
      </c>
      <c r="E611">
        <v>231.57</v>
      </c>
      <c r="F611">
        <v>821608.68883999996</v>
      </c>
      <c r="G611">
        <v>0</v>
      </c>
      <c r="L611" t="s">
        <v>7</v>
      </c>
      <c r="M611" t="s">
        <v>8</v>
      </c>
      <c r="N611" t="s">
        <v>8</v>
      </c>
      <c r="P611">
        <f t="shared" si="989"/>
        <v>-0.74826059456040683</v>
      </c>
      <c r="Q611">
        <f t="shared" si="990"/>
        <v>-614777.40600741468</v>
      </c>
      <c r="R611">
        <f t="shared" si="991"/>
        <v>13976250.975096369</v>
      </c>
      <c r="S611">
        <f t="shared" si="992"/>
        <v>139.76250975096369</v>
      </c>
      <c r="T611">
        <f t="shared" si="993"/>
        <v>0.13976250975096369</v>
      </c>
    </row>
    <row r="612" spans="1:20" x14ac:dyDescent="0.25">
      <c r="A612" s="5">
        <v>43981</v>
      </c>
      <c r="B612">
        <v>220.63</v>
      </c>
      <c r="C612">
        <v>247</v>
      </c>
      <c r="D612">
        <v>218.8</v>
      </c>
      <c r="E612">
        <v>243.66</v>
      </c>
      <c r="F612">
        <v>1019550.7514600001</v>
      </c>
      <c r="G612">
        <v>0</v>
      </c>
      <c r="L612" t="s">
        <v>8</v>
      </c>
      <c r="M612" t="s">
        <v>8</v>
      </c>
      <c r="N612" t="s">
        <v>8</v>
      </c>
      <c r="P612">
        <f t="shared" si="989"/>
        <v>0.76312056737588618</v>
      </c>
      <c r="Q612">
        <f t="shared" si="990"/>
        <v>778040.14792266639</v>
      </c>
      <c r="R612">
        <f t="shared" si="991"/>
        <v>14591028.381103784</v>
      </c>
      <c r="S612">
        <f t="shared" si="992"/>
        <v>145.91028381103783</v>
      </c>
      <c r="T612">
        <f t="shared" si="993"/>
        <v>0.14591028381103782</v>
      </c>
    </row>
    <row r="613" spans="1:20" x14ac:dyDescent="0.25">
      <c r="A613" s="5">
        <v>43980</v>
      </c>
      <c r="B613">
        <v>220.24</v>
      </c>
      <c r="C613">
        <v>224.79</v>
      </c>
      <c r="D613">
        <v>217.57</v>
      </c>
      <c r="E613">
        <v>220.67</v>
      </c>
      <c r="F613">
        <v>603058.07590000005</v>
      </c>
      <c r="G613">
        <v>0</v>
      </c>
      <c r="L613" t="s">
        <v>8</v>
      </c>
      <c r="M613" t="s">
        <v>8</v>
      </c>
      <c r="N613" t="s">
        <v>8</v>
      </c>
      <c r="P613">
        <f t="shared" si="989"/>
        <v>-0.14127423822714824</v>
      </c>
      <c r="Q613">
        <f t="shared" si="990"/>
        <v>-85196.570279502252</v>
      </c>
      <c r="R613">
        <f t="shared" si="991"/>
        <v>13812988.233181117</v>
      </c>
      <c r="S613">
        <f t="shared" si="992"/>
        <v>138.12988233181116</v>
      </c>
      <c r="T613">
        <f t="shared" si="993"/>
        <v>0.13812988233181117</v>
      </c>
    </row>
    <row r="614" spans="1:20" x14ac:dyDescent="0.25">
      <c r="A614" s="5">
        <v>43979</v>
      </c>
      <c r="B614">
        <v>208.29</v>
      </c>
      <c r="C614">
        <v>220.5</v>
      </c>
      <c r="D614">
        <v>204.67</v>
      </c>
      <c r="E614">
        <v>220.21</v>
      </c>
      <c r="F614">
        <v>643945.97768999997</v>
      </c>
      <c r="G614">
        <v>0</v>
      </c>
      <c r="L614" t="s">
        <v>8</v>
      </c>
      <c r="M614" t="s">
        <v>8</v>
      </c>
      <c r="N614" t="s">
        <v>8</v>
      </c>
      <c r="P614">
        <f t="shared" si="989"/>
        <v>0.96336070751737313</v>
      </c>
      <c r="Q614">
        <f t="shared" si="990"/>
        <v>620352.25267040497</v>
      </c>
      <c r="R614">
        <f t="shared" si="991"/>
        <v>13898184.803460618</v>
      </c>
      <c r="S614">
        <f t="shared" si="992"/>
        <v>138.98184803460617</v>
      </c>
      <c r="T614">
        <f t="shared" si="993"/>
        <v>0.13898184803460617</v>
      </c>
    </row>
    <row r="615" spans="1:20" x14ac:dyDescent="0.25">
      <c r="A615" s="5">
        <v>43978</v>
      </c>
      <c r="B615">
        <v>200.92</v>
      </c>
      <c r="C615">
        <v>208.44</v>
      </c>
      <c r="D615">
        <v>200.76</v>
      </c>
      <c r="E615">
        <v>208.29</v>
      </c>
      <c r="F615">
        <v>494816.72726999997</v>
      </c>
      <c r="G615">
        <v>0</v>
      </c>
      <c r="L615" t="s">
        <v>7</v>
      </c>
      <c r="M615" t="s">
        <v>8</v>
      </c>
      <c r="N615" t="s">
        <v>8</v>
      </c>
      <c r="P615">
        <f t="shared" si="989"/>
        <v>0.96093749999999856</v>
      </c>
      <c r="Q615">
        <f t="shared" si="990"/>
        <v>475487.94886101491</v>
      </c>
      <c r="R615">
        <f t="shared" si="991"/>
        <v>13277832.550790213</v>
      </c>
      <c r="S615">
        <f t="shared" si="992"/>
        <v>132.77832550790214</v>
      </c>
      <c r="T615">
        <f t="shared" si="993"/>
        <v>0.13277832550790214</v>
      </c>
    </row>
    <row r="616" spans="1:20" x14ac:dyDescent="0.25">
      <c r="A616" s="5">
        <v>43977</v>
      </c>
      <c r="B616">
        <v>204.22</v>
      </c>
      <c r="C616">
        <v>205</v>
      </c>
      <c r="D616">
        <v>196.9</v>
      </c>
      <c r="E616">
        <v>200.89</v>
      </c>
      <c r="F616">
        <v>477176.7353</v>
      </c>
      <c r="G616">
        <v>0</v>
      </c>
      <c r="L616" t="s">
        <v>7</v>
      </c>
      <c r="M616" t="s">
        <v>8</v>
      </c>
      <c r="N616" t="s">
        <v>8</v>
      </c>
      <c r="P616">
        <f t="shared" si="989"/>
        <v>-1.4814814814818895E-2</v>
      </c>
      <c r="Q616">
        <f t="shared" si="990"/>
        <v>-7069.284967409355</v>
      </c>
      <c r="R616">
        <f t="shared" si="991"/>
        <v>12802344.601929199</v>
      </c>
      <c r="S616">
        <f t="shared" si="992"/>
        <v>128.02344601929198</v>
      </c>
      <c r="T616">
        <f t="shared" si="993"/>
        <v>0.12802344601929197</v>
      </c>
    </row>
    <row r="617" spans="1:20" x14ac:dyDescent="0.25">
      <c r="A617" s="5">
        <v>43976</v>
      </c>
      <c r="B617">
        <v>199.9</v>
      </c>
      <c r="C617">
        <v>205.67</v>
      </c>
      <c r="D617">
        <v>198.01</v>
      </c>
      <c r="E617">
        <v>204.15</v>
      </c>
      <c r="F617">
        <v>469931.62491999997</v>
      </c>
      <c r="G617">
        <v>0</v>
      </c>
      <c r="L617" t="s">
        <v>8</v>
      </c>
      <c r="M617" t="s">
        <v>8</v>
      </c>
      <c r="N617" t="s">
        <v>8</v>
      </c>
      <c r="P617">
        <f t="shared" si="989"/>
        <v>0.60313315926893407</v>
      </c>
      <c r="Q617">
        <f t="shared" si="990"/>
        <v>283431.34557838331</v>
      </c>
      <c r="R617">
        <f t="shared" si="991"/>
        <v>12809413.886896608</v>
      </c>
      <c r="S617">
        <f t="shared" si="992"/>
        <v>128.09413886896607</v>
      </c>
      <c r="T617">
        <f t="shared" si="993"/>
        <v>0.12809413886896606</v>
      </c>
    </row>
    <row r="618" spans="1:20" x14ac:dyDescent="0.25">
      <c r="A618" s="5">
        <v>43975</v>
      </c>
      <c r="B618">
        <v>206.6</v>
      </c>
      <c r="C618">
        <v>210.55</v>
      </c>
      <c r="D618">
        <v>199.5</v>
      </c>
      <c r="E618">
        <v>199.9</v>
      </c>
      <c r="F618">
        <v>673535.05784000002</v>
      </c>
      <c r="G618">
        <v>0</v>
      </c>
      <c r="L618" t="s">
        <v>8</v>
      </c>
      <c r="M618" t="s">
        <v>8</v>
      </c>
      <c r="N618" t="s">
        <v>8</v>
      </c>
      <c r="P618">
        <f t="shared" si="989"/>
        <v>-0.92760180995475017</v>
      </c>
      <c r="Q618">
        <f t="shared" si="990"/>
        <v>-624772.33872036135</v>
      </c>
      <c r="R618">
        <f t="shared" si="991"/>
        <v>12525982.541318225</v>
      </c>
      <c r="S618">
        <f t="shared" si="992"/>
        <v>125.25982541318224</v>
      </c>
      <c r="T618">
        <f t="shared" si="993"/>
        <v>0.12525982541318223</v>
      </c>
    </row>
    <row r="619" spans="1:20" x14ac:dyDescent="0.25">
      <c r="A619" s="5">
        <v>43974</v>
      </c>
      <c r="B619">
        <v>207.36</v>
      </c>
      <c r="C619">
        <v>211.2</v>
      </c>
      <c r="D619">
        <v>204.55</v>
      </c>
      <c r="E619">
        <v>206.6</v>
      </c>
      <c r="F619">
        <v>478559.92005999997</v>
      </c>
      <c r="G619">
        <v>0</v>
      </c>
      <c r="L619" t="s">
        <v>8</v>
      </c>
      <c r="M619" t="s">
        <v>8</v>
      </c>
      <c r="N619" t="s">
        <v>8</v>
      </c>
      <c r="P619">
        <f t="shared" si="989"/>
        <v>-0.38345864661654439</v>
      </c>
      <c r="Q619">
        <f t="shared" si="990"/>
        <v>-183507.93927112926</v>
      </c>
      <c r="R619">
        <f t="shared" si="991"/>
        <v>13150754.880038586</v>
      </c>
      <c r="S619">
        <f t="shared" si="992"/>
        <v>131.50754880038585</v>
      </c>
      <c r="T619">
        <f t="shared" si="993"/>
        <v>0.13150754880038584</v>
      </c>
    </row>
    <row r="620" spans="1:20" x14ac:dyDescent="0.25">
      <c r="A620" s="5">
        <v>43973</v>
      </c>
      <c r="B620">
        <v>198.72</v>
      </c>
      <c r="C620">
        <v>209.19</v>
      </c>
      <c r="D620">
        <v>196.24</v>
      </c>
      <c r="E620">
        <v>207.36</v>
      </c>
      <c r="F620">
        <v>787672.36080999998</v>
      </c>
      <c r="G620">
        <v>0</v>
      </c>
      <c r="L620" t="s">
        <v>8</v>
      </c>
      <c r="M620" t="s">
        <v>8</v>
      </c>
      <c r="N620" t="s">
        <v>8</v>
      </c>
      <c r="P620">
        <f t="shared" si="989"/>
        <v>0.71737451737451963</v>
      </c>
      <c r="Q620">
        <f t="shared" si="990"/>
        <v>565056.07968532224</v>
      </c>
      <c r="R620">
        <f t="shared" si="991"/>
        <v>13334262.819309715</v>
      </c>
      <c r="S620">
        <f t="shared" si="992"/>
        <v>133.34262819309714</v>
      </c>
      <c r="T620">
        <f t="shared" si="993"/>
        <v>0.13334262819309714</v>
      </c>
    </row>
    <row r="621" spans="1:20" x14ac:dyDescent="0.25">
      <c r="A621" s="5">
        <v>43972</v>
      </c>
      <c r="B621">
        <v>209.99</v>
      </c>
      <c r="C621">
        <v>211.64</v>
      </c>
      <c r="D621">
        <v>191.71</v>
      </c>
      <c r="E621">
        <v>198.74</v>
      </c>
      <c r="F621">
        <v>1003923.4342</v>
      </c>
      <c r="G621">
        <v>0</v>
      </c>
      <c r="L621" t="s">
        <v>7</v>
      </c>
      <c r="M621" t="s">
        <v>8</v>
      </c>
      <c r="N621" t="s">
        <v>8</v>
      </c>
      <c r="P621">
        <f t="shared" si="989"/>
        <v>-0.29453085800300965</v>
      </c>
      <c r="Q621">
        <f t="shared" si="990"/>
        <v>-295686.43044425402</v>
      </c>
      <c r="R621">
        <f t="shared" si="991"/>
        <v>12769206.739624392</v>
      </c>
      <c r="S621">
        <f t="shared" si="992"/>
        <v>127.69206739624393</v>
      </c>
      <c r="T621">
        <f t="shared" si="993"/>
        <v>0.12769206739624392</v>
      </c>
    </row>
    <row r="622" spans="1:20" x14ac:dyDescent="0.25">
      <c r="A622" s="5">
        <v>43971</v>
      </c>
      <c r="B622">
        <v>214.6</v>
      </c>
      <c r="C622">
        <v>215.75</v>
      </c>
      <c r="D622">
        <v>204.27</v>
      </c>
      <c r="E622">
        <v>209.98</v>
      </c>
      <c r="F622">
        <v>679532.61037000001</v>
      </c>
      <c r="G622">
        <v>0</v>
      </c>
      <c r="L622" t="s">
        <v>8</v>
      </c>
      <c r="M622" t="s">
        <v>8</v>
      </c>
      <c r="N622" t="s">
        <v>8</v>
      </c>
      <c r="P622">
        <f t="shared" si="989"/>
        <v>-5.2264808362396126E-3</v>
      </c>
      <c r="Q622">
        <f t="shared" si="990"/>
        <v>-3551.5641656986845</v>
      </c>
      <c r="R622">
        <f t="shared" si="991"/>
        <v>13064893.170068646</v>
      </c>
      <c r="S622">
        <f t="shared" si="992"/>
        <v>130.64893170068646</v>
      </c>
      <c r="T622">
        <f t="shared" si="993"/>
        <v>0.13064893170068645</v>
      </c>
    </row>
    <row r="623" spans="1:20" x14ac:dyDescent="0.25">
      <c r="A623" s="5">
        <v>43970</v>
      </c>
      <c r="B623">
        <v>214.92</v>
      </c>
      <c r="C623">
        <v>215.95</v>
      </c>
      <c r="D623">
        <v>209.45</v>
      </c>
      <c r="E623">
        <v>214.58</v>
      </c>
      <c r="F623">
        <v>643702.98849000002</v>
      </c>
      <c r="G623">
        <v>0</v>
      </c>
      <c r="L623" t="s">
        <v>8</v>
      </c>
      <c r="M623" t="s">
        <v>8</v>
      </c>
      <c r="N623" t="s">
        <v>8</v>
      </c>
      <c r="P623">
        <f t="shared" si="989"/>
        <v>0.5784615384615458</v>
      </c>
      <c r="Q623">
        <f t="shared" si="990"/>
        <v>372357.42103422014</v>
      </c>
      <c r="R623">
        <f t="shared" si="991"/>
        <v>13068444.734234344</v>
      </c>
      <c r="S623">
        <f t="shared" si="992"/>
        <v>130.68444734234345</v>
      </c>
      <c r="T623">
        <f t="shared" si="993"/>
        <v>0.13068444734234344</v>
      </c>
    </row>
    <row r="624" spans="1:20" x14ac:dyDescent="0.25">
      <c r="A624" s="5">
        <v>43969</v>
      </c>
      <c r="B624">
        <v>207.02</v>
      </c>
      <c r="C624">
        <v>217.07</v>
      </c>
      <c r="D624">
        <v>207</v>
      </c>
      <c r="E624">
        <v>214.91</v>
      </c>
      <c r="F624">
        <v>1064139.2485</v>
      </c>
      <c r="G624">
        <v>0</v>
      </c>
      <c r="L624" t="s">
        <v>8</v>
      </c>
      <c r="M624" t="s">
        <v>8</v>
      </c>
      <c r="N624" t="s">
        <v>8</v>
      </c>
      <c r="P624">
        <f t="shared" si="989"/>
        <v>0.57100297914597853</v>
      </c>
      <c r="Q624">
        <f t="shared" si="990"/>
        <v>607626.68111966271</v>
      </c>
      <c r="R624">
        <f t="shared" si="991"/>
        <v>12696087.313200124</v>
      </c>
      <c r="S624">
        <f t="shared" si="992"/>
        <v>126.96087313200124</v>
      </c>
      <c r="T624">
        <f t="shared" si="993"/>
        <v>0.12696087313200125</v>
      </c>
    </row>
    <row r="625" spans="1:20" x14ac:dyDescent="0.25">
      <c r="A625" s="5">
        <v>43968</v>
      </c>
      <c r="B625">
        <v>200.44</v>
      </c>
      <c r="C625">
        <v>209.85</v>
      </c>
      <c r="D625">
        <v>199.68</v>
      </c>
      <c r="E625">
        <v>207</v>
      </c>
      <c r="F625">
        <v>708711.89315000002</v>
      </c>
      <c r="G625">
        <v>0</v>
      </c>
      <c r="L625" t="s">
        <v>8</v>
      </c>
      <c r="M625" t="s">
        <v>8</v>
      </c>
      <c r="N625" t="s">
        <v>8</v>
      </c>
      <c r="P625">
        <f t="shared" si="989"/>
        <v>0.43952802359882048</v>
      </c>
      <c r="Q625">
        <f t="shared" si="990"/>
        <v>311498.73769719794</v>
      </c>
      <c r="R625">
        <f t="shared" si="991"/>
        <v>12088460.63208046</v>
      </c>
      <c r="S625">
        <f t="shared" si="992"/>
        <v>120.88460632080459</v>
      </c>
      <c r="T625">
        <f t="shared" si="993"/>
        <v>0.1208846063208046</v>
      </c>
    </row>
    <row r="626" spans="1:20" x14ac:dyDescent="0.25">
      <c r="A626" s="5">
        <v>43967</v>
      </c>
      <c r="B626">
        <v>194.87</v>
      </c>
      <c r="C626">
        <v>203.5</v>
      </c>
      <c r="D626">
        <v>193.21</v>
      </c>
      <c r="E626">
        <v>200.45</v>
      </c>
      <c r="F626">
        <v>669900.03754000005</v>
      </c>
      <c r="G626">
        <v>0</v>
      </c>
      <c r="L626" t="s">
        <v>7</v>
      </c>
      <c r="M626" t="s">
        <v>8</v>
      </c>
      <c r="N626" t="s">
        <v>8</v>
      </c>
      <c r="P626">
        <f t="shared" si="989"/>
        <v>0.40719144800777185</v>
      </c>
      <c r="Q626">
        <f t="shared" si="990"/>
        <v>272777.56630637334</v>
      </c>
      <c r="R626">
        <f t="shared" si="991"/>
        <v>11776961.894383263</v>
      </c>
      <c r="S626">
        <f t="shared" si="992"/>
        <v>117.76961894383263</v>
      </c>
      <c r="T626">
        <f t="shared" si="993"/>
        <v>0.11776961894383263</v>
      </c>
    </row>
    <row r="627" spans="1:20" x14ac:dyDescent="0.25">
      <c r="A627" s="5">
        <v>43966</v>
      </c>
      <c r="B627">
        <v>203.29</v>
      </c>
      <c r="C627">
        <v>204.08</v>
      </c>
      <c r="D627">
        <v>191.66</v>
      </c>
      <c r="E627">
        <v>194.86</v>
      </c>
      <c r="F627">
        <v>904749.63569999998</v>
      </c>
      <c r="G627">
        <v>0</v>
      </c>
      <c r="L627" t="s">
        <v>7</v>
      </c>
      <c r="M627" t="s">
        <v>8</v>
      </c>
      <c r="N627" t="s">
        <v>8</v>
      </c>
      <c r="P627">
        <f t="shared" si="989"/>
        <v>-0.48470209339774351</v>
      </c>
      <c r="Q627">
        <f t="shared" si="990"/>
        <v>-438534.04242463579</v>
      </c>
      <c r="R627">
        <f t="shared" si="991"/>
        <v>11504184.32807689</v>
      </c>
      <c r="S627">
        <f t="shared" si="992"/>
        <v>115.0418432807689</v>
      </c>
      <c r="T627">
        <f t="shared" si="993"/>
        <v>0.1150418432807689</v>
      </c>
    </row>
    <row r="628" spans="1:20" x14ac:dyDescent="0.25">
      <c r="A628" s="5">
        <v>43965</v>
      </c>
      <c r="B628">
        <v>199.61</v>
      </c>
      <c r="C628">
        <v>206.02</v>
      </c>
      <c r="D628">
        <v>195.67</v>
      </c>
      <c r="E628">
        <v>203.29</v>
      </c>
      <c r="F628">
        <v>1114700.2493700001</v>
      </c>
      <c r="G628">
        <v>0</v>
      </c>
      <c r="L628" t="s">
        <v>8</v>
      </c>
      <c r="M628" t="s">
        <v>8</v>
      </c>
      <c r="N628" t="s">
        <v>8</v>
      </c>
      <c r="P628">
        <f t="shared" si="989"/>
        <v>0.47246376811593965</v>
      </c>
      <c r="Q628">
        <f t="shared" si="990"/>
        <v>526655.4801371278</v>
      </c>
      <c r="R628">
        <f t="shared" si="991"/>
        <v>11942718.370501526</v>
      </c>
      <c r="S628">
        <f t="shared" si="992"/>
        <v>119.42718370501525</v>
      </c>
      <c r="T628">
        <f t="shared" si="993"/>
        <v>0.11942718370501525</v>
      </c>
    </row>
    <row r="629" spans="1:20" x14ac:dyDescent="0.25">
      <c r="A629" s="5">
        <v>43964</v>
      </c>
      <c r="B629">
        <v>189.77</v>
      </c>
      <c r="C629">
        <v>201</v>
      </c>
      <c r="D629">
        <v>188.35</v>
      </c>
      <c r="E629">
        <v>199.58</v>
      </c>
      <c r="F629">
        <v>806143.00704000005</v>
      </c>
      <c r="G629">
        <v>0</v>
      </c>
      <c r="L629" t="s">
        <v>8</v>
      </c>
      <c r="M629" t="s">
        <v>7</v>
      </c>
      <c r="N629" t="s">
        <v>8</v>
      </c>
      <c r="P629">
        <f t="shared" si="989"/>
        <v>0.77549407114624713</v>
      </c>
      <c r="Q629">
        <f t="shared" si="990"/>
        <v>625159.12245552742</v>
      </c>
      <c r="R629">
        <f t="shared" si="991"/>
        <v>11416062.890364397</v>
      </c>
      <c r="S629">
        <f t="shared" si="992"/>
        <v>114.16062890364397</v>
      </c>
      <c r="T629">
        <f t="shared" si="993"/>
        <v>0.11416062890364397</v>
      </c>
    </row>
    <row r="630" spans="1:20" x14ac:dyDescent="0.25">
      <c r="A630" s="5">
        <v>43963</v>
      </c>
      <c r="B630">
        <v>185.8</v>
      </c>
      <c r="C630">
        <v>192.24</v>
      </c>
      <c r="D630">
        <v>185.48</v>
      </c>
      <c r="E630">
        <v>189.76</v>
      </c>
      <c r="F630">
        <v>669755.79567000002</v>
      </c>
      <c r="G630">
        <v>0</v>
      </c>
      <c r="L630" t="s">
        <v>8</v>
      </c>
      <c r="M630" t="s">
        <v>7</v>
      </c>
      <c r="N630" t="s">
        <v>8</v>
      </c>
      <c r="P630">
        <f t="shared" si="989"/>
        <v>0.26627218934910912</v>
      </c>
      <c r="Q630">
        <f t="shared" si="990"/>
        <v>178337.34204230548</v>
      </c>
      <c r="R630">
        <f t="shared" si="991"/>
        <v>10790903.767908869</v>
      </c>
      <c r="S630">
        <f t="shared" si="992"/>
        <v>107.9090376790887</v>
      </c>
      <c r="T630">
        <f t="shared" si="993"/>
        <v>0.1079090376790887</v>
      </c>
    </row>
    <row r="631" spans="1:20" x14ac:dyDescent="0.25">
      <c r="A631" s="5">
        <v>43962</v>
      </c>
      <c r="B631">
        <v>187.62</v>
      </c>
      <c r="C631">
        <v>193.5</v>
      </c>
      <c r="D631">
        <v>176</v>
      </c>
      <c r="E631">
        <v>185.73</v>
      </c>
      <c r="F631">
        <v>1093299.8192700001</v>
      </c>
      <c r="G631">
        <v>0</v>
      </c>
      <c r="L631" t="s">
        <v>7</v>
      </c>
      <c r="M631" t="s">
        <v>7</v>
      </c>
      <c r="N631" t="s">
        <v>8</v>
      </c>
      <c r="P631">
        <f t="shared" si="989"/>
        <v>0.11199999999999884</v>
      </c>
      <c r="Q631">
        <f t="shared" si="990"/>
        <v>122449.57975823875</v>
      </c>
      <c r="R631">
        <f t="shared" si="991"/>
        <v>10612566.425866565</v>
      </c>
      <c r="S631">
        <f t="shared" si="992"/>
        <v>106.12566425866565</v>
      </c>
      <c r="T631">
        <f t="shared" si="993"/>
        <v>0.10612566425866565</v>
      </c>
    </row>
    <row r="632" spans="1:20" x14ac:dyDescent="0.25">
      <c r="A632" s="5">
        <v>43961</v>
      </c>
      <c r="B632">
        <v>210.09</v>
      </c>
      <c r="C632">
        <v>210.18</v>
      </c>
      <c r="D632">
        <v>179.59</v>
      </c>
      <c r="E632">
        <v>187.54</v>
      </c>
      <c r="F632">
        <v>1473226.0547499999</v>
      </c>
      <c r="G632">
        <v>0</v>
      </c>
      <c r="L632" t="s">
        <v>7</v>
      </c>
      <c r="M632" t="s">
        <v>7</v>
      </c>
      <c r="N632" t="s">
        <v>8</v>
      </c>
      <c r="P632">
        <f t="shared" si="989"/>
        <v>-0.48022229486760459</v>
      </c>
      <c r="Q632">
        <f t="shared" si="990"/>
        <v>-707475.99687079224</v>
      </c>
      <c r="R632">
        <f t="shared" si="991"/>
        <v>10490116.846108327</v>
      </c>
      <c r="S632">
        <f t="shared" si="992"/>
        <v>104.90116846108327</v>
      </c>
      <c r="T632">
        <f t="shared" si="993"/>
        <v>0.10490116846108327</v>
      </c>
    </row>
    <row r="633" spans="1:20" x14ac:dyDescent="0.25">
      <c r="A633" s="5">
        <v>43960</v>
      </c>
      <c r="B633">
        <v>211.32</v>
      </c>
      <c r="C633">
        <v>214.6</v>
      </c>
      <c r="D633">
        <v>208.4</v>
      </c>
      <c r="E633">
        <v>210.07</v>
      </c>
      <c r="F633">
        <v>587871.98072999995</v>
      </c>
      <c r="G633">
        <v>0</v>
      </c>
      <c r="L633" t="s">
        <v>8</v>
      </c>
      <c r="M633" t="s">
        <v>8</v>
      </c>
      <c r="N633" t="s">
        <v>8</v>
      </c>
      <c r="P633">
        <f t="shared" si="989"/>
        <v>-0.46129032258064823</v>
      </c>
      <c r="Q633">
        <f t="shared" si="990"/>
        <v>-271179.65562706627</v>
      </c>
      <c r="R633">
        <f t="shared" si="991"/>
        <v>11197592.842979118</v>
      </c>
      <c r="S633">
        <f t="shared" si="992"/>
        <v>111.97592842979118</v>
      </c>
      <c r="T633">
        <f t="shared" si="993"/>
        <v>0.11197592842979118</v>
      </c>
    </row>
    <row r="634" spans="1:20" x14ac:dyDescent="0.25">
      <c r="A634" s="5">
        <v>43959</v>
      </c>
      <c r="B634">
        <v>212.01</v>
      </c>
      <c r="C634">
        <v>216.61</v>
      </c>
      <c r="D634">
        <v>206.9</v>
      </c>
      <c r="E634">
        <v>211.31</v>
      </c>
      <c r="F634">
        <v>917908.19440000004</v>
      </c>
      <c r="G634">
        <v>0</v>
      </c>
      <c r="L634" t="s">
        <v>8</v>
      </c>
      <c r="M634" t="s">
        <v>8</v>
      </c>
      <c r="N634" t="s">
        <v>8</v>
      </c>
      <c r="P634">
        <f t="shared" si="989"/>
        <v>-9.165808444902307E-2</v>
      </c>
      <c r="Q634">
        <f t="shared" si="990"/>
        <v>-84133.706798765488</v>
      </c>
      <c r="R634">
        <f t="shared" si="991"/>
        <v>11468772.498606184</v>
      </c>
      <c r="S634">
        <f t="shared" si="992"/>
        <v>114.68772498606185</v>
      </c>
      <c r="T634">
        <f t="shared" si="993"/>
        <v>0.11468772498606185</v>
      </c>
    </row>
    <row r="635" spans="1:20" x14ac:dyDescent="0.25">
      <c r="A635" s="5">
        <v>43958</v>
      </c>
      <c r="B635">
        <v>198.92</v>
      </c>
      <c r="C635">
        <v>215.1</v>
      </c>
      <c r="D635">
        <v>196.43</v>
      </c>
      <c r="E635">
        <v>212</v>
      </c>
      <c r="F635">
        <v>1305778.7376399999</v>
      </c>
      <c r="G635">
        <v>0</v>
      </c>
      <c r="L635" t="s">
        <v>8</v>
      </c>
      <c r="M635" t="s">
        <v>8</v>
      </c>
      <c r="N635" t="s">
        <v>8</v>
      </c>
      <c r="P635">
        <f t="shared" si="989"/>
        <v>0.66791644349223389</v>
      </c>
      <c r="Q635">
        <f t="shared" si="990"/>
        <v>872151.09043228754</v>
      </c>
      <c r="R635">
        <f t="shared" si="991"/>
        <v>11552906.20540495</v>
      </c>
      <c r="S635">
        <f t="shared" si="992"/>
        <v>115.5290620540495</v>
      </c>
      <c r="T635">
        <f t="shared" si="993"/>
        <v>0.1155290620540495</v>
      </c>
    </row>
    <row r="636" spans="1:20" x14ac:dyDescent="0.25">
      <c r="A636" s="5">
        <v>43957</v>
      </c>
      <c r="B636">
        <v>205.3</v>
      </c>
      <c r="C636">
        <v>210.77</v>
      </c>
      <c r="D636">
        <v>197.71</v>
      </c>
      <c r="E636">
        <v>198.97</v>
      </c>
      <c r="F636">
        <v>862700.67848999996</v>
      </c>
      <c r="G636">
        <v>0</v>
      </c>
      <c r="L636" t="s">
        <v>7</v>
      </c>
      <c r="M636" t="s">
        <v>8</v>
      </c>
      <c r="N636" t="s">
        <v>8</v>
      </c>
      <c r="P636">
        <f t="shared" si="989"/>
        <v>-0.80704441041347774</v>
      </c>
      <c r="Q636">
        <f t="shared" si="990"/>
        <v>-696237.76043526921</v>
      </c>
      <c r="R636">
        <f t="shared" si="991"/>
        <v>10680755.114972662</v>
      </c>
      <c r="S636">
        <f t="shared" si="992"/>
        <v>106.80755114972662</v>
      </c>
      <c r="T636">
        <f t="shared" si="993"/>
        <v>0.10680755114972662</v>
      </c>
    </row>
    <row r="637" spans="1:20" x14ac:dyDescent="0.25">
      <c r="A637" s="5">
        <v>43956</v>
      </c>
      <c r="B637">
        <v>206.47</v>
      </c>
      <c r="C637">
        <v>211.68</v>
      </c>
      <c r="D637">
        <v>201</v>
      </c>
      <c r="E637">
        <v>205.29</v>
      </c>
      <c r="F637">
        <v>640644.66267999995</v>
      </c>
      <c r="G637">
        <v>0</v>
      </c>
      <c r="L637" t="s">
        <v>8</v>
      </c>
      <c r="M637" t="s">
        <v>8</v>
      </c>
      <c r="N637" t="s">
        <v>8</v>
      </c>
      <c r="P637">
        <f t="shared" si="989"/>
        <v>-0.19662921348314807</v>
      </c>
      <c r="Q637">
        <f t="shared" si="990"/>
        <v>-125969.4561449451</v>
      </c>
      <c r="R637">
        <f t="shared" si="991"/>
        <v>11376992.875407932</v>
      </c>
      <c r="S637">
        <f t="shared" si="992"/>
        <v>113.76992875407932</v>
      </c>
      <c r="T637">
        <f t="shared" si="993"/>
        <v>0.11376992875407932</v>
      </c>
    </row>
    <row r="638" spans="1:20" x14ac:dyDescent="0.25">
      <c r="A638" s="5">
        <v>43955</v>
      </c>
      <c r="B638">
        <v>209.86</v>
      </c>
      <c r="C638">
        <v>210.65</v>
      </c>
      <c r="D638">
        <v>194.88</v>
      </c>
      <c r="E638">
        <v>206.48</v>
      </c>
      <c r="F638">
        <v>1114249.3265800001</v>
      </c>
      <c r="G638">
        <v>0</v>
      </c>
      <c r="L638" t="s">
        <v>7</v>
      </c>
      <c r="M638" t="s">
        <v>8</v>
      </c>
      <c r="N638" t="s">
        <v>8</v>
      </c>
      <c r="P638">
        <f t="shared" si="989"/>
        <v>0.47114774889029637</v>
      </c>
      <c r="Q638">
        <f t="shared" si="990"/>
        <v>524976.06192069571</v>
      </c>
      <c r="R638">
        <f t="shared" si="991"/>
        <v>11502962.331552878</v>
      </c>
      <c r="S638">
        <f t="shared" si="992"/>
        <v>115.02962331552878</v>
      </c>
      <c r="T638">
        <f t="shared" si="993"/>
        <v>0.11502962331552878</v>
      </c>
    </row>
    <row r="639" spans="1:20" x14ac:dyDescent="0.25">
      <c r="A639" s="5">
        <v>43954</v>
      </c>
      <c r="B639">
        <v>213.89</v>
      </c>
      <c r="C639">
        <v>219.3</v>
      </c>
      <c r="D639">
        <v>203.92</v>
      </c>
      <c r="E639">
        <v>209.86</v>
      </c>
      <c r="F639">
        <v>748383.91310999996</v>
      </c>
      <c r="G639">
        <v>0</v>
      </c>
      <c r="L639" t="s">
        <v>7</v>
      </c>
      <c r="M639" t="s">
        <v>8</v>
      </c>
      <c r="N639" t="s">
        <v>8</v>
      </c>
      <c r="P639">
        <f t="shared" si="989"/>
        <v>-0.22756827048114214</v>
      </c>
      <c r="Q639">
        <f t="shared" si="990"/>
        <v>-170308.43276235205</v>
      </c>
      <c r="R639">
        <f t="shared" si="991"/>
        <v>10977986.269632183</v>
      </c>
      <c r="S639">
        <f t="shared" si="992"/>
        <v>109.77986269632183</v>
      </c>
      <c r="T639">
        <f t="shared" si="993"/>
        <v>0.10977986269632183</v>
      </c>
    </row>
    <row r="640" spans="1:20" x14ac:dyDescent="0.25">
      <c r="A640" s="5">
        <v>43953</v>
      </c>
      <c r="B640">
        <v>212.01</v>
      </c>
      <c r="C640">
        <v>215.37</v>
      </c>
      <c r="D640">
        <v>210.36</v>
      </c>
      <c r="E640">
        <v>213.9</v>
      </c>
      <c r="F640">
        <v>443494.67248000001</v>
      </c>
      <c r="G640">
        <v>0</v>
      </c>
      <c r="L640" t="s">
        <v>7</v>
      </c>
      <c r="M640" t="s">
        <v>8</v>
      </c>
      <c r="N640" t="s">
        <v>8</v>
      </c>
      <c r="P640">
        <f t="shared" si="989"/>
        <v>0.41317365269461015</v>
      </c>
      <c r="Q640">
        <f t="shared" si="990"/>
        <v>183240.3137791614</v>
      </c>
      <c r="R640">
        <f t="shared" si="991"/>
        <v>11148294.702394536</v>
      </c>
      <c r="S640">
        <f t="shared" si="992"/>
        <v>111.48294702394536</v>
      </c>
      <c r="T640">
        <f t="shared" si="993"/>
        <v>0.11148294702394536</v>
      </c>
    </row>
    <row r="641" spans="1:20" x14ac:dyDescent="0.25">
      <c r="A641" s="5">
        <v>43952</v>
      </c>
      <c r="B641">
        <v>206.07</v>
      </c>
      <c r="C641">
        <v>217.14</v>
      </c>
      <c r="D641">
        <v>205.91</v>
      </c>
      <c r="E641">
        <v>212.02</v>
      </c>
      <c r="F641">
        <v>794913.95828000002</v>
      </c>
      <c r="G641">
        <v>0</v>
      </c>
      <c r="L641" t="s">
        <v>7</v>
      </c>
      <c r="M641" t="s">
        <v>8</v>
      </c>
      <c r="N641" t="s">
        <v>8</v>
      </c>
      <c r="P641">
        <f t="shared" si="989"/>
        <v>8.815672306322693E-2</v>
      </c>
      <c r="Q641">
        <f t="shared" si="990"/>
        <v>70077.00967918348</v>
      </c>
      <c r="R641">
        <f t="shared" si="991"/>
        <v>10965054.388615374</v>
      </c>
      <c r="S641">
        <f t="shared" si="992"/>
        <v>109.65054388615374</v>
      </c>
      <c r="T641">
        <f t="shared" si="993"/>
        <v>0.10965054388615374</v>
      </c>
    </row>
    <row r="642" spans="1:20" x14ac:dyDescent="0.25">
      <c r="A642" s="5">
        <v>43951</v>
      </c>
      <c r="B642">
        <v>215.4</v>
      </c>
      <c r="C642">
        <v>227.3</v>
      </c>
      <c r="D642">
        <v>202</v>
      </c>
      <c r="E642">
        <v>206.08</v>
      </c>
      <c r="F642">
        <v>1749691.0015100001</v>
      </c>
      <c r="G642">
        <v>0</v>
      </c>
      <c r="L642" t="s">
        <v>8</v>
      </c>
      <c r="M642" t="s">
        <v>8</v>
      </c>
      <c r="N642" t="s">
        <v>8</v>
      </c>
      <c r="P642">
        <f t="shared" si="989"/>
        <v>-0.67747035573122449</v>
      </c>
      <c r="Q642">
        <f t="shared" si="990"/>
        <v>-1185363.7852127021</v>
      </c>
      <c r="R642">
        <f t="shared" si="991"/>
        <v>10894977.37893619</v>
      </c>
      <c r="S642">
        <f t="shared" si="992"/>
        <v>108.9497737893619</v>
      </c>
      <c r="T642">
        <f t="shared" si="993"/>
        <v>0.1089497737893619</v>
      </c>
    </row>
    <row r="643" spans="1:20" x14ac:dyDescent="0.25">
      <c r="A643" s="5">
        <v>43950</v>
      </c>
      <c r="B643">
        <v>196.24</v>
      </c>
      <c r="C643">
        <v>218.77</v>
      </c>
      <c r="D643">
        <v>196.22</v>
      </c>
      <c r="E643">
        <v>215.36</v>
      </c>
      <c r="F643">
        <v>1620422.72431</v>
      </c>
      <c r="G643">
        <v>0</v>
      </c>
      <c r="L643" t="s">
        <v>8</v>
      </c>
      <c r="M643" t="s">
        <v>8</v>
      </c>
      <c r="N643" t="s">
        <v>8</v>
      </c>
      <c r="P643">
        <f t="shared" si="989"/>
        <v>0.69756097560975661</v>
      </c>
      <c r="Q643">
        <f t="shared" si="990"/>
        <v>1130343.6564699032</v>
      </c>
      <c r="R643">
        <f t="shared" si="991"/>
        <v>12080341.164148893</v>
      </c>
      <c r="S643">
        <f t="shared" si="992"/>
        <v>120.80341164148894</v>
      </c>
      <c r="T643">
        <f t="shared" si="993"/>
        <v>0.12080341164148893</v>
      </c>
    </row>
    <row r="644" spans="1:20" x14ac:dyDescent="0.25">
      <c r="A644" s="5">
        <v>43949</v>
      </c>
      <c r="B644">
        <v>196.33</v>
      </c>
      <c r="C644">
        <v>198.5</v>
      </c>
      <c r="D644">
        <v>192.36</v>
      </c>
      <c r="E644">
        <v>196.24</v>
      </c>
      <c r="F644">
        <v>636829.89396999998</v>
      </c>
      <c r="G644">
        <v>0</v>
      </c>
      <c r="L644" t="s">
        <v>8</v>
      </c>
      <c r="M644" t="s">
        <v>8</v>
      </c>
      <c r="N644" t="s">
        <v>8</v>
      </c>
      <c r="P644">
        <f t="shared" si="989"/>
        <v>0.26384364820847039</v>
      </c>
      <c r="Q644">
        <f t="shared" si="990"/>
        <v>168023.52251325818</v>
      </c>
      <c r="R644">
        <f t="shared" si="991"/>
        <v>10949997.507678989</v>
      </c>
      <c r="S644">
        <f t="shared" si="992"/>
        <v>109.49997507678989</v>
      </c>
      <c r="T644">
        <f t="shared" si="993"/>
        <v>0.10949997507678989</v>
      </c>
    </row>
    <row r="645" spans="1:20" x14ac:dyDescent="0.25">
      <c r="A645" s="5">
        <v>43948</v>
      </c>
      <c r="B645">
        <v>197.39</v>
      </c>
      <c r="C645">
        <v>199.05</v>
      </c>
      <c r="D645">
        <v>189.29</v>
      </c>
      <c r="E645">
        <v>196.34</v>
      </c>
      <c r="F645">
        <v>896627.37271000003</v>
      </c>
      <c r="G645">
        <v>0</v>
      </c>
      <c r="L645" t="s">
        <v>8</v>
      </c>
      <c r="M645" t="s">
        <v>8</v>
      </c>
      <c r="N645" t="s">
        <v>8</v>
      </c>
      <c r="P645">
        <f t="shared" si="989"/>
        <v>0.44467213114754045</v>
      </c>
      <c r="Q645">
        <f t="shared" si="990"/>
        <v>398705.20466817578</v>
      </c>
      <c r="R645">
        <f t="shared" si="991"/>
        <v>10781973.985165732</v>
      </c>
      <c r="S645">
        <f t="shared" si="992"/>
        <v>107.81973985165732</v>
      </c>
      <c r="T645">
        <f t="shared" si="993"/>
        <v>0.10781973985165731</v>
      </c>
    </row>
    <row r="646" spans="1:20" x14ac:dyDescent="0.25">
      <c r="A646" s="5">
        <v>43947</v>
      </c>
      <c r="B646">
        <v>194.21</v>
      </c>
      <c r="C646">
        <v>200</v>
      </c>
      <c r="D646">
        <v>192.3</v>
      </c>
      <c r="E646">
        <v>197.38</v>
      </c>
      <c r="F646">
        <v>758525.81533000001</v>
      </c>
      <c r="G646">
        <v>0</v>
      </c>
      <c r="L646" t="s">
        <v>8</v>
      </c>
      <c r="M646" t="s">
        <v>8</v>
      </c>
      <c r="N646" t="s">
        <v>8</v>
      </c>
      <c r="P646">
        <f t="shared" ref="P646:P709" si="994">IF(C646=D646,0,((E646-D646)-(C646-E646))/(C646-D646))</f>
        <v>0.31948051948051731</v>
      </c>
      <c r="Q646">
        <f t="shared" ref="Q646:Q709" si="995">F646*P646</f>
        <v>242334.22152101135</v>
      </c>
      <c r="R646">
        <f t="shared" ref="R646:R709" si="996">R647+Q646</f>
        <v>10383268.780497557</v>
      </c>
      <c r="S646">
        <f t="shared" ref="S646:S709" si="997">R646/100000</f>
        <v>103.83268780497556</v>
      </c>
      <c r="T646">
        <f t="shared" ref="T646:T709" si="998">S646/1000</f>
        <v>0.10383268780497557</v>
      </c>
    </row>
    <row r="647" spans="1:20" x14ac:dyDescent="0.25">
      <c r="A647" s="5">
        <v>43946</v>
      </c>
      <c r="B647">
        <v>187.6</v>
      </c>
      <c r="C647">
        <v>198.36</v>
      </c>
      <c r="D647">
        <v>185.76</v>
      </c>
      <c r="E647">
        <v>194.21</v>
      </c>
      <c r="F647">
        <v>866478.04928000004</v>
      </c>
      <c r="G647">
        <v>0</v>
      </c>
      <c r="L647" t="s">
        <v>8</v>
      </c>
      <c r="M647" t="s">
        <v>8</v>
      </c>
      <c r="N647" t="s">
        <v>8</v>
      </c>
      <c r="P647">
        <f t="shared" si="994"/>
        <v>0.34126984126984156</v>
      </c>
      <c r="Q647">
        <f t="shared" si="995"/>
        <v>295702.82634158758</v>
      </c>
      <c r="R647">
        <f t="shared" si="996"/>
        <v>10140934.558976546</v>
      </c>
      <c r="S647">
        <f t="shared" si="997"/>
        <v>101.40934558976546</v>
      </c>
      <c r="T647">
        <f t="shared" si="998"/>
        <v>0.10140934558976547</v>
      </c>
    </row>
    <row r="648" spans="1:20" x14ac:dyDescent="0.25">
      <c r="A648" s="5">
        <v>43945</v>
      </c>
      <c r="B648">
        <v>185.57</v>
      </c>
      <c r="C648">
        <v>189.8</v>
      </c>
      <c r="D648">
        <v>184.72</v>
      </c>
      <c r="E648">
        <v>187.59</v>
      </c>
      <c r="F648">
        <v>780904.21256999997</v>
      </c>
      <c r="G648">
        <v>0</v>
      </c>
      <c r="L648" t="s">
        <v>8</v>
      </c>
      <c r="M648" t="s">
        <v>8</v>
      </c>
      <c r="N648" t="s">
        <v>8</v>
      </c>
      <c r="P648">
        <f t="shared" si="994"/>
        <v>0.1299212598425187</v>
      </c>
      <c r="Q648">
        <f t="shared" si="995"/>
        <v>101456.05911342443</v>
      </c>
      <c r="R648">
        <f t="shared" si="996"/>
        <v>9845231.7326349579</v>
      </c>
      <c r="S648">
        <f t="shared" si="997"/>
        <v>98.452317326349572</v>
      </c>
      <c r="T648">
        <f t="shared" si="998"/>
        <v>9.845231732634957E-2</v>
      </c>
    </row>
    <row r="649" spans="1:20" x14ac:dyDescent="0.25">
      <c r="A649" s="5">
        <v>43944</v>
      </c>
      <c r="B649">
        <v>182.7</v>
      </c>
      <c r="C649">
        <v>193.63</v>
      </c>
      <c r="D649">
        <v>178.16</v>
      </c>
      <c r="E649">
        <v>185.51</v>
      </c>
      <c r="F649">
        <v>1457867.0871300001</v>
      </c>
      <c r="G649">
        <v>0</v>
      </c>
      <c r="L649" t="s">
        <v>8</v>
      </c>
      <c r="M649" t="s">
        <v>8</v>
      </c>
      <c r="N649" t="s">
        <v>8</v>
      </c>
      <c r="P649">
        <f t="shared" si="994"/>
        <v>-4.977375565610926E-2</v>
      </c>
      <c r="Q649">
        <f t="shared" si="995"/>
        <v>-72563.520173892379</v>
      </c>
      <c r="R649">
        <f t="shared" si="996"/>
        <v>9743775.6735215336</v>
      </c>
      <c r="S649">
        <f t="shared" si="997"/>
        <v>97.437756735215331</v>
      </c>
      <c r="T649">
        <f t="shared" si="998"/>
        <v>9.7437756735215333E-2</v>
      </c>
    </row>
    <row r="650" spans="1:20" x14ac:dyDescent="0.25">
      <c r="A650" s="5">
        <v>43943</v>
      </c>
      <c r="B650">
        <v>170.73</v>
      </c>
      <c r="C650">
        <v>184</v>
      </c>
      <c r="D650">
        <v>169.78</v>
      </c>
      <c r="E650">
        <v>182.7</v>
      </c>
      <c r="F650">
        <v>988698.39075999998</v>
      </c>
      <c r="G650">
        <v>0</v>
      </c>
      <c r="L650" t="s">
        <v>8</v>
      </c>
      <c r="M650" t="s">
        <v>8</v>
      </c>
      <c r="N650" t="s">
        <v>8</v>
      </c>
      <c r="P650">
        <f t="shared" si="994"/>
        <v>0.8171589310829801</v>
      </c>
      <c r="Q650">
        <f t="shared" si="995"/>
        <v>807923.72015690419</v>
      </c>
      <c r="R650">
        <f t="shared" si="996"/>
        <v>9816339.193695426</v>
      </c>
      <c r="S650">
        <f t="shared" si="997"/>
        <v>98.163391936954255</v>
      </c>
      <c r="T650">
        <f t="shared" si="998"/>
        <v>9.8163391936954253E-2</v>
      </c>
    </row>
    <row r="651" spans="1:20" x14ac:dyDescent="0.25">
      <c r="A651" s="5">
        <v>43942</v>
      </c>
      <c r="B651">
        <v>170.21</v>
      </c>
      <c r="C651">
        <v>174.7</v>
      </c>
      <c r="D651">
        <v>168</v>
      </c>
      <c r="E651">
        <v>170.74</v>
      </c>
      <c r="F651">
        <v>906381.65397999994</v>
      </c>
      <c r="G651">
        <v>0</v>
      </c>
      <c r="L651" t="s">
        <v>7</v>
      </c>
      <c r="M651" t="s">
        <v>8</v>
      </c>
      <c r="N651" t="s">
        <v>8</v>
      </c>
      <c r="P651">
        <f t="shared" si="994"/>
        <v>-0.18208955223880186</v>
      </c>
      <c r="Q651">
        <f t="shared" si="995"/>
        <v>-165042.62953068284</v>
      </c>
      <c r="R651">
        <f t="shared" si="996"/>
        <v>9008415.4735385217</v>
      </c>
      <c r="S651">
        <f t="shared" si="997"/>
        <v>90.084154735385212</v>
      </c>
      <c r="T651">
        <f t="shared" si="998"/>
        <v>9.0084154735385211E-2</v>
      </c>
    </row>
    <row r="652" spans="1:20" x14ac:dyDescent="0.25">
      <c r="A652" s="5">
        <v>43941</v>
      </c>
      <c r="B652">
        <v>180.02</v>
      </c>
      <c r="C652">
        <v>186.46</v>
      </c>
      <c r="D652">
        <v>166.7</v>
      </c>
      <c r="E652">
        <v>170.2</v>
      </c>
      <c r="F652">
        <v>1547821.52737</v>
      </c>
      <c r="G652">
        <v>0</v>
      </c>
      <c r="L652" t="s">
        <v>7</v>
      </c>
      <c r="M652" t="s">
        <v>8</v>
      </c>
      <c r="N652" t="s">
        <v>8</v>
      </c>
      <c r="P652">
        <f t="shared" si="994"/>
        <v>-0.64574898785425139</v>
      </c>
      <c r="Q652">
        <f t="shared" si="995"/>
        <v>-999504.184678199</v>
      </c>
      <c r="R652">
        <f t="shared" si="996"/>
        <v>9173458.1030692048</v>
      </c>
      <c r="S652">
        <f t="shared" si="997"/>
        <v>91.734581030692041</v>
      </c>
      <c r="T652">
        <f t="shared" si="998"/>
        <v>9.1734581030692042E-2</v>
      </c>
    </row>
    <row r="653" spans="1:20" x14ac:dyDescent="0.25">
      <c r="A653" s="5">
        <v>43940</v>
      </c>
      <c r="B653">
        <v>187.4</v>
      </c>
      <c r="C653">
        <v>188.35</v>
      </c>
      <c r="D653">
        <v>175.75</v>
      </c>
      <c r="E653">
        <v>180.03</v>
      </c>
      <c r="F653">
        <v>995759.57750000001</v>
      </c>
      <c r="G653">
        <v>0</v>
      </c>
      <c r="L653" t="s">
        <v>8</v>
      </c>
      <c r="M653" t="s">
        <v>8</v>
      </c>
      <c r="N653" t="s">
        <v>8</v>
      </c>
      <c r="P653">
        <f t="shared" si="994"/>
        <v>-0.32063492063492016</v>
      </c>
      <c r="Q653">
        <f t="shared" si="995"/>
        <v>-319275.29310317413</v>
      </c>
      <c r="R653">
        <f t="shared" si="996"/>
        <v>10172962.287747404</v>
      </c>
      <c r="S653">
        <f t="shared" si="997"/>
        <v>101.72962287747404</v>
      </c>
      <c r="T653">
        <f t="shared" si="998"/>
        <v>0.10172962287747404</v>
      </c>
    </row>
    <row r="654" spans="1:20" x14ac:dyDescent="0.25">
      <c r="A654" s="5">
        <v>43939</v>
      </c>
      <c r="B654">
        <v>170.61</v>
      </c>
      <c r="C654">
        <v>189.54</v>
      </c>
      <c r="D654">
        <v>170.48</v>
      </c>
      <c r="E654">
        <v>187.4</v>
      </c>
      <c r="F654">
        <v>1127296.3697899999</v>
      </c>
      <c r="G654">
        <v>0</v>
      </c>
      <c r="L654" t="s">
        <v>8</v>
      </c>
      <c r="M654" t="s">
        <v>8</v>
      </c>
      <c r="N654" t="s">
        <v>8</v>
      </c>
      <c r="P654">
        <f t="shared" si="994"/>
        <v>0.7754459601259196</v>
      </c>
      <c r="Q654">
        <f t="shared" si="995"/>
        <v>874157.41581827018</v>
      </c>
      <c r="R654">
        <f t="shared" si="996"/>
        <v>10492237.580850577</v>
      </c>
      <c r="S654">
        <f t="shared" si="997"/>
        <v>104.92237580850578</v>
      </c>
      <c r="T654">
        <f t="shared" si="998"/>
        <v>0.10492237580850577</v>
      </c>
    </row>
    <row r="655" spans="1:20" x14ac:dyDescent="0.25">
      <c r="A655" s="5">
        <v>43938</v>
      </c>
      <c r="B655">
        <v>172.31</v>
      </c>
      <c r="C655">
        <v>174.96</v>
      </c>
      <c r="D655">
        <v>168.31</v>
      </c>
      <c r="E655">
        <v>170.69</v>
      </c>
      <c r="F655">
        <v>723537.75590999995</v>
      </c>
      <c r="G655">
        <v>0</v>
      </c>
      <c r="L655" t="s">
        <v>8</v>
      </c>
      <c r="M655" t="s">
        <v>8</v>
      </c>
      <c r="N655" t="s">
        <v>8</v>
      </c>
      <c r="P655">
        <f t="shared" si="994"/>
        <v>-0.28421052631579147</v>
      </c>
      <c r="Q655">
        <f t="shared" si="995"/>
        <v>-205637.04641652774</v>
      </c>
      <c r="R655">
        <f t="shared" si="996"/>
        <v>9618080.1650323067</v>
      </c>
      <c r="S655">
        <f t="shared" si="997"/>
        <v>96.180801650323062</v>
      </c>
      <c r="T655">
        <f t="shared" si="998"/>
        <v>9.6180801650323056E-2</v>
      </c>
    </row>
    <row r="656" spans="1:20" x14ac:dyDescent="0.25">
      <c r="A656" s="5">
        <v>43937</v>
      </c>
      <c r="B656">
        <v>152.74</v>
      </c>
      <c r="C656">
        <v>174.79</v>
      </c>
      <c r="D656">
        <v>148.33000000000001</v>
      </c>
      <c r="E656">
        <v>172.29</v>
      </c>
      <c r="F656">
        <v>1647207.5999100001</v>
      </c>
      <c r="G656">
        <v>0</v>
      </c>
      <c r="L656" t="s">
        <v>7</v>
      </c>
      <c r="M656" t="s">
        <v>8</v>
      </c>
      <c r="N656" t="s">
        <v>8</v>
      </c>
      <c r="P656">
        <f t="shared" si="994"/>
        <v>0.81103552532123946</v>
      </c>
      <c r="Q656">
        <f t="shared" si="995"/>
        <v>1335943.881106145</v>
      </c>
      <c r="R656">
        <f t="shared" si="996"/>
        <v>9823717.2114488352</v>
      </c>
      <c r="S656">
        <f t="shared" si="997"/>
        <v>98.237172114488345</v>
      </c>
      <c r="T656">
        <f t="shared" si="998"/>
        <v>9.8237172114488347E-2</v>
      </c>
    </row>
    <row r="657" spans="1:20" x14ac:dyDescent="0.25">
      <c r="A657" s="5">
        <v>43936</v>
      </c>
      <c r="B657">
        <v>158.46</v>
      </c>
      <c r="C657">
        <v>161.29</v>
      </c>
      <c r="D657">
        <v>152</v>
      </c>
      <c r="E657">
        <v>152.72999999999999</v>
      </c>
      <c r="F657">
        <v>729119.66504999995</v>
      </c>
      <c r="G657">
        <v>0</v>
      </c>
      <c r="L657" t="s">
        <v>7</v>
      </c>
      <c r="M657" t="s">
        <v>8</v>
      </c>
      <c r="N657" t="s">
        <v>8</v>
      </c>
      <c r="P657">
        <f t="shared" si="994"/>
        <v>-0.84284176533907629</v>
      </c>
      <c r="Q657">
        <f t="shared" si="995"/>
        <v>-614532.50563417794</v>
      </c>
      <c r="R657">
        <f t="shared" si="996"/>
        <v>8487773.3303426895</v>
      </c>
      <c r="S657">
        <f t="shared" si="997"/>
        <v>84.877733303426893</v>
      </c>
      <c r="T657">
        <f t="shared" si="998"/>
        <v>8.4877733303426892E-2</v>
      </c>
    </row>
    <row r="658" spans="1:20" x14ac:dyDescent="0.25">
      <c r="A658" s="5">
        <v>43935</v>
      </c>
      <c r="B658">
        <v>156.28</v>
      </c>
      <c r="C658">
        <v>161.85</v>
      </c>
      <c r="D658">
        <v>155.22999999999999</v>
      </c>
      <c r="E658">
        <v>158.44999999999999</v>
      </c>
      <c r="F658">
        <v>698030.65089000005</v>
      </c>
      <c r="G658">
        <v>0</v>
      </c>
      <c r="L658" t="s">
        <v>7</v>
      </c>
      <c r="M658" t="s">
        <v>8</v>
      </c>
      <c r="N658" t="s">
        <v>8</v>
      </c>
      <c r="P658">
        <f t="shared" si="994"/>
        <v>-2.7190332326285E-2</v>
      </c>
      <c r="Q658">
        <f t="shared" si="995"/>
        <v>-18979.685371632127</v>
      </c>
      <c r="R658">
        <f t="shared" si="996"/>
        <v>9102305.835976867</v>
      </c>
      <c r="S658">
        <f t="shared" si="997"/>
        <v>91.023058359768669</v>
      </c>
      <c r="T658">
        <f t="shared" si="998"/>
        <v>9.1023058359768663E-2</v>
      </c>
    </row>
    <row r="659" spans="1:20" x14ac:dyDescent="0.25">
      <c r="A659" s="5">
        <v>43934</v>
      </c>
      <c r="B659">
        <v>158.56</v>
      </c>
      <c r="C659">
        <v>158.97</v>
      </c>
      <c r="D659">
        <v>150</v>
      </c>
      <c r="E659">
        <v>156.29</v>
      </c>
      <c r="F659">
        <v>1042091.03622</v>
      </c>
      <c r="G659">
        <v>0</v>
      </c>
      <c r="L659" t="s">
        <v>7</v>
      </c>
      <c r="M659" t="s">
        <v>8</v>
      </c>
      <c r="N659" t="s">
        <v>8</v>
      </c>
      <c r="P659">
        <f t="shared" si="994"/>
        <v>0.40245261984392261</v>
      </c>
      <c r="Q659">
        <f t="shared" si="995"/>
        <v>419392.26764260704</v>
      </c>
      <c r="R659">
        <f t="shared" si="996"/>
        <v>9121285.5213484988</v>
      </c>
      <c r="S659">
        <f t="shared" si="997"/>
        <v>91.212855213484985</v>
      </c>
      <c r="T659">
        <f t="shared" si="998"/>
        <v>9.1212855213484989E-2</v>
      </c>
    </row>
    <row r="660" spans="1:20" x14ac:dyDescent="0.25">
      <c r="A660" s="5">
        <v>43933</v>
      </c>
      <c r="B660">
        <v>158.33000000000001</v>
      </c>
      <c r="C660">
        <v>164.78</v>
      </c>
      <c r="D660">
        <v>155</v>
      </c>
      <c r="E660">
        <v>158.59</v>
      </c>
      <c r="F660">
        <v>809100.24594000005</v>
      </c>
      <c r="G660">
        <v>0</v>
      </c>
      <c r="L660" t="s">
        <v>8</v>
      </c>
      <c r="M660" t="s">
        <v>8</v>
      </c>
      <c r="N660" t="s">
        <v>8</v>
      </c>
      <c r="P660">
        <f t="shared" si="994"/>
        <v>-0.26584867075664559</v>
      </c>
      <c r="Q660">
        <f t="shared" si="995"/>
        <v>-215098.22489202404</v>
      </c>
      <c r="R660">
        <f t="shared" si="996"/>
        <v>8701893.2537058908</v>
      </c>
      <c r="S660">
        <f t="shared" si="997"/>
        <v>87.018932537058902</v>
      </c>
      <c r="T660">
        <f t="shared" si="998"/>
        <v>8.7018932537058905E-2</v>
      </c>
    </row>
    <row r="661" spans="1:20" x14ac:dyDescent="0.25">
      <c r="A661" s="5">
        <v>43932</v>
      </c>
      <c r="B661">
        <v>157.81</v>
      </c>
      <c r="C661">
        <v>161.37</v>
      </c>
      <c r="D661">
        <v>153.91</v>
      </c>
      <c r="E661">
        <v>158.33000000000001</v>
      </c>
      <c r="F661">
        <v>621599.61288999999</v>
      </c>
      <c r="G661">
        <v>0</v>
      </c>
      <c r="L661" t="s">
        <v>7</v>
      </c>
      <c r="M661" t="s">
        <v>8</v>
      </c>
      <c r="N661" t="s">
        <v>8</v>
      </c>
      <c r="P661">
        <f t="shared" si="994"/>
        <v>0.18498659517426574</v>
      </c>
      <c r="Q661">
        <f t="shared" si="995"/>
        <v>114987.59595016272</v>
      </c>
      <c r="R661">
        <f t="shared" si="996"/>
        <v>8916991.4785979148</v>
      </c>
      <c r="S661">
        <f t="shared" si="997"/>
        <v>89.169914785979145</v>
      </c>
      <c r="T661">
        <f t="shared" si="998"/>
        <v>8.9169914785979146E-2</v>
      </c>
    </row>
    <row r="662" spans="1:20" x14ac:dyDescent="0.25">
      <c r="A662" s="5">
        <v>43931</v>
      </c>
      <c r="B662">
        <v>169.56</v>
      </c>
      <c r="C662">
        <v>170.1</v>
      </c>
      <c r="D662">
        <v>152.11000000000001</v>
      </c>
      <c r="E662">
        <v>157.81</v>
      </c>
      <c r="F662">
        <v>1314841.362</v>
      </c>
      <c r="G662">
        <v>0</v>
      </c>
      <c r="L662" t="s">
        <v>7</v>
      </c>
      <c r="M662" t="s">
        <v>8</v>
      </c>
      <c r="N662" t="s">
        <v>8</v>
      </c>
      <c r="P662">
        <f t="shared" si="994"/>
        <v>-0.36631461923290776</v>
      </c>
      <c r="Q662">
        <f t="shared" si="995"/>
        <v>-481645.61287270783</v>
      </c>
      <c r="R662">
        <f t="shared" si="996"/>
        <v>8802003.8826477528</v>
      </c>
      <c r="S662">
        <f t="shared" si="997"/>
        <v>88.020038826477531</v>
      </c>
      <c r="T662">
        <f t="shared" si="998"/>
        <v>8.8020038826477534E-2</v>
      </c>
    </row>
    <row r="663" spans="1:20" x14ac:dyDescent="0.25">
      <c r="A663" s="5">
        <v>43930</v>
      </c>
      <c r="B663">
        <v>173.15</v>
      </c>
      <c r="C663">
        <v>173.38</v>
      </c>
      <c r="D663">
        <v>165.19</v>
      </c>
      <c r="E663">
        <v>169.52</v>
      </c>
      <c r="F663">
        <v>719837.24422999995</v>
      </c>
      <c r="G663">
        <v>0</v>
      </c>
      <c r="L663" t="s">
        <v>7</v>
      </c>
      <c r="M663" t="s">
        <v>8</v>
      </c>
      <c r="N663" t="s">
        <v>8</v>
      </c>
      <c r="P663">
        <f t="shared" si="994"/>
        <v>5.7387057387060736E-2</v>
      </c>
      <c r="Q663">
        <f t="shared" si="995"/>
        <v>41309.341243970659</v>
      </c>
      <c r="R663">
        <f t="shared" si="996"/>
        <v>9283649.4955204614</v>
      </c>
      <c r="S663">
        <f t="shared" si="997"/>
        <v>92.836494955204614</v>
      </c>
      <c r="T663">
        <f t="shared" si="998"/>
        <v>9.2836494955204615E-2</v>
      </c>
    </row>
    <row r="664" spans="1:20" x14ac:dyDescent="0.25">
      <c r="A664" s="5">
        <v>43929</v>
      </c>
      <c r="B664">
        <v>164.62</v>
      </c>
      <c r="C664">
        <v>174.48</v>
      </c>
      <c r="D664">
        <v>163.59</v>
      </c>
      <c r="E664">
        <v>173.11</v>
      </c>
      <c r="F664">
        <v>1023575.92076</v>
      </c>
      <c r="G664">
        <v>0</v>
      </c>
      <c r="L664" t="s">
        <v>7</v>
      </c>
      <c r="M664" t="s">
        <v>8</v>
      </c>
      <c r="N664" t="s">
        <v>8</v>
      </c>
      <c r="P664">
        <f t="shared" si="994"/>
        <v>0.74839302112029793</v>
      </c>
      <c r="Q664">
        <f t="shared" si="995"/>
        <v>766037.07568356709</v>
      </c>
      <c r="R664">
        <f t="shared" si="996"/>
        <v>9242340.1542764902</v>
      </c>
      <c r="S664">
        <f t="shared" si="997"/>
        <v>92.423401542764907</v>
      </c>
      <c r="T664">
        <f t="shared" si="998"/>
        <v>9.2423401542764905E-2</v>
      </c>
    </row>
    <row r="665" spans="1:20" x14ac:dyDescent="0.25">
      <c r="A665" s="5">
        <v>43928</v>
      </c>
      <c r="B665">
        <v>171.32</v>
      </c>
      <c r="C665">
        <v>176.22</v>
      </c>
      <c r="D665">
        <v>162.22</v>
      </c>
      <c r="E665">
        <v>164.63</v>
      </c>
      <c r="F665">
        <v>1717962.8253800001</v>
      </c>
      <c r="G665">
        <v>0</v>
      </c>
      <c r="L665" t="s">
        <v>8</v>
      </c>
      <c r="M665" t="s">
        <v>8</v>
      </c>
      <c r="N665" t="s">
        <v>8</v>
      </c>
      <c r="P665">
        <f t="shared" si="994"/>
        <v>-0.65571428571428625</v>
      </c>
      <c r="Q665">
        <f t="shared" si="995"/>
        <v>-1126492.7669277438</v>
      </c>
      <c r="R665">
        <f t="shared" si="996"/>
        <v>8476303.0785929225</v>
      </c>
      <c r="S665">
        <f t="shared" si="997"/>
        <v>84.763030785929232</v>
      </c>
      <c r="T665">
        <f t="shared" si="998"/>
        <v>8.4763030785929228E-2</v>
      </c>
    </row>
    <row r="666" spans="1:20" x14ac:dyDescent="0.25">
      <c r="A666" s="5">
        <v>43927</v>
      </c>
      <c r="B666">
        <v>142.69</v>
      </c>
      <c r="C666">
        <v>172</v>
      </c>
      <c r="D666">
        <v>142.6</v>
      </c>
      <c r="E666">
        <v>171.32</v>
      </c>
      <c r="F666">
        <v>1636338.7311</v>
      </c>
      <c r="G666">
        <v>0</v>
      </c>
      <c r="L666" t="s">
        <v>8</v>
      </c>
      <c r="M666" t="s">
        <v>8</v>
      </c>
      <c r="N666" t="s">
        <v>8</v>
      </c>
      <c r="P666">
        <f t="shared" si="994"/>
        <v>0.95374149659863905</v>
      </c>
      <c r="Q666">
        <f t="shared" si="995"/>
        <v>1560644.1503416321</v>
      </c>
      <c r="R666">
        <f t="shared" si="996"/>
        <v>9602795.8455206659</v>
      </c>
      <c r="S666">
        <f t="shared" si="997"/>
        <v>96.027958455206658</v>
      </c>
      <c r="T666">
        <f t="shared" si="998"/>
        <v>9.6027958455206661E-2</v>
      </c>
    </row>
    <row r="667" spans="1:20" x14ac:dyDescent="0.25">
      <c r="A667" s="5">
        <v>43926</v>
      </c>
      <c r="B667">
        <v>144.1</v>
      </c>
      <c r="C667">
        <v>145.58000000000001</v>
      </c>
      <c r="D667">
        <v>140.68</v>
      </c>
      <c r="E667">
        <v>142.68</v>
      </c>
      <c r="F667">
        <v>414987.45246</v>
      </c>
      <c r="G667">
        <v>0</v>
      </c>
      <c r="L667" t="s">
        <v>7</v>
      </c>
      <c r="M667" t="s">
        <v>8</v>
      </c>
      <c r="N667" t="s">
        <v>8</v>
      </c>
      <c r="P667">
        <f t="shared" si="994"/>
        <v>-0.18367346938775606</v>
      </c>
      <c r="Q667">
        <f t="shared" si="995"/>
        <v>-76222.185145714684</v>
      </c>
      <c r="R667">
        <f t="shared" si="996"/>
        <v>8042151.695179034</v>
      </c>
      <c r="S667">
        <f t="shared" si="997"/>
        <v>80.421516951790338</v>
      </c>
      <c r="T667">
        <f t="shared" si="998"/>
        <v>8.0421516951790339E-2</v>
      </c>
    </row>
    <row r="668" spans="1:20" x14ac:dyDescent="0.25">
      <c r="A668" s="5">
        <v>43925</v>
      </c>
      <c r="B668">
        <v>141.30000000000001</v>
      </c>
      <c r="C668">
        <v>146.28</v>
      </c>
      <c r="D668">
        <v>138.88</v>
      </c>
      <c r="E668">
        <v>144.1</v>
      </c>
      <c r="F668">
        <v>573508.14086000004</v>
      </c>
      <c r="G668">
        <v>0</v>
      </c>
      <c r="L668" t="s">
        <v>7</v>
      </c>
      <c r="M668" t="s">
        <v>8</v>
      </c>
      <c r="N668" t="s">
        <v>8</v>
      </c>
      <c r="P668">
        <f t="shared" si="994"/>
        <v>0.41081081081080945</v>
      </c>
      <c r="Q668">
        <f t="shared" si="995"/>
        <v>235603.34435329653</v>
      </c>
      <c r="R668">
        <f t="shared" si="996"/>
        <v>8118373.8803247483</v>
      </c>
      <c r="S668">
        <f t="shared" si="997"/>
        <v>81.183738803247479</v>
      </c>
      <c r="T668">
        <f t="shared" si="998"/>
        <v>8.1183738803247474E-2</v>
      </c>
    </row>
    <row r="669" spans="1:20" x14ac:dyDescent="0.25">
      <c r="A669" s="5">
        <v>43924</v>
      </c>
      <c r="B669">
        <v>141.27000000000001</v>
      </c>
      <c r="C669">
        <v>146.72</v>
      </c>
      <c r="D669">
        <v>137.26</v>
      </c>
      <c r="E669">
        <v>141.31</v>
      </c>
      <c r="F669">
        <v>797546.11445999995</v>
      </c>
      <c r="G669">
        <v>0</v>
      </c>
      <c r="L669" t="s">
        <v>7</v>
      </c>
      <c r="M669" t="s">
        <v>8</v>
      </c>
      <c r="N669" t="s">
        <v>8</v>
      </c>
      <c r="P669">
        <f t="shared" si="994"/>
        <v>-0.14376321353065372</v>
      </c>
      <c r="Q669">
        <f t="shared" si="995"/>
        <v>-114657.79235365616</v>
      </c>
      <c r="R669">
        <f t="shared" si="996"/>
        <v>7882770.5359714516</v>
      </c>
      <c r="S669">
        <f t="shared" si="997"/>
        <v>78.827705359714514</v>
      </c>
      <c r="T669">
        <f t="shared" si="998"/>
        <v>7.882770535971452E-2</v>
      </c>
    </row>
    <row r="670" spans="1:20" x14ac:dyDescent="0.25">
      <c r="A670" s="5">
        <v>43923</v>
      </c>
      <c r="B670">
        <v>135.65</v>
      </c>
      <c r="C670">
        <v>149.76</v>
      </c>
      <c r="D670">
        <v>135.01</v>
      </c>
      <c r="E670">
        <v>141.28</v>
      </c>
      <c r="F670">
        <v>1138977.66114</v>
      </c>
      <c r="G670">
        <v>0</v>
      </c>
      <c r="L670" t="s">
        <v>8</v>
      </c>
      <c r="M670" t="s">
        <v>8</v>
      </c>
      <c r="N670" t="s">
        <v>8</v>
      </c>
      <c r="P670">
        <f t="shared" si="994"/>
        <v>-0.14983050847457488</v>
      </c>
      <c r="Q670">
        <f t="shared" si="995"/>
        <v>-170653.60210978825</v>
      </c>
      <c r="R670">
        <f t="shared" si="996"/>
        <v>7997428.3283251077</v>
      </c>
      <c r="S670">
        <f t="shared" si="997"/>
        <v>79.974283283251083</v>
      </c>
      <c r="T670">
        <f t="shared" si="998"/>
        <v>7.9974283283251082E-2</v>
      </c>
    </row>
    <row r="671" spans="1:20" x14ac:dyDescent="0.25">
      <c r="A671" s="5">
        <v>43922</v>
      </c>
      <c r="B671">
        <v>132.72</v>
      </c>
      <c r="C671">
        <v>136.99</v>
      </c>
      <c r="D671">
        <v>128.62</v>
      </c>
      <c r="E671">
        <v>135.69</v>
      </c>
      <c r="F671">
        <v>680922.24746999994</v>
      </c>
      <c r="G671">
        <v>0</v>
      </c>
      <c r="L671" t="s">
        <v>8</v>
      </c>
      <c r="M671" t="s">
        <v>7</v>
      </c>
      <c r="N671" t="s">
        <v>8</v>
      </c>
      <c r="P671">
        <f t="shared" si="994"/>
        <v>0.68936678614097713</v>
      </c>
      <c r="Q671">
        <f t="shared" si="995"/>
        <v>469405.18135028495</v>
      </c>
      <c r="R671">
        <f t="shared" si="996"/>
        <v>8168081.9304348957</v>
      </c>
      <c r="S671">
        <f t="shared" si="997"/>
        <v>81.680819304348958</v>
      </c>
      <c r="T671">
        <f t="shared" si="998"/>
        <v>8.1680819304348964E-2</v>
      </c>
    </row>
    <row r="672" spans="1:20" x14ac:dyDescent="0.25">
      <c r="A672" s="5">
        <v>43921</v>
      </c>
      <c r="B672">
        <v>132.09</v>
      </c>
      <c r="C672">
        <v>135</v>
      </c>
      <c r="D672">
        <v>130.38</v>
      </c>
      <c r="E672">
        <v>132.72</v>
      </c>
      <c r="F672">
        <v>547669.27789000003</v>
      </c>
      <c r="G672">
        <v>0</v>
      </c>
      <c r="L672" t="s">
        <v>8</v>
      </c>
      <c r="M672" t="s">
        <v>7</v>
      </c>
      <c r="N672" t="s">
        <v>8</v>
      </c>
      <c r="P672">
        <f t="shared" si="994"/>
        <v>1.2987012987013467E-2</v>
      </c>
      <c r="Q672">
        <f t="shared" si="995"/>
        <v>7112.5880245457174</v>
      </c>
      <c r="R672">
        <f t="shared" si="996"/>
        <v>7698676.7490846105</v>
      </c>
      <c r="S672">
        <f t="shared" si="997"/>
        <v>76.986767490846105</v>
      </c>
      <c r="T672">
        <f t="shared" si="998"/>
        <v>7.6986767490846111E-2</v>
      </c>
    </row>
    <row r="673" spans="1:20" x14ac:dyDescent="0.25">
      <c r="A673" s="5">
        <v>43920</v>
      </c>
      <c r="B673">
        <v>124.47</v>
      </c>
      <c r="C673">
        <v>135.41999999999999</v>
      </c>
      <c r="D673">
        <v>124.06</v>
      </c>
      <c r="E673">
        <v>132.06</v>
      </c>
      <c r="F673">
        <v>764831.92747</v>
      </c>
      <c r="G673">
        <v>0</v>
      </c>
      <c r="L673" t="s">
        <v>8</v>
      </c>
      <c r="M673" t="s">
        <v>7</v>
      </c>
      <c r="N673" t="s">
        <v>8</v>
      </c>
      <c r="P673">
        <f t="shared" si="994"/>
        <v>0.40845070422535396</v>
      </c>
      <c r="Q673">
        <f t="shared" si="995"/>
        <v>312396.13938915636</v>
      </c>
      <c r="R673">
        <f t="shared" si="996"/>
        <v>7691564.161060065</v>
      </c>
      <c r="S673">
        <f t="shared" si="997"/>
        <v>76.915641610600645</v>
      </c>
      <c r="T673">
        <f t="shared" si="998"/>
        <v>7.6915641610600646E-2</v>
      </c>
    </row>
    <row r="674" spans="1:20" x14ac:dyDescent="0.25">
      <c r="A674" s="5">
        <v>43919</v>
      </c>
      <c r="B674">
        <v>130.94</v>
      </c>
      <c r="C674">
        <v>131.84</v>
      </c>
      <c r="D674">
        <v>123.81</v>
      </c>
      <c r="E674">
        <v>124.5</v>
      </c>
      <c r="F674">
        <v>543997</v>
      </c>
      <c r="G674">
        <v>0</v>
      </c>
      <c r="L674" t="s">
        <v>7</v>
      </c>
      <c r="M674" t="s">
        <v>7</v>
      </c>
      <c r="N674" t="s">
        <v>8</v>
      </c>
      <c r="P674">
        <f t="shared" si="994"/>
        <v>-0.82814445828144523</v>
      </c>
      <c r="Q674">
        <f t="shared" si="995"/>
        <v>-450508.10087173135</v>
      </c>
      <c r="R674">
        <f t="shared" si="996"/>
        <v>7379168.0216709087</v>
      </c>
      <c r="S674">
        <f t="shared" si="997"/>
        <v>73.791680216709082</v>
      </c>
      <c r="T674">
        <f t="shared" si="998"/>
        <v>7.379168021670908E-2</v>
      </c>
    </row>
    <row r="675" spans="1:20" x14ac:dyDescent="0.25">
      <c r="A675" s="5">
        <v>43918</v>
      </c>
      <c r="B675">
        <v>131.33000000000001</v>
      </c>
      <c r="C675">
        <v>132.97</v>
      </c>
      <c r="D675">
        <v>124.88</v>
      </c>
      <c r="E675">
        <v>130.97999999999999</v>
      </c>
      <c r="F675">
        <v>896032.10594000004</v>
      </c>
      <c r="G675">
        <v>0</v>
      </c>
      <c r="L675" t="s">
        <v>7</v>
      </c>
      <c r="M675" t="s">
        <v>7</v>
      </c>
      <c r="N675" t="s">
        <v>8</v>
      </c>
      <c r="P675">
        <f t="shared" si="994"/>
        <v>0.50803461063040589</v>
      </c>
      <c r="Q675">
        <f t="shared" si="995"/>
        <v>455215.32205357053</v>
      </c>
      <c r="R675">
        <f t="shared" si="996"/>
        <v>7829676.1225426402</v>
      </c>
      <c r="S675">
        <f t="shared" si="997"/>
        <v>78.296761225426408</v>
      </c>
      <c r="T675">
        <f t="shared" si="998"/>
        <v>7.8296761225426406E-2</v>
      </c>
    </row>
    <row r="676" spans="1:20" x14ac:dyDescent="0.25">
      <c r="A676" s="5">
        <v>43917</v>
      </c>
      <c r="B676">
        <v>138.4</v>
      </c>
      <c r="C676">
        <v>141.27000000000001</v>
      </c>
      <c r="D676">
        <v>129.68</v>
      </c>
      <c r="E676">
        <v>131.33000000000001</v>
      </c>
      <c r="F676">
        <v>706948.54558999999</v>
      </c>
      <c r="G676">
        <v>0</v>
      </c>
      <c r="L676" t="s">
        <v>7</v>
      </c>
      <c r="M676" t="s">
        <v>7</v>
      </c>
      <c r="N676" t="s">
        <v>8</v>
      </c>
      <c r="P676">
        <f t="shared" si="994"/>
        <v>-0.71527178602243224</v>
      </c>
      <c r="Q676">
        <f t="shared" si="995"/>
        <v>-505660.34883012017</v>
      </c>
      <c r="R676">
        <f t="shared" si="996"/>
        <v>7374460.8004890699</v>
      </c>
      <c r="S676">
        <f t="shared" si="997"/>
        <v>73.744608004890694</v>
      </c>
      <c r="T676">
        <f t="shared" si="998"/>
        <v>7.3744608004890688E-2</v>
      </c>
    </row>
    <row r="677" spans="1:20" x14ac:dyDescent="0.25">
      <c r="A677" s="5">
        <v>43916</v>
      </c>
      <c r="B677">
        <v>136.11000000000001</v>
      </c>
      <c r="C677">
        <v>139.74</v>
      </c>
      <c r="D677">
        <v>133.26</v>
      </c>
      <c r="E677">
        <v>138.4</v>
      </c>
      <c r="F677">
        <v>751060.63101999997</v>
      </c>
      <c r="G677">
        <v>0</v>
      </c>
      <c r="L677" t="s">
        <v>7</v>
      </c>
      <c r="M677" t="s">
        <v>7</v>
      </c>
      <c r="N677" t="s">
        <v>8</v>
      </c>
      <c r="P677">
        <f t="shared" si="994"/>
        <v>0.58641975308641991</v>
      </c>
      <c r="Q677">
        <f t="shared" si="995"/>
        <v>440436.7897956791</v>
      </c>
      <c r="R677">
        <f t="shared" si="996"/>
        <v>7880121.1493191905</v>
      </c>
      <c r="S677">
        <f t="shared" si="997"/>
        <v>78.8012114931919</v>
      </c>
      <c r="T677">
        <f t="shared" si="998"/>
        <v>7.88012114931919E-2</v>
      </c>
    </row>
    <row r="678" spans="1:20" x14ac:dyDescent="0.25">
      <c r="A678" s="5">
        <v>43915</v>
      </c>
      <c r="B678">
        <v>138.41999999999999</v>
      </c>
      <c r="C678">
        <v>142.33000000000001</v>
      </c>
      <c r="D678">
        <v>132.54</v>
      </c>
      <c r="E678">
        <v>136.1</v>
      </c>
      <c r="F678">
        <v>1034248.74369</v>
      </c>
      <c r="G678">
        <v>0</v>
      </c>
      <c r="L678" t="s">
        <v>7</v>
      </c>
      <c r="M678" t="s">
        <v>7</v>
      </c>
      <c r="N678" t="s">
        <v>8</v>
      </c>
      <c r="P678">
        <f t="shared" si="994"/>
        <v>-0.27272727272727376</v>
      </c>
      <c r="Q678">
        <f t="shared" si="995"/>
        <v>-282067.8391881829</v>
      </c>
      <c r="R678">
        <f t="shared" si="996"/>
        <v>7439684.3595235115</v>
      </c>
      <c r="S678">
        <f t="shared" si="997"/>
        <v>74.396843595235111</v>
      </c>
      <c r="T678">
        <f t="shared" si="998"/>
        <v>7.4396843595235115E-2</v>
      </c>
    </row>
    <row r="679" spans="1:20" x14ac:dyDescent="0.25">
      <c r="A679" s="5">
        <v>43914</v>
      </c>
      <c r="B679">
        <v>135.88999999999999</v>
      </c>
      <c r="C679">
        <v>143.36000000000001</v>
      </c>
      <c r="D679">
        <v>132.19999999999999</v>
      </c>
      <c r="E679">
        <v>138.41999999999999</v>
      </c>
      <c r="F679">
        <v>1244377.16334</v>
      </c>
      <c r="G679">
        <v>0</v>
      </c>
      <c r="L679" t="s">
        <v>8</v>
      </c>
      <c r="M679" t="s">
        <v>7</v>
      </c>
      <c r="N679" t="s">
        <v>8</v>
      </c>
      <c r="P679">
        <f t="shared" si="994"/>
        <v>0.11469534050178941</v>
      </c>
      <c r="Q679">
        <f t="shared" si="995"/>
        <v>142724.26246193211</v>
      </c>
      <c r="R679">
        <f t="shared" si="996"/>
        <v>7721752.1987116942</v>
      </c>
      <c r="S679">
        <f t="shared" si="997"/>
        <v>77.217521987116939</v>
      </c>
      <c r="T679">
        <f t="shared" si="998"/>
        <v>7.7217521987116941E-2</v>
      </c>
    </row>
    <row r="680" spans="1:20" x14ac:dyDescent="0.25">
      <c r="A680" s="5">
        <v>43913</v>
      </c>
      <c r="B680">
        <v>122.31</v>
      </c>
      <c r="C680">
        <v>137.5</v>
      </c>
      <c r="D680">
        <v>119.5</v>
      </c>
      <c r="E680">
        <v>135.91999999999999</v>
      </c>
      <c r="F680">
        <v>1436796.1244900001</v>
      </c>
      <c r="G680">
        <v>0</v>
      </c>
      <c r="L680" t="s">
        <v>7</v>
      </c>
      <c r="M680" t="s">
        <v>7</v>
      </c>
      <c r="N680" t="s">
        <v>8</v>
      </c>
      <c r="P680">
        <f t="shared" si="994"/>
        <v>0.82444444444444309</v>
      </c>
      <c r="Q680">
        <f t="shared" si="995"/>
        <v>1184558.582635087</v>
      </c>
      <c r="R680">
        <f t="shared" si="996"/>
        <v>7579027.9362497618</v>
      </c>
      <c r="S680">
        <f t="shared" si="997"/>
        <v>75.790279362497614</v>
      </c>
      <c r="T680">
        <f t="shared" si="998"/>
        <v>7.5790279362497617E-2</v>
      </c>
    </row>
    <row r="681" spans="1:20" x14ac:dyDescent="0.25">
      <c r="A681" s="5">
        <v>43912</v>
      </c>
      <c r="B681">
        <v>132.63</v>
      </c>
      <c r="C681">
        <v>137.13</v>
      </c>
      <c r="D681">
        <v>121.1</v>
      </c>
      <c r="E681">
        <v>122.32</v>
      </c>
      <c r="F681">
        <v>1055699.8653200001</v>
      </c>
      <c r="G681">
        <v>0</v>
      </c>
      <c r="L681" t="s">
        <v>7</v>
      </c>
      <c r="M681" t="s">
        <v>7</v>
      </c>
      <c r="N681" t="s">
        <v>8</v>
      </c>
      <c r="P681">
        <f t="shared" si="994"/>
        <v>-0.84778540237055533</v>
      </c>
      <c r="Q681">
        <f t="shared" si="995"/>
        <v>-895006.9351028573</v>
      </c>
      <c r="R681">
        <f t="shared" si="996"/>
        <v>6394469.3536146749</v>
      </c>
      <c r="S681">
        <f t="shared" si="997"/>
        <v>63.944693536146751</v>
      </c>
      <c r="T681">
        <f t="shared" si="998"/>
        <v>6.3944693536146749E-2</v>
      </c>
    </row>
    <row r="682" spans="1:20" x14ac:dyDescent="0.25">
      <c r="A682" s="5">
        <v>43911</v>
      </c>
      <c r="B682">
        <v>133.49</v>
      </c>
      <c r="C682">
        <v>137.49</v>
      </c>
      <c r="D682">
        <v>125.69</v>
      </c>
      <c r="E682">
        <v>132.66</v>
      </c>
      <c r="F682">
        <v>1231842.11121</v>
      </c>
      <c r="G682">
        <v>0</v>
      </c>
      <c r="L682" t="s">
        <v>7</v>
      </c>
      <c r="M682" t="s">
        <v>7</v>
      </c>
      <c r="N682" t="s">
        <v>8</v>
      </c>
      <c r="P682">
        <f t="shared" si="994"/>
        <v>0.1813559322033885</v>
      </c>
      <c r="Q682">
        <f t="shared" si="995"/>
        <v>223401.8744058797</v>
      </c>
      <c r="R682">
        <f t="shared" si="996"/>
        <v>7289476.2887175325</v>
      </c>
      <c r="S682">
        <f t="shared" si="997"/>
        <v>72.894762887175332</v>
      </c>
      <c r="T682">
        <f t="shared" si="998"/>
        <v>7.2894762887175335E-2</v>
      </c>
    </row>
    <row r="683" spans="1:20" x14ac:dyDescent="0.25">
      <c r="A683" s="5">
        <v>43910</v>
      </c>
      <c r="B683">
        <v>136.30000000000001</v>
      </c>
      <c r="C683">
        <v>152.55000000000001</v>
      </c>
      <c r="D683">
        <v>116.74</v>
      </c>
      <c r="E683">
        <v>133.47999999999999</v>
      </c>
      <c r="F683">
        <v>2504057.6379900002</v>
      </c>
      <c r="G683">
        <v>0</v>
      </c>
      <c r="L683" t="s">
        <v>8</v>
      </c>
      <c r="M683" t="s">
        <v>8</v>
      </c>
      <c r="N683" t="s">
        <v>8</v>
      </c>
      <c r="P683">
        <f t="shared" si="994"/>
        <v>-6.5065624127339447E-2</v>
      </c>
      <c r="Q683">
        <f t="shared" si="995"/>
        <v>-162928.07306665077</v>
      </c>
      <c r="R683">
        <f t="shared" si="996"/>
        <v>7066074.414311653</v>
      </c>
      <c r="S683">
        <f t="shared" si="997"/>
        <v>70.660744143116531</v>
      </c>
      <c r="T683">
        <f t="shared" si="998"/>
        <v>7.066074414311653E-2</v>
      </c>
    </row>
    <row r="684" spans="1:20" x14ac:dyDescent="0.25">
      <c r="A684" s="5">
        <v>43909</v>
      </c>
      <c r="B684">
        <v>118.11</v>
      </c>
      <c r="C684">
        <v>143.13</v>
      </c>
      <c r="D684">
        <v>115.46</v>
      </c>
      <c r="E684">
        <v>136.30000000000001</v>
      </c>
      <c r="F684">
        <v>1801071.1881599999</v>
      </c>
      <c r="G684">
        <v>0</v>
      </c>
      <c r="L684" t="s">
        <v>8</v>
      </c>
      <c r="M684" t="s">
        <v>8</v>
      </c>
      <c r="N684" t="s">
        <v>8</v>
      </c>
      <c r="P684">
        <f t="shared" si="994"/>
        <v>0.50632453921214426</v>
      </c>
      <c r="Q684">
        <f t="shared" si="995"/>
        <v>911926.53943338117</v>
      </c>
      <c r="R684">
        <f t="shared" si="996"/>
        <v>7229002.4873783039</v>
      </c>
      <c r="S684">
        <f t="shared" si="997"/>
        <v>72.29002487378304</v>
      </c>
      <c r="T684">
        <f t="shared" si="998"/>
        <v>7.229002487378304E-2</v>
      </c>
    </row>
    <row r="685" spans="1:20" x14ac:dyDescent="0.25">
      <c r="A685" s="5">
        <v>43908</v>
      </c>
      <c r="B685">
        <v>115.67</v>
      </c>
      <c r="C685">
        <v>118.5</v>
      </c>
      <c r="D685">
        <v>109.86</v>
      </c>
      <c r="E685">
        <v>118.11</v>
      </c>
      <c r="F685">
        <v>1201850.31275</v>
      </c>
      <c r="G685">
        <v>0</v>
      </c>
      <c r="L685" t="s">
        <v>7</v>
      </c>
      <c r="M685" t="s">
        <v>8</v>
      </c>
      <c r="N685" t="s">
        <v>8</v>
      </c>
      <c r="P685">
        <f t="shared" si="994"/>
        <v>0.9097222222222221</v>
      </c>
      <c r="Q685">
        <f t="shared" si="995"/>
        <v>1093349.9372934026</v>
      </c>
      <c r="R685">
        <f t="shared" si="996"/>
        <v>6317075.9479449224</v>
      </c>
      <c r="S685">
        <f t="shared" si="997"/>
        <v>63.170759479449224</v>
      </c>
      <c r="T685">
        <f t="shared" si="998"/>
        <v>6.3170759479449223E-2</v>
      </c>
    </row>
    <row r="686" spans="1:20" x14ac:dyDescent="0.25">
      <c r="A686" s="5">
        <v>43907</v>
      </c>
      <c r="B686">
        <v>111.02</v>
      </c>
      <c r="C686">
        <v>120.8</v>
      </c>
      <c r="D686">
        <v>109.38</v>
      </c>
      <c r="E686">
        <v>115.67</v>
      </c>
      <c r="F686">
        <v>1295108.4848</v>
      </c>
      <c r="G686">
        <v>0</v>
      </c>
      <c r="L686" t="s">
        <v>8</v>
      </c>
      <c r="M686" t="s">
        <v>8</v>
      </c>
      <c r="N686" t="s">
        <v>8</v>
      </c>
      <c r="P686">
        <f t="shared" si="994"/>
        <v>0.10157618213660338</v>
      </c>
      <c r="Q686">
        <f t="shared" si="995"/>
        <v>131552.17533870524</v>
      </c>
      <c r="R686">
        <f t="shared" si="996"/>
        <v>5223726.0106515195</v>
      </c>
      <c r="S686">
        <f t="shared" si="997"/>
        <v>52.237260106515194</v>
      </c>
      <c r="T686">
        <f t="shared" si="998"/>
        <v>5.2237260106515193E-2</v>
      </c>
    </row>
    <row r="687" spans="1:20" x14ac:dyDescent="0.25">
      <c r="A687" s="5">
        <v>43906</v>
      </c>
      <c r="B687">
        <v>123.82</v>
      </c>
      <c r="C687">
        <v>124.33</v>
      </c>
      <c r="D687">
        <v>101.1</v>
      </c>
      <c r="E687">
        <v>111.02</v>
      </c>
      <c r="F687">
        <v>2442064.1444799998</v>
      </c>
      <c r="G687">
        <v>0</v>
      </c>
      <c r="L687" t="s">
        <v>7</v>
      </c>
      <c r="M687" t="s">
        <v>7</v>
      </c>
      <c r="N687" t="s">
        <v>8</v>
      </c>
      <c r="P687">
        <f t="shared" si="994"/>
        <v>-0.1459319845027981</v>
      </c>
      <c r="Q687">
        <f t="shared" si="995"/>
        <v>-356375.26688709424</v>
      </c>
      <c r="R687">
        <f t="shared" si="996"/>
        <v>5092173.8353128145</v>
      </c>
      <c r="S687">
        <f t="shared" si="997"/>
        <v>50.921738353128141</v>
      </c>
      <c r="T687">
        <f t="shared" si="998"/>
        <v>5.0921738353128139E-2</v>
      </c>
    </row>
    <row r="688" spans="1:20" x14ac:dyDescent="0.25">
      <c r="A688" s="5">
        <v>43905</v>
      </c>
      <c r="B688">
        <v>122.54</v>
      </c>
      <c r="C688">
        <v>133.5</v>
      </c>
      <c r="D688">
        <v>120.16</v>
      </c>
      <c r="E688">
        <v>123.78</v>
      </c>
      <c r="F688">
        <v>1312950.9013700001</v>
      </c>
      <c r="G688">
        <v>0</v>
      </c>
      <c r="L688" t="s">
        <v>7</v>
      </c>
      <c r="M688" t="s">
        <v>8</v>
      </c>
      <c r="N688" t="s">
        <v>8</v>
      </c>
      <c r="P688">
        <f t="shared" si="994"/>
        <v>-0.45727136431784055</v>
      </c>
      <c r="Q688">
        <f t="shared" si="995"/>
        <v>-600374.84995179845</v>
      </c>
      <c r="R688">
        <f t="shared" si="996"/>
        <v>5448549.1021999083</v>
      </c>
      <c r="S688">
        <f t="shared" si="997"/>
        <v>54.485491021999081</v>
      </c>
      <c r="T688">
        <f t="shared" si="998"/>
        <v>5.448549102199908E-2</v>
      </c>
    </row>
    <row r="689" spans="1:20" x14ac:dyDescent="0.25">
      <c r="A689" s="5">
        <v>43904</v>
      </c>
      <c r="B689">
        <v>134.06</v>
      </c>
      <c r="C689">
        <v>134.68</v>
      </c>
      <c r="D689">
        <v>120</v>
      </c>
      <c r="E689">
        <v>122.54</v>
      </c>
      <c r="F689">
        <v>1237674.8864200001</v>
      </c>
      <c r="G689">
        <v>0</v>
      </c>
      <c r="L689" t="s">
        <v>8</v>
      </c>
      <c r="M689" t="s">
        <v>8</v>
      </c>
      <c r="N689" t="s">
        <v>8</v>
      </c>
      <c r="P689">
        <f t="shared" si="994"/>
        <v>-0.65395095367847345</v>
      </c>
      <c r="Q689">
        <f t="shared" si="995"/>
        <v>-809378.67231825541</v>
      </c>
      <c r="R689">
        <f t="shared" si="996"/>
        <v>6048923.9521517064</v>
      </c>
      <c r="S689">
        <f t="shared" si="997"/>
        <v>60.489239521517064</v>
      </c>
      <c r="T689">
        <f t="shared" si="998"/>
        <v>6.0489239521517066E-2</v>
      </c>
    </row>
    <row r="690" spans="1:20" x14ac:dyDescent="0.25">
      <c r="A690" s="5">
        <v>43903</v>
      </c>
      <c r="B690">
        <v>107.67</v>
      </c>
      <c r="C690">
        <v>139.68</v>
      </c>
      <c r="D690">
        <v>86</v>
      </c>
      <c r="E690">
        <v>134.06</v>
      </c>
      <c r="F690">
        <v>4663239.9286099998</v>
      </c>
      <c r="G690">
        <v>0</v>
      </c>
      <c r="L690" t="s">
        <v>7</v>
      </c>
      <c r="M690" t="s">
        <v>7</v>
      </c>
      <c r="N690" t="s">
        <v>7</v>
      </c>
      <c r="P690">
        <f t="shared" si="994"/>
        <v>0.79061102831594621</v>
      </c>
      <c r="Q690">
        <f t="shared" si="995"/>
        <v>3686808.9152423316</v>
      </c>
      <c r="R690">
        <f t="shared" si="996"/>
        <v>6858302.624469962</v>
      </c>
      <c r="S690">
        <f t="shared" si="997"/>
        <v>68.583026244699624</v>
      </c>
      <c r="T690">
        <f t="shared" si="998"/>
        <v>6.8583026244699627E-2</v>
      </c>
    </row>
    <row r="691" spans="1:20" x14ac:dyDescent="0.25">
      <c r="A691" s="5">
        <v>43902</v>
      </c>
      <c r="B691">
        <v>194.61</v>
      </c>
      <c r="C691">
        <v>195.55</v>
      </c>
      <c r="D691">
        <v>101.2</v>
      </c>
      <c r="E691">
        <v>107.82</v>
      </c>
      <c r="F691">
        <v>3814533.1404599999</v>
      </c>
      <c r="G691">
        <v>0</v>
      </c>
      <c r="L691" t="s">
        <v>7</v>
      </c>
      <c r="M691" t="s">
        <v>7</v>
      </c>
      <c r="N691" t="s">
        <v>7</v>
      </c>
      <c r="P691">
        <f t="shared" si="994"/>
        <v>-0.85967143614202457</v>
      </c>
      <c r="Q691">
        <f t="shared" si="995"/>
        <v>-3279245.1830705954</v>
      </c>
      <c r="R691">
        <f t="shared" si="996"/>
        <v>3171493.7092276299</v>
      </c>
      <c r="S691">
        <f t="shared" si="997"/>
        <v>31.714937092276298</v>
      </c>
      <c r="T691">
        <f t="shared" si="998"/>
        <v>3.1714937092276296E-2</v>
      </c>
    </row>
    <row r="692" spans="1:20" x14ac:dyDescent="0.25">
      <c r="A692" s="5">
        <v>43901</v>
      </c>
      <c r="B692">
        <v>200.74</v>
      </c>
      <c r="C692">
        <v>203.18</v>
      </c>
      <c r="D692">
        <v>181.73</v>
      </c>
      <c r="E692">
        <v>194.61</v>
      </c>
      <c r="F692">
        <v>1079824.9016700001</v>
      </c>
      <c r="G692">
        <v>0</v>
      </c>
      <c r="L692" t="s">
        <v>7</v>
      </c>
      <c r="M692" t="s">
        <v>7</v>
      </c>
      <c r="N692" t="s">
        <v>7</v>
      </c>
      <c r="P692">
        <f t="shared" si="994"/>
        <v>0.20093240093240219</v>
      </c>
      <c r="Q692">
        <f t="shared" si="995"/>
        <v>216971.81007914821</v>
      </c>
      <c r="R692">
        <f t="shared" si="996"/>
        <v>6450738.8922982253</v>
      </c>
      <c r="S692">
        <f t="shared" si="997"/>
        <v>64.507388922982258</v>
      </c>
      <c r="T692">
        <f t="shared" si="998"/>
        <v>6.4507388922982259E-2</v>
      </c>
    </row>
    <row r="693" spans="1:20" x14ac:dyDescent="0.25">
      <c r="A693" s="5">
        <v>43900</v>
      </c>
      <c r="B693">
        <v>202.79</v>
      </c>
      <c r="C693">
        <v>206.2</v>
      </c>
      <c r="D693">
        <v>195.54</v>
      </c>
      <c r="E693">
        <v>200.7</v>
      </c>
      <c r="F693">
        <v>1020260.107</v>
      </c>
      <c r="G693">
        <v>0</v>
      </c>
      <c r="L693" t="s">
        <v>8</v>
      </c>
      <c r="M693" t="s">
        <v>7</v>
      </c>
      <c r="N693" t="s">
        <v>7</v>
      </c>
      <c r="P693">
        <f t="shared" si="994"/>
        <v>-3.1894934333959055E-2</v>
      </c>
      <c r="Q693">
        <f t="shared" si="995"/>
        <v>-32541.129116323038</v>
      </c>
      <c r="R693">
        <f t="shared" si="996"/>
        <v>6233767.0822190773</v>
      </c>
      <c r="S693">
        <f t="shared" si="997"/>
        <v>62.337670822190773</v>
      </c>
      <c r="T693">
        <f t="shared" si="998"/>
        <v>6.2337670822190772E-2</v>
      </c>
    </row>
    <row r="694" spans="1:20" x14ac:dyDescent="0.25">
      <c r="A694" s="5">
        <v>43899</v>
      </c>
      <c r="B694">
        <v>199.43</v>
      </c>
      <c r="C694">
        <v>208.62</v>
      </c>
      <c r="D694">
        <v>190</v>
      </c>
      <c r="E694">
        <v>202.81</v>
      </c>
      <c r="F694">
        <v>1661331.83553</v>
      </c>
      <c r="G694">
        <v>0</v>
      </c>
      <c r="L694" t="s">
        <v>7</v>
      </c>
      <c r="M694" t="s">
        <v>7</v>
      </c>
      <c r="N694" t="s">
        <v>7</v>
      </c>
      <c r="P694">
        <f t="shared" si="994"/>
        <v>0.37593984962406007</v>
      </c>
      <c r="Q694">
        <f t="shared" si="995"/>
        <v>624560.84042481193</v>
      </c>
      <c r="R694">
        <f t="shared" si="996"/>
        <v>6266308.2113354001</v>
      </c>
      <c r="S694">
        <f t="shared" si="997"/>
        <v>62.663082113354001</v>
      </c>
      <c r="T694">
        <f t="shared" si="998"/>
        <v>6.2663082113354002E-2</v>
      </c>
    </row>
    <row r="695" spans="1:20" x14ac:dyDescent="0.25">
      <c r="A695" s="5">
        <v>43898</v>
      </c>
      <c r="B695">
        <v>237.23</v>
      </c>
      <c r="C695">
        <v>237.23</v>
      </c>
      <c r="D695">
        <v>195.5</v>
      </c>
      <c r="E695">
        <v>199.43</v>
      </c>
      <c r="F695">
        <v>1278973.5374100001</v>
      </c>
      <c r="G695">
        <v>0</v>
      </c>
      <c r="L695" t="s">
        <v>7</v>
      </c>
      <c r="M695" t="s">
        <v>7</v>
      </c>
      <c r="N695" t="s">
        <v>7</v>
      </c>
      <c r="P695">
        <f t="shared" si="994"/>
        <v>-0.81164629762760565</v>
      </c>
      <c r="Q695">
        <f t="shared" si="995"/>
        <v>-1038074.1364025086</v>
      </c>
      <c r="R695">
        <f t="shared" si="996"/>
        <v>5641747.3709105887</v>
      </c>
      <c r="S695">
        <f t="shared" si="997"/>
        <v>56.417473709105884</v>
      </c>
      <c r="T695">
        <f t="shared" si="998"/>
        <v>5.6417473709105888E-2</v>
      </c>
    </row>
    <row r="696" spans="1:20" x14ac:dyDescent="0.25">
      <c r="A696" s="5">
        <v>43897</v>
      </c>
      <c r="B696">
        <v>244.93</v>
      </c>
      <c r="C696">
        <v>251.93</v>
      </c>
      <c r="D696">
        <v>236</v>
      </c>
      <c r="E696">
        <v>237.23</v>
      </c>
      <c r="F696">
        <v>633748.89662000001</v>
      </c>
      <c r="G696">
        <v>0</v>
      </c>
      <c r="L696" t="s">
        <v>8</v>
      </c>
      <c r="M696" t="s">
        <v>8</v>
      </c>
      <c r="N696" t="s">
        <v>8</v>
      </c>
      <c r="P696">
        <f t="shared" si="994"/>
        <v>-0.84557438794727069</v>
      </c>
      <c r="Q696">
        <f t="shared" si="995"/>
        <v>-535881.83537171467</v>
      </c>
      <c r="R696">
        <f t="shared" si="996"/>
        <v>6679821.5073130969</v>
      </c>
      <c r="S696">
        <f t="shared" si="997"/>
        <v>66.798215073130976</v>
      </c>
      <c r="T696">
        <f t="shared" si="998"/>
        <v>6.6798215073130982E-2</v>
      </c>
    </row>
    <row r="697" spans="1:20" x14ac:dyDescent="0.25">
      <c r="A697" s="5">
        <v>43896</v>
      </c>
      <c r="B697">
        <v>228.38</v>
      </c>
      <c r="C697">
        <v>245.16</v>
      </c>
      <c r="D697">
        <v>227.33</v>
      </c>
      <c r="E697">
        <v>244.88</v>
      </c>
      <c r="F697">
        <v>628147.32570000004</v>
      </c>
      <c r="G697">
        <v>0</v>
      </c>
      <c r="L697" t="s">
        <v>8</v>
      </c>
      <c r="M697" t="s">
        <v>7</v>
      </c>
      <c r="N697" t="s">
        <v>8</v>
      </c>
      <c r="P697">
        <f t="shared" si="994"/>
        <v>0.96859226023555789</v>
      </c>
      <c r="Q697">
        <f t="shared" si="995"/>
        <v>608418.63796068414</v>
      </c>
      <c r="R697">
        <f t="shared" si="996"/>
        <v>7215703.3426848119</v>
      </c>
      <c r="S697">
        <f t="shared" si="997"/>
        <v>72.157033426848116</v>
      </c>
      <c r="T697">
        <f t="shared" si="998"/>
        <v>7.2157033426848122E-2</v>
      </c>
    </row>
    <row r="698" spans="1:20" x14ac:dyDescent="0.25">
      <c r="A698" s="5">
        <v>43895</v>
      </c>
      <c r="B698">
        <v>224.26</v>
      </c>
      <c r="C698">
        <v>234.09</v>
      </c>
      <c r="D698">
        <v>224.23</v>
      </c>
      <c r="E698">
        <v>228.38</v>
      </c>
      <c r="F698">
        <v>601479.87586999999</v>
      </c>
      <c r="G698">
        <v>0</v>
      </c>
      <c r="L698" t="s">
        <v>8</v>
      </c>
      <c r="M698" t="s">
        <v>7</v>
      </c>
      <c r="N698" t="s">
        <v>8</v>
      </c>
      <c r="P698">
        <f t="shared" si="994"/>
        <v>-0.15821501014198786</v>
      </c>
      <c r="Q698">
        <f t="shared" si="995"/>
        <v>-95163.144660973645</v>
      </c>
      <c r="R698">
        <f t="shared" si="996"/>
        <v>6607284.7047241274</v>
      </c>
      <c r="S698">
        <f t="shared" si="997"/>
        <v>66.072847047241268</v>
      </c>
      <c r="T698">
        <f t="shared" si="998"/>
        <v>6.607284704724127E-2</v>
      </c>
    </row>
    <row r="699" spans="1:20" x14ac:dyDescent="0.25">
      <c r="A699" s="5">
        <v>43894</v>
      </c>
      <c r="B699">
        <v>223.84</v>
      </c>
      <c r="C699">
        <v>228.85</v>
      </c>
      <c r="D699">
        <v>220.23</v>
      </c>
      <c r="E699">
        <v>224.26</v>
      </c>
      <c r="F699">
        <v>443780.33772000001</v>
      </c>
      <c r="G699">
        <v>0</v>
      </c>
      <c r="L699" t="s">
        <v>8</v>
      </c>
      <c r="M699" t="s">
        <v>7</v>
      </c>
      <c r="N699" t="s">
        <v>8</v>
      </c>
      <c r="P699">
        <f t="shared" si="994"/>
        <v>-6.4965197215777495E-2</v>
      </c>
      <c r="Q699">
        <f t="shared" si="995"/>
        <v>-28830.277160464142</v>
      </c>
      <c r="R699">
        <f t="shared" si="996"/>
        <v>6702447.8493851013</v>
      </c>
      <c r="S699">
        <f t="shared" si="997"/>
        <v>67.024478493851007</v>
      </c>
      <c r="T699">
        <f t="shared" si="998"/>
        <v>6.7024478493851E-2</v>
      </c>
    </row>
    <row r="700" spans="1:20" x14ac:dyDescent="0.25">
      <c r="A700" s="5">
        <v>43893</v>
      </c>
      <c r="B700">
        <v>232.1</v>
      </c>
      <c r="C700">
        <v>232.46</v>
      </c>
      <c r="D700">
        <v>219.57</v>
      </c>
      <c r="E700">
        <v>223.91</v>
      </c>
      <c r="F700">
        <v>741498.54824999999</v>
      </c>
      <c r="G700">
        <v>0</v>
      </c>
      <c r="L700" t="s">
        <v>8</v>
      </c>
      <c r="M700" t="s">
        <v>7</v>
      </c>
      <c r="N700" t="s">
        <v>8</v>
      </c>
      <c r="P700">
        <f t="shared" si="994"/>
        <v>-0.32660977501939514</v>
      </c>
      <c r="Q700">
        <f t="shared" si="995"/>
        <v>-242180.67402114061</v>
      </c>
      <c r="R700">
        <f t="shared" si="996"/>
        <v>6731278.1265455652</v>
      </c>
      <c r="S700">
        <f t="shared" si="997"/>
        <v>67.312781265455655</v>
      </c>
      <c r="T700">
        <f t="shared" si="998"/>
        <v>6.731278126545566E-2</v>
      </c>
    </row>
    <row r="701" spans="1:20" x14ac:dyDescent="0.25">
      <c r="A701" s="5">
        <v>43892</v>
      </c>
      <c r="B701">
        <v>217.81</v>
      </c>
      <c r="C701">
        <v>234.4</v>
      </c>
      <c r="D701">
        <v>216.07</v>
      </c>
      <c r="E701">
        <v>231.97</v>
      </c>
      <c r="F701">
        <v>810051.48329999996</v>
      </c>
      <c r="G701">
        <v>0</v>
      </c>
      <c r="L701" t="s">
        <v>8</v>
      </c>
      <c r="M701" t="s">
        <v>7</v>
      </c>
      <c r="N701" t="s">
        <v>8</v>
      </c>
      <c r="P701">
        <f t="shared" si="994"/>
        <v>0.7348608837970535</v>
      </c>
      <c r="Q701">
        <f t="shared" si="995"/>
        <v>595275.14893895213</v>
      </c>
      <c r="R701">
        <f t="shared" si="996"/>
        <v>6973458.8005667059</v>
      </c>
      <c r="S701">
        <f t="shared" si="997"/>
        <v>69.734588005667064</v>
      </c>
      <c r="T701">
        <f t="shared" si="998"/>
        <v>6.9734588005667064E-2</v>
      </c>
    </row>
    <row r="702" spans="1:20" x14ac:dyDescent="0.25">
      <c r="A702" s="5">
        <v>43891</v>
      </c>
      <c r="B702">
        <v>217.29</v>
      </c>
      <c r="C702">
        <v>227.89</v>
      </c>
      <c r="D702">
        <v>212.36</v>
      </c>
      <c r="E702">
        <v>217.81</v>
      </c>
      <c r="F702">
        <v>715016.01940999995</v>
      </c>
      <c r="G702">
        <v>0</v>
      </c>
      <c r="L702" t="s">
        <v>7</v>
      </c>
      <c r="M702" t="s">
        <v>7</v>
      </c>
      <c r="N702" t="s">
        <v>8</v>
      </c>
      <c r="P702">
        <f t="shared" si="994"/>
        <v>-0.29813264649066346</v>
      </c>
      <c r="Q702">
        <f t="shared" si="995"/>
        <v>-213169.61814992287</v>
      </c>
      <c r="R702">
        <f t="shared" si="996"/>
        <v>6378183.6516277539</v>
      </c>
      <c r="S702">
        <f t="shared" si="997"/>
        <v>63.781836516277536</v>
      </c>
      <c r="T702">
        <f t="shared" si="998"/>
        <v>6.3781836516277543E-2</v>
      </c>
    </row>
    <row r="703" spans="1:20" x14ac:dyDescent="0.25">
      <c r="A703" s="5">
        <v>43890</v>
      </c>
      <c r="B703">
        <v>226.76</v>
      </c>
      <c r="C703">
        <v>233</v>
      </c>
      <c r="D703">
        <v>217</v>
      </c>
      <c r="E703">
        <v>217.21</v>
      </c>
      <c r="F703">
        <v>546866.6851</v>
      </c>
      <c r="G703">
        <v>0</v>
      </c>
      <c r="L703" t="s">
        <v>7</v>
      </c>
      <c r="M703" t="s">
        <v>7</v>
      </c>
      <c r="N703" t="s">
        <v>8</v>
      </c>
      <c r="P703">
        <f t="shared" si="994"/>
        <v>-0.97374999999999901</v>
      </c>
      <c r="Q703">
        <f t="shared" si="995"/>
        <v>-532511.43461612449</v>
      </c>
      <c r="R703">
        <f t="shared" si="996"/>
        <v>6591353.269777677</v>
      </c>
      <c r="S703">
        <f t="shared" si="997"/>
        <v>65.913532697776773</v>
      </c>
      <c r="T703">
        <f t="shared" si="998"/>
        <v>6.5913532697776778E-2</v>
      </c>
    </row>
    <row r="704" spans="1:20" x14ac:dyDescent="0.25">
      <c r="A704" s="5">
        <v>43889</v>
      </c>
      <c r="B704">
        <v>227.73</v>
      </c>
      <c r="C704">
        <v>234.67</v>
      </c>
      <c r="D704">
        <v>214.01</v>
      </c>
      <c r="E704">
        <v>226.76</v>
      </c>
      <c r="F704">
        <v>1054994.9239699999</v>
      </c>
      <c r="G704">
        <v>0</v>
      </c>
      <c r="L704" t="s">
        <v>8</v>
      </c>
      <c r="M704" t="s">
        <v>7</v>
      </c>
      <c r="N704" t="s">
        <v>8</v>
      </c>
      <c r="P704">
        <f t="shared" si="994"/>
        <v>0.23426911907066816</v>
      </c>
      <c r="Q704">
        <f t="shared" si="995"/>
        <v>247152.7314624784</v>
      </c>
      <c r="R704">
        <f t="shared" si="996"/>
        <v>7123864.7043938013</v>
      </c>
      <c r="S704">
        <f t="shared" si="997"/>
        <v>71.238647043938016</v>
      </c>
      <c r="T704">
        <f t="shared" si="998"/>
        <v>7.1238647043938022E-2</v>
      </c>
    </row>
    <row r="705" spans="1:20" x14ac:dyDescent="0.25">
      <c r="A705" s="5">
        <v>43888</v>
      </c>
      <c r="B705">
        <v>223.98</v>
      </c>
      <c r="C705">
        <v>238.3</v>
      </c>
      <c r="D705">
        <v>210</v>
      </c>
      <c r="E705">
        <v>227.79</v>
      </c>
      <c r="F705">
        <v>1273793.1165799999</v>
      </c>
      <c r="G705">
        <v>0</v>
      </c>
      <c r="L705" t="s">
        <v>7</v>
      </c>
      <c r="M705" t="s">
        <v>7</v>
      </c>
      <c r="N705" t="s">
        <v>8</v>
      </c>
      <c r="P705">
        <f t="shared" si="994"/>
        <v>0.25724381625441589</v>
      </c>
      <c r="Q705">
        <f t="shared" si="995"/>
        <v>327675.40242764528</v>
      </c>
      <c r="R705">
        <f t="shared" si="996"/>
        <v>6876711.9729313226</v>
      </c>
      <c r="S705">
        <f t="shared" si="997"/>
        <v>68.767119729313222</v>
      </c>
      <c r="T705">
        <f t="shared" si="998"/>
        <v>6.8767119729313222E-2</v>
      </c>
    </row>
    <row r="706" spans="1:20" x14ac:dyDescent="0.25">
      <c r="A706" s="5">
        <v>43887</v>
      </c>
      <c r="B706">
        <v>246.67</v>
      </c>
      <c r="C706">
        <v>250.32</v>
      </c>
      <c r="D706">
        <v>215.66</v>
      </c>
      <c r="E706">
        <v>223.93</v>
      </c>
      <c r="F706">
        <v>1395879.4150700001</v>
      </c>
      <c r="G706">
        <v>0</v>
      </c>
      <c r="L706" t="s">
        <v>7</v>
      </c>
      <c r="M706" t="s">
        <v>7</v>
      </c>
      <c r="N706" t="s">
        <v>8</v>
      </c>
      <c r="P706">
        <f t="shared" si="994"/>
        <v>-0.52279284477784127</v>
      </c>
      <c r="Q706">
        <f t="shared" si="995"/>
        <v>-729755.77037127444</v>
      </c>
      <c r="R706">
        <f t="shared" si="996"/>
        <v>6549036.5705036772</v>
      </c>
      <c r="S706">
        <f t="shared" si="997"/>
        <v>65.490365705036766</v>
      </c>
      <c r="T706">
        <f t="shared" si="998"/>
        <v>6.549036570503676E-2</v>
      </c>
    </row>
    <row r="707" spans="1:20" x14ac:dyDescent="0.25">
      <c r="A707" s="5">
        <v>43886</v>
      </c>
      <c r="B707">
        <v>265.47000000000003</v>
      </c>
      <c r="C707">
        <v>266.22000000000003</v>
      </c>
      <c r="D707">
        <v>244.44</v>
      </c>
      <c r="E707">
        <v>246.67</v>
      </c>
      <c r="F707">
        <v>774791.01026999997</v>
      </c>
      <c r="G707">
        <v>0</v>
      </c>
      <c r="L707" t="s">
        <v>7</v>
      </c>
      <c r="M707" t="s">
        <v>7</v>
      </c>
      <c r="N707" t="s">
        <v>8</v>
      </c>
      <c r="P707">
        <f t="shared" si="994"/>
        <v>-0.79522497704316009</v>
      </c>
      <c r="Q707">
        <f t="shared" si="995"/>
        <v>-616133.16335520754</v>
      </c>
      <c r="R707">
        <f t="shared" si="996"/>
        <v>7278792.3408749513</v>
      </c>
      <c r="S707">
        <f t="shared" si="997"/>
        <v>72.787923408749506</v>
      </c>
      <c r="T707">
        <f t="shared" si="998"/>
        <v>7.2787923408749511E-2</v>
      </c>
    </row>
    <row r="708" spans="1:20" x14ac:dyDescent="0.25">
      <c r="A708" s="5">
        <v>43885</v>
      </c>
      <c r="B708">
        <v>274.5</v>
      </c>
      <c r="C708">
        <v>277.2</v>
      </c>
      <c r="D708">
        <v>257.08999999999997</v>
      </c>
      <c r="E708">
        <v>265.52</v>
      </c>
      <c r="F708">
        <v>696591.72982999997</v>
      </c>
      <c r="G708">
        <v>0</v>
      </c>
      <c r="L708" t="s">
        <v>8</v>
      </c>
      <c r="M708" t="s">
        <v>7</v>
      </c>
      <c r="N708" t="s">
        <v>8</v>
      </c>
      <c r="P708">
        <f t="shared" si="994"/>
        <v>-0.16161113873694669</v>
      </c>
      <c r="Q708">
        <f t="shared" si="995"/>
        <v>-112576.98269256581</v>
      </c>
      <c r="R708">
        <f t="shared" si="996"/>
        <v>7894925.5042301584</v>
      </c>
      <c r="S708">
        <f t="shared" si="997"/>
        <v>78.949255042301587</v>
      </c>
      <c r="T708">
        <f t="shared" si="998"/>
        <v>7.8949255042301589E-2</v>
      </c>
    </row>
    <row r="709" spans="1:20" x14ac:dyDescent="0.25">
      <c r="A709" s="5">
        <v>43884</v>
      </c>
      <c r="B709">
        <v>261.55</v>
      </c>
      <c r="C709">
        <v>275.68</v>
      </c>
      <c r="D709">
        <v>261.02</v>
      </c>
      <c r="E709">
        <v>274.48</v>
      </c>
      <c r="F709">
        <v>444740.82883000001</v>
      </c>
      <c r="G709">
        <v>0</v>
      </c>
      <c r="L709" t="s">
        <v>8</v>
      </c>
      <c r="M709" t="s">
        <v>7</v>
      </c>
      <c r="N709" t="s">
        <v>8</v>
      </c>
      <c r="P709">
        <f t="shared" si="994"/>
        <v>0.83628922237380809</v>
      </c>
      <c r="Q709">
        <f t="shared" si="995"/>
        <v>371931.96190012363</v>
      </c>
      <c r="R709">
        <f t="shared" si="996"/>
        <v>8007502.4869227242</v>
      </c>
      <c r="S709">
        <f t="shared" si="997"/>
        <v>80.075024869227235</v>
      </c>
      <c r="T709">
        <f t="shared" si="998"/>
        <v>8.007502486922724E-2</v>
      </c>
    </row>
    <row r="710" spans="1:20" x14ac:dyDescent="0.25">
      <c r="A710" s="5">
        <v>43883</v>
      </c>
      <c r="B710">
        <v>265.32</v>
      </c>
      <c r="C710">
        <v>266.81</v>
      </c>
      <c r="D710">
        <v>256</v>
      </c>
      <c r="E710">
        <v>261.57</v>
      </c>
      <c r="F710">
        <v>313062.52133000002</v>
      </c>
      <c r="G710">
        <v>0</v>
      </c>
      <c r="L710" t="s">
        <v>8</v>
      </c>
      <c r="M710" t="s">
        <v>7</v>
      </c>
      <c r="N710" t="s">
        <v>8</v>
      </c>
      <c r="P710">
        <f t="shared" ref="P710:P766" si="999">IF(C710=D710,0,((E710-D710)-(C710-E710))/(C710-D710))</f>
        <v>3.0527289546714523E-2</v>
      </c>
      <c r="Q710">
        <f t="shared" ref="Q710:Q766" si="1000">F710*P710</f>
        <v>9556.9502348654023</v>
      </c>
      <c r="R710">
        <f t="shared" ref="R710:R765" si="1001">R711+Q710</f>
        <v>7635570.5250226008</v>
      </c>
      <c r="S710">
        <f t="shared" ref="S710:S766" si="1002">R710/100000</f>
        <v>76.355705250226009</v>
      </c>
      <c r="T710">
        <f t="shared" ref="T710:T766" si="1003">S710/1000</f>
        <v>7.6355705250226003E-2</v>
      </c>
    </row>
    <row r="711" spans="1:20" x14ac:dyDescent="0.25">
      <c r="A711" s="5">
        <v>43882</v>
      </c>
      <c r="B711">
        <v>256.97000000000003</v>
      </c>
      <c r="C711">
        <v>268.24</v>
      </c>
      <c r="D711">
        <v>253.61</v>
      </c>
      <c r="E711">
        <v>265.27</v>
      </c>
      <c r="F711">
        <v>525827.87340000004</v>
      </c>
      <c r="G711">
        <v>0</v>
      </c>
      <c r="L711" t="s">
        <v>8</v>
      </c>
      <c r="M711" t="s">
        <v>7</v>
      </c>
      <c r="N711" t="s">
        <v>8</v>
      </c>
      <c r="P711">
        <f t="shared" si="999"/>
        <v>0.59398496240601117</v>
      </c>
      <c r="Q711">
        <f t="shared" si="1000"/>
        <v>312333.84961353184</v>
      </c>
      <c r="R711">
        <f t="shared" si="1001"/>
        <v>7626013.574787735</v>
      </c>
      <c r="S711">
        <f t="shared" si="1002"/>
        <v>76.260135747877356</v>
      </c>
      <c r="T711">
        <f t="shared" si="1003"/>
        <v>7.626013574787735E-2</v>
      </c>
    </row>
    <row r="712" spans="1:20" x14ac:dyDescent="0.25">
      <c r="A712" s="5">
        <v>43881</v>
      </c>
      <c r="B712">
        <v>258.44</v>
      </c>
      <c r="C712">
        <v>264.33</v>
      </c>
      <c r="D712">
        <v>245.34</v>
      </c>
      <c r="E712">
        <v>256.95999999999998</v>
      </c>
      <c r="F712">
        <v>972969.71690999996</v>
      </c>
      <c r="G712">
        <v>0</v>
      </c>
      <c r="L712" t="s">
        <v>7</v>
      </c>
      <c r="M712" t="s">
        <v>7</v>
      </c>
      <c r="N712" t="s">
        <v>8</v>
      </c>
      <c r="P712">
        <f t="shared" si="999"/>
        <v>0.22380200105318462</v>
      </c>
      <c r="Q712">
        <f t="shared" si="1000"/>
        <v>217752.56960860855</v>
      </c>
      <c r="R712">
        <f t="shared" si="1001"/>
        <v>7313679.7251742035</v>
      </c>
      <c r="S712">
        <f t="shared" si="1002"/>
        <v>73.136797251742038</v>
      </c>
      <c r="T712">
        <f t="shared" si="1003"/>
        <v>7.3136797251742033E-2</v>
      </c>
    </row>
    <row r="713" spans="1:20" x14ac:dyDescent="0.25">
      <c r="A713" s="5">
        <v>43880</v>
      </c>
      <c r="B713">
        <v>282.64</v>
      </c>
      <c r="C713">
        <v>285</v>
      </c>
      <c r="D713">
        <v>251.56</v>
      </c>
      <c r="E713">
        <v>258.45</v>
      </c>
      <c r="F713">
        <v>705973.72988</v>
      </c>
      <c r="G713">
        <v>0</v>
      </c>
      <c r="L713" t="s">
        <v>7</v>
      </c>
      <c r="M713" t="s">
        <v>7</v>
      </c>
      <c r="N713" t="s">
        <v>8</v>
      </c>
      <c r="P713">
        <f t="shared" si="999"/>
        <v>-0.58791866028708217</v>
      </c>
      <c r="Q713">
        <f t="shared" si="1000"/>
        <v>-415055.12946892402</v>
      </c>
      <c r="R713">
        <f t="shared" si="1001"/>
        <v>7095927.1555655953</v>
      </c>
      <c r="S713">
        <f t="shared" si="1002"/>
        <v>70.959271555655945</v>
      </c>
      <c r="T713">
        <f t="shared" si="1003"/>
        <v>7.0959271555655942E-2</v>
      </c>
    </row>
    <row r="714" spans="1:20" x14ac:dyDescent="0.25">
      <c r="A714" s="5">
        <v>43879</v>
      </c>
      <c r="B714">
        <v>267.89999999999998</v>
      </c>
      <c r="C714">
        <v>285.88</v>
      </c>
      <c r="D714">
        <v>258</v>
      </c>
      <c r="E714">
        <v>282.61</v>
      </c>
      <c r="F714">
        <v>1115523.43992</v>
      </c>
      <c r="G714">
        <v>0</v>
      </c>
      <c r="L714" t="s">
        <v>8</v>
      </c>
      <c r="M714" t="s">
        <v>7</v>
      </c>
      <c r="N714" t="s">
        <v>8</v>
      </c>
      <c r="P714">
        <f t="shared" si="999"/>
        <v>0.76542324246772009</v>
      </c>
      <c r="Q714">
        <f t="shared" si="1000"/>
        <v>853847.56843231141</v>
      </c>
      <c r="R714">
        <f t="shared" si="1001"/>
        <v>7510982.2850345196</v>
      </c>
      <c r="S714">
        <f t="shared" si="1002"/>
        <v>75.109822850345196</v>
      </c>
      <c r="T714">
        <f t="shared" si="1003"/>
        <v>7.510982285034519E-2</v>
      </c>
    </row>
    <row r="715" spans="1:20" x14ac:dyDescent="0.25">
      <c r="A715" s="5">
        <v>43878</v>
      </c>
      <c r="B715">
        <v>258.89</v>
      </c>
      <c r="C715">
        <v>268.77</v>
      </c>
      <c r="D715">
        <v>242</v>
      </c>
      <c r="E715">
        <v>267.85000000000002</v>
      </c>
      <c r="F715">
        <v>1110371.3909400001</v>
      </c>
      <c r="G715">
        <v>0</v>
      </c>
      <c r="L715" t="s">
        <v>8</v>
      </c>
      <c r="M715" t="s">
        <v>7</v>
      </c>
      <c r="N715" t="s">
        <v>8</v>
      </c>
      <c r="P715">
        <f t="shared" si="999"/>
        <v>0.93126634292118349</v>
      </c>
      <c r="Q715">
        <f t="shared" si="1000"/>
        <v>1034051.5045250016</v>
      </c>
      <c r="R715">
        <f t="shared" si="1001"/>
        <v>6657134.7166022081</v>
      </c>
      <c r="S715">
        <f t="shared" si="1002"/>
        <v>66.571347166022079</v>
      </c>
      <c r="T715">
        <f t="shared" si="1003"/>
        <v>6.6571347166022074E-2</v>
      </c>
    </row>
    <row r="716" spans="1:20" x14ac:dyDescent="0.25">
      <c r="A716" s="5">
        <v>43877</v>
      </c>
      <c r="B716">
        <v>264.91000000000003</v>
      </c>
      <c r="C716">
        <v>274</v>
      </c>
      <c r="D716">
        <v>237.41</v>
      </c>
      <c r="E716">
        <v>258.85000000000002</v>
      </c>
      <c r="F716">
        <v>1110118.46395</v>
      </c>
      <c r="G716">
        <v>0</v>
      </c>
      <c r="L716" t="s">
        <v>7</v>
      </c>
      <c r="M716" t="s">
        <v>7</v>
      </c>
      <c r="N716" t="s">
        <v>8</v>
      </c>
      <c r="P716">
        <f t="shared" si="999"/>
        <v>0.17190489204700871</v>
      </c>
      <c r="Q716">
        <f t="shared" si="1000"/>
        <v>190834.79470471587</v>
      </c>
      <c r="R716">
        <f t="shared" si="1001"/>
        <v>5623083.2120772069</v>
      </c>
      <c r="S716">
        <f t="shared" si="1002"/>
        <v>56.230832120772071</v>
      </c>
      <c r="T716">
        <f t="shared" si="1003"/>
        <v>5.6230832120772074E-2</v>
      </c>
    </row>
    <row r="717" spans="1:20" x14ac:dyDescent="0.25">
      <c r="A717" s="5">
        <v>43876</v>
      </c>
      <c r="B717">
        <v>285.11</v>
      </c>
      <c r="C717">
        <v>288.41000000000003</v>
      </c>
      <c r="D717">
        <v>261.86</v>
      </c>
      <c r="E717">
        <v>264.88</v>
      </c>
      <c r="F717">
        <v>860813.14274000004</v>
      </c>
      <c r="G717">
        <v>0</v>
      </c>
      <c r="L717" t="s">
        <v>8</v>
      </c>
      <c r="M717" t="s">
        <v>8</v>
      </c>
      <c r="N717" t="s">
        <v>8</v>
      </c>
      <c r="P717">
        <f t="shared" si="999"/>
        <v>-0.77250470809792993</v>
      </c>
      <c r="Q717">
        <f t="shared" si="1000"/>
        <v>-664982.2055592254</v>
      </c>
      <c r="R717">
        <f t="shared" si="1001"/>
        <v>5432248.4173724912</v>
      </c>
      <c r="S717">
        <f t="shared" si="1002"/>
        <v>54.322484173724909</v>
      </c>
      <c r="T717">
        <f t="shared" si="1003"/>
        <v>5.4322484173724907E-2</v>
      </c>
    </row>
    <row r="718" spans="1:20" x14ac:dyDescent="0.25">
      <c r="A718" s="5">
        <v>43875</v>
      </c>
      <c r="B718">
        <v>268.33999999999997</v>
      </c>
      <c r="C718">
        <v>287.14999999999998</v>
      </c>
      <c r="D718">
        <v>260.27999999999997</v>
      </c>
      <c r="E718">
        <v>285.14999999999998</v>
      </c>
      <c r="F718">
        <v>734944.32265999995</v>
      </c>
      <c r="G718">
        <v>0</v>
      </c>
      <c r="L718" t="s">
        <v>8</v>
      </c>
      <c r="M718" t="s">
        <v>8</v>
      </c>
      <c r="N718" t="s">
        <v>8</v>
      </c>
      <c r="P718">
        <f t="shared" si="999"/>
        <v>0.85113509490137707</v>
      </c>
      <c r="Q718">
        <f t="shared" si="1000"/>
        <v>625536.90581444732</v>
      </c>
      <c r="R718">
        <f t="shared" si="1001"/>
        <v>6097230.622931717</v>
      </c>
      <c r="S718">
        <f t="shared" si="1002"/>
        <v>60.972306229317169</v>
      </c>
      <c r="T718">
        <f t="shared" si="1003"/>
        <v>6.0972306229317166E-2</v>
      </c>
    </row>
    <row r="719" spans="1:20" x14ac:dyDescent="0.25">
      <c r="A719" s="5">
        <v>43874</v>
      </c>
      <c r="B719">
        <v>265.74</v>
      </c>
      <c r="C719">
        <v>277.69</v>
      </c>
      <c r="D719">
        <v>256.08</v>
      </c>
      <c r="E719">
        <v>268.32</v>
      </c>
      <c r="F719">
        <v>1089679.1536999999</v>
      </c>
      <c r="G719">
        <v>0</v>
      </c>
      <c r="L719" t="s">
        <v>8</v>
      </c>
      <c r="M719" t="s">
        <v>8</v>
      </c>
      <c r="N719" t="s">
        <v>8</v>
      </c>
      <c r="P719">
        <f t="shared" si="999"/>
        <v>0.13280888477556699</v>
      </c>
      <c r="Q719">
        <f t="shared" si="1000"/>
        <v>144719.07316608063</v>
      </c>
      <c r="R719">
        <f t="shared" si="1001"/>
        <v>5471693.7171172695</v>
      </c>
      <c r="S719">
        <f t="shared" si="1002"/>
        <v>54.716937171172695</v>
      </c>
      <c r="T719">
        <f t="shared" si="1003"/>
        <v>5.4716937171172694E-2</v>
      </c>
    </row>
    <row r="720" spans="1:20" x14ac:dyDescent="0.25">
      <c r="A720" s="5">
        <v>43873</v>
      </c>
      <c r="B720">
        <v>236.69</v>
      </c>
      <c r="C720">
        <v>275.33999999999997</v>
      </c>
      <c r="D720">
        <v>236.69</v>
      </c>
      <c r="E720">
        <v>265.74</v>
      </c>
      <c r="F720">
        <v>1038073.74782</v>
      </c>
      <c r="G720">
        <v>0</v>
      </c>
      <c r="L720" t="s">
        <v>8</v>
      </c>
      <c r="M720" t="s">
        <v>8</v>
      </c>
      <c r="N720" t="s">
        <v>8</v>
      </c>
      <c r="P720">
        <f t="shared" si="999"/>
        <v>0.50323415265200666</v>
      </c>
      <c r="Q720">
        <f t="shared" si="1000"/>
        <v>522394.16287449055</v>
      </c>
      <c r="R720">
        <f t="shared" si="1001"/>
        <v>5326974.6439511888</v>
      </c>
      <c r="S720">
        <f t="shared" si="1002"/>
        <v>53.269746439511884</v>
      </c>
      <c r="T720">
        <f t="shared" si="1003"/>
        <v>5.3269746439511885E-2</v>
      </c>
    </row>
    <row r="721" spans="1:20" x14ac:dyDescent="0.25">
      <c r="A721" s="5">
        <v>43872</v>
      </c>
      <c r="B721">
        <v>222.89</v>
      </c>
      <c r="C721">
        <v>239.15</v>
      </c>
      <c r="D721">
        <v>218.17</v>
      </c>
      <c r="E721">
        <v>236.69</v>
      </c>
      <c r="F721">
        <v>595576.90275999997</v>
      </c>
      <c r="G721">
        <v>0</v>
      </c>
      <c r="L721" t="s">
        <v>8</v>
      </c>
      <c r="M721" t="s">
        <v>8</v>
      </c>
      <c r="N721" t="s">
        <v>8</v>
      </c>
      <c r="P721">
        <f t="shared" si="999"/>
        <v>0.7654909437559575</v>
      </c>
      <c r="Q721">
        <f t="shared" si="1000"/>
        <v>455908.72537300253</v>
      </c>
      <c r="R721">
        <f t="shared" si="1001"/>
        <v>4804580.4810766978</v>
      </c>
      <c r="S721">
        <f t="shared" si="1002"/>
        <v>48.045804810766981</v>
      </c>
      <c r="T721">
        <f t="shared" si="1003"/>
        <v>4.8045804810766979E-2</v>
      </c>
    </row>
    <row r="722" spans="1:20" x14ac:dyDescent="0.25">
      <c r="A722" s="5">
        <v>43871</v>
      </c>
      <c r="B722">
        <v>228.53</v>
      </c>
      <c r="C722">
        <v>229.4</v>
      </c>
      <c r="D722">
        <v>216.37</v>
      </c>
      <c r="E722">
        <v>222.89</v>
      </c>
      <c r="F722">
        <v>510415.49949000002</v>
      </c>
      <c r="G722">
        <v>0</v>
      </c>
      <c r="L722" t="s">
        <v>8</v>
      </c>
      <c r="M722" t="s">
        <v>8</v>
      </c>
      <c r="N722" t="s">
        <v>8</v>
      </c>
      <c r="P722">
        <f t="shared" si="999"/>
        <v>7.674597083624315E-4</v>
      </c>
      <c r="Q722">
        <f t="shared" si="1000"/>
        <v>391.7233303822602</v>
      </c>
      <c r="R722">
        <f t="shared" si="1001"/>
        <v>4348671.7557036951</v>
      </c>
      <c r="S722">
        <f t="shared" si="1002"/>
        <v>43.486717557036954</v>
      </c>
      <c r="T722">
        <f t="shared" si="1003"/>
        <v>4.3486717557036952E-2</v>
      </c>
    </row>
    <row r="723" spans="1:20" x14ac:dyDescent="0.25">
      <c r="A723" s="5">
        <v>43870</v>
      </c>
      <c r="B723">
        <v>223.01</v>
      </c>
      <c r="C723">
        <v>230.65</v>
      </c>
      <c r="D723">
        <v>222.86</v>
      </c>
      <c r="E723">
        <v>228.49</v>
      </c>
      <c r="F723">
        <v>350336.24398999999</v>
      </c>
      <c r="G723">
        <v>0</v>
      </c>
      <c r="L723" t="s">
        <v>8</v>
      </c>
      <c r="M723" t="s">
        <v>8</v>
      </c>
      <c r="N723" t="s">
        <v>8</v>
      </c>
      <c r="P723">
        <f t="shared" si="999"/>
        <v>0.44544287548138672</v>
      </c>
      <c r="Q723">
        <f t="shared" si="1000"/>
        <v>156054.78390825429</v>
      </c>
      <c r="R723">
        <f t="shared" si="1001"/>
        <v>4348280.0323733129</v>
      </c>
      <c r="S723">
        <f t="shared" si="1002"/>
        <v>43.48280032373313</v>
      </c>
      <c r="T723">
        <f t="shared" si="1003"/>
        <v>4.3482800323733133E-2</v>
      </c>
    </row>
    <row r="724" spans="1:20" x14ac:dyDescent="0.25">
      <c r="A724" s="5">
        <v>43869</v>
      </c>
      <c r="B724">
        <v>223.36</v>
      </c>
      <c r="C724">
        <v>227.75</v>
      </c>
      <c r="D724">
        <v>213.22</v>
      </c>
      <c r="E724">
        <v>223.05</v>
      </c>
      <c r="F724">
        <v>548551.87465000001</v>
      </c>
      <c r="G724">
        <v>0</v>
      </c>
      <c r="L724" t="s">
        <v>8</v>
      </c>
      <c r="M724" t="s">
        <v>8</v>
      </c>
      <c r="N724" t="s">
        <v>8</v>
      </c>
      <c r="P724">
        <f t="shared" si="999"/>
        <v>0.35306262904336017</v>
      </c>
      <c r="Q724">
        <f t="shared" si="1000"/>
        <v>193673.16703059277</v>
      </c>
      <c r="R724">
        <f t="shared" si="1001"/>
        <v>4192225.2484650589</v>
      </c>
      <c r="S724">
        <f t="shared" si="1002"/>
        <v>41.922252484650592</v>
      </c>
      <c r="T724">
        <f t="shared" si="1003"/>
        <v>4.1922252484650591E-2</v>
      </c>
    </row>
    <row r="725" spans="1:20" x14ac:dyDescent="0.25">
      <c r="A725" s="5">
        <v>43868</v>
      </c>
      <c r="B725">
        <v>213.16</v>
      </c>
      <c r="C725">
        <v>225</v>
      </c>
      <c r="D725">
        <v>213.14</v>
      </c>
      <c r="E725">
        <v>223.33</v>
      </c>
      <c r="F725">
        <v>629361.15466</v>
      </c>
      <c r="G725">
        <v>0</v>
      </c>
      <c r="L725" t="s">
        <v>8</v>
      </c>
      <c r="M725" t="s">
        <v>8</v>
      </c>
      <c r="N725" t="s">
        <v>8</v>
      </c>
      <c r="P725">
        <f t="shared" si="999"/>
        <v>0.71838111298482532</v>
      </c>
      <c r="Q725">
        <f t="shared" si="1000"/>
        <v>452121.16675406561</v>
      </c>
      <c r="R725">
        <f t="shared" si="1001"/>
        <v>3998552.0814344659</v>
      </c>
      <c r="S725">
        <f t="shared" si="1002"/>
        <v>39.98552081434466</v>
      </c>
      <c r="T725">
        <f t="shared" si="1003"/>
        <v>3.9985520814344658E-2</v>
      </c>
    </row>
    <row r="726" spans="1:20" x14ac:dyDescent="0.25">
      <c r="A726" s="5">
        <v>43867</v>
      </c>
      <c r="B726">
        <v>203.78</v>
      </c>
      <c r="C726">
        <v>216.33</v>
      </c>
      <c r="D726">
        <v>201.02</v>
      </c>
      <c r="E726">
        <v>213.19</v>
      </c>
      <c r="F726">
        <v>608240.22329999995</v>
      </c>
      <c r="G726">
        <v>0</v>
      </c>
      <c r="L726" t="s">
        <v>8</v>
      </c>
      <c r="M726" t="s">
        <v>8</v>
      </c>
      <c r="N726" t="s">
        <v>8</v>
      </c>
      <c r="P726">
        <f t="shared" si="999"/>
        <v>0.58981058131939723</v>
      </c>
      <c r="Q726">
        <f t="shared" si="1000"/>
        <v>358746.51968641294</v>
      </c>
      <c r="R726">
        <f t="shared" si="1001"/>
        <v>3546430.9146804004</v>
      </c>
      <c r="S726">
        <f t="shared" si="1002"/>
        <v>35.464309146804005</v>
      </c>
      <c r="T726">
        <f t="shared" si="1003"/>
        <v>3.5464309146804006E-2</v>
      </c>
    </row>
    <row r="727" spans="1:20" x14ac:dyDescent="0.25">
      <c r="A727" s="5">
        <v>43866</v>
      </c>
      <c r="B727">
        <v>188.91</v>
      </c>
      <c r="C727">
        <v>207.61</v>
      </c>
      <c r="D727">
        <v>188.19</v>
      </c>
      <c r="E727">
        <v>203.78</v>
      </c>
      <c r="F727">
        <v>550942.11416999996</v>
      </c>
      <c r="G727">
        <v>0</v>
      </c>
      <c r="L727" t="s">
        <v>8</v>
      </c>
      <c r="M727" t="s">
        <v>8</v>
      </c>
      <c r="N727" t="s">
        <v>8</v>
      </c>
      <c r="P727">
        <f t="shared" si="999"/>
        <v>0.60556127703398466</v>
      </c>
      <c r="Q727">
        <f t="shared" si="1000"/>
        <v>333629.21022858855</v>
      </c>
      <c r="R727">
        <f t="shared" si="1001"/>
        <v>3187684.3949939874</v>
      </c>
      <c r="S727">
        <f t="shared" si="1002"/>
        <v>31.876843949939875</v>
      </c>
      <c r="T727">
        <f t="shared" si="1003"/>
        <v>3.1876843949939879E-2</v>
      </c>
    </row>
    <row r="728" spans="1:20" x14ac:dyDescent="0.25">
      <c r="A728" s="5">
        <v>43865</v>
      </c>
      <c r="B728">
        <v>189.74</v>
      </c>
      <c r="C728">
        <v>191.6</v>
      </c>
      <c r="D728">
        <v>184.69</v>
      </c>
      <c r="E728">
        <v>188.91</v>
      </c>
      <c r="F728">
        <v>366389.69686000003</v>
      </c>
      <c r="G728">
        <v>0</v>
      </c>
      <c r="L728" t="s">
        <v>8</v>
      </c>
      <c r="M728" t="s">
        <v>8</v>
      </c>
      <c r="N728" t="s">
        <v>8</v>
      </c>
      <c r="P728">
        <f t="shared" si="999"/>
        <v>0.22141823444283673</v>
      </c>
      <c r="Q728">
        <f t="shared" si="1000"/>
        <v>81125.359796787365</v>
      </c>
      <c r="R728">
        <f t="shared" si="1001"/>
        <v>2854055.184765399</v>
      </c>
      <c r="S728">
        <f t="shared" si="1002"/>
        <v>28.54055184765399</v>
      </c>
      <c r="T728">
        <f t="shared" si="1003"/>
        <v>2.8540551847653989E-2</v>
      </c>
    </row>
    <row r="729" spans="1:20" x14ac:dyDescent="0.25">
      <c r="A729" s="5">
        <v>43864</v>
      </c>
      <c r="B729">
        <v>188.48</v>
      </c>
      <c r="C729">
        <v>195.19</v>
      </c>
      <c r="D729">
        <v>186.62</v>
      </c>
      <c r="E729">
        <v>189.69</v>
      </c>
      <c r="F729">
        <v>417175.95780999999</v>
      </c>
      <c r="G729">
        <v>0</v>
      </c>
      <c r="L729" t="s">
        <v>8</v>
      </c>
      <c r="M729" t="s">
        <v>8</v>
      </c>
      <c r="N729" t="s">
        <v>8</v>
      </c>
      <c r="P729">
        <f t="shared" si="999"/>
        <v>-0.28354725787631374</v>
      </c>
      <c r="Q729">
        <f t="shared" si="1000"/>
        <v>-118289.09888895025</v>
      </c>
      <c r="R729">
        <f t="shared" si="1001"/>
        <v>2772929.8249686118</v>
      </c>
      <c r="S729">
        <f t="shared" si="1002"/>
        <v>27.729298249686117</v>
      </c>
      <c r="T729">
        <f t="shared" si="1003"/>
        <v>2.7729298249686118E-2</v>
      </c>
    </row>
    <row r="730" spans="1:20" x14ac:dyDescent="0.25">
      <c r="A730" s="5">
        <v>43863</v>
      </c>
      <c r="B730">
        <v>183.63</v>
      </c>
      <c r="C730">
        <v>193.43</v>
      </c>
      <c r="D730">
        <v>179.1</v>
      </c>
      <c r="E730">
        <v>188.44</v>
      </c>
      <c r="F730">
        <v>552621.13618999999</v>
      </c>
      <c r="G730">
        <v>0</v>
      </c>
      <c r="L730" t="s">
        <v>8</v>
      </c>
      <c r="M730" t="s">
        <v>8</v>
      </c>
      <c r="N730" t="s">
        <v>8</v>
      </c>
      <c r="P730">
        <f t="shared" si="999"/>
        <v>0.30355896720167413</v>
      </c>
      <c r="Q730">
        <f t="shared" si="1000"/>
        <v>167753.10135565209</v>
      </c>
      <c r="R730">
        <f t="shared" si="1001"/>
        <v>2891218.9238575622</v>
      </c>
      <c r="S730">
        <f t="shared" si="1002"/>
        <v>28.912189238575621</v>
      </c>
      <c r="T730">
        <f t="shared" si="1003"/>
        <v>2.8912189238575622E-2</v>
      </c>
    </row>
    <row r="731" spans="1:20" x14ac:dyDescent="0.25">
      <c r="A731" s="5">
        <v>43862</v>
      </c>
      <c r="B731">
        <v>179.94</v>
      </c>
      <c r="C731">
        <v>184.28</v>
      </c>
      <c r="D731">
        <v>179.23</v>
      </c>
      <c r="E731">
        <v>183.6</v>
      </c>
      <c r="F731">
        <v>259370.12901999999</v>
      </c>
      <c r="G731">
        <v>0</v>
      </c>
      <c r="L731" t="s">
        <v>7</v>
      </c>
      <c r="M731" t="s">
        <v>8</v>
      </c>
      <c r="N731" t="s">
        <v>8</v>
      </c>
      <c r="P731">
        <f t="shared" si="999"/>
        <v>0.73069306930692857</v>
      </c>
      <c r="Q731">
        <f t="shared" si="1000"/>
        <v>189519.95566015787</v>
      </c>
      <c r="R731">
        <f t="shared" si="1001"/>
        <v>2723465.8225019104</v>
      </c>
      <c r="S731">
        <f t="shared" si="1002"/>
        <v>27.234658225019103</v>
      </c>
      <c r="T731">
        <f t="shared" si="1003"/>
        <v>2.7234658225019102E-2</v>
      </c>
    </row>
    <row r="732" spans="1:20" x14ac:dyDescent="0.25">
      <c r="A732" s="5">
        <v>43861</v>
      </c>
      <c r="B732">
        <v>184.71</v>
      </c>
      <c r="C732">
        <v>185.82</v>
      </c>
      <c r="D732">
        <v>175.22</v>
      </c>
      <c r="E732">
        <v>179.99</v>
      </c>
      <c r="F732">
        <v>385596.53365</v>
      </c>
      <c r="G732">
        <v>0</v>
      </c>
      <c r="L732" t="s">
        <v>7</v>
      </c>
      <c r="M732" t="s">
        <v>8</v>
      </c>
      <c r="N732" t="s">
        <v>8</v>
      </c>
      <c r="P732">
        <f t="shared" si="999"/>
        <v>-9.9999999999997591E-2</v>
      </c>
      <c r="Q732">
        <f t="shared" si="1000"/>
        <v>-38559.653364999074</v>
      </c>
      <c r="R732">
        <f t="shared" si="1001"/>
        <v>2533945.8668417525</v>
      </c>
      <c r="S732">
        <f t="shared" si="1002"/>
        <v>25.339458668417524</v>
      </c>
      <c r="T732">
        <f t="shared" si="1003"/>
        <v>2.5339458668417525E-2</v>
      </c>
    </row>
    <row r="733" spans="1:20" x14ac:dyDescent="0.25">
      <c r="A733" s="5">
        <v>43860</v>
      </c>
      <c r="B733">
        <v>173.68</v>
      </c>
      <c r="C733">
        <v>187</v>
      </c>
      <c r="D733">
        <v>170.93</v>
      </c>
      <c r="E733">
        <v>184.69</v>
      </c>
      <c r="F733">
        <v>477721.66090000002</v>
      </c>
      <c r="G733">
        <v>0</v>
      </c>
      <c r="L733" t="s">
        <v>8</v>
      </c>
      <c r="M733" t="s">
        <v>8</v>
      </c>
      <c r="N733" t="s">
        <v>8</v>
      </c>
      <c r="P733">
        <f t="shared" si="999"/>
        <v>0.71250777846919688</v>
      </c>
      <c r="Q733">
        <f t="shared" si="1000"/>
        <v>340380.399334474</v>
      </c>
      <c r="R733">
        <f t="shared" si="1001"/>
        <v>2572505.5202067518</v>
      </c>
      <c r="S733">
        <f t="shared" si="1002"/>
        <v>25.725055202067519</v>
      </c>
      <c r="T733">
        <f t="shared" si="1003"/>
        <v>2.5725055202067519E-2</v>
      </c>
    </row>
    <row r="734" spans="1:20" x14ac:dyDescent="0.25">
      <c r="A734" s="5">
        <v>43859</v>
      </c>
      <c r="B734">
        <v>175.58</v>
      </c>
      <c r="C734">
        <v>178.45</v>
      </c>
      <c r="D734">
        <v>173.33</v>
      </c>
      <c r="E734">
        <v>173.72</v>
      </c>
      <c r="F734">
        <v>317382.90161</v>
      </c>
      <c r="G734">
        <v>0</v>
      </c>
      <c r="L734" t="s">
        <v>8</v>
      </c>
      <c r="M734" t="s">
        <v>8</v>
      </c>
      <c r="N734" t="s">
        <v>8</v>
      </c>
      <c r="P734">
        <f t="shared" si="999"/>
        <v>-0.84765625000000466</v>
      </c>
      <c r="Q734">
        <f t="shared" si="1000"/>
        <v>-269031.60019285302</v>
      </c>
      <c r="R734">
        <f t="shared" si="1001"/>
        <v>2232125.1208722778</v>
      </c>
      <c r="S734">
        <f t="shared" si="1002"/>
        <v>22.321251208722778</v>
      </c>
      <c r="T734">
        <f t="shared" si="1003"/>
        <v>2.2321251208722779E-2</v>
      </c>
    </row>
    <row r="735" spans="1:20" x14ac:dyDescent="0.25">
      <c r="A735" s="5">
        <v>43858</v>
      </c>
      <c r="B735">
        <v>170.04</v>
      </c>
      <c r="C735">
        <v>176.2</v>
      </c>
      <c r="D735">
        <v>170.03</v>
      </c>
      <c r="E735">
        <v>175.64</v>
      </c>
      <c r="F735">
        <v>473433.89608999999</v>
      </c>
      <c r="G735">
        <v>0</v>
      </c>
      <c r="L735" t="s">
        <v>8</v>
      </c>
      <c r="M735" t="s">
        <v>8</v>
      </c>
      <c r="N735" t="s">
        <v>8</v>
      </c>
      <c r="P735">
        <f t="shared" si="999"/>
        <v>0.81847649918962617</v>
      </c>
      <c r="Q735">
        <f t="shared" si="1000"/>
        <v>387494.51786944846</v>
      </c>
      <c r="R735">
        <f t="shared" si="1001"/>
        <v>2501156.7210651306</v>
      </c>
      <c r="S735">
        <f t="shared" si="1002"/>
        <v>25.011567210651304</v>
      </c>
      <c r="T735">
        <f t="shared" si="1003"/>
        <v>2.5011567210651304E-2</v>
      </c>
    </row>
    <row r="736" spans="1:20" x14ac:dyDescent="0.25">
      <c r="A736" s="5">
        <v>43857</v>
      </c>
      <c r="B736">
        <v>167.91</v>
      </c>
      <c r="C736">
        <v>172.56</v>
      </c>
      <c r="D736">
        <v>165.22</v>
      </c>
      <c r="E736">
        <v>170.08</v>
      </c>
      <c r="F736">
        <v>365894.81916999997</v>
      </c>
      <c r="G736">
        <v>0</v>
      </c>
      <c r="L736" t="s">
        <v>8</v>
      </c>
      <c r="M736" t="s">
        <v>8</v>
      </c>
      <c r="N736" t="s">
        <v>8</v>
      </c>
      <c r="P736">
        <f t="shared" si="999"/>
        <v>0.3242506811989132</v>
      </c>
      <c r="Q736">
        <f t="shared" si="1000"/>
        <v>118641.64436302565</v>
      </c>
      <c r="R736">
        <f t="shared" si="1001"/>
        <v>2113662.2031956823</v>
      </c>
      <c r="S736">
        <f t="shared" si="1002"/>
        <v>21.136622031956822</v>
      </c>
      <c r="T736">
        <f t="shared" si="1003"/>
        <v>2.1136622031956823E-2</v>
      </c>
    </row>
    <row r="737" spans="1:20" x14ac:dyDescent="0.25">
      <c r="A737" s="5">
        <v>43856</v>
      </c>
      <c r="B737">
        <v>160.36000000000001</v>
      </c>
      <c r="C737">
        <v>168.08</v>
      </c>
      <c r="D737">
        <v>159.41</v>
      </c>
      <c r="E737">
        <v>167.86</v>
      </c>
      <c r="F737">
        <v>251582.55757999999</v>
      </c>
      <c r="G737">
        <v>0</v>
      </c>
      <c r="L737" t="s">
        <v>8</v>
      </c>
      <c r="M737" t="s">
        <v>8</v>
      </c>
      <c r="N737" t="s">
        <v>8</v>
      </c>
      <c r="P737">
        <f t="shared" si="999"/>
        <v>0.94925028835063474</v>
      </c>
      <c r="Q737">
        <f t="shared" si="1000"/>
        <v>238814.81532680517</v>
      </c>
      <c r="R737">
        <f t="shared" si="1001"/>
        <v>1995020.5588326568</v>
      </c>
      <c r="S737">
        <f t="shared" si="1002"/>
        <v>19.950205588326568</v>
      </c>
      <c r="T737">
        <f t="shared" si="1003"/>
        <v>1.9950205588326567E-2</v>
      </c>
    </row>
    <row r="738" spans="1:20" x14ac:dyDescent="0.25">
      <c r="A738" s="5">
        <v>43855</v>
      </c>
      <c r="B738">
        <v>162.51</v>
      </c>
      <c r="C738">
        <v>162.79</v>
      </c>
      <c r="D738">
        <v>157.61000000000001</v>
      </c>
      <c r="E738">
        <v>160.35</v>
      </c>
      <c r="F738">
        <v>219921.65197000001</v>
      </c>
      <c r="G738">
        <v>0</v>
      </c>
      <c r="L738" t="s">
        <v>7</v>
      </c>
      <c r="M738" t="s">
        <v>8</v>
      </c>
      <c r="N738" t="s">
        <v>8</v>
      </c>
      <c r="P738">
        <f t="shared" si="999"/>
        <v>5.7915057915054864E-2</v>
      </c>
      <c r="Q738">
        <f t="shared" si="1000"/>
        <v>12736.77521061709</v>
      </c>
      <c r="R738">
        <f t="shared" si="1001"/>
        <v>1756205.7435058516</v>
      </c>
      <c r="S738">
        <f t="shared" si="1002"/>
        <v>17.562057435058517</v>
      </c>
      <c r="T738">
        <f t="shared" si="1003"/>
        <v>1.7562057435058516E-2</v>
      </c>
    </row>
    <row r="739" spans="1:20" x14ac:dyDescent="0.25">
      <c r="A739" s="5">
        <v>43854</v>
      </c>
      <c r="B739">
        <v>162.85</v>
      </c>
      <c r="C739">
        <v>164.45</v>
      </c>
      <c r="D739">
        <v>155.55000000000001</v>
      </c>
      <c r="E739">
        <v>162.54</v>
      </c>
      <c r="F739">
        <v>430013.19902</v>
      </c>
      <c r="G739">
        <v>0</v>
      </c>
      <c r="L739" t="s">
        <v>7</v>
      </c>
      <c r="M739" t="s">
        <v>8</v>
      </c>
      <c r="N739" t="s">
        <v>8</v>
      </c>
      <c r="P739">
        <f t="shared" si="999"/>
        <v>0.57078651685393222</v>
      </c>
      <c r="Q739">
        <f t="shared" si="1000"/>
        <v>245445.73606984253</v>
      </c>
      <c r="R739">
        <f t="shared" si="1001"/>
        <v>1743468.9682952345</v>
      </c>
      <c r="S739">
        <f t="shared" si="1002"/>
        <v>17.434689682952346</v>
      </c>
      <c r="T739">
        <f t="shared" si="1003"/>
        <v>1.7434689682952347E-2</v>
      </c>
    </row>
    <row r="740" spans="1:20" x14ac:dyDescent="0.25">
      <c r="A740" s="5">
        <v>43853</v>
      </c>
      <c r="B740">
        <v>168.07</v>
      </c>
      <c r="C740">
        <v>168.2</v>
      </c>
      <c r="D740">
        <v>159.21</v>
      </c>
      <c r="E740">
        <v>162.81</v>
      </c>
      <c r="F740">
        <v>373414.34985</v>
      </c>
      <c r="G740">
        <v>0</v>
      </c>
      <c r="L740" t="s">
        <v>7</v>
      </c>
      <c r="M740" t="s">
        <v>8</v>
      </c>
      <c r="N740" t="s">
        <v>8</v>
      </c>
      <c r="P740">
        <f t="shared" si="999"/>
        <v>-0.1991101223581753</v>
      </c>
      <c r="Q740">
        <f t="shared" si="1000"/>
        <v>-74350.576888931973</v>
      </c>
      <c r="R740">
        <f t="shared" si="1001"/>
        <v>1498023.232225392</v>
      </c>
      <c r="S740">
        <f t="shared" si="1002"/>
        <v>14.98023232225392</v>
      </c>
      <c r="T740">
        <f t="shared" si="1003"/>
        <v>1.4980232322253921E-2</v>
      </c>
    </row>
    <row r="741" spans="1:20" x14ac:dyDescent="0.25">
      <c r="A741" s="5">
        <v>43852</v>
      </c>
      <c r="B741">
        <v>169.48</v>
      </c>
      <c r="C741">
        <v>171.47</v>
      </c>
      <c r="D741">
        <v>166.03</v>
      </c>
      <c r="E741">
        <v>168.07</v>
      </c>
      <c r="F741">
        <v>272240.90285999997</v>
      </c>
      <c r="G741">
        <v>0</v>
      </c>
      <c r="L741" t="s">
        <v>7</v>
      </c>
      <c r="M741" t="s">
        <v>8</v>
      </c>
      <c r="N741" t="s">
        <v>8</v>
      </c>
      <c r="P741">
        <f t="shared" si="999"/>
        <v>-0.25000000000000261</v>
      </c>
      <c r="Q741">
        <f t="shared" si="1000"/>
        <v>-68060.225715000706</v>
      </c>
      <c r="R741">
        <f t="shared" si="1001"/>
        <v>1572373.8091143239</v>
      </c>
      <c r="S741">
        <f t="shared" si="1002"/>
        <v>15.72373809114324</v>
      </c>
      <c r="T741">
        <f t="shared" si="1003"/>
        <v>1.572373809114324E-2</v>
      </c>
    </row>
    <row r="742" spans="1:20" x14ac:dyDescent="0.25">
      <c r="A742" s="5">
        <v>43851</v>
      </c>
      <c r="B742">
        <v>166.86</v>
      </c>
      <c r="C742">
        <v>170.32</v>
      </c>
      <c r="D742">
        <v>164.8</v>
      </c>
      <c r="E742">
        <v>169.49</v>
      </c>
      <c r="F742">
        <v>308007.63530000002</v>
      </c>
      <c r="G742">
        <v>0</v>
      </c>
      <c r="L742" t="s">
        <v>7</v>
      </c>
      <c r="M742" t="s">
        <v>8</v>
      </c>
      <c r="N742" t="s">
        <v>8</v>
      </c>
      <c r="P742">
        <f t="shared" si="999"/>
        <v>0.69927536231884535</v>
      </c>
      <c r="Q742">
        <f t="shared" si="1000"/>
        <v>215382.15077137831</v>
      </c>
      <c r="R742">
        <f t="shared" si="1001"/>
        <v>1640434.0348293246</v>
      </c>
      <c r="S742">
        <f t="shared" si="1002"/>
        <v>16.404340348293246</v>
      </c>
      <c r="T742">
        <f t="shared" si="1003"/>
        <v>1.6404340348293245E-2</v>
      </c>
    </row>
    <row r="743" spans="1:20" x14ac:dyDescent="0.25">
      <c r="A743" s="5">
        <v>43850</v>
      </c>
      <c r="B743">
        <v>166.79</v>
      </c>
      <c r="C743">
        <v>169.33</v>
      </c>
      <c r="D743">
        <v>161.24</v>
      </c>
      <c r="E743">
        <v>166.87</v>
      </c>
      <c r="F743">
        <v>358092.88410000002</v>
      </c>
      <c r="G743">
        <v>0</v>
      </c>
      <c r="L743" t="s">
        <v>7</v>
      </c>
      <c r="M743" t="s">
        <v>8</v>
      </c>
      <c r="N743" t="s">
        <v>8</v>
      </c>
      <c r="P743">
        <f t="shared" si="999"/>
        <v>0.39184177997527642</v>
      </c>
      <c r="Q743">
        <f t="shared" si="1000"/>
        <v>140315.75310222438</v>
      </c>
      <c r="R743">
        <f t="shared" si="1001"/>
        <v>1425051.8840579463</v>
      </c>
      <c r="S743">
        <f t="shared" si="1002"/>
        <v>14.250518840579463</v>
      </c>
      <c r="T743">
        <f t="shared" si="1003"/>
        <v>1.4250518840579464E-2</v>
      </c>
    </row>
    <row r="744" spans="1:20" x14ac:dyDescent="0.25">
      <c r="A744" s="5">
        <v>43849</v>
      </c>
      <c r="B744">
        <v>174.1</v>
      </c>
      <c r="C744">
        <v>178.05</v>
      </c>
      <c r="D744">
        <v>161.66</v>
      </c>
      <c r="E744">
        <v>166.79</v>
      </c>
      <c r="F744">
        <v>624681.28604000004</v>
      </c>
      <c r="G744">
        <v>0</v>
      </c>
      <c r="L744" t="s">
        <v>7</v>
      </c>
      <c r="M744" t="s">
        <v>8</v>
      </c>
      <c r="N744" t="s">
        <v>8</v>
      </c>
      <c r="P744">
        <f t="shared" si="999"/>
        <v>-0.37400854179377779</v>
      </c>
      <c r="Q744">
        <f t="shared" si="1000"/>
        <v>-233636.13687768221</v>
      </c>
      <c r="R744">
        <f t="shared" si="1001"/>
        <v>1284736.130955722</v>
      </c>
      <c r="S744">
        <f t="shared" si="1002"/>
        <v>12.84736130955722</v>
      </c>
      <c r="T744">
        <f t="shared" si="1003"/>
        <v>1.284736130955722E-2</v>
      </c>
    </row>
    <row r="745" spans="1:20" x14ac:dyDescent="0.25">
      <c r="A745" s="5">
        <v>43848</v>
      </c>
      <c r="B745">
        <v>169.92</v>
      </c>
      <c r="C745">
        <v>179.5</v>
      </c>
      <c r="D745">
        <v>164.92</v>
      </c>
      <c r="E745">
        <v>174.14</v>
      </c>
      <c r="F745">
        <v>688783.17981999996</v>
      </c>
      <c r="G745">
        <v>0</v>
      </c>
      <c r="L745" t="s">
        <v>8</v>
      </c>
      <c r="M745" t="s">
        <v>8</v>
      </c>
      <c r="N745" t="s">
        <v>8</v>
      </c>
      <c r="P745">
        <f t="shared" si="999"/>
        <v>0.26474622770918943</v>
      </c>
      <c r="Q745">
        <f t="shared" si="1000"/>
        <v>182352.74856688528</v>
      </c>
      <c r="R745">
        <f t="shared" si="1001"/>
        <v>1518372.2678334042</v>
      </c>
      <c r="S745">
        <f t="shared" si="1002"/>
        <v>15.183722678334043</v>
      </c>
      <c r="T745">
        <f t="shared" si="1003"/>
        <v>1.5183722678334042E-2</v>
      </c>
    </row>
    <row r="746" spans="1:20" x14ac:dyDescent="0.25">
      <c r="A746" s="5">
        <v>43847</v>
      </c>
      <c r="B746">
        <v>164.24</v>
      </c>
      <c r="C746">
        <v>174.81</v>
      </c>
      <c r="D746">
        <v>162.13999999999999</v>
      </c>
      <c r="E746">
        <v>169.85</v>
      </c>
      <c r="F746">
        <v>767180.67853000003</v>
      </c>
      <c r="G746">
        <v>0</v>
      </c>
      <c r="L746" t="s">
        <v>8</v>
      </c>
      <c r="M746" t="s">
        <v>8</v>
      </c>
      <c r="N746" t="s">
        <v>8</v>
      </c>
      <c r="P746">
        <f t="shared" si="999"/>
        <v>0.21704814522494054</v>
      </c>
      <c r="Q746">
        <f t="shared" si="1000"/>
        <v>166515.14332734788</v>
      </c>
      <c r="R746">
        <f t="shared" si="1001"/>
        <v>1336019.519266519</v>
      </c>
      <c r="S746">
        <f t="shared" si="1002"/>
        <v>13.36019519266519</v>
      </c>
      <c r="T746">
        <f t="shared" si="1003"/>
        <v>1.3360195192665189E-2</v>
      </c>
    </row>
    <row r="747" spans="1:20" x14ac:dyDescent="0.25">
      <c r="A747" s="5">
        <v>43846</v>
      </c>
      <c r="B747">
        <v>166.4</v>
      </c>
      <c r="C747">
        <v>167.4</v>
      </c>
      <c r="D747">
        <v>157.80000000000001</v>
      </c>
      <c r="E747">
        <v>164.21</v>
      </c>
      <c r="F747">
        <v>456170.86719000002</v>
      </c>
      <c r="G747">
        <v>0</v>
      </c>
      <c r="L747" t="s">
        <v>7</v>
      </c>
      <c r="M747" t="s">
        <v>8</v>
      </c>
      <c r="N747" t="s">
        <v>8</v>
      </c>
      <c r="P747">
        <f t="shared" si="999"/>
        <v>0.33541666666666675</v>
      </c>
      <c r="Q747">
        <f t="shared" si="1000"/>
        <v>153007.31170331253</v>
      </c>
      <c r="R747">
        <f t="shared" si="1001"/>
        <v>1169504.3759391711</v>
      </c>
      <c r="S747">
        <f t="shared" si="1002"/>
        <v>11.69504375939171</v>
      </c>
      <c r="T747">
        <f t="shared" si="1003"/>
        <v>1.169504375939171E-2</v>
      </c>
    </row>
    <row r="748" spans="1:20" x14ac:dyDescent="0.25">
      <c r="A748" s="5">
        <v>43845</v>
      </c>
      <c r="B748">
        <v>165.6</v>
      </c>
      <c r="C748">
        <v>171.98</v>
      </c>
      <c r="D748">
        <v>159.19999999999999</v>
      </c>
      <c r="E748">
        <v>166.4</v>
      </c>
      <c r="F748">
        <v>721687.80380999995</v>
      </c>
      <c r="G748">
        <v>0</v>
      </c>
      <c r="L748" t="s">
        <v>8</v>
      </c>
      <c r="M748" t="s">
        <v>8</v>
      </c>
      <c r="N748" t="s">
        <v>8</v>
      </c>
      <c r="P748">
        <f t="shared" si="999"/>
        <v>0.12676056338028427</v>
      </c>
      <c r="Q748">
        <f t="shared" si="1000"/>
        <v>91481.552595635658</v>
      </c>
      <c r="R748">
        <f t="shared" si="1001"/>
        <v>1016497.0642358586</v>
      </c>
      <c r="S748">
        <f t="shared" si="1002"/>
        <v>10.164970642358586</v>
      </c>
      <c r="T748">
        <f t="shared" si="1003"/>
        <v>1.0164970642358585E-2</v>
      </c>
    </row>
    <row r="749" spans="1:20" x14ac:dyDescent="0.25">
      <c r="A749" s="5">
        <v>43844</v>
      </c>
      <c r="B749">
        <v>143.58000000000001</v>
      </c>
      <c r="C749">
        <v>171.7</v>
      </c>
      <c r="D749">
        <v>143.51</v>
      </c>
      <c r="E749">
        <v>165.64</v>
      </c>
      <c r="F749">
        <v>1108476.31186</v>
      </c>
      <c r="G749">
        <v>0</v>
      </c>
      <c r="L749" t="s">
        <v>8</v>
      </c>
      <c r="M749" t="s">
        <v>8</v>
      </c>
      <c r="N749" t="s">
        <v>8</v>
      </c>
      <c r="P749">
        <f t="shared" si="999"/>
        <v>0.57006030507272065</v>
      </c>
      <c r="Q749">
        <f t="shared" si="1000"/>
        <v>631898.34450479585</v>
      </c>
      <c r="R749">
        <f t="shared" si="1001"/>
        <v>925015.51164022298</v>
      </c>
      <c r="S749">
        <f t="shared" si="1002"/>
        <v>9.2501551164022295</v>
      </c>
      <c r="T749">
        <f t="shared" si="1003"/>
        <v>9.2501551164022294E-3</v>
      </c>
    </row>
    <row r="750" spans="1:20" x14ac:dyDescent="0.25">
      <c r="A750" s="5">
        <v>43843</v>
      </c>
      <c r="B750">
        <v>146.56</v>
      </c>
      <c r="C750">
        <v>147</v>
      </c>
      <c r="D750">
        <v>142.27000000000001</v>
      </c>
      <c r="E750">
        <v>143.58000000000001</v>
      </c>
      <c r="F750">
        <v>207996.61864999999</v>
      </c>
      <c r="G750">
        <v>0</v>
      </c>
      <c r="L750" t="s">
        <v>8</v>
      </c>
      <c r="M750" t="s">
        <v>8</v>
      </c>
      <c r="N750" t="s">
        <v>7</v>
      </c>
      <c r="P750">
        <f t="shared" si="999"/>
        <v>-0.44608879492600206</v>
      </c>
      <c r="Q750">
        <f t="shared" si="1000"/>
        <v>-92784.960962261699</v>
      </c>
      <c r="R750">
        <f t="shared" si="1001"/>
        <v>293117.16713542707</v>
      </c>
      <c r="S750">
        <f t="shared" si="1002"/>
        <v>2.9311716713542708</v>
      </c>
      <c r="T750">
        <f t="shared" si="1003"/>
        <v>2.931171671354271E-3</v>
      </c>
    </row>
    <row r="751" spans="1:20" x14ac:dyDescent="0.25">
      <c r="A751" s="5">
        <v>43842</v>
      </c>
      <c r="B751">
        <v>142.4</v>
      </c>
      <c r="C751">
        <v>146.6</v>
      </c>
      <c r="D751">
        <v>141.76</v>
      </c>
      <c r="E751">
        <v>146.54</v>
      </c>
      <c r="F751">
        <v>229541.86137</v>
      </c>
      <c r="G751">
        <v>0</v>
      </c>
      <c r="L751" t="s">
        <v>8</v>
      </c>
      <c r="M751" t="s">
        <v>8</v>
      </c>
      <c r="N751" t="s">
        <v>7</v>
      </c>
      <c r="P751">
        <f t="shared" si="999"/>
        <v>0.97520661157024702</v>
      </c>
      <c r="Q751">
        <f t="shared" si="1000"/>
        <v>223850.74084016509</v>
      </c>
      <c r="R751">
        <f t="shared" si="1001"/>
        <v>385902.12809768878</v>
      </c>
      <c r="S751">
        <f t="shared" si="1002"/>
        <v>3.8590212809768878</v>
      </c>
      <c r="T751">
        <f t="shared" si="1003"/>
        <v>3.8590212809768878E-3</v>
      </c>
    </row>
    <row r="752" spans="1:20" x14ac:dyDescent="0.25">
      <c r="A752" s="5">
        <v>43841</v>
      </c>
      <c r="B752">
        <v>144.83000000000001</v>
      </c>
      <c r="C752">
        <v>148.05000000000001</v>
      </c>
      <c r="D752">
        <v>142.09</v>
      </c>
      <c r="E752">
        <v>142.38</v>
      </c>
      <c r="F752">
        <v>368350.57939000003</v>
      </c>
      <c r="G752">
        <v>0</v>
      </c>
      <c r="L752" t="s">
        <v>8</v>
      </c>
      <c r="M752" t="s">
        <v>8</v>
      </c>
      <c r="N752" t="s">
        <v>7</v>
      </c>
      <c r="P752">
        <f t="shared" si="999"/>
        <v>-0.90268456375839201</v>
      </c>
      <c r="Q752">
        <f t="shared" si="1000"/>
        <v>-332504.38206681312</v>
      </c>
      <c r="R752">
        <f t="shared" si="1001"/>
        <v>162051.38725752366</v>
      </c>
      <c r="S752">
        <f t="shared" si="1002"/>
        <v>1.6205138725752366</v>
      </c>
      <c r="T752">
        <f t="shared" si="1003"/>
        <v>1.6205138725752365E-3</v>
      </c>
    </row>
    <row r="753" spans="1:20" x14ac:dyDescent="0.25">
      <c r="A753" s="5">
        <v>43840</v>
      </c>
      <c r="B753">
        <v>137.72999999999999</v>
      </c>
      <c r="C753">
        <v>145.16999999999999</v>
      </c>
      <c r="D753">
        <v>135.32</v>
      </c>
      <c r="E753">
        <v>144.84</v>
      </c>
      <c r="F753">
        <v>409403.59506999998</v>
      </c>
      <c r="G753">
        <v>0</v>
      </c>
      <c r="L753" t="s">
        <v>8</v>
      </c>
      <c r="M753" t="s">
        <v>8</v>
      </c>
      <c r="N753" t="s">
        <v>7</v>
      </c>
      <c r="P753">
        <f t="shared" si="999"/>
        <v>0.93299492385787119</v>
      </c>
      <c r="Q753">
        <f t="shared" si="1000"/>
        <v>381971.47600947338</v>
      </c>
      <c r="R753">
        <f t="shared" si="1001"/>
        <v>494555.76932433678</v>
      </c>
      <c r="S753">
        <f t="shared" si="1002"/>
        <v>4.9455576932433676</v>
      </c>
      <c r="T753">
        <f t="shared" si="1003"/>
        <v>4.9455576932433678E-3</v>
      </c>
    </row>
    <row r="754" spans="1:20" x14ac:dyDescent="0.25">
      <c r="A754" s="5">
        <v>43839</v>
      </c>
      <c r="B754">
        <v>140.76</v>
      </c>
      <c r="C754">
        <v>141.5</v>
      </c>
      <c r="D754">
        <v>135.30000000000001</v>
      </c>
      <c r="E754">
        <v>137.74</v>
      </c>
      <c r="F754">
        <v>366076.06569000002</v>
      </c>
      <c r="G754">
        <v>0</v>
      </c>
      <c r="L754" t="s">
        <v>7</v>
      </c>
      <c r="M754" t="s">
        <v>8</v>
      </c>
      <c r="N754" t="s">
        <v>7</v>
      </c>
      <c r="P754">
        <f t="shared" si="999"/>
        <v>-0.21290322580645091</v>
      </c>
      <c r="Q754">
        <f t="shared" si="1000"/>
        <v>-77938.77527593523</v>
      </c>
      <c r="R754">
        <f t="shared" si="1001"/>
        <v>112584.29331486339</v>
      </c>
      <c r="S754">
        <f t="shared" si="1002"/>
        <v>1.1258429331486339</v>
      </c>
      <c r="T754">
        <f t="shared" si="1003"/>
        <v>1.1258429331486338E-3</v>
      </c>
    </row>
    <row r="755" spans="1:20" x14ac:dyDescent="0.25">
      <c r="A755" s="5">
        <v>43838</v>
      </c>
      <c r="B755">
        <v>142.80000000000001</v>
      </c>
      <c r="C755">
        <v>147.77000000000001</v>
      </c>
      <c r="D755">
        <v>137.03</v>
      </c>
      <c r="E755">
        <v>140.72</v>
      </c>
      <c r="F755">
        <v>570465.57764000003</v>
      </c>
      <c r="G755">
        <v>0</v>
      </c>
      <c r="L755" t="s">
        <v>8</v>
      </c>
      <c r="M755" t="s">
        <v>8</v>
      </c>
      <c r="N755" t="s">
        <v>7</v>
      </c>
      <c r="P755">
        <f t="shared" si="999"/>
        <v>-0.31284916201117419</v>
      </c>
      <c r="Q755">
        <f t="shared" si="1000"/>
        <v>-178469.67792089444</v>
      </c>
      <c r="R755">
        <f t="shared" si="1001"/>
        <v>190523.06859079862</v>
      </c>
      <c r="S755">
        <f t="shared" si="1002"/>
        <v>1.9052306859079862</v>
      </c>
      <c r="T755">
        <f t="shared" si="1003"/>
        <v>1.9052306859079862E-3</v>
      </c>
    </row>
    <row r="756" spans="1:20" x14ac:dyDescent="0.25">
      <c r="A756" s="5">
        <v>43837</v>
      </c>
      <c r="B756">
        <v>144.13999999999999</v>
      </c>
      <c r="C756">
        <v>145.31</v>
      </c>
      <c r="D756">
        <v>138.76</v>
      </c>
      <c r="E756">
        <v>142.80000000000001</v>
      </c>
      <c r="F756">
        <v>447762.17281000002</v>
      </c>
      <c r="G756">
        <v>0</v>
      </c>
      <c r="L756" t="s">
        <v>8</v>
      </c>
      <c r="M756" t="s">
        <v>8</v>
      </c>
      <c r="N756" t="s">
        <v>7</v>
      </c>
      <c r="P756">
        <f t="shared" si="999"/>
        <v>0.2335877862595461</v>
      </c>
      <c r="Q756">
        <f t="shared" si="1000"/>
        <v>104591.77471745222</v>
      </c>
      <c r="R756">
        <f t="shared" si="1001"/>
        <v>368992.74651169305</v>
      </c>
      <c r="S756">
        <f t="shared" si="1002"/>
        <v>3.6899274651169307</v>
      </c>
      <c r="T756">
        <f t="shared" si="1003"/>
        <v>3.6899274651169306E-3</v>
      </c>
    </row>
    <row r="757" spans="1:20" x14ac:dyDescent="0.25">
      <c r="A757" s="5">
        <v>43836</v>
      </c>
      <c r="B757">
        <v>135.37</v>
      </c>
      <c r="C757">
        <v>144.41</v>
      </c>
      <c r="D757">
        <v>134.86000000000001</v>
      </c>
      <c r="E757">
        <v>144.15</v>
      </c>
      <c r="F757">
        <v>408020.27374999999</v>
      </c>
      <c r="G757">
        <v>0</v>
      </c>
      <c r="L757" t="s">
        <v>8</v>
      </c>
      <c r="M757" t="s">
        <v>8</v>
      </c>
      <c r="N757" t="s">
        <v>7</v>
      </c>
      <c r="P757">
        <f t="shared" si="999"/>
        <v>0.94554973821989707</v>
      </c>
      <c r="Q757">
        <f t="shared" si="1000"/>
        <v>385803.46303272323</v>
      </c>
      <c r="R757">
        <f t="shared" si="1001"/>
        <v>264400.97179424082</v>
      </c>
      <c r="S757">
        <f t="shared" si="1002"/>
        <v>2.6440097179424082</v>
      </c>
      <c r="T757">
        <f t="shared" si="1003"/>
        <v>2.6440097179424083E-3</v>
      </c>
    </row>
    <row r="758" spans="1:20" x14ac:dyDescent="0.25">
      <c r="A758" s="5">
        <v>43835</v>
      </c>
      <c r="B758">
        <v>134.19999999999999</v>
      </c>
      <c r="C758">
        <v>138.19</v>
      </c>
      <c r="D758">
        <v>134.19</v>
      </c>
      <c r="E758">
        <v>135.37</v>
      </c>
      <c r="F758">
        <v>254120.45342999999</v>
      </c>
      <c r="G758">
        <v>0</v>
      </c>
      <c r="L758" t="s">
        <v>8</v>
      </c>
      <c r="M758" t="s">
        <v>8</v>
      </c>
      <c r="N758" t="s">
        <v>7</v>
      </c>
      <c r="P758">
        <f t="shared" si="999"/>
        <v>-0.40999999999999659</v>
      </c>
      <c r="Q758">
        <f t="shared" si="1000"/>
        <v>-104189.38590629913</v>
      </c>
      <c r="R758">
        <f t="shared" si="1001"/>
        <v>-121402.49123848241</v>
      </c>
      <c r="S758">
        <f t="shared" si="1002"/>
        <v>-1.2140249123848241</v>
      </c>
      <c r="T758">
        <f t="shared" si="1003"/>
        <v>-1.2140249123848241E-3</v>
      </c>
    </row>
    <row r="759" spans="1:20" x14ac:dyDescent="0.25">
      <c r="A759" s="5">
        <v>43834</v>
      </c>
      <c r="B759">
        <v>134.37</v>
      </c>
      <c r="C759">
        <v>135.85</v>
      </c>
      <c r="D759">
        <v>132.5</v>
      </c>
      <c r="E759">
        <v>134.19999999999999</v>
      </c>
      <c r="F759">
        <v>184276.17102000001</v>
      </c>
      <c r="G759">
        <v>0</v>
      </c>
      <c r="L759" t="s">
        <v>8</v>
      </c>
      <c r="M759" t="s">
        <v>7</v>
      </c>
      <c r="N759" t="s">
        <v>7</v>
      </c>
      <c r="P759">
        <f t="shared" si="999"/>
        <v>1.4925373134323293E-2</v>
      </c>
      <c r="Q759">
        <f t="shared" si="1000"/>
        <v>2750.3906122378726</v>
      </c>
      <c r="R759">
        <f t="shared" si="1001"/>
        <v>-17213.105332183284</v>
      </c>
      <c r="S759">
        <f t="shared" si="1002"/>
        <v>-0.17213105332183284</v>
      </c>
      <c r="T759">
        <f t="shared" si="1003"/>
        <v>-1.7213105332183285E-4</v>
      </c>
    </row>
    <row r="760" spans="1:20" x14ac:dyDescent="0.25">
      <c r="A760" s="5">
        <v>43833</v>
      </c>
      <c r="B760">
        <v>127.19</v>
      </c>
      <c r="C760">
        <v>135.13999999999999</v>
      </c>
      <c r="D760">
        <v>125.88</v>
      </c>
      <c r="E760">
        <v>134.35</v>
      </c>
      <c r="F760">
        <v>413055.18894999998</v>
      </c>
      <c r="G760">
        <v>0</v>
      </c>
      <c r="L760" t="s">
        <v>7</v>
      </c>
      <c r="M760" t="s">
        <v>7</v>
      </c>
      <c r="N760" t="s">
        <v>7</v>
      </c>
      <c r="P760">
        <f t="shared" si="999"/>
        <v>0.82937365010799291</v>
      </c>
      <c r="Q760">
        <f t="shared" si="1000"/>
        <v>342577.08975550818</v>
      </c>
      <c r="R760">
        <f t="shared" si="1001"/>
        <v>-19963.495944421156</v>
      </c>
      <c r="S760">
        <f t="shared" si="1002"/>
        <v>-0.19963495944421156</v>
      </c>
      <c r="T760">
        <f t="shared" si="1003"/>
        <v>-1.9963495944421155E-4</v>
      </c>
    </row>
    <row r="761" spans="1:20" x14ac:dyDescent="0.25">
      <c r="A761" s="5">
        <v>43832</v>
      </c>
      <c r="B761">
        <v>130.72</v>
      </c>
      <c r="C761">
        <v>130.78</v>
      </c>
      <c r="D761">
        <v>126.38</v>
      </c>
      <c r="E761">
        <v>127.19</v>
      </c>
      <c r="F761">
        <v>213757.05806000001</v>
      </c>
      <c r="G761">
        <v>0</v>
      </c>
      <c r="L761" t="s">
        <v>7</v>
      </c>
      <c r="M761" t="s">
        <v>7</v>
      </c>
      <c r="N761" t="s">
        <v>7</v>
      </c>
      <c r="P761">
        <f t="shared" si="999"/>
        <v>-0.63181818181818128</v>
      </c>
      <c r="Q761">
        <f t="shared" si="1000"/>
        <v>-135055.59577427263</v>
      </c>
      <c r="R761">
        <f t="shared" si="1001"/>
        <v>-362540.58569992933</v>
      </c>
      <c r="S761">
        <f t="shared" si="1002"/>
        <v>-3.6254058569992935</v>
      </c>
      <c r="T761">
        <f t="shared" si="1003"/>
        <v>-3.6254058569992935E-3</v>
      </c>
    </row>
    <row r="762" spans="1:20" x14ac:dyDescent="0.25">
      <c r="A762" s="5">
        <v>43831</v>
      </c>
      <c r="B762">
        <v>129.16</v>
      </c>
      <c r="C762">
        <v>133.05000000000001</v>
      </c>
      <c r="D762">
        <v>128.68</v>
      </c>
      <c r="E762">
        <v>130.77000000000001</v>
      </c>
      <c r="F762">
        <v>144770.52197</v>
      </c>
      <c r="G762">
        <v>0</v>
      </c>
      <c r="L762" t="s">
        <v>8</v>
      </c>
      <c r="M762" t="s">
        <v>7</v>
      </c>
      <c r="N762" t="s">
        <v>7</v>
      </c>
      <c r="P762">
        <f t="shared" si="999"/>
        <v>-4.3478260869564654E-2</v>
      </c>
      <c r="Q762">
        <f t="shared" si="1000"/>
        <v>-6294.3705204347016</v>
      </c>
      <c r="R762">
        <f t="shared" si="1001"/>
        <v>-227484.9899256567</v>
      </c>
      <c r="S762">
        <f t="shared" si="1002"/>
        <v>-2.2748498992565671</v>
      </c>
      <c r="T762">
        <f t="shared" si="1003"/>
        <v>-2.274849899256567E-3</v>
      </c>
    </row>
    <row r="763" spans="1:20" x14ac:dyDescent="0.25">
      <c r="A763" s="5">
        <v>43830</v>
      </c>
      <c r="B763">
        <v>131.61000000000001</v>
      </c>
      <c r="C763">
        <v>133.68</v>
      </c>
      <c r="D763">
        <v>128.16999999999999</v>
      </c>
      <c r="E763">
        <v>129.16</v>
      </c>
      <c r="F763">
        <v>264933.98418000003</v>
      </c>
      <c r="G763">
        <v>0</v>
      </c>
      <c r="L763" t="s">
        <v>8</v>
      </c>
      <c r="M763" t="s">
        <v>7</v>
      </c>
      <c r="N763" t="s">
        <v>7</v>
      </c>
      <c r="P763">
        <f t="shared" si="999"/>
        <v>-0.64065335753175845</v>
      </c>
      <c r="Q763">
        <f t="shared" si="1000"/>
        <v>-169730.84648918279</v>
      </c>
      <c r="R763">
        <f t="shared" si="1001"/>
        <v>-221190.61940522201</v>
      </c>
      <c r="S763">
        <f t="shared" si="1002"/>
        <v>-2.21190619405222</v>
      </c>
      <c r="T763">
        <f t="shared" si="1003"/>
        <v>-2.2119061940522201E-3</v>
      </c>
    </row>
    <row r="764" spans="1:20" x14ac:dyDescent="0.25">
      <c r="A764" s="5">
        <v>43829</v>
      </c>
      <c r="B764">
        <v>134.36000000000001</v>
      </c>
      <c r="C764">
        <v>136.24</v>
      </c>
      <c r="D764">
        <v>130.30000000000001</v>
      </c>
      <c r="E764">
        <v>131.59</v>
      </c>
      <c r="F764">
        <v>320347.21956</v>
      </c>
      <c r="G764">
        <v>0</v>
      </c>
      <c r="L764" t="s">
        <v>8</v>
      </c>
      <c r="M764" t="s">
        <v>7</v>
      </c>
      <c r="N764" t="s">
        <v>7</v>
      </c>
      <c r="P764">
        <f t="shared" si="999"/>
        <v>-0.56565656565656819</v>
      </c>
      <c r="Q764">
        <f t="shared" si="1000"/>
        <v>-181206.50803394019</v>
      </c>
      <c r="R764">
        <f t="shared" si="1001"/>
        <v>-51459.772916039234</v>
      </c>
      <c r="S764">
        <f t="shared" si="1002"/>
        <v>-0.51459772916039237</v>
      </c>
      <c r="T764">
        <f t="shared" si="1003"/>
        <v>-5.1459772916039232E-4</v>
      </c>
    </row>
    <row r="765" spans="1:20" x14ac:dyDescent="0.25">
      <c r="A765" s="5">
        <v>43828</v>
      </c>
      <c r="B765">
        <v>128.11000000000001</v>
      </c>
      <c r="C765">
        <v>138.07</v>
      </c>
      <c r="D765">
        <v>127.52</v>
      </c>
      <c r="E765">
        <v>134.36000000000001</v>
      </c>
      <c r="F765">
        <v>316347.26666000002</v>
      </c>
      <c r="G765">
        <v>0</v>
      </c>
      <c r="L765" t="s">
        <v>8</v>
      </c>
      <c r="M765" t="s">
        <v>7</v>
      </c>
      <c r="N765" t="s">
        <v>7</v>
      </c>
      <c r="P765">
        <f t="shared" si="999"/>
        <v>0.29668246445497998</v>
      </c>
      <c r="Q765">
        <f t="shared" si="1000"/>
        <v>93854.686696285527</v>
      </c>
      <c r="R765">
        <f t="shared" si="1001"/>
        <v>129746.73511790096</v>
      </c>
      <c r="S765">
        <f t="shared" si="1002"/>
        <v>1.2974673511790096</v>
      </c>
      <c r="T765">
        <f t="shared" si="1003"/>
        <v>1.2974673511790095E-3</v>
      </c>
    </row>
    <row r="766" spans="1:20" x14ac:dyDescent="0.25">
      <c r="A766" s="5">
        <v>43827</v>
      </c>
      <c r="B766">
        <v>126.28</v>
      </c>
      <c r="C766">
        <v>129.68</v>
      </c>
      <c r="D766">
        <v>125.84</v>
      </c>
      <c r="E766">
        <v>128.11000000000001</v>
      </c>
      <c r="F766">
        <v>196893.52277000001</v>
      </c>
      <c r="G766">
        <v>0</v>
      </c>
      <c r="L766" t="s">
        <v>7</v>
      </c>
      <c r="M766" t="s">
        <v>7</v>
      </c>
      <c r="N766" t="s">
        <v>7</v>
      </c>
      <c r="P766">
        <f t="shared" si="999"/>
        <v>0.18229166666667096</v>
      </c>
      <c r="Q766">
        <f t="shared" si="1000"/>
        <v>35892.048421615429</v>
      </c>
      <c r="R766">
        <f>R768+Q766</f>
        <v>35892.048421615429</v>
      </c>
      <c r="S766">
        <f t="shared" si="1002"/>
        <v>0.3589204842161543</v>
      </c>
      <c r="T766">
        <f t="shared" si="1003"/>
        <v>3.589204842161543E-4</v>
      </c>
    </row>
    <row r="767" spans="1:20" x14ac:dyDescent="0.25">
      <c r="A767" s="5"/>
      <c r="C767"/>
      <c r="D767"/>
    </row>
    <row r="768" spans="1:20" x14ac:dyDescent="0.25">
      <c r="A768" s="5">
        <v>43826</v>
      </c>
      <c r="B768">
        <v>125.58</v>
      </c>
      <c r="C768">
        <v>127.1</v>
      </c>
      <c r="D768">
        <v>121.91</v>
      </c>
      <c r="E768">
        <v>126.29</v>
      </c>
      <c r="F768">
        <v>240012.37450999999</v>
      </c>
      <c r="G768">
        <v>0</v>
      </c>
      <c r="L768" t="s">
        <v>7</v>
      </c>
      <c r="M768" t="s">
        <v>7</v>
      </c>
      <c r="N768" t="s">
        <v>7</v>
      </c>
    </row>
    <row r="769" spans="1:14" x14ac:dyDescent="0.25">
      <c r="A769" s="5">
        <v>43825</v>
      </c>
      <c r="B769">
        <v>125.09</v>
      </c>
      <c r="C769">
        <v>132.26</v>
      </c>
      <c r="D769">
        <v>124.32</v>
      </c>
      <c r="E769">
        <v>125.58</v>
      </c>
      <c r="F769">
        <v>274986.52097000001</v>
      </c>
      <c r="G769">
        <v>0</v>
      </c>
      <c r="L769" t="s">
        <v>7</v>
      </c>
      <c r="M769" t="s">
        <v>7</v>
      </c>
      <c r="N769" t="s">
        <v>7</v>
      </c>
    </row>
    <row r="770" spans="1:14" x14ac:dyDescent="0.25">
      <c r="A770" s="5">
        <v>43824</v>
      </c>
      <c r="B770">
        <v>127.7</v>
      </c>
      <c r="C770">
        <v>127.84</v>
      </c>
      <c r="D770">
        <v>123.07</v>
      </c>
      <c r="E770">
        <v>125.09</v>
      </c>
      <c r="F770">
        <v>225004.4909</v>
      </c>
      <c r="G770">
        <v>0</v>
      </c>
      <c r="L770" t="s">
        <v>7</v>
      </c>
      <c r="M770" t="s">
        <v>7</v>
      </c>
      <c r="N770" t="s">
        <v>7</v>
      </c>
    </row>
    <row r="771" spans="1:14" x14ac:dyDescent="0.25">
      <c r="A771" s="5">
        <v>43823</v>
      </c>
      <c r="B771">
        <v>127.8</v>
      </c>
      <c r="C771">
        <v>129.69</v>
      </c>
      <c r="D771">
        <v>126.61</v>
      </c>
      <c r="E771">
        <v>127.75</v>
      </c>
      <c r="F771">
        <v>200637.10097999999</v>
      </c>
      <c r="G771">
        <v>0</v>
      </c>
      <c r="L771" t="s">
        <v>8</v>
      </c>
      <c r="M771" t="s">
        <v>7</v>
      </c>
      <c r="N771" t="s">
        <v>7</v>
      </c>
    </row>
    <row r="772" spans="1:14" x14ac:dyDescent="0.25">
      <c r="A772" s="5">
        <v>43822</v>
      </c>
      <c r="B772">
        <v>132.12</v>
      </c>
      <c r="C772">
        <v>135.1</v>
      </c>
      <c r="D772">
        <v>126</v>
      </c>
      <c r="E772">
        <v>127.8</v>
      </c>
      <c r="F772">
        <v>421600.75654999999</v>
      </c>
      <c r="G772">
        <v>0</v>
      </c>
      <c r="L772" t="s">
        <v>8</v>
      </c>
      <c r="M772" t="s">
        <v>7</v>
      </c>
      <c r="N772" t="s">
        <v>7</v>
      </c>
    </row>
    <row r="773" spans="1:14" x14ac:dyDescent="0.25">
      <c r="A773" s="5">
        <v>43821</v>
      </c>
      <c r="B773">
        <v>127</v>
      </c>
      <c r="C773">
        <v>133.07</v>
      </c>
      <c r="D773">
        <v>126.82</v>
      </c>
      <c r="E773">
        <v>132.09</v>
      </c>
      <c r="F773">
        <v>253140.72412999999</v>
      </c>
      <c r="G773">
        <v>0</v>
      </c>
      <c r="L773" t="s">
        <v>8</v>
      </c>
      <c r="M773" t="s">
        <v>7</v>
      </c>
      <c r="N773" t="s">
        <v>7</v>
      </c>
    </row>
    <row r="774" spans="1:14" x14ac:dyDescent="0.25">
      <c r="A774" s="5">
        <v>43820</v>
      </c>
      <c r="B774">
        <v>128.19</v>
      </c>
      <c r="C774">
        <v>128.4</v>
      </c>
      <c r="D774">
        <v>126.5</v>
      </c>
      <c r="E774">
        <v>126.99</v>
      </c>
      <c r="F774">
        <v>135196.11640999999</v>
      </c>
      <c r="G774">
        <v>0</v>
      </c>
      <c r="L774" t="s">
        <v>8</v>
      </c>
      <c r="M774" t="s">
        <v>7</v>
      </c>
      <c r="N774" t="s">
        <v>7</v>
      </c>
    </row>
    <row r="775" spans="1:14" x14ac:dyDescent="0.25">
      <c r="A775" s="5">
        <v>43819</v>
      </c>
      <c r="B775">
        <v>128.1</v>
      </c>
      <c r="C775">
        <v>129.38999999999999</v>
      </c>
      <c r="D775">
        <v>125.84</v>
      </c>
      <c r="E775">
        <v>128.19</v>
      </c>
      <c r="F775">
        <v>213897.46729999999</v>
      </c>
      <c r="G775">
        <v>0</v>
      </c>
      <c r="L775" t="s">
        <v>8</v>
      </c>
      <c r="M775" t="s">
        <v>7</v>
      </c>
      <c r="N775" t="s">
        <v>7</v>
      </c>
    </row>
    <row r="776" spans="1:14" x14ac:dyDescent="0.25">
      <c r="A776" s="5">
        <v>43818</v>
      </c>
      <c r="B776">
        <v>132.80000000000001</v>
      </c>
      <c r="C776">
        <v>134</v>
      </c>
      <c r="D776">
        <v>125.69</v>
      </c>
      <c r="E776">
        <v>128.1</v>
      </c>
      <c r="F776">
        <v>420674.81719999999</v>
      </c>
      <c r="G776">
        <v>0</v>
      </c>
      <c r="L776" t="s">
        <v>8</v>
      </c>
      <c r="M776" t="s">
        <v>7</v>
      </c>
      <c r="N776" t="s">
        <v>7</v>
      </c>
    </row>
    <row r="777" spans="1:14" x14ac:dyDescent="0.25">
      <c r="A777" s="5">
        <v>43817</v>
      </c>
      <c r="B777">
        <v>121.88</v>
      </c>
      <c r="C777">
        <v>134.87</v>
      </c>
      <c r="D777">
        <v>116.26</v>
      </c>
      <c r="E777">
        <v>132.78</v>
      </c>
      <c r="F777">
        <v>884960.91333999997</v>
      </c>
      <c r="G777">
        <v>0</v>
      </c>
      <c r="L777" t="s">
        <v>7</v>
      </c>
      <c r="M777" t="s">
        <v>7</v>
      </c>
      <c r="N777" t="s">
        <v>7</v>
      </c>
    </row>
    <row r="778" spans="1:14" x14ac:dyDescent="0.25">
      <c r="A778" s="5">
        <v>43816</v>
      </c>
      <c r="B778">
        <v>132.72</v>
      </c>
      <c r="C778">
        <v>132.97999999999999</v>
      </c>
      <c r="D778">
        <v>119.11</v>
      </c>
      <c r="E778">
        <v>121.88</v>
      </c>
      <c r="F778">
        <v>563257.36000999995</v>
      </c>
      <c r="G778">
        <v>0</v>
      </c>
      <c r="L778" t="s">
        <v>7</v>
      </c>
      <c r="M778" t="s">
        <v>7</v>
      </c>
      <c r="N778" t="s">
        <v>7</v>
      </c>
    </row>
    <row r="779" spans="1:14" x14ac:dyDescent="0.25">
      <c r="A779" s="5">
        <v>43815</v>
      </c>
      <c r="B779">
        <v>142.46</v>
      </c>
      <c r="C779">
        <v>142.72</v>
      </c>
      <c r="D779">
        <v>127.93</v>
      </c>
      <c r="E779">
        <v>132.72999999999999</v>
      </c>
      <c r="F779">
        <v>471018.85941999999</v>
      </c>
      <c r="G779">
        <v>0</v>
      </c>
      <c r="L779" t="s">
        <v>7</v>
      </c>
      <c r="M779" t="s">
        <v>7</v>
      </c>
      <c r="N779" t="s">
        <v>7</v>
      </c>
    </row>
    <row r="780" spans="1:14" x14ac:dyDescent="0.25">
      <c r="A780" s="5">
        <v>43814</v>
      </c>
      <c r="B780">
        <v>141.79</v>
      </c>
      <c r="C780">
        <v>144.12</v>
      </c>
      <c r="D780">
        <v>139.91999999999999</v>
      </c>
      <c r="E780">
        <v>142.46</v>
      </c>
      <c r="F780">
        <v>151189.65877000001</v>
      </c>
      <c r="G780">
        <v>0</v>
      </c>
      <c r="L780" t="s">
        <v>7</v>
      </c>
      <c r="M780" t="s">
        <v>8</v>
      </c>
      <c r="N780" t="s">
        <v>7</v>
      </c>
    </row>
    <row r="781" spans="1:14" x14ac:dyDescent="0.25">
      <c r="A781" s="5">
        <v>43813</v>
      </c>
      <c r="B781">
        <v>144.80000000000001</v>
      </c>
      <c r="C781">
        <v>145.07</v>
      </c>
      <c r="D781">
        <v>141.18</v>
      </c>
      <c r="E781">
        <v>141.79</v>
      </c>
      <c r="F781">
        <v>126232.59200999999</v>
      </c>
      <c r="G781">
        <v>0</v>
      </c>
      <c r="L781" t="s">
        <v>7</v>
      </c>
      <c r="M781" t="s">
        <v>8</v>
      </c>
      <c r="N781" t="s">
        <v>7</v>
      </c>
    </row>
    <row r="782" spans="1:14" x14ac:dyDescent="0.25">
      <c r="A782" s="5">
        <v>43812</v>
      </c>
      <c r="B782">
        <v>144.87</v>
      </c>
      <c r="C782">
        <v>146</v>
      </c>
      <c r="D782">
        <v>142.80000000000001</v>
      </c>
      <c r="E782">
        <v>144.80000000000001</v>
      </c>
      <c r="F782">
        <v>160695.18556000001</v>
      </c>
      <c r="G782">
        <v>0</v>
      </c>
      <c r="L782" t="s">
        <v>7</v>
      </c>
      <c r="M782" t="s">
        <v>8</v>
      </c>
      <c r="N782" t="s">
        <v>7</v>
      </c>
    </row>
    <row r="783" spans="1:14" x14ac:dyDescent="0.25">
      <c r="A783" s="5">
        <v>43811</v>
      </c>
      <c r="B783">
        <v>143.41</v>
      </c>
      <c r="C783">
        <v>145.85</v>
      </c>
      <c r="D783">
        <v>139.24</v>
      </c>
      <c r="E783">
        <v>144.87</v>
      </c>
      <c r="F783">
        <v>261615.30437</v>
      </c>
      <c r="G783">
        <v>0</v>
      </c>
      <c r="L783" t="s">
        <v>7</v>
      </c>
      <c r="M783" t="s">
        <v>8</v>
      </c>
      <c r="N783" t="s">
        <v>7</v>
      </c>
    </row>
    <row r="784" spans="1:14" x14ac:dyDescent="0.25">
      <c r="A784" s="5">
        <v>43810</v>
      </c>
      <c r="B784">
        <v>145.53</v>
      </c>
      <c r="C784">
        <v>146.34</v>
      </c>
      <c r="D784">
        <v>142.12</v>
      </c>
      <c r="E784">
        <v>143.38999999999999</v>
      </c>
      <c r="F784">
        <v>157843.10484000001</v>
      </c>
      <c r="G784">
        <v>0</v>
      </c>
      <c r="L784" t="s">
        <v>7</v>
      </c>
      <c r="M784" t="s">
        <v>8</v>
      </c>
      <c r="N784" t="s">
        <v>7</v>
      </c>
    </row>
    <row r="785" spans="1:14" x14ac:dyDescent="0.25">
      <c r="A785" s="5">
        <v>43809</v>
      </c>
      <c r="B785">
        <v>147.4</v>
      </c>
      <c r="C785">
        <v>148.57</v>
      </c>
      <c r="D785">
        <v>143.81</v>
      </c>
      <c r="E785">
        <v>145.56</v>
      </c>
      <c r="F785">
        <v>203215.84937000001</v>
      </c>
      <c r="G785">
        <v>0</v>
      </c>
      <c r="L785" t="s">
        <v>7</v>
      </c>
      <c r="M785" t="s">
        <v>8</v>
      </c>
      <c r="N785" t="s">
        <v>7</v>
      </c>
    </row>
    <row r="786" spans="1:14" x14ac:dyDescent="0.25">
      <c r="A786" s="5">
        <v>43808</v>
      </c>
      <c r="B786">
        <v>150.44</v>
      </c>
      <c r="C786">
        <v>151.19</v>
      </c>
      <c r="D786">
        <v>146.56</v>
      </c>
      <c r="E786">
        <v>147.38</v>
      </c>
      <c r="F786">
        <v>243775.99249</v>
      </c>
      <c r="G786">
        <v>0</v>
      </c>
      <c r="L786" t="s">
        <v>7</v>
      </c>
      <c r="M786" t="s">
        <v>8</v>
      </c>
      <c r="N786" t="s">
        <v>7</v>
      </c>
    </row>
    <row r="787" spans="1:14" x14ac:dyDescent="0.25">
      <c r="A787" s="5">
        <v>43807</v>
      </c>
      <c r="B787">
        <v>147.16</v>
      </c>
      <c r="C787">
        <v>151.62</v>
      </c>
      <c r="D787">
        <v>146.11000000000001</v>
      </c>
      <c r="E787">
        <v>150.44</v>
      </c>
      <c r="F787">
        <v>205301.60260000001</v>
      </c>
      <c r="G787">
        <v>0</v>
      </c>
      <c r="L787" t="s">
        <v>7</v>
      </c>
      <c r="M787" t="s">
        <v>8</v>
      </c>
      <c r="N787" t="s">
        <v>7</v>
      </c>
    </row>
    <row r="788" spans="1:14" x14ac:dyDescent="0.25">
      <c r="A788" s="5">
        <v>43806</v>
      </c>
      <c r="B788">
        <v>148.46</v>
      </c>
      <c r="C788">
        <v>149.49</v>
      </c>
      <c r="D788">
        <v>146.85</v>
      </c>
      <c r="E788">
        <v>147.13999999999999</v>
      </c>
      <c r="F788">
        <v>140471.68588</v>
      </c>
      <c r="G788">
        <v>0</v>
      </c>
      <c r="L788" t="s">
        <v>7</v>
      </c>
      <c r="M788" t="s">
        <v>8</v>
      </c>
      <c r="N788" t="s">
        <v>7</v>
      </c>
    </row>
    <row r="789" spans="1:14" x14ac:dyDescent="0.25">
      <c r="A789" s="5">
        <v>43805</v>
      </c>
      <c r="B789">
        <v>148.11000000000001</v>
      </c>
      <c r="C789">
        <v>149.77000000000001</v>
      </c>
      <c r="D789">
        <v>145.74</v>
      </c>
      <c r="E789">
        <v>148.44999999999999</v>
      </c>
      <c r="F789">
        <v>220674.68581</v>
      </c>
      <c r="G789">
        <v>0</v>
      </c>
      <c r="L789" t="s">
        <v>7</v>
      </c>
      <c r="M789" t="s">
        <v>8</v>
      </c>
      <c r="N789" t="s">
        <v>7</v>
      </c>
    </row>
    <row r="790" spans="1:14" x14ac:dyDescent="0.25">
      <c r="A790" s="5">
        <v>43804</v>
      </c>
      <c r="B790">
        <v>145.44999999999999</v>
      </c>
      <c r="C790">
        <v>149.02000000000001</v>
      </c>
      <c r="D790">
        <v>143.63999999999999</v>
      </c>
      <c r="E790">
        <v>148.1</v>
      </c>
      <c r="F790">
        <v>299073.53972</v>
      </c>
      <c r="G790">
        <v>0</v>
      </c>
      <c r="L790" t="s">
        <v>7</v>
      </c>
      <c r="M790" t="s">
        <v>8</v>
      </c>
      <c r="N790" t="s">
        <v>7</v>
      </c>
    </row>
    <row r="791" spans="1:14" x14ac:dyDescent="0.25">
      <c r="A791" s="5">
        <v>43803</v>
      </c>
      <c r="B791">
        <v>147.19</v>
      </c>
      <c r="C791">
        <v>151.97999999999999</v>
      </c>
      <c r="D791">
        <v>143.15</v>
      </c>
      <c r="E791">
        <v>145.38</v>
      </c>
      <c r="F791">
        <v>434430.62378999998</v>
      </c>
      <c r="G791">
        <v>0</v>
      </c>
      <c r="L791" t="s">
        <v>7</v>
      </c>
      <c r="M791" t="s">
        <v>8</v>
      </c>
      <c r="N791" t="s">
        <v>7</v>
      </c>
    </row>
    <row r="792" spans="1:14" x14ac:dyDescent="0.25">
      <c r="A792" s="5">
        <v>43802</v>
      </c>
      <c r="B792">
        <v>148.66</v>
      </c>
      <c r="C792">
        <v>149.93</v>
      </c>
      <c r="D792">
        <v>145.77000000000001</v>
      </c>
      <c r="E792">
        <v>147.16999999999999</v>
      </c>
      <c r="F792">
        <v>196329.22503</v>
      </c>
      <c r="G792">
        <v>0</v>
      </c>
      <c r="L792" t="s">
        <v>7</v>
      </c>
      <c r="M792" t="s">
        <v>8</v>
      </c>
      <c r="N792" t="s">
        <v>7</v>
      </c>
    </row>
    <row r="793" spans="1:14" x14ac:dyDescent="0.25">
      <c r="A793" s="5">
        <v>43801</v>
      </c>
      <c r="B793">
        <v>150.72</v>
      </c>
      <c r="C793">
        <v>151.41999999999999</v>
      </c>
      <c r="D793">
        <v>146.71</v>
      </c>
      <c r="E793">
        <v>148.65</v>
      </c>
      <c r="F793">
        <v>233839.09729999999</v>
      </c>
      <c r="G793">
        <v>0</v>
      </c>
      <c r="L793" t="s">
        <v>7</v>
      </c>
      <c r="M793" t="s">
        <v>8</v>
      </c>
      <c r="N793" t="s">
        <v>7</v>
      </c>
    </row>
    <row r="794" spans="1:14" x14ac:dyDescent="0.25">
      <c r="A794" s="5">
        <v>43800</v>
      </c>
      <c r="B794">
        <v>151.43</v>
      </c>
      <c r="C794">
        <v>152.49</v>
      </c>
      <c r="D794">
        <v>145.79</v>
      </c>
      <c r="E794">
        <v>150.72999999999999</v>
      </c>
      <c r="F794">
        <v>344178.14088000002</v>
      </c>
      <c r="G794">
        <v>0</v>
      </c>
      <c r="L794" t="s">
        <v>7</v>
      </c>
      <c r="M794" t="s">
        <v>8</v>
      </c>
      <c r="N794" t="s">
        <v>7</v>
      </c>
    </row>
    <row r="795" spans="1:14" x14ac:dyDescent="0.25">
      <c r="A795" s="5">
        <v>43799</v>
      </c>
      <c r="B795">
        <v>154.54</v>
      </c>
      <c r="C795">
        <v>155.25</v>
      </c>
      <c r="D795">
        <v>149.69999999999999</v>
      </c>
      <c r="E795">
        <v>151.37</v>
      </c>
      <c r="F795">
        <v>226863.41299000001</v>
      </c>
      <c r="G795">
        <v>0</v>
      </c>
      <c r="L795" t="s">
        <v>8</v>
      </c>
      <c r="M795" t="s">
        <v>8</v>
      </c>
      <c r="N795" t="s">
        <v>7</v>
      </c>
    </row>
    <row r="796" spans="1:14" x14ac:dyDescent="0.25">
      <c r="A796" s="5">
        <v>43798</v>
      </c>
      <c r="B796">
        <v>150.69</v>
      </c>
      <c r="C796">
        <v>157.6</v>
      </c>
      <c r="D796">
        <v>150.22999999999999</v>
      </c>
      <c r="E796">
        <v>154.57</v>
      </c>
      <c r="F796">
        <v>328712.25558</v>
      </c>
      <c r="G796">
        <v>0</v>
      </c>
      <c r="L796" t="s">
        <v>8</v>
      </c>
      <c r="M796" t="s">
        <v>8</v>
      </c>
      <c r="N796" t="s">
        <v>7</v>
      </c>
    </row>
    <row r="797" spans="1:14" x14ac:dyDescent="0.25">
      <c r="A797" s="5">
        <v>43797</v>
      </c>
      <c r="B797">
        <v>152.61000000000001</v>
      </c>
      <c r="C797">
        <v>154.63</v>
      </c>
      <c r="D797">
        <v>149.09</v>
      </c>
      <c r="E797">
        <v>150.72</v>
      </c>
      <c r="F797">
        <v>317714.56326000002</v>
      </c>
      <c r="G797">
        <v>0</v>
      </c>
      <c r="L797" t="s">
        <v>8</v>
      </c>
      <c r="M797" t="s">
        <v>8</v>
      </c>
      <c r="N797" t="s">
        <v>7</v>
      </c>
    </row>
    <row r="798" spans="1:14" x14ac:dyDescent="0.25">
      <c r="A798" s="5">
        <v>43796</v>
      </c>
      <c r="B798">
        <v>147.47</v>
      </c>
      <c r="C798">
        <v>155.54</v>
      </c>
      <c r="D798">
        <v>140.84</v>
      </c>
      <c r="E798">
        <v>152.62</v>
      </c>
      <c r="F798">
        <v>564796.42839999998</v>
      </c>
      <c r="G798">
        <v>0</v>
      </c>
      <c r="L798" t="s">
        <v>8</v>
      </c>
      <c r="M798" t="s">
        <v>8</v>
      </c>
      <c r="N798" t="s">
        <v>7</v>
      </c>
    </row>
    <row r="799" spans="1:14" x14ac:dyDescent="0.25">
      <c r="A799" s="5">
        <v>43795</v>
      </c>
      <c r="B799">
        <v>145.81</v>
      </c>
      <c r="C799">
        <v>149.97</v>
      </c>
      <c r="D799">
        <v>143.37</v>
      </c>
      <c r="E799">
        <v>147.47</v>
      </c>
      <c r="F799">
        <v>354023.04298000003</v>
      </c>
      <c r="G799">
        <v>0</v>
      </c>
      <c r="L799" t="s">
        <v>8</v>
      </c>
      <c r="M799" t="s">
        <v>7</v>
      </c>
      <c r="N799" t="s">
        <v>7</v>
      </c>
    </row>
    <row r="800" spans="1:14" x14ac:dyDescent="0.25">
      <c r="A800" s="5">
        <v>43794</v>
      </c>
      <c r="B800">
        <v>139.99</v>
      </c>
      <c r="C800">
        <v>151.5</v>
      </c>
      <c r="D800">
        <v>131.44999999999999</v>
      </c>
      <c r="E800">
        <v>145.69</v>
      </c>
      <c r="F800">
        <v>749675.41303000005</v>
      </c>
      <c r="G800">
        <v>0</v>
      </c>
      <c r="L800" t="s">
        <v>7</v>
      </c>
      <c r="M800" t="s">
        <v>7</v>
      </c>
      <c r="N800" t="s">
        <v>7</v>
      </c>
    </row>
    <row r="801" spans="1:14" x14ac:dyDescent="0.25">
      <c r="A801" s="5">
        <v>43793</v>
      </c>
      <c r="B801">
        <v>151.84</v>
      </c>
      <c r="C801">
        <v>152.86000000000001</v>
      </c>
      <c r="D801">
        <v>138.62</v>
      </c>
      <c r="E801">
        <v>139.96</v>
      </c>
      <c r="F801">
        <v>352319.21558000002</v>
      </c>
      <c r="G801">
        <v>0</v>
      </c>
      <c r="L801" t="s">
        <v>7</v>
      </c>
      <c r="M801" t="s">
        <v>7</v>
      </c>
      <c r="N801" t="s">
        <v>7</v>
      </c>
    </row>
    <row r="802" spans="1:14" x14ac:dyDescent="0.25">
      <c r="A802" s="5">
        <v>43792</v>
      </c>
      <c r="B802">
        <v>149.55000000000001</v>
      </c>
      <c r="C802">
        <v>154.33000000000001</v>
      </c>
      <c r="D802">
        <v>146.11000000000001</v>
      </c>
      <c r="E802">
        <v>151.84</v>
      </c>
      <c r="F802">
        <v>369721.09960000002</v>
      </c>
      <c r="G802">
        <v>0</v>
      </c>
      <c r="L802" t="s">
        <v>8</v>
      </c>
      <c r="M802" t="s">
        <v>7</v>
      </c>
      <c r="N802" t="s">
        <v>7</v>
      </c>
    </row>
    <row r="803" spans="1:14" x14ac:dyDescent="0.25">
      <c r="A803" s="5">
        <v>43791</v>
      </c>
      <c r="B803">
        <v>161.02000000000001</v>
      </c>
      <c r="C803">
        <v>162.79</v>
      </c>
      <c r="D803">
        <v>138</v>
      </c>
      <c r="E803">
        <v>149.56</v>
      </c>
      <c r="F803">
        <v>977977.23794000002</v>
      </c>
      <c r="G803">
        <v>0</v>
      </c>
      <c r="L803" t="s">
        <v>7</v>
      </c>
      <c r="M803" t="s">
        <v>7</v>
      </c>
      <c r="N803" t="s">
        <v>7</v>
      </c>
    </row>
    <row r="804" spans="1:14" x14ac:dyDescent="0.25">
      <c r="A804" s="5">
        <v>43790</v>
      </c>
      <c r="B804">
        <v>174.75</v>
      </c>
      <c r="C804">
        <v>175.85</v>
      </c>
      <c r="D804">
        <v>157.26</v>
      </c>
      <c r="E804">
        <v>161.01</v>
      </c>
      <c r="F804">
        <v>473895.92992000002</v>
      </c>
      <c r="G804">
        <v>0</v>
      </c>
      <c r="L804" t="s">
        <v>7</v>
      </c>
      <c r="M804" t="s">
        <v>7</v>
      </c>
      <c r="N804" t="s">
        <v>7</v>
      </c>
    </row>
    <row r="805" spans="1:14" x14ac:dyDescent="0.25">
      <c r="A805" s="5">
        <v>43789</v>
      </c>
      <c r="B805">
        <v>175.93</v>
      </c>
      <c r="C805">
        <v>177.41</v>
      </c>
      <c r="D805">
        <v>173.5</v>
      </c>
      <c r="E805">
        <v>174.72</v>
      </c>
      <c r="F805">
        <v>216315.93309000001</v>
      </c>
      <c r="G805">
        <v>0</v>
      </c>
      <c r="L805" t="s">
        <v>7</v>
      </c>
      <c r="M805" t="s">
        <v>8</v>
      </c>
      <c r="N805" t="s">
        <v>7</v>
      </c>
    </row>
    <row r="806" spans="1:14" x14ac:dyDescent="0.25">
      <c r="A806" s="5">
        <v>43788</v>
      </c>
      <c r="B806">
        <v>178.2</v>
      </c>
      <c r="C806">
        <v>178.52</v>
      </c>
      <c r="D806">
        <v>172.65</v>
      </c>
      <c r="E806">
        <v>175.94</v>
      </c>
      <c r="F806">
        <v>275886.64110000001</v>
      </c>
      <c r="G806">
        <v>0</v>
      </c>
      <c r="L806" t="s">
        <v>7</v>
      </c>
      <c r="M806" t="s">
        <v>8</v>
      </c>
      <c r="N806" t="s">
        <v>7</v>
      </c>
    </row>
    <row r="807" spans="1:14" x14ac:dyDescent="0.25">
      <c r="A807" s="5">
        <v>43787</v>
      </c>
      <c r="B807">
        <v>183.82</v>
      </c>
      <c r="C807">
        <v>184.06</v>
      </c>
      <c r="D807">
        <v>175.01</v>
      </c>
      <c r="E807">
        <v>178.2</v>
      </c>
      <c r="F807">
        <v>293551.23632000003</v>
      </c>
      <c r="G807">
        <v>0</v>
      </c>
      <c r="L807" t="s">
        <v>7</v>
      </c>
      <c r="M807" t="s">
        <v>8</v>
      </c>
      <c r="N807" t="s">
        <v>7</v>
      </c>
    </row>
    <row r="808" spans="1:14" x14ac:dyDescent="0.25">
      <c r="A808" s="5">
        <v>43786</v>
      </c>
      <c r="B808">
        <v>182.37</v>
      </c>
      <c r="C808">
        <v>186.09</v>
      </c>
      <c r="D808">
        <v>180</v>
      </c>
      <c r="E808">
        <v>183.82</v>
      </c>
      <c r="F808">
        <v>198892.43719999999</v>
      </c>
      <c r="G808">
        <v>0</v>
      </c>
      <c r="L808" t="s">
        <v>7</v>
      </c>
      <c r="M808" t="s">
        <v>8</v>
      </c>
      <c r="N808" t="s">
        <v>7</v>
      </c>
    </row>
    <row r="809" spans="1:14" x14ac:dyDescent="0.25">
      <c r="A809" s="5">
        <v>43785</v>
      </c>
      <c r="B809">
        <v>179.99</v>
      </c>
      <c r="C809">
        <v>183.46</v>
      </c>
      <c r="D809">
        <v>179.3</v>
      </c>
      <c r="E809">
        <v>182.37</v>
      </c>
      <c r="F809">
        <v>172801.52575999999</v>
      </c>
      <c r="G809">
        <v>0</v>
      </c>
      <c r="L809" t="s">
        <v>7</v>
      </c>
      <c r="M809" t="s">
        <v>8</v>
      </c>
      <c r="N809" t="s">
        <v>7</v>
      </c>
    </row>
    <row r="810" spans="1:14" x14ac:dyDescent="0.25">
      <c r="A810" s="5">
        <v>43784</v>
      </c>
      <c r="B810">
        <v>184.93</v>
      </c>
      <c r="C810">
        <v>186.7</v>
      </c>
      <c r="D810">
        <v>177.67</v>
      </c>
      <c r="E810">
        <v>180</v>
      </c>
      <c r="F810">
        <v>407466.78963999997</v>
      </c>
      <c r="G810">
        <v>0</v>
      </c>
      <c r="L810" t="s">
        <v>7</v>
      </c>
      <c r="M810" t="s">
        <v>8</v>
      </c>
      <c r="N810" t="s">
        <v>7</v>
      </c>
    </row>
    <row r="811" spans="1:14" x14ac:dyDescent="0.25">
      <c r="A811" s="5">
        <v>43783</v>
      </c>
      <c r="B811">
        <v>188.07</v>
      </c>
      <c r="C811">
        <v>188.72</v>
      </c>
      <c r="D811">
        <v>183.34</v>
      </c>
      <c r="E811">
        <v>184.92</v>
      </c>
      <c r="F811">
        <v>245505.29970999999</v>
      </c>
      <c r="G811">
        <v>0</v>
      </c>
      <c r="L811" t="s">
        <v>7</v>
      </c>
      <c r="M811" t="s">
        <v>8</v>
      </c>
      <c r="N811" t="s">
        <v>7</v>
      </c>
    </row>
    <row r="812" spans="1:14" x14ac:dyDescent="0.25">
      <c r="A812" s="5">
        <v>43782</v>
      </c>
      <c r="B812">
        <v>187.09</v>
      </c>
      <c r="C812">
        <v>189.66</v>
      </c>
      <c r="D812">
        <v>185.3</v>
      </c>
      <c r="E812">
        <v>188.11</v>
      </c>
      <c r="F812">
        <v>197273.84001000001</v>
      </c>
      <c r="G812">
        <v>0</v>
      </c>
      <c r="L812" t="s">
        <v>7</v>
      </c>
      <c r="M812" t="s">
        <v>8</v>
      </c>
      <c r="N812" t="s">
        <v>7</v>
      </c>
    </row>
    <row r="813" spans="1:14" x14ac:dyDescent="0.25">
      <c r="A813" s="5">
        <v>43781</v>
      </c>
      <c r="B813">
        <v>184.98</v>
      </c>
      <c r="C813">
        <v>187.65</v>
      </c>
      <c r="D813">
        <v>182.41</v>
      </c>
      <c r="E813">
        <v>187.09</v>
      </c>
      <c r="F813">
        <v>256782.63118999999</v>
      </c>
      <c r="G813">
        <v>0</v>
      </c>
      <c r="L813" t="s">
        <v>7</v>
      </c>
      <c r="M813" t="s">
        <v>8</v>
      </c>
      <c r="N813" t="s">
        <v>7</v>
      </c>
    </row>
    <row r="814" spans="1:14" x14ac:dyDescent="0.25">
      <c r="A814" s="5">
        <v>43780</v>
      </c>
      <c r="B814">
        <v>188.96</v>
      </c>
      <c r="C814">
        <v>190.19</v>
      </c>
      <c r="D814">
        <v>184.06</v>
      </c>
      <c r="E814">
        <v>184.98</v>
      </c>
      <c r="F814">
        <v>255579.93429</v>
      </c>
      <c r="G814">
        <v>0</v>
      </c>
      <c r="L814" t="s">
        <v>7</v>
      </c>
      <c r="M814" t="s">
        <v>8</v>
      </c>
      <c r="N814" t="s">
        <v>7</v>
      </c>
    </row>
    <row r="815" spans="1:14" x14ac:dyDescent="0.25">
      <c r="A815" s="5">
        <v>43779</v>
      </c>
      <c r="B815">
        <v>184.86</v>
      </c>
      <c r="C815">
        <v>191.58</v>
      </c>
      <c r="D815">
        <v>183.3</v>
      </c>
      <c r="E815">
        <v>188.96</v>
      </c>
      <c r="F815">
        <v>274940.53447999997</v>
      </c>
      <c r="G815">
        <v>0</v>
      </c>
      <c r="L815" t="s">
        <v>7</v>
      </c>
      <c r="M815" t="s">
        <v>8</v>
      </c>
      <c r="N815" t="s">
        <v>7</v>
      </c>
    </row>
    <row r="816" spans="1:14" x14ac:dyDescent="0.25">
      <c r="A816" s="5">
        <v>43778</v>
      </c>
      <c r="B816">
        <v>183.71</v>
      </c>
      <c r="C816">
        <v>185.79</v>
      </c>
      <c r="D816">
        <v>182.63</v>
      </c>
      <c r="E816">
        <v>184.89</v>
      </c>
      <c r="F816">
        <v>192073.38044000001</v>
      </c>
      <c r="G816">
        <v>0</v>
      </c>
      <c r="L816" t="s">
        <v>7</v>
      </c>
      <c r="M816" t="s">
        <v>8</v>
      </c>
      <c r="N816" t="s">
        <v>7</v>
      </c>
    </row>
    <row r="817" spans="1:14" x14ac:dyDescent="0.25">
      <c r="A817" s="5">
        <v>43777</v>
      </c>
      <c r="B817">
        <v>186.67</v>
      </c>
      <c r="C817">
        <v>188.26</v>
      </c>
      <c r="D817">
        <v>181.41</v>
      </c>
      <c r="E817">
        <v>183.74</v>
      </c>
      <c r="F817">
        <v>365029.75027000002</v>
      </c>
      <c r="G817">
        <v>0</v>
      </c>
      <c r="L817" t="s">
        <v>7</v>
      </c>
      <c r="M817" t="s">
        <v>8</v>
      </c>
      <c r="N817" t="s">
        <v>7</v>
      </c>
    </row>
    <row r="818" spans="1:14" x14ac:dyDescent="0.25">
      <c r="A818" s="5">
        <v>43776</v>
      </c>
      <c r="B818">
        <v>191.16</v>
      </c>
      <c r="C818">
        <v>192.27</v>
      </c>
      <c r="D818">
        <v>184.59</v>
      </c>
      <c r="E818">
        <v>186.68</v>
      </c>
      <c r="F818">
        <v>309882.08205999999</v>
      </c>
      <c r="G818">
        <v>0</v>
      </c>
      <c r="L818" t="s">
        <v>8</v>
      </c>
      <c r="M818" t="s">
        <v>8</v>
      </c>
      <c r="N818" t="s">
        <v>7</v>
      </c>
    </row>
    <row r="819" spans="1:14" x14ac:dyDescent="0.25">
      <c r="A819" s="5">
        <v>43775</v>
      </c>
      <c r="B819">
        <v>188.65</v>
      </c>
      <c r="C819">
        <v>195.09</v>
      </c>
      <c r="D819">
        <v>187.72</v>
      </c>
      <c r="E819">
        <v>191.16</v>
      </c>
      <c r="F819">
        <v>343219.92239999998</v>
      </c>
      <c r="G819">
        <v>0</v>
      </c>
      <c r="L819" t="s">
        <v>8</v>
      </c>
      <c r="M819" t="s">
        <v>8</v>
      </c>
      <c r="N819" t="s">
        <v>7</v>
      </c>
    </row>
    <row r="820" spans="1:14" x14ac:dyDescent="0.25">
      <c r="A820" s="5">
        <v>43774</v>
      </c>
      <c r="B820">
        <v>185.71</v>
      </c>
      <c r="C820">
        <v>192.51</v>
      </c>
      <c r="D820">
        <v>182.22</v>
      </c>
      <c r="E820">
        <v>188.68</v>
      </c>
      <c r="F820">
        <v>389668.64720000001</v>
      </c>
      <c r="G820">
        <v>0</v>
      </c>
      <c r="L820" t="s">
        <v>8</v>
      </c>
      <c r="M820" t="s">
        <v>8</v>
      </c>
      <c r="N820" t="s">
        <v>7</v>
      </c>
    </row>
    <row r="821" spans="1:14" x14ac:dyDescent="0.25">
      <c r="A821" s="5">
        <v>43773</v>
      </c>
      <c r="B821">
        <v>181.53</v>
      </c>
      <c r="C821">
        <v>188.64</v>
      </c>
      <c r="D821">
        <v>180.36</v>
      </c>
      <c r="E821">
        <v>185.71</v>
      </c>
      <c r="F821">
        <v>321175.29134</v>
      </c>
      <c r="G821">
        <v>0</v>
      </c>
      <c r="L821" t="s">
        <v>7</v>
      </c>
      <c r="M821" t="s">
        <v>8</v>
      </c>
      <c r="N821" t="s">
        <v>7</v>
      </c>
    </row>
    <row r="822" spans="1:14" x14ac:dyDescent="0.25">
      <c r="A822" s="5">
        <v>43772</v>
      </c>
      <c r="B822">
        <v>182.9</v>
      </c>
      <c r="C822">
        <v>184.7</v>
      </c>
      <c r="D822">
        <v>178.95</v>
      </c>
      <c r="E822">
        <v>181.54</v>
      </c>
      <c r="F822">
        <v>232621.52147000001</v>
      </c>
      <c r="G822">
        <v>0</v>
      </c>
      <c r="L822" t="s">
        <v>7</v>
      </c>
      <c r="M822" t="s">
        <v>8</v>
      </c>
      <c r="N822" t="s">
        <v>7</v>
      </c>
    </row>
    <row r="823" spans="1:14" x14ac:dyDescent="0.25">
      <c r="A823" s="5">
        <v>43771</v>
      </c>
      <c r="B823">
        <v>182.86</v>
      </c>
      <c r="C823">
        <v>186</v>
      </c>
      <c r="D823">
        <v>181.53</v>
      </c>
      <c r="E823">
        <v>182.91</v>
      </c>
      <c r="F823">
        <v>179864.39739</v>
      </c>
      <c r="G823">
        <v>0</v>
      </c>
      <c r="L823" t="s">
        <v>7</v>
      </c>
      <c r="M823" t="s">
        <v>8</v>
      </c>
      <c r="N823" t="s">
        <v>7</v>
      </c>
    </row>
    <row r="824" spans="1:14" x14ac:dyDescent="0.25">
      <c r="A824" s="5">
        <v>43770</v>
      </c>
      <c r="B824">
        <v>182.19</v>
      </c>
      <c r="C824">
        <v>184.5</v>
      </c>
      <c r="D824">
        <v>177.02</v>
      </c>
      <c r="E824">
        <v>182.85</v>
      </c>
      <c r="F824">
        <v>331519.76963</v>
      </c>
      <c r="G824">
        <v>0</v>
      </c>
      <c r="L824" t="s">
        <v>7</v>
      </c>
      <c r="M824" t="s">
        <v>8</v>
      </c>
      <c r="N824" t="s">
        <v>7</v>
      </c>
    </row>
    <row r="825" spans="1:14" x14ac:dyDescent="0.25">
      <c r="A825" s="5">
        <v>43769</v>
      </c>
      <c r="B825">
        <v>183.14</v>
      </c>
      <c r="C825">
        <v>185.27</v>
      </c>
      <c r="D825">
        <v>177.66</v>
      </c>
      <c r="E825">
        <v>182.18</v>
      </c>
      <c r="F825">
        <v>410969.86103999999</v>
      </c>
      <c r="G825">
        <v>0</v>
      </c>
      <c r="L825" t="s">
        <v>7</v>
      </c>
      <c r="M825" t="s">
        <v>8</v>
      </c>
      <c r="N825" t="s">
        <v>7</v>
      </c>
    </row>
    <row r="826" spans="1:14" x14ac:dyDescent="0.25">
      <c r="A826" s="5">
        <v>43768</v>
      </c>
      <c r="B826">
        <v>190.45</v>
      </c>
      <c r="C826">
        <v>191.71</v>
      </c>
      <c r="D826">
        <v>179.28</v>
      </c>
      <c r="E826">
        <v>183.13</v>
      </c>
      <c r="F826">
        <v>537770.43056000001</v>
      </c>
      <c r="G826">
        <v>0</v>
      </c>
      <c r="L826" t="s">
        <v>8</v>
      </c>
      <c r="M826" t="s">
        <v>8</v>
      </c>
      <c r="N826" t="s">
        <v>7</v>
      </c>
    </row>
    <row r="827" spans="1:14" x14ac:dyDescent="0.25">
      <c r="A827" s="5">
        <v>43767</v>
      </c>
      <c r="B827">
        <v>181.67</v>
      </c>
      <c r="C827">
        <v>192.74</v>
      </c>
      <c r="D827">
        <v>181.26</v>
      </c>
      <c r="E827">
        <v>190.46</v>
      </c>
      <c r="F827">
        <v>529964.50540000002</v>
      </c>
      <c r="G827">
        <v>0</v>
      </c>
      <c r="L827" t="s">
        <v>8</v>
      </c>
      <c r="M827" t="s">
        <v>8</v>
      </c>
      <c r="N827" t="s">
        <v>7</v>
      </c>
    </row>
    <row r="828" spans="1:14" x14ac:dyDescent="0.25">
      <c r="A828" s="5">
        <v>43766</v>
      </c>
      <c r="B828">
        <v>183.84</v>
      </c>
      <c r="C828">
        <v>189.48</v>
      </c>
      <c r="D828">
        <v>180.35</v>
      </c>
      <c r="E828">
        <v>181.72</v>
      </c>
      <c r="F828">
        <v>582179.44545</v>
      </c>
      <c r="G828">
        <v>0</v>
      </c>
      <c r="L828" t="s">
        <v>7</v>
      </c>
      <c r="M828" t="s">
        <v>8</v>
      </c>
      <c r="N828" t="s">
        <v>7</v>
      </c>
    </row>
    <row r="829" spans="1:14" x14ac:dyDescent="0.25">
      <c r="A829" s="5">
        <v>43765</v>
      </c>
      <c r="B829">
        <v>179.42</v>
      </c>
      <c r="C829">
        <v>188.7</v>
      </c>
      <c r="D829">
        <v>176.22</v>
      </c>
      <c r="E829">
        <v>183.75</v>
      </c>
      <c r="F829">
        <v>724423.40524999995</v>
      </c>
      <c r="G829">
        <v>0</v>
      </c>
      <c r="L829" t="s">
        <v>7</v>
      </c>
      <c r="M829" t="s">
        <v>8</v>
      </c>
      <c r="N829" t="s">
        <v>7</v>
      </c>
    </row>
    <row r="830" spans="1:14" x14ac:dyDescent="0.25">
      <c r="A830" s="5">
        <v>43764</v>
      </c>
      <c r="B830">
        <v>181.53</v>
      </c>
      <c r="C830">
        <v>197.74</v>
      </c>
      <c r="D830">
        <v>173.8</v>
      </c>
      <c r="E830">
        <v>179.49</v>
      </c>
      <c r="F830">
        <v>1211737.4368400001</v>
      </c>
      <c r="G830">
        <v>0</v>
      </c>
      <c r="L830" t="s">
        <v>8</v>
      </c>
      <c r="M830" t="s">
        <v>8</v>
      </c>
      <c r="N830" t="s">
        <v>7</v>
      </c>
    </row>
    <row r="831" spans="1:14" x14ac:dyDescent="0.25">
      <c r="A831" s="5">
        <v>43763</v>
      </c>
      <c r="B831">
        <v>160.38999999999999</v>
      </c>
      <c r="C831">
        <v>187.78</v>
      </c>
      <c r="D831">
        <v>160.25</v>
      </c>
      <c r="E831">
        <v>181.5</v>
      </c>
      <c r="F831">
        <v>904832.86059000005</v>
      </c>
      <c r="G831">
        <v>0</v>
      </c>
      <c r="L831" t="s">
        <v>8</v>
      </c>
      <c r="M831" t="s">
        <v>8</v>
      </c>
      <c r="N831" t="s">
        <v>7</v>
      </c>
    </row>
    <row r="832" spans="1:14" x14ac:dyDescent="0.25">
      <c r="A832" s="5">
        <v>43762</v>
      </c>
      <c r="B832">
        <v>162.35</v>
      </c>
      <c r="C832">
        <v>163.72</v>
      </c>
      <c r="D832">
        <v>158.72</v>
      </c>
      <c r="E832">
        <v>160.38</v>
      </c>
      <c r="F832">
        <v>387310.83766000002</v>
      </c>
      <c r="G832">
        <v>0</v>
      </c>
      <c r="L832" t="s">
        <v>7</v>
      </c>
      <c r="M832" t="s">
        <v>7</v>
      </c>
      <c r="N832" t="s">
        <v>7</v>
      </c>
    </row>
    <row r="833" spans="1:14" x14ac:dyDescent="0.25">
      <c r="A833" s="5">
        <v>43761</v>
      </c>
      <c r="B833">
        <v>171.19</v>
      </c>
      <c r="C833">
        <v>171.49</v>
      </c>
      <c r="D833">
        <v>153.44999999999999</v>
      </c>
      <c r="E833">
        <v>162.35</v>
      </c>
      <c r="F833">
        <v>746955.09805999999</v>
      </c>
      <c r="G833">
        <v>0</v>
      </c>
      <c r="L833" t="s">
        <v>7</v>
      </c>
      <c r="M833" t="s">
        <v>7</v>
      </c>
      <c r="N833" t="s">
        <v>7</v>
      </c>
    </row>
    <row r="834" spans="1:14" x14ac:dyDescent="0.25">
      <c r="A834" s="5">
        <v>43760</v>
      </c>
      <c r="B834">
        <v>174</v>
      </c>
      <c r="C834">
        <v>175.04</v>
      </c>
      <c r="D834">
        <v>170.3</v>
      </c>
      <c r="E834">
        <v>171.2</v>
      </c>
      <c r="F834">
        <v>255429.41623999999</v>
      </c>
      <c r="G834">
        <v>0</v>
      </c>
      <c r="L834" t="s">
        <v>7</v>
      </c>
      <c r="M834" t="s">
        <v>8</v>
      </c>
      <c r="N834" t="s">
        <v>7</v>
      </c>
    </row>
    <row r="835" spans="1:14" x14ac:dyDescent="0.25">
      <c r="A835" s="5">
        <v>43759</v>
      </c>
      <c r="B835">
        <v>175.18</v>
      </c>
      <c r="C835">
        <v>177.9</v>
      </c>
      <c r="D835">
        <v>171.59</v>
      </c>
      <c r="E835">
        <v>173.98</v>
      </c>
      <c r="F835">
        <v>270608.51384999999</v>
      </c>
      <c r="G835">
        <v>0</v>
      </c>
      <c r="L835" t="s">
        <v>7</v>
      </c>
      <c r="M835" t="s">
        <v>8</v>
      </c>
      <c r="N835" t="s">
        <v>7</v>
      </c>
    </row>
    <row r="836" spans="1:14" x14ac:dyDescent="0.25">
      <c r="A836" s="5">
        <v>43758</v>
      </c>
      <c r="B836">
        <v>171.84</v>
      </c>
      <c r="C836">
        <v>176.88</v>
      </c>
      <c r="D836">
        <v>169.21</v>
      </c>
      <c r="E836">
        <v>175.22</v>
      </c>
      <c r="F836">
        <v>299141.07152</v>
      </c>
      <c r="G836">
        <v>0</v>
      </c>
      <c r="L836" t="s">
        <v>7</v>
      </c>
      <c r="M836" t="s">
        <v>8</v>
      </c>
      <c r="N836" t="s">
        <v>7</v>
      </c>
    </row>
    <row r="837" spans="1:14" x14ac:dyDescent="0.25">
      <c r="A837" s="5">
        <v>43757</v>
      </c>
      <c r="B837">
        <v>172.78</v>
      </c>
      <c r="C837">
        <v>174.98</v>
      </c>
      <c r="D837">
        <v>169.44</v>
      </c>
      <c r="E837">
        <v>171.79</v>
      </c>
      <c r="F837">
        <v>296918.73025999998</v>
      </c>
      <c r="G837">
        <v>0</v>
      </c>
      <c r="L837" t="s">
        <v>7</v>
      </c>
      <c r="M837" t="s">
        <v>8</v>
      </c>
      <c r="N837" t="s">
        <v>7</v>
      </c>
    </row>
    <row r="838" spans="1:14" x14ac:dyDescent="0.25">
      <c r="A838" s="5">
        <v>43756</v>
      </c>
      <c r="B838">
        <v>177.17</v>
      </c>
      <c r="C838">
        <v>177.44</v>
      </c>
      <c r="D838">
        <v>168.66</v>
      </c>
      <c r="E838">
        <v>172.74</v>
      </c>
      <c r="F838">
        <v>319602.48508000001</v>
      </c>
      <c r="G838">
        <v>0</v>
      </c>
      <c r="L838" t="s">
        <v>7</v>
      </c>
      <c r="M838" t="s">
        <v>8</v>
      </c>
      <c r="N838" t="s">
        <v>7</v>
      </c>
    </row>
    <row r="839" spans="1:14" x14ac:dyDescent="0.25">
      <c r="A839" s="5">
        <v>43755</v>
      </c>
      <c r="B839">
        <v>174.52</v>
      </c>
      <c r="C839">
        <v>178.96</v>
      </c>
      <c r="D839">
        <v>172.61</v>
      </c>
      <c r="E839">
        <v>177.16</v>
      </c>
      <c r="F839">
        <v>298795.8198</v>
      </c>
      <c r="G839">
        <v>0</v>
      </c>
      <c r="L839" t="s">
        <v>7</v>
      </c>
      <c r="M839" t="s">
        <v>8</v>
      </c>
      <c r="N839" t="s">
        <v>7</v>
      </c>
    </row>
    <row r="840" spans="1:14" x14ac:dyDescent="0.25">
      <c r="A840" s="5">
        <v>43754</v>
      </c>
      <c r="B840">
        <v>180.52</v>
      </c>
      <c r="C840">
        <v>181.44</v>
      </c>
      <c r="D840">
        <v>171.81</v>
      </c>
      <c r="E840">
        <v>174.47</v>
      </c>
      <c r="F840">
        <v>347764.93459000002</v>
      </c>
      <c r="G840">
        <v>0</v>
      </c>
      <c r="L840" t="s">
        <v>7</v>
      </c>
      <c r="M840" t="s">
        <v>8</v>
      </c>
      <c r="N840" t="s">
        <v>7</v>
      </c>
    </row>
    <row r="841" spans="1:14" x14ac:dyDescent="0.25">
      <c r="A841" s="5">
        <v>43753</v>
      </c>
      <c r="B841">
        <v>186.7</v>
      </c>
      <c r="C841">
        <v>188.37</v>
      </c>
      <c r="D841">
        <v>175.96</v>
      </c>
      <c r="E841">
        <v>180.49</v>
      </c>
      <c r="F841">
        <v>405466.38108999998</v>
      </c>
      <c r="G841">
        <v>0</v>
      </c>
      <c r="L841" t="s">
        <v>7</v>
      </c>
      <c r="M841" t="s">
        <v>8</v>
      </c>
      <c r="N841" t="s">
        <v>7</v>
      </c>
    </row>
    <row r="842" spans="1:14" x14ac:dyDescent="0.25">
      <c r="A842" s="5">
        <v>43752</v>
      </c>
      <c r="B842">
        <v>180.98</v>
      </c>
      <c r="C842">
        <v>187.54</v>
      </c>
      <c r="D842">
        <v>180.43</v>
      </c>
      <c r="E842">
        <v>186.72</v>
      </c>
      <c r="F842">
        <v>279732.84612</v>
      </c>
      <c r="G842">
        <v>0</v>
      </c>
      <c r="L842" t="s">
        <v>7</v>
      </c>
      <c r="M842" t="s">
        <v>8</v>
      </c>
      <c r="N842" t="s">
        <v>7</v>
      </c>
    </row>
    <row r="843" spans="1:14" x14ac:dyDescent="0.25">
      <c r="A843" s="5">
        <v>43751</v>
      </c>
      <c r="B843">
        <v>179.65</v>
      </c>
      <c r="C843">
        <v>184.95</v>
      </c>
      <c r="D843">
        <v>178.52</v>
      </c>
      <c r="E843">
        <v>180.99</v>
      </c>
      <c r="F843">
        <v>247589.23230999999</v>
      </c>
      <c r="G843">
        <v>0</v>
      </c>
      <c r="L843" t="s">
        <v>7</v>
      </c>
      <c r="M843" t="s">
        <v>8</v>
      </c>
      <c r="N843" t="s">
        <v>7</v>
      </c>
    </row>
    <row r="844" spans="1:14" x14ac:dyDescent="0.25">
      <c r="A844" s="5">
        <v>43750</v>
      </c>
      <c r="B844">
        <v>180.65</v>
      </c>
      <c r="C844">
        <v>184.64</v>
      </c>
      <c r="D844">
        <v>177.59</v>
      </c>
      <c r="E844">
        <v>179.68</v>
      </c>
      <c r="F844">
        <v>290415.22038000001</v>
      </c>
      <c r="G844">
        <v>0</v>
      </c>
      <c r="L844" t="s">
        <v>7</v>
      </c>
      <c r="M844" t="s">
        <v>8</v>
      </c>
      <c r="N844" t="s">
        <v>7</v>
      </c>
    </row>
    <row r="845" spans="1:14" x14ac:dyDescent="0.25">
      <c r="A845" s="5">
        <v>43749</v>
      </c>
      <c r="B845">
        <v>191.18</v>
      </c>
      <c r="C845">
        <v>196.65</v>
      </c>
      <c r="D845">
        <v>179.41</v>
      </c>
      <c r="E845">
        <v>180.72</v>
      </c>
      <c r="F845">
        <v>621693.63124999998</v>
      </c>
      <c r="G845">
        <v>0</v>
      </c>
      <c r="L845" t="s">
        <v>7</v>
      </c>
      <c r="M845" t="s">
        <v>8</v>
      </c>
      <c r="N845" t="s">
        <v>7</v>
      </c>
    </row>
    <row r="846" spans="1:14" x14ac:dyDescent="0.25">
      <c r="A846" s="5">
        <v>43748</v>
      </c>
      <c r="B846">
        <v>192.61</v>
      </c>
      <c r="C846">
        <v>194.2</v>
      </c>
      <c r="D846">
        <v>186.88</v>
      </c>
      <c r="E846">
        <v>191.14</v>
      </c>
      <c r="F846">
        <v>436588.58451999997</v>
      </c>
      <c r="G846">
        <v>0</v>
      </c>
      <c r="L846" t="s">
        <v>8</v>
      </c>
      <c r="M846" t="s">
        <v>8</v>
      </c>
      <c r="N846" t="s">
        <v>7</v>
      </c>
    </row>
    <row r="847" spans="1:14" x14ac:dyDescent="0.25">
      <c r="A847" s="5">
        <v>43747</v>
      </c>
      <c r="B847">
        <v>180.61</v>
      </c>
      <c r="C847">
        <v>195.53</v>
      </c>
      <c r="D847">
        <v>178.96</v>
      </c>
      <c r="E847">
        <v>192.62</v>
      </c>
      <c r="F847">
        <v>562506.82189000002</v>
      </c>
      <c r="G847">
        <v>0</v>
      </c>
      <c r="L847" t="s">
        <v>8</v>
      </c>
      <c r="M847" t="s">
        <v>8</v>
      </c>
      <c r="N847" t="s">
        <v>7</v>
      </c>
    </row>
    <row r="848" spans="1:14" x14ac:dyDescent="0.25">
      <c r="A848" s="5">
        <v>43746</v>
      </c>
      <c r="B848">
        <v>179.88</v>
      </c>
      <c r="C848">
        <v>184.87</v>
      </c>
      <c r="D848">
        <v>177</v>
      </c>
      <c r="E848">
        <v>180.6</v>
      </c>
      <c r="F848">
        <v>400832.37828</v>
      </c>
      <c r="G848">
        <v>0</v>
      </c>
      <c r="L848" t="s">
        <v>8</v>
      </c>
      <c r="M848" t="s">
        <v>8</v>
      </c>
      <c r="N848" t="s">
        <v>7</v>
      </c>
    </row>
    <row r="849" spans="1:14" x14ac:dyDescent="0.25">
      <c r="A849" s="5">
        <v>43745</v>
      </c>
      <c r="B849">
        <v>170.08</v>
      </c>
      <c r="C849">
        <v>182.32</v>
      </c>
      <c r="D849">
        <v>168.68</v>
      </c>
      <c r="E849">
        <v>179.85</v>
      </c>
      <c r="F849">
        <v>496523.48038000002</v>
      </c>
      <c r="G849">
        <v>0</v>
      </c>
      <c r="L849" t="s">
        <v>8</v>
      </c>
      <c r="M849" t="s">
        <v>8</v>
      </c>
      <c r="N849" t="s">
        <v>7</v>
      </c>
    </row>
    <row r="850" spans="1:14" x14ac:dyDescent="0.25">
      <c r="A850" s="5">
        <v>43744</v>
      </c>
      <c r="B850">
        <v>176.23</v>
      </c>
      <c r="C850">
        <v>177.04</v>
      </c>
      <c r="D850">
        <v>167.68</v>
      </c>
      <c r="E850">
        <v>170.1</v>
      </c>
      <c r="F850">
        <v>314932.39629</v>
      </c>
      <c r="G850">
        <v>0</v>
      </c>
      <c r="L850" t="s">
        <v>7</v>
      </c>
      <c r="M850" t="s">
        <v>8</v>
      </c>
      <c r="N850" t="s">
        <v>7</v>
      </c>
    </row>
    <row r="851" spans="1:14" x14ac:dyDescent="0.25">
      <c r="A851" s="5">
        <v>43743</v>
      </c>
      <c r="B851">
        <v>175.55</v>
      </c>
      <c r="C851">
        <v>176.71</v>
      </c>
      <c r="D851">
        <v>172.02</v>
      </c>
      <c r="E851">
        <v>176.25</v>
      </c>
      <c r="F851">
        <v>278488.61771000002</v>
      </c>
      <c r="G851">
        <v>0</v>
      </c>
      <c r="L851" t="s">
        <v>7</v>
      </c>
      <c r="M851" t="s">
        <v>8</v>
      </c>
      <c r="N851" t="s">
        <v>7</v>
      </c>
    </row>
    <row r="852" spans="1:14" x14ac:dyDescent="0.25">
      <c r="A852" s="5">
        <v>43742</v>
      </c>
      <c r="B852">
        <v>174.71</v>
      </c>
      <c r="C852">
        <v>178.98</v>
      </c>
      <c r="D852">
        <v>170.74</v>
      </c>
      <c r="E852">
        <v>175.55</v>
      </c>
      <c r="F852">
        <v>333897.63876</v>
      </c>
      <c r="G852">
        <v>0</v>
      </c>
      <c r="L852" t="s">
        <v>7</v>
      </c>
      <c r="M852" t="s">
        <v>8</v>
      </c>
      <c r="N852" t="s">
        <v>7</v>
      </c>
    </row>
    <row r="853" spans="1:14" x14ac:dyDescent="0.25">
      <c r="A853" s="5">
        <v>43741</v>
      </c>
      <c r="B853">
        <v>180.24</v>
      </c>
      <c r="C853">
        <v>180.72</v>
      </c>
      <c r="D853">
        <v>169.55</v>
      </c>
      <c r="E853">
        <v>174.69</v>
      </c>
      <c r="F853">
        <v>354756.78477999999</v>
      </c>
      <c r="G853">
        <v>0</v>
      </c>
      <c r="L853" t="s">
        <v>7</v>
      </c>
      <c r="M853" t="s">
        <v>8</v>
      </c>
      <c r="N853" t="s">
        <v>7</v>
      </c>
    </row>
    <row r="854" spans="1:14" x14ac:dyDescent="0.25">
      <c r="A854" s="5">
        <v>43740</v>
      </c>
      <c r="B854">
        <v>175.65</v>
      </c>
      <c r="C854">
        <v>181.29</v>
      </c>
      <c r="D854">
        <v>173.65</v>
      </c>
      <c r="E854">
        <v>180.24</v>
      </c>
      <c r="F854">
        <v>348268.11619999999</v>
      </c>
      <c r="G854">
        <v>0</v>
      </c>
      <c r="L854" t="s">
        <v>8</v>
      </c>
      <c r="M854" t="s">
        <v>8</v>
      </c>
      <c r="N854" t="s">
        <v>7</v>
      </c>
    </row>
    <row r="855" spans="1:14" x14ac:dyDescent="0.25">
      <c r="A855" s="5">
        <v>43739</v>
      </c>
      <c r="B855">
        <v>180.89</v>
      </c>
      <c r="C855">
        <v>185.53</v>
      </c>
      <c r="D855">
        <v>173.19</v>
      </c>
      <c r="E855">
        <v>175.66</v>
      </c>
      <c r="F855">
        <v>609819.60828000004</v>
      </c>
      <c r="G855">
        <v>0</v>
      </c>
      <c r="L855" t="s">
        <v>8</v>
      </c>
      <c r="M855" t="s">
        <v>8</v>
      </c>
      <c r="N855" t="s">
        <v>7</v>
      </c>
    </row>
    <row r="856" spans="1:14" x14ac:dyDescent="0.25">
      <c r="A856" s="5">
        <v>43738</v>
      </c>
      <c r="B856">
        <v>169.26</v>
      </c>
      <c r="C856">
        <v>181.24</v>
      </c>
      <c r="D856">
        <v>165.01</v>
      </c>
      <c r="E856">
        <v>180.85</v>
      </c>
      <c r="F856">
        <v>580295.39969999995</v>
      </c>
      <c r="G856">
        <v>0</v>
      </c>
      <c r="L856" t="s">
        <v>8</v>
      </c>
      <c r="M856" t="s">
        <v>8</v>
      </c>
      <c r="N856" t="s">
        <v>7</v>
      </c>
    </row>
    <row r="857" spans="1:14" x14ac:dyDescent="0.25">
      <c r="A857" s="5">
        <v>43737</v>
      </c>
      <c r="B857">
        <v>173.5</v>
      </c>
      <c r="C857">
        <v>174.5</v>
      </c>
      <c r="D857">
        <v>164.12</v>
      </c>
      <c r="E857">
        <v>169.24</v>
      </c>
      <c r="F857">
        <v>410855.12176000001</v>
      </c>
      <c r="G857">
        <v>0</v>
      </c>
      <c r="L857" t="s">
        <v>7</v>
      </c>
      <c r="M857" t="s">
        <v>8</v>
      </c>
      <c r="N857" t="s">
        <v>7</v>
      </c>
    </row>
    <row r="858" spans="1:14" x14ac:dyDescent="0.25">
      <c r="A858" s="5">
        <v>43736</v>
      </c>
      <c r="B858">
        <v>173.83</v>
      </c>
      <c r="C858">
        <v>175.49</v>
      </c>
      <c r="D858">
        <v>168</v>
      </c>
      <c r="E858">
        <v>173.49</v>
      </c>
      <c r="F858">
        <v>521775.46593000001</v>
      </c>
      <c r="G858">
        <v>0</v>
      </c>
      <c r="L858" t="s">
        <v>8</v>
      </c>
      <c r="M858" t="s">
        <v>8</v>
      </c>
      <c r="N858" t="s">
        <v>7</v>
      </c>
    </row>
    <row r="859" spans="1:14" x14ac:dyDescent="0.25">
      <c r="A859" s="5">
        <v>43735</v>
      </c>
      <c r="B859">
        <v>165.92</v>
      </c>
      <c r="C859">
        <v>176.72</v>
      </c>
      <c r="D859">
        <v>161.03</v>
      </c>
      <c r="E859">
        <v>173.79</v>
      </c>
      <c r="F859">
        <v>634932.96707000001</v>
      </c>
      <c r="G859">
        <v>0</v>
      </c>
      <c r="L859" t="s">
        <v>8</v>
      </c>
      <c r="M859" t="s">
        <v>8</v>
      </c>
      <c r="N859" t="s">
        <v>7</v>
      </c>
    </row>
    <row r="860" spans="1:14" x14ac:dyDescent="0.25">
      <c r="A860" s="5">
        <v>43734</v>
      </c>
      <c r="B860">
        <v>169.96</v>
      </c>
      <c r="C860">
        <v>171.01</v>
      </c>
      <c r="D860">
        <v>152.11000000000001</v>
      </c>
      <c r="E860">
        <v>165.92</v>
      </c>
      <c r="F860">
        <v>779942.17148000002</v>
      </c>
      <c r="G860">
        <v>0</v>
      </c>
      <c r="L860" t="s">
        <v>7</v>
      </c>
      <c r="M860" t="s">
        <v>7</v>
      </c>
      <c r="N860" t="s">
        <v>7</v>
      </c>
    </row>
    <row r="861" spans="1:14" x14ac:dyDescent="0.25">
      <c r="A861" s="5">
        <v>43733</v>
      </c>
      <c r="B861">
        <v>165.72</v>
      </c>
      <c r="C861">
        <v>174.85</v>
      </c>
      <c r="D861">
        <v>161.88</v>
      </c>
      <c r="E861">
        <v>169.96</v>
      </c>
      <c r="F861">
        <v>879001.46213</v>
      </c>
      <c r="G861">
        <v>0</v>
      </c>
      <c r="L861" t="s">
        <v>8</v>
      </c>
      <c r="M861" t="s">
        <v>7</v>
      </c>
      <c r="N861" t="s">
        <v>7</v>
      </c>
    </row>
    <row r="862" spans="1:14" x14ac:dyDescent="0.25">
      <c r="A862" s="5">
        <v>43732</v>
      </c>
      <c r="B862">
        <v>201.25</v>
      </c>
      <c r="C862">
        <v>202.98</v>
      </c>
      <c r="D862">
        <v>150.03</v>
      </c>
      <c r="E862">
        <v>165.81</v>
      </c>
      <c r="F862">
        <v>1478218.82714</v>
      </c>
      <c r="G862">
        <v>0</v>
      </c>
      <c r="L862" t="s">
        <v>7</v>
      </c>
      <c r="M862" t="s">
        <v>7</v>
      </c>
      <c r="N862" t="s">
        <v>7</v>
      </c>
    </row>
    <row r="863" spans="1:14" x14ac:dyDescent="0.25">
      <c r="A863" s="5">
        <v>43731</v>
      </c>
      <c r="B863">
        <v>211.2</v>
      </c>
      <c r="C863">
        <v>211.68</v>
      </c>
      <c r="D863">
        <v>198.65</v>
      </c>
      <c r="E863">
        <v>201.29</v>
      </c>
      <c r="F863">
        <v>392437.07084</v>
      </c>
      <c r="G863">
        <v>0</v>
      </c>
      <c r="L863" t="s">
        <v>7</v>
      </c>
      <c r="M863" t="s">
        <v>8</v>
      </c>
      <c r="N863" t="s">
        <v>7</v>
      </c>
    </row>
    <row r="864" spans="1:14" x14ac:dyDescent="0.25">
      <c r="A864" s="5">
        <v>43730</v>
      </c>
      <c r="B864">
        <v>215.04</v>
      </c>
      <c r="C864">
        <v>215.61</v>
      </c>
      <c r="D864">
        <v>206.1</v>
      </c>
      <c r="E864">
        <v>211.2</v>
      </c>
      <c r="F864">
        <v>445388.94786999997</v>
      </c>
      <c r="G864">
        <v>0</v>
      </c>
      <c r="L864" t="s">
        <v>7</v>
      </c>
      <c r="M864" t="s">
        <v>8</v>
      </c>
      <c r="N864" t="s">
        <v>7</v>
      </c>
    </row>
    <row r="865" spans="1:14" x14ac:dyDescent="0.25">
      <c r="A865" s="5">
        <v>43729</v>
      </c>
      <c r="B865">
        <v>218.01</v>
      </c>
      <c r="C865">
        <v>221.5</v>
      </c>
      <c r="D865">
        <v>213.2</v>
      </c>
      <c r="E865">
        <v>215.05</v>
      </c>
      <c r="F865">
        <v>417891.52419999999</v>
      </c>
      <c r="G865">
        <v>0</v>
      </c>
      <c r="L865" t="s">
        <v>8</v>
      </c>
      <c r="M865" t="s">
        <v>8</v>
      </c>
      <c r="N865" t="s">
        <v>7</v>
      </c>
    </row>
    <row r="866" spans="1:14" x14ac:dyDescent="0.25">
      <c r="A866" s="5">
        <v>43728</v>
      </c>
      <c r="B866">
        <v>220.26</v>
      </c>
      <c r="C866">
        <v>221.54</v>
      </c>
      <c r="D866">
        <v>212.05</v>
      </c>
      <c r="E866">
        <v>218.03</v>
      </c>
      <c r="F866">
        <v>437804.12669</v>
      </c>
      <c r="G866">
        <v>0</v>
      </c>
      <c r="L866" t="s">
        <v>8</v>
      </c>
      <c r="M866" t="s">
        <v>8</v>
      </c>
      <c r="N866" t="s">
        <v>7</v>
      </c>
    </row>
    <row r="867" spans="1:14" x14ac:dyDescent="0.25">
      <c r="A867" s="5">
        <v>43727</v>
      </c>
      <c r="B867">
        <v>210.27</v>
      </c>
      <c r="C867">
        <v>223.94</v>
      </c>
      <c r="D867">
        <v>202.3</v>
      </c>
      <c r="E867">
        <v>220.24</v>
      </c>
      <c r="F867">
        <v>844358.82154999999</v>
      </c>
      <c r="G867">
        <v>0</v>
      </c>
      <c r="L867" t="s">
        <v>8</v>
      </c>
      <c r="M867" t="s">
        <v>8</v>
      </c>
      <c r="N867" t="s">
        <v>7</v>
      </c>
    </row>
    <row r="868" spans="1:14" x14ac:dyDescent="0.25">
      <c r="A868" s="5">
        <v>43726</v>
      </c>
      <c r="B868">
        <v>207.85</v>
      </c>
      <c r="C868">
        <v>217.27</v>
      </c>
      <c r="D868">
        <v>207.66</v>
      </c>
      <c r="E868">
        <v>210.21</v>
      </c>
      <c r="F868">
        <v>539028.51012999995</v>
      </c>
      <c r="G868">
        <v>0</v>
      </c>
      <c r="L868" t="s">
        <v>8</v>
      </c>
      <c r="M868" t="s">
        <v>8</v>
      </c>
      <c r="N868" t="s">
        <v>7</v>
      </c>
    </row>
    <row r="869" spans="1:14" x14ac:dyDescent="0.25">
      <c r="A869" s="5">
        <v>43725</v>
      </c>
      <c r="B869">
        <v>197.23</v>
      </c>
      <c r="C869">
        <v>215.13</v>
      </c>
      <c r="D869">
        <v>195.74</v>
      </c>
      <c r="E869">
        <v>207.84</v>
      </c>
      <c r="F869">
        <v>715863.22620000003</v>
      </c>
      <c r="G869">
        <v>0</v>
      </c>
      <c r="L869" t="s">
        <v>8</v>
      </c>
      <c r="M869" t="s">
        <v>8</v>
      </c>
      <c r="N869" t="s">
        <v>7</v>
      </c>
    </row>
    <row r="870" spans="1:14" x14ac:dyDescent="0.25">
      <c r="A870" s="5">
        <v>43724</v>
      </c>
      <c r="B870">
        <v>189.05</v>
      </c>
      <c r="C870">
        <v>199.44</v>
      </c>
      <c r="D870">
        <v>188.3</v>
      </c>
      <c r="E870">
        <v>197.22</v>
      </c>
      <c r="F870">
        <v>551006.81686000002</v>
      </c>
      <c r="G870">
        <v>0</v>
      </c>
      <c r="L870" t="s">
        <v>8</v>
      </c>
      <c r="M870" t="s">
        <v>8</v>
      </c>
      <c r="N870" t="s">
        <v>7</v>
      </c>
    </row>
    <row r="871" spans="1:14" x14ac:dyDescent="0.25">
      <c r="A871" s="5">
        <v>43723</v>
      </c>
      <c r="B871">
        <v>188.14</v>
      </c>
      <c r="C871">
        <v>190.45</v>
      </c>
      <c r="D871">
        <v>185.76</v>
      </c>
      <c r="E871">
        <v>189.03</v>
      </c>
      <c r="F871">
        <v>288928.60827000003</v>
      </c>
      <c r="G871">
        <v>0</v>
      </c>
      <c r="L871" t="s">
        <v>8</v>
      </c>
      <c r="M871" t="s">
        <v>7</v>
      </c>
      <c r="N871" t="s">
        <v>7</v>
      </c>
    </row>
    <row r="872" spans="1:14" x14ac:dyDescent="0.25">
      <c r="A872" s="5">
        <v>43722</v>
      </c>
      <c r="B872">
        <v>180.96</v>
      </c>
      <c r="C872">
        <v>188.79</v>
      </c>
      <c r="D872">
        <v>179.75</v>
      </c>
      <c r="E872">
        <v>188.13</v>
      </c>
      <c r="F872">
        <v>279371.83422999998</v>
      </c>
      <c r="G872">
        <v>0</v>
      </c>
      <c r="L872" t="s">
        <v>8</v>
      </c>
      <c r="M872" t="s">
        <v>7</v>
      </c>
      <c r="N872" t="s">
        <v>7</v>
      </c>
    </row>
    <row r="873" spans="1:14" x14ac:dyDescent="0.25">
      <c r="A873" s="5">
        <v>43721</v>
      </c>
      <c r="B873">
        <v>180.71</v>
      </c>
      <c r="C873">
        <v>181.38</v>
      </c>
      <c r="D873">
        <v>177.54</v>
      </c>
      <c r="E873">
        <v>180.95</v>
      </c>
      <c r="F873">
        <v>264422.54058999999</v>
      </c>
      <c r="G873">
        <v>0</v>
      </c>
      <c r="L873" t="s">
        <v>8</v>
      </c>
      <c r="M873" t="s">
        <v>7</v>
      </c>
      <c r="N873" t="s">
        <v>7</v>
      </c>
    </row>
    <row r="874" spans="1:14" x14ac:dyDescent="0.25">
      <c r="A874" s="5">
        <v>43720</v>
      </c>
      <c r="B874">
        <v>178.3</v>
      </c>
      <c r="C874">
        <v>182.38</v>
      </c>
      <c r="D874">
        <v>176.62</v>
      </c>
      <c r="E874">
        <v>180.72</v>
      </c>
      <c r="F874">
        <v>203543.13662999999</v>
      </c>
      <c r="G874">
        <v>0</v>
      </c>
      <c r="L874" t="s">
        <v>8</v>
      </c>
      <c r="M874" t="s">
        <v>7</v>
      </c>
      <c r="N874" t="s">
        <v>7</v>
      </c>
    </row>
    <row r="875" spans="1:14" x14ac:dyDescent="0.25">
      <c r="A875" s="5">
        <v>43719</v>
      </c>
      <c r="B875">
        <v>179.87</v>
      </c>
      <c r="C875">
        <v>182.8</v>
      </c>
      <c r="D875">
        <v>173</v>
      </c>
      <c r="E875">
        <v>178.28</v>
      </c>
      <c r="F875">
        <v>278555.46707999997</v>
      </c>
      <c r="G875">
        <v>0</v>
      </c>
      <c r="L875" t="s">
        <v>8</v>
      </c>
      <c r="M875" t="s">
        <v>7</v>
      </c>
      <c r="N875" t="s">
        <v>7</v>
      </c>
    </row>
    <row r="876" spans="1:14" x14ac:dyDescent="0.25">
      <c r="A876" s="5">
        <v>43718</v>
      </c>
      <c r="B876">
        <v>180.52</v>
      </c>
      <c r="C876">
        <v>184.36</v>
      </c>
      <c r="D876">
        <v>177</v>
      </c>
      <c r="E876">
        <v>179.81</v>
      </c>
      <c r="F876">
        <v>238387.50998999999</v>
      </c>
      <c r="G876">
        <v>0</v>
      </c>
      <c r="L876" t="s">
        <v>8</v>
      </c>
      <c r="M876" t="s">
        <v>7</v>
      </c>
      <c r="N876" t="s">
        <v>7</v>
      </c>
    </row>
    <row r="877" spans="1:14" x14ac:dyDescent="0.25">
      <c r="A877" s="5">
        <v>43717</v>
      </c>
      <c r="B877">
        <v>181.18</v>
      </c>
      <c r="C877">
        <v>185.38</v>
      </c>
      <c r="D877">
        <v>176.01</v>
      </c>
      <c r="E877">
        <v>180.54</v>
      </c>
      <c r="F877">
        <v>273729.94867999997</v>
      </c>
      <c r="G877">
        <v>0</v>
      </c>
      <c r="L877" t="s">
        <v>8</v>
      </c>
      <c r="M877" t="s">
        <v>7</v>
      </c>
      <c r="N877" t="s">
        <v>7</v>
      </c>
    </row>
    <row r="878" spans="1:14" x14ac:dyDescent="0.25">
      <c r="A878" s="5">
        <v>43716</v>
      </c>
      <c r="B878">
        <v>177.58</v>
      </c>
      <c r="C878">
        <v>184.18</v>
      </c>
      <c r="D878">
        <v>176.13</v>
      </c>
      <c r="E878">
        <v>181.19</v>
      </c>
      <c r="F878">
        <v>290083.47500999999</v>
      </c>
      <c r="G878">
        <v>0</v>
      </c>
      <c r="L878" t="s">
        <v>8</v>
      </c>
      <c r="M878" t="s">
        <v>7</v>
      </c>
      <c r="N878" t="s">
        <v>7</v>
      </c>
    </row>
    <row r="879" spans="1:14" x14ac:dyDescent="0.25">
      <c r="A879" s="5">
        <v>43715</v>
      </c>
      <c r="B879">
        <v>169.11</v>
      </c>
      <c r="C879">
        <v>180.8</v>
      </c>
      <c r="D879">
        <v>168.3</v>
      </c>
      <c r="E879">
        <v>177.62</v>
      </c>
      <c r="F879">
        <v>253831.23168999999</v>
      </c>
      <c r="G879">
        <v>0</v>
      </c>
      <c r="L879" t="s">
        <v>8</v>
      </c>
      <c r="M879" t="s">
        <v>7</v>
      </c>
      <c r="N879" t="s">
        <v>7</v>
      </c>
    </row>
    <row r="880" spans="1:14" x14ac:dyDescent="0.25">
      <c r="A880" s="5">
        <v>43714</v>
      </c>
      <c r="B880">
        <v>173.74</v>
      </c>
      <c r="C880">
        <v>177.87</v>
      </c>
      <c r="D880">
        <v>165</v>
      </c>
      <c r="E880">
        <v>169.08</v>
      </c>
      <c r="F880">
        <v>315822.37984000001</v>
      </c>
      <c r="G880">
        <v>0</v>
      </c>
      <c r="L880" t="s">
        <v>7</v>
      </c>
      <c r="M880" t="s">
        <v>7</v>
      </c>
      <c r="N880" t="s">
        <v>7</v>
      </c>
    </row>
    <row r="881" spans="1:14" x14ac:dyDescent="0.25">
      <c r="A881" s="5">
        <v>43713</v>
      </c>
      <c r="B881">
        <v>174.7</v>
      </c>
      <c r="C881">
        <v>176.19</v>
      </c>
      <c r="D881">
        <v>168.1</v>
      </c>
      <c r="E881">
        <v>173.75</v>
      </c>
      <c r="F881">
        <v>232753.83596</v>
      </c>
      <c r="G881">
        <v>0</v>
      </c>
      <c r="L881" t="s">
        <v>7</v>
      </c>
      <c r="M881" t="s">
        <v>7</v>
      </c>
      <c r="N881" t="s">
        <v>7</v>
      </c>
    </row>
    <row r="882" spans="1:14" x14ac:dyDescent="0.25">
      <c r="A882" s="5">
        <v>43712</v>
      </c>
      <c r="B882">
        <v>178.79</v>
      </c>
      <c r="C882">
        <v>180.14</v>
      </c>
      <c r="D882">
        <v>173</v>
      </c>
      <c r="E882">
        <v>174.72</v>
      </c>
      <c r="F882">
        <v>286226.25170999998</v>
      </c>
      <c r="G882">
        <v>0</v>
      </c>
      <c r="L882" t="s">
        <v>8</v>
      </c>
      <c r="M882" t="s">
        <v>7</v>
      </c>
      <c r="N882" t="s">
        <v>7</v>
      </c>
    </row>
    <row r="883" spans="1:14" x14ac:dyDescent="0.25">
      <c r="A883" s="5">
        <v>43711</v>
      </c>
      <c r="B883">
        <v>178</v>
      </c>
      <c r="C883">
        <v>183</v>
      </c>
      <c r="D883">
        <v>174.09</v>
      </c>
      <c r="E883">
        <v>178.75</v>
      </c>
      <c r="F883">
        <v>327857.85447000002</v>
      </c>
      <c r="G883">
        <v>0</v>
      </c>
      <c r="L883" t="s">
        <v>8</v>
      </c>
      <c r="M883" t="s">
        <v>7</v>
      </c>
      <c r="N883" t="s">
        <v>7</v>
      </c>
    </row>
    <row r="884" spans="1:14" x14ac:dyDescent="0.25">
      <c r="A884" s="5">
        <v>43710</v>
      </c>
      <c r="B884">
        <v>170.73</v>
      </c>
      <c r="C884">
        <v>181</v>
      </c>
      <c r="D884">
        <v>170.02</v>
      </c>
      <c r="E884">
        <v>178.05</v>
      </c>
      <c r="F884">
        <v>294627.31247</v>
      </c>
      <c r="G884">
        <v>0</v>
      </c>
      <c r="L884" t="s">
        <v>8</v>
      </c>
      <c r="M884" t="s">
        <v>7</v>
      </c>
      <c r="N884" t="s">
        <v>7</v>
      </c>
    </row>
    <row r="885" spans="1:14" x14ac:dyDescent="0.25">
      <c r="A885" s="5">
        <v>43709</v>
      </c>
      <c r="B885">
        <v>171.52</v>
      </c>
      <c r="C885">
        <v>173.42</v>
      </c>
      <c r="D885">
        <v>167.61</v>
      </c>
      <c r="E885">
        <v>170.74</v>
      </c>
      <c r="F885">
        <v>191140.52368000001</v>
      </c>
      <c r="G885">
        <v>0</v>
      </c>
      <c r="L885" t="s">
        <v>7</v>
      </c>
      <c r="M885" t="s">
        <v>7</v>
      </c>
      <c r="N885" t="s">
        <v>7</v>
      </c>
    </row>
    <row r="886" spans="1:14" x14ac:dyDescent="0.25">
      <c r="A886" s="5">
        <v>43708</v>
      </c>
      <c r="B886">
        <v>168.48</v>
      </c>
      <c r="C886">
        <v>174.98</v>
      </c>
      <c r="D886">
        <v>165.63</v>
      </c>
      <c r="E886">
        <v>171.57</v>
      </c>
      <c r="F886">
        <v>194999.19583000001</v>
      </c>
      <c r="G886">
        <v>0</v>
      </c>
      <c r="L886" t="s">
        <v>7</v>
      </c>
      <c r="M886" t="s">
        <v>7</v>
      </c>
      <c r="N886" t="s">
        <v>7</v>
      </c>
    </row>
    <row r="887" spans="1:14" x14ac:dyDescent="0.25">
      <c r="A887" s="5">
        <v>43707</v>
      </c>
      <c r="B887">
        <v>169.03</v>
      </c>
      <c r="C887">
        <v>170.77</v>
      </c>
      <c r="D887">
        <v>165.55</v>
      </c>
      <c r="E887">
        <v>168.5</v>
      </c>
      <c r="F887">
        <v>238616.68867999999</v>
      </c>
      <c r="G887">
        <v>0</v>
      </c>
      <c r="L887" t="s">
        <v>7</v>
      </c>
      <c r="M887" t="s">
        <v>7</v>
      </c>
      <c r="N887" t="s">
        <v>7</v>
      </c>
    </row>
    <row r="888" spans="1:14" x14ac:dyDescent="0.25">
      <c r="A888" s="5">
        <v>43706</v>
      </c>
      <c r="B888">
        <v>173.03</v>
      </c>
      <c r="C888">
        <v>173.5</v>
      </c>
      <c r="D888">
        <v>163.61000000000001</v>
      </c>
      <c r="E888">
        <v>169.01</v>
      </c>
      <c r="F888">
        <v>295241.21600000001</v>
      </c>
      <c r="G888">
        <v>0</v>
      </c>
      <c r="L888" t="s">
        <v>7</v>
      </c>
      <c r="M888" t="s">
        <v>7</v>
      </c>
      <c r="N888" t="s">
        <v>7</v>
      </c>
    </row>
    <row r="889" spans="1:14" x14ac:dyDescent="0.25">
      <c r="A889" s="5">
        <v>43705</v>
      </c>
      <c r="B889">
        <v>187.3</v>
      </c>
      <c r="C889">
        <v>188.25</v>
      </c>
      <c r="D889">
        <v>166.48</v>
      </c>
      <c r="E889">
        <v>173.03</v>
      </c>
      <c r="F889">
        <v>334480.61761000002</v>
      </c>
      <c r="G889">
        <v>0</v>
      </c>
      <c r="L889" t="s">
        <v>7</v>
      </c>
      <c r="M889" t="s">
        <v>7</v>
      </c>
      <c r="N889" t="s">
        <v>7</v>
      </c>
    </row>
    <row r="890" spans="1:14" x14ac:dyDescent="0.25">
      <c r="A890" s="5">
        <v>43704</v>
      </c>
      <c r="B890">
        <v>188.61</v>
      </c>
      <c r="C890">
        <v>189.49</v>
      </c>
      <c r="D890">
        <v>184.75</v>
      </c>
      <c r="E890">
        <v>187.24</v>
      </c>
      <c r="F890">
        <v>157898.56299999999</v>
      </c>
      <c r="G890">
        <v>0</v>
      </c>
      <c r="L890" t="s">
        <v>8</v>
      </c>
      <c r="M890" t="s">
        <v>7</v>
      </c>
      <c r="N890" t="s">
        <v>7</v>
      </c>
    </row>
    <row r="891" spans="1:14" x14ac:dyDescent="0.25">
      <c r="A891" s="5">
        <v>43703</v>
      </c>
      <c r="B891">
        <v>186.54</v>
      </c>
      <c r="C891">
        <v>193.7</v>
      </c>
      <c r="D891">
        <v>186</v>
      </c>
      <c r="E891">
        <v>188.67</v>
      </c>
      <c r="F891">
        <v>254397.79472000001</v>
      </c>
      <c r="G891">
        <v>0</v>
      </c>
      <c r="L891" t="s">
        <v>8</v>
      </c>
      <c r="M891" t="s">
        <v>7</v>
      </c>
      <c r="N891" t="s">
        <v>7</v>
      </c>
    </row>
    <row r="892" spans="1:14" x14ac:dyDescent="0.25">
      <c r="A892" s="5">
        <v>43702</v>
      </c>
      <c r="B892">
        <v>190.6</v>
      </c>
      <c r="C892">
        <v>192.4</v>
      </c>
      <c r="D892">
        <v>182.8</v>
      </c>
      <c r="E892">
        <v>186.54</v>
      </c>
      <c r="F892">
        <v>169862.91522</v>
      </c>
      <c r="G892">
        <v>0</v>
      </c>
      <c r="L892" t="s">
        <v>8</v>
      </c>
      <c r="M892" t="s">
        <v>7</v>
      </c>
      <c r="N892" t="s">
        <v>7</v>
      </c>
    </row>
    <row r="893" spans="1:14" x14ac:dyDescent="0.25">
      <c r="A893" s="5">
        <v>43701</v>
      </c>
      <c r="B893">
        <v>194.02</v>
      </c>
      <c r="C893">
        <v>194.09</v>
      </c>
      <c r="D893">
        <v>185.63</v>
      </c>
      <c r="E893">
        <v>190.6</v>
      </c>
      <c r="F893">
        <v>167806.34294</v>
      </c>
      <c r="G893">
        <v>0</v>
      </c>
      <c r="L893" t="s">
        <v>8</v>
      </c>
      <c r="M893" t="s">
        <v>7</v>
      </c>
      <c r="N893" t="s">
        <v>7</v>
      </c>
    </row>
    <row r="894" spans="1:14" x14ac:dyDescent="0.25">
      <c r="A894" s="5">
        <v>43700</v>
      </c>
      <c r="B894">
        <v>190.36</v>
      </c>
      <c r="C894">
        <v>196.19</v>
      </c>
      <c r="D894">
        <v>188.16</v>
      </c>
      <c r="E894">
        <v>194.02</v>
      </c>
      <c r="F894">
        <v>192548.51551999999</v>
      </c>
      <c r="G894">
        <v>0</v>
      </c>
      <c r="L894" t="s">
        <v>8</v>
      </c>
      <c r="M894" t="s">
        <v>7</v>
      </c>
      <c r="N894" t="s">
        <v>7</v>
      </c>
    </row>
    <row r="895" spans="1:14" x14ac:dyDescent="0.25">
      <c r="A895" s="5">
        <v>43699</v>
      </c>
      <c r="B895">
        <v>187.45</v>
      </c>
      <c r="C895">
        <v>195.14</v>
      </c>
      <c r="D895">
        <v>182.8</v>
      </c>
      <c r="E895">
        <v>190.35</v>
      </c>
      <c r="F895">
        <v>245575.98772</v>
      </c>
      <c r="G895">
        <v>0</v>
      </c>
      <c r="L895" t="s">
        <v>8</v>
      </c>
      <c r="M895" t="s">
        <v>7</v>
      </c>
      <c r="N895" t="s">
        <v>7</v>
      </c>
    </row>
    <row r="896" spans="1:14" x14ac:dyDescent="0.25">
      <c r="A896" s="5">
        <v>43698</v>
      </c>
      <c r="B896">
        <v>196.55</v>
      </c>
      <c r="C896">
        <v>197.2</v>
      </c>
      <c r="D896">
        <v>179.53</v>
      </c>
      <c r="E896">
        <v>187.45</v>
      </c>
      <c r="F896">
        <v>284973.64194</v>
      </c>
      <c r="G896">
        <v>0</v>
      </c>
      <c r="L896" t="s">
        <v>7</v>
      </c>
      <c r="M896" t="s">
        <v>7</v>
      </c>
      <c r="N896" t="s">
        <v>7</v>
      </c>
    </row>
    <row r="897" spans="1:14" x14ac:dyDescent="0.25">
      <c r="A897" s="5">
        <v>43697</v>
      </c>
      <c r="B897">
        <v>202.24</v>
      </c>
      <c r="C897">
        <v>202.75</v>
      </c>
      <c r="D897">
        <v>194.45</v>
      </c>
      <c r="E897">
        <v>196.6</v>
      </c>
      <c r="F897">
        <v>189297.75494000001</v>
      </c>
      <c r="G897">
        <v>0</v>
      </c>
      <c r="L897" t="s">
        <v>8</v>
      </c>
      <c r="M897" t="s">
        <v>7</v>
      </c>
      <c r="N897" t="s">
        <v>7</v>
      </c>
    </row>
    <row r="898" spans="1:14" x14ac:dyDescent="0.25">
      <c r="A898" s="5">
        <v>43696</v>
      </c>
      <c r="B898">
        <v>194.32</v>
      </c>
      <c r="C898">
        <v>203.59</v>
      </c>
      <c r="D898">
        <v>192.7</v>
      </c>
      <c r="E898">
        <v>202.28</v>
      </c>
      <c r="F898">
        <v>239541.59779999999</v>
      </c>
      <c r="G898">
        <v>0</v>
      </c>
      <c r="L898" t="s">
        <v>8</v>
      </c>
      <c r="M898" t="s">
        <v>7</v>
      </c>
      <c r="N898" t="s">
        <v>7</v>
      </c>
    </row>
    <row r="899" spans="1:14" x14ac:dyDescent="0.25">
      <c r="A899" s="5">
        <v>43695</v>
      </c>
      <c r="B899">
        <v>185.67</v>
      </c>
      <c r="C899">
        <v>197.91</v>
      </c>
      <c r="D899">
        <v>183.35</v>
      </c>
      <c r="E899">
        <v>194.33</v>
      </c>
      <c r="F899">
        <v>175363.5062</v>
      </c>
      <c r="G899">
        <v>0</v>
      </c>
      <c r="L899" t="s">
        <v>8</v>
      </c>
      <c r="M899" t="s">
        <v>7</v>
      </c>
      <c r="N899" t="s">
        <v>7</v>
      </c>
    </row>
    <row r="900" spans="1:14" x14ac:dyDescent="0.25">
      <c r="A900" s="5">
        <v>43694</v>
      </c>
      <c r="B900">
        <v>184.83</v>
      </c>
      <c r="C900">
        <v>187</v>
      </c>
      <c r="D900">
        <v>181.83</v>
      </c>
      <c r="E900">
        <v>185.59</v>
      </c>
      <c r="F900">
        <v>138799.61507999999</v>
      </c>
      <c r="G900">
        <v>0</v>
      </c>
      <c r="L900" t="s">
        <v>7</v>
      </c>
      <c r="M900" t="s">
        <v>7</v>
      </c>
      <c r="N900" t="s">
        <v>7</v>
      </c>
    </row>
    <row r="901" spans="1:14" x14ac:dyDescent="0.25">
      <c r="A901" s="5">
        <v>43693</v>
      </c>
      <c r="B901">
        <v>187.98</v>
      </c>
      <c r="C901">
        <v>188.39</v>
      </c>
      <c r="D901">
        <v>178.04</v>
      </c>
      <c r="E901">
        <v>184.88</v>
      </c>
      <c r="F901">
        <v>282177.01584000001</v>
      </c>
      <c r="G901">
        <v>0</v>
      </c>
      <c r="L901" t="s">
        <v>7</v>
      </c>
      <c r="M901" t="s">
        <v>7</v>
      </c>
      <c r="N901" t="s">
        <v>7</v>
      </c>
    </row>
    <row r="902" spans="1:14" x14ac:dyDescent="0.25">
      <c r="A902" s="5">
        <v>43692</v>
      </c>
      <c r="B902">
        <v>187.08</v>
      </c>
      <c r="C902">
        <v>189.95</v>
      </c>
      <c r="D902">
        <v>181.23</v>
      </c>
      <c r="E902">
        <v>188.03</v>
      </c>
      <c r="F902">
        <v>237953.09426000001</v>
      </c>
      <c r="G902">
        <v>0</v>
      </c>
      <c r="L902" t="s">
        <v>7</v>
      </c>
      <c r="M902" t="s">
        <v>7</v>
      </c>
      <c r="N902" t="s">
        <v>7</v>
      </c>
    </row>
    <row r="903" spans="1:14" x14ac:dyDescent="0.25">
      <c r="A903" s="5">
        <v>43691</v>
      </c>
      <c r="B903">
        <v>209.31</v>
      </c>
      <c r="C903">
        <v>209.9</v>
      </c>
      <c r="D903">
        <v>183.49</v>
      </c>
      <c r="E903">
        <v>187.1</v>
      </c>
      <c r="F903">
        <v>325228.98930999998</v>
      </c>
      <c r="G903">
        <v>0</v>
      </c>
      <c r="L903" t="s">
        <v>7</v>
      </c>
      <c r="M903" t="s">
        <v>7</v>
      </c>
      <c r="N903" t="s">
        <v>7</v>
      </c>
    </row>
    <row r="904" spans="1:14" x14ac:dyDescent="0.25">
      <c r="A904" s="5">
        <v>43690</v>
      </c>
      <c r="B904">
        <v>211.58</v>
      </c>
      <c r="C904">
        <v>214.3</v>
      </c>
      <c r="D904">
        <v>204</v>
      </c>
      <c r="E904">
        <v>209.3</v>
      </c>
      <c r="F904">
        <v>166922.48201000001</v>
      </c>
      <c r="G904">
        <v>0</v>
      </c>
      <c r="L904" t="s">
        <v>7</v>
      </c>
      <c r="M904" t="s">
        <v>7</v>
      </c>
      <c r="N904" t="s">
        <v>7</v>
      </c>
    </row>
    <row r="905" spans="1:14" x14ac:dyDescent="0.25">
      <c r="A905" s="5">
        <v>43689</v>
      </c>
      <c r="B905">
        <v>216.41</v>
      </c>
      <c r="C905">
        <v>216.81</v>
      </c>
      <c r="D905">
        <v>209.75</v>
      </c>
      <c r="E905">
        <v>211.41</v>
      </c>
      <c r="F905">
        <v>122760.94619</v>
      </c>
      <c r="G905">
        <v>0</v>
      </c>
      <c r="L905" t="s">
        <v>7</v>
      </c>
      <c r="M905" t="s">
        <v>7</v>
      </c>
      <c r="N905" t="s">
        <v>7</v>
      </c>
    </row>
    <row r="906" spans="1:14" x14ac:dyDescent="0.25">
      <c r="A906" s="5">
        <v>43688</v>
      </c>
      <c r="B906">
        <v>206.48</v>
      </c>
      <c r="C906">
        <v>216.94</v>
      </c>
      <c r="D906">
        <v>206.14</v>
      </c>
      <c r="E906">
        <v>216.42</v>
      </c>
      <c r="F906">
        <v>188474.09048000001</v>
      </c>
      <c r="G906">
        <v>0</v>
      </c>
      <c r="L906" t="s">
        <v>7</v>
      </c>
      <c r="M906" t="s">
        <v>7</v>
      </c>
      <c r="N906" t="s">
        <v>7</v>
      </c>
    </row>
    <row r="907" spans="1:14" x14ac:dyDescent="0.25">
      <c r="A907" s="5">
        <v>43687</v>
      </c>
      <c r="B907">
        <v>210.52</v>
      </c>
      <c r="C907">
        <v>215</v>
      </c>
      <c r="D907">
        <v>202.6</v>
      </c>
      <c r="E907">
        <v>206.48</v>
      </c>
      <c r="F907">
        <v>252614.02389000001</v>
      </c>
      <c r="G907">
        <v>0</v>
      </c>
      <c r="L907" t="s">
        <v>7</v>
      </c>
      <c r="M907" t="s">
        <v>7</v>
      </c>
      <c r="N907" t="s">
        <v>7</v>
      </c>
    </row>
    <row r="908" spans="1:14" x14ac:dyDescent="0.25">
      <c r="A908" s="5">
        <v>43686</v>
      </c>
      <c r="B908">
        <v>221.38</v>
      </c>
      <c r="C908">
        <v>221.79</v>
      </c>
      <c r="D908">
        <v>207.3</v>
      </c>
      <c r="E908">
        <v>210.53</v>
      </c>
      <c r="F908">
        <v>232062.12757000001</v>
      </c>
      <c r="G908">
        <v>0</v>
      </c>
      <c r="L908" t="s">
        <v>7</v>
      </c>
      <c r="M908" t="s">
        <v>8</v>
      </c>
      <c r="N908" t="s">
        <v>7</v>
      </c>
    </row>
    <row r="909" spans="1:14" x14ac:dyDescent="0.25">
      <c r="A909" s="5">
        <v>43685</v>
      </c>
      <c r="B909">
        <v>226.11</v>
      </c>
      <c r="C909">
        <v>228.5</v>
      </c>
      <c r="D909">
        <v>215.51</v>
      </c>
      <c r="E909">
        <v>221.39</v>
      </c>
      <c r="F909">
        <v>236886.35423</v>
      </c>
      <c r="G909">
        <v>0</v>
      </c>
      <c r="L909" t="s">
        <v>7</v>
      </c>
      <c r="M909" t="s">
        <v>8</v>
      </c>
      <c r="N909" t="s">
        <v>7</v>
      </c>
    </row>
    <row r="910" spans="1:14" x14ac:dyDescent="0.25">
      <c r="A910" s="5">
        <v>43684</v>
      </c>
      <c r="B910">
        <v>226.31</v>
      </c>
      <c r="C910">
        <v>231.25</v>
      </c>
      <c r="D910">
        <v>220.95</v>
      </c>
      <c r="E910">
        <v>226.1</v>
      </c>
      <c r="F910">
        <v>279104.70370000001</v>
      </c>
      <c r="G910">
        <v>0</v>
      </c>
      <c r="L910" t="s">
        <v>7</v>
      </c>
      <c r="M910" t="s">
        <v>8</v>
      </c>
      <c r="N910" t="s">
        <v>7</v>
      </c>
    </row>
    <row r="911" spans="1:14" x14ac:dyDescent="0.25">
      <c r="A911" s="5">
        <v>43683</v>
      </c>
      <c r="B911">
        <v>233.53</v>
      </c>
      <c r="C911">
        <v>239.15</v>
      </c>
      <c r="D911">
        <v>223.03</v>
      </c>
      <c r="E911">
        <v>226.28</v>
      </c>
      <c r="F911">
        <v>341279.08159000002</v>
      </c>
      <c r="G911">
        <v>0</v>
      </c>
      <c r="L911" t="s">
        <v>8</v>
      </c>
      <c r="M911" t="s">
        <v>8</v>
      </c>
      <c r="N911" t="s">
        <v>7</v>
      </c>
    </row>
    <row r="912" spans="1:14" x14ac:dyDescent="0.25">
      <c r="A912" s="5">
        <v>43682</v>
      </c>
      <c r="B912">
        <v>221.79</v>
      </c>
      <c r="C912">
        <v>236.25</v>
      </c>
      <c r="D912">
        <v>221.79</v>
      </c>
      <c r="E912">
        <v>233.54</v>
      </c>
      <c r="F912">
        <v>307956.27211000002</v>
      </c>
      <c r="G912">
        <v>0</v>
      </c>
      <c r="L912" t="s">
        <v>8</v>
      </c>
      <c r="M912" t="s">
        <v>8</v>
      </c>
      <c r="N912" t="s">
        <v>7</v>
      </c>
    </row>
    <row r="913" spans="1:14" x14ac:dyDescent="0.25">
      <c r="A913" s="5">
        <v>43681</v>
      </c>
      <c r="B913">
        <v>222.14</v>
      </c>
      <c r="C913">
        <v>223.34</v>
      </c>
      <c r="D913">
        <v>216.9</v>
      </c>
      <c r="E913">
        <v>221.79</v>
      </c>
      <c r="F913">
        <v>135622.0258</v>
      </c>
      <c r="G913">
        <v>0</v>
      </c>
      <c r="L913" t="s">
        <v>8</v>
      </c>
      <c r="M913" t="s">
        <v>8</v>
      </c>
      <c r="N913" t="s">
        <v>7</v>
      </c>
    </row>
    <row r="914" spans="1:14" x14ac:dyDescent="0.25">
      <c r="A914" s="5">
        <v>43680</v>
      </c>
      <c r="B914">
        <v>217.69</v>
      </c>
      <c r="C914">
        <v>224.51</v>
      </c>
      <c r="D914">
        <v>216.62</v>
      </c>
      <c r="E914">
        <v>222.14</v>
      </c>
      <c r="F914">
        <v>181591.95296</v>
      </c>
      <c r="G914">
        <v>0</v>
      </c>
      <c r="L914" t="s">
        <v>8</v>
      </c>
      <c r="M914" t="s">
        <v>8</v>
      </c>
      <c r="N914" t="s">
        <v>7</v>
      </c>
    </row>
    <row r="915" spans="1:14" x14ac:dyDescent="0.25">
      <c r="A915" s="5">
        <v>43679</v>
      </c>
      <c r="B915">
        <v>216.8</v>
      </c>
      <c r="C915">
        <v>222.18</v>
      </c>
      <c r="D915">
        <v>214.31</v>
      </c>
      <c r="E915">
        <v>217.61</v>
      </c>
      <c r="F915">
        <v>206867.03039</v>
      </c>
      <c r="G915">
        <v>0</v>
      </c>
      <c r="L915" t="s">
        <v>8</v>
      </c>
      <c r="M915" t="s">
        <v>8</v>
      </c>
      <c r="N915" t="s">
        <v>7</v>
      </c>
    </row>
    <row r="916" spans="1:14" x14ac:dyDescent="0.25">
      <c r="A916" s="5">
        <v>43678</v>
      </c>
      <c r="B916">
        <v>218.42</v>
      </c>
      <c r="C916">
        <v>219.39</v>
      </c>
      <c r="D916">
        <v>210.54</v>
      </c>
      <c r="E916">
        <v>216.84</v>
      </c>
      <c r="F916">
        <v>186806.18844</v>
      </c>
      <c r="G916">
        <v>0</v>
      </c>
      <c r="L916" t="s">
        <v>8</v>
      </c>
      <c r="M916" t="s">
        <v>8</v>
      </c>
      <c r="N916" t="s">
        <v>7</v>
      </c>
    </row>
    <row r="917" spans="1:14" x14ac:dyDescent="0.25">
      <c r="A917" s="5">
        <v>43677</v>
      </c>
      <c r="B917">
        <v>209.57</v>
      </c>
      <c r="C917">
        <v>218.79</v>
      </c>
      <c r="D917">
        <v>209.2</v>
      </c>
      <c r="E917">
        <v>218.42</v>
      </c>
      <c r="F917">
        <v>207213.55658</v>
      </c>
      <c r="G917">
        <v>0</v>
      </c>
      <c r="L917" t="s">
        <v>8</v>
      </c>
      <c r="M917" t="s">
        <v>8</v>
      </c>
      <c r="N917" t="s">
        <v>7</v>
      </c>
    </row>
    <row r="918" spans="1:14" x14ac:dyDescent="0.25">
      <c r="A918" s="5">
        <v>43676</v>
      </c>
      <c r="B918">
        <v>210.84</v>
      </c>
      <c r="C918">
        <v>214.36</v>
      </c>
      <c r="D918">
        <v>204.4</v>
      </c>
      <c r="E918">
        <v>209.58</v>
      </c>
      <c r="F918">
        <v>222683.79393000001</v>
      </c>
      <c r="G918">
        <v>0</v>
      </c>
      <c r="L918" t="s">
        <v>8</v>
      </c>
      <c r="M918" t="s">
        <v>8</v>
      </c>
      <c r="N918" t="s">
        <v>7</v>
      </c>
    </row>
    <row r="919" spans="1:14" x14ac:dyDescent="0.25">
      <c r="A919" s="5">
        <v>43675</v>
      </c>
      <c r="B919">
        <v>211.58</v>
      </c>
      <c r="C919">
        <v>215.83</v>
      </c>
      <c r="D919">
        <v>206.59</v>
      </c>
      <c r="E919">
        <v>210.89</v>
      </c>
      <c r="F919">
        <v>226941.28</v>
      </c>
      <c r="G919">
        <v>0</v>
      </c>
      <c r="L919" t="s">
        <v>8</v>
      </c>
      <c r="M919" t="s">
        <v>8</v>
      </c>
      <c r="N919" t="s">
        <v>7</v>
      </c>
    </row>
    <row r="920" spans="1:14" x14ac:dyDescent="0.25">
      <c r="A920" s="5">
        <v>43674</v>
      </c>
      <c r="B920">
        <v>207.3</v>
      </c>
      <c r="C920">
        <v>213.52</v>
      </c>
      <c r="D920">
        <v>198.24</v>
      </c>
      <c r="E920">
        <v>211.62</v>
      </c>
      <c r="F920">
        <v>218801.16693000001</v>
      </c>
      <c r="G920">
        <v>0</v>
      </c>
      <c r="L920" t="s">
        <v>7</v>
      </c>
      <c r="M920" t="s">
        <v>8</v>
      </c>
      <c r="N920" t="s">
        <v>7</v>
      </c>
    </row>
    <row r="921" spans="1:14" x14ac:dyDescent="0.25">
      <c r="A921" s="5">
        <v>43673</v>
      </c>
      <c r="B921">
        <v>218.81</v>
      </c>
      <c r="C921">
        <v>223.3</v>
      </c>
      <c r="D921">
        <v>203</v>
      </c>
      <c r="E921">
        <v>207.3</v>
      </c>
      <c r="F921">
        <v>301209.41113000002</v>
      </c>
      <c r="G921">
        <v>0</v>
      </c>
      <c r="L921" t="s">
        <v>7</v>
      </c>
      <c r="M921" t="s">
        <v>8</v>
      </c>
      <c r="N921" t="s">
        <v>7</v>
      </c>
    </row>
    <row r="922" spans="1:14" x14ac:dyDescent="0.25">
      <c r="A922" s="5">
        <v>43672</v>
      </c>
      <c r="B922">
        <v>219.14</v>
      </c>
      <c r="C922">
        <v>220</v>
      </c>
      <c r="D922">
        <v>212.71</v>
      </c>
      <c r="E922">
        <v>218.81</v>
      </c>
      <c r="F922">
        <v>197781.98652999999</v>
      </c>
      <c r="G922">
        <v>0</v>
      </c>
      <c r="L922" t="s">
        <v>8</v>
      </c>
      <c r="M922" t="s">
        <v>8</v>
      </c>
      <c r="N922" t="s">
        <v>7</v>
      </c>
    </row>
    <row r="923" spans="1:14" x14ac:dyDescent="0.25">
      <c r="A923" s="5">
        <v>43671</v>
      </c>
      <c r="B923">
        <v>216.31</v>
      </c>
      <c r="C923">
        <v>225.12</v>
      </c>
      <c r="D923">
        <v>215.23</v>
      </c>
      <c r="E923">
        <v>219.14</v>
      </c>
      <c r="F923">
        <v>280370.29626999999</v>
      </c>
      <c r="G923">
        <v>0</v>
      </c>
      <c r="L923" t="s">
        <v>8</v>
      </c>
      <c r="M923" t="s">
        <v>8</v>
      </c>
      <c r="N923" t="s">
        <v>7</v>
      </c>
    </row>
    <row r="924" spans="1:14" x14ac:dyDescent="0.25">
      <c r="A924" s="5">
        <v>43670</v>
      </c>
      <c r="B924">
        <v>212.55</v>
      </c>
      <c r="C924">
        <v>218.28</v>
      </c>
      <c r="D924">
        <v>202</v>
      </c>
      <c r="E924">
        <v>216.31</v>
      </c>
      <c r="F924">
        <v>331162.64840000001</v>
      </c>
      <c r="G924">
        <v>0</v>
      </c>
      <c r="L924" t="s">
        <v>7</v>
      </c>
      <c r="M924" t="s">
        <v>8</v>
      </c>
      <c r="N924" t="s">
        <v>7</v>
      </c>
    </row>
    <row r="925" spans="1:14" x14ac:dyDescent="0.25">
      <c r="A925" s="5">
        <v>43669</v>
      </c>
      <c r="B925">
        <v>217.59</v>
      </c>
      <c r="C925">
        <v>219.55</v>
      </c>
      <c r="D925">
        <v>208.36</v>
      </c>
      <c r="E925">
        <v>212.48</v>
      </c>
      <c r="F925">
        <v>317876.48242000001</v>
      </c>
      <c r="G925">
        <v>0</v>
      </c>
      <c r="L925" t="s">
        <v>7</v>
      </c>
      <c r="M925" t="s">
        <v>8</v>
      </c>
      <c r="N925" t="s">
        <v>7</v>
      </c>
    </row>
    <row r="926" spans="1:14" x14ac:dyDescent="0.25">
      <c r="A926" s="5">
        <v>43668</v>
      </c>
      <c r="B926">
        <v>225.49</v>
      </c>
      <c r="C926">
        <v>228.34</v>
      </c>
      <c r="D926">
        <v>212.25</v>
      </c>
      <c r="E926">
        <v>217.51</v>
      </c>
      <c r="F926">
        <v>271310.40445999999</v>
      </c>
      <c r="G926">
        <v>0</v>
      </c>
      <c r="L926" t="s">
        <v>7</v>
      </c>
      <c r="M926" t="s">
        <v>8</v>
      </c>
      <c r="N926" t="s">
        <v>7</v>
      </c>
    </row>
    <row r="927" spans="1:14" x14ac:dyDescent="0.25">
      <c r="A927" s="5">
        <v>43667</v>
      </c>
      <c r="B927">
        <v>228.25</v>
      </c>
      <c r="C927">
        <v>229.66</v>
      </c>
      <c r="D927">
        <v>216.99</v>
      </c>
      <c r="E927">
        <v>225.38</v>
      </c>
      <c r="F927">
        <v>270046.1519</v>
      </c>
      <c r="G927">
        <v>0</v>
      </c>
      <c r="L927" t="s">
        <v>7</v>
      </c>
      <c r="M927" t="s">
        <v>8</v>
      </c>
      <c r="N927" t="s">
        <v>7</v>
      </c>
    </row>
    <row r="928" spans="1:14" x14ac:dyDescent="0.25">
      <c r="A928" s="5">
        <v>43666</v>
      </c>
      <c r="B928">
        <v>220.84</v>
      </c>
      <c r="C928">
        <v>235.09</v>
      </c>
      <c r="D928">
        <v>219.78</v>
      </c>
      <c r="E928">
        <v>228.2</v>
      </c>
      <c r="F928">
        <v>325393.97224999999</v>
      </c>
      <c r="G928">
        <v>0</v>
      </c>
      <c r="L928" t="s">
        <v>8</v>
      </c>
      <c r="M928" t="s">
        <v>8</v>
      </c>
      <c r="N928" t="s">
        <v>7</v>
      </c>
    </row>
    <row r="929" spans="1:14" x14ac:dyDescent="0.25">
      <c r="A929" s="5">
        <v>43665</v>
      </c>
      <c r="B929">
        <v>225.75</v>
      </c>
      <c r="C929">
        <v>226.23</v>
      </c>
      <c r="D929">
        <v>212.52</v>
      </c>
      <c r="E929">
        <v>220.73</v>
      </c>
      <c r="F929">
        <v>371622.21865</v>
      </c>
      <c r="G929">
        <v>0</v>
      </c>
      <c r="L929" t="s">
        <v>7</v>
      </c>
      <c r="M929" t="s">
        <v>8</v>
      </c>
      <c r="N929" t="s">
        <v>7</v>
      </c>
    </row>
    <row r="930" spans="1:14" x14ac:dyDescent="0.25">
      <c r="A930" s="5">
        <v>43664</v>
      </c>
      <c r="B930">
        <v>210.8</v>
      </c>
      <c r="C930">
        <v>229.65</v>
      </c>
      <c r="D930">
        <v>205.71</v>
      </c>
      <c r="E930">
        <v>225.73</v>
      </c>
      <c r="F930">
        <v>609081.49094000005</v>
      </c>
      <c r="G930">
        <v>0</v>
      </c>
      <c r="L930" t="s">
        <v>8</v>
      </c>
      <c r="M930" t="s">
        <v>8</v>
      </c>
      <c r="N930" t="s">
        <v>7</v>
      </c>
    </row>
    <row r="931" spans="1:14" x14ac:dyDescent="0.25">
      <c r="A931" s="5">
        <v>43663</v>
      </c>
      <c r="B931">
        <v>198.94</v>
      </c>
      <c r="C931">
        <v>219.86</v>
      </c>
      <c r="D931">
        <v>191.84</v>
      </c>
      <c r="E931">
        <v>210.81</v>
      </c>
      <c r="F931">
        <v>694854.10132000002</v>
      </c>
      <c r="G931">
        <v>0</v>
      </c>
      <c r="L931" t="s">
        <v>8</v>
      </c>
      <c r="M931" t="s">
        <v>7</v>
      </c>
      <c r="N931" t="s">
        <v>7</v>
      </c>
    </row>
    <row r="932" spans="1:14" x14ac:dyDescent="0.25">
      <c r="A932" s="5">
        <v>43662</v>
      </c>
      <c r="B932">
        <v>228.2</v>
      </c>
      <c r="C932">
        <v>234.5</v>
      </c>
      <c r="D932">
        <v>192.25</v>
      </c>
      <c r="E932">
        <v>198.88</v>
      </c>
      <c r="F932">
        <v>715604.83198000002</v>
      </c>
      <c r="G932">
        <v>0</v>
      </c>
      <c r="L932" t="s">
        <v>7</v>
      </c>
      <c r="M932" t="s">
        <v>7</v>
      </c>
      <c r="N932" t="s">
        <v>7</v>
      </c>
    </row>
    <row r="933" spans="1:14" x14ac:dyDescent="0.25">
      <c r="A933" s="5">
        <v>43661</v>
      </c>
      <c r="B933">
        <v>225.83</v>
      </c>
      <c r="C933">
        <v>235.58</v>
      </c>
      <c r="D933">
        <v>203.08</v>
      </c>
      <c r="E933">
        <v>228.2</v>
      </c>
      <c r="F933">
        <v>715991.20687999995</v>
      </c>
      <c r="G933">
        <v>0</v>
      </c>
      <c r="L933" t="s">
        <v>7</v>
      </c>
      <c r="M933" t="s">
        <v>7</v>
      </c>
      <c r="N933" t="s">
        <v>7</v>
      </c>
    </row>
    <row r="934" spans="1:14" x14ac:dyDescent="0.25">
      <c r="A934" s="5">
        <v>43660</v>
      </c>
      <c r="B934">
        <v>268.8</v>
      </c>
      <c r="C934">
        <v>269.74</v>
      </c>
      <c r="D934">
        <v>222.81</v>
      </c>
      <c r="E934">
        <v>225.85</v>
      </c>
      <c r="F934">
        <v>540052.58421</v>
      </c>
      <c r="G934">
        <v>0</v>
      </c>
      <c r="L934" t="s">
        <v>7</v>
      </c>
      <c r="M934" t="s">
        <v>7</v>
      </c>
      <c r="N934" t="s">
        <v>7</v>
      </c>
    </row>
    <row r="935" spans="1:14" x14ac:dyDescent="0.25">
      <c r="A935" s="5">
        <v>43659</v>
      </c>
      <c r="B935">
        <v>274.52999999999997</v>
      </c>
      <c r="C935">
        <v>275.04000000000002</v>
      </c>
      <c r="D935">
        <v>262.2</v>
      </c>
      <c r="E935">
        <v>268.79000000000002</v>
      </c>
      <c r="F935">
        <v>205959.26848999999</v>
      </c>
      <c r="G935">
        <v>0</v>
      </c>
      <c r="L935" t="s">
        <v>7</v>
      </c>
      <c r="M935" t="s">
        <v>7</v>
      </c>
      <c r="N935" t="s">
        <v>8</v>
      </c>
    </row>
    <row r="936" spans="1:14" x14ac:dyDescent="0.25">
      <c r="A936" s="5">
        <v>43658</v>
      </c>
      <c r="B936">
        <v>268.67</v>
      </c>
      <c r="C936">
        <v>278.99</v>
      </c>
      <c r="D936">
        <v>266.20999999999998</v>
      </c>
      <c r="E936">
        <v>274.62</v>
      </c>
      <c r="F936">
        <v>266734.54213000002</v>
      </c>
      <c r="G936">
        <v>0</v>
      </c>
      <c r="L936" t="s">
        <v>7</v>
      </c>
      <c r="M936" t="s">
        <v>7</v>
      </c>
      <c r="N936" t="s">
        <v>8</v>
      </c>
    </row>
    <row r="937" spans="1:14" x14ac:dyDescent="0.25">
      <c r="A937" s="5">
        <v>43657</v>
      </c>
      <c r="B937">
        <v>289.23</v>
      </c>
      <c r="C937">
        <v>289.23</v>
      </c>
      <c r="D937">
        <v>262.12</v>
      </c>
      <c r="E937">
        <v>268.63</v>
      </c>
      <c r="F937">
        <v>501592.75211</v>
      </c>
      <c r="G937">
        <v>0</v>
      </c>
      <c r="L937" t="s">
        <v>7</v>
      </c>
      <c r="M937" t="s">
        <v>7</v>
      </c>
      <c r="N937" t="s">
        <v>8</v>
      </c>
    </row>
    <row r="938" spans="1:14" x14ac:dyDescent="0.25">
      <c r="A938" s="5">
        <v>43656</v>
      </c>
      <c r="B938">
        <v>307.45999999999998</v>
      </c>
      <c r="C938">
        <v>314.18</v>
      </c>
      <c r="D938">
        <v>281.04000000000002</v>
      </c>
      <c r="E938">
        <v>289.23</v>
      </c>
      <c r="F938">
        <v>457080.94063000003</v>
      </c>
      <c r="G938">
        <v>0</v>
      </c>
      <c r="L938" t="s">
        <v>7</v>
      </c>
      <c r="M938" t="s">
        <v>8</v>
      </c>
      <c r="N938" t="s">
        <v>8</v>
      </c>
    </row>
    <row r="939" spans="1:14" x14ac:dyDescent="0.25">
      <c r="A939" s="5">
        <v>43655</v>
      </c>
      <c r="B939">
        <v>311.95999999999998</v>
      </c>
      <c r="C939">
        <v>318.19</v>
      </c>
      <c r="D939">
        <v>302.69</v>
      </c>
      <c r="E939">
        <v>307.45999999999998</v>
      </c>
      <c r="F939">
        <v>309447.34927000001</v>
      </c>
      <c r="G939">
        <v>0</v>
      </c>
      <c r="L939" t="s">
        <v>8</v>
      </c>
      <c r="M939" t="s">
        <v>8</v>
      </c>
      <c r="N939" t="s">
        <v>8</v>
      </c>
    </row>
    <row r="940" spans="1:14" x14ac:dyDescent="0.25">
      <c r="A940" s="5">
        <v>43654</v>
      </c>
      <c r="B940">
        <v>304.72000000000003</v>
      </c>
      <c r="C940">
        <v>313.74</v>
      </c>
      <c r="D940">
        <v>300.77999999999997</v>
      </c>
      <c r="E940">
        <v>311.97000000000003</v>
      </c>
      <c r="F940">
        <v>289607.34177</v>
      </c>
      <c r="G940">
        <v>0</v>
      </c>
      <c r="L940" t="s">
        <v>8</v>
      </c>
      <c r="M940" t="s">
        <v>7</v>
      </c>
      <c r="N940" t="s">
        <v>8</v>
      </c>
    </row>
    <row r="941" spans="1:14" x14ac:dyDescent="0.25">
      <c r="A941" s="5">
        <v>43653</v>
      </c>
      <c r="B941">
        <v>288.29000000000002</v>
      </c>
      <c r="C941">
        <v>309.69</v>
      </c>
      <c r="D941">
        <v>284.25</v>
      </c>
      <c r="E941">
        <v>304.72000000000003</v>
      </c>
      <c r="F941">
        <v>246111.36595000001</v>
      </c>
      <c r="G941">
        <v>0</v>
      </c>
      <c r="L941" t="s">
        <v>8</v>
      </c>
      <c r="M941" t="s">
        <v>7</v>
      </c>
      <c r="N941" t="s">
        <v>8</v>
      </c>
    </row>
    <row r="942" spans="1:14" x14ac:dyDescent="0.25">
      <c r="A942" s="5">
        <v>43652</v>
      </c>
      <c r="B942">
        <v>287.32</v>
      </c>
      <c r="C942">
        <v>296.70999999999998</v>
      </c>
      <c r="D942">
        <v>285.27999999999997</v>
      </c>
      <c r="E942">
        <v>288.29000000000002</v>
      </c>
      <c r="F942">
        <v>196064.64705</v>
      </c>
      <c r="G942">
        <v>0</v>
      </c>
      <c r="L942" t="s">
        <v>7</v>
      </c>
      <c r="M942" t="s">
        <v>7</v>
      </c>
      <c r="N942" t="s">
        <v>8</v>
      </c>
    </row>
    <row r="943" spans="1:14" x14ac:dyDescent="0.25">
      <c r="A943" s="5">
        <v>43651</v>
      </c>
      <c r="B943">
        <v>282.86</v>
      </c>
      <c r="C943">
        <v>294.89</v>
      </c>
      <c r="D943">
        <v>280.77999999999997</v>
      </c>
      <c r="E943">
        <v>287.47000000000003</v>
      </c>
      <c r="F943">
        <v>261139.28341</v>
      </c>
      <c r="G943">
        <v>0</v>
      </c>
      <c r="L943" t="s">
        <v>7</v>
      </c>
      <c r="M943" t="s">
        <v>7</v>
      </c>
      <c r="N943" t="s">
        <v>8</v>
      </c>
    </row>
    <row r="944" spans="1:14" x14ac:dyDescent="0.25">
      <c r="A944" s="5">
        <v>43650</v>
      </c>
      <c r="B944">
        <v>301.11</v>
      </c>
      <c r="C944">
        <v>302.74</v>
      </c>
      <c r="D944">
        <v>280.52999999999997</v>
      </c>
      <c r="E944">
        <v>282.73</v>
      </c>
      <c r="F944">
        <v>270791.36878000002</v>
      </c>
      <c r="G944">
        <v>0</v>
      </c>
      <c r="L944" t="s">
        <v>7</v>
      </c>
      <c r="M944" t="s">
        <v>7</v>
      </c>
      <c r="N944" t="s">
        <v>8</v>
      </c>
    </row>
    <row r="945" spans="1:14" x14ac:dyDescent="0.25">
      <c r="A945" s="5">
        <v>43649</v>
      </c>
      <c r="B945">
        <v>291.47000000000003</v>
      </c>
      <c r="C945">
        <v>302.89</v>
      </c>
      <c r="D945">
        <v>285</v>
      </c>
      <c r="E945">
        <v>301.14</v>
      </c>
      <c r="F945">
        <v>370521.96636999998</v>
      </c>
      <c r="G945">
        <v>0</v>
      </c>
      <c r="L945" t="s">
        <v>8</v>
      </c>
      <c r="M945" t="s">
        <v>7</v>
      </c>
      <c r="N945" t="s">
        <v>8</v>
      </c>
    </row>
    <row r="946" spans="1:14" x14ac:dyDescent="0.25">
      <c r="A946" s="5">
        <v>43648</v>
      </c>
      <c r="B946">
        <v>295.02999999999997</v>
      </c>
      <c r="C946">
        <v>297.57</v>
      </c>
      <c r="D946">
        <v>272.64999999999998</v>
      </c>
      <c r="E946">
        <v>291.48</v>
      </c>
      <c r="F946">
        <v>493772.96578999999</v>
      </c>
      <c r="G946">
        <v>0</v>
      </c>
      <c r="L946" t="s">
        <v>7</v>
      </c>
      <c r="M946" t="s">
        <v>7</v>
      </c>
      <c r="N946" t="s">
        <v>8</v>
      </c>
    </row>
    <row r="947" spans="1:14" x14ac:dyDescent="0.25">
      <c r="A947" s="5">
        <v>43647</v>
      </c>
      <c r="B947">
        <v>292.89</v>
      </c>
      <c r="C947">
        <v>303.49</v>
      </c>
      <c r="D947">
        <v>280.13</v>
      </c>
      <c r="E947">
        <v>295.07</v>
      </c>
      <c r="F947">
        <v>489769.27421</v>
      </c>
      <c r="G947">
        <v>0</v>
      </c>
      <c r="L947" t="s">
        <v>7</v>
      </c>
      <c r="M947" t="s">
        <v>7</v>
      </c>
      <c r="N947" t="s">
        <v>8</v>
      </c>
    </row>
    <row r="948" spans="1:14" x14ac:dyDescent="0.25">
      <c r="A948" s="5">
        <v>43646</v>
      </c>
      <c r="B948">
        <v>317.64</v>
      </c>
      <c r="C948">
        <v>323.5</v>
      </c>
      <c r="D948">
        <v>290.12</v>
      </c>
      <c r="E948">
        <v>292.7</v>
      </c>
      <c r="F948">
        <v>489028.56835000002</v>
      </c>
      <c r="G948">
        <v>0</v>
      </c>
      <c r="L948" t="s">
        <v>7</v>
      </c>
      <c r="M948" t="s">
        <v>7</v>
      </c>
      <c r="N948" t="s">
        <v>8</v>
      </c>
    </row>
    <row r="949" spans="1:14" x14ac:dyDescent="0.25">
      <c r="A949" s="5">
        <v>43645</v>
      </c>
      <c r="B949">
        <v>310.95</v>
      </c>
      <c r="C949">
        <v>324.74</v>
      </c>
      <c r="D949">
        <v>295.18</v>
      </c>
      <c r="E949">
        <v>317.62</v>
      </c>
      <c r="F949">
        <v>425555.16264</v>
      </c>
      <c r="G949">
        <v>0</v>
      </c>
      <c r="L949" t="s">
        <v>8</v>
      </c>
      <c r="M949" t="s">
        <v>7</v>
      </c>
      <c r="N949" t="s">
        <v>8</v>
      </c>
    </row>
    <row r="950" spans="1:14" x14ac:dyDescent="0.25">
      <c r="A950" s="5">
        <v>43644</v>
      </c>
      <c r="B950">
        <v>298.35000000000002</v>
      </c>
      <c r="C950">
        <v>313.58</v>
      </c>
      <c r="D950">
        <v>295.22000000000003</v>
      </c>
      <c r="E950">
        <v>311.05</v>
      </c>
      <c r="F950">
        <v>529174.47722</v>
      </c>
      <c r="G950">
        <v>0</v>
      </c>
      <c r="L950" t="s">
        <v>8</v>
      </c>
      <c r="M950" t="s">
        <v>7</v>
      </c>
      <c r="N950" t="s">
        <v>8</v>
      </c>
    </row>
    <row r="951" spans="1:14" x14ac:dyDescent="0.25">
      <c r="A951" s="5">
        <v>43643</v>
      </c>
      <c r="B951">
        <v>339.53</v>
      </c>
      <c r="C951">
        <v>347</v>
      </c>
      <c r="D951">
        <v>280.01</v>
      </c>
      <c r="E951">
        <v>298.35000000000002</v>
      </c>
      <c r="F951">
        <v>1016826.449</v>
      </c>
      <c r="G951">
        <v>0</v>
      </c>
      <c r="L951" t="s">
        <v>7</v>
      </c>
      <c r="M951" t="s">
        <v>7</v>
      </c>
      <c r="N951" t="s">
        <v>8</v>
      </c>
    </row>
    <row r="952" spans="1:14" x14ac:dyDescent="0.25">
      <c r="A952" s="5">
        <v>43642</v>
      </c>
      <c r="B952">
        <v>318.29000000000002</v>
      </c>
      <c r="C952">
        <v>366.8</v>
      </c>
      <c r="D952">
        <v>315.57</v>
      </c>
      <c r="E952">
        <v>339.39</v>
      </c>
      <c r="F952">
        <v>1008551.28721</v>
      </c>
      <c r="G952">
        <v>0</v>
      </c>
      <c r="L952" t="s">
        <v>8</v>
      </c>
      <c r="M952" t="s">
        <v>8</v>
      </c>
      <c r="N952" t="s">
        <v>8</v>
      </c>
    </row>
    <row r="953" spans="1:14" x14ac:dyDescent="0.25">
      <c r="A953" s="5">
        <v>43641</v>
      </c>
      <c r="B953">
        <v>311.64999999999998</v>
      </c>
      <c r="C953">
        <v>318.99</v>
      </c>
      <c r="D953">
        <v>307</v>
      </c>
      <c r="E953">
        <v>318.26</v>
      </c>
      <c r="F953">
        <v>345559.65046999999</v>
      </c>
      <c r="G953">
        <v>0</v>
      </c>
      <c r="L953" t="s">
        <v>8</v>
      </c>
      <c r="M953" t="s">
        <v>8</v>
      </c>
      <c r="N953" t="s">
        <v>8</v>
      </c>
    </row>
    <row r="954" spans="1:14" x14ac:dyDescent="0.25">
      <c r="A954" s="5">
        <v>43640</v>
      </c>
      <c r="B954">
        <v>308.42</v>
      </c>
      <c r="C954">
        <v>314.41000000000003</v>
      </c>
      <c r="D954">
        <v>298</v>
      </c>
      <c r="E954">
        <v>311.64</v>
      </c>
      <c r="F954">
        <v>352791.26964000001</v>
      </c>
      <c r="G954">
        <v>0</v>
      </c>
      <c r="L954" t="s">
        <v>7</v>
      </c>
      <c r="M954" t="s">
        <v>8</v>
      </c>
      <c r="N954" t="s">
        <v>8</v>
      </c>
    </row>
    <row r="955" spans="1:14" x14ac:dyDescent="0.25">
      <c r="A955" s="5">
        <v>43639</v>
      </c>
      <c r="B955">
        <v>310.7</v>
      </c>
      <c r="C955">
        <v>321.7</v>
      </c>
      <c r="D955">
        <v>305.58</v>
      </c>
      <c r="E955">
        <v>308.52</v>
      </c>
      <c r="F955">
        <v>418812.02746999997</v>
      </c>
      <c r="G955">
        <v>0</v>
      </c>
      <c r="L955" t="s">
        <v>8</v>
      </c>
      <c r="M955" t="s">
        <v>8</v>
      </c>
      <c r="N955" t="s">
        <v>8</v>
      </c>
    </row>
    <row r="956" spans="1:14" x14ac:dyDescent="0.25">
      <c r="A956" s="5">
        <v>43638</v>
      </c>
      <c r="B956">
        <v>294.25</v>
      </c>
      <c r="C956">
        <v>314.39</v>
      </c>
      <c r="D956">
        <v>289.69</v>
      </c>
      <c r="E956">
        <v>310.79000000000002</v>
      </c>
      <c r="F956">
        <v>726254.67061000003</v>
      </c>
      <c r="G956">
        <v>0</v>
      </c>
      <c r="L956" t="s">
        <v>8</v>
      </c>
      <c r="M956" t="s">
        <v>8</v>
      </c>
      <c r="N956" t="s">
        <v>8</v>
      </c>
    </row>
    <row r="957" spans="1:14" x14ac:dyDescent="0.25">
      <c r="A957" s="5">
        <v>43637</v>
      </c>
      <c r="B957">
        <v>271.27</v>
      </c>
      <c r="C957">
        <v>295.94</v>
      </c>
      <c r="D957">
        <v>271.22000000000003</v>
      </c>
      <c r="E957">
        <v>294.35000000000002</v>
      </c>
      <c r="F957">
        <v>519818.06907000003</v>
      </c>
      <c r="G957">
        <v>0</v>
      </c>
      <c r="L957" t="s">
        <v>8</v>
      </c>
      <c r="M957" t="s">
        <v>8</v>
      </c>
      <c r="N957" t="s">
        <v>8</v>
      </c>
    </row>
    <row r="958" spans="1:14" x14ac:dyDescent="0.25">
      <c r="A958" s="5">
        <v>43636</v>
      </c>
      <c r="B958">
        <v>268.16000000000003</v>
      </c>
      <c r="C958">
        <v>273.63</v>
      </c>
      <c r="D958">
        <v>265.70999999999998</v>
      </c>
      <c r="E958">
        <v>271.22000000000003</v>
      </c>
      <c r="F958">
        <v>200717.77369999999</v>
      </c>
      <c r="G958">
        <v>0</v>
      </c>
      <c r="L958" t="s">
        <v>8</v>
      </c>
      <c r="M958" t="s">
        <v>8</v>
      </c>
      <c r="N958" t="s">
        <v>8</v>
      </c>
    </row>
    <row r="959" spans="1:14" x14ac:dyDescent="0.25">
      <c r="A959" s="5">
        <v>43635</v>
      </c>
      <c r="B959">
        <v>264.68</v>
      </c>
      <c r="C959">
        <v>270</v>
      </c>
      <c r="D959">
        <v>263.58999999999997</v>
      </c>
      <c r="E959">
        <v>268.14</v>
      </c>
      <c r="F959">
        <v>208375.68380999999</v>
      </c>
      <c r="G959">
        <v>0</v>
      </c>
      <c r="L959" t="s">
        <v>8</v>
      </c>
      <c r="M959" t="s">
        <v>8</v>
      </c>
      <c r="N959" t="s">
        <v>8</v>
      </c>
    </row>
    <row r="960" spans="1:14" x14ac:dyDescent="0.25">
      <c r="A960" s="5">
        <v>43634</v>
      </c>
      <c r="B960">
        <v>273.14</v>
      </c>
      <c r="C960">
        <v>273.58</v>
      </c>
      <c r="D960">
        <v>261.45</v>
      </c>
      <c r="E960">
        <v>264.66000000000003</v>
      </c>
      <c r="F960">
        <v>319941.55155999999</v>
      </c>
      <c r="G960">
        <v>0</v>
      </c>
      <c r="L960" t="s">
        <v>8</v>
      </c>
      <c r="M960" t="s">
        <v>8</v>
      </c>
      <c r="N960" t="s">
        <v>8</v>
      </c>
    </row>
    <row r="961" spans="1:14" x14ac:dyDescent="0.25">
      <c r="A961" s="5">
        <v>43633</v>
      </c>
      <c r="B961">
        <v>267.73</v>
      </c>
      <c r="C961">
        <v>276</v>
      </c>
      <c r="D961">
        <v>266.81</v>
      </c>
      <c r="E961">
        <v>273.16000000000003</v>
      </c>
      <c r="F961">
        <v>339277.66707000002</v>
      </c>
      <c r="G961">
        <v>0</v>
      </c>
      <c r="L961" t="s">
        <v>8</v>
      </c>
      <c r="M961" t="s">
        <v>8</v>
      </c>
      <c r="N961" t="s">
        <v>8</v>
      </c>
    </row>
    <row r="962" spans="1:14" x14ac:dyDescent="0.25">
      <c r="A962" s="5">
        <v>43632</v>
      </c>
      <c r="B962">
        <v>267.77999999999997</v>
      </c>
      <c r="C962">
        <v>277.06</v>
      </c>
      <c r="D962">
        <v>263.31</v>
      </c>
      <c r="E962">
        <v>267.73</v>
      </c>
      <c r="F962">
        <v>458176.54236000002</v>
      </c>
      <c r="G962">
        <v>0</v>
      </c>
      <c r="L962" t="s">
        <v>8</v>
      </c>
      <c r="M962" t="s">
        <v>8</v>
      </c>
      <c r="N962" t="s">
        <v>8</v>
      </c>
    </row>
    <row r="963" spans="1:14" x14ac:dyDescent="0.25">
      <c r="A963" s="5">
        <v>43631</v>
      </c>
      <c r="B963">
        <v>262.48</v>
      </c>
      <c r="C963">
        <v>272.27</v>
      </c>
      <c r="D963">
        <v>260.61</v>
      </c>
      <c r="E963">
        <v>267.82</v>
      </c>
      <c r="F963">
        <v>286594.98028999998</v>
      </c>
      <c r="G963">
        <v>0</v>
      </c>
      <c r="L963" t="s">
        <v>8</v>
      </c>
      <c r="M963" t="s">
        <v>7</v>
      </c>
      <c r="N963" t="s">
        <v>8</v>
      </c>
    </row>
    <row r="964" spans="1:14" x14ac:dyDescent="0.25">
      <c r="A964" s="5">
        <v>43630</v>
      </c>
      <c r="B964">
        <v>254.67</v>
      </c>
      <c r="C964">
        <v>264.26</v>
      </c>
      <c r="D964">
        <v>251.75</v>
      </c>
      <c r="E964">
        <v>262.47000000000003</v>
      </c>
      <c r="F964">
        <v>327383.28236000001</v>
      </c>
      <c r="G964">
        <v>0</v>
      </c>
      <c r="L964" t="s">
        <v>8</v>
      </c>
      <c r="M964" t="s">
        <v>7</v>
      </c>
      <c r="N964" t="s">
        <v>8</v>
      </c>
    </row>
    <row r="965" spans="1:14" x14ac:dyDescent="0.25">
      <c r="A965" s="5">
        <v>43629</v>
      </c>
      <c r="B965">
        <v>261.13</v>
      </c>
      <c r="C965">
        <v>262.98</v>
      </c>
      <c r="D965">
        <v>253.69</v>
      </c>
      <c r="E965">
        <v>254.67</v>
      </c>
      <c r="F965">
        <v>291757.21635</v>
      </c>
      <c r="G965">
        <v>0</v>
      </c>
      <c r="L965" t="s">
        <v>8</v>
      </c>
      <c r="M965" t="s">
        <v>7</v>
      </c>
      <c r="N965" t="s">
        <v>8</v>
      </c>
    </row>
    <row r="966" spans="1:14" x14ac:dyDescent="0.25">
      <c r="A966" s="5">
        <v>43628</v>
      </c>
      <c r="B966">
        <v>244.36</v>
      </c>
      <c r="C966">
        <v>261.87</v>
      </c>
      <c r="D966">
        <v>242.2</v>
      </c>
      <c r="E966">
        <v>261.14999999999998</v>
      </c>
      <c r="F966">
        <v>336499.30160000001</v>
      </c>
      <c r="G966">
        <v>0</v>
      </c>
      <c r="L966" t="s">
        <v>8</v>
      </c>
      <c r="M966" t="s">
        <v>7</v>
      </c>
      <c r="N966" t="s">
        <v>8</v>
      </c>
    </row>
    <row r="967" spans="1:14" x14ac:dyDescent="0.25">
      <c r="A967" s="5">
        <v>43627</v>
      </c>
      <c r="B967">
        <v>246.61</v>
      </c>
      <c r="C967">
        <v>247.8</v>
      </c>
      <c r="D967">
        <v>236.49</v>
      </c>
      <c r="E967">
        <v>244.29</v>
      </c>
      <c r="F967">
        <v>237508.42798000001</v>
      </c>
      <c r="G967">
        <v>0</v>
      </c>
      <c r="L967" t="s">
        <v>8</v>
      </c>
      <c r="M967" t="s">
        <v>7</v>
      </c>
      <c r="N967" t="s">
        <v>8</v>
      </c>
    </row>
    <row r="968" spans="1:14" x14ac:dyDescent="0.25">
      <c r="A968" s="5">
        <v>43626</v>
      </c>
      <c r="B968">
        <v>231.02</v>
      </c>
      <c r="C968">
        <v>247.45</v>
      </c>
      <c r="D968">
        <v>227.03</v>
      </c>
      <c r="E968">
        <v>246.51</v>
      </c>
      <c r="F968">
        <v>314662.52636999998</v>
      </c>
      <c r="G968">
        <v>0</v>
      </c>
      <c r="L968" t="s">
        <v>8</v>
      </c>
      <c r="M968" t="s">
        <v>7</v>
      </c>
      <c r="N968" t="s">
        <v>8</v>
      </c>
    </row>
    <row r="969" spans="1:14" x14ac:dyDescent="0.25">
      <c r="A969" s="5">
        <v>43625</v>
      </c>
      <c r="B969">
        <v>243.33</v>
      </c>
      <c r="C969">
        <v>244.53</v>
      </c>
      <c r="D969">
        <v>226.56</v>
      </c>
      <c r="E969">
        <v>230.98</v>
      </c>
      <c r="F969">
        <v>316931.85638000001</v>
      </c>
      <c r="G969">
        <v>0</v>
      </c>
      <c r="L969" t="s">
        <v>7</v>
      </c>
      <c r="M969" t="s">
        <v>7</v>
      </c>
      <c r="N969" t="s">
        <v>8</v>
      </c>
    </row>
    <row r="970" spans="1:14" x14ac:dyDescent="0.25">
      <c r="A970" s="5">
        <v>43624</v>
      </c>
      <c r="B970">
        <v>248.78</v>
      </c>
      <c r="C970">
        <v>250.53</v>
      </c>
      <c r="D970">
        <v>240.37</v>
      </c>
      <c r="E970">
        <v>243.25</v>
      </c>
      <c r="F970">
        <v>188448.27747999999</v>
      </c>
      <c r="G970">
        <v>0</v>
      </c>
      <c r="L970" t="s">
        <v>8</v>
      </c>
      <c r="M970" t="s">
        <v>7</v>
      </c>
      <c r="N970" t="s">
        <v>8</v>
      </c>
    </row>
    <row r="971" spans="1:14" x14ac:dyDescent="0.25">
      <c r="A971" s="5">
        <v>43623</v>
      </c>
      <c r="B971">
        <v>248.77</v>
      </c>
      <c r="C971">
        <v>253.28</v>
      </c>
      <c r="D971">
        <v>243.46</v>
      </c>
      <c r="E971">
        <v>248.77</v>
      </c>
      <c r="F971">
        <v>353378.6568</v>
      </c>
      <c r="G971">
        <v>0</v>
      </c>
      <c r="L971" t="s">
        <v>8</v>
      </c>
      <c r="M971" t="s">
        <v>7</v>
      </c>
      <c r="N971" t="s">
        <v>8</v>
      </c>
    </row>
    <row r="972" spans="1:14" x14ac:dyDescent="0.25">
      <c r="A972" s="5">
        <v>43622</v>
      </c>
      <c r="B972">
        <v>245.62</v>
      </c>
      <c r="C972">
        <v>250.66</v>
      </c>
      <c r="D972">
        <v>235.01</v>
      </c>
      <c r="E972">
        <v>248.76</v>
      </c>
      <c r="F972">
        <v>297579.14734000002</v>
      </c>
      <c r="G972">
        <v>0</v>
      </c>
      <c r="L972" t="s">
        <v>7</v>
      </c>
      <c r="M972" t="s">
        <v>7</v>
      </c>
      <c r="N972" t="s">
        <v>8</v>
      </c>
    </row>
    <row r="973" spans="1:14" x14ac:dyDescent="0.25">
      <c r="A973" s="5">
        <v>43621</v>
      </c>
      <c r="B973">
        <v>241.46</v>
      </c>
      <c r="C973">
        <v>250.41</v>
      </c>
      <c r="D973">
        <v>237.37</v>
      </c>
      <c r="E973">
        <v>245.63</v>
      </c>
      <c r="F973">
        <v>335953.37926999998</v>
      </c>
      <c r="G973">
        <v>0</v>
      </c>
      <c r="L973" t="s">
        <v>7</v>
      </c>
      <c r="M973" t="s">
        <v>7</v>
      </c>
      <c r="N973" t="s">
        <v>8</v>
      </c>
    </row>
    <row r="974" spans="1:14" x14ac:dyDescent="0.25">
      <c r="A974" s="5">
        <v>43620</v>
      </c>
      <c r="B974">
        <v>250.02</v>
      </c>
      <c r="C974">
        <v>251.67</v>
      </c>
      <c r="D974">
        <v>234.39</v>
      </c>
      <c r="E974">
        <v>241.39</v>
      </c>
      <c r="F974">
        <v>633822.71245999995</v>
      </c>
      <c r="G974">
        <v>0</v>
      </c>
      <c r="L974" t="s">
        <v>7</v>
      </c>
      <c r="M974" t="s">
        <v>7</v>
      </c>
      <c r="N974" t="s">
        <v>8</v>
      </c>
    </row>
    <row r="975" spans="1:14" x14ac:dyDescent="0.25">
      <c r="A975" s="5">
        <v>43619</v>
      </c>
      <c r="B975">
        <v>268.87</v>
      </c>
      <c r="C975">
        <v>270</v>
      </c>
      <c r="D975">
        <v>248</v>
      </c>
      <c r="E975">
        <v>249.91</v>
      </c>
      <c r="F975">
        <v>397360.65275000001</v>
      </c>
      <c r="G975">
        <v>0</v>
      </c>
      <c r="L975" t="s">
        <v>7</v>
      </c>
      <c r="M975" t="s">
        <v>7</v>
      </c>
      <c r="N975" t="s">
        <v>8</v>
      </c>
    </row>
    <row r="976" spans="1:14" x14ac:dyDescent="0.25">
      <c r="A976" s="5">
        <v>43618</v>
      </c>
      <c r="B976">
        <v>264.33</v>
      </c>
      <c r="C976">
        <v>273.2</v>
      </c>
      <c r="D976">
        <v>263.2</v>
      </c>
      <c r="E976">
        <v>268.88</v>
      </c>
      <c r="F976">
        <v>301536.15061999997</v>
      </c>
      <c r="G976">
        <v>0</v>
      </c>
      <c r="L976" t="s">
        <v>8</v>
      </c>
      <c r="M976" t="s">
        <v>7</v>
      </c>
      <c r="N976" t="s">
        <v>8</v>
      </c>
    </row>
    <row r="977" spans="1:14" x14ac:dyDescent="0.25">
      <c r="A977" s="5">
        <v>43617</v>
      </c>
      <c r="B977">
        <v>267.89999999999998</v>
      </c>
      <c r="C977">
        <v>275.5</v>
      </c>
      <c r="D977">
        <v>260.68</v>
      </c>
      <c r="E977">
        <v>264.33</v>
      </c>
      <c r="F977">
        <v>455676.98612999998</v>
      </c>
      <c r="G977">
        <v>0</v>
      </c>
      <c r="L977" t="s">
        <v>8</v>
      </c>
      <c r="M977" t="s">
        <v>7</v>
      </c>
      <c r="N977" t="s">
        <v>8</v>
      </c>
    </row>
    <row r="978" spans="1:14" x14ac:dyDescent="0.25">
      <c r="A978" s="5">
        <v>43616</v>
      </c>
      <c r="B978">
        <v>254.59</v>
      </c>
      <c r="C978">
        <v>268.72000000000003</v>
      </c>
      <c r="D978">
        <v>245.21</v>
      </c>
      <c r="E978">
        <v>267.89999999999998</v>
      </c>
      <c r="F978">
        <v>602153.87243999995</v>
      </c>
      <c r="G978">
        <v>0</v>
      </c>
      <c r="L978" t="s">
        <v>8</v>
      </c>
      <c r="M978" t="s">
        <v>7</v>
      </c>
      <c r="N978" t="s">
        <v>8</v>
      </c>
    </row>
    <row r="979" spans="1:14" x14ac:dyDescent="0.25">
      <c r="A979" s="5">
        <v>43615</v>
      </c>
      <c r="B979">
        <v>268.92</v>
      </c>
      <c r="C979">
        <v>288.62</v>
      </c>
      <c r="D979">
        <v>240.14</v>
      </c>
      <c r="E979">
        <v>254.56</v>
      </c>
      <c r="F979">
        <v>1066279.4938699999</v>
      </c>
      <c r="G979">
        <v>0</v>
      </c>
      <c r="L979" t="s">
        <v>7</v>
      </c>
      <c r="M979" t="s">
        <v>8</v>
      </c>
      <c r="N979" t="s">
        <v>8</v>
      </c>
    </row>
    <row r="980" spans="1:14" x14ac:dyDescent="0.25">
      <c r="A980" s="5">
        <v>43614</v>
      </c>
      <c r="B980">
        <v>271.08</v>
      </c>
      <c r="C980">
        <v>274.04000000000002</v>
      </c>
      <c r="D980">
        <v>260.05</v>
      </c>
      <c r="E980">
        <v>268.83</v>
      </c>
      <c r="F980">
        <v>383412.45769000001</v>
      </c>
      <c r="G980">
        <v>0</v>
      </c>
      <c r="L980" t="s">
        <v>7</v>
      </c>
      <c r="M980" t="s">
        <v>8</v>
      </c>
      <c r="N980" t="s">
        <v>8</v>
      </c>
    </row>
    <row r="981" spans="1:14" x14ac:dyDescent="0.25">
      <c r="A981" s="5">
        <v>43613</v>
      </c>
      <c r="B981">
        <v>270.7</v>
      </c>
      <c r="C981">
        <v>275.95</v>
      </c>
      <c r="D981">
        <v>264.45</v>
      </c>
      <c r="E981">
        <v>271.02999999999997</v>
      </c>
      <c r="F981">
        <v>409443.69364000001</v>
      </c>
      <c r="G981">
        <v>0</v>
      </c>
      <c r="L981" t="s">
        <v>8</v>
      </c>
      <c r="M981" t="s">
        <v>8</v>
      </c>
      <c r="N981" t="s">
        <v>8</v>
      </c>
    </row>
    <row r="982" spans="1:14" x14ac:dyDescent="0.25">
      <c r="A982" s="5">
        <v>43612</v>
      </c>
      <c r="B982">
        <v>264.35000000000002</v>
      </c>
      <c r="C982">
        <v>279.58999999999997</v>
      </c>
      <c r="D982">
        <v>260</v>
      </c>
      <c r="E982">
        <v>270.52999999999997</v>
      </c>
      <c r="F982">
        <v>635463.50204000005</v>
      </c>
      <c r="G982">
        <v>0</v>
      </c>
      <c r="L982" t="s">
        <v>8</v>
      </c>
      <c r="M982" t="s">
        <v>8</v>
      </c>
      <c r="N982" t="s">
        <v>8</v>
      </c>
    </row>
    <row r="983" spans="1:14" x14ac:dyDescent="0.25">
      <c r="A983" s="5">
        <v>43611</v>
      </c>
      <c r="B983">
        <v>250.17</v>
      </c>
      <c r="C983">
        <v>269.39999999999998</v>
      </c>
      <c r="D983">
        <v>245.11</v>
      </c>
      <c r="E983">
        <v>264.45</v>
      </c>
      <c r="F983">
        <v>450090.22324000002</v>
      </c>
      <c r="G983">
        <v>0</v>
      </c>
      <c r="L983" t="s">
        <v>8</v>
      </c>
      <c r="M983" t="s">
        <v>8</v>
      </c>
      <c r="N983" t="s">
        <v>8</v>
      </c>
    </row>
    <row r="984" spans="1:14" x14ac:dyDescent="0.25">
      <c r="A984" s="5">
        <v>43610</v>
      </c>
      <c r="B984">
        <v>248.84</v>
      </c>
      <c r="C984">
        <v>257.33</v>
      </c>
      <c r="D984">
        <v>247.22</v>
      </c>
      <c r="E984">
        <v>250.22</v>
      </c>
      <c r="F984">
        <v>332544.38731000002</v>
      </c>
      <c r="G984">
        <v>0</v>
      </c>
      <c r="L984" t="s">
        <v>8</v>
      </c>
      <c r="M984" t="s">
        <v>8</v>
      </c>
      <c r="N984" t="s">
        <v>8</v>
      </c>
    </row>
    <row r="985" spans="1:14" x14ac:dyDescent="0.25">
      <c r="A985" s="5">
        <v>43609</v>
      </c>
      <c r="B985">
        <v>244.63</v>
      </c>
      <c r="C985">
        <v>254.35</v>
      </c>
      <c r="D985">
        <v>241.54</v>
      </c>
      <c r="E985">
        <v>248.87</v>
      </c>
      <c r="F985">
        <v>447066.92596000002</v>
      </c>
      <c r="G985">
        <v>0</v>
      </c>
      <c r="L985" t="s">
        <v>8</v>
      </c>
      <c r="M985" t="s">
        <v>8</v>
      </c>
      <c r="N985" t="s">
        <v>8</v>
      </c>
    </row>
    <row r="986" spans="1:14" x14ac:dyDescent="0.25">
      <c r="A986" s="5">
        <v>43608</v>
      </c>
      <c r="B986">
        <v>243.68</v>
      </c>
      <c r="C986">
        <v>247.34</v>
      </c>
      <c r="D986">
        <v>231.1</v>
      </c>
      <c r="E986">
        <v>244.56</v>
      </c>
      <c r="F986">
        <v>600193.89367999998</v>
      </c>
      <c r="G986">
        <v>0</v>
      </c>
      <c r="L986" t="s">
        <v>7</v>
      </c>
      <c r="M986" t="s">
        <v>8</v>
      </c>
      <c r="N986" t="s">
        <v>8</v>
      </c>
    </row>
    <row r="987" spans="1:14" x14ac:dyDescent="0.25">
      <c r="A987" s="5">
        <v>43607</v>
      </c>
      <c r="B987">
        <v>253.35</v>
      </c>
      <c r="C987">
        <v>260.18</v>
      </c>
      <c r="D987">
        <v>239.63</v>
      </c>
      <c r="E987">
        <v>243.64</v>
      </c>
      <c r="F987">
        <v>592848.95605000004</v>
      </c>
      <c r="G987">
        <v>0</v>
      </c>
      <c r="L987" t="s">
        <v>7</v>
      </c>
      <c r="M987" t="s">
        <v>8</v>
      </c>
      <c r="N987" t="s">
        <v>8</v>
      </c>
    </row>
    <row r="988" spans="1:14" x14ac:dyDescent="0.25">
      <c r="A988" s="5">
        <v>43606</v>
      </c>
      <c r="B988">
        <v>250.48</v>
      </c>
      <c r="C988">
        <v>262</v>
      </c>
      <c r="D988">
        <v>246.06</v>
      </c>
      <c r="E988">
        <v>253.43</v>
      </c>
      <c r="F988">
        <v>580249.69753</v>
      </c>
      <c r="G988">
        <v>0</v>
      </c>
      <c r="L988" t="s">
        <v>8</v>
      </c>
      <c r="M988" t="s">
        <v>8</v>
      </c>
      <c r="N988" t="s">
        <v>8</v>
      </c>
    </row>
    <row r="989" spans="1:14" x14ac:dyDescent="0.25">
      <c r="A989" s="5">
        <v>43605</v>
      </c>
      <c r="B989">
        <v>259.37</v>
      </c>
      <c r="C989">
        <v>259.49</v>
      </c>
      <c r="D989">
        <v>238</v>
      </c>
      <c r="E989">
        <v>250.37</v>
      </c>
      <c r="F989">
        <v>666889.82241000002</v>
      </c>
      <c r="G989">
        <v>0</v>
      </c>
      <c r="L989" t="s">
        <v>7</v>
      </c>
      <c r="M989" t="s">
        <v>8</v>
      </c>
      <c r="N989" t="s">
        <v>8</v>
      </c>
    </row>
    <row r="990" spans="1:14" x14ac:dyDescent="0.25">
      <c r="A990" s="5">
        <v>43604</v>
      </c>
      <c r="B990">
        <v>233.57</v>
      </c>
      <c r="C990">
        <v>264</v>
      </c>
      <c r="D990">
        <v>231.77</v>
      </c>
      <c r="E990">
        <v>259.51</v>
      </c>
      <c r="F990">
        <v>823859.06342000002</v>
      </c>
      <c r="G990">
        <v>0</v>
      </c>
      <c r="L990" t="s">
        <v>8</v>
      </c>
      <c r="M990" t="s">
        <v>8</v>
      </c>
      <c r="N990" t="s">
        <v>8</v>
      </c>
    </row>
    <row r="991" spans="1:14" x14ac:dyDescent="0.25">
      <c r="A991" s="5">
        <v>43603</v>
      </c>
      <c r="B991">
        <v>244.31</v>
      </c>
      <c r="C991">
        <v>248</v>
      </c>
      <c r="D991">
        <v>230.62</v>
      </c>
      <c r="E991">
        <v>233.6</v>
      </c>
      <c r="F991">
        <v>673218.09982</v>
      </c>
      <c r="G991">
        <v>0</v>
      </c>
      <c r="L991" t="s">
        <v>8</v>
      </c>
      <c r="M991" t="s">
        <v>7</v>
      </c>
      <c r="N991" t="s">
        <v>8</v>
      </c>
    </row>
    <row r="992" spans="1:14" x14ac:dyDescent="0.25">
      <c r="A992" s="5">
        <v>43602</v>
      </c>
      <c r="B992">
        <v>264.35000000000002</v>
      </c>
      <c r="C992">
        <v>268.74</v>
      </c>
      <c r="D992">
        <v>223.43</v>
      </c>
      <c r="E992">
        <v>244.3</v>
      </c>
      <c r="F992">
        <v>1529892.56898</v>
      </c>
      <c r="G992">
        <v>0</v>
      </c>
      <c r="L992" t="s">
        <v>7</v>
      </c>
      <c r="M992" t="s">
        <v>7</v>
      </c>
      <c r="N992" t="s">
        <v>8</v>
      </c>
    </row>
    <row r="993" spans="1:14" x14ac:dyDescent="0.25">
      <c r="A993" s="5">
        <v>43601</v>
      </c>
      <c r="B993">
        <v>248.06</v>
      </c>
      <c r="C993">
        <v>279.76</v>
      </c>
      <c r="D993">
        <v>241.76</v>
      </c>
      <c r="E993">
        <v>264.25</v>
      </c>
      <c r="F993">
        <v>1733360.8936000001</v>
      </c>
      <c r="G993">
        <v>0</v>
      </c>
      <c r="L993" t="s">
        <v>8</v>
      </c>
      <c r="M993" t="s">
        <v>8</v>
      </c>
      <c r="N993" t="s">
        <v>8</v>
      </c>
    </row>
    <row r="994" spans="1:14" x14ac:dyDescent="0.25">
      <c r="A994" s="5">
        <v>43600</v>
      </c>
      <c r="B994">
        <v>216.4</v>
      </c>
      <c r="C994">
        <v>250.27</v>
      </c>
      <c r="D994">
        <v>216.21</v>
      </c>
      <c r="E994">
        <v>248.1</v>
      </c>
      <c r="F994">
        <v>574697.29926999996</v>
      </c>
      <c r="G994">
        <v>0</v>
      </c>
      <c r="L994" t="s">
        <v>8</v>
      </c>
      <c r="M994" t="s">
        <v>8</v>
      </c>
      <c r="N994" t="s">
        <v>8</v>
      </c>
    </row>
    <row r="995" spans="1:14" x14ac:dyDescent="0.25">
      <c r="A995" s="5">
        <v>43599</v>
      </c>
      <c r="B995">
        <v>195.83</v>
      </c>
      <c r="C995">
        <v>219.81</v>
      </c>
      <c r="D995">
        <v>194.19</v>
      </c>
      <c r="E995">
        <v>216.4</v>
      </c>
      <c r="F995">
        <v>864211.00603000005</v>
      </c>
      <c r="G995">
        <v>0</v>
      </c>
      <c r="L995" t="s">
        <v>8</v>
      </c>
      <c r="M995" t="s">
        <v>8</v>
      </c>
      <c r="N995" t="s">
        <v>8</v>
      </c>
    </row>
    <row r="996" spans="1:14" x14ac:dyDescent="0.25">
      <c r="A996" s="5">
        <v>43598</v>
      </c>
      <c r="B996">
        <v>188.07</v>
      </c>
      <c r="C996">
        <v>206.87</v>
      </c>
      <c r="D996">
        <v>185.32</v>
      </c>
      <c r="E996">
        <v>195.84</v>
      </c>
      <c r="F996">
        <v>669265.46524000005</v>
      </c>
      <c r="G996">
        <v>0</v>
      </c>
      <c r="L996" t="s">
        <v>8</v>
      </c>
      <c r="M996" t="s">
        <v>8</v>
      </c>
      <c r="N996" t="s">
        <v>8</v>
      </c>
    </row>
    <row r="997" spans="1:14" x14ac:dyDescent="0.25">
      <c r="A997" s="5">
        <v>43597</v>
      </c>
      <c r="B997">
        <v>190.2</v>
      </c>
      <c r="C997">
        <v>204.32</v>
      </c>
      <c r="D997">
        <v>181</v>
      </c>
      <c r="E997">
        <v>188.11</v>
      </c>
      <c r="F997">
        <v>823372.28148000001</v>
      </c>
      <c r="G997">
        <v>0</v>
      </c>
      <c r="L997" t="s">
        <v>7</v>
      </c>
      <c r="M997" t="s">
        <v>8</v>
      </c>
      <c r="N997" t="s">
        <v>8</v>
      </c>
    </row>
    <row r="998" spans="1:14" x14ac:dyDescent="0.25">
      <c r="A998" s="5">
        <v>43596</v>
      </c>
      <c r="B998">
        <v>172.92</v>
      </c>
      <c r="C998">
        <v>205.23</v>
      </c>
      <c r="D998">
        <v>172.92</v>
      </c>
      <c r="E998">
        <v>190.2</v>
      </c>
      <c r="F998">
        <v>885292.38389000006</v>
      </c>
      <c r="G998">
        <v>0</v>
      </c>
      <c r="L998" t="s">
        <v>8</v>
      </c>
      <c r="M998" t="s">
        <v>8</v>
      </c>
      <c r="N998" t="s">
        <v>8</v>
      </c>
    </row>
    <row r="999" spans="1:14" x14ac:dyDescent="0.25">
      <c r="A999" s="5">
        <v>43595</v>
      </c>
      <c r="B999">
        <v>170.96</v>
      </c>
      <c r="C999">
        <v>176.7</v>
      </c>
      <c r="D999">
        <v>168.46</v>
      </c>
      <c r="E999">
        <v>172.91</v>
      </c>
      <c r="F999">
        <v>425543.74021000002</v>
      </c>
      <c r="G999">
        <v>0</v>
      </c>
      <c r="L999" t="s">
        <v>8</v>
      </c>
      <c r="M999" t="s">
        <v>8</v>
      </c>
      <c r="N999" t="s">
        <v>8</v>
      </c>
    </row>
    <row r="1000" spans="1:14" x14ac:dyDescent="0.25">
      <c r="A1000" s="5">
        <v>43594</v>
      </c>
      <c r="B1000">
        <v>170.88</v>
      </c>
      <c r="C1000">
        <v>173.88</v>
      </c>
      <c r="D1000">
        <v>166.57</v>
      </c>
      <c r="E1000">
        <v>170.9</v>
      </c>
      <c r="F1000">
        <v>284663.99456000002</v>
      </c>
      <c r="G1000">
        <v>0</v>
      </c>
      <c r="L1000" t="s">
        <v>7</v>
      </c>
      <c r="M1000" t="s">
        <v>8</v>
      </c>
      <c r="N1000" t="s">
        <v>8</v>
      </c>
    </row>
    <row r="1001" spans="1:14" x14ac:dyDescent="0.25">
      <c r="A1001" s="5">
        <v>43593</v>
      </c>
      <c r="B1001">
        <v>169.07</v>
      </c>
      <c r="C1001">
        <v>173.17</v>
      </c>
      <c r="D1001">
        <v>164.8</v>
      </c>
      <c r="E1001">
        <v>170.85</v>
      </c>
      <c r="F1001">
        <v>296410.76102999999</v>
      </c>
      <c r="G1001">
        <v>0</v>
      </c>
      <c r="L1001" t="s">
        <v>7</v>
      </c>
      <c r="M1001" t="s">
        <v>8</v>
      </c>
      <c r="N1001" t="s">
        <v>8</v>
      </c>
    </row>
    <row r="1002" spans="1:14" x14ac:dyDescent="0.25">
      <c r="A1002" s="5">
        <v>43592</v>
      </c>
      <c r="B1002">
        <v>172.98</v>
      </c>
      <c r="C1002">
        <v>182.76</v>
      </c>
      <c r="D1002">
        <v>167.89</v>
      </c>
      <c r="E1002">
        <v>169.18</v>
      </c>
      <c r="F1002">
        <v>732496.87861000001</v>
      </c>
      <c r="G1002">
        <v>0</v>
      </c>
      <c r="L1002" t="s">
        <v>8</v>
      </c>
      <c r="M1002" t="s">
        <v>8</v>
      </c>
      <c r="N1002" t="s">
        <v>8</v>
      </c>
    </row>
    <row r="1003" spans="1:14" x14ac:dyDescent="0.25">
      <c r="A1003" s="5">
        <v>43591</v>
      </c>
      <c r="B1003">
        <v>163.05000000000001</v>
      </c>
      <c r="C1003">
        <v>178.05</v>
      </c>
      <c r="D1003">
        <v>157.55000000000001</v>
      </c>
      <c r="E1003">
        <v>173</v>
      </c>
      <c r="F1003">
        <v>506528.14277999999</v>
      </c>
      <c r="G1003">
        <v>0</v>
      </c>
      <c r="L1003" t="s">
        <v>8</v>
      </c>
      <c r="M1003" t="s">
        <v>8</v>
      </c>
      <c r="N1003" t="s">
        <v>8</v>
      </c>
    </row>
    <row r="1004" spans="1:14" x14ac:dyDescent="0.25">
      <c r="A1004" s="5">
        <v>43590</v>
      </c>
      <c r="B1004">
        <v>163.71</v>
      </c>
      <c r="C1004">
        <v>165.36</v>
      </c>
      <c r="D1004">
        <v>159.18</v>
      </c>
      <c r="E1004">
        <v>163.05000000000001</v>
      </c>
      <c r="F1004">
        <v>176029.10445000001</v>
      </c>
      <c r="G1004">
        <v>0</v>
      </c>
      <c r="L1004" t="s">
        <v>8</v>
      </c>
      <c r="M1004" t="s">
        <v>7</v>
      </c>
      <c r="N1004" t="s">
        <v>8</v>
      </c>
    </row>
    <row r="1005" spans="1:14" x14ac:dyDescent="0.25">
      <c r="A1005" s="5">
        <v>43589</v>
      </c>
      <c r="B1005">
        <v>168.1</v>
      </c>
      <c r="C1005">
        <v>171.3</v>
      </c>
      <c r="D1005">
        <v>159.76</v>
      </c>
      <c r="E1005">
        <v>163.69999999999999</v>
      </c>
      <c r="F1005">
        <v>312928.58348999999</v>
      </c>
      <c r="G1005">
        <v>0</v>
      </c>
      <c r="L1005" t="s">
        <v>8</v>
      </c>
      <c r="M1005" t="s">
        <v>7</v>
      </c>
      <c r="N1005" t="s">
        <v>8</v>
      </c>
    </row>
    <row r="1006" spans="1:14" x14ac:dyDescent="0.25">
      <c r="A1006" s="5">
        <v>43588</v>
      </c>
      <c r="B1006">
        <v>161.82</v>
      </c>
      <c r="C1006">
        <v>170.86</v>
      </c>
      <c r="D1006">
        <v>160.99</v>
      </c>
      <c r="E1006">
        <v>168.06</v>
      </c>
      <c r="F1006">
        <v>416357.52123000001</v>
      </c>
      <c r="G1006">
        <v>0</v>
      </c>
      <c r="L1006" t="s">
        <v>8</v>
      </c>
      <c r="M1006" t="s">
        <v>7</v>
      </c>
      <c r="N1006" t="s">
        <v>8</v>
      </c>
    </row>
    <row r="1007" spans="1:14" x14ac:dyDescent="0.25">
      <c r="A1007" s="5">
        <v>43587</v>
      </c>
      <c r="B1007">
        <v>160.19999999999999</v>
      </c>
      <c r="C1007">
        <v>163.47999999999999</v>
      </c>
      <c r="D1007">
        <v>158.5</v>
      </c>
      <c r="E1007">
        <v>161.81</v>
      </c>
      <c r="F1007">
        <v>289519.02025</v>
      </c>
      <c r="G1007">
        <v>0</v>
      </c>
      <c r="L1007" t="s">
        <v>8</v>
      </c>
      <c r="M1007" t="s">
        <v>7</v>
      </c>
      <c r="N1007" t="s">
        <v>8</v>
      </c>
    </row>
    <row r="1008" spans="1:14" x14ac:dyDescent="0.25">
      <c r="A1008" s="5">
        <v>43586</v>
      </c>
      <c r="B1008">
        <v>161.85</v>
      </c>
      <c r="C1008">
        <v>163.88</v>
      </c>
      <c r="D1008">
        <v>158.36000000000001</v>
      </c>
      <c r="E1008">
        <v>160.19</v>
      </c>
      <c r="F1008">
        <v>192517.62763</v>
      </c>
      <c r="G1008">
        <v>0</v>
      </c>
      <c r="L1008" t="s">
        <v>8</v>
      </c>
      <c r="M1008" t="s">
        <v>7</v>
      </c>
      <c r="N1008" t="s">
        <v>8</v>
      </c>
    </row>
    <row r="1009" spans="1:14" x14ac:dyDescent="0.25">
      <c r="A1009" s="5">
        <v>43585</v>
      </c>
      <c r="B1009">
        <v>155.13999999999999</v>
      </c>
      <c r="C1009">
        <v>162.88999999999999</v>
      </c>
      <c r="D1009">
        <v>155.11000000000001</v>
      </c>
      <c r="E1009">
        <v>161.83000000000001</v>
      </c>
      <c r="F1009">
        <v>305056.24653</v>
      </c>
      <c r="G1009">
        <v>0</v>
      </c>
      <c r="L1009" t="s">
        <v>8</v>
      </c>
      <c r="M1009" t="s">
        <v>7</v>
      </c>
      <c r="N1009" t="s">
        <v>8</v>
      </c>
    </row>
    <row r="1010" spans="1:14" x14ac:dyDescent="0.25">
      <c r="A1010" s="5">
        <v>43584</v>
      </c>
      <c r="B1010">
        <v>157.86000000000001</v>
      </c>
      <c r="C1010">
        <v>159.05000000000001</v>
      </c>
      <c r="D1010">
        <v>152</v>
      </c>
      <c r="E1010">
        <v>155.11000000000001</v>
      </c>
      <c r="F1010">
        <v>243591.94897999999</v>
      </c>
      <c r="G1010">
        <v>0</v>
      </c>
      <c r="L1010" t="s">
        <v>7</v>
      </c>
      <c r="M1010" t="s">
        <v>7</v>
      </c>
      <c r="N1010" t="s">
        <v>8</v>
      </c>
    </row>
    <row r="1011" spans="1:14" x14ac:dyDescent="0.25">
      <c r="A1011" s="5">
        <v>43583</v>
      </c>
      <c r="B1011">
        <v>159.32</v>
      </c>
      <c r="C1011">
        <v>160.24</v>
      </c>
      <c r="D1011">
        <v>156.91999999999999</v>
      </c>
      <c r="E1011">
        <v>157.85</v>
      </c>
      <c r="F1011">
        <v>152976.30181</v>
      </c>
      <c r="G1011">
        <v>0</v>
      </c>
      <c r="L1011" t="s">
        <v>8</v>
      </c>
      <c r="M1011" t="s">
        <v>7</v>
      </c>
      <c r="N1011" t="s">
        <v>8</v>
      </c>
    </row>
    <row r="1012" spans="1:14" x14ac:dyDescent="0.25">
      <c r="A1012" s="5">
        <v>43582</v>
      </c>
      <c r="B1012">
        <v>157.93</v>
      </c>
      <c r="C1012">
        <v>166.24</v>
      </c>
      <c r="D1012">
        <v>156.35</v>
      </c>
      <c r="E1012">
        <v>159.31</v>
      </c>
      <c r="F1012">
        <v>215918.63842</v>
      </c>
      <c r="G1012">
        <v>0</v>
      </c>
      <c r="L1012" t="s">
        <v>8</v>
      </c>
      <c r="M1012" t="s">
        <v>7</v>
      </c>
      <c r="N1012" t="s">
        <v>8</v>
      </c>
    </row>
    <row r="1013" spans="1:14" x14ac:dyDescent="0.25">
      <c r="A1013" s="5">
        <v>43581</v>
      </c>
      <c r="B1013">
        <v>154.69999999999999</v>
      </c>
      <c r="C1013">
        <v>162.56</v>
      </c>
      <c r="D1013">
        <v>151.4</v>
      </c>
      <c r="E1013">
        <v>157.94999999999999</v>
      </c>
      <c r="F1013">
        <v>500355.86283</v>
      </c>
      <c r="G1013">
        <v>0</v>
      </c>
      <c r="L1013" t="s">
        <v>8</v>
      </c>
      <c r="M1013" t="s">
        <v>7</v>
      </c>
      <c r="N1013" t="s">
        <v>8</v>
      </c>
    </row>
    <row r="1014" spans="1:14" x14ac:dyDescent="0.25">
      <c r="A1014" s="5">
        <v>43580</v>
      </c>
      <c r="B1014">
        <v>164.78</v>
      </c>
      <c r="C1014">
        <v>165.49</v>
      </c>
      <c r="D1014">
        <v>150.35</v>
      </c>
      <c r="E1014">
        <v>154.72</v>
      </c>
      <c r="F1014">
        <v>422657.03239000001</v>
      </c>
      <c r="G1014">
        <v>0</v>
      </c>
      <c r="L1014" t="s">
        <v>7</v>
      </c>
      <c r="M1014" t="s">
        <v>7</v>
      </c>
      <c r="N1014" t="s">
        <v>8</v>
      </c>
    </row>
    <row r="1015" spans="1:14" x14ac:dyDescent="0.25">
      <c r="A1015" s="5">
        <v>43579</v>
      </c>
      <c r="B1015">
        <v>169.15</v>
      </c>
      <c r="C1015">
        <v>169.87</v>
      </c>
      <c r="D1015">
        <v>159.26</v>
      </c>
      <c r="E1015">
        <v>164.78</v>
      </c>
      <c r="F1015">
        <v>426497.04152999999</v>
      </c>
      <c r="G1015">
        <v>0</v>
      </c>
      <c r="L1015" t="s">
        <v>7</v>
      </c>
      <c r="M1015" t="s">
        <v>7</v>
      </c>
      <c r="N1015" t="s">
        <v>8</v>
      </c>
    </row>
    <row r="1016" spans="1:14" x14ac:dyDescent="0.25">
      <c r="A1016" s="5">
        <v>43578</v>
      </c>
      <c r="B1016">
        <v>170.52</v>
      </c>
      <c r="C1016">
        <v>175.83</v>
      </c>
      <c r="D1016">
        <v>167.78</v>
      </c>
      <c r="E1016">
        <v>169.16</v>
      </c>
      <c r="F1016">
        <v>363523.34531</v>
      </c>
      <c r="G1016">
        <v>0</v>
      </c>
      <c r="L1016" t="s">
        <v>8</v>
      </c>
      <c r="M1016" t="s">
        <v>7</v>
      </c>
      <c r="N1016" t="s">
        <v>8</v>
      </c>
    </row>
    <row r="1017" spans="1:14" x14ac:dyDescent="0.25">
      <c r="A1017" s="5">
        <v>43577</v>
      </c>
      <c r="B1017">
        <v>168.59</v>
      </c>
      <c r="C1017">
        <v>172.3</v>
      </c>
      <c r="D1017">
        <v>167</v>
      </c>
      <c r="E1017">
        <v>170.52</v>
      </c>
      <c r="F1017">
        <v>269868.39876000001</v>
      </c>
      <c r="G1017">
        <v>0</v>
      </c>
      <c r="L1017" t="s">
        <v>7</v>
      </c>
      <c r="M1017" t="s">
        <v>7</v>
      </c>
      <c r="N1017" t="s">
        <v>8</v>
      </c>
    </row>
    <row r="1018" spans="1:14" x14ac:dyDescent="0.25">
      <c r="A1018" s="5">
        <v>43576</v>
      </c>
      <c r="B1018">
        <v>172.89</v>
      </c>
      <c r="C1018">
        <v>173.48</v>
      </c>
      <c r="D1018">
        <v>164.82</v>
      </c>
      <c r="E1018">
        <v>168.59</v>
      </c>
      <c r="F1018">
        <v>283450.43943000003</v>
      </c>
      <c r="G1018">
        <v>0</v>
      </c>
      <c r="L1018" t="s">
        <v>7</v>
      </c>
      <c r="M1018" t="s">
        <v>7</v>
      </c>
      <c r="N1018" t="s">
        <v>8</v>
      </c>
    </row>
    <row r="1019" spans="1:14" x14ac:dyDescent="0.25">
      <c r="A1019" s="5">
        <v>43575</v>
      </c>
      <c r="B1019">
        <v>172.66</v>
      </c>
      <c r="C1019">
        <v>176.97</v>
      </c>
      <c r="D1019">
        <v>169.87</v>
      </c>
      <c r="E1019">
        <v>172.88</v>
      </c>
      <c r="F1019">
        <v>253596.48407000001</v>
      </c>
      <c r="G1019">
        <v>0</v>
      </c>
      <c r="L1019" t="s">
        <v>8</v>
      </c>
      <c r="M1019" t="s">
        <v>7</v>
      </c>
      <c r="N1019" t="s">
        <v>8</v>
      </c>
    </row>
    <row r="1020" spans="1:14" x14ac:dyDescent="0.25">
      <c r="A1020" s="5">
        <v>43574</v>
      </c>
      <c r="B1020">
        <v>173.34</v>
      </c>
      <c r="C1020">
        <v>173.55</v>
      </c>
      <c r="D1020">
        <v>168.59</v>
      </c>
      <c r="E1020">
        <v>172.64</v>
      </c>
      <c r="F1020">
        <v>320541.72165999998</v>
      </c>
      <c r="G1020">
        <v>0</v>
      </c>
      <c r="L1020" t="s">
        <v>8</v>
      </c>
      <c r="M1020" t="s">
        <v>7</v>
      </c>
      <c r="N1020" t="s">
        <v>8</v>
      </c>
    </row>
    <row r="1021" spans="1:14" x14ac:dyDescent="0.25">
      <c r="A1021" s="5">
        <v>43573</v>
      </c>
      <c r="B1021">
        <v>165.75</v>
      </c>
      <c r="C1021">
        <v>175.2</v>
      </c>
      <c r="D1021">
        <v>165.04</v>
      </c>
      <c r="E1021">
        <v>173.33</v>
      </c>
      <c r="F1021">
        <v>396118.94407000003</v>
      </c>
      <c r="G1021">
        <v>0</v>
      </c>
      <c r="L1021" t="s">
        <v>8</v>
      </c>
      <c r="M1021" t="s">
        <v>7</v>
      </c>
      <c r="N1021" t="s">
        <v>8</v>
      </c>
    </row>
    <row r="1022" spans="1:14" x14ac:dyDescent="0.25">
      <c r="A1022" s="5">
        <v>43572</v>
      </c>
      <c r="B1022">
        <v>165.41</v>
      </c>
      <c r="C1022">
        <v>167.28</v>
      </c>
      <c r="D1022">
        <v>163.78</v>
      </c>
      <c r="E1022">
        <v>165.75</v>
      </c>
      <c r="F1022">
        <v>227841.54981</v>
      </c>
      <c r="G1022">
        <v>0</v>
      </c>
      <c r="L1022" t="s">
        <v>8</v>
      </c>
      <c r="M1022" t="s">
        <v>7</v>
      </c>
      <c r="N1022" t="s">
        <v>8</v>
      </c>
    </row>
    <row r="1023" spans="1:14" x14ac:dyDescent="0.25">
      <c r="A1023" s="5">
        <v>43571</v>
      </c>
      <c r="B1023">
        <v>159.91</v>
      </c>
      <c r="C1023">
        <v>166.73</v>
      </c>
      <c r="D1023">
        <v>159.41</v>
      </c>
      <c r="E1023">
        <v>165.37</v>
      </c>
      <c r="F1023">
        <v>240370.50440999999</v>
      </c>
      <c r="G1023">
        <v>0</v>
      </c>
      <c r="L1023" t="s">
        <v>8</v>
      </c>
      <c r="M1023" t="s">
        <v>7</v>
      </c>
      <c r="N1023" t="s">
        <v>8</v>
      </c>
    </row>
    <row r="1024" spans="1:14" x14ac:dyDescent="0.25">
      <c r="A1024" s="5">
        <v>43570</v>
      </c>
      <c r="B1024">
        <v>167.21</v>
      </c>
      <c r="C1024">
        <v>168.81</v>
      </c>
      <c r="D1024">
        <v>155.69999999999999</v>
      </c>
      <c r="E1024">
        <v>159.94999999999999</v>
      </c>
      <c r="F1024">
        <v>351548.90789999999</v>
      </c>
      <c r="G1024">
        <v>0</v>
      </c>
      <c r="L1024" t="s">
        <v>7</v>
      </c>
      <c r="M1024" t="s">
        <v>7</v>
      </c>
      <c r="N1024" t="s">
        <v>8</v>
      </c>
    </row>
    <row r="1025" spans="1:14" x14ac:dyDescent="0.25">
      <c r="A1025" s="5">
        <v>43569</v>
      </c>
      <c r="B1025">
        <v>162.99</v>
      </c>
      <c r="C1025">
        <v>168.11</v>
      </c>
      <c r="D1025">
        <v>161.19999999999999</v>
      </c>
      <c r="E1025">
        <v>167.23</v>
      </c>
      <c r="F1025">
        <v>186977.66211</v>
      </c>
      <c r="G1025">
        <v>0</v>
      </c>
      <c r="L1025" t="s">
        <v>7</v>
      </c>
      <c r="M1025" t="s">
        <v>7</v>
      </c>
      <c r="N1025" t="s">
        <v>8</v>
      </c>
    </row>
    <row r="1026" spans="1:14" x14ac:dyDescent="0.25">
      <c r="A1026" s="5">
        <v>43568</v>
      </c>
      <c r="B1026">
        <v>163.19999999999999</v>
      </c>
      <c r="C1026">
        <v>165.37</v>
      </c>
      <c r="D1026">
        <v>160.74</v>
      </c>
      <c r="E1026">
        <v>162.99</v>
      </c>
      <c r="F1026">
        <v>179237.74574000001</v>
      </c>
      <c r="G1026">
        <v>0</v>
      </c>
      <c r="L1026" t="s">
        <v>7</v>
      </c>
      <c r="M1026" t="s">
        <v>7</v>
      </c>
      <c r="N1026" t="s">
        <v>8</v>
      </c>
    </row>
    <row r="1027" spans="1:14" x14ac:dyDescent="0.25">
      <c r="A1027" s="5">
        <v>43567</v>
      </c>
      <c r="B1027">
        <v>164.06</v>
      </c>
      <c r="C1027">
        <v>166.5</v>
      </c>
      <c r="D1027">
        <v>158.11000000000001</v>
      </c>
      <c r="E1027">
        <v>163.19</v>
      </c>
      <c r="F1027">
        <v>316337.87822999997</v>
      </c>
      <c r="G1027">
        <v>0</v>
      </c>
      <c r="L1027" t="s">
        <v>7</v>
      </c>
      <c r="M1027" t="s">
        <v>7</v>
      </c>
      <c r="N1027" t="s">
        <v>8</v>
      </c>
    </row>
    <row r="1028" spans="1:14" x14ac:dyDescent="0.25">
      <c r="A1028" s="5">
        <v>43566</v>
      </c>
      <c r="B1028">
        <v>177.12</v>
      </c>
      <c r="C1028">
        <v>177.48</v>
      </c>
      <c r="D1028">
        <v>158.27000000000001</v>
      </c>
      <c r="E1028">
        <v>164.07</v>
      </c>
      <c r="F1028">
        <v>661305.30321000004</v>
      </c>
      <c r="G1028">
        <v>0</v>
      </c>
      <c r="L1028" t="s">
        <v>7</v>
      </c>
      <c r="M1028" t="s">
        <v>7</v>
      </c>
      <c r="N1028" t="s">
        <v>8</v>
      </c>
    </row>
    <row r="1029" spans="1:14" x14ac:dyDescent="0.25">
      <c r="A1029" s="5">
        <v>43565</v>
      </c>
      <c r="B1029">
        <v>174.58</v>
      </c>
      <c r="C1029">
        <v>183.77</v>
      </c>
      <c r="D1029">
        <v>168</v>
      </c>
      <c r="E1029">
        <v>177.12</v>
      </c>
      <c r="F1029">
        <v>523943.20497999998</v>
      </c>
      <c r="G1029">
        <v>0</v>
      </c>
      <c r="L1029" t="s">
        <v>7</v>
      </c>
      <c r="M1029" t="s">
        <v>8</v>
      </c>
      <c r="N1029" t="s">
        <v>8</v>
      </c>
    </row>
    <row r="1030" spans="1:14" x14ac:dyDescent="0.25">
      <c r="A1030" s="5">
        <v>43564</v>
      </c>
      <c r="B1030">
        <v>178.71</v>
      </c>
      <c r="C1030">
        <v>179.17</v>
      </c>
      <c r="D1030">
        <v>171.05</v>
      </c>
      <c r="E1030">
        <v>174.6</v>
      </c>
      <c r="F1030">
        <v>431986.36108</v>
      </c>
      <c r="G1030">
        <v>0</v>
      </c>
      <c r="L1030" t="s">
        <v>7</v>
      </c>
      <c r="M1030" t="s">
        <v>8</v>
      </c>
      <c r="N1030" t="s">
        <v>8</v>
      </c>
    </row>
    <row r="1031" spans="1:14" x14ac:dyDescent="0.25">
      <c r="A1031" s="5">
        <v>43563</v>
      </c>
      <c r="B1031">
        <v>174.29</v>
      </c>
      <c r="C1031">
        <v>185.87</v>
      </c>
      <c r="D1031">
        <v>170.9</v>
      </c>
      <c r="E1031">
        <v>178.72</v>
      </c>
      <c r="F1031">
        <v>873410.07285</v>
      </c>
      <c r="G1031">
        <v>0</v>
      </c>
      <c r="L1031" t="s">
        <v>8</v>
      </c>
      <c r="M1031" t="s">
        <v>8</v>
      </c>
      <c r="N1031" t="s">
        <v>8</v>
      </c>
    </row>
    <row r="1032" spans="1:14" x14ac:dyDescent="0.25">
      <c r="A1032" s="5">
        <v>43562</v>
      </c>
      <c r="B1032">
        <v>165.56</v>
      </c>
      <c r="C1032">
        <v>175.43</v>
      </c>
      <c r="D1032">
        <v>164.06</v>
      </c>
      <c r="E1032">
        <v>174.21</v>
      </c>
      <c r="F1032">
        <v>465507.52497000003</v>
      </c>
      <c r="G1032">
        <v>0</v>
      </c>
      <c r="L1032" t="s">
        <v>8</v>
      </c>
      <c r="M1032" t="s">
        <v>8</v>
      </c>
      <c r="N1032" t="s">
        <v>8</v>
      </c>
    </row>
    <row r="1033" spans="1:14" x14ac:dyDescent="0.25">
      <c r="A1033" s="5">
        <v>43561</v>
      </c>
      <c r="B1033">
        <v>164.84</v>
      </c>
      <c r="C1033">
        <v>172.77</v>
      </c>
      <c r="D1033">
        <v>159.19999999999999</v>
      </c>
      <c r="E1033">
        <v>165.5</v>
      </c>
      <c r="F1033">
        <v>528168.33296999999</v>
      </c>
      <c r="G1033">
        <v>0</v>
      </c>
      <c r="L1033" t="s">
        <v>8</v>
      </c>
      <c r="M1033" t="s">
        <v>8</v>
      </c>
      <c r="N1033" t="s">
        <v>8</v>
      </c>
    </row>
    <row r="1034" spans="1:14" x14ac:dyDescent="0.25">
      <c r="A1034" s="5">
        <v>43560</v>
      </c>
      <c r="B1034">
        <v>157.33000000000001</v>
      </c>
      <c r="C1034">
        <v>167.83</v>
      </c>
      <c r="D1034">
        <v>155.94</v>
      </c>
      <c r="E1034">
        <v>164.77</v>
      </c>
      <c r="F1034">
        <v>516070.34552999999</v>
      </c>
      <c r="G1034">
        <v>0</v>
      </c>
      <c r="L1034" t="s">
        <v>8</v>
      </c>
      <c r="M1034" t="s">
        <v>8</v>
      </c>
      <c r="N1034" t="s">
        <v>8</v>
      </c>
    </row>
    <row r="1035" spans="1:14" x14ac:dyDescent="0.25">
      <c r="A1035" s="5">
        <v>43559</v>
      </c>
      <c r="B1035">
        <v>159.96</v>
      </c>
      <c r="C1035">
        <v>164</v>
      </c>
      <c r="D1035">
        <v>152.80000000000001</v>
      </c>
      <c r="E1035">
        <v>157.36000000000001</v>
      </c>
      <c r="F1035">
        <v>686080.95247999998</v>
      </c>
      <c r="G1035">
        <v>0</v>
      </c>
      <c r="L1035" t="s">
        <v>7</v>
      </c>
      <c r="M1035" t="s">
        <v>8</v>
      </c>
      <c r="N1035" t="s">
        <v>8</v>
      </c>
    </row>
    <row r="1036" spans="1:14" x14ac:dyDescent="0.25">
      <c r="A1036" s="5">
        <v>43558</v>
      </c>
      <c r="B1036">
        <v>163.26</v>
      </c>
      <c r="C1036">
        <v>177.81</v>
      </c>
      <c r="D1036">
        <v>149.22999999999999</v>
      </c>
      <c r="E1036">
        <v>159.96</v>
      </c>
      <c r="F1036">
        <v>1345344.5384500001</v>
      </c>
      <c r="G1036">
        <v>0</v>
      </c>
      <c r="L1036" t="s">
        <v>8</v>
      </c>
      <c r="M1036" t="s">
        <v>8</v>
      </c>
      <c r="N1036" t="s">
        <v>8</v>
      </c>
    </row>
    <row r="1037" spans="1:14" x14ac:dyDescent="0.25">
      <c r="A1037" s="5">
        <v>43557</v>
      </c>
      <c r="B1037">
        <v>141.24</v>
      </c>
      <c r="C1037">
        <v>165.6</v>
      </c>
      <c r="D1037">
        <v>141</v>
      </c>
      <c r="E1037">
        <v>163.31</v>
      </c>
      <c r="F1037">
        <v>906868.85860000004</v>
      </c>
      <c r="G1037">
        <v>0</v>
      </c>
      <c r="L1037" t="s">
        <v>8</v>
      </c>
      <c r="M1037" t="s">
        <v>8</v>
      </c>
      <c r="N1037" t="s">
        <v>8</v>
      </c>
    </row>
    <row r="1038" spans="1:14" x14ac:dyDescent="0.25">
      <c r="A1038" s="5">
        <v>43556</v>
      </c>
      <c r="B1038">
        <v>141.41</v>
      </c>
      <c r="C1038">
        <v>143.08000000000001</v>
      </c>
      <c r="D1038">
        <v>139.57</v>
      </c>
      <c r="E1038">
        <v>141.24</v>
      </c>
      <c r="F1038">
        <v>234310.19161000001</v>
      </c>
      <c r="G1038">
        <v>0</v>
      </c>
      <c r="L1038" t="s">
        <v>8</v>
      </c>
      <c r="M1038" t="s">
        <v>8</v>
      </c>
      <c r="N1038" t="s">
        <v>8</v>
      </c>
    </row>
    <row r="1039" spans="1:14" x14ac:dyDescent="0.25">
      <c r="A1039" s="5">
        <v>43555</v>
      </c>
      <c r="B1039">
        <v>142.44</v>
      </c>
      <c r="C1039">
        <v>142.5</v>
      </c>
      <c r="D1039">
        <v>140.41999999999999</v>
      </c>
      <c r="E1039">
        <v>141.38</v>
      </c>
      <c r="F1039">
        <v>142469.21171</v>
      </c>
      <c r="G1039">
        <v>0</v>
      </c>
      <c r="L1039" t="s">
        <v>8</v>
      </c>
      <c r="M1039" t="s">
        <v>8</v>
      </c>
      <c r="N1039" t="s">
        <v>8</v>
      </c>
    </row>
    <row r="1040" spans="1:14" x14ac:dyDescent="0.25">
      <c r="A1040" s="5">
        <v>43554</v>
      </c>
      <c r="B1040">
        <v>143.25</v>
      </c>
      <c r="C1040">
        <v>145.88999999999999</v>
      </c>
      <c r="D1040">
        <v>140.06</v>
      </c>
      <c r="E1040">
        <v>142.46</v>
      </c>
      <c r="F1040">
        <v>254798.70066999999</v>
      </c>
      <c r="G1040">
        <v>0</v>
      </c>
      <c r="L1040" t="s">
        <v>8</v>
      </c>
      <c r="M1040" t="s">
        <v>8</v>
      </c>
      <c r="N1040" t="s">
        <v>8</v>
      </c>
    </row>
    <row r="1041" spans="1:14" x14ac:dyDescent="0.25">
      <c r="A1041" s="5">
        <v>43553</v>
      </c>
      <c r="B1041">
        <v>137.85</v>
      </c>
      <c r="C1041">
        <v>143.6</v>
      </c>
      <c r="D1041">
        <v>137.62</v>
      </c>
      <c r="E1041">
        <v>143.25</v>
      </c>
      <c r="F1041">
        <v>235853.0454</v>
      </c>
      <c r="G1041">
        <v>0</v>
      </c>
      <c r="L1041" t="s">
        <v>8</v>
      </c>
      <c r="M1041" t="s">
        <v>7</v>
      </c>
      <c r="N1041" t="s">
        <v>8</v>
      </c>
    </row>
    <row r="1042" spans="1:14" x14ac:dyDescent="0.25">
      <c r="A1042" s="5">
        <v>43552</v>
      </c>
      <c r="B1042">
        <v>139.46</v>
      </c>
      <c r="C1042">
        <v>139.57</v>
      </c>
      <c r="D1042">
        <v>137.30000000000001</v>
      </c>
      <c r="E1042">
        <v>137.86000000000001</v>
      </c>
      <c r="F1042">
        <v>163185.6991</v>
      </c>
      <c r="G1042">
        <v>0</v>
      </c>
      <c r="L1042" t="s">
        <v>7</v>
      </c>
      <c r="M1042" t="s">
        <v>7</v>
      </c>
      <c r="N1042" t="s">
        <v>8</v>
      </c>
    </row>
    <row r="1043" spans="1:14" x14ac:dyDescent="0.25">
      <c r="A1043" s="5">
        <v>43551</v>
      </c>
      <c r="B1043">
        <v>134.13999999999999</v>
      </c>
      <c r="C1043">
        <v>140.13999999999999</v>
      </c>
      <c r="D1043">
        <v>133.84</v>
      </c>
      <c r="E1043">
        <v>139.44999999999999</v>
      </c>
      <c r="F1043">
        <v>317167.45325000002</v>
      </c>
      <c r="G1043">
        <v>0</v>
      </c>
      <c r="L1043" t="s">
        <v>7</v>
      </c>
      <c r="M1043" t="s">
        <v>7</v>
      </c>
      <c r="N1043" t="s">
        <v>8</v>
      </c>
    </row>
    <row r="1044" spans="1:14" x14ac:dyDescent="0.25">
      <c r="A1044" s="5">
        <v>43550</v>
      </c>
      <c r="B1044">
        <v>133.97</v>
      </c>
      <c r="C1044">
        <v>134.74</v>
      </c>
      <c r="D1044">
        <v>132.27000000000001</v>
      </c>
      <c r="E1044">
        <v>134.18</v>
      </c>
      <c r="F1044">
        <v>183139.11426</v>
      </c>
      <c r="G1044">
        <v>0</v>
      </c>
      <c r="L1044" t="s">
        <v>7</v>
      </c>
      <c r="M1044" t="s">
        <v>7</v>
      </c>
      <c r="N1044" t="s">
        <v>8</v>
      </c>
    </row>
    <row r="1045" spans="1:14" x14ac:dyDescent="0.25">
      <c r="A1045" s="5">
        <v>43549</v>
      </c>
      <c r="B1045">
        <v>136.12</v>
      </c>
      <c r="C1045">
        <v>136.83000000000001</v>
      </c>
      <c r="D1045">
        <v>131.6</v>
      </c>
      <c r="E1045">
        <v>133.97999999999999</v>
      </c>
      <c r="F1045">
        <v>230880.285</v>
      </c>
      <c r="G1045">
        <v>0</v>
      </c>
      <c r="L1045" t="s">
        <v>7</v>
      </c>
      <c r="M1045" t="s">
        <v>7</v>
      </c>
      <c r="N1045" t="s">
        <v>8</v>
      </c>
    </row>
    <row r="1046" spans="1:14" x14ac:dyDescent="0.25">
      <c r="A1046" s="5">
        <v>43548</v>
      </c>
      <c r="B1046">
        <v>137.28</v>
      </c>
      <c r="C1046">
        <v>137.37</v>
      </c>
      <c r="D1046">
        <v>134.75</v>
      </c>
      <c r="E1046">
        <v>136.09</v>
      </c>
      <c r="F1046">
        <v>198490.45123999999</v>
      </c>
      <c r="G1046">
        <v>0</v>
      </c>
      <c r="L1046" t="s">
        <v>7</v>
      </c>
      <c r="M1046" t="s">
        <v>7</v>
      </c>
      <c r="N1046" t="s">
        <v>8</v>
      </c>
    </row>
    <row r="1047" spans="1:14" x14ac:dyDescent="0.25">
      <c r="A1047" s="5">
        <v>43547</v>
      </c>
      <c r="B1047">
        <v>135.91999999999999</v>
      </c>
      <c r="C1047">
        <v>138.21</v>
      </c>
      <c r="D1047">
        <v>135.6</v>
      </c>
      <c r="E1047">
        <v>137.28</v>
      </c>
      <c r="F1047">
        <v>174710.43059</v>
      </c>
      <c r="G1047">
        <v>0</v>
      </c>
      <c r="L1047" t="s">
        <v>7</v>
      </c>
      <c r="M1047" t="s">
        <v>7</v>
      </c>
      <c r="N1047" t="s">
        <v>8</v>
      </c>
    </row>
    <row r="1048" spans="1:14" x14ac:dyDescent="0.25">
      <c r="A1048" s="5">
        <v>43546</v>
      </c>
      <c r="B1048">
        <v>134.85</v>
      </c>
      <c r="C1048">
        <v>137.19999999999999</v>
      </c>
      <c r="D1048">
        <v>134.29</v>
      </c>
      <c r="E1048">
        <v>135.97999999999999</v>
      </c>
      <c r="F1048">
        <v>186119.74745</v>
      </c>
      <c r="G1048">
        <v>0</v>
      </c>
      <c r="L1048" t="s">
        <v>7</v>
      </c>
      <c r="M1048" t="s">
        <v>7</v>
      </c>
      <c r="N1048" t="s">
        <v>8</v>
      </c>
    </row>
    <row r="1049" spans="1:14" x14ac:dyDescent="0.25">
      <c r="A1049" s="5">
        <v>43545</v>
      </c>
      <c r="B1049">
        <v>139.04</v>
      </c>
      <c r="C1049">
        <v>139.55000000000001</v>
      </c>
      <c r="D1049">
        <v>131.21</v>
      </c>
      <c r="E1049">
        <v>134.85</v>
      </c>
      <c r="F1049">
        <v>312531.39367999998</v>
      </c>
      <c r="G1049">
        <v>0</v>
      </c>
      <c r="L1049" t="s">
        <v>7</v>
      </c>
      <c r="M1049" t="s">
        <v>7</v>
      </c>
      <c r="N1049" t="s">
        <v>8</v>
      </c>
    </row>
    <row r="1050" spans="1:14" x14ac:dyDescent="0.25">
      <c r="A1050" s="5">
        <v>43544</v>
      </c>
      <c r="B1050">
        <v>138.56</v>
      </c>
      <c r="C1050">
        <v>139.66</v>
      </c>
      <c r="D1050">
        <v>136.01</v>
      </c>
      <c r="E1050">
        <v>139.01</v>
      </c>
      <c r="F1050">
        <v>222883.51754</v>
      </c>
      <c r="G1050">
        <v>0</v>
      </c>
      <c r="L1050" t="s">
        <v>8</v>
      </c>
      <c r="M1050" t="s">
        <v>7</v>
      </c>
      <c r="N1050" t="s">
        <v>8</v>
      </c>
    </row>
    <row r="1051" spans="1:14" x14ac:dyDescent="0.25">
      <c r="A1051" s="5">
        <v>43543</v>
      </c>
      <c r="B1051">
        <v>137.62</v>
      </c>
      <c r="C1051">
        <v>139.38</v>
      </c>
      <c r="D1051">
        <v>136.97</v>
      </c>
      <c r="E1051">
        <v>138.55000000000001</v>
      </c>
      <c r="F1051">
        <v>218577.45207999999</v>
      </c>
      <c r="G1051">
        <v>0</v>
      </c>
      <c r="L1051" t="s">
        <v>8</v>
      </c>
      <c r="M1051" t="s">
        <v>7</v>
      </c>
      <c r="N1051" t="s">
        <v>8</v>
      </c>
    </row>
    <row r="1052" spans="1:14" x14ac:dyDescent="0.25">
      <c r="A1052" s="5">
        <v>43542</v>
      </c>
      <c r="B1052">
        <v>138.66999999999999</v>
      </c>
      <c r="C1052">
        <v>142.01</v>
      </c>
      <c r="D1052">
        <v>136.1</v>
      </c>
      <c r="E1052">
        <v>137.59</v>
      </c>
      <c r="F1052">
        <v>281718.96195000003</v>
      </c>
      <c r="G1052">
        <v>0</v>
      </c>
      <c r="L1052" t="s">
        <v>8</v>
      </c>
      <c r="M1052" t="s">
        <v>7</v>
      </c>
      <c r="N1052" t="s">
        <v>8</v>
      </c>
    </row>
    <row r="1053" spans="1:14" x14ac:dyDescent="0.25">
      <c r="A1053" s="5">
        <v>43541</v>
      </c>
      <c r="B1053">
        <v>140.94</v>
      </c>
      <c r="C1053">
        <v>141.07</v>
      </c>
      <c r="D1053">
        <v>137.19999999999999</v>
      </c>
      <c r="E1053">
        <v>138.66999999999999</v>
      </c>
      <c r="F1053">
        <v>252697.08147999999</v>
      </c>
      <c r="G1053">
        <v>0</v>
      </c>
      <c r="L1053" t="s">
        <v>8</v>
      </c>
      <c r="M1053" t="s">
        <v>7</v>
      </c>
      <c r="N1053" t="s">
        <v>8</v>
      </c>
    </row>
    <row r="1054" spans="1:14" x14ac:dyDescent="0.25">
      <c r="A1054" s="5">
        <v>43540</v>
      </c>
      <c r="B1054">
        <v>136.6</v>
      </c>
      <c r="C1054">
        <v>144.47</v>
      </c>
      <c r="D1054">
        <v>136.51</v>
      </c>
      <c r="E1054">
        <v>140.91999999999999</v>
      </c>
      <c r="F1054">
        <v>474664.10197000002</v>
      </c>
      <c r="G1054">
        <v>0</v>
      </c>
      <c r="L1054" t="s">
        <v>8</v>
      </c>
      <c r="M1054" t="s">
        <v>7</v>
      </c>
      <c r="N1054" t="s">
        <v>8</v>
      </c>
    </row>
    <row r="1055" spans="1:14" x14ac:dyDescent="0.25">
      <c r="A1055" s="5">
        <v>43539</v>
      </c>
      <c r="B1055">
        <v>132.24</v>
      </c>
      <c r="C1055">
        <v>137.62</v>
      </c>
      <c r="D1055">
        <v>132.18</v>
      </c>
      <c r="E1055">
        <v>136.56</v>
      </c>
      <c r="F1055">
        <v>295832.26562000002</v>
      </c>
      <c r="G1055">
        <v>0</v>
      </c>
      <c r="L1055" t="s">
        <v>7</v>
      </c>
      <c r="M1055" t="s">
        <v>7</v>
      </c>
      <c r="N1055" t="s">
        <v>8</v>
      </c>
    </row>
    <row r="1056" spans="1:14" x14ac:dyDescent="0.25">
      <c r="A1056" s="5">
        <v>43538</v>
      </c>
      <c r="B1056">
        <v>131.69</v>
      </c>
      <c r="C1056">
        <v>135.11000000000001</v>
      </c>
      <c r="D1056">
        <v>128.52000000000001</v>
      </c>
      <c r="E1056">
        <v>132.19999999999999</v>
      </c>
      <c r="F1056">
        <v>258413.81868</v>
      </c>
      <c r="G1056">
        <v>0</v>
      </c>
      <c r="L1056" t="s">
        <v>7</v>
      </c>
      <c r="M1056" t="s">
        <v>7</v>
      </c>
      <c r="N1056" t="s">
        <v>8</v>
      </c>
    </row>
    <row r="1057" spans="1:14" x14ac:dyDescent="0.25">
      <c r="A1057" s="5">
        <v>43537</v>
      </c>
      <c r="B1057">
        <v>133.62</v>
      </c>
      <c r="C1057">
        <v>133.65</v>
      </c>
      <c r="D1057">
        <v>130.58000000000001</v>
      </c>
      <c r="E1057">
        <v>131.65</v>
      </c>
      <c r="F1057">
        <v>209456.09847999999</v>
      </c>
      <c r="G1057">
        <v>0</v>
      </c>
      <c r="L1057" t="s">
        <v>8</v>
      </c>
      <c r="M1057" t="s">
        <v>7</v>
      </c>
      <c r="N1057" t="s">
        <v>8</v>
      </c>
    </row>
    <row r="1058" spans="1:14" x14ac:dyDescent="0.25">
      <c r="A1058" s="5">
        <v>43536</v>
      </c>
      <c r="B1058">
        <v>132.66999999999999</v>
      </c>
      <c r="C1058">
        <v>135.30000000000001</v>
      </c>
      <c r="D1058">
        <v>130.77000000000001</v>
      </c>
      <c r="E1058">
        <v>133.57</v>
      </c>
      <c r="F1058">
        <v>194905.96843000001</v>
      </c>
      <c r="G1058">
        <v>0</v>
      </c>
      <c r="L1058" t="s">
        <v>8</v>
      </c>
      <c r="M1058" t="s">
        <v>7</v>
      </c>
      <c r="N1058" t="s">
        <v>8</v>
      </c>
    </row>
    <row r="1059" spans="1:14" x14ac:dyDescent="0.25">
      <c r="A1059" s="5">
        <v>43535</v>
      </c>
      <c r="B1059">
        <v>135.37</v>
      </c>
      <c r="C1059">
        <v>136.15</v>
      </c>
      <c r="D1059">
        <v>131</v>
      </c>
      <c r="E1059">
        <v>132.66999999999999</v>
      </c>
      <c r="F1059">
        <v>264587.00683000003</v>
      </c>
      <c r="G1059">
        <v>0</v>
      </c>
      <c r="L1059" t="s">
        <v>8</v>
      </c>
      <c r="M1059" t="s">
        <v>7</v>
      </c>
      <c r="N1059" t="s">
        <v>8</v>
      </c>
    </row>
    <row r="1060" spans="1:14" x14ac:dyDescent="0.25">
      <c r="A1060" s="5">
        <v>43534</v>
      </c>
      <c r="B1060">
        <v>137.27000000000001</v>
      </c>
      <c r="C1060">
        <v>137.5</v>
      </c>
      <c r="D1060">
        <v>134</v>
      </c>
      <c r="E1060">
        <v>135.37</v>
      </c>
      <c r="F1060">
        <v>203965.16815000001</v>
      </c>
      <c r="G1060">
        <v>0</v>
      </c>
      <c r="L1060" t="s">
        <v>8</v>
      </c>
      <c r="M1060" t="s">
        <v>7</v>
      </c>
      <c r="N1060" t="s">
        <v>8</v>
      </c>
    </row>
    <row r="1061" spans="1:14" x14ac:dyDescent="0.25">
      <c r="A1061" s="5">
        <v>43533</v>
      </c>
      <c r="B1061">
        <v>133.51</v>
      </c>
      <c r="C1061">
        <v>138.65</v>
      </c>
      <c r="D1061">
        <v>132.93</v>
      </c>
      <c r="E1061">
        <v>137.27000000000001</v>
      </c>
      <c r="F1061">
        <v>279861.12049</v>
      </c>
      <c r="G1061">
        <v>0</v>
      </c>
      <c r="L1061" t="s">
        <v>8</v>
      </c>
      <c r="M1061" t="s">
        <v>7</v>
      </c>
      <c r="N1061" t="s">
        <v>8</v>
      </c>
    </row>
    <row r="1062" spans="1:14" x14ac:dyDescent="0.25">
      <c r="A1062" s="5">
        <v>43532</v>
      </c>
      <c r="B1062">
        <v>136.82</v>
      </c>
      <c r="C1062">
        <v>139.34</v>
      </c>
      <c r="D1062">
        <v>130.62</v>
      </c>
      <c r="E1062">
        <v>133.52000000000001</v>
      </c>
      <c r="F1062">
        <v>330283.58233</v>
      </c>
      <c r="G1062">
        <v>0</v>
      </c>
      <c r="L1062" t="s">
        <v>8</v>
      </c>
      <c r="M1062" t="s">
        <v>7</v>
      </c>
      <c r="N1062" t="s">
        <v>8</v>
      </c>
    </row>
    <row r="1063" spans="1:14" x14ac:dyDescent="0.25">
      <c r="A1063" s="5">
        <v>43531</v>
      </c>
      <c r="B1063">
        <v>137.37</v>
      </c>
      <c r="C1063">
        <v>140.19999999999999</v>
      </c>
      <c r="D1063">
        <v>135.19999999999999</v>
      </c>
      <c r="E1063">
        <v>136.81</v>
      </c>
      <c r="F1063">
        <v>307336.49310000002</v>
      </c>
      <c r="G1063">
        <v>0</v>
      </c>
      <c r="L1063" t="s">
        <v>8</v>
      </c>
      <c r="M1063" t="s">
        <v>7</v>
      </c>
      <c r="N1063" t="s">
        <v>8</v>
      </c>
    </row>
    <row r="1064" spans="1:14" x14ac:dyDescent="0.25">
      <c r="A1064" s="5">
        <v>43530</v>
      </c>
      <c r="B1064">
        <v>136.71</v>
      </c>
      <c r="C1064">
        <v>140.29</v>
      </c>
      <c r="D1064">
        <v>133.33000000000001</v>
      </c>
      <c r="E1064">
        <v>137.4</v>
      </c>
      <c r="F1064">
        <v>428826.87414999999</v>
      </c>
      <c r="G1064">
        <v>0</v>
      </c>
      <c r="L1064" t="s">
        <v>8</v>
      </c>
      <c r="M1064" t="s">
        <v>7</v>
      </c>
      <c r="N1064" t="s">
        <v>8</v>
      </c>
    </row>
    <row r="1065" spans="1:14" x14ac:dyDescent="0.25">
      <c r="A1065" s="5">
        <v>43529</v>
      </c>
      <c r="B1065">
        <v>125.68</v>
      </c>
      <c r="C1065">
        <v>137.84</v>
      </c>
      <c r="D1065">
        <v>125.19</v>
      </c>
      <c r="E1065">
        <v>136.72</v>
      </c>
      <c r="F1065">
        <v>512631.23177999997</v>
      </c>
      <c r="G1065">
        <v>0</v>
      </c>
      <c r="L1065" t="s">
        <v>8</v>
      </c>
      <c r="M1065" t="s">
        <v>7</v>
      </c>
      <c r="N1065" t="s">
        <v>8</v>
      </c>
    </row>
    <row r="1066" spans="1:14" x14ac:dyDescent="0.25">
      <c r="A1066" s="5">
        <v>43528</v>
      </c>
      <c r="B1066">
        <v>130.6</v>
      </c>
      <c r="C1066">
        <v>131.11000000000001</v>
      </c>
      <c r="D1066">
        <v>122.6</v>
      </c>
      <c r="E1066">
        <v>125.65</v>
      </c>
      <c r="F1066">
        <v>403947.79444999999</v>
      </c>
      <c r="G1066">
        <v>0</v>
      </c>
      <c r="L1066" t="s">
        <v>7</v>
      </c>
      <c r="M1066" t="s">
        <v>7</v>
      </c>
      <c r="N1066" t="s">
        <v>8</v>
      </c>
    </row>
    <row r="1067" spans="1:14" x14ac:dyDescent="0.25">
      <c r="A1067" s="5">
        <v>43527</v>
      </c>
      <c r="B1067">
        <v>132.54</v>
      </c>
      <c r="C1067">
        <v>134.6</v>
      </c>
      <c r="D1067">
        <v>128.01</v>
      </c>
      <c r="E1067">
        <v>130.6</v>
      </c>
      <c r="F1067">
        <v>222453.28589999999</v>
      </c>
      <c r="G1067">
        <v>0</v>
      </c>
      <c r="L1067" t="s">
        <v>7</v>
      </c>
      <c r="M1067" t="s">
        <v>7</v>
      </c>
      <c r="N1067" t="s">
        <v>8</v>
      </c>
    </row>
    <row r="1068" spans="1:14" x14ac:dyDescent="0.25">
      <c r="A1068" s="5">
        <v>43526</v>
      </c>
      <c r="B1068">
        <v>135.32</v>
      </c>
      <c r="C1068">
        <v>136.12</v>
      </c>
      <c r="D1068">
        <v>130.03</v>
      </c>
      <c r="E1068">
        <v>132.56</v>
      </c>
      <c r="F1068">
        <v>297005.28093000001</v>
      </c>
      <c r="G1068">
        <v>0</v>
      </c>
      <c r="L1068" t="s">
        <v>7</v>
      </c>
      <c r="M1068" t="s">
        <v>7</v>
      </c>
      <c r="N1068" t="s">
        <v>8</v>
      </c>
    </row>
    <row r="1069" spans="1:14" x14ac:dyDescent="0.25">
      <c r="A1069" s="5">
        <v>43525</v>
      </c>
      <c r="B1069">
        <v>135.32</v>
      </c>
      <c r="C1069">
        <v>137.94999999999999</v>
      </c>
      <c r="D1069">
        <v>134.9</v>
      </c>
      <c r="E1069">
        <v>135.32</v>
      </c>
      <c r="F1069">
        <v>302632.02831000002</v>
      </c>
      <c r="G1069">
        <v>0</v>
      </c>
      <c r="L1069" t="s">
        <v>8</v>
      </c>
      <c r="M1069" t="s">
        <v>7</v>
      </c>
      <c r="N1069" t="s">
        <v>8</v>
      </c>
    </row>
    <row r="1070" spans="1:14" x14ac:dyDescent="0.25">
      <c r="A1070" s="5">
        <v>43524</v>
      </c>
      <c r="B1070">
        <v>135.03</v>
      </c>
      <c r="C1070">
        <v>139</v>
      </c>
      <c r="D1070">
        <v>132.1</v>
      </c>
      <c r="E1070">
        <v>135.34</v>
      </c>
      <c r="F1070">
        <v>579327.31749000004</v>
      </c>
      <c r="G1070">
        <v>0</v>
      </c>
      <c r="L1070" t="s">
        <v>8</v>
      </c>
      <c r="M1070" t="s">
        <v>7</v>
      </c>
      <c r="N1070" t="s">
        <v>8</v>
      </c>
    </row>
    <row r="1071" spans="1:14" x14ac:dyDescent="0.25">
      <c r="A1071" s="5">
        <v>43523</v>
      </c>
      <c r="B1071">
        <v>136.22</v>
      </c>
      <c r="C1071">
        <v>140.29</v>
      </c>
      <c r="D1071">
        <v>126.84</v>
      </c>
      <c r="E1071">
        <v>135.02000000000001</v>
      </c>
      <c r="F1071">
        <v>567202.61034999997</v>
      </c>
      <c r="G1071">
        <v>0</v>
      </c>
      <c r="L1071" t="s">
        <v>7</v>
      </c>
      <c r="M1071" t="s">
        <v>7</v>
      </c>
      <c r="N1071" t="s">
        <v>8</v>
      </c>
    </row>
    <row r="1072" spans="1:14" x14ac:dyDescent="0.25">
      <c r="A1072" s="5">
        <v>43522</v>
      </c>
      <c r="B1072">
        <v>137.88</v>
      </c>
      <c r="C1072">
        <v>138.41</v>
      </c>
      <c r="D1072">
        <v>133.72</v>
      </c>
      <c r="E1072">
        <v>136.22</v>
      </c>
      <c r="F1072">
        <v>432944.17032999999</v>
      </c>
      <c r="G1072">
        <v>0</v>
      </c>
      <c r="L1072" t="s">
        <v>7</v>
      </c>
      <c r="M1072" t="s">
        <v>7</v>
      </c>
      <c r="N1072" t="s">
        <v>8</v>
      </c>
    </row>
    <row r="1073" spans="1:14" x14ac:dyDescent="0.25">
      <c r="A1073" s="5">
        <v>43521</v>
      </c>
      <c r="B1073">
        <v>132.1</v>
      </c>
      <c r="C1073">
        <v>141.55000000000001</v>
      </c>
      <c r="D1073">
        <v>131.88999999999999</v>
      </c>
      <c r="E1073">
        <v>137.87</v>
      </c>
      <c r="F1073">
        <v>801147.09542999999</v>
      </c>
      <c r="G1073">
        <v>0</v>
      </c>
      <c r="L1073" t="s">
        <v>7</v>
      </c>
      <c r="M1073" t="s">
        <v>7</v>
      </c>
      <c r="N1073" t="s">
        <v>8</v>
      </c>
    </row>
    <row r="1074" spans="1:14" x14ac:dyDescent="0.25">
      <c r="A1074" s="5">
        <v>43520</v>
      </c>
      <c r="B1074">
        <v>157.75</v>
      </c>
      <c r="C1074">
        <v>166</v>
      </c>
      <c r="D1074">
        <v>131.69999999999999</v>
      </c>
      <c r="E1074">
        <v>132.1</v>
      </c>
      <c r="F1074">
        <v>1260506.80672</v>
      </c>
      <c r="G1074">
        <v>0</v>
      </c>
      <c r="L1074" t="s">
        <v>8</v>
      </c>
      <c r="M1074" t="s">
        <v>8</v>
      </c>
      <c r="N1074" t="s">
        <v>8</v>
      </c>
    </row>
    <row r="1075" spans="1:14" x14ac:dyDescent="0.25">
      <c r="A1075" s="5">
        <v>43519</v>
      </c>
      <c r="B1075">
        <v>147.4</v>
      </c>
      <c r="C1075">
        <v>159.6</v>
      </c>
      <c r="D1075">
        <v>145.78</v>
      </c>
      <c r="E1075">
        <v>157.79</v>
      </c>
      <c r="F1075">
        <v>588183.72895999998</v>
      </c>
      <c r="G1075">
        <v>0</v>
      </c>
      <c r="L1075" t="s">
        <v>8</v>
      </c>
      <c r="M1075" t="s">
        <v>8</v>
      </c>
      <c r="N1075" t="s">
        <v>8</v>
      </c>
    </row>
    <row r="1076" spans="1:14" x14ac:dyDescent="0.25">
      <c r="A1076" s="5">
        <v>43518</v>
      </c>
      <c r="B1076">
        <v>145.68</v>
      </c>
      <c r="C1076">
        <v>148.85</v>
      </c>
      <c r="D1076">
        <v>143.85</v>
      </c>
      <c r="E1076">
        <v>147.36000000000001</v>
      </c>
      <c r="F1076">
        <v>366251.18541999999</v>
      </c>
      <c r="G1076">
        <v>0</v>
      </c>
      <c r="L1076" t="s">
        <v>7</v>
      </c>
      <c r="M1076" t="s">
        <v>8</v>
      </c>
      <c r="N1076" t="s">
        <v>8</v>
      </c>
    </row>
    <row r="1077" spans="1:14" x14ac:dyDescent="0.25">
      <c r="A1077" s="5">
        <v>43517</v>
      </c>
      <c r="B1077">
        <v>148.41999999999999</v>
      </c>
      <c r="C1077">
        <v>149.61000000000001</v>
      </c>
      <c r="D1077">
        <v>142.69999999999999</v>
      </c>
      <c r="E1077">
        <v>145.69</v>
      </c>
      <c r="F1077">
        <v>447364.40873000002</v>
      </c>
      <c r="G1077">
        <v>0</v>
      </c>
      <c r="L1077" t="s">
        <v>7</v>
      </c>
      <c r="M1077" t="s">
        <v>8</v>
      </c>
      <c r="N1077" t="s">
        <v>8</v>
      </c>
    </row>
    <row r="1078" spans="1:14" x14ac:dyDescent="0.25">
      <c r="A1078" s="5">
        <v>43516</v>
      </c>
      <c r="B1078">
        <v>143.44999999999999</v>
      </c>
      <c r="C1078">
        <v>149.52000000000001</v>
      </c>
      <c r="D1078">
        <v>139.6</v>
      </c>
      <c r="E1078">
        <v>148.44</v>
      </c>
      <c r="F1078">
        <v>614303.61007000005</v>
      </c>
      <c r="G1078">
        <v>0</v>
      </c>
      <c r="L1078" t="s">
        <v>7</v>
      </c>
      <c r="M1078" t="s">
        <v>8</v>
      </c>
      <c r="N1078" t="s">
        <v>8</v>
      </c>
    </row>
    <row r="1079" spans="1:14" x14ac:dyDescent="0.25">
      <c r="A1079" s="5">
        <v>43515</v>
      </c>
      <c r="B1079">
        <v>145.69</v>
      </c>
      <c r="C1079">
        <v>150</v>
      </c>
      <c r="D1079">
        <v>142.36000000000001</v>
      </c>
      <c r="E1079">
        <v>143.44</v>
      </c>
      <c r="F1079">
        <v>747968.90445000003</v>
      </c>
      <c r="G1079">
        <v>0</v>
      </c>
      <c r="L1079" t="s">
        <v>8</v>
      </c>
      <c r="M1079" t="s">
        <v>8</v>
      </c>
      <c r="N1079" t="s">
        <v>8</v>
      </c>
    </row>
    <row r="1080" spans="1:14" x14ac:dyDescent="0.25">
      <c r="A1080" s="5">
        <v>43514</v>
      </c>
      <c r="B1080">
        <v>133.77000000000001</v>
      </c>
      <c r="C1080">
        <v>148.30000000000001</v>
      </c>
      <c r="D1080">
        <v>132.41999999999999</v>
      </c>
      <c r="E1080">
        <v>145.69</v>
      </c>
      <c r="F1080">
        <v>1079830.1502</v>
      </c>
      <c r="G1080">
        <v>0</v>
      </c>
      <c r="L1080" t="s">
        <v>8</v>
      </c>
      <c r="M1080" t="s">
        <v>8</v>
      </c>
      <c r="N1080" t="s">
        <v>8</v>
      </c>
    </row>
    <row r="1081" spans="1:14" x14ac:dyDescent="0.25">
      <c r="A1081" s="5">
        <v>43513</v>
      </c>
      <c r="B1081">
        <v>122.67</v>
      </c>
      <c r="C1081">
        <v>135.61000000000001</v>
      </c>
      <c r="D1081">
        <v>122.43</v>
      </c>
      <c r="E1081">
        <v>133.75</v>
      </c>
      <c r="F1081">
        <v>614788.60077999998</v>
      </c>
      <c r="G1081">
        <v>0</v>
      </c>
      <c r="L1081" t="s">
        <v>8</v>
      </c>
      <c r="M1081" t="s">
        <v>8</v>
      </c>
      <c r="N1081" t="s">
        <v>7</v>
      </c>
    </row>
    <row r="1082" spans="1:14" x14ac:dyDescent="0.25">
      <c r="A1082" s="5">
        <v>43512</v>
      </c>
      <c r="B1082">
        <v>121.66</v>
      </c>
      <c r="C1082">
        <v>124.99</v>
      </c>
      <c r="D1082">
        <v>121.54</v>
      </c>
      <c r="E1082">
        <v>122.67</v>
      </c>
      <c r="F1082">
        <v>215320.70134</v>
      </c>
      <c r="G1082">
        <v>0</v>
      </c>
      <c r="L1082" t="s">
        <v>8</v>
      </c>
      <c r="M1082" t="s">
        <v>8</v>
      </c>
      <c r="N1082" t="s">
        <v>7</v>
      </c>
    </row>
    <row r="1083" spans="1:14" x14ac:dyDescent="0.25">
      <c r="A1083" s="5">
        <v>43511</v>
      </c>
      <c r="B1083">
        <v>120.47</v>
      </c>
      <c r="C1083">
        <v>124.25</v>
      </c>
      <c r="D1083">
        <v>120.19</v>
      </c>
      <c r="E1083">
        <v>121.67</v>
      </c>
      <c r="F1083">
        <v>255296.0814</v>
      </c>
      <c r="G1083">
        <v>0</v>
      </c>
      <c r="L1083" t="s">
        <v>8</v>
      </c>
      <c r="M1083" t="s">
        <v>8</v>
      </c>
      <c r="N1083" t="s">
        <v>7</v>
      </c>
    </row>
    <row r="1084" spans="1:14" x14ac:dyDescent="0.25">
      <c r="A1084" s="5">
        <v>43510</v>
      </c>
      <c r="B1084">
        <v>121.86</v>
      </c>
      <c r="C1084">
        <v>124.5</v>
      </c>
      <c r="D1084">
        <v>120.1</v>
      </c>
      <c r="E1084">
        <v>120.42</v>
      </c>
      <c r="F1084">
        <v>297205.78737999999</v>
      </c>
      <c r="G1084">
        <v>0</v>
      </c>
      <c r="L1084" t="s">
        <v>8</v>
      </c>
      <c r="M1084" t="s">
        <v>8</v>
      </c>
      <c r="N1084" t="s">
        <v>7</v>
      </c>
    </row>
    <row r="1085" spans="1:14" x14ac:dyDescent="0.25">
      <c r="A1085" s="5">
        <v>43509</v>
      </c>
      <c r="B1085">
        <v>122.4</v>
      </c>
      <c r="C1085">
        <v>126.47</v>
      </c>
      <c r="D1085">
        <v>120.7</v>
      </c>
      <c r="E1085">
        <v>121.86</v>
      </c>
      <c r="F1085">
        <v>317827.31955999997</v>
      </c>
      <c r="G1085">
        <v>0</v>
      </c>
      <c r="L1085" t="s">
        <v>8</v>
      </c>
      <c r="M1085" t="s">
        <v>8</v>
      </c>
      <c r="N1085" t="s">
        <v>7</v>
      </c>
    </row>
    <row r="1086" spans="1:14" x14ac:dyDescent="0.25">
      <c r="A1086" s="5">
        <v>43508</v>
      </c>
      <c r="B1086">
        <v>120.88</v>
      </c>
      <c r="C1086">
        <v>123.89</v>
      </c>
      <c r="D1086">
        <v>118.18</v>
      </c>
      <c r="E1086">
        <v>122.41</v>
      </c>
      <c r="F1086">
        <v>343765.66986999998</v>
      </c>
      <c r="G1086">
        <v>0</v>
      </c>
      <c r="L1086" t="s">
        <v>7</v>
      </c>
      <c r="M1086" t="s">
        <v>8</v>
      </c>
      <c r="N1086" t="s">
        <v>7</v>
      </c>
    </row>
    <row r="1087" spans="1:14" x14ac:dyDescent="0.25">
      <c r="A1087" s="5">
        <v>43507</v>
      </c>
      <c r="B1087">
        <v>125.12</v>
      </c>
      <c r="C1087">
        <v>125.28</v>
      </c>
      <c r="D1087">
        <v>119.24</v>
      </c>
      <c r="E1087">
        <v>120.89</v>
      </c>
      <c r="F1087">
        <v>389405.30404000002</v>
      </c>
      <c r="G1087">
        <v>0</v>
      </c>
      <c r="L1087" t="s">
        <v>8</v>
      </c>
      <c r="M1087" t="s">
        <v>8</v>
      </c>
      <c r="N1087" t="s">
        <v>7</v>
      </c>
    </row>
    <row r="1088" spans="1:14" x14ac:dyDescent="0.25">
      <c r="A1088" s="5">
        <v>43506</v>
      </c>
      <c r="B1088">
        <v>119.19</v>
      </c>
      <c r="C1088">
        <v>126.49</v>
      </c>
      <c r="D1088">
        <v>115.81</v>
      </c>
      <c r="E1088">
        <v>125.12</v>
      </c>
      <c r="F1088">
        <v>385819.09619000001</v>
      </c>
      <c r="G1088">
        <v>0</v>
      </c>
      <c r="L1088" t="s">
        <v>8</v>
      </c>
      <c r="M1088" t="s">
        <v>8</v>
      </c>
      <c r="N1088" t="s">
        <v>7</v>
      </c>
    </row>
    <row r="1089" spans="1:14" x14ac:dyDescent="0.25">
      <c r="A1089" s="5">
        <v>43505</v>
      </c>
      <c r="B1089">
        <v>119.32</v>
      </c>
      <c r="C1089">
        <v>121.99</v>
      </c>
      <c r="D1089">
        <v>117.64</v>
      </c>
      <c r="E1089">
        <v>119.19</v>
      </c>
      <c r="F1089">
        <v>328067.95740000001</v>
      </c>
      <c r="G1089">
        <v>0</v>
      </c>
      <c r="L1089" t="s">
        <v>8</v>
      </c>
      <c r="M1089" t="s">
        <v>8</v>
      </c>
      <c r="N1089" t="s">
        <v>7</v>
      </c>
    </row>
    <row r="1090" spans="1:14" x14ac:dyDescent="0.25">
      <c r="A1090" s="5">
        <v>43504</v>
      </c>
      <c r="B1090">
        <v>104.48</v>
      </c>
      <c r="C1090">
        <v>123</v>
      </c>
      <c r="D1090">
        <v>103.41</v>
      </c>
      <c r="E1090">
        <v>119.25</v>
      </c>
      <c r="F1090">
        <v>589950.64925000002</v>
      </c>
      <c r="G1090">
        <v>0</v>
      </c>
      <c r="L1090" t="s">
        <v>8</v>
      </c>
      <c r="M1090" t="s">
        <v>8</v>
      </c>
      <c r="N1090" t="s">
        <v>7</v>
      </c>
    </row>
    <row r="1091" spans="1:14" x14ac:dyDescent="0.25">
      <c r="A1091" s="5">
        <v>43503</v>
      </c>
      <c r="B1091">
        <v>104.49</v>
      </c>
      <c r="C1091">
        <v>106.18</v>
      </c>
      <c r="D1091">
        <v>103.82</v>
      </c>
      <c r="E1091">
        <v>104.48</v>
      </c>
      <c r="F1091">
        <v>147942.07683000001</v>
      </c>
      <c r="G1091">
        <v>0</v>
      </c>
      <c r="L1091" t="s">
        <v>7</v>
      </c>
      <c r="M1091" t="s">
        <v>7</v>
      </c>
      <c r="N1091" t="s">
        <v>7</v>
      </c>
    </row>
    <row r="1092" spans="1:14" x14ac:dyDescent="0.25">
      <c r="A1092" s="5">
        <v>43502</v>
      </c>
      <c r="B1092">
        <v>107.28</v>
      </c>
      <c r="C1092">
        <v>107.83</v>
      </c>
      <c r="D1092">
        <v>101.21</v>
      </c>
      <c r="E1092">
        <v>104.5</v>
      </c>
      <c r="F1092">
        <v>337204.30254</v>
      </c>
      <c r="G1092">
        <v>0</v>
      </c>
      <c r="L1092" t="s">
        <v>7</v>
      </c>
      <c r="M1092" t="s">
        <v>7</v>
      </c>
      <c r="N1092" t="s">
        <v>7</v>
      </c>
    </row>
    <row r="1093" spans="1:14" x14ac:dyDescent="0.25">
      <c r="A1093" s="5">
        <v>43501</v>
      </c>
      <c r="B1093">
        <v>107.65</v>
      </c>
      <c r="C1093">
        <v>108.18</v>
      </c>
      <c r="D1093">
        <v>106.47</v>
      </c>
      <c r="E1093">
        <v>107.27</v>
      </c>
      <c r="F1093">
        <v>159730.18859999999</v>
      </c>
      <c r="G1093">
        <v>0</v>
      </c>
      <c r="L1093" t="s">
        <v>8</v>
      </c>
      <c r="M1093" t="s">
        <v>7</v>
      </c>
      <c r="N1093" t="s">
        <v>7</v>
      </c>
    </row>
    <row r="1094" spans="1:14" x14ac:dyDescent="0.25">
      <c r="A1094" s="5">
        <v>43500</v>
      </c>
      <c r="B1094">
        <v>107.33</v>
      </c>
      <c r="C1094">
        <v>109.3</v>
      </c>
      <c r="D1094">
        <v>106.57</v>
      </c>
      <c r="E1094">
        <v>107.68</v>
      </c>
      <c r="F1094">
        <v>160850.10292999999</v>
      </c>
      <c r="G1094">
        <v>0</v>
      </c>
      <c r="L1094" t="s">
        <v>8</v>
      </c>
      <c r="M1094" t="s">
        <v>7</v>
      </c>
      <c r="N1094" t="s">
        <v>7</v>
      </c>
    </row>
    <row r="1095" spans="1:14" x14ac:dyDescent="0.25">
      <c r="A1095" s="5">
        <v>43499</v>
      </c>
      <c r="B1095">
        <v>110.41</v>
      </c>
      <c r="C1095">
        <v>111.11</v>
      </c>
      <c r="D1095">
        <v>105.82</v>
      </c>
      <c r="E1095">
        <v>107.36</v>
      </c>
      <c r="F1095">
        <v>227211.54063999999</v>
      </c>
      <c r="G1095">
        <v>0</v>
      </c>
      <c r="L1095" t="s">
        <v>8</v>
      </c>
      <c r="M1095" t="s">
        <v>7</v>
      </c>
      <c r="N1095" t="s">
        <v>7</v>
      </c>
    </row>
    <row r="1096" spans="1:14" x14ac:dyDescent="0.25">
      <c r="A1096" s="5">
        <v>43498</v>
      </c>
      <c r="B1096">
        <v>106.71</v>
      </c>
      <c r="C1096">
        <v>111.15</v>
      </c>
      <c r="D1096">
        <v>106.07</v>
      </c>
      <c r="E1096">
        <v>110.42</v>
      </c>
      <c r="F1096">
        <v>186908.7573</v>
      </c>
      <c r="G1096">
        <v>0</v>
      </c>
      <c r="L1096" t="s">
        <v>8</v>
      </c>
      <c r="M1096" t="s">
        <v>7</v>
      </c>
      <c r="N1096" t="s">
        <v>7</v>
      </c>
    </row>
    <row r="1097" spans="1:14" x14ac:dyDescent="0.25">
      <c r="A1097" s="5">
        <v>43497</v>
      </c>
      <c r="B1097">
        <v>106.47</v>
      </c>
      <c r="C1097">
        <v>108.35</v>
      </c>
      <c r="D1097">
        <v>103.77</v>
      </c>
      <c r="E1097">
        <v>106.73</v>
      </c>
      <c r="F1097">
        <v>243149.88435000001</v>
      </c>
      <c r="G1097">
        <v>0</v>
      </c>
      <c r="L1097" t="s">
        <v>8</v>
      </c>
      <c r="M1097" t="s">
        <v>7</v>
      </c>
      <c r="N1097" t="s">
        <v>7</v>
      </c>
    </row>
    <row r="1098" spans="1:14" x14ac:dyDescent="0.25">
      <c r="A1098" s="5">
        <v>43496</v>
      </c>
      <c r="B1098">
        <v>108.29</v>
      </c>
      <c r="C1098">
        <v>110.61</v>
      </c>
      <c r="D1098">
        <v>105.46</v>
      </c>
      <c r="E1098">
        <v>106.44</v>
      </c>
      <c r="F1098">
        <v>290679.61934999999</v>
      </c>
      <c r="G1098">
        <v>0</v>
      </c>
      <c r="L1098" t="s">
        <v>8</v>
      </c>
      <c r="M1098" t="s">
        <v>7</v>
      </c>
      <c r="N1098" t="s">
        <v>7</v>
      </c>
    </row>
    <row r="1099" spans="1:14" x14ac:dyDescent="0.25">
      <c r="A1099" s="5">
        <v>43495</v>
      </c>
      <c r="B1099">
        <v>104.41</v>
      </c>
      <c r="C1099">
        <v>109.8</v>
      </c>
      <c r="D1099">
        <v>103.45</v>
      </c>
      <c r="E1099">
        <v>108.29</v>
      </c>
      <c r="F1099">
        <v>330968.19264999998</v>
      </c>
      <c r="G1099">
        <v>0</v>
      </c>
      <c r="L1099" t="s">
        <v>8</v>
      </c>
      <c r="M1099" t="s">
        <v>7</v>
      </c>
      <c r="N1099" t="s">
        <v>7</v>
      </c>
    </row>
    <row r="1100" spans="1:14" x14ac:dyDescent="0.25">
      <c r="A1100" s="5">
        <v>43494</v>
      </c>
      <c r="B1100">
        <v>105.49</v>
      </c>
      <c r="C1100">
        <v>106.61</v>
      </c>
      <c r="D1100">
        <v>102.22</v>
      </c>
      <c r="E1100">
        <v>104.45</v>
      </c>
      <c r="F1100">
        <v>319768.91347999999</v>
      </c>
      <c r="G1100">
        <v>0</v>
      </c>
      <c r="L1100" t="s">
        <v>7</v>
      </c>
      <c r="M1100" t="s">
        <v>7</v>
      </c>
      <c r="N1100" t="s">
        <v>7</v>
      </c>
    </row>
    <row r="1101" spans="1:14" x14ac:dyDescent="0.25">
      <c r="A1101" s="5">
        <v>43493</v>
      </c>
      <c r="B1101">
        <v>112.04</v>
      </c>
      <c r="C1101">
        <v>112.87</v>
      </c>
      <c r="D1101">
        <v>100.91</v>
      </c>
      <c r="E1101">
        <v>105.5</v>
      </c>
      <c r="F1101">
        <v>566205.78287999996</v>
      </c>
      <c r="G1101">
        <v>0</v>
      </c>
      <c r="L1101" t="s">
        <v>7</v>
      </c>
      <c r="M1101" t="s">
        <v>7</v>
      </c>
      <c r="N1101" t="s">
        <v>7</v>
      </c>
    </row>
    <row r="1102" spans="1:14" x14ac:dyDescent="0.25">
      <c r="A1102" s="5">
        <v>43492</v>
      </c>
      <c r="B1102">
        <v>115.32</v>
      </c>
      <c r="C1102">
        <v>116.15</v>
      </c>
      <c r="D1102">
        <v>111.04</v>
      </c>
      <c r="E1102">
        <v>112.05</v>
      </c>
      <c r="F1102">
        <v>247369.60555000001</v>
      </c>
      <c r="G1102">
        <v>0</v>
      </c>
      <c r="L1102" t="s">
        <v>7</v>
      </c>
      <c r="M1102" t="s">
        <v>7</v>
      </c>
      <c r="N1102" t="s">
        <v>7</v>
      </c>
    </row>
    <row r="1103" spans="1:14" x14ac:dyDescent="0.25">
      <c r="A1103" s="5">
        <v>43491</v>
      </c>
      <c r="B1103">
        <v>115.13</v>
      </c>
      <c r="C1103">
        <v>118</v>
      </c>
      <c r="D1103">
        <v>115</v>
      </c>
      <c r="E1103">
        <v>115.34</v>
      </c>
      <c r="F1103">
        <v>146216.82819</v>
      </c>
      <c r="G1103">
        <v>0</v>
      </c>
      <c r="L1103" t="s">
        <v>7</v>
      </c>
      <c r="M1103" t="s">
        <v>7</v>
      </c>
      <c r="N1103" t="s">
        <v>7</v>
      </c>
    </row>
    <row r="1104" spans="1:14" x14ac:dyDescent="0.25">
      <c r="A1104" s="5">
        <v>43490</v>
      </c>
      <c r="B1104">
        <v>116.4</v>
      </c>
      <c r="C1104">
        <v>117.5</v>
      </c>
      <c r="D1104">
        <v>114.3</v>
      </c>
      <c r="E1104">
        <v>115.11</v>
      </c>
      <c r="F1104">
        <v>198617.08108</v>
      </c>
      <c r="G1104">
        <v>0</v>
      </c>
      <c r="L1104" t="s">
        <v>7</v>
      </c>
      <c r="M1104" t="s">
        <v>7</v>
      </c>
      <c r="N1104" t="s">
        <v>7</v>
      </c>
    </row>
    <row r="1105" spans="1:14" x14ac:dyDescent="0.25">
      <c r="A1105" s="5">
        <v>43489</v>
      </c>
      <c r="B1105">
        <v>116.4</v>
      </c>
      <c r="C1105">
        <v>117.15</v>
      </c>
      <c r="D1105">
        <v>113.61</v>
      </c>
      <c r="E1105">
        <v>116.39</v>
      </c>
      <c r="F1105">
        <v>216242.29829000001</v>
      </c>
      <c r="G1105">
        <v>0</v>
      </c>
      <c r="L1105" t="s">
        <v>7</v>
      </c>
      <c r="M1105" t="s">
        <v>7</v>
      </c>
      <c r="N1105" t="s">
        <v>7</v>
      </c>
    </row>
    <row r="1106" spans="1:14" x14ac:dyDescent="0.25">
      <c r="A1106" s="5">
        <v>43488</v>
      </c>
      <c r="B1106">
        <v>117.8</v>
      </c>
      <c r="C1106">
        <v>118.95</v>
      </c>
      <c r="D1106">
        <v>114.8</v>
      </c>
      <c r="E1106">
        <v>116.44</v>
      </c>
      <c r="F1106">
        <v>230247.61577999999</v>
      </c>
      <c r="G1106">
        <v>0</v>
      </c>
      <c r="L1106" t="s">
        <v>7</v>
      </c>
      <c r="M1106" t="s">
        <v>7</v>
      </c>
      <c r="N1106" t="s">
        <v>7</v>
      </c>
    </row>
    <row r="1107" spans="1:14" x14ac:dyDescent="0.25">
      <c r="A1107" s="5">
        <v>43487</v>
      </c>
      <c r="B1107">
        <v>115.62</v>
      </c>
      <c r="C1107">
        <v>119.49</v>
      </c>
      <c r="D1107">
        <v>111.39</v>
      </c>
      <c r="E1107">
        <v>117.81</v>
      </c>
      <c r="F1107">
        <v>359542.63873000001</v>
      </c>
      <c r="G1107">
        <v>0</v>
      </c>
      <c r="L1107" t="s">
        <v>7</v>
      </c>
      <c r="M1107" t="s">
        <v>7</v>
      </c>
      <c r="N1107" t="s">
        <v>7</v>
      </c>
    </row>
    <row r="1108" spans="1:14" x14ac:dyDescent="0.25">
      <c r="A1108" s="5">
        <v>43486</v>
      </c>
      <c r="B1108">
        <v>117.56</v>
      </c>
      <c r="C1108">
        <v>118.5</v>
      </c>
      <c r="D1108">
        <v>113.61</v>
      </c>
      <c r="E1108">
        <v>115.63</v>
      </c>
      <c r="F1108">
        <v>303632.93462999997</v>
      </c>
      <c r="G1108">
        <v>0</v>
      </c>
      <c r="L1108" t="s">
        <v>7</v>
      </c>
      <c r="M1108" t="s">
        <v>7</v>
      </c>
      <c r="N1108" t="s">
        <v>7</v>
      </c>
    </row>
    <row r="1109" spans="1:14" x14ac:dyDescent="0.25">
      <c r="A1109" s="5">
        <v>43485</v>
      </c>
      <c r="B1109">
        <v>122.61</v>
      </c>
      <c r="C1109">
        <v>123.32</v>
      </c>
      <c r="D1109">
        <v>115.68</v>
      </c>
      <c r="E1109">
        <v>117.47</v>
      </c>
      <c r="F1109">
        <v>451792.85352</v>
      </c>
      <c r="G1109">
        <v>0</v>
      </c>
      <c r="L1109" t="s">
        <v>7</v>
      </c>
      <c r="M1109" t="s">
        <v>7</v>
      </c>
      <c r="N1109" t="s">
        <v>7</v>
      </c>
    </row>
    <row r="1110" spans="1:14" x14ac:dyDescent="0.25">
      <c r="A1110" s="5">
        <v>43484</v>
      </c>
      <c r="B1110">
        <v>119.16</v>
      </c>
      <c r="C1110">
        <v>125.29</v>
      </c>
      <c r="D1110">
        <v>119.14</v>
      </c>
      <c r="E1110">
        <v>122.6</v>
      </c>
      <c r="F1110">
        <v>323303.79295999999</v>
      </c>
      <c r="G1110">
        <v>0</v>
      </c>
      <c r="L1110" t="s">
        <v>7</v>
      </c>
      <c r="M1110" t="s">
        <v>7</v>
      </c>
      <c r="N1110" t="s">
        <v>7</v>
      </c>
    </row>
    <row r="1111" spans="1:14" x14ac:dyDescent="0.25">
      <c r="A1111" s="5">
        <v>43483</v>
      </c>
      <c r="B1111">
        <v>121.56</v>
      </c>
      <c r="C1111">
        <v>121.98</v>
      </c>
      <c r="D1111">
        <v>117.66</v>
      </c>
      <c r="E1111">
        <v>119.17</v>
      </c>
      <c r="F1111">
        <v>235646.68400000001</v>
      </c>
      <c r="G1111">
        <v>0</v>
      </c>
      <c r="L1111" t="s">
        <v>7</v>
      </c>
      <c r="M1111" t="s">
        <v>7</v>
      </c>
      <c r="N1111" t="s">
        <v>7</v>
      </c>
    </row>
    <row r="1112" spans="1:14" x14ac:dyDescent="0.25">
      <c r="A1112" s="5">
        <v>43482</v>
      </c>
      <c r="B1112">
        <v>121.49</v>
      </c>
      <c r="C1112">
        <v>122.99</v>
      </c>
      <c r="D1112">
        <v>116.8</v>
      </c>
      <c r="E1112">
        <v>121.54</v>
      </c>
      <c r="F1112">
        <v>447535.22716000001</v>
      </c>
      <c r="G1112">
        <v>0</v>
      </c>
      <c r="L1112" t="s">
        <v>7</v>
      </c>
      <c r="M1112" t="s">
        <v>7</v>
      </c>
      <c r="N1112" t="s">
        <v>7</v>
      </c>
    </row>
    <row r="1113" spans="1:14" x14ac:dyDescent="0.25">
      <c r="A1113" s="5">
        <v>43481</v>
      </c>
      <c r="B1113">
        <v>118.93</v>
      </c>
      <c r="C1113">
        <v>126.88</v>
      </c>
      <c r="D1113">
        <v>118.52</v>
      </c>
      <c r="E1113">
        <v>121.48</v>
      </c>
      <c r="F1113">
        <v>513486.65471999999</v>
      </c>
      <c r="G1113">
        <v>0</v>
      </c>
      <c r="L1113" t="s">
        <v>8</v>
      </c>
      <c r="M1113" t="s">
        <v>7</v>
      </c>
      <c r="N1113" t="s">
        <v>7</v>
      </c>
    </row>
    <row r="1114" spans="1:14" x14ac:dyDescent="0.25">
      <c r="A1114" s="5">
        <v>43480</v>
      </c>
      <c r="B1114">
        <v>126.95</v>
      </c>
      <c r="C1114">
        <v>129.4</v>
      </c>
      <c r="D1114">
        <v>116</v>
      </c>
      <c r="E1114">
        <v>118.95</v>
      </c>
      <c r="F1114">
        <v>649020.52969999996</v>
      </c>
      <c r="G1114">
        <v>0</v>
      </c>
      <c r="L1114" t="s">
        <v>7</v>
      </c>
      <c r="M1114" t="s">
        <v>7</v>
      </c>
      <c r="N1114" t="s">
        <v>7</v>
      </c>
    </row>
    <row r="1115" spans="1:14" x14ac:dyDescent="0.25">
      <c r="A1115" s="5">
        <v>43479</v>
      </c>
      <c r="B1115">
        <v>114.17</v>
      </c>
      <c r="C1115">
        <v>130.05000000000001</v>
      </c>
      <c r="D1115">
        <v>113.94</v>
      </c>
      <c r="E1115">
        <v>126.95</v>
      </c>
      <c r="F1115">
        <v>546420.40853999997</v>
      </c>
      <c r="G1115">
        <v>0</v>
      </c>
      <c r="L1115" t="s">
        <v>8</v>
      </c>
      <c r="M1115" t="s">
        <v>7</v>
      </c>
      <c r="N1115" t="s">
        <v>7</v>
      </c>
    </row>
    <row r="1116" spans="1:14" x14ac:dyDescent="0.25">
      <c r="A1116" s="5">
        <v>43478</v>
      </c>
      <c r="B1116">
        <v>123.35</v>
      </c>
      <c r="C1116">
        <v>124.25</v>
      </c>
      <c r="D1116">
        <v>111.87</v>
      </c>
      <c r="E1116">
        <v>114.16</v>
      </c>
      <c r="F1116">
        <v>422561.96776999999</v>
      </c>
      <c r="G1116">
        <v>0</v>
      </c>
      <c r="L1116" t="s">
        <v>7</v>
      </c>
      <c r="M1116" t="s">
        <v>7</v>
      </c>
      <c r="N1116" t="s">
        <v>7</v>
      </c>
    </row>
    <row r="1117" spans="1:14" x14ac:dyDescent="0.25">
      <c r="A1117" s="5">
        <v>43477</v>
      </c>
      <c r="B1117">
        <v>124.67</v>
      </c>
      <c r="C1117">
        <v>126.19</v>
      </c>
      <c r="D1117">
        <v>122</v>
      </c>
      <c r="E1117">
        <v>123.35</v>
      </c>
      <c r="F1117">
        <v>300262.13403999998</v>
      </c>
      <c r="G1117">
        <v>0</v>
      </c>
      <c r="L1117" t="s">
        <v>7</v>
      </c>
      <c r="M1117" t="s">
        <v>7</v>
      </c>
      <c r="N1117" t="s">
        <v>8</v>
      </c>
    </row>
    <row r="1118" spans="1:14" x14ac:dyDescent="0.25">
      <c r="A1118" s="5">
        <v>43476</v>
      </c>
      <c r="B1118">
        <v>124.96</v>
      </c>
      <c r="C1118">
        <v>127.36</v>
      </c>
      <c r="D1118">
        <v>120.08</v>
      </c>
      <c r="E1118">
        <v>124.65</v>
      </c>
      <c r="F1118">
        <v>545293.98369000002</v>
      </c>
      <c r="G1118">
        <v>0</v>
      </c>
      <c r="L1118" t="s">
        <v>7</v>
      </c>
      <c r="M1118" t="s">
        <v>7</v>
      </c>
      <c r="N1118" t="s">
        <v>8</v>
      </c>
    </row>
    <row r="1119" spans="1:14" x14ac:dyDescent="0.25">
      <c r="A1119" s="5">
        <v>43475</v>
      </c>
      <c r="B1119">
        <v>148.11000000000001</v>
      </c>
      <c r="C1119">
        <v>149.44999999999999</v>
      </c>
      <c r="D1119">
        <v>121</v>
      </c>
      <c r="E1119">
        <v>124.95</v>
      </c>
      <c r="F1119">
        <v>871751.75037999998</v>
      </c>
      <c r="G1119">
        <v>0</v>
      </c>
      <c r="L1119" t="s">
        <v>7</v>
      </c>
      <c r="M1119" t="s">
        <v>7</v>
      </c>
      <c r="N1119" t="s">
        <v>8</v>
      </c>
    </row>
    <row r="1120" spans="1:14" x14ac:dyDescent="0.25">
      <c r="A1120" s="5">
        <v>43474</v>
      </c>
      <c r="B1120">
        <v>147.62</v>
      </c>
      <c r="C1120">
        <v>151.5</v>
      </c>
      <c r="D1120">
        <v>146.77000000000001</v>
      </c>
      <c r="E1120">
        <v>148.1</v>
      </c>
      <c r="F1120">
        <v>299443.56300000002</v>
      </c>
      <c r="G1120">
        <v>0</v>
      </c>
      <c r="L1120" t="s">
        <v>7</v>
      </c>
      <c r="M1120" t="s">
        <v>8</v>
      </c>
      <c r="N1120" t="s">
        <v>8</v>
      </c>
    </row>
    <row r="1121" spans="1:14" x14ac:dyDescent="0.25">
      <c r="A1121" s="5">
        <v>43473</v>
      </c>
      <c r="B1121">
        <v>149.29</v>
      </c>
      <c r="C1121">
        <v>151.65</v>
      </c>
      <c r="D1121">
        <v>145.19999999999999</v>
      </c>
      <c r="E1121">
        <v>147.6</v>
      </c>
      <c r="F1121">
        <v>441661.06777999998</v>
      </c>
      <c r="G1121">
        <v>0</v>
      </c>
      <c r="L1121" t="s">
        <v>7</v>
      </c>
      <c r="M1121" t="s">
        <v>8</v>
      </c>
      <c r="N1121" t="s">
        <v>8</v>
      </c>
    </row>
    <row r="1122" spans="1:14" x14ac:dyDescent="0.25">
      <c r="A1122" s="5">
        <v>43472</v>
      </c>
      <c r="B1122">
        <v>153.88999999999999</v>
      </c>
      <c r="C1122">
        <v>155.47999999999999</v>
      </c>
      <c r="D1122">
        <v>147.86000000000001</v>
      </c>
      <c r="E1122">
        <v>149.34</v>
      </c>
      <c r="F1122">
        <v>424765.30258000002</v>
      </c>
      <c r="G1122">
        <v>0</v>
      </c>
      <c r="L1122" t="s">
        <v>7</v>
      </c>
      <c r="M1122" t="s">
        <v>8</v>
      </c>
      <c r="N1122" t="s">
        <v>8</v>
      </c>
    </row>
    <row r="1123" spans="1:14" x14ac:dyDescent="0.25">
      <c r="A1123" s="5">
        <v>43471</v>
      </c>
      <c r="B1123">
        <v>152.83000000000001</v>
      </c>
      <c r="C1123">
        <v>157.4</v>
      </c>
      <c r="D1123">
        <v>147.51</v>
      </c>
      <c r="E1123">
        <v>153.86000000000001</v>
      </c>
      <c r="F1123">
        <v>627908.47366000002</v>
      </c>
      <c r="G1123">
        <v>0</v>
      </c>
      <c r="L1123" t="s">
        <v>7</v>
      </c>
      <c r="M1123" t="s">
        <v>8</v>
      </c>
      <c r="N1123" t="s">
        <v>8</v>
      </c>
    </row>
    <row r="1124" spans="1:14" x14ac:dyDescent="0.25">
      <c r="A1124" s="5">
        <v>43470</v>
      </c>
      <c r="B1124">
        <v>152.08000000000001</v>
      </c>
      <c r="C1124">
        <v>159.26</v>
      </c>
      <c r="D1124">
        <v>151.19999999999999</v>
      </c>
      <c r="E1124">
        <v>152.83000000000001</v>
      </c>
      <c r="F1124">
        <v>773169.13736000005</v>
      </c>
      <c r="G1124">
        <v>0</v>
      </c>
      <c r="L1124" t="s">
        <v>8</v>
      </c>
      <c r="M1124" t="s">
        <v>8</v>
      </c>
      <c r="N1124" t="s">
        <v>8</v>
      </c>
    </row>
    <row r="1125" spans="1:14" x14ac:dyDescent="0.25">
      <c r="A1125" s="5">
        <v>43469</v>
      </c>
      <c r="B1125">
        <v>146.30000000000001</v>
      </c>
      <c r="C1125">
        <v>154.80000000000001</v>
      </c>
      <c r="D1125">
        <v>143.54</v>
      </c>
      <c r="E1125">
        <v>151.97</v>
      </c>
      <c r="F1125">
        <v>805248.93821000005</v>
      </c>
      <c r="G1125">
        <v>0</v>
      </c>
      <c r="L1125" t="s">
        <v>8</v>
      </c>
      <c r="M1125" t="s">
        <v>8</v>
      </c>
      <c r="N1125" t="s">
        <v>7</v>
      </c>
    </row>
    <row r="1126" spans="1:14" x14ac:dyDescent="0.25">
      <c r="A1126" s="5">
        <v>43468</v>
      </c>
      <c r="B1126">
        <v>152.01</v>
      </c>
      <c r="C1126">
        <v>153.63999999999999</v>
      </c>
      <c r="D1126">
        <v>143.11000000000001</v>
      </c>
      <c r="E1126">
        <v>146.30000000000001</v>
      </c>
      <c r="F1126">
        <v>708091.31714000006</v>
      </c>
      <c r="G1126">
        <v>0</v>
      </c>
      <c r="L1126" t="s">
        <v>7</v>
      </c>
      <c r="M1126" t="s">
        <v>8</v>
      </c>
      <c r="N1126" t="s">
        <v>7</v>
      </c>
    </row>
    <row r="1127" spans="1:14" x14ac:dyDescent="0.25">
      <c r="A1127" s="5">
        <v>43467</v>
      </c>
      <c r="B1127">
        <v>139.1</v>
      </c>
      <c r="C1127">
        <v>155.37</v>
      </c>
      <c r="D1127">
        <v>137.76</v>
      </c>
      <c r="E1127">
        <v>152.01</v>
      </c>
      <c r="F1127">
        <v>941486.31524000003</v>
      </c>
      <c r="G1127">
        <v>0</v>
      </c>
      <c r="L1127" t="s">
        <v>8</v>
      </c>
      <c r="M1127" t="s">
        <v>8</v>
      </c>
      <c r="N1127" t="s">
        <v>7</v>
      </c>
    </row>
    <row r="1128" spans="1:14" x14ac:dyDescent="0.25">
      <c r="A1128" s="5">
        <v>43466</v>
      </c>
      <c r="B1128">
        <v>131.44999999999999</v>
      </c>
      <c r="C1128">
        <v>140.66999999999999</v>
      </c>
      <c r="D1128">
        <v>130</v>
      </c>
      <c r="E1128">
        <v>139.1</v>
      </c>
      <c r="F1128">
        <v>401776.88796999998</v>
      </c>
      <c r="G1128">
        <v>0</v>
      </c>
      <c r="L1128" t="s">
        <v>7</v>
      </c>
      <c r="M1128" t="s">
        <v>8</v>
      </c>
      <c r="N1128" t="s">
        <v>7</v>
      </c>
    </row>
    <row r="1129" spans="1:14" x14ac:dyDescent="0.25">
      <c r="A1129" s="5">
        <v>43465</v>
      </c>
      <c r="B1129">
        <v>137.81</v>
      </c>
      <c r="C1129">
        <v>138.66</v>
      </c>
      <c r="D1129">
        <v>128.69999999999999</v>
      </c>
      <c r="E1129">
        <v>131.44999999999999</v>
      </c>
      <c r="F1129">
        <v>484604.83961999998</v>
      </c>
      <c r="G1129">
        <v>0</v>
      </c>
      <c r="L1129" t="s">
        <v>8</v>
      </c>
      <c r="M1129" t="s">
        <v>8</v>
      </c>
      <c r="N1129" t="s">
        <v>7</v>
      </c>
    </row>
    <row r="1130" spans="1:14" x14ac:dyDescent="0.25">
      <c r="A1130" s="5">
        <v>43464</v>
      </c>
      <c r="B1130">
        <v>133</v>
      </c>
      <c r="C1130">
        <v>139</v>
      </c>
      <c r="D1130">
        <v>127.03</v>
      </c>
      <c r="E1130">
        <v>137.77000000000001</v>
      </c>
      <c r="F1130">
        <v>704259.41613999999</v>
      </c>
      <c r="G1130">
        <v>0</v>
      </c>
      <c r="L1130" t="s">
        <v>7</v>
      </c>
      <c r="M1130" t="s">
        <v>8</v>
      </c>
      <c r="N1130" t="s">
        <v>7</v>
      </c>
    </row>
    <row r="1131" spans="1:14" x14ac:dyDescent="0.25">
      <c r="A1131" s="5">
        <v>43463</v>
      </c>
      <c r="B1131">
        <v>135.30000000000001</v>
      </c>
      <c r="C1131">
        <v>145.41999999999999</v>
      </c>
      <c r="D1131">
        <v>128.5</v>
      </c>
      <c r="E1131">
        <v>132.88999999999999</v>
      </c>
      <c r="F1131">
        <v>1006654.49844</v>
      </c>
      <c r="G1131">
        <v>0</v>
      </c>
      <c r="L1131" t="s">
        <v>8</v>
      </c>
      <c r="M1131" t="s">
        <v>8</v>
      </c>
      <c r="N1131" t="s">
        <v>7</v>
      </c>
    </row>
    <row r="1132" spans="1:14" x14ac:dyDescent="0.25">
      <c r="A1132" s="5">
        <v>43462</v>
      </c>
      <c r="B1132">
        <v>113.75</v>
      </c>
      <c r="C1132">
        <v>136.66</v>
      </c>
      <c r="D1132">
        <v>111.87</v>
      </c>
      <c r="E1132">
        <v>135.30000000000001</v>
      </c>
      <c r="F1132">
        <v>894454.19050999999</v>
      </c>
      <c r="G1132">
        <v>0</v>
      </c>
      <c r="L1132" t="s">
        <v>8</v>
      </c>
      <c r="M1132" t="s">
        <v>8</v>
      </c>
      <c r="N1132" t="s">
        <v>7</v>
      </c>
    </row>
    <row r="1133" spans="1:14" x14ac:dyDescent="0.25">
      <c r="A1133" s="5">
        <v>43461</v>
      </c>
      <c r="B1133">
        <v>129.35</v>
      </c>
      <c r="C1133">
        <v>131.09</v>
      </c>
      <c r="D1133">
        <v>111.22</v>
      </c>
      <c r="E1133">
        <v>113.8</v>
      </c>
      <c r="F1133">
        <v>752177.90110999998</v>
      </c>
      <c r="G1133">
        <v>0</v>
      </c>
      <c r="L1133" t="s">
        <v>7</v>
      </c>
      <c r="M1133" t="s">
        <v>7</v>
      </c>
      <c r="N1133" t="s">
        <v>7</v>
      </c>
    </row>
    <row r="1134" spans="1:14" x14ac:dyDescent="0.25">
      <c r="A1134" s="5">
        <v>43460</v>
      </c>
      <c r="B1134">
        <v>127.61</v>
      </c>
      <c r="C1134">
        <v>135.32</v>
      </c>
      <c r="D1134">
        <v>122.51</v>
      </c>
      <c r="E1134">
        <v>129.35</v>
      </c>
      <c r="F1134">
        <v>794834.05600999994</v>
      </c>
      <c r="G1134">
        <v>0</v>
      </c>
      <c r="L1134" t="s">
        <v>8</v>
      </c>
      <c r="M1134" t="s">
        <v>7</v>
      </c>
      <c r="N1134" t="s">
        <v>8</v>
      </c>
    </row>
    <row r="1135" spans="1:14" x14ac:dyDescent="0.25">
      <c r="A1135" s="5">
        <v>43459</v>
      </c>
      <c r="B1135">
        <v>138.01</v>
      </c>
      <c r="C1135">
        <v>139.26</v>
      </c>
      <c r="D1135">
        <v>119.68</v>
      </c>
      <c r="E1135">
        <v>127.6</v>
      </c>
      <c r="F1135">
        <v>1076164.12809</v>
      </c>
      <c r="G1135">
        <v>0</v>
      </c>
      <c r="L1135" t="s">
        <v>7</v>
      </c>
      <c r="M1135" t="s">
        <v>7</v>
      </c>
      <c r="N1135" t="s">
        <v>8</v>
      </c>
    </row>
    <row r="1136" spans="1:14" x14ac:dyDescent="0.25">
      <c r="A1136" s="5">
        <v>43458</v>
      </c>
      <c r="B1136">
        <v>129.03</v>
      </c>
      <c r="C1136">
        <v>157.66999999999999</v>
      </c>
      <c r="D1136">
        <v>128.80000000000001</v>
      </c>
      <c r="E1136">
        <v>138.03</v>
      </c>
      <c r="F1136">
        <v>1319609.8165</v>
      </c>
      <c r="G1136">
        <v>0</v>
      </c>
      <c r="L1136" t="s">
        <v>8</v>
      </c>
      <c r="M1136" t="s">
        <v>8</v>
      </c>
      <c r="N1136" t="s">
        <v>8</v>
      </c>
    </row>
    <row r="1137" spans="1:14" x14ac:dyDescent="0.25">
      <c r="A1137" s="5">
        <v>43457</v>
      </c>
      <c r="B1137">
        <v>115.18</v>
      </c>
      <c r="C1137">
        <v>131.94</v>
      </c>
      <c r="D1137">
        <v>114.91</v>
      </c>
      <c r="E1137">
        <v>129.03</v>
      </c>
      <c r="F1137">
        <v>936094.10490000003</v>
      </c>
      <c r="G1137">
        <v>0</v>
      </c>
      <c r="L1137" t="s">
        <v>8</v>
      </c>
      <c r="M1137" t="s">
        <v>8</v>
      </c>
      <c r="N1137" t="s">
        <v>8</v>
      </c>
    </row>
    <row r="1138" spans="1:14" x14ac:dyDescent="0.25">
      <c r="A1138" s="5">
        <v>43456</v>
      </c>
      <c r="B1138">
        <v>107.67</v>
      </c>
      <c r="C1138">
        <v>115.5</v>
      </c>
      <c r="D1138">
        <v>105.38</v>
      </c>
      <c r="E1138">
        <v>115.2</v>
      </c>
      <c r="F1138">
        <v>405672.83117000002</v>
      </c>
      <c r="G1138">
        <v>0</v>
      </c>
      <c r="L1138" t="s">
        <v>8</v>
      </c>
      <c r="M1138" t="s">
        <v>8</v>
      </c>
      <c r="N1138" t="s">
        <v>8</v>
      </c>
    </row>
    <row r="1139" spans="1:14" x14ac:dyDescent="0.25">
      <c r="A1139" s="5">
        <v>43455</v>
      </c>
      <c r="B1139">
        <v>113.71</v>
      </c>
      <c r="C1139">
        <v>118</v>
      </c>
      <c r="D1139">
        <v>104.76</v>
      </c>
      <c r="E1139">
        <v>107.69</v>
      </c>
      <c r="F1139">
        <v>666048.71785999998</v>
      </c>
      <c r="G1139">
        <v>0</v>
      </c>
      <c r="L1139" t="s">
        <v>7</v>
      </c>
      <c r="M1139" t="s">
        <v>8</v>
      </c>
      <c r="N1139" t="s">
        <v>8</v>
      </c>
    </row>
    <row r="1140" spans="1:14" x14ac:dyDescent="0.25">
      <c r="A1140" s="5">
        <v>43454</v>
      </c>
      <c r="B1140">
        <v>98.73</v>
      </c>
      <c r="C1140">
        <v>116</v>
      </c>
      <c r="D1140">
        <v>97.88</v>
      </c>
      <c r="E1140">
        <v>114.05</v>
      </c>
      <c r="F1140">
        <v>859612.57204999996</v>
      </c>
      <c r="G1140">
        <v>0</v>
      </c>
      <c r="L1140" t="s">
        <v>8</v>
      </c>
      <c r="M1140" t="s">
        <v>8</v>
      </c>
      <c r="N1140" t="s">
        <v>7</v>
      </c>
    </row>
    <row r="1141" spans="1:14" x14ac:dyDescent="0.25">
      <c r="A1141" s="5">
        <v>43453</v>
      </c>
      <c r="B1141">
        <v>100.39</v>
      </c>
      <c r="C1141">
        <v>107.55</v>
      </c>
      <c r="D1141">
        <v>97.75</v>
      </c>
      <c r="E1141">
        <v>98.74</v>
      </c>
      <c r="F1141">
        <v>827748.59095999994</v>
      </c>
      <c r="G1141">
        <v>0</v>
      </c>
      <c r="L1141" t="s">
        <v>8</v>
      </c>
      <c r="M1141" t="s">
        <v>8</v>
      </c>
      <c r="N1141" t="s">
        <v>7</v>
      </c>
    </row>
    <row r="1142" spans="1:14" x14ac:dyDescent="0.25">
      <c r="A1142" s="5">
        <v>43452</v>
      </c>
      <c r="B1142">
        <v>94.03</v>
      </c>
      <c r="C1142">
        <v>101.3</v>
      </c>
      <c r="D1142">
        <v>91.34</v>
      </c>
      <c r="E1142">
        <v>100.39</v>
      </c>
      <c r="F1142">
        <v>529946.79174999997</v>
      </c>
      <c r="G1142">
        <v>0</v>
      </c>
      <c r="L1142" t="s">
        <v>8</v>
      </c>
      <c r="M1142" t="s">
        <v>8</v>
      </c>
      <c r="N1142" t="s">
        <v>7</v>
      </c>
    </row>
    <row r="1143" spans="1:14" x14ac:dyDescent="0.25">
      <c r="A1143" s="5">
        <v>43451</v>
      </c>
      <c r="B1143">
        <v>84.68</v>
      </c>
      <c r="C1143">
        <v>97</v>
      </c>
      <c r="D1143">
        <v>84.4</v>
      </c>
      <c r="E1143">
        <v>94.02</v>
      </c>
      <c r="F1143">
        <v>472252.23388000001</v>
      </c>
      <c r="G1143">
        <v>0</v>
      </c>
      <c r="L1143" t="s">
        <v>8</v>
      </c>
      <c r="M1143" t="s">
        <v>7</v>
      </c>
      <c r="N1143" t="s">
        <v>7</v>
      </c>
    </row>
    <row r="1144" spans="1:14" x14ac:dyDescent="0.25">
      <c r="A1144" s="5">
        <v>43450</v>
      </c>
      <c r="B1144">
        <v>83.75</v>
      </c>
      <c r="C1144">
        <v>87.64</v>
      </c>
      <c r="D1144">
        <v>83.73</v>
      </c>
      <c r="E1144">
        <v>84.67</v>
      </c>
      <c r="F1144">
        <v>241366.76305000001</v>
      </c>
      <c r="G1144">
        <v>0</v>
      </c>
      <c r="L1144" t="s">
        <v>7</v>
      </c>
      <c r="M1144" t="s">
        <v>7</v>
      </c>
      <c r="N1144" t="s">
        <v>7</v>
      </c>
    </row>
    <row r="1145" spans="1:14" x14ac:dyDescent="0.25">
      <c r="A1145" s="5">
        <v>43449</v>
      </c>
      <c r="B1145">
        <v>83.82</v>
      </c>
      <c r="C1145">
        <v>85</v>
      </c>
      <c r="D1145">
        <v>81.790000000000006</v>
      </c>
      <c r="E1145">
        <v>83.76</v>
      </c>
      <c r="F1145">
        <v>217360.65775000001</v>
      </c>
      <c r="G1145">
        <v>0</v>
      </c>
      <c r="L1145" t="s">
        <v>7</v>
      </c>
      <c r="M1145" t="s">
        <v>7</v>
      </c>
      <c r="N1145" t="s">
        <v>7</v>
      </c>
    </row>
    <row r="1146" spans="1:14" x14ac:dyDescent="0.25">
      <c r="A1146" s="5">
        <v>43448</v>
      </c>
      <c r="B1146">
        <v>86.35</v>
      </c>
      <c r="C1146">
        <v>87.25</v>
      </c>
      <c r="D1146">
        <v>82.2</v>
      </c>
      <c r="E1146">
        <v>83.82</v>
      </c>
      <c r="F1146">
        <v>318003.73427000002</v>
      </c>
      <c r="G1146">
        <v>0</v>
      </c>
      <c r="L1146" t="s">
        <v>7</v>
      </c>
      <c r="M1146" t="s">
        <v>7</v>
      </c>
      <c r="N1146" t="s">
        <v>7</v>
      </c>
    </row>
    <row r="1147" spans="1:14" x14ac:dyDescent="0.25">
      <c r="A1147" s="5">
        <v>43447</v>
      </c>
      <c r="B1147">
        <v>89.39</v>
      </c>
      <c r="C1147">
        <v>90.71</v>
      </c>
      <c r="D1147">
        <v>84.71</v>
      </c>
      <c r="E1147">
        <v>86.34</v>
      </c>
      <c r="F1147">
        <v>331218.30083000002</v>
      </c>
      <c r="G1147">
        <v>0</v>
      </c>
      <c r="L1147" t="s">
        <v>7</v>
      </c>
      <c r="M1147" t="s">
        <v>7</v>
      </c>
      <c r="N1147" t="s">
        <v>7</v>
      </c>
    </row>
    <row r="1148" spans="1:14" x14ac:dyDescent="0.25">
      <c r="A1148" s="5">
        <v>43446</v>
      </c>
      <c r="B1148">
        <v>87.77</v>
      </c>
      <c r="C1148">
        <v>91.31</v>
      </c>
      <c r="D1148">
        <v>86.63</v>
      </c>
      <c r="E1148">
        <v>89.41</v>
      </c>
      <c r="F1148">
        <v>285436.04028999998</v>
      </c>
      <c r="G1148">
        <v>0</v>
      </c>
      <c r="L1148" t="s">
        <v>7</v>
      </c>
      <c r="M1148" t="s">
        <v>8</v>
      </c>
      <c r="N1148" t="s">
        <v>7</v>
      </c>
    </row>
    <row r="1149" spans="1:14" x14ac:dyDescent="0.25">
      <c r="A1149" s="5">
        <v>43445</v>
      </c>
      <c r="B1149">
        <v>89.88</v>
      </c>
      <c r="C1149">
        <v>91.65</v>
      </c>
      <c r="D1149">
        <v>85.83</v>
      </c>
      <c r="E1149">
        <v>87.76</v>
      </c>
      <c r="F1149">
        <v>339991.84246000001</v>
      </c>
      <c r="G1149">
        <v>0</v>
      </c>
      <c r="L1149" t="s">
        <v>7</v>
      </c>
      <c r="M1149" t="s">
        <v>8</v>
      </c>
      <c r="N1149" t="s">
        <v>7</v>
      </c>
    </row>
    <row r="1150" spans="1:14" x14ac:dyDescent="0.25">
      <c r="A1150" s="5">
        <v>43444</v>
      </c>
      <c r="B1150">
        <v>93.26</v>
      </c>
      <c r="C1150">
        <v>95.21</v>
      </c>
      <c r="D1150">
        <v>88.11</v>
      </c>
      <c r="E1150">
        <v>89.91</v>
      </c>
      <c r="F1150">
        <v>408573.02928999998</v>
      </c>
      <c r="G1150">
        <v>0</v>
      </c>
      <c r="L1150" t="s">
        <v>8</v>
      </c>
      <c r="M1150" t="s">
        <v>8</v>
      </c>
      <c r="N1150" t="s">
        <v>7</v>
      </c>
    </row>
    <row r="1151" spans="1:14" x14ac:dyDescent="0.25">
      <c r="A1151" s="5">
        <v>43443</v>
      </c>
      <c r="B1151">
        <v>90.39</v>
      </c>
      <c r="C1151">
        <v>98.7</v>
      </c>
      <c r="D1151">
        <v>88.63</v>
      </c>
      <c r="E1151">
        <v>93.26</v>
      </c>
      <c r="F1151">
        <v>520519.36022999999</v>
      </c>
      <c r="G1151">
        <v>0</v>
      </c>
      <c r="L1151" t="s">
        <v>7</v>
      </c>
      <c r="M1151" t="s">
        <v>8</v>
      </c>
      <c r="N1151" t="s">
        <v>7</v>
      </c>
    </row>
    <row r="1152" spans="1:14" x14ac:dyDescent="0.25">
      <c r="A1152" s="5">
        <v>43442</v>
      </c>
      <c r="B1152">
        <v>93.06</v>
      </c>
      <c r="C1152">
        <v>98</v>
      </c>
      <c r="D1152">
        <v>84.55</v>
      </c>
      <c r="E1152">
        <v>90.38</v>
      </c>
      <c r="F1152">
        <v>698217.12529</v>
      </c>
      <c r="G1152">
        <v>0</v>
      </c>
      <c r="L1152" t="s">
        <v>8</v>
      </c>
      <c r="M1152" t="s">
        <v>7</v>
      </c>
      <c r="N1152" t="s">
        <v>7</v>
      </c>
    </row>
    <row r="1153" spans="1:14" x14ac:dyDescent="0.25">
      <c r="A1153" s="5">
        <v>43441</v>
      </c>
      <c r="B1153">
        <v>91.18</v>
      </c>
      <c r="C1153">
        <v>96.9</v>
      </c>
      <c r="D1153">
        <v>82.07</v>
      </c>
      <c r="E1153">
        <v>93.05</v>
      </c>
      <c r="F1153">
        <v>1030073.58467</v>
      </c>
      <c r="G1153">
        <v>0</v>
      </c>
      <c r="L1153" t="s">
        <v>7</v>
      </c>
      <c r="M1153" t="s">
        <v>7</v>
      </c>
      <c r="N1153" t="s">
        <v>7</v>
      </c>
    </row>
    <row r="1154" spans="1:14" x14ac:dyDescent="0.25">
      <c r="A1154" s="5">
        <v>43440</v>
      </c>
      <c r="B1154">
        <v>102.73</v>
      </c>
      <c r="C1154">
        <v>104.68</v>
      </c>
      <c r="D1154">
        <v>90.2</v>
      </c>
      <c r="E1154">
        <v>91</v>
      </c>
      <c r="F1154">
        <v>586138.59042999998</v>
      </c>
      <c r="G1154">
        <v>0</v>
      </c>
      <c r="L1154" t="s">
        <v>7</v>
      </c>
      <c r="M1154" t="s">
        <v>7</v>
      </c>
      <c r="N1154" t="s">
        <v>7</v>
      </c>
    </row>
    <row r="1155" spans="1:14" x14ac:dyDescent="0.25">
      <c r="A1155" s="5">
        <v>43439</v>
      </c>
      <c r="B1155">
        <v>109.92</v>
      </c>
      <c r="C1155">
        <v>110.58</v>
      </c>
      <c r="D1155">
        <v>102.38</v>
      </c>
      <c r="E1155">
        <v>102.71</v>
      </c>
      <c r="F1155">
        <v>354071.53240999999</v>
      </c>
      <c r="G1155">
        <v>0</v>
      </c>
      <c r="L1155" t="s">
        <v>7</v>
      </c>
      <c r="M1155" t="s">
        <v>7</v>
      </c>
      <c r="N1155" t="s">
        <v>7</v>
      </c>
    </row>
    <row r="1156" spans="1:14" x14ac:dyDescent="0.25">
      <c r="A1156" s="5">
        <v>43438</v>
      </c>
      <c r="B1156">
        <v>108.76</v>
      </c>
      <c r="C1156">
        <v>113.2</v>
      </c>
      <c r="D1156">
        <v>106</v>
      </c>
      <c r="E1156">
        <v>109.94</v>
      </c>
      <c r="F1156">
        <v>275321.00630000001</v>
      </c>
      <c r="G1156">
        <v>0</v>
      </c>
      <c r="L1156" t="s">
        <v>7</v>
      </c>
      <c r="M1156" t="s">
        <v>7</v>
      </c>
      <c r="N1156" t="s">
        <v>7</v>
      </c>
    </row>
    <row r="1157" spans="1:14" x14ac:dyDescent="0.25">
      <c r="A1157" s="5">
        <v>43437</v>
      </c>
      <c r="B1157">
        <v>116.63</v>
      </c>
      <c r="C1157">
        <v>116.96</v>
      </c>
      <c r="D1157">
        <v>106.7</v>
      </c>
      <c r="E1157">
        <v>108.76</v>
      </c>
      <c r="F1157">
        <v>324446.03324000002</v>
      </c>
      <c r="G1157">
        <v>0</v>
      </c>
      <c r="L1157" t="s">
        <v>7</v>
      </c>
      <c r="M1157" t="s">
        <v>7</v>
      </c>
      <c r="N1157" t="s">
        <v>7</v>
      </c>
    </row>
    <row r="1158" spans="1:14" x14ac:dyDescent="0.25">
      <c r="A1158" s="5">
        <v>43436</v>
      </c>
      <c r="B1158">
        <v>118.09</v>
      </c>
      <c r="C1158">
        <v>120.73</v>
      </c>
      <c r="D1158">
        <v>116</v>
      </c>
      <c r="E1158">
        <v>116.57</v>
      </c>
      <c r="F1158">
        <v>273657.62150000001</v>
      </c>
      <c r="G1158">
        <v>0</v>
      </c>
      <c r="L1158" t="s">
        <v>8</v>
      </c>
      <c r="M1158" t="s">
        <v>8</v>
      </c>
      <c r="N1158" t="s">
        <v>7</v>
      </c>
    </row>
    <row r="1159" spans="1:14" x14ac:dyDescent="0.25">
      <c r="A1159" s="5">
        <v>43435</v>
      </c>
      <c r="B1159">
        <v>113.71</v>
      </c>
      <c r="C1159">
        <v>120.8</v>
      </c>
      <c r="D1159">
        <v>111.35</v>
      </c>
      <c r="E1159">
        <v>118.1</v>
      </c>
      <c r="F1159">
        <v>330159.06741999998</v>
      </c>
      <c r="G1159">
        <v>0</v>
      </c>
      <c r="L1159" t="s">
        <v>8</v>
      </c>
      <c r="M1159" t="s">
        <v>8</v>
      </c>
      <c r="N1159" t="s">
        <v>7</v>
      </c>
    </row>
    <row r="1160" spans="1:14" x14ac:dyDescent="0.25">
      <c r="A1160" s="5">
        <v>43434</v>
      </c>
      <c r="B1160">
        <v>117.99</v>
      </c>
      <c r="C1160">
        <v>120.26</v>
      </c>
      <c r="D1160">
        <v>111.09</v>
      </c>
      <c r="E1160">
        <v>113.73</v>
      </c>
      <c r="F1160">
        <v>418593.63529000001</v>
      </c>
      <c r="G1160">
        <v>0</v>
      </c>
      <c r="L1160" t="s">
        <v>7</v>
      </c>
      <c r="M1160" t="s">
        <v>8</v>
      </c>
      <c r="N1160" t="s">
        <v>7</v>
      </c>
    </row>
    <row r="1161" spans="1:14" x14ac:dyDescent="0.25">
      <c r="A1161" s="5">
        <v>43433</v>
      </c>
      <c r="B1161">
        <v>122.88</v>
      </c>
      <c r="C1161">
        <v>124</v>
      </c>
      <c r="D1161">
        <v>114.78</v>
      </c>
      <c r="E1161">
        <v>117.98</v>
      </c>
      <c r="F1161">
        <v>478777.39614000003</v>
      </c>
      <c r="G1161">
        <v>0</v>
      </c>
      <c r="L1161" t="s">
        <v>7</v>
      </c>
      <c r="M1161" t="s">
        <v>8</v>
      </c>
      <c r="N1161" t="s">
        <v>7</v>
      </c>
    </row>
    <row r="1162" spans="1:14" x14ac:dyDescent="0.25">
      <c r="A1162" s="5">
        <v>43432</v>
      </c>
      <c r="B1162">
        <v>111.38</v>
      </c>
      <c r="C1162">
        <v>126.8</v>
      </c>
      <c r="D1162">
        <v>111.37</v>
      </c>
      <c r="E1162">
        <v>122.9</v>
      </c>
      <c r="F1162">
        <v>578552.74124</v>
      </c>
      <c r="G1162">
        <v>0</v>
      </c>
      <c r="L1162" t="s">
        <v>8</v>
      </c>
      <c r="M1162" t="s">
        <v>8</v>
      </c>
      <c r="N1162" t="s">
        <v>7</v>
      </c>
    </row>
    <row r="1163" spans="1:14" x14ac:dyDescent="0.25">
      <c r="A1163" s="5">
        <v>43431</v>
      </c>
      <c r="B1163">
        <v>110.66</v>
      </c>
      <c r="C1163">
        <v>114.31</v>
      </c>
      <c r="D1163">
        <v>102.36</v>
      </c>
      <c r="E1163">
        <v>111.43</v>
      </c>
      <c r="F1163">
        <v>524024.40616000001</v>
      </c>
      <c r="G1163">
        <v>0</v>
      </c>
      <c r="L1163" t="s">
        <v>7</v>
      </c>
      <c r="M1163" t="s">
        <v>7</v>
      </c>
      <c r="N1163" t="s">
        <v>7</v>
      </c>
    </row>
    <row r="1164" spans="1:14" x14ac:dyDescent="0.25">
      <c r="A1164" s="5">
        <v>43430</v>
      </c>
      <c r="B1164">
        <v>118.65</v>
      </c>
      <c r="C1164">
        <v>121.5</v>
      </c>
      <c r="D1164">
        <v>106.41</v>
      </c>
      <c r="E1164">
        <v>110.68</v>
      </c>
      <c r="F1164">
        <v>679477.36231</v>
      </c>
      <c r="G1164">
        <v>0</v>
      </c>
      <c r="L1164" t="s">
        <v>8</v>
      </c>
      <c r="M1164" t="s">
        <v>8</v>
      </c>
      <c r="N1164" t="s">
        <v>7</v>
      </c>
    </row>
    <row r="1165" spans="1:14" x14ac:dyDescent="0.25">
      <c r="A1165" s="5">
        <v>43429</v>
      </c>
      <c r="B1165">
        <v>114.83</v>
      </c>
      <c r="C1165">
        <v>122.35</v>
      </c>
      <c r="D1165">
        <v>102.95</v>
      </c>
      <c r="E1165">
        <v>118.67</v>
      </c>
      <c r="F1165">
        <v>836233.31252000004</v>
      </c>
      <c r="G1165">
        <v>0</v>
      </c>
      <c r="L1165" t="s">
        <v>7</v>
      </c>
      <c r="M1165" t="s">
        <v>7</v>
      </c>
      <c r="N1165" t="s">
        <v>7</v>
      </c>
    </row>
    <row r="1166" spans="1:14" x14ac:dyDescent="0.25">
      <c r="A1166" s="5">
        <v>43428</v>
      </c>
      <c r="B1166">
        <v>125</v>
      </c>
      <c r="C1166">
        <v>130.81</v>
      </c>
      <c r="D1166">
        <v>112.32</v>
      </c>
      <c r="E1166">
        <v>114.89</v>
      </c>
      <c r="F1166">
        <v>471321.56764000002</v>
      </c>
      <c r="G1166">
        <v>0</v>
      </c>
      <c r="L1166" t="s">
        <v>7</v>
      </c>
      <c r="M1166" t="s">
        <v>7</v>
      </c>
      <c r="N1166" t="s">
        <v>7</v>
      </c>
    </row>
    <row r="1167" spans="1:14" x14ac:dyDescent="0.25">
      <c r="A1167" s="5">
        <v>43427</v>
      </c>
      <c r="B1167">
        <v>126.58</v>
      </c>
      <c r="C1167">
        <v>128.9</v>
      </c>
      <c r="D1167">
        <v>118.56</v>
      </c>
      <c r="E1167">
        <v>125.02</v>
      </c>
      <c r="F1167">
        <v>504352.24385999999</v>
      </c>
      <c r="G1167">
        <v>0</v>
      </c>
      <c r="L1167" t="s">
        <v>7</v>
      </c>
      <c r="M1167" t="s">
        <v>7</v>
      </c>
      <c r="N1167" t="s">
        <v>7</v>
      </c>
    </row>
    <row r="1168" spans="1:14" x14ac:dyDescent="0.25">
      <c r="A1168" s="5">
        <v>43426</v>
      </c>
      <c r="B1168">
        <v>138.36000000000001</v>
      </c>
      <c r="C1168">
        <v>140.4</v>
      </c>
      <c r="D1168">
        <v>125.64</v>
      </c>
      <c r="E1168">
        <v>126.63</v>
      </c>
      <c r="F1168">
        <v>334674.07185000001</v>
      </c>
      <c r="G1168">
        <v>0</v>
      </c>
      <c r="L1168" t="s">
        <v>7</v>
      </c>
      <c r="M1168" t="s">
        <v>7</v>
      </c>
      <c r="N1168" t="s">
        <v>7</v>
      </c>
    </row>
    <row r="1169" spans="1:14" x14ac:dyDescent="0.25">
      <c r="A1169" s="5">
        <v>43425</v>
      </c>
      <c r="B1169">
        <v>133.68</v>
      </c>
      <c r="C1169">
        <v>142.01</v>
      </c>
      <c r="D1169">
        <v>127.15</v>
      </c>
      <c r="E1169">
        <v>138.22999999999999</v>
      </c>
      <c r="F1169">
        <v>718957.78552000003</v>
      </c>
      <c r="G1169">
        <v>0</v>
      </c>
      <c r="L1169" t="s">
        <v>8</v>
      </c>
      <c r="M1169" t="s">
        <v>7</v>
      </c>
      <c r="N1169" t="s">
        <v>7</v>
      </c>
    </row>
    <row r="1170" spans="1:14" x14ac:dyDescent="0.25">
      <c r="A1170" s="5">
        <v>43424</v>
      </c>
      <c r="B1170">
        <v>150.76</v>
      </c>
      <c r="C1170">
        <v>154.69999999999999</v>
      </c>
      <c r="D1170">
        <v>126.95</v>
      </c>
      <c r="E1170">
        <v>133.82</v>
      </c>
      <c r="F1170">
        <v>996552.28720999998</v>
      </c>
      <c r="G1170">
        <v>0</v>
      </c>
      <c r="L1170" t="s">
        <v>7</v>
      </c>
      <c r="M1170" t="s">
        <v>7</v>
      </c>
      <c r="N1170" t="s">
        <v>7</v>
      </c>
    </row>
    <row r="1171" spans="1:14" x14ac:dyDescent="0.25">
      <c r="A1171" s="5">
        <v>43423</v>
      </c>
      <c r="B1171">
        <v>179.04</v>
      </c>
      <c r="C1171">
        <v>179.33</v>
      </c>
      <c r="D1171">
        <v>146.47</v>
      </c>
      <c r="E1171">
        <v>150.81</v>
      </c>
      <c r="F1171">
        <v>596789.83915999997</v>
      </c>
      <c r="G1171">
        <v>0</v>
      </c>
      <c r="L1171" t="s">
        <v>7</v>
      </c>
      <c r="M1171" t="s">
        <v>7</v>
      </c>
      <c r="N1171" t="s">
        <v>7</v>
      </c>
    </row>
    <row r="1172" spans="1:14" x14ac:dyDescent="0.25">
      <c r="A1172" s="5">
        <v>43422</v>
      </c>
      <c r="B1172">
        <v>176.2</v>
      </c>
      <c r="C1172">
        <v>182.94</v>
      </c>
      <c r="D1172">
        <v>176.1</v>
      </c>
      <c r="E1172">
        <v>178.97</v>
      </c>
      <c r="F1172">
        <v>141736.32263000001</v>
      </c>
      <c r="G1172">
        <v>0</v>
      </c>
      <c r="L1172" t="s">
        <v>8</v>
      </c>
      <c r="M1172" t="s">
        <v>7</v>
      </c>
      <c r="N1172" t="s">
        <v>8</v>
      </c>
    </row>
    <row r="1173" spans="1:14" x14ac:dyDescent="0.25">
      <c r="A1173" s="5">
        <v>43421</v>
      </c>
      <c r="B1173">
        <v>176.93</v>
      </c>
      <c r="C1173">
        <v>177.91</v>
      </c>
      <c r="D1173">
        <v>173.94</v>
      </c>
      <c r="E1173">
        <v>176.2</v>
      </c>
      <c r="F1173">
        <v>144804.70986</v>
      </c>
      <c r="G1173">
        <v>0</v>
      </c>
      <c r="L1173" t="s">
        <v>8</v>
      </c>
      <c r="M1173" t="s">
        <v>7</v>
      </c>
      <c r="N1173" t="s">
        <v>8</v>
      </c>
    </row>
    <row r="1174" spans="1:14" x14ac:dyDescent="0.25">
      <c r="A1174" s="5">
        <v>43420</v>
      </c>
      <c r="B1174">
        <v>184.35</v>
      </c>
      <c r="C1174">
        <v>185</v>
      </c>
      <c r="D1174">
        <v>173</v>
      </c>
      <c r="E1174">
        <v>176.89</v>
      </c>
      <c r="F1174">
        <v>241710.34763</v>
      </c>
      <c r="G1174">
        <v>0</v>
      </c>
      <c r="L1174" t="s">
        <v>8</v>
      </c>
      <c r="M1174" t="s">
        <v>7</v>
      </c>
      <c r="N1174" t="s">
        <v>8</v>
      </c>
    </row>
    <row r="1175" spans="1:14" x14ac:dyDescent="0.25">
      <c r="A1175" s="5">
        <v>43419</v>
      </c>
      <c r="B1175">
        <v>187.43</v>
      </c>
      <c r="C1175">
        <v>190</v>
      </c>
      <c r="D1175">
        <v>170.99</v>
      </c>
      <c r="E1175">
        <v>184.35</v>
      </c>
      <c r="F1175">
        <v>452416.10784000001</v>
      </c>
      <c r="G1175">
        <v>0</v>
      </c>
      <c r="L1175" t="s">
        <v>7</v>
      </c>
      <c r="M1175" t="s">
        <v>7</v>
      </c>
      <c r="N1175" t="s">
        <v>8</v>
      </c>
    </row>
    <row r="1176" spans="1:14" x14ac:dyDescent="0.25">
      <c r="A1176" s="5">
        <v>43418</v>
      </c>
      <c r="B1176">
        <v>209.84</v>
      </c>
      <c r="C1176">
        <v>210.3</v>
      </c>
      <c r="D1176">
        <v>176.16</v>
      </c>
      <c r="E1176">
        <v>187.43</v>
      </c>
      <c r="F1176">
        <v>434676.16832</v>
      </c>
      <c r="G1176">
        <v>0</v>
      </c>
      <c r="L1176" t="s">
        <v>7</v>
      </c>
      <c r="M1176" t="s">
        <v>7</v>
      </c>
      <c r="N1176" t="s">
        <v>8</v>
      </c>
    </row>
    <row r="1177" spans="1:14" x14ac:dyDescent="0.25">
      <c r="A1177" s="5">
        <v>43417</v>
      </c>
      <c r="B1177">
        <v>212.91</v>
      </c>
      <c r="C1177">
        <v>213.8</v>
      </c>
      <c r="D1177">
        <v>209.2</v>
      </c>
      <c r="E1177">
        <v>209.84</v>
      </c>
      <c r="F1177">
        <v>114466.36708</v>
      </c>
      <c r="G1177">
        <v>0</v>
      </c>
      <c r="L1177" t="s">
        <v>7</v>
      </c>
      <c r="M1177" t="s">
        <v>8</v>
      </c>
      <c r="N1177" t="s">
        <v>8</v>
      </c>
    </row>
    <row r="1178" spans="1:14" x14ac:dyDescent="0.25">
      <c r="A1178" s="5">
        <v>43416</v>
      </c>
      <c r="B1178">
        <v>212.6</v>
      </c>
      <c r="C1178">
        <v>214.22</v>
      </c>
      <c r="D1178">
        <v>210.9</v>
      </c>
      <c r="E1178">
        <v>212.89</v>
      </c>
      <c r="F1178">
        <v>99963.972030000004</v>
      </c>
      <c r="G1178">
        <v>0</v>
      </c>
      <c r="L1178" t="s">
        <v>7</v>
      </c>
      <c r="M1178" t="s">
        <v>8</v>
      </c>
      <c r="N1178" t="s">
        <v>8</v>
      </c>
    </row>
    <row r="1179" spans="1:14" x14ac:dyDescent="0.25">
      <c r="A1179" s="5">
        <v>43415</v>
      </c>
      <c r="B1179">
        <v>213.27</v>
      </c>
      <c r="C1179">
        <v>213.99</v>
      </c>
      <c r="D1179">
        <v>209</v>
      </c>
      <c r="E1179">
        <v>212.54</v>
      </c>
      <c r="F1179">
        <v>136268.81156</v>
      </c>
      <c r="G1179">
        <v>0</v>
      </c>
      <c r="L1179" t="s">
        <v>7</v>
      </c>
      <c r="M1179" t="s">
        <v>8</v>
      </c>
      <c r="N1179" t="s">
        <v>8</v>
      </c>
    </row>
    <row r="1180" spans="1:14" x14ac:dyDescent="0.25">
      <c r="A1180" s="5">
        <v>43414</v>
      </c>
      <c r="B1180">
        <v>210.78</v>
      </c>
      <c r="C1180">
        <v>215.55</v>
      </c>
      <c r="D1180">
        <v>209.02</v>
      </c>
      <c r="E1180">
        <v>213.25</v>
      </c>
      <c r="F1180">
        <v>131384.47893000001</v>
      </c>
      <c r="G1180">
        <v>0</v>
      </c>
      <c r="L1180" t="s">
        <v>7</v>
      </c>
      <c r="M1180" t="s">
        <v>8</v>
      </c>
      <c r="N1180" t="s">
        <v>8</v>
      </c>
    </row>
    <row r="1181" spans="1:14" x14ac:dyDescent="0.25">
      <c r="A1181" s="5">
        <v>43413</v>
      </c>
      <c r="B1181">
        <v>212.79</v>
      </c>
      <c r="C1181">
        <v>215.51</v>
      </c>
      <c r="D1181">
        <v>209.1</v>
      </c>
      <c r="E1181">
        <v>210.77</v>
      </c>
      <c r="F1181">
        <v>152215.94686</v>
      </c>
      <c r="G1181">
        <v>0</v>
      </c>
      <c r="L1181" t="s">
        <v>7</v>
      </c>
      <c r="M1181" t="s">
        <v>8</v>
      </c>
      <c r="N1181" t="s">
        <v>8</v>
      </c>
    </row>
    <row r="1182" spans="1:14" x14ac:dyDescent="0.25">
      <c r="A1182" s="5">
        <v>43412</v>
      </c>
      <c r="B1182">
        <v>219.06</v>
      </c>
      <c r="C1182">
        <v>220.78</v>
      </c>
      <c r="D1182">
        <v>212.49</v>
      </c>
      <c r="E1182">
        <v>212.79</v>
      </c>
      <c r="F1182">
        <v>189828.4945</v>
      </c>
      <c r="G1182">
        <v>0</v>
      </c>
      <c r="L1182" t="s">
        <v>8</v>
      </c>
      <c r="M1182" t="s">
        <v>8</v>
      </c>
      <c r="N1182" t="s">
        <v>8</v>
      </c>
    </row>
    <row r="1183" spans="1:14" x14ac:dyDescent="0.25">
      <c r="A1183" s="5">
        <v>43411</v>
      </c>
      <c r="B1183">
        <v>220.77</v>
      </c>
      <c r="C1183">
        <v>224.8</v>
      </c>
      <c r="D1183">
        <v>217.01</v>
      </c>
      <c r="E1183">
        <v>219.07</v>
      </c>
      <c r="F1183">
        <v>204931.03419999999</v>
      </c>
      <c r="G1183">
        <v>0</v>
      </c>
      <c r="L1183" t="s">
        <v>8</v>
      </c>
      <c r="M1183" t="s">
        <v>8</v>
      </c>
      <c r="N1183" t="s">
        <v>8</v>
      </c>
    </row>
    <row r="1184" spans="1:14" x14ac:dyDescent="0.25">
      <c r="A1184" s="5">
        <v>43410</v>
      </c>
      <c r="B1184">
        <v>210.64</v>
      </c>
      <c r="C1184">
        <v>221.25</v>
      </c>
      <c r="D1184">
        <v>209.11</v>
      </c>
      <c r="E1184">
        <v>220.74</v>
      </c>
      <c r="F1184">
        <v>197797.49527000001</v>
      </c>
      <c r="G1184">
        <v>0</v>
      </c>
      <c r="L1184" t="s">
        <v>8</v>
      </c>
      <c r="M1184" t="s">
        <v>8</v>
      </c>
      <c r="N1184" t="s">
        <v>8</v>
      </c>
    </row>
    <row r="1185" spans="1:14" x14ac:dyDescent="0.25">
      <c r="A1185" s="5">
        <v>43409</v>
      </c>
      <c r="B1185">
        <v>212.13</v>
      </c>
      <c r="C1185">
        <v>213.39</v>
      </c>
      <c r="D1185">
        <v>207.62</v>
      </c>
      <c r="E1185">
        <v>210.66</v>
      </c>
      <c r="F1185">
        <v>141432.14060000001</v>
      </c>
      <c r="G1185">
        <v>0</v>
      </c>
      <c r="L1185" t="s">
        <v>8</v>
      </c>
      <c r="M1185" t="s">
        <v>8</v>
      </c>
      <c r="N1185" t="s">
        <v>8</v>
      </c>
    </row>
    <row r="1186" spans="1:14" x14ac:dyDescent="0.25">
      <c r="A1186" s="5">
        <v>43408</v>
      </c>
      <c r="B1186">
        <v>200.27</v>
      </c>
      <c r="C1186">
        <v>218.76</v>
      </c>
      <c r="D1186">
        <v>199</v>
      </c>
      <c r="E1186">
        <v>212.11</v>
      </c>
      <c r="F1186">
        <v>182534.62160000001</v>
      </c>
      <c r="G1186">
        <v>0</v>
      </c>
      <c r="L1186" t="s">
        <v>8</v>
      </c>
      <c r="M1186" t="s">
        <v>8</v>
      </c>
      <c r="N1186" t="s">
        <v>8</v>
      </c>
    </row>
    <row r="1187" spans="1:14" x14ac:dyDescent="0.25">
      <c r="A1187" s="5">
        <v>43407</v>
      </c>
      <c r="B1187">
        <v>202.31</v>
      </c>
      <c r="C1187">
        <v>202.69</v>
      </c>
      <c r="D1187">
        <v>198.59</v>
      </c>
      <c r="E1187">
        <v>200.31</v>
      </c>
      <c r="F1187">
        <v>72084.929319999996</v>
      </c>
      <c r="G1187">
        <v>0</v>
      </c>
      <c r="L1187" t="s">
        <v>7</v>
      </c>
      <c r="M1187" t="s">
        <v>8</v>
      </c>
      <c r="N1187" t="s">
        <v>8</v>
      </c>
    </row>
    <row r="1188" spans="1:14" x14ac:dyDescent="0.25">
      <c r="A1188" s="5">
        <v>43406</v>
      </c>
      <c r="B1188">
        <v>199.93</v>
      </c>
      <c r="C1188">
        <v>203.74</v>
      </c>
      <c r="D1188">
        <v>199.34</v>
      </c>
      <c r="E1188">
        <v>202.35</v>
      </c>
      <c r="F1188">
        <v>97123.228130000003</v>
      </c>
      <c r="G1188">
        <v>0</v>
      </c>
      <c r="L1188" t="s">
        <v>7</v>
      </c>
      <c r="M1188" t="s">
        <v>8</v>
      </c>
      <c r="N1188" t="s">
        <v>8</v>
      </c>
    </row>
    <row r="1189" spans="1:14" x14ac:dyDescent="0.25">
      <c r="A1189" s="5">
        <v>43405</v>
      </c>
      <c r="B1189">
        <v>198.7</v>
      </c>
      <c r="C1189">
        <v>200.95</v>
      </c>
      <c r="D1189">
        <v>197.88</v>
      </c>
      <c r="E1189">
        <v>199.96</v>
      </c>
      <c r="F1189">
        <v>86097.986290000001</v>
      </c>
      <c r="G1189">
        <v>0</v>
      </c>
      <c r="L1189" t="s">
        <v>7</v>
      </c>
      <c r="M1189" t="s">
        <v>8</v>
      </c>
      <c r="N1189" t="s">
        <v>8</v>
      </c>
    </row>
    <row r="1190" spans="1:14" x14ac:dyDescent="0.25">
      <c r="A1190" s="5">
        <v>43404</v>
      </c>
      <c r="B1190">
        <v>197.24</v>
      </c>
      <c r="C1190">
        <v>201.45</v>
      </c>
      <c r="D1190">
        <v>193.01</v>
      </c>
      <c r="E1190">
        <v>198.73</v>
      </c>
      <c r="F1190">
        <v>114739.70424000001</v>
      </c>
      <c r="G1190">
        <v>0</v>
      </c>
      <c r="L1190" t="s">
        <v>7</v>
      </c>
      <c r="M1190" t="s">
        <v>8</v>
      </c>
      <c r="N1190" t="s">
        <v>8</v>
      </c>
    </row>
    <row r="1191" spans="1:14" x14ac:dyDescent="0.25">
      <c r="A1191" s="5">
        <v>43403</v>
      </c>
      <c r="B1191">
        <v>196.95</v>
      </c>
      <c r="C1191">
        <v>198.6</v>
      </c>
      <c r="D1191">
        <v>195.91</v>
      </c>
      <c r="E1191">
        <v>197.27</v>
      </c>
      <c r="F1191">
        <v>83633.814629999993</v>
      </c>
      <c r="G1191">
        <v>0</v>
      </c>
      <c r="L1191" t="s">
        <v>8</v>
      </c>
      <c r="M1191" t="s">
        <v>8</v>
      </c>
      <c r="N1191" t="s">
        <v>8</v>
      </c>
    </row>
    <row r="1192" spans="1:14" x14ac:dyDescent="0.25">
      <c r="A1192" s="5">
        <v>43402</v>
      </c>
      <c r="B1192">
        <v>204.99</v>
      </c>
      <c r="C1192">
        <v>205.49</v>
      </c>
      <c r="D1192">
        <v>195.28</v>
      </c>
      <c r="E1192">
        <v>196.96</v>
      </c>
      <c r="F1192">
        <v>118281.82272</v>
      </c>
      <c r="G1192">
        <v>0</v>
      </c>
      <c r="L1192" t="s">
        <v>8</v>
      </c>
      <c r="M1192" t="s">
        <v>8</v>
      </c>
      <c r="N1192" t="s">
        <v>8</v>
      </c>
    </row>
    <row r="1193" spans="1:14" x14ac:dyDescent="0.25">
      <c r="A1193" s="5">
        <v>43401</v>
      </c>
      <c r="B1193">
        <v>204.45</v>
      </c>
      <c r="C1193">
        <v>205.94</v>
      </c>
      <c r="D1193">
        <v>203.62</v>
      </c>
      <c r="E1193">
        <v>204.99</v>
      </c>
      <c r="F1193">
        <v>44394.833570000003</v>
      </c>
      <c r="G1193">
        <v>0</v>
      </c>
      <c r="L1193" t="s">
        <v>8</v>
      </c>
      <c r="M1193" t="s">
        <v>8</v>
      </c>
      <c r="N1193" t="s">
        <v>8</v>
      </c>
    </row>
    <row r="1194" spans="1:14" x14ac:dyDescent="0.25">
      <c r="A1194" s="5">
        <v>43400</v>
      </c>
      <c r="B1194">
        <v>204.92</v>
      </c>
      <c r="C1194">
        <v>206.15</v>
      </c>
      <c r="D1194">
        <v>203.09</v>
      </c>
      <c r="E1194">
        <v>204.45</v>
      </c>
      <c r="F1194">
        <v>50235.683290000001</v>
      </c>
      <c r="G1194">
        <v>0</v>
      </c>
      <c r="L1194" t="s">
        <v>8</v>
      </c>
      <c r="M1194" t="s">
        <v>8</v>
      </c>
      <c r="N1194" t="s">
        <v>8</v>
      </c>
    </row>
    <row r="1195" spans="1:14" x14ac:dyDescent="0.25">
      <c r="A1195" s="5">
        <v>43399</v>
      </c>
      <c r="B1195">
        <v>203.84</v>
      </c>
      <c r="C1195">
        <v>209</v>
      </c>
      <c r="D1195">
        <v>203</v>
      </c>
      <c r="E1195">
        <v>204.92</v>
      </c>
      <c r="F1195">
        <v>91143.832909999997</v>
      </c>
      <c r="G1195">
        <v>0</v>
      </c>
      <c r="L1195" t="s">
        <v>8</v>
      </c>
      <c r="M1195" t="s">
        <v>8</v>
      </c>
      <c r="N1195" t="s">
        <v>8</v>
      </c>
    </row>
    <row r="1196" spans="1:14" x14ac:dyDescent="0.25">
      <c r="A1196" s="5">
        <v>43398</v>
      </c>
      <c r="B1196">
        <v>205.35</v>
      </c>
      <c r="C1196">
        <v>205.94</v>
      </c>
      <c r="D1196">
        <v>202.88</v>
      </c>
      <c r="E1196">
        <v>203.93</v>
      </c>
      <c r="F1196">
        <v>77411.572169999999</v>
      </c>
      <c r="G1196">
        <v>0</v>
      </c>
    </row>
    <row r="1197" spans="1:14" x14ac:dyDescent="0.25">
      <c r="A1197" s="5"/>
      <c r="C1197"/>
      <c r="D1197"/>
    </row>
    <row r="1198" spans="1:14" x14ac:dyDescent="0.25">
      <c r="A1198" s="5"/>
      <c r="C1198"/>
      <c r="D1198"/>
    </row>
    <row r="1199" spans="1:14" x14ac:dyDescent="0.25">
      <c r="A1199" s="5"/>
      <c r="C1199"/>
      <c r="D1199"/>
    </row>
    <row r="1200" spans="1:14" x14ac:dyDescent="0.25">
      <c r="A1200" s="5"/>
      <c r="C1200"/>
      <c r="D1200"/>
    </row>
    <row r="1201" spans="1:4" x14ac:dyDescent="0.25">
      <c r="A1201" s="5"/>
      <c r="C1201"/>
      <c r="D1201"/>
    </row>
    <row r="1202" spans="1:4" x14ac:dyDescent="0.25">
      <c r="A1202" s="5"/>
      <c r="C1202"/>
      <c r="D1202"/>
    </row>
    <row r="1203" spans="1:4" x14ac:dyDescent="0.25">
      <c r="A1203" s="5"/>
      <c r="C1203"/>
      <c r="D1203"/>
    </row>
    <row r="1204" spans="1:4" x14ac:dyDescent="0.25">
      <c r="A1204" s="5"/>
      <c r="C1204"/>
      <c r="D1204"/>
    </row>
    <row r="1205" spans="1:4" x14ac:dyDescent="0.25">
      <c r="A1205" s="5"/>
      <c r="C1205"/>
      <c r="D1205"/>
    </row>
    <row r="1206" spans="1:4" x14ac:dyDescent="0.25">
      <c r="A1206" s="5"/>
      <c r="C1206"/>
      <c r="D1206"/>
    </row>
    <row r="1207" spans="1:4" x14ac:dyDescent="0.25">
      <c r="A1207" s="5"/>
      <c r="C1207"/>
      <c r="D1207"/>
    </row>
    <row r="1208" spans="1:4" x14ac:dyDescent="0.25">
      <c r="A1208" s="5"/>
      <c r="C1208"/>
      <c r="D1208"/>
    </row>
    <row r="1209" spans="1:4" x14ac:dyDescent="0.25">
      <c r="A1209" s="5"/>
      <c r="C1209"/>
      <c r="D1209"/>
    </row>
    <row r="1210" spans="1:4" x14ac:dyDescent="0.25">
      <c r="A1210" s="5"/>
      <c r="C1210"/>
      <c r="D1210"/>
    </row>
    <row r="1211" spans="1:4" x14ac:dyDescent="0.25">
      <c r="A1211" s="5"/>
      <c r="C1211"/>
      <c r="D1211"/>
    </row>
    <row r="1212" spans="1:4" x14ac:dyDescent="0.25">
      <c r="A1212" s="5"/>
      <c r="C1212"/>
      <c r="D1212"/>
    </row>
    <row r="1213" spans="1:4" x14ac:dyDescent="0.25">
      <c r="A1213" s="5"/>
      <c r="C1213"/>
      <c r="D1213"/>
    </row>
    <row r="1214" spans="1:4" x14ac:dyDescent="0.25">
      <c r="A1214" s="5"/>
      <c r="C1214"/>
      <c r="D1214"/>
    </row>
    <row r="1215" spans="1:4" x14ac:dyDescent="0.25">
      <c r="A1215" s="5"/>
      <c r="C1215"/>
      <c r="D1215"/>
    </row>
    <row r="1216" spans="1:4" x14ac:dyDescent="0.25">
      <c r="A1216" s="5"/>
      <c r="C1216"/>
      <c r="D1216"/>
    </row>
    <row r="1217" spans="1:4" x14ac:dyDescent="0.25">
      <c r="A1217" s="5"/>
      <c r="C1217"/>
      <c r="D1217"/>
    </row>
    <row r="1218" spans="1:4" x14ac:dyDescent="0.25">
      <c r="A1218" s="5"/>
      <c r="C1218"/>
      <c r="D1218"/>
    </row>
    <row r="1219" spans="1:4" x14ac:dyDescent="0.25">
      <c r="A1219" s="5"/>
      <c r="C1219"/>
      <c r="D1219"/>
    </row>
    <row r="1220" spans="1:4" x14ac:dyDescent="0.25">
      <c r="A1220" s="5"/>
      <c r="C1220"/>
      <c r="D1220"/>
    </row>
    <row r="1221" spans="1:4" x14ac:dyDescent="0.25">
      <c r="A1221" s="5"/>
      <c r="C1221"/>
      <c r="D1221"/>
    </row>
    <row r="1222" spans="1:4" x14ac:dyDescent="0.25">
      <c r="A1222" s="5"/>
      <c r="C1222"/>
      <c r="D1222"/>
    </row>
    <row r="1223" spans="1:4" x14ac:dyDescent="0.25">
      <c r="A1223" s="5"/>
      <c r="C1223"/>
      <c r="D1223"/>
    </row>
    <row r="1224" spans="1:4" x14ac:dyDescent="0.25">
      <c r="A1224" s="5"/>
      <c r="C1224"/>
      <c r="D1224"/>
    </row>
    <row r="1225" spans="1:4" x14ac:dyDescent="0.25">
      <c r="A1225" s="5"/>
      <c r="C1225"/>
      <c r="D1225"/>
    </row>
    <row r="1226" spans="1:4" x14ac:dyDescent="0.25">
      <c r="A1226" s="5"/>
      <c r="C1226"/>
      <c r="D1226"/>
    </row>
    <row r="1227" spans="1:4" x14ac:dyDescent="0.25">
      <c r="A1227" s="5"/>
      <c r="C1227"/>
      <c r="D1227"/>
    </row>
    <row r="1228" spans="1:4" x14ac:dyDescent="0.25">
      <c r="A1228" s="5"/>
      <c r="C1228"/>
      <c r="D1228"/>
    </row>
    <row r="1229" spans="1:4" x14ac:dyDescent="0.25">
      <c r="A1229" s="5"/>
      <c r="C1229"/>
      <c r="D1229"/>
    </row>
    <row r="1230" spans="1:4" x14ac:dyDescent="0.25">
      <c r="A1230" s="5"/>
      <c r="C1230"/>
      <c r="D1230"/>
    </row>
    <row r="1231" spans="1:4" x14ac:dyDescent="0.25">
      <c r="A1231" s="5"/>
      <c r="C1231"/>
      <c r="D1231"/>
    </row>
    <row r="1232" spans="1:4" x14ac:dyDescent="0.25">
      <c r="A1232" s="5"/>
      <c r="C1232"/>
      <c r="D1232"/>
    </row>
    <row r="1233" spans="1:4" x14ac:dyDescent="0.25">
      <c r="A1233" s="5"/>
      <c r="C1233"/>
      <c r="D1233"/>
    </row>
    <row r="1234" spans="1:4" x14ac:dyDescent="0.25">
      <c r="A1234" s="5"/>
      <c r="C1234"/>
      <c r="D1234"/>
    </row>
    <row r="1235" spans="1:4" x14ac:dyDescent="0.25">
      <c r="A1235" s="5"/>
      <c r="C1235"/>
      <c r="D1235"/>
    </row>
    <row r="1236" spans="1:4" x14ac:dyDescent="0.25">
      <c r="A1236" s="5"/>
      <c r="C1236"/>
      <c r="D1236"/>
    </row>
    <row r="1237" spans="1:4" x14ac:dyDescent="0.25">
      <c r="A1237" s="5"/>
      <c r="C1237"/>
      <c r="D1237"/>
    </row>
    <row r="1238" spans="1:4" x14ac:dyDescent="0.25">
      <c r="A1238" s="5"/>
      <c r="C1238"/>
      <c r="D1238"/>
    </row>
    <row r="1239" spans="1:4" x14ac:dyDescent="0.25">
      <c r="A1239" s="5"/>
      <c r="C1239"/>
      <c r="D1239"/>
    </row>
    <row r="1240" spans="1:4" x14ac:dyDescent="0.25">
      <c r="A1240" s="5"/>
      <c r="C1240"/>
      <c r="D1240"/>
    </row>
    <row r="1241" spans="1:4" x14ac:dyDescent="0.25">
      <c r="A1241" s="5"/>
      <c r="C1241"/>
      <c r="D1241"/>
    </row>
    <row r="1242" spans="1:4" x14ac:dyDescent="0.25">
      <c r="A1242" s="5"/>
      <c r="C1242"/>
      <c r="D1242"/>
    </row>
    <row r="1243" spans="1:4" x14ac:dyDescent="0.25">
      <c r="A1243" s="5"/>
      <c r="C1243"/>
      <c r="D1243"/>
    </row>
    <row r="1244" spans="1:4" x14ac:dyDescent="0.25">
      <c r="A1244" s="5"/>
      <c r="C1244"/>
      <c r="D1244"/>
    </row>
    <row r="1245" spans="1:4" x14ac:dyDescent="0.25">
      <c r="A1245" s="5"/>
      <c r="C1245"/>
      <c r="D1245"/>
    </row>
    <row r="1246" spans="1:4" x14ac:dyDescent="0.25">
      <c r="A1246" s="5"/>
      <c r="C1246"/>
      <c r="D1246"/>
    </row>
    <row r="1247" spans="1:4" x14ac:dyDescent="0.25">
      <c r="A1247" s="5"/>
      <c r="C1247"/>
      <c r="D1247"/>
    </row>
    <row r="1248" spans="1:4" x14ac:dyDescent="0.25">
      <c r="A1248" s="5"/>
      <c r="C1248"/>
      <c r="D1248"/>
    </row>
    <row r="1249" spans="1:4" x14ac:dyDescent="0.25">
      <c r="A1249" s="5"/>
      <c r="C1249"/>
      <c r="D1249"/>
    </row>
    <row r="1250" spans="1:4" x14ac:dyDescent="0.25">
      <c r="A1250" s="5"/>
      <c r="C1250"/>
      <c r="D1250"/>
    </row>
    <row r="1251" spans="1:4" x14ac:dyDescent="0.25">
      <c r="A1251" s="5"/>
      <c r="C1251"/>
      <c r="D1251"/>
    </row>
    <row r="1252" spans="1:4" x14ac:dyDescent="0.25">
      <c r="A1252" s="5"/>
      <c r="C1252"/>
      <c r="D1252"/>
    </row>
    <row r="1253" spans="1:4" x14ac:dyDescent="0.25">
      <c r="A1253" s="5"/>
      <c r="C1253"/>
      <c r="D1253"/>
    </row>
    <row r="1254" spans="1:4" x14ac:dyDescent="0.25">
      <c r="A1254" s="5"/>
      <c r="C1254"/>
      <c r="D1254"/>
    </row>
    <row r="1255" spans="1:4" x14ac:dyDescent="0.25">
      <c r="A1255" s="5"/>
      <c r="C1255"/>
      <c r="D1255"/>
    </row>
    <row r="1256" spans="1:4" x14ac:dyDescent="0.25">
      <c r="A1256" s="5"/>
      <c r="C1256"/>
      <c r="D1256"/>
    </row>
    <row r="1257" spans="1:4" x14ac:dyDescent="0.25">
      <c r="A1257" s="5"/>
      <c r="C1257"/>
      <c r="D1257"/>
    </row>
    <row r="1258" spans="1:4" x14ac:dyDescent="0.25">
      <c r="A1258" s="5"/>
      <c r="C1258"/>
      <c r="D1258"/>
    </row>
    <row r="1259" spans="1:4" x14ac:dyDescent="0.25">
      <c r="A1259" s="5"/>
      <c r="C1259"/>
      <c r="D1259"/>
    </row>
    <row r="1260" spans="1:4" x14ac:dyDescent="0.25">
      <c r="A1260" s="5"/>
      <c r="C1260"/>
      <c r="D1260"/>
    </row>
    <row r="1261" spans="1:4" x14ac:dyDescent="0.25">
      <c r="A1261" s="5"/>
      <c r="C1261"/>
      <c r="D1261"/>
    </row>
    <row r="1262" spans="1:4" x14ac:dyDescent="0.25">
      <c r="A1262" s="5"/>
      <c r="C1262"/>
      <c r="D1262"/>
    </row>
    <row r="1263" spans="1:4" x14ac:dyDescent="0.25">
      <c r="A1263" s="5"/>
      <c r="C1263"/>
      <c r="D1263"/>
    </row>
    <row r="1264" spans="1:4" x14ac:dyDescent="0.25">
      <c r="A1264" s="5"/>
      <c r="C1264"/>
      <c r="D1264"/>
    </row>
    <row r="1265" spans="1:4" x14ac:dyDescent="0.25">
      <c r="A1265" s="5"/>
      <c r="C1265"/>
      <c r="D1265"/>
    </row>
    <row r="1266" spans="1:4" x14ac:dyDescent="0.25">
      <c r="A1266" s="5"/>
      <c r="C1266"/>
      <c r="D1266"/>
    </row>
    <row r="1267" spans="1:4" x14ac:dyDescent="0.25">
      <c r="A1267" s="5"/>
      <c r="C1267"/>
      <c r="D1267"/>
    </row>
    <row r="1268" spans="1:4" x14ac:dyDescent="0.25">
      <c r="A1268" s="5"/>
      <c r="C1268"/>
      <c r="D1268"/>
    </row>
    <row r="1269" spans="1:4" x14ac:dyDescent="0.25">
      <c r="A1269" s="5"/>
      <c r="C1269"/>
      <c r="D1269"/>
    </row>
    <row r="1270" spans="1:4" x14ac:dyDescent="0.25">
      <c r="A1270" s="5"/>
      <c r="C1270"/>
      <c r="D1270"/>
    </row>
    <row r="1271" spans="1:4" x14ac:dyDescent="0.25">
      <c r="A1271" s="5"/>
      <c r="C1271"/>
      <c r="D1271"/>
    </row>
    <row r="1272" spans="1:4" x14ac:dyDescent="0.25">
      <c r="A1272" s="5"/>
      <c r="C1272"/>
      <c r="D1272"/>
    </row>
    <row r="1273" spans="1:4" x14ac:dyDescent="0.25">
      <c r="A1273" s="5"/>
      <c r="C1273"/>
      <c r="D1273"/>
    </row>
    <row r="1274" spans="1:4" x14ac:dyDescent="0.25">
      <c r="A1274" s="5"/>
      <c r="C1274"/>
      <c r="D1274"/>
    </row>
    <row r="1275" spans="1:4" x14ac:dyDescent="0.25">
      <c r="A1275" s="5"/>
      <c r="C1275"/>
      <c r="D1275"/>
    </row>
    <row r="1276" spans="1:4" x14ac:dyDescent="0.25">
      <c r="A1276" s="5"/>
      <c r="C1276"/>
      <c r="D1276"/>
    </row>
    <row r="1277" spans="1:4" x14ac:dyDescent="0.25">
      <c r="A1277" s="5"/>
      <c r="C1277"/>
      <c r="D1277"/>
    </row>
    <row r="1278" spans="1:4" x14ac:dyDescent="0.25">
      <c r="A1278" s="5"/>
      <c r="C1278"/>
      <c r="D1278"/>
    </row>
    <row r="1279" spans="1:4" x14ac:dyDescent="0.25">
      <c r="A1279" s="5"/>
      <c r="C1279"/>
      <c r="D1279"/>
    </row>
    <row r="1280" spans="1:4" x14ac:dyDescent="0.25">
      <c r="A1280" s="5"/>
      <c r="C1280"/>
      <c r="D1280"/>
    </row>
    <row r="1281" spans="1:4" x14ac:dyDescent="0.25">
      <c r="A1281" s="5"/>
      <c r="C1281"/>
      <c r="D1281"/>
    </row>
    <row r="1282" spans="1:4" x14ac:dyDescent="0.25">
      <c r="A1282" s="5"/>
      <c r="C1282"/>
      <c r="D1282"/>
    </row>
    <row r="1283" spans="1:4" x14ac:dyDescent="0.25">
      <c r="A1283" s="5"/>
      <c r="C1283"/>
      <c r="D1283"/>
    </row>
    <row r="1284" spans="1:4" x14ac:dyDescent="0.25">
      <c r="A1284" s="5"/>
      <c r="C1284"/>
      <c r="D1284"/>
    </row>
    <row r="1285" spans="1:4" x14ac:dyDescent="0.25">
      <c r="A1285" s="5"/>
      <c r="C1285"/>
      <c r="D1285"/>
    </row>
    <row r="1286" spans="1:4" x14ac:dyDescent="0.25">
      <c r="A1286" s="5"/>
      <c r="C1286"/>
      <c r="D1286"/>
    </row>
    <row r="1287" spans="1:4" x14ac:dyDescent="0.25">
      <c r="A1287" s="5"/>
      <c r="C1287"/>
      <c r="D1287"/>
    </row>
    <row r="1288" spans="1:4" x14ac:dyDescent="0.25">
      <c r="A1288" s="5"/>
      <c r="C1288"/>
      <c r="D1288"/>
    </row>
    <row r="1289" spans="1:4" x14ac:dyDescent="0.25">
      <c r="A1289" s="5"/>
      <c r="C1289"/>
      <c r="D1289"/>
    </row>
    <row r="1290" spans="1:4" x14ac:dyDescent="0.25">
      <c r="A1290" s="5"/>
      <c r="C1290"/>
      <c r="D1290"/>
    </row>
    <row r="1291" spans="1:4" x14ac:dyDescent="0.25">
      <c r="A1291" s="5"/>
      <c r="C1291"/>
      <c r="D1291"/>
    </row>
    <row r="1292" spans="1:4" x14ac:dyDescent="0.25">
      <c r="A1292" s="5"/>
      <c r="C1292"/>
      <c r="D1292"/>
    </row>
    <row r="1293" spans="1:4" x14ac:dyDescent="0.25">
      <c r="A1293" s="5"/>
      <c r="C1293"/>
      <c r="D1293"/>
    </row>
    <row r="1294" spans="1:4" x14ac:dyDescent="0.25">
      <c r="A1294" s="5"/>
      <c r="C1294"/>
      <c r="D1294"/>
    </row>
    <row r="1295" spans="1:4" x14ac:dyDescent="0.25">
      <c r="A1295" s="5"/>
      <c r="C1295"/>
      <c r="D1295"/>
    </row>
    <row r="1296" spans="1:4" x14ac:dyDescent="0.25">
      <c r="A1296" s="5"/>
      <c r="C1296"/>
      <c r="D1296"/>
    </row>
    <row r="1297" spans="1:4" x14ac:dyDescent="0.25">
      <c r="A1297" s="5"/>
      <c r="C1297"/>
      <c r="D1297"/>
    </row>
    <row r="1298" spans="1:4" x14ac:dyDescent="0.25">
      <c r="A1298" s="5"/>
      <c r="C1298"/>
      <c r="D1298"/>
    </row>
    <row r="1299" spans="1:4" x14ac:dyDescent="0.25">
      <c r="A1299" s="5"/>
      <c r="C1299"/>
      <c r="D1299"/>
    </row>
    <row r="1300" spans="1:4" x14ac:dyDescent="0.25">
      <c r="A1300" s="5"/>
      <c r="C1300"/>
      <c r="D1300"/>
    </row>
    <row r="1301" spans="1:4" x14ac:dyDescent="0.25">
      <c r="A1301" s="5"/>
      <c r="C1301"/>
      <c r="D1301"/>
    </row>
    <row r="1302" spans="1:4" x14ac:dyDescent="0.25">
      <c r="A1302" s="5"/>
      <c r="C1302"/>
      <c r="D1302"/>
    </row>
    <row r="1303" spans="1:4" x14ac:dyDescent="0.25">
      <c r="A1303" s="5"/>
      <c r="C1303"/>
      <c r="D1303"/>
    </row>
    <row r="1304" spans="1:4" x14ac:dyDescent="0.25">
      <c r="A1304" s="5"/>
      <c r="C1304"/>
      <c r="D1304"/>
    </row>
    <row r="1305" spans="1:4" x14ac:dyDescent="0.25">
      <c r="A1305" s="5"/>
      <c r="C1305"/>
      <c r="D1305"/>
    </row>
    <row r="1306" spans="1:4" x14ac:dyDescent="0.25">
      <c r="A1306" s="5"/>
      <c r="C1306"/>
      <c r="D1306"/>
    </row>
    <row r="1307" spans="1:4" x14ac:dyDescent="0.25">
      <c r="A1307" s="5"/>
      <c r="C1307"/>
      <c r="D1307"/>
    </row>
    <row r="1308" spans="1:4" x14ac:dyDescent="0.25">
      <c r="A1308" s="5"/>
      <c r="C1308"/>
      <c r="D1308"/>
    </row>
    <row r="1309" spans="1:4" x14ac:dyDescent="0.25">
      <c r="A1309" s="5"/>
      <c r="C1309"/>
      <c r="D1309"/>
    </row>
    <row r="1310" spans="1:4" x14ac:dyDescent="0.25">
      <c r="A1310" s="5"/>
      <c r="C1310"/>
      <c r="D1310"/>
    </row>
    <row r="1311" spans="1:4" x14ac:dyDescent="0.25">
      <c r="A1311" s="5"/>
      <c r="C1311"/>
      <c r="D1311"/>
    </row>
    <row r="1312" spans="1:4" x14ac:dyDescent="0.25">
      <c r="A1312" s="5"/>
      <c r="C1312"/>
      <c r="D1312"/>
    </row>
    <row r="1313" spans="1:4" x14ac:dyDescent="0.25">
      <c r="A1313" s="5"/>
      <c r="C1313"/>
      <c r="D1313"/>
    </row>
    <row r="1314" spans="1:4" x14ac:dyDescent="0.25">
      <c r="A1314" s="5"/>
      <c r="C1314"/>
      <c r="D1314"/>
    </row>
    <row r="1315" spans="1:4" x14ac:dyDescent="0.25">
      <c r="A1315" s="5"/>
      <c r="C1315"/>
      <c r="D1315"/>
    </row>
    <row r="1316" spans="1:4" x14ac:dyDescent="0.25">
      <c r="A1316" s="5"/>
      <c r="C1316"/>
      <c r="D1316"/>
    </row>
    <row r="1317" spans="1:4" x14ac:dyDescent="0.25">
      <c r="A1317" s="5"/>
      <c r="C1317"/>
      <c r="D1317"/>
    </row>
    <row r="1318" spans="1:4" x14ac:dyDescent="0.25">
      <c r="A1318" s="5"/>
      <c r="C1318"/>
      <c r="D1318"/>
    </row>
    <row r="1319" spans="1:4" x14ac:dyDescent="0.25">
      <c r="A1319" s="5"/>
      <c r="C1319"/>
      <c r="D1319"/>
    </row>
    <row r="1320" spans="1:4" x14ac:dyDescent="0.25">
      <c r="A1320" s="5"/>
      <c r="C1320"/>
      <c r="D1320"/>
    </row>
    <row r="1321" spans="1:4" x14ac:dyDescent="0.25">
      <c r="A1321" s="5"/>
      <c r="C1321"/>
      <c r="D1321"/>
    </row>
    <row r="1322" spans="1:4" x14ac:dyDescent="0.25">
      <c r="A1322" s="5"/>
      <c r="C1322"/>
      <c r="D1322"/>
    </row>
    <row r="1323" spans="1:4" x14ac:dyDescent="0.25">
      <c r="A1323" s="5"/>
      <c r="C1323"/>
      <c r="D1323"/>
    </row>
    <row r="1324" spans="1:4" x14ac:dyDescent="0.25">
      <c r="A1324" s="5"/>
      <c r="C1324"/>
      <c r="D1324"/>
    </row>
    <row r="1325" spans="1:4" x14ac:dyDescent="0.25">
      <c r="A1325" s="5"/>
      <c r="C1325"/>
      <c r="D1325"/>
    </row>
    <row r="1326" spans="1:4" x14ac:dyDescent="0.25">
      <c r="A1326" s="5"/>
      <c r="C1326"/>
      <c r="D1326"/>
    </row>
    <row r="1327" spans="1:4" x14ac:dyDescent="0.25">
      <c r="A1327" s="5"/>
      <c r="C1327"/>
      <c r="D1327"/>
    </row>
    <row r="1328" spans="1:4" x14ac:dyDescent="0.25">
      <c r="A1328" s="5"/>
      <c r="C1328"/>
      <c r="D1328"/>
    </row>
    <row r="1329" spans="1:4" x14ac:dyDescent="0.25">
      <c r="A1329" s="5"/>
      <c r="C1329"/>
      <c r="D1329"/>
    </row>
    <row r="1330" spans="1:4" x14ac:dyDescent="0.25">
      <c r="A1330" s="5"/>
      <c r="C1330"/>
      <c r="D1330"/>
    </row>
    <row r="1331" spans="1:4" x14ac:dyDescent="0.25">
      <c r="A1331" s="5"/>
      <c r="C1331"/>
      <c r="D1331"/>
    </row>
    <row r="1332" spans="1:4" x14ac:dyDescent="0.25">
      <c r="A1332" s="5"/>
      <c r="C1332"/>
      <c r="D1332"/>
    </row>
    <row r="1333" spans="1:4" x14ac:dyDescent="0.25">
      <c r="A1333" s="5"/>
      <c r="C1333"/>
      <c r="D1333"/>
    </row>
    <row r="1334" spans="1:4" x14ac:dyDescent="0.25">
      <c r="A1334" s="5"/>
      <c r="C1334"/>
      <c r="D1334"/>
    </row>
    <row r="1335" spans="1:4" x14ac:dyDescent="0.25">
      <c r="A1335" s="5"/>
      <c r="C1335"/>
      <c r="D1335"/>
    </row>
    <row r="1336" spans="1:4" x14ac:dyDescent="0.25">
      <c r="A1336" s="5"/>
      <c r="C1336"/>
      <c r="D1336"/>
    </row>
    <row r="1337" spans="1:4" x14ac:dyDescent="0.25">
      <c r="A1337" s="5"/>
      <c r="C1337"/>
      <c r="D1337"/>
    </row>
    <row r="1338" spans="1:4" x14ac:dyDescent="0.25">
      <c r="A1338" s="5"/>
      <c r="C1338"/>
      <c r="D1338"/>
    </row>
    <row r="1339" spans="1:4" x14ac:dyDescent="0.25">
      <c r="A1339" s="5"/>
      <c r="C1339"/>
      <c r="D1339"/>
    </row>
    <row r="1340" spans="1:4" x14ac:dyDescent="0.25">
      <c r="A1340" s="5"/>
      <c r="C1340"/>
      <c r="D1340"/>
    </row>
    <row r="1341" spans="1:4" x14ac:dyDescent="0.25">
      <c r="A1341" s="5"/>
      <c r="C1341"/>
      <c r="D1341"/>
    </row>
    <row r="1342" spans="1:4" x14ac:dyDescent="0.25">
      <c r="A1342" s="5"/>
      <c r="C1342"/>
      <c r="D1342"/>
    </row>
    <row r="1343" spans="1:4" x14ac:dyDescent="0.25">
      <c r="A1343" s="5"/>
      <c r="C1343"/>
      <c r="D1343"/>
    </row>
    <row r="1344" spans="1:4" x14ac:dyDescent="0.25">
      <c r="A1344" s="5"/>
      <c r="C1344"/>
      <c r="D1344"/>
    </row>
    <row r="1345" spans="1:4" x14ac:dyDescent="0.25">
      <c r="A1345" s="5"/>
      <c r="C1345"/>
      <c r="D1345"/>
    </row>
    <row r="1346" spans="1:4" x14ac:dyDescent="0.25">
      <c r="A1346" s="5"/>
      <c r="C1346"/>
      <c r="D1346"/>
    </row>
    <row r="1347" spans="1:4" x14ac:dyDescent="0.25">
      <c r="A1347" s="5"/>
      <c r="C1347"/>
      <c r="D1347"/>
    </row>
    <row r="1348" spans="1:4" x14ac:dyDescent="0.25">
      <c r="A1348" s="5"/>
      <c r="C1348"/>
      <c r="D1348"/>
    </row>
    <row r="1349" spans="1:4" x14ac:dyDescent="0.25">
      <c r="A1349" s="5"/>
      <c r="C1349"/>
      <c r="D1349"/>
    </row>
    <row r="1350" spans="1:4" x14ac:dyDescent="0.25">
      <c r="A1350" s="5"/>
      <c r="C1350"/>
      <c r="D1350"/>
    </row>
    <row r="1351" spans="1:4" x14ac:dyDescent="0.25">
      <c r="A1351" s="5"/>
      <c r="C1351"/>
      <c r="D1351"/>
    </row>
    <row r="1352" spans="1:4" x14ac:dyDescent="0.25">
      <c r="A1352" s="5"/>
      <c r="C1352"/>
      <c r="D1352"/>
    </row>
    <row r="1353" spans="1:4" x14ac:dyDescent="0.25">
      <c r="A1353" s="5"/>
      <c r="C1353"/>
      <c r="D1353"/>
    </row>
    <row r="1354" spans="1:4" x14ac:dyDescent="0.25">
      <c r="A1354" s="5"/>
      <c r="C1354"/>
      <c r="D1354"/>
    </row>
    <row r="1355" spans="1:4" x14ac:dyDescent="0.25">
      <c r="A1355" s="5"/>
      <c r="C1355"/>
      <c r="D1355"/>
    </row>
    <row r="1356" spans="1:4" x14ac:dyDescent="0.25">
      <c r="A1356" s="5"/>
      <c r="C1356"/>
      <c r="D1356"/>
    </row>
    <row r="1357" spans="1:4" x14ac:dyDescent="0.25">
      <c r="A1357" s="5"/>
      <c r="C1357"/>
      <c r="D1357"/>
    </row>
    <row r="1358" spans="1:4" x14ac:dyDescent="0.25">
      <c r="A1358" s="5"/>
      <c r="C1358"/>
      <c r="D1358"/>
    </row>
    <row r="1359" spans="1:4" x14ac:dyDescent="0.25">
      <c r="A1359" s="5"/>
      <c r="C1359"/>
      <c r="D1359"/>
    </row>
    <row r="1360" spans="1:4" x14ac:dyDescent="0.25">
      <c r="A1360" s="5"/>
      <c r="C1360"/>
      <c r="D1360"/>
    </row>
    <row r="1361" spans="1:4" x14ac:dyDescent="0.25">
      <c r="A1361" s="5"/>
      <c r="C1361"/>
      <c r="D1361"/>
    </row>
    <row r="1362" spans="1:4" x14ac:dyDescent="0.25">
      <c r="A1362" s="5"/>
      <c r="C1362"/>
      <c r="D1362"/>
    </row>
    <row r="1363" spans="1:4" x14ac:dyDescent="0.25">
      <c r="A1363" s="5"/>
      <c r="C1363"/>
      <c r="D1363"/>
    </row>
    <row r="1364" spans="1:4" x14ac:dyDescent="0.25">
      <c r="A1364" s="5"/>
      <c r="C1364"/>
      <c r="D1364"/>
    </row>
    <row r="1365" spans="1:4" x14ac:dyDescent="0.25">
      <c r="A1365" s="5"/>
      <c r="C1365"/>
      <c r="D1365"/>
    </row>
    <row r="1366" spans="1:4" x14ac:dyDescent="0.25">
      <c r="A1366" s="5"/>
      <c r="C1366"/>
      <c r="D1366"/>
    </row>
    <row r="1367" spans="1:4" x14ac:dyDescent="0.25">
      <c r="A1367" s="5"/>
      <c r="C1367"/>
      <c r="D1367"/>
    </row>
    <row r="1368" spans="1:4" x14ac:dyDescent="0.25">
      <c r="A1368" s="5"/>
      <c r="C1368"/>
      <c r="D1368"/>
    </row>
    <row r="1369" spans="1:4" x14ac:dyDescent="0.25">
      <c r="A1369" s="5"/>
      <c r="C1369"/>
      <c r="D1369"/>
    </row>
    <row r="1370" spans="1:4" x14ac:dyDescent="0.25">
      <c r="A1370" s="5"/>
      <c r="C1370"/>
      <c r="D1370"/>
    </row>
    <row r="1371" spans="1:4" x14ac:dyDescent="0.25">
      <c r="A1371" s="5"/>
      <c r="C1371"/>
      <c r="D1371"/>
    </row>
    <row r="1372" spans="1:4" x14ac:dyDescent="0.25">
      <c r="A1372" s="5"/>
      <c r="C1372"/>
      <c r="D1372"/>
    </row>
    <row r="1373" spans="1:4" x14ac:dyDescent="0.25">
      <c r="A1373" s="5"/>
      <c r="C1373"/>
      <c r="D1373"/>
    </row>
    <row r="1374" spans="1:4" x14ac:dyDescent="0.25">
      <c r="A1374" s="5"/>
      <c r="C1374"/>
      <c r="D1374"/>
    </row>
    <row r="1375" spans="1:4" x14ac:dyDescent="0.25">
      <c r="A1375" s="5"/>
      <c r="C1375"/>
      <c r="D1375"/>
    </row>
    <row r="1376" spans="1:4" x14ac:dyDescent="0.25">
      <c r="A1376" s="5"/>
      <c r="C1376"/>
      <c r="D1376"/>
    </row>
    <row r="1377" spans="1:4" x14ac:dyDescent="0.25">
      <c r="A1377" s="5"/>
      <c r="C1377"/>
      <c r="D1377"/>
    </row>
    <row r="1378" spans="1:4" x14ac:dyDescent="0.25">
      <c r="A1378" s="5"/>
      <c r="C1378"/>
      <c r="D1378"/>
    </row>
    <row r="1379" spans="1:4" x14ac:dyDescent="0.25">
      <c r="A1379" s="5"/>
      <c r="C1379"/>
      <c r="D1379"/>
    </row>
    <row r="1380" spans="1:4" x14ac:dyDescent="0.25">
      <c r="A1380" s="5"/>
      <c r="C1380"/>
      <c r="D1380"/>
    </row>
    <row r="1381" spans="1:4" x14ac:dyDescent="0.25">
      <c r="A1381" s="5"/>
      <c r="C1381"/>
      <c r="D1381"/>
    </row>
    <row r="1382" spans="1:4" x14ac:dyDescent="0.25">
      <c r="A1382" s="5"/>
      <c r="C1382"/>
      <c r="D1382"/>
    </row>
    <row r="1383" spans="1:4" x14ac:dyDescent="0.25">
      <c r="A1383" s="5"/>
      <c r="C1383"/>
      <c r="D1383"/>
    </row>
    <row r="1384" spans="1:4" x14ac:dyDescent="0.25">
      <c r="A1384" s="5"/>
      <c r="C1384"/>
      <c r="D1384"/>
    </row>
    <row r="1385" spans="1:4" x14ac:dyDescent="0.25">
      <c r="A1385" s="5"/>
      <c r="C1385"/>
      <c r="D1385"/>
    </row>
    <row r="1386" spans="1:4" x14ac:dyDescent="0.25">
      <c r="A1386" s="5"/>
      <c r="C1386"/>
      <c r="D1386"/>
    </row>
    <row r="1387" spans="1:4" x14ac:dyDescent="0.25">
      <c r="A1387" s="5"/>
      <c r="C1387"/>
      <c r="D1387"/>
    </row>
    <row r="1388" spans="1:4" x14ac:dyDescent="0.25">
      <c r="A1388" s="5"/>
      <c r="C1388"/>
      <c r="D1388"/>
    </row>
    <row r="1389" spans="1:4" x14ac:dyDescent="0.25">
      <c r="A1389" s="5"/>
      <c r="C1389"/>
      <c r="D1389"/>
    </row>
    <row r="1390" spans="1:4" x14ac:dyDescent="0.25">
      <c r="A1390" s="5"/>
      <c r="C1390"/>
      <c r="D1390"/>
    </row>
    <row r="1391" spans="1:4" x14ac:dyDescent="0.25">
      <c r="A1391" s="5"/>
      <c r="C1391"/>
      <c r="D1391"/>
    </row>
    <row r="1392" spans="1:4" x14ac:dyDescent="0.25">
      <c r="A1392" s="5"/>
      <c r="C1392"/>
      <c r="D1392"/>
    </row>
    <row r="1393" spans="1:4" x14ac:dyDescent="0.25">
      <c r="A1393" s="5"/>
      <c r="C1393"/>
      <c r="D1393"/>
    </row>
    <row r="1394" spans="1:4" x14ac:dyDescent="0.25">
      <c r="A1394" s="5"/>
      <c r="C1394"/>
      <c r="D1394"/>
    </row>
    <row r="1395" spans="1:4" x14ac:dyDescent="0.25">
      <c r="A1395" s="5"/>
      <c r="C1395"/>
      <c r="D1395"/>
    </row>
    <row r="1396" spans="1:4" x14ac:dyDescent="0.25">
      <c r="A1396" s="5"/>
      <c r="C1396"/>
      <c r="D1396"/>
    </row>
    <row r="1397" spans="1:4" x14ac:dyDescent="0.25">
      <c r="A1397" s="5"/>
      <c r="C1397"/>
      <c r="D1397"/>
    </row>
    <row r="1398" spans="1:4" x14ac:dyDescent="0.25">
      <c r="A1398" s="5"/>
      <c r="C1398"/>
      <c r="D1398"/>
    </row>
    <row r="1399" spans="1:4" x14ac:dyDescent="0.25">
      <c r="A1399" s="5"/>
      <c r="C1399"/>
      <c r="D1399"/>
    </row>
    <row r="1400" spans="1:4" x14ac:dyDescent="0.25">
      <c r="A1400" s="5"/>
      <c r="C1400"/>
      <c r="D1400"/>
    </row>
    <row r="1401" spans="1:4" x14ac:dyDescent="0.25">
      <c r="A1401" s="5"/>
      <c r="C1401"/>
      <c r="D1401"/>
    </row>
    <row r="1402" spans="1:4" x14ac:dyDescent="0.25">
      <c r="A1402" s="5"/>
      <c r="C1402"/>
      <c r="D1402"/>
    </row>
    <row r="1403" spans="1:4" x14ac:dyDescent="0.25">
      <c r="A1403" s="5"/>
      <c r="C1403"/>
      <c r="D1403"/>
    </row>
    <row r="1404" spans="1:4" x14ac:dyDescent="0.25">
      <c r="A1404" s="5"/>
      <c r="C1404"/>
      <c r="D1404"/>
    </row>
    <row r="1405" spans="1:4" x14ac:dyDescent="0.25">
      <c r="A1405" s="5"/>
      <c r="C1405"/>
      <c r="D1405"/>
    </row>
    <row r="1406" spans="1:4" x14ac:dyDescent="0.25">
      <c r="A1406" s="5"/>
      <c r="C1406"/>
      <c r="D1406"/>
    </row>
    <row r="1407" spans="1:4" x14ac:dyDescent="0.25">
      <c r="A1407" s="5"/>
      <c r="C1407"/>
      <c r="D1407"/>
    </row>
    <row r="1408" spans="1:4" x14ac:dyDescent="0.25">
      <c r="A1408" s="5"/>
      <c r="C1408"/>
      <c r="D1408"/>
    </row>
    <row r="1409" spans="1:4" x14ac:dyDescent="0.25">
      <c r="A1409" s="5"/>
      <c r="C1409"/>
      <c r="D1409"/>
    </row>
    <row r="1410" spans="1:4" x14ac:dyDescent="0.25">
      <c r="A1410" s="5"/>
      <c r="C1410"/>
      <c r="D1410"/>
    </row>
    <row r="1411" spans="1:4" x14ac:dyDescent="0.25">
      <c r="A1411" s="5"/>
      <c r="C1411"/>
      <c r="D1411"/>
    </row>
    <row r="1412" spans="1:4" x14ac:dyDescent="0.25">
      <c r="A1412" s="5"/>
      <c r="C1412"/>
      <c r="D1412"/>
    </row>
    <row r="1413" spans="1:4" x14ac:dyDescent="0.25">
      <c r="A1413" s="5"/>
      <c r="C1413"/>
      <c r="D1413"/>
    </row>
    <row r="1414" spans="1:4" x14ac:dyDescent="0.25">
      <c r="A1414" s="5"/>
      <c r="C1414"/>
      <c r="D1414"/>
    </row>
    <row r="1415" spans="1:4" x14ac:dyDescent="0.25">
      <c r="A1415" s="5"/>
      <c r="C1415"/>
      <c r="D1415"/>
    </row>
    <row r="1416" spans="1:4" x14ac:dyDescent="0.25">
      <c r="A1416" s="5"/>
      <c r="C1416"/>
      <c r="D1416"/>
    </row>
    <row r="1417" spans="1:4" x14ac:dyDescent="0.25">
      <c r="A1417" s="5"/>
      <c r="C1417"/>
      <c r="D1417"/>
    </row>
    <row r="1418" spans="1:4" x14ac:dyDescent="0.25">
      <c r="A1418" s="5"/>
      <c r="C1418"/>
      <c r="D1418"/>
    </row>
    <row r="1419" spans="1:4" x14ac:dyDescent="0.25">
      <c r="A1419" s="5"/>
      <c r="C1419"/>
      <c r="D1419"/>
    </row>
    <row r="1420" spans="1:4" x14ac:dyDescent="0.25">
      <c r="A1420" s="5"/>
      <c r="C1420"/>
      <c r="D1420"/>
    </row>
    <row r="1421" spans="1:4" x14ac:dyDescent="0.25">
      <c r="A1421" s="5"/>
      <c r="C1421"/>
      <c r="D1421"/>
    </row>
    <row r="1422" spans="1:4" x14ac:dyDescent="0.25">
      <c r="A1422" s="5"/>
      <c r="C1422"/>
      <c r="D1422"/>
    </row>
    <row r="1423" spans="1:4" x14ac:dyDescent="0.25">
      <c r="A1423" s="5"/>
      <c r="C1423"/>
      <c r="D1423"/>
    </row>
    <row r="1424" spans="1:4" x14ac:dyDescent="0.25">
      <c r="A1424" s="5"/>
      <c r="C1424"/>
      <c r="D1424"/>
    </row>
    <row r="1425" spans="1:4" x14ac:dyDescent="0.25">
      <c r="A1425" s="5"/>
      <c r="C1425"/>
      <c r="D1425"/>
    </row>
    <row r="1426" spans="1:4" x14ac:dyDescent="0.25">
      <c r="A1426" s="5"/>
      <c r="C1426"/>
      <c r="D1426"/>
    </row>
    <row r="1427" spans="1:4" x14ac:dyDescent="0.25">
      <c r="A1427" s="5"/>
      <c r="C1427"/>
      <c r="D1427"/>
    </row>
    <row r="1428" spans="1:4" x14ac:dyDescent="0.25">
      <c r="A1428" s="5"/>
      <c r="C1428"/>
      <c r="D1428"/>
    </row>
    <row r="1429" spans="1:4" x14ac:dyDescent="0.25">
      <c r="A1429" s="5"/>
      <c r="C1429"/>
      <c r="D1429"/>
    </row>
    <row r="1430" spans="1:4" x14ac:dyDescent="0.25">
      <c r="A1430" s="5"/>
      <c r="C1430"/>
      <c r="D1430"/>
    </row>
    <row r="1431" spans="1:4" x14ac:dyDescent="0.25">
      <c r="A1431" s="5"/>
      <c r="C1431"/>
      <c r="D1431"/>
    </row>
    <row r="1432" spans="1:4" x14ac:dyDescent="0.25">
      <c r="A1432" s="5"/>
      <c r="C1432"/>
      <c r="D1432"/>
    </row>
    <row r="1433" spans="1:4" x14ac:dyDescent="0.25">
      <c r="A1433" s="5"/>
      <c r="C1433"/>
      <c r="D1433"/>
    </row>
    <row r="1434" spans="1:4" x14ac:dyDescent="0.25">
      <c r="A1434" s="5"/>
      <c r="C1434"/>
      <c r="D1434"/>
    </row>
    <row r="1435" spans="1:4" x14ac:dyDescent="0.25">
      <c r="A1435" s="5"/>
      <c r="C1435"/>
      <c r="D1435"/>
    </row>
    <row r="1436" spans="1:4" x14ac:dyDescent="0.25">
      <c r="A1436" s="5"/>
      <c r="C1436"/>
      <c r="D1436"/>
    </row>
    <row r="1437" spans="1:4" x14ac:dyDescent="0.25">
      <c r="A1437" s="5"/>
      <c r="C1437"/>
      <c r="D1437"/>
    </row>
    <row r="1438" spans="1:4" x14ac:dyDescent="0.25">
      <c r="A1438" s="5"/>
      <c r="C1438"/>
      <c r="D1438"/>
    </row>
    <row r="1439" spans="1:4" x14ac:dyDescent="0.25">
      <c r="A1439" s="5"/>
      <c r="C1439"/>
      <c r="D1439"/>
    </row>
    <row r="1440" spans="1:4" x14ac:dyDescent="0.25">
      <c r="A1440" s="5"/>
      <c r="C1440"/>
      <c r="D1440"/>
    </row>
    <row r="1441" spans="1:4" x14ac:dyDescent="0.25">
      <c r="A1441" s="5"/>
      <c r="C1441"/>
      <c r="D1441"/>
    </row>
    <row r="1442" spans="1:4" x14ac:dyDescent="0.25">
      <c r="A1442" s="5"/>
      <c r="C1442"/>
      <c r="D1442"/>
    </row>
    <row r="1443" spans="1:4" x14ac:dyDescent="0.25">
      <c r="A1443" s="5"/>
      <c r="C1443"/>
      <c r="D1443"/>
    </row>
    <row r="1444" spans="1:4" x14ac:dyDescent="0.25">
      <c r="A1444" s="5"/>
      <c r="C1444"/>
      <c r="D1444"/>
    </row>
    <row r="1445" spans="1:4" x14ac:dyDescent="0.25">
      <c r="A1445" s="5"/>
      <c r="C1445"/>
      <c r="D1445"/>
    </row>
    <row r="1446" spans="1:4" x14ac:dyDescent="0.25">
      <c r="A1446" s="5"/>
      <c r="C1446"/>
      <c r="D1446"/>
    </row>
    <row r="1447" spans="1:4" x14ac:dyDescent="0.25">
      <c r="A1447" s="5"/>
      <c r="C1447"/>
      <c r="D1447"/>
    </row>
    <row r="1448" spans="1:4" x14ac:dyDescent="0.25">
      <c r="A1448" s="5"/>
      <c r="C1448"/>
      <c r="D1448"/>
    </row>
    <row r="1449" spans="1:4" x14ac:dyDescent="0.25">
      <c r="A1449" s="5"/>
      <c r="C1449"/>
      <c r="D1449"/>
    </row>
    <row r="1450" spans="1:4" x14ac:dyDescent="0.25">
      <c r="A1450" s="5"/>
      <c r="C1450"/>
      <c r="D1450"/>
    </row>
    <row r="1451" spans="1:4" x14ac:dyDescent="0.25">
      <c r="A1451" s="5"/>
      <c r="C1451"/>
      <c r="D1451"/>
    </row>
    <row r="1452" spans="1:4" x14ac:dyDescent="0.25">
      <c r="A1452" s="5"/>
      <c r="C1452"/>
      <c r="D1452"/>
    </row>
    <row r="1453" spans="1:4" x14ac:dyDescent="0.25">
      <c r="A1453" s="5"/>
      <c r="C1453"/>
      <c r="D1453"/>
    </row>
    <row r="1454" spans="1:4" x14ac:dyDescent="0.25">
      <c r="A1454" s="5"/>
      <c r="C1454"/>
      <c r="D1454"/>
    </row>
    <row r="1455" spans="1:4" x14ac:dyDescent="0.25">
      <c r="A1455" s="5"/>
      <c r="C1455"/>
      <c r="D1455"/>
    </row>
    <row r="1456" spans="1:4" x14ac:dyDescent="0.25">
      <c r="A1456" s="5"/>
      <c r="C1456"/>
      <c r="D1456"/>
    </row>
    <row r="1457" spans="1:4" x14ac:dyDescent="0.25">
      <c r="A1457" s="5"/>
      <c r="C1457"/>
      <c r="D1457"/>
    </row>
    <row r="1458" spans="1:4" x14ac:dyDescent="0.25">
      <c r="A1458" s="5"/>
      <c r="C1458"/>
      <c r="D1458"/>
    </row>
    <row r="1459" spans="1:4" x14ac:dyDescent="0.25">
      <c r="A1459" s="5"/>
      <c r="C1459"/>
      <c r="D1459"/>
    </row>
    <row r="1460" spans="1:4" x14ac:dyDescent="0.25">
      <c r="A1460" s="5"/>
      <c r="C1460"/>
      <c r="D1460"/>
    </row>
    <row r="1461" spans="1:4" x14ac:dyDescent="0.25">
      <c r="A1461" s="5"/>
      <c r="C1461"/>
      <c r="D1461"/>
    </row>
    <row r="1462" spans="1:4" x14ac:dyDescent="0.25">
      <c r="A1462" s="5"/>
      <c r="C1462"/>
      <c r="D1462"/>
    </row>
    <row r="1463" spans="1:4" x14ac:dyDescent="0.25">
      <c r="A1463" s="5"/>
      <c r="C1463"/>
      <c r="D1463"/>
    </row>
    <row r="1464" spans="1:4" x14ac:dyDescent="0.25">
      <c r="A1464" s="5"/>
      <c r="C1464"/>
      <c r="D1464"/>
    </row>
    <row r="1465" spans="1:4" x14ac:dyDescent="0.25">
      <c r="A1465" s="5"/>
      <c r="C1465"/>
      <c r="D1465"/>
    </row>
    <row r="1466" spans="1:4" x14ac:dyDescent="0.25">
      <c r="A1466" s="5"/>
      <c r="C1466"/>
      <c r="D1466"/>
    </row>
    <row r="1467" spans="1:4" x14ac:dyDescent="0.25">
      <c r="A1467" s="5"/>
      <c r="C1467"/>
      <c r="D1467"/>
    </row>
    <row r="1468" spans="1:4" x14ac:dyDescent="0.25">
      <c r="A1468" s="5"/>
      <c r="C1468"/>
      <c r="D1468"/>
    </row>
    <row r="1469" spans="1:4" x14ac:dyDescent="0.25">
      <c r="A1469" s="5"/>
      <c r="C1469"/>
      <c r="D1469"/>
    </row>
    <row r="1470" spans="1:4" x14ac:dyDescent="0.25">
      <c r="A1470" s="5"/>
      <c r="C1470"/>
      <c r="D1470"/>
    </row>
    <row r="1471" spans="1:4" x14ac:dyDescent="0.25">
      <c r="A1471" s="5"/>
      <c r="C1471"/>
      <c r="D1471"/>
    </row>
    <row r="1472" spans="1:4" x14ac:dyDescent="0.25">
      <c r="A1472" s="5"/>
      <c r="C1472"/>
      <c r="D1472"/>
    </row>
    <row r="1473" spans="1:4" x14ac:dyDescent="0.25">
      <c r="A1473" s="5"/>
      <c r="C1473"/>
      <c r="D1473"/>
    </row>
    <row r="1474" spans="1:4" x14ac:dyDescent="0.25">
      <c r="A1474" s="5"/>
      <c r="C1474"/>
      <c r="D1474"/>
    </row>
    <row r="1475" spans="1:4" x14ac:dyDescent="0.25">
      <c r="A1475" s="5"/>
      <c r="C1475"/>
      <c r="D1475"/>
    </row>
    <row r="1476" spans="1:4" x14ac:dyDescent="0.25">
      <c r="A1476" s="5"/>
      <c r="C1476"/>
      <c r="D1476"/>
    </row>
    <row r="1477" spans="1:4" x14ac:dyDescent="0.25">
      <c r="A1477" s="5"/>
      <c r="C1477"/>
      <c r="D1477"/>
    </row>
    <row r="1478" spans="1:4" x14ac:dyDescent="0.25">
      <c r="A1478" s="5"/>
      <c r="C1478"/>
      <c r="D1478"/>
    </row>
    <row r="1479" spans="1:4" x14ac:dyDescent="0.25">
      <c r="A1479" s="5"/>
      <c r="C1479"/>
      <c r="D1479"/>
    </row>
    <row r="1480" spans="1:4" x14ac:dyDescent="0.25">
      <c r="A1480" s="5"/>
      <c r="C1480"/>
      <c r="D1480"/>
    </row>
    <row r="1481" spans="1:4" x14ac:dyDescent="0.25">
      <c r="A1481" s="5"/>
      <c r="C1481"/>
      <c r="D1481"/>
    </row>
    <row r="1482" spans="1:4" x14ac:dyDescent="0.25">
      <c r="A1482" s="5"/>
      <c r="C1482"/>
      <c r="D1482"/>
    </row>
    <row r="1483" spans="1:4" x14ac:dyDescent="0.25">
      <c r="A1483" s="5"/>
      <c r="C1483"/>
      <c r="D1483"/>
    </row>
    <row r="1484" spans="1:4" x14ac:dyDescent="0.25">
      <c r="A1484" s="5"/>
      <c r="C1484"/>
      <c r="D1484"/>
    </row>
    <row r="1485" spans="1:4" x14ac:dyDescent="0.25">
      <c r="A1485" s="5"/>
      <c r="C1485"/>
      <c r="D1485"/>
    </row>
    <row r="1486" spans="1:4" x14ac:dyDescent="0.25">
      <c r="A1486" s="5"/>
      <c r="C1486"/>
      <c r="D1486"/>
    </row>
    <row r="1487" spans="1:4" x14ac:dyDescent="0.25">
      <c r="A1487" s="5"/>
      <c r="C1487"/>
      <c r="D1487"/>
    </row>
    <row r="1488" spans="1:4" x14ac:dyDescent="0.25">
      <c r="A1488" s="5"/>
      <c r="C1488"/>
      <c r="D1488"/>
    </row>
    <row r="1489" spans="1:4" x14ac:dyDescent="0.25">
      <c r="A1489" s="5"/>
      <c r="C1489"/>
      <c r="D1489"/>
    </row>
    <row r="1490" spans="1:4" x14ac:dyDescent="0.25">
      <c r="A1490" s="5"/>
      <c r="C1490"/>
      <c r="D1490"/>
    </row>
    <row r="1491" spans="1:4" x14ac:dyDescent="0.25">
      <c r="A1491" s="5"/>
      <c r="C1491"/>
      <c r="D1491"/>
    </row>
    <row r="1492" spans="1:4" x14ac:dyDescent="0.25">
      <c r="A1492" s="5"/>
      <c r="C1492"/>
      <c r="D1492"/>
    </row>
    <row r="1493" spans="1:4" x14ac:dyDescent="0.25">
      <c r="A1493" s="5"/>
      <c r="C1493"/>
      <c r="D1493"/>
    </row>
    <row r="1494" spans="1:4" x14ac:dyDescent="0.25">
      <c r="A1494" s="5"/>
      <c r="C1494"/>
      <c r="D1494"/>
    </row>
    <row r="1495" spans="1:4" x14ac:dyDescent="0.25">
      <c r="A1495" s="5"/>
      <c r="C1495"/>
      <c r="D1495"/>
    </row>
    <row r="1496" spans="1:4" x14ac:dyDescent="0.25">
      <c r="A1496" s="5"/>
      <c r="C1496"/>
      <c r="D1496"/>
    </row>
    <row r="1497" spans="1:4" x14ac:dyDescent="0.25">
      <c r="A1497" s="5"/>
      <c r="C1497"/>
      <c r="D1497"/>
    </row>
    <row r="1498" spans="1:4" x14ac:dyDescent="0.25">
      <c r="A1498" s="5"/>
      <c r="C1498"/>
      <c r="D1498"/>
    </row>
    <row r="1499" spans="1:4" x14ac:dyDescent="0.25">
      <c r="A1499" s="5"/>
      <c r="C1499"/>
      <c r="D1499"/>
    </row>
    <row r="1500" spans="1:4" x14ac:dyDescent="0.25">
      <c r="A1500" s="5"/>
      <c r="C1500"/>
      <c r="D1500"/>
    </row>
    <row r="1501" spans="1:4" x14ac:dyDescent="0.25">
      <c r="A1501" s="5"/>
      <c r="C1501"/>
      <c r="D1501"/>
    </row>
    <row r="1502" spans="1:4" x14ac:dyDescent="0.25">
      <c r="A1502" s="5"/>
      <c r="C1502"/>
      <c r="D1502"/>
    </row>
    <row r="1503" spans="1:4" x14ac:dyDescent="0.25">
      <c r="A1503" s="5"/>
      <c r="C1503"/>
      <c r="D1503"/>
    </row>
    <row r="1504" spans="1:4" x14ac:dyDescent="0.25">
      <c r="A1504" s="5"/>
      <c r="C1504"/>
      <c r="D1504"/>
    </row>
    <row r="1505" spans="1:4" x14ac:dyDescent="0.25">
      <c r="A1505" s="5"/>
      <c r="C1505"/>
      <c r="D1505"/>
    </row>
    <row r="1506" spans="1:4" x14ac:dyDescent="0.25">
      <c r="A1506" s="5"/>
      <c r="C1506"/>
      <c r="D1506"/>
    </row>
    <row r="1507" spans="1:4" x14ac:dyDescent="0.25">
      <c r="A1507" s="5"/>
      <c r="C1507"/>
      <c r="D1507"/>
    </row>
    <row r="1508" spans="1:4" x14ac:dyDescent="0.25">
      <c r="A1508" s="5"/>
      <c r="C1508"/>
      <c r="D1508"/>
    </row>
    <row r="1509" spans="1:4" x14ac:dyDescent="0.25">
      <c r="A1509" s="5"/>
      <c r="C1509"/>
      <c r="D1509"/>
    </row>
    <row r="1510" spans="1:4" x14ac:dyDescent="0.25">
      <c r="A1510" s="5"/>
      <c r="C1510"/>
      <c r="D1510"/>
    </row>
    <row r="1511" spans="1:4" x14ac:dyDescent="0.25">
      <c r="A1511" s="5"/>
      <c r="C1511"/>
      <c r="D1511"/>
    </row>
    <row r="1512" spans="1:4" x14ac:dyDescent="0.25">
      <c r="A1512" s="5"/>
      <c r="C1512"/>
      <c r="D1512"/>
    </row>
    <row r="1513" spans="1:4" x14ac:dyDescent="0.25">
      <c r="A1513" s="5"/>
      <c r="C1513"/>
      <c r="D1513"/>
    </row>
    <row r="1514" spans="1:4" x14ac:dyDescent="0.25">
      <c r="A1514" s="5"/>
      <c r="C1514"/>
      <c r="D1514"/>
    </row>
    <row r="1515" spans="1:4" x14ac:dyDescent="0.25">
      <c r="A1515" s="5"/>
      <c r="C1515"/>
      <c r="D1515"/>
    </row>
    <row r="1516" spans="1:4" x14ac:dyDescent="0.25">
      <c r="A1516" s="5"/>
      <c r="C1516"/>
      <c r="D1516"/>
    </row>
    <row r="1517" spans="1:4" x14ac:dyDescent="0.25">
      <c r="A1517" s="5"/>
      <c r="C1517"/>
      <c r="D1517"/>
    </row>
    <row r="1518" spans="1:4" x14ac:dyDescent="0.25">
      <c r="A1518" s="5"/>
      <c r="C1518"/>
      <c r="D1518"/>
    </row>
    <row r="1519" spans="1:4" x14ac:dyDescent="0.25">
      <c r="A1519" s="5"/>
      <c r="C1519"/>
      <c r="D1519"/>
    </row>
    <row r="1520" spans="1:4" x14ac:dyDescent="0.25">
      <c r="A1520" s="5"/>
      <c r="C1520"/>
      <c r="D1520"/>
    </row>
    <row r="1521" spans="1:4" x14ac:dyDescent="0.25">
      <c r="A1521" s="5"/>
      <c r="C1521"/>
      <c r="D1521"/>
    </row>
    <row r="1522" spans="1:4" x14ac:dyDescent="0.25">
      <c r="A1522" s="5"/>
      <c r="C1522"/>
      <c r="D1522"/>
    </row>
    <row r="1523" spans="1:4" x14ac:dyDescent="0.25">
      <c r="A1523" s="5"/>
      <c r="C1523"/>
      <c r="D1523"/>
    </row>
    <row r="1524" spans="1:4" x14ac:dyDescent="0.25">
      <c r="A1524" s="5"/>
      <c r="C1524"/>
      <c r="D1524"/>
    </row>
    <row r="1525" spans="1:4" x14ac:dyDescent="0.25">
      <c r="A1525" s="5"/>
      <c r="C1525"/>
      <c r="D1525"/>
    </row>
    <row r="1526" spans="1:4" x14ac:dyDescent="0.25">
      <c r="A1526" s="5"/>
      <c r="C1526"/>
      <c r="D1526"/>
    </row>
    <row r="1527" spans="1:4" x14ac:dyDescent="0.25">
      <c r="A1527" s="5"/>
      <c r="C1527"/>
      <c r="D1527"/>
    </row>
    <row r="1528" spans="1:4" x14ac:dyDescent="0.25">
      <c r="A1528" s="5"/>
      <c r="C1528"/>
      <c r="D1528"/>
    </row>
    <row r="1529" spans="1:4" x14ac:dyDescent="0.25">
      <c r="A1529" s="5"/>
      <c r="C1529"/>
      <c r="D1529"/>
    </row>
    <row r="1530" spans="1:4" x14ac:dyDescent="0.25">
      <c r="A1530" s="5"/>
      <c r="C1530"/>
      <c r="D1530"/>
    </row>
    <row r="1531" spans="1:4" x14ac:dyDescent="0.25">
      <c r="A1531" s="5"/>
      <c r="C1531"/>
      <c r="D1531"/>
    </row>
    <row r="1532" spans="1:4" x14ac:dyDescent="0.25">
      <c r="A1532" s="5"/>
      <c r="C1532"/>
      <c r="D1532"/>
    </row>
    <row r="1533" spans="1:4" x14ac:dyDescent="0.25">
      <c r="A1533" s="5"/>
      <c r="C1533"/>
      <c r="D1533"/>
    </row>
    <row r="1534" spans="1:4" x14ac:dyDescent="0.25">
      <c r="A1534" s="5"/>
      <c r="C1534"/>
      <c r="D1534"/>
    </row>
    <row r="1535" spans="1:4" x14ac:dyDescent="0.25">
      <c r="A1535" s="5"/>
      <c r="C1535"/>
      <c r="D1535"/>
    </row>
    <row r="1536" spans="1:4" x14ac:dyDescent="0.25">
      <c r="A1536" s="5"/>
      <c r="C1536"/>
      <c r="D1536"/>
    </row>
    <row r="1537" spans="1:4" x14ac:dyDescent="0.25">
      <c r="A1537" s="5"/>
      <c r="C1537"/>
      <c r="D1537"/>
    </row>
    <row r="1538" spans="1:4" x14ac:dyDescent="0.25">
      <c r="A1538" s="5"/>
      <c r="C1538"/>
      <c r="D1538"/>
    </row>
    <row r="1539" spans="1:4" x14ac:dyDescent="0.25">
      <c r="A1539" s="5"/>
      <c r="C1539"/>
      <c r="D1539"/>
    </row>
    <row r="1540" spans="1:4" x14ac:dyDescent="0.25">
      <c r="A1540" s="5"/>
      <c r="C1540"/>
      <c r="D1540"/>
    </row>
    <row r="1541" spans="1:4" x14ac:dyDescent="0.25">
      <c r="A1541" s="5"/>
      <c r="C1541"/>
      <c r="D1541"/>
    </row>
    <row r="1542" spans="1:4" x14ac:dyDescent="0.25">
      <c r="A1542" s="5"/>
      <c r="C1542"/>
      <c r="D1542"/>
    </row>
    <row r="1543" spans="1:4" x14ac:dyDescent="0.25">
      <c r="A1543" s="5"/>
      <c r="C1543"/>
      <c r="D1543"/>
    </row>
    <row r="1544" spans="1:4" x14ac:dyDescent="0.25">
      <c r="A1544" s="5"/>
      <c r="C1544"/>
      <c r="D1544"/>
    </row>
    <row r="1545" spans="1:4" x14ac:dyDescent="0.25">
      <c r="A1545" s="5"/>
      <c r="C1545"/>
      <c r="D1545"/>
    </row>
    <row r="1546" spans="1:4" x14ac:dyDescent="0.25">
      <c r="A1546" s="5"/>
      <c r="C1546"/>
      <c r="D1546"/>
    </row>
    <row r="1547" spans="1:4" x14ac:dyDescent="0.25">
      <c r="A1547" s="5"/>
      <c r="C1547"/>
      <c r="D1547"/>
    </row>
    <row r="1548" spans="1:4" x14ac:dyDescent="0.25">
      <c r="A1548" s="5"/>
      <c r="C1548"/>
      <c r="D1548"/>
    </row>
    <row r="1549" spans="1:4" x14ac:dyDescent="0.25">
      <c r="A1549" s="5"/>
      <c r="C1549"/>
      <c r="D1549"/>
    </row>
    <row r="1550" spans="1:4" x14ac:dyDescent="0.25">
      <c r="A1550" s="5"/>
      <c r="C1550"/>
      <c r="D1550"/>
    </row>
    <row r="1551" spans="1:4" x14ac:dyDescent="0.25">
      <c r="A1551" s="5"/>
      <c r="C1551"/>
      <c r="D1551"/>
    </row>
    <row r="1552" spans="1:4" x14ac:dyDescent="0.25">
      <c r="A1552" s="5"/>
      <c r="C1552"/>
      <c r="D1552"/>
    </row>
    <row r="1553" spans="1:4" x14ac:dyDescent="0.25">
      <c r="A1553" s="5"/>
      <c r="C1553"/>
      <c r="D1553"/>
    </row>
    <row r="1554" spans="1:4" x14ac:dyDescent="0.25">
      <c r="A1554" s="5"/>
      <c r="C1554"/>
      <c r="D1554"/>
    </row>
    <row r="1555" spans="1:4" x14ac:dyDescent="0.25">
      <c r="A1555" s="5"/>
      <c r="C1555"/>
      <c r="D1555"/>
    </row>
    <row r="1556" spans="1:4" x14ac:dyDescent="0.25">
      <c r="A1556" s="5"/>
      <c r="C1556"/>
      <c r="D1556"/>
    </row>
    <row r="1557" spans="1:4" x14ac:dyDescent="0.25">
      <c r="A1557" s="5"/>
      <c r="C1557"/>
      <c r="D1557"/>
    </row>
    <row r="1558" spans="1:4" x14ac:dyDescent="0.25">
      <c r="A1558" s="5"/>
      <c r="C1558"/>
      <c r="D1558"/>
    </row>
    <row r="1559" spans="1:4" x14ac:dyDescent="0.25">
      <c r="A1559" s="5"/>
      <c r="C1559"/>
      <c r="D1559"/>
    </row>
    <row r="1560" spans="1:4" x14ac:dyDescent="0.25">
      <c r="A1560" s="5"/>
      <c r="C1560"/>
      <c r="D1560"/>
    </row>
    <row r="1561" spans="1:4" x14ac:dyDescent="0.25">
      <c r="A1561" s="5"/>
      <c r="C1561"/>
      <c r="D1561"/>
    </row>
    <row r="1562" spans="1:4" x14ac:dyDescent="0.25">
      <c r="A1562" s="5"/>
      <c r="C1562"/>
      <c r="D1562"/>
    </row>
    <row r="1563" spans="1:4" x14ac:dyDescent="0.25">
      <c r="A1563" s="5"/>
      <c r="C1563"/>
      <c r="D1563"/>
    </row>
    <row r="1564" spans="1:4" x14ac:dyDescent="0.25">
      <c r="A1564" s="5"/>
      <c r="C1564"/>
      <c r="D1564"/>
    </row>
    <row r="1565" spans="1:4" x14ac:dyDescent="0.25">
      <c r="A1565" s="5"/>
      <c r="C1565"/>
      <c r="D1565"/>
    </row>
    <row r="1566" spans="1:4" x14ac:dyDescent="0.25">
      <c r="A1566" s="5"/>
      <c r="C1566"/>
      <c r="D1566"/>
    </row>
    <row r="1567" spans="1:4" x14ac:dyDescent="0.25">
      <c r="A1567" s="5"/>
      <c r="C1567"/>
      <c r="D1567"/>
    </row>
    <row r="1568" spans="1:4" x14ac:dyDescent="0.25">
      <c r="A1568" s="5"/>
      <c r="C1568"/>
      <c r="D1568"/>
    </row>
    <row r="1569" spans="1:4" x14ac:dyDescent="0.25">
      <c r="A1569" s="5"/>
      <c r="C1569"/>
      <c r="D1569"/>
    </row>
    <row r="1570" spans="1:4" x14ac:dyDescent="0.25">
      <c r="A1570" s="5"/>
      <c r="C1570"/>
      <c r="D1570"/>
    </row>
    <row r="1571" spans="1:4" x14ac:dyDescent="0.25">
      <c r="A1571" s="5"/>
      <c r="C1571"/>
      <c r="D1571"/>
    </row>
    <row r="1572" spans="1:4" x14ac:dyDescent="0.25">
      <c r="A1572" s="5"/>
      <c r="C1572"/>
      <c r="D1572"/>
    </row>
    <row r="1573" spans="1:4" x14ac:dyDescent="0.25">
      <c r="A1573" s="5"/>
      <c r="C1573"/>
      <c r="D1573"/>
    </row>
    <row r="1574" spans="1:4" x14ac:dyDescent="0.25">
      <c r="A1574" s="5"/>
      <c r="C1574"/>
      <c r="D1574"/>
    </row>
    <row r="1575" spans="1:4" x14ac:dyDescent="0.25">
      <c r="A1575" s="5"/>
      <c r="C1575"/>
      <c r="D1575"/>
    </row>
    <row r="1576" spans="1:4" x14ac:dyDescent="0.25">
      <c r="A1576" s="5"/>
      <c r="C1576"/>
      <c r="D1576"/>
    </row>
    <row r="1577" spans="1:4" x14ac:dyDescent="0.25">
      <c r="A1577" s="5"/>
      <c r="C1577"/>
      <c r="D1577"/>
    </row>
    <row r="1578" spans="1:4" x14ac:dyDescent="0.25">
      <c r="A1578" s="5"/>
      <c r="C1578"/>
      <c r="D1578"/>
    </row>
    <row r="1579" spans="1:4" x14ac:dyDescent="0.25">
      <c r="A1579" s="5"/>
      <c r="C1579"/>
      <c r="D1579"/>
    </row>
    <row r="1580" spans="1:4" x14ac:dyDescent="0.25">
      <c r="A1580" s="5"/>
      <c r="C1580"/>
      <c r="D1580"/>
    </row>
    <row r="1581" spans="1:4" x14ac:dyDescent="0.25">
      <c r="A1581" s="5"/>
      <c r="C1581"/>
      <c r="D1581"/>
    </row>
    <row r="1582" spans="1:4" x14ac:dyDescent="0.25">
      <c r="A1582" s="5"/>
      <c r="C1582"/>
      <c r="D1582"/>
    </row>
    <row r="1583" spans="1:4" x14ac:dyDescent="0.25">
      <c r="A1583" s="5"/>
      <c r="C1583"/>
      <c r="D1583"/>
    </row>
    <row r="1584" spans="1:4" x14ac:dyDescent="0.25">
      <c r="A1584" s="5"/>
      <c r="C1584"/>
      <c r="D1584"/>
    </row>
    <row r="1585" spans="1:4" x14ac:dyDescent="0.25">
      <c r="A1585" s="5"/>
      <c r="C1585"/>
      <c r="D1585"/>
    </row>
    <row r="1586" spans="1:4" x14ac:dyDescent="0.25">
      <c r="A1586" s="5"/>
      <c r="C1586"/>
      <c r="D1586"/>
    </row>
    <row r="1587" spans="1:4" x14ac:dyDescent="0.25">
      <c r="A1587" s="5"/>
      <c r="C1587"/>
      <c r="D1587"/>
    </row>
    <row r="1588" spans="1:4" x14ac:dyDescent="0.25">
      <c r="A1588" s="5"/>
      <c r="C1588"/>
      <c r="D1588"/>
    </row>
    <row r="1589" spans="1:4" x14ac:dyDescent="0.25">
      <c r="A1589" s="5"/>
      <c r="C1589"/>
      <c r="D1589"/>
    </row>
    <row r="1590" spans="1:4" x14ac:dyDescent="0.25">
      <c r="A1590" s="5"/>
      <c r="C1590"/>
      <c r="D1590"/>
    </row>
    <row r="1591" spans="1:4" x14ac:dyDescent="0.25">
      <c r="A1591" s="5"/>
      <c r="C1591"/>
      <c r="D1591"/>
    </row>
    <row r="1592" spans="1:4" x14ac:dyDescent="0.25">
      <c r="A1592" s="5"/>
      <c r="C1592"/>
      <c r="D1592"/>
    </row>
    <row r="1593" spans="1:4" x14ac:dyDescent="0.25">
      <c r="A1593" s="5"/>
      <c r="C1593"/>
      <c r="D1593"/>
    </row>
    <row r="1594" spans="1:4" x14ac:dyDescent="0.25">
      <c r="A1594" s="5"/>
      <c r="C1594"/>
      <c r="D1594"/>
    </row>
    <row r="1595" spans="1:4" x14ac:dyDescent="0.25">
      <c r="A1595" s="5"/>
      <c r="C1595"/>
      <c r="D1595"/>
    </row>
    <row r="1596" spans="1:4" x14ac:dyDescent="0.25">
      <c r="A1596" s="5"/>
      <c r="C1596"/>
      <c r="D1596"/>
    </row>
    <row r="1597" spans="1:4" x14ac:dyDescent="0.25">
      <c r="A1597" s="5"/>
      <c r="C1597"/>
      <c r="D1597"/>
    </row>
    <row r="1598" spans="1:4" x14ac:dyDescent="0.25">
      <c r="A1598" s="5"/>
      <c r="C1598"/>
      <c r="D1598"/>
    </row>
    <row r="1599" spans="1:4" x14ac:dyDescent="0.25">
      <c r="A1599" s="5"/>
      <c r="C1599"/>
      <c r="D1599"/>
    </row>
    <row r="1600" spans="1:4" x14ac:dyDescent="0.25">
      <c r="A1600" s="5"/>
      <c r="C1600"/>
      <c r="D1600"/>
    </row>
    <row r="1601" spans="1:4" x14ac:dyDescent="0.25">
      <c r="A1601" s="5"/>
      <c r="C1601"/>
      <c r="D1601"/>
    </row>
    <row r="1602" spans="1:4" x14ac:dyDescent="0.25">
      <c r="A1602" s="5"/>
      <c r="C1602"/>
      <c r="D1602"/>
    </row>
    <row r="1603" spans="1:4" x14ac:dyDescent="0.25">
      <c r="A1603" s="5"/>
      <c r="C1603"/>
      <c r="D1603"/>
    </row>
    <row r="1604" spans="1:4" x14ac:dyDescent="0.25">
      <c r="A1604" s="5"/>
      <c r="C1604"/>
      <c r="D1604"/>
    </row>
    <row r="1605" spans="1:4" x14ac:dyDescent="0.25">
      <c r="A1605" s="5"/>
      <c r="C1605"/>
      <c r="D1605"/>
    </row>
    <row r="1606" spans="1:4" x14ac:dyDescent="0.25">
      <c r="A1606" s="5"/>
      <c r="C1606"/>
      <c r="D1606"/>
    </row>
    <row r="1607" spans="1:4" x14ac:dyDescent="0.25">
      <c r="A1607" s="5"/>
      <c r="C1607"/>
      <c r="D1607"/>
    </row>
    <row r="1608" spans="1:4" x14ac:dyDescent="0.25">
      <c r="A1608" s="5"/>
      <c r="C1608"/>
      <c r="D1608"/>
    </row>
    <row r="1609" spans="1:4" x14ac:dyDescent="0.25">
      <c r="A1609" s="5"/>
      <c r="C1609"/>
      <c r="D1609"/>
    </row>
    <row r="1610" spans="1:4" x14ac:dyDescent="0.25">
      <c r="A1610" s="5"/>
      <c r="C1610"/>
      <c r="D1610"/>
    </row>
    <row r="1611" spans="1:4" x14ac:dyDescent="0.25">
      <c r="A1611" s="5"/>
      <c r="C1611"/>
      <c r="D1611"/>
    </row>
    <row r="1612" spans="1:4" x14ac:dyDescent="0.25">
      <c r="A1612" s="5"/>
      <c r="C1612"/>
      <c r="D1612"/>
    </row>
    <row r="1613" spans="1:4" x14ac:dyDescent="0.25">
      <c r="A1613" s="5"/>
      <c r="C1613"/>
      <c r="D1613"/>
    </row>
    <row r="1614" spans="1:4" x14ac:dyDescent="0.25">
      <c r="A1614" s="5"/>
      <c r="C1614"/>
      <c r="D1614"/>
    </row>
    <row r="1615" spans="1:4" x14ac:dyDescent="0.25">
      <c r="A1615" s="5"/>
      <c r="C1615"/>
      <c r="D1615"/>
    </row>
    <row r="1616" spans="1:4" x14ac:dyDescent="0.25">
      <c r="A1616" s="5"/>
      <c r="C1616"/>
      <c r="D1616"/>
    </row>
    <row r="1617" spans="1:4" x14ac:dyDescent="0.25">
      <c r="A1617" s="5"/>
      <c r="C1617"/>
      <c r="D1617"/>
    </row>
    <row r="1618" spans="1:4" x14ac:dyDescent="0.25">
      <c r="A1618" s="5"/>
      <c r="C1618"/>
      <c r="D1618"/>
    </row>
    <row r="1619" spans="1:4" x14ac:dyDescent="0.25">
      <c r="A1619" s="5"/>
      <c r="C1619"/>
      <c r="D1619"/>
    </row>
    <row r="1620" spans="1:4" x14ac:dyDescent="0.25">
      <c r="A1620" s="5"/>
      <c r="C1620"/>
      <c r="D1620"/>
    </row>
    <row r="1621" spans="1:4" x14ac:dyDescent="0.25">
      <c r="A1621" s="5"/>
      <c r="C1621"/>
      <c r="D1621"/>
    </row>
    <row r="1622" spans="1:4" x14ac:dyDescent="0.25">
      <c r="A1622" s="5"/>
      <c r="C1622"/>
      <c r="D1622"/>
    </row>
    <row r="1623" spans="1:4" x14ac:dyDescent="0.25">
      <c r="A1623" s="5"/>
      <c r="C1623"/>
      <c r="D1623"/>
    </row>
    <row r="1624" spans="1:4" x14ac:dyDescent="0.25">
      <c r="A1624" s="5"/>
      <c r="C1624"/>
      <c r="D1624"/>
    </row>
    <row r="1625" spans="1:4" x14ac:dyDescent="0.25">
      <c r="A1625" s="5"/>
      <c r="C1625"/>
      <c r="D1625"/>
    </row>
    <row r="1626" spans="1:4" x14ac:dyDescent="0.25">
      <c r="A1626" s="5"/>
      <c r="C1626"/>
      <c r="D1626"/>
    </row>
    <row r="1627" spans="1:4" x14ac:dyDescent="0.25">
      <c r="A1627" s="5"/>
      <c r="C1627"/>
      <c r="D1627"/>
    </row>
    <row r="1628" spans="1:4" x14ac:dyDescent="0.25">
      <c r="A1628" s="5"/>
      <c r="C1628"/>
      <c r="D1628"/>
    </row>
    <row r="1629" spans="1:4" x14ac:dyDescent="0.25">
      <c r="A1629" s="5"/>
      <c r="C1629"/>
      <c r="D1629"/>
    </row>
    <row r="1630" spans="1:4" x14ac:dyDescent="0.25">
      <c r="A1630" s="5"/>
      <c r="C1630"/>
      <c r="D1630"/>
    </row>
    <row r="1631" spans="1:4" x14ac:dyDescent="0.25">
      <c r="A1631" s="5"/>
      <c r="C1631"/>
      <c r="D1631"/>
    </row>
    <row r="1632" spans="1:4" x14ac:dyDescent="0.25">
      <c r="A1632" s="5"/>
      <c r="C1632"/>
      <c r="D1632"/>
    </row>
    <row r="1633" spans="1:4" x14ac:dyDescent="0.25">
      <c r="A1633" s="5"/>
      <c r="C1633"/>
      <c r="D1633"/>
    </row>
    <row r="1634" spans="1:4" x14ac:dyDescent="0.25">
      <c r="A1634" s="5"/>
      <c r="C1634"/>
      <c r="D1634"/>
    </row>
    <row r="1635" spans="1:4" x14ac:dyDescent="0.25">
      <c r="A1635" s="5"/>
      <c r="C1635"/>
      <c r="D1635"/>
    </row>
    <row r="1636" spans="1:4" x14ac:dyDescent="0.25">
      <c r="A1636" s="5"/>
      <c r="C1636"/>
      <c r="D1636"/>
    </row>
    <row r="1637" spans="1:4" x14ac:dyDescent="0.25">
      <c r="A1637" s="5"/>
      <c r="C1637"/>
      <c r="D1637"/>
    </row>
    <row r="1638" spans="1:4" x14ac:dyDescent="0.25">
      <c r="A1638" s="5"/>
      <c r="C1638"/>
      <c r="D1638"/>
    </row>
    <row r="1639" spans="1:4" x14ac:dyDescent="0.25">
      <c r="A1639" s="5"/>
      <c r="C1639"/>
      <c r="D1639"/>
    </row>
    <row r="1640" spans="1:4" x14ac:dyDescent="0.25">
      <c r="A1640" s="5"/>
      <c r="C1640"/>
      <c r="D1640"/>
    </row>
    <row r="1641" spans="1:4" x14ac:dyDescent="0.25">
      <c r="A1641" s="5"/>
      <c r="C1641"/>
      <c r="D1641"/>
    </row>
    <row r="1642" spans="1:4" x14ac:dyDescent="0.25">
      <c r="A1642" s="5"/>
      <c r="C1642"/>
      <c r="D1642"/>
    </row>
    <row r="1643" spans="1:4" x14ac:dyDescent="0.25">
      <c r="A1643" s="5"/>
      <c r="C1643"/>
      <c r="D1643"/>
    </row>
    <row r="1644" spans="1:4" x14ac:dyDescent="0.25">
      <c r="A1644" s="5"/>
      <c r="C1644"/>
      <c r="D1644"/>
    </row>
    <row r="1645" spans="1:4" x14ac:dyDescent="0.25">
      <c r="A1645" s="5"/>
      <c r="C1645"/>
      <c r="D1645"/>
    </row>
    <row r="1646" spans="1:4" x14ac:dyDescent="0.25">
      <c r="A1646" s="5"/>
      <c r="C1646"/>
      <c r="D1646"/>
    </row>
    <row r="1647" spans="1:4" x14ac:dyDescent="0.25">
      <c r="A1647" s="5"/>
      <c r="C1647"/>
      <c r="D1647"/>
    </row>
    <row r="1648" spans="1:4" x14ac:dyDescent="0.25">
      <c r="A1648" s="5"/>
      <c r="C1648"/>
      <c r="D1648"/>
    </row>
    <row r="1649" spans="1:4" x14ac:dyDescent="0.25">
      <c r="A1649" s="5"/>
      <c r="C1649"/>
      <c r="D1649"/>
    </row>
    <row r="1650" spans="1:4" x14ac:dyDescent="0.25">
      <c r="A1650" s="5"/>
      <c r="C1650"/>
      <c r="D1650"/>
    </row>
    <row r="1651" spans="1:4" x14ac:dyDescent="0.25">
      <c r="A1651" s="5"/>
      <c r="C1651"/>
      <c r="D1651"/>
    </row>
    <row r="1652" spans="1:4" x14ac:dyDescent="0.25">
      <c r="A1652" s="5"/>
      <c r="C1652"/>
      <c r="D1652"/>
    </row>
    <row r="1653" spans="1:4" x14ac:dyDescent="0.25">
      <c r="A1653" s="5"/>
      <c r="C1653"/>
      <c r="D1653"/>
    </row>
    <row r="1654" spans="1:4" x14ac:dyDescent="0.25">
      <c r="A1654" s="5"/>
      <c r="C1654"/>
      <c r="D1654"/>
    </row>
    <row r="1655" spans="1:4" x14ac:dyDescent="0.25">
      <c r="A1655" s="5"/>
      <c r="C1655"/>
      <c r="D1655"/>
    </row>
    <row r="1656" spans="1:4" x14ac:dyDescent="0.25">
      <c r="A1656" s="5"/>
      <c r="C1656"/>
      <c r="D1656"/>
    </row>
    <row r="1657" spans="1:4" x14ac:dyDescent="0.25">
      <c r="A1657" s="5"/>
      <c r="C1657"/>
      <c r="D1657"/>
    </row>
    <row r="1658" spans="1:4" x14ac:dyDescent="0.25">
      <c r="A1658" s="5"/>
      <c r="C1658"/>
      <c r="D1658"/>
    </row>
    <row r="1659" spans="1:4" x14ac:dyDescent="0.25">
      <c r="A1659" s="5"/>
      <c r="C1659"/>
      <c r="D1659"/>
    </row>
    <row r="1660" spans="1:4" x14ac:dyDescent="0.25">
      <c r="A1660" s="5"/>
      <c r="C1660"/>
      <c r="D1660"/>
    </row>
    <row r="1661" spans="1:4" x14ac:dyDescent="0.25">
      <c r="A1661" s="5"/>
      <c r="C1661"/>
      <c r="D1661"/>
    </row>
    <row r="1662" spans="1:4" x14ac:dyDescent="0.25">
      <c r="A1662" s="5"/>
      <c r="C1662"/>
      <c r="D1662"/>
    </row>
    <row r="1663" spans="1:4" x14ac:dyDescent="0.25">
      <c r="A1663" s="5"/>
      <c r="C1663"/>
      <c r="D1663"/>
    </row>
    <row r="1664" spans="1:4" x14ac:dyDescent="0.25">
      <c r="A1664" s="5"/>
      <c r="C1664"/>
      <c r="D1664"/>
    </row>
    <row r="1665" spans="1:4" x14ac:dyDescent="0.25">
      <c r="A1665" s="5"/>
      <c r="C1665"/>
      <c r="D1665"/>
    </row>
    <row r="1666" spans="1:4" x14ac:dyDescent="0.25">
      <c r="A1666" s="5"/>
      <c r="C1666"/>
      <c r="D1666"/>
    </row>
    <row r="1667" spans="1:4" x14ac:dyDescent="0.25">
      <c r="A1667" s="5"/>
      <c r="C1667"/>
      <c r="D1667"/>
    </row>
    <row r="1668" spans="1:4" x14ac:dyDescent="0.25">
      <c r="A1668" s="5"/>
      <c r="C1668"/>
      <c r="D1668"/>
    </row>
    <row r="1669" spans="1:4" x14ac:dyDescent="0.25">
      <c r="A1669" s="5"/>
      <c r="C1669"/>
      <c r="D1669"/>
    </row>
    <row r="1670" spans="1:4" x14ac:dyDescent="0.25">
      <c r="A1670" s="5"/>
      <c r="C1670"/>
      <c r="D1670"/>
    </row>
    <row r="1671" spans="1:4" x14ac:dyDescent="0.25">
      <c r="A1671" s="5"/>
      <c r="C1671"/>
      <c r="D1671"/>
    </row>
    <row r="1672" spans="1:4" x14ac:dyDescent="0.25">
      <c r="A1672" s="5"/>
      <c r="C1672"/>
      <c r="D1672"/>
    </row>
    <row r="1673" spans="1:4" x14ac:dyDescent="0.25">
      <c r="A1673" s="5"/>
      <c r="C1673"/>
      <c r="D1673"/>
    </row>
    <row r="1674" spans="1:4" x14ac:dyDescent="0.25">
      <c r="A1674" s="5"/>
      <c r="C1674"/>
      <c r="D1674"/>
    </row>
    <row r="1675" spans="1:4" x14ac:dyDescent="0.25">
      <c r="A1675" s="5"/>
      <c r="C1675"/>
      <c r="D1675"/>
    </row>
    <row r="1676" spans="1:4" x14ac:dyDescent="0.25">
      <c r="A1676" s="5"/>
      <c r="C1676"/>
      <c r="D1676"/>
    </row>
    <row r="1677" spans="1:4" x14ac:dyDescent="0.25">
      <c r="A1677" s="5"/>
      <c r="C1677"/>
      <c r="D1677"/>
    </row>
    <row r="1678" spans="1:4" x14ac:dyDescent="0.25">
      <c r="A1678" s="5"/>
      <c r="C1678"/>
      <c r="D1678"/>
    </row>
    <row r="1679" spans="1:4" x14ac:dyDescent="0.25">
      <c r="A1679" s="5"/>
      <c r="C1679"/>
      <c r="D1679"/>
    </row>
    <row r="1680" spans="1:4" x14ac:dyDescent="0.25">
      <c r="A1680" s="5"/>
      <c r="C1680"/>
      <c r="D1680"/>
    </row>
    <row r="1681" spans="1:4" x14ac:dyDescent="0.25">
      <c r="A1681" s="5"/>
      <c r="C1681"/>
      <c r="D1681"/>
    </row>
    <row r="1682" spans="1:4" x14ac:dyDescent="0.25">
      <c r="A1682" s="5"/>
      <c r="C1682"/>
      <c r="D1682"/>
    </row>
    <row r="1683" spans="1:4" x14ac:dyDescent="0.25">
      <c r="A1683" s="5"/>
      <c r="C1683"/>
      <c r="D1683"/>
    </row>
    <row r="1684" spans="1:4" x14ac:dyDescent="0.25">
      <c r="A1684" s="5"/>
      <c r="C1684"/>
      <c r="D1684"/>
    </row>
    <row r="1685" spans="1:4" x14ac:dyDescent="0.25">
      <c r="A1685" s="5"/>
      <c r="C1685"/>
      <c r="D1685"/>
    </row>
    <row r="1686" spans="1:4" x14ac:dyDescent="0.25">
      <c r="A1686" s="5"/>
      <c r="C1686"/>
      <c r="D1686"/>
    </row>
    <row r="1687" spans="1:4" x14ac:dyDescent="0.25">
      <c r="A1687" s="5"/>
      <c r="C1687"/>
      <c r="D1687"/>
    </row>
    <row r="1688" spans="1:4" x14ac:dyDescent="0.25">
      <c r="A1688" s="5"/>
      <c r="C1688"/>
      <c r="D1688"/>
    </row>
    <row r="1689" spans="1:4" x14ac:dyDescent="0.25">
      <c r="A1689" s="5"/>
      <c r="C1689"/>
      <c r="D1689"/>
    </row>
    <row r="1690" spans="1:4" x14ac:dyDescent="0.25">
      <c r="A1690" s="5"/>
      <c r="C1690"/>
      <c r="D1690"/>
    </row>
    <row r="1691" spans="1:4" x14ac:dyDescent="0.25">
      <c r="A1691" s="5"/>
      <c r="C1691"/>
      <c r="D1691"/>
    </row>
    <row r="1692" spans="1:4" x14ac:dyDescent="0.25">
      <c r="A1692" s="5"/>
      <c r="C1692"/>
      <c r="D1692"/>
    </row>
    <row r="1693" spans="1:4" x14ac:dyDescent="0.25">
      <c r="A1693" s="5"/>
      <c r="C1693"/>
      <c r="D1693"/>
    </row>
    <row r="1694" spans="1:4" x14ac:dyDescent="0.25">
      <c r="A1694" s="5"/>
      <c r="C1694"/>
      <c r="D1694"/>
    </row>
    <row r="1695" spans="1:4" x14ac:dyDescent="0.25">
      <c r="A1695" s="5"/>
      <c r="C1695"/>
      <c r="D1695"/>
    </row>
    <row r="1696" spans="1:4" x14ac:dyDescent="0.25">
      <c r="A1696" s="5"/>
      <c r="C1696"/>
      <c r="D1696"/>
    </row>
    <row r="1697" spans="1:4" x14ac:dyDescent="0.25">
      <c r="A1697" s="5"/>
      <c r="C1697"/>
      <c r="D1697"/>
    </row>
    <row r="1698" spans="1:4" x14ac:dyDescent="0.25">
      <c r="A1698" s="5"/>
      <c r="C1698"/>
      <c r="D1698"/>
    </row>
    <row r="1699" spans="1:4" x14ac:dyDescent="0.25">
      <c r="A1699" s="5"/>
      <c r="C1699"/>
      <c r="D1699"/>
    </row>
    <row r="1700" spans="1:4" x14ac:dyDescent="0.25">
      <c r="A1700" s="5"/>
      <c r="C1700"/>
      <c r="D1700"/>
    </row>
    <row r="1701" spans="1:4" x14ac:dyDescent="0.25">
      <c r="A1701" s="5"/>
      <c r="C1701"/>
      <c r="D1701"/>
    </row>
    <row r="1702" spans="1:4" x14ac:dyDescent="0.25">
      <c r="A1702" s="5"/>
      <c r="C1702"/>
      <c r="D1702"/>
    </row>
    <row r="1703" spans="1:4" x14ac:dyDescent="0.25">
      <c r="A1703" s="5"/>
      <c r="C1703"/>
      <c r="D1703"/>
    </row>
    <row r="1704" spans="1:4" x14ac:dyDescent="0.25">
      <c r="A1704" s="5"/>
      <c r="C1704"/>
      <c r="D1704"/>
    </row>
    <row r="1705" spans="1:4" x14ac:dyDescent="0.25">
      <c r="A1705" s="5"/>
      <c r="C1705"/>
      <c r="D1705"/>
    </row>
    <row r="1706" spans="1:4" x14ac:dyDescent="0.25">
      <c r="A1706" s="5"/>
      <c r="C1706"/>
      <c r="D1706"/>
    </row>
    <row r="1707" spans="1:4" x14ac:dyDescent="0.25">
      <c r="A1707" s="5"/>
      <c r="C1707"/>
      <c r="D1707"/>
    </row>
    <row r="1708" spans="1:4" x14ac:dyDescent="0.25">
      <c r="A1708" s="5"/>
      <c r="C1708"/>
      <c r="D1708"/>
    </row>
    <row r="1709" spans="1:4" x14ac:dyDescent="0.25">
      <c r="A1709" s="5"/>
      <c r="C1709"/>
      <c r="D1709"/>
    </row>
    <row r="1710" spans="1:4" x14ac:dyDescent="0.25">
      <c r="A1710" s="5"/>
      <c r="C1710"/>
      <c r="D1710"/>
    </row>
    <row r="1711" spans="1:4" x14ac:dyDescent="0.25">
      <c r="A1711" s="5"/>
      <c r="C1711"/>
      <c r="D1711"/>
    </row>
    <row r="1712" spans="1:4" x14ac:dyDescent="0.25">
      <c r="A1712" s="5"/>
      <c r="C1712"/>
      <c r="D1712"/>
    </row>
    <row r="1713" spans="1:4" x14ac:dyDescent="0.25">
      <c r="A1713" s="5"/>
      <c r="C1713"/>
      <c r="D1713"/>
    </row>
    <row r="1714" spans="1:4" x14ac:dyDescent="0.25">
      <c r="A1714" s="5"/>
      <c r="C1714"/>
      <c r="D1714"/>
    </row>
    <row r="1715" spans="1:4" x14ac:dyDescent="0.25">
      <c r="A1715" s="5"/>
      <c r="C1715"/>
      <c r="D1715"/>
    </row>
    <row r="1716" spans="1:4" x14ac:dyDescent="0.25">
      <c r="A1716" s="5"/>
      <c r="C1716"/>
      <c r="D1716"/>
    </row>
    <row r="1717" spans="1:4" x14ac:dyDescent="0.25">
      <c r="A1717" s="5"/>
    </row>
    <row r="1718" spans="1:4" x14ac:dyDescent="0.25">
      <c r="A1718" s="5"/>
    </row>
    <row r="1719" spans="1:4" x14ac:dyDescent="0.25">
      <c r="A1719" s="5"/>
    </row>
    <row r="1720" spans="1:4" x14ac:dyDescent="0.25">
      <c r="A1720" s="5"/>
    </row>
    <row r="1721" spans="1:4" x14ac:dyDescent="0.25">
      <c r="A1721" s="5"/>
    </row>
    <row r="1722" spans="1:4" x14ac:dyDescent="0.25">
      <c r="A1722" s="5"/>
    </row>
    <row r="1723" spans="1:4" x14ac:dyDescent="0.25">
      <c r="A1723" s="5"/>
    </row>
    <row r="1724" spans="1:4" x14ac:dyDescent="0.25">
      <c r="A1724" s="5"/>
    </row>
    <row r="1725" spans="1:4" x14ac:dyDescent="0.25">
      <c r="A1725" s="5"/>
    </row>
    <row r="1726" spans="1:4" x14ac:dyDescent="0.25">
      <c r="A1726" s="5"/>
    </row>
    <row r="1727" spans="1:4" x14ac:dyDescent="0.25">
      <c r="A1727" s="5"/>
    </row>
    <row r="1728" spans="1:4" x14ac:dyDescent="0.25">
      <c r="A1728" s="5"/>
    </row>
    <row r="1729" spans="1:1" x14ac:dyDescent="0.25">
      <c r="A1729" s="5"/>
    </row>
    <row r="1730" spans="1:1" x14ac:dyDescent="0.25">
      <c r="A1730" s="5"/>
    </row>
    <row r="1731" spans="1:1" x14ac:dyDescent="0.25">
      <c r="A1731" s="5"/>
    </row>
    <row r="1732" spans="1:1" x14ac:dyDescent="0.25">
      <c r="A1732" s="5"/>
    </row>
    <row r="1733" spans="1:1" x14ac:dyDescent="0.25">
      <c r="A1733" s="5"/>
    </row>
    <row r="1734" spans="1:1" x14ac:dyDescent="0.25">
      <c r="A1734" s="5"/>
    </row>
    <row r="1735" spans="1:1" x14ac:dyDescent="0.25">
      <c r="A1735" s="5"/>
    </row>
    <row r="1736" spans="1:1" x14ac:dyDescent="0.25">
      <c r="A1736" s="5"/>
    </row>
    <row r="1737" spans="1:1" x14ac:dyDescent="0.25">
      <c r="A1737" s="5"/>
    </row>
    <row r="1738" spans="1:1" x14ac:dyDescent="0.25">
      <c r="A1738" s="5"/>
    </row>
    <row r="1739" spans="1:1" x14ac:dyDescent="0.25">
      <c r="A1739" s="5"/>
    </row>
    <row r="1740" spans="1:1" x14ac:dyDescent="0.25">
      <c r="A1740" s="5"/>
    </row>
    <row r="1741" spans="1:1" x14ac:dyDescent="0.25">
      <c r="A1741" s="5"/>
    </row>
    <row r="1742" spans="1:1" x14ac:dyDescent="0.25">
      <c r="A1742" s="5"/>
    </row>
    <row r="1743" spans="1:1" x14ac:dyDescent="0.25">
      <c r="A1743" s="5"/>
    </row>
    <row r="1744" spans="1:1" x14ac:dyDescent="0.25">
      <c r="A1744" s="5"/>
    </row>
    <row r="1745" spans="1:1" x14ac:dyDescent="0.25">
      <c r="A1745" s="5"/>
    </row>
    <row r="1746" spans="1:1" x14ac:dyDescent="0.25">
      <c r="A1746" s="5"/>
    </row>
    <row r="1747" spans="1:1" x14ac:dyDescent="0.25">
      <c r="A1747" s="5"/>
    </row>
    <row r="1748" spans="1:1" x14ac:dyDescent="0.25">
      <c r="A1748" s="5"/>
    </row>
    <row r="1749" spans="1:1" x14ac:dyDescent="0.25">
      <c r="A1749" s="5"/>
    </row>
    <row r="1750" spans="1:1" x14ac:dyDescent="0.25">
      <c r="A1750" s="5"/>
    </row>
    <row r="1751" spans="1:1" x14ac:dyDescent="0.25">
      <c r="A1751" s="5"/>
    </row>
    <row r="1752" spans="1:1" x14ac:dyDescent="0.25">
      <c r="A1752" s="5"/>
    </row>
    <row r="1753" spans="1:1" x14ac:dyDescent="0.25">
      <c r="A1753" s="5"/>
    </row>
    <row r="1754" spans="1:1" x14ac:dyDescent="0.25">
      <c r="A1754" s="5"/>
    </row>
    <row r="1755" spans="1:1" x14ac:dyDescent="0.25">
      <c r="A1755" s="5"/>
    </row>
    <row r="1756" spans="1:1" x14ac:dyDescent="0.25">
      <c r="A1756" s="5"/>
    </row>
    <row r="1757" spans="1:1" x14ac:dyDescent="0.25">
      <c r="A1757" s="5"/>
    </row>
    <row r="1758" spans="1:1" x14ac:dyDescent="0.25">
      <c r="A1758" s="5"/>
    </row>
    <row r="1759" spans="1:1" x14ac:dyDescent="0.25">
      <c r="A1759" s="5"/>
    </row>
    <row r="1760" spans="1:1" x14ac:dyDescent="0.25">
      <c r="A1760" s="5"/>
    </row>
    <row r="1761" spans="1:1" x14ac:dyDescent="0.25">
      <c r="A1761" s="5"/>
    </row>
    <row r="1762" spans="1:1" x14ac:dyDescent="0.25">
      <c r="A1762" s="5"/>
    </row>
    <row r="1763" spans="1:1" x14ac:dyDescent="0.25">
      <c r="A1763" s="5"/>
    </row>
    <row r="1764" spans="1:1" x14ac:dyDescent="0.25">
      <c r="A1764" s="5"/>
    </row>
    <row r="1765" spans="1:1" x14ac:dyDescent="0.25">
      <c r="A1765" s="5"/>
    </row>
    <row r="1766" spans="1:1" x14ac:dyDescent="0.25">
      <c r="A1766" s="5"/>
    </row>
    <row r="1767" spans="1:1" x14ac:dyDescent="0.25">
      <c r="A1767" s="5"/>
    </row>
    <row r="1768" spans="1:1" x14ac:dyDescent="0.25">
      <c r="A1768" s="5"/>
    </row>
    <row r="1769" spans="1:1" x14ac:dyDescent="0.25">
      <c r="A1769" s="5"/>
    </row>
    <row r="1770" spans="1:1" x14ac:dyDescent="0.25">
      <c r="A1770" s="5"/>
    </row>
    <row r="1771" spans="1:1" x14ac:dyDescent="0.25">
      <c r="A1771" s="5"/>
    </row>
    <row r="1772" spans="1:1" x14ac:dyDescent="0.25">
      <c r="A1772" s="5"/>
    </row>
    <row r="1773" spans="1:1" x14ac:dyDescent="0.25">
      <c r="A1773" s="5"/>
    </row>
    <row r="1774" spans="1:1" x14ac:dyDescent="0.25">
      <c r="A1774" s="5"/>
    </row>
    <row r="1775" spans="1:1" x14ac:dyDescent="0.25">
      <c r="A1775" s="5"/>
    </row>
    <row r="1776" spans="1:1" x14ac:dyDescent="0.25">
      <c r="A1776" s="5"/>
    </row>
    <row r="1777" spans="1:1" x14ac:dyDescent="0.25">
      <c r="A1777" s="5"/>
    </row>
    <row r="1778" spans="1:1" x14ac:dyDescent="0.25">
      <c r="A1778" s="5"/>
    </row>
    <row r="1779" spans="1:1" x14ac:dyDescent="0.25">
      <c r="A1779" s="5"/>
    </row>
    <row r="1780" spans="1:1" x14ac:dyDescent="0.25">
      <c r="A1780" s="5"/>
    </row>
    <row r="1781" spans="1:1" x14ac:dyDescent="0.25">
      <c r="A1781" s="5"/>
    </row>
    <row r="1782" spans="1:1" x14ac:dyDescent="0.25">
      <c r="A1782" s="5"/>
    </row>
    <row r="1783" spans="1:1" x14ac:dyDescent="0.25">
      <c r="A1783" s="5"/>
    </row>
    <row r="1784" spans="1:1" x14ac:dyDescent="0.25">
      <c r="A1784" s="5"/>
    </row>
    <row r="1785" spans="1:1" x14ac:dyDescent="0.25">
      <c r="A1785" s="5"/>
    </row>
    <row r="1786" spans="1:1" x14ac:dyDescent="0.25">
      <c r="A1786" s="5"/>
    </row>
    <row r="1787" spans="1:1" x14ac:dyDescent="0.25">
      <c r="A1787" s="5"/>
    </row>
    <row r="1788" spans="1:1" x14ac:dyDescent="0.25">
      <c r="A1788" s="5"/>
    </row>
    <row r="1789" spans="1:1" x14ac:dyDescent="0.25">
      <c r="A1789" s="5"/>
    </row>
    <row r="1790" spans="1:1" x14ac:dyDescent="0.25">
      <c r="A1790" s="5"/>
    </row>
    <row r="1791" spans="1:1" x14ac:dyDescent="0.25">
      <c r="A1791" s="5"/>
    </row>
    <row r="1792" spans="1:1" x14ac:dyDescent="0.25">
      <c r="A1792" s="5"/>
    </row>
    <row r="1793" spans="1:1" x14ac:dyDescent="0.25">
      <c r="A1793" s="5"/>
    </row>
    <row r="1794" spans="1:1" x14ac:dyDescent="0.25">
      <c r="A1794" s="5"/>
    </row>
    <row r="1795" spans="1:1" x14ac:dyDescent="0.25">
      <c r="A1795" s="5"/>
    </row>
    <row r="1796" spans="1:1" x14ac:dyDescent="0.25">
      <c r="A1796" s="5"/>
    </row>
    <row r="1797" spans="1:1" x14ac:dyDescent="0.25">
      <c r="A1797" s="5"/>
    </row>
    <row r="1798" spans="1:1" x14ac:dyDescent="0.25">
      <c r="A1798" s="5"/>
    </row>
    <row r="1799" spans="1:1" x14ac:dyDescent="0.25">
      <c r="A1799" s="5"/>
    </row>
    <row r="1800" spans="1:1" x14ac:dyDescent="0.25">
      <c r="A1800" s="5"/>
    </row>
    <row r="1801" spans="1:1" x14ac:dyDescent="0.25">
      <c r="A1801" s="5"/>
    </row>
    <row r="1802" spans="1:1" x14ac:dyDescent="0.25">
      <c r="A1802" s="5"/>
    </row>
    <row r="1803" spans="1:1" x14ac:dyDescent="0.25">
      <c r="A1803" s="5"/>
    </row>
    <row r="1804" spans="1:1" x14ac:dyDescent="0.25">
      <c r="A1804" s="5"/>
    </row>
    <row r="1805" spans="1:1" x14ac:dyDescent="0.25">
      <c r="A1805" s="5"/>
    </row>
    <row r="1806" spans="1:1" x14ac:dyDescent="0.25">
      <c r="A1806" s="5"/>
    </row>
    <row r="1807" spans="1:1" x14ac:dyDescent="0.25">
      <c r="A1807" s="5"/>
    </row>
    <row r="1808" spans="1:1" x14ac:dyDescent="0.25">
      <c r="A1808" s="5"/>
    </row>
    <row r="1809" spans="1:1" x14ac:dyDescent="0.25">
      <c r="A1809" s="5"/>
    </row>
    <row r="1810" spans="1:1" x14ac:dyDescent="0.25">
      <c r="A1810" s="5"/>
    </row>
    <row r="1811" spans="1:1" x14ac:dyDescent="0.25">
      <c r="A1811" s="5"/>
    </row>
    <row r="1812" spans="1:1" x14ac:dyDescent="0.25">
      <c r="A1812" s="5"/>
    </row>
    <row r="1813" spans="1:1" x14ac:dyDescent="0.25">
      <c r="A1813" s="5"/>
    </row>
    <row r="1814" spans="1:1" x14ac:dyDescent="0.25">
      <c r="A1814" s="5"/>
    </row>
    <row r="1815" spans="1:1" x14ac:dyDescent="0.25">
      <c r="A1815" s="5"/>
    </row>
    <row r="1816" spans="1:1" x14ac:dyDescent="0.25">
      <c r="A1816" s="5"/>
    </row>
    <row r="1817" spans="1:1" x14ac:dyDescent="0.25">
      <c r="A1817" s="5"/>
    </row>
    <row r="1818" spans="1:1" x14ac:dyDescent="0.25">
      <c r="A1818" s="5"/>
    </row>
    <row r="1819" spans="1:1" x14ac:dyDescent="0.25">
      <c r="A1819" s="5"/>
    </row>
    <row r="1820" spans="1:1" x14ac:dyDescent="0.25">
      <c r="A1820" s="5"/>
    </row>
    <row r="1821" spans="1:1" x14ac:dyDescent="0.25">
      <c r="A1821" s="5"/>
    </row>
    <row r="1822" spans="1:1" x14ac:dyDescent="0.25">
      <c r="A1822" s="5"/>
    </row>
    <row r="1823" spans="1:1" x14ac:dyDescent="0.25">
      <c r="A1823" s="5"/>
    </row>
    <row r="1824" spans="1:1" x14ac:dyDescent="0.25">
      <c r="A1824" s="5"/>
    </row>
    <row r="1825" spans="1:1" x14ac:dyDescent="0.25">
      <c r="A1825" s="5"/>
    </row>
    <row r="1826" spans="1:1" x14ac:dyDescent="0.25">
      <c r="A1826" s="5"/>
    </row>
    <row r="1827" spans="1:1" x14ac:dyDescent="0.25">
      <c r="A1827" s="5"/>
    </row>
    <row r="1828" spans="1:1" x14ac:dyDescent="0.25">
      <c r="A1828" s="5"/>
    </row>
    <row r="1829" spans="1:1" x14ac:dyDescent="0.25">
      <c r="A1829" s="5"/>
    </row>
    <row r="1830" spans="1:1" x14ac:dyDescent="0.25">
      <c r="A1830" s="5"/>
    </row>
    <row r="1831" spans="1:1" x14ac:dyDescent="0.25">
      <c r="A1831" s="5"/>
    </row>
    <row r="1832" spans="1:1" x14ac:dyDescent="0.25">
      <c r="A1832" s="5"/>
    </row>
    <row r="1833" spans="1:1" x14ac:dyDescent="0.25">
      <c r="A1833" s="5"/>
    </row>
    <row r="1834" spans="1:1" x14ac:dyDescent="0.25">
      <c r="A1834" s="5"/>
    </row>
    <row r="1835" spans="1:1" x14ac:dyDescent="0.25">
      <c r="A1835" s="5"/>
    </row>
    <row r="1836" spans="1:1" x14ac:dyDescent="0.25">
      <c r="A1836" s="5"/>
    </row>
    <row r="1837" spans="1:1" x14ac:dyDescent="0.25">
      <c r="A1837" s="5"/>
    </row>
    <row r="1838" spans="1:1" x14ac:dyDescent="0.25">
      <c r="A1838" s="5"/>
    </row>
    <row r="1839" spans="1:1" x14ac:dyDescent="0.25">
      <c r="A1839" s="5"/>
    </row>
    <row r="1840" spans="1:1" x14ac:dyDescent="0.25">
      <c r="A1840" s="5"/>
    </row>
    <row r="1841" spans="1:1" x14ac:dyDescent="0.25">
      <c r="A1841" s="5"/>
    </row>
    <row r="1842" spans="1:1" x14ac:dyDescent="0.25">
      <c r="A1842" s="5"/>
    </row>
    <row r="1843" spans="1:1" x14ac:dyDescent="0.25">
      <c r="A1843" s="5"/>
    </row>
    <row r="1844" spans="1:1" x14ac:dyDescent="0.25">
      <c r="A1844" s="5"/>
    </row>
    <row r="1845" spans="1:1" x14ac:dyDescent="0.25">
      <c r="A1845" s="5"/>
    </row>
    <row r="1846" spans="1:1" x14ac:dyDescent="0.25">
      <c r="A1846" s="5"/>
    </row>
    <row r="1847" spans="1:1" x14ac:dyDescent="0.25">
      <c r="A1847" s="5"/>
    </row>
    <row r="1848" spans="1:1" x14ac:dyDescent="0.25">
      <c r="A1848" s="5"/>
    </row>
    <row r="1849" spans="1:1" x14ac:dyDescent="0.25">
      <c r="A1849" s="5"/>
    </row>
    <row r="1850" spans="1:1" x14ac:dyDescent="0.25">
      <c r="A1850" s="5"/>
    </row>
    <row r="1851" spans="1:1" x14ac:dyDescent="0.25">
      <c r="A1851" s="5"/>
    </row>
    <row r="1852" spans="1:1" x14ac:dyDescent="0.25">
      <c r="A1852" s="5"/>
    </row>
    <row r="1853" spans="1:1" x14ac:dyDescent="0.25">
      <c r="A1853" s="5"/>
    </row>
    <row r="1854" spans="1:1" x14ac:dyDescent="0.25">
      <c r="A1854" s="5"/>
    </row>
    <row r="1855" spans="1:1" x14ac:dyDescent="0.25">
      <c r="A1855" s="5"/>
    </row>
    <row r="1856" spans="1:1" x14ac:dyDescent="0.25">
      <c r="A1856" s="5"/>
    </row>
    <row r="1857" spans="1:1" x14ac:dyDescent="0.25">
      <c r="A1857" s="5"/>
    </row>
    <row r="1858" spans="1:1" x14ac:dyDescent="0.25">
      <c r="A1858" s="5"/>
    </row>
    <row r="1859" spans="1:1" x14ac:dyDescent="0.25">
      <c r="A1859" s="5"/>
    </row>
    <row r="1860" spans="1:1" x14ac:dyDescent="0.25">
      <c r="A1860" s="5"/>
    </row>
    <row r="1861" spans="1:1" x14ac:dyDescent="0.25">
      <c r="A1861" s="5"/>
    </row>
    <row r="1862" spans="1:1" x14ac:dyDescent="0.25">
      <c r="A1862" s="5"/>
    </row>
    <row r="1863" spans="1:1" x14ac:dyDescent="0.25">
      <c r="A1863" s="5"/>
    </row>
    <row r="1864" spans="1:1" x14ac:dyDescent="0.25">
      <c r="A1864" s="5"/>
    </row>
    <row r="1865" spans="1:1" x14ac:dyDescent="0.25">
      <c r="A1865" s="5"/>
    </row>
    <row r="1866" spans="1:1" x14ac:dyDescent="0.25">
      <c r="A1866" s="5"/>
    </row>
    <row r="1867" spans="1:1" x14ac:dyDescent="0.25">
      <c r="A1867" s="5"/>
    </row>
    <row r="1868" spans="1:1" x14ac:dyDescent="0.25">
      <c r="A1868" s="5"/>
    </row>
    <row r="1869" spans="1:1" x14ac:dyDescent="0.25">
      <c r="A1869" s="5"/>
    </row>
    <row r="1870" spans="1:1" x14ac:dyDescent="0.25">
      <c r="A1870" s="5"/>
    </row>
    <row r="1871" spans="1:1" x14ac:dyDescent="0.25">
      <c r="A1871" s="5"/>
    </row>
    <row r="1872" spans="1:1" x14ac:dyDescent="0.25">
      <c r="A1872" s="5"/>
    </row>
    <row r="1873" spans="1:1" x14ac:dyDescent="0.25">
      <c r="A1873" s="5"/>
    </row>
    <row r="1874" spans="1:1" x14ac:dyDescent="0.25">
      <c r="A1874" s="5"/>
    </row>
    <row r="1875" spans="1:1" x14ac:dyDescent="0.25">
      <c r="A1875" s="5"/>
    </row>
    <row r="1876" spans="1:1" x14ac:dyDescent="0.25">
      <c r="A1876" s="5"/>
    </row>
    <row r="1877" spans="1:1" x14ac:dyDescent="0.25">
      <c r="A1877" s="5"/>
    </row>
    <row r="1878" spans="1:1" x14ac:dyDescent="0.25">
      <c r="A1878" s="5"/>
    </row>
    <row r="1879" spans="1:1" x14ac:dyDescent="0.25">
      <c r="A1879" s="5"/>
    </row>
    <row r="1880" spans="1:1" x14ac:dyDescent="0.25">
      <c r="A1880" s="5"/>
    </row>
    <row r="1881" spans="1:1" x14ac:dyDescent="0.25">
      <c r="A1881" s="5"/>
    </row>
    <row r="1882" spans="1:1" x14ac:dyDescent="0.25">
      <c r="A1882" s="5"/>
    </row>
    <row r="1883" spans="1:1" x14ac:dyDescent="0.25">
      <c r="A1883" s="5"/>
    </row>
    <row r="1884" spans="1:1" x14ac:dyDescent="0.25">
      <c r="A1884" s="5"/>
    </row>
    <row r="1885" spans="1:1" x14ac:dyDescent="0.25">
      <c r="A1885" s="5"/>
    </row>
    <row r="1886" spans="1:1" x14ac:dyDescent="0.25">
      <c r="A1886" s="5"/>
    </row>
    <row r="1887" spans="1:1" x14ac:dyDescent="0.25">
      <c r="A1887" s="5"/>
    </row>
    <row r="1888" spans="1:1" x14ac:dyDescent="0.25">
      <c r="A1888" s="5"/>
    </row>
    <row r="1889" spans="1:1" x14ac:dyDescent="0.25">
      <c r="A1889" s="5"/>
    </row>
    <row r="1890" spans="1:1" x14ac:dyDescent="0.25">
      <c r="A1890" s="5"/>
    </row>
    <row r="1891" spans="1:1" x14ac:dyDescent="0.25">
      <c r="A1891" s="5"/>
    </row>
    <row r="1892" spans="1:1" x14ac:dyDescent="0.25">
      <c r="A1892" s="5"/>
    </row>
    <row r="1893" spans="1:1" x14ac:dyDescent="0.25">
      <c r="A1893" s="5"/>
    </row>
    <row r="1894" spans="1:1" x14ac:dyDescent="0.25">
      <c r="A1894" s="5"/>
    </row>
    <row r="1895" spans="1:1" x14ac:dyDescent="0.25">
      <c r="A1895" s="5"/>
    </row>
    <row r="1896" spans="1:1" x14ac:dyDescent="0.25">
      <c r="A1896" s="5"/>
    </row>
    <row r="1897" spans="1:1" x14ac:dyDescent="0.25">
      <c r="A1897" s="5"/>
    </row>
    <row r="1898" spans="1:1" x14ac:dyDescent="0.25">
      <c r="A1898" s="5"/>
    </row>
    <row r="1899" spans="1:1" x14ac:dyDescent="0.25">
      <c r="A1899" s="5"/>
    </row>
    <row r="1900" spans="1:1" x14ac:dyDescent="0.25">
      <c r="A1900" s="5"/>
    </row>
    <row r="1901" spans="1:1" x14ac:dyDescent="0.25">
      <c r="A1901" s="5"/>
    </row>
    <row r="1902" spans="1:1" x14ac:dyDescent="0.25">
      <c r="A1902" s="5"/>
    </row>
    <row r="1903" spans="1:1" x14ac:dyDescent="0.25">
      <c r="A1903" s="5"/>
    </row>
    <row r="1904" spans="1:1" x14ac:dyDescent="0.25">
      <c r="A1904" s="5"/>
    </row>
    <row r="1905" spans="1:1" x14ac:dyDescent="0.25">
      <c r="A1905" s="5"/>
    </row>
    <row r="1906" spans="1:1" x14ac:dyDescent="0.25">
      <c r="A1906" s="5"/>
    </row>
    <row r="1907" spans="1:1" x14ac:dyDescent="0.25">
      <c r="A1907" s="5"/>
    </row>
    <row r="1908" spans="1:1" x14ac:dyDescent="0.25">
      <c r="A1908" s="5"/>
    </row>
    <row r="1909" spans="1:1" x14ac:dyDescent="0.25">
      <c r="A1909" s="5"/>
    </row>
    <row r="1910" spans="1:1" x14ac:dyDescent="0.25">
      <c r="A1910" s="5"/>
    </row>
    <row r="1911" spans="1:1" x14ac:dyDescent="0.25">
      <c r="A1911" s="5"/>
    </row>
    <row r="1912" spans="1:1" x14ac:dyDescent="0.25">
      <c r="A1912" s="5"/>
    </row>
    <row r="1913" spans="1:1" x14ac:dyDescent="0.25">
      <c r="A1913" s="5"/>
    </row>
    <row r="1914" spans="1:1" x14ac:dyDescent="0.25">
      <c r="A1914" s="5"/>
    </row>
    <row r="1915" spans="1:1" x14ac:dyDescent="0.25">
      <c r="A1915" s="5"/>
    </row>
    <row r="1916" spans="1:1" x14ac:dyDescent="0.25">
      <c r="A1916" s="5"/>
    </row>
    <row r="1917" spans="1:1" x14ac:dyDescent="0.25">
      <c r="A1917" s="5"/>
    </row>
    <row r="1918" spans="1:1" x14ac:dyDescent="0.25">
      <c r="A1918" s="5"/>
    </row>
    <row r="1919" spans="1:1" x14ac:dyDescent="0.25">
      <c r="A1919" s="5"/>
    </row>
    <row r="1920" spans="1:1" x14ac:dyDescent="0.25">
      <c r="A1920" s="5"/>
    </row>
    <row r="1921" spans="1:1" x14ac:dyDescent="0.25">
      <c r="A1921" s="5"/>
    </row>
    <row r="1922" spans="1:1" x14ac:dyDescent="0.25">
      <c r="A1922" s="5"/>
    </row>
    <row r="1923" spans="1:1" x14ac:dyDescent="0.25">
      <c r="A1923" s="5"/>
    </row>
    <row r="1924" spans="1:1" x14ac:dyDescent="0.25">
      <c r="A1924" s="5"/>
    </row>
    <row r="1925" spans="1:1" x14ac:dyDescent="0.25">
      <c r="A1925" s="5"/>
    </row>
    <row r="1926" spans="1:1" x14ac:dyDescent="0.25">
      <c r="A1926" s="5"/>
    </row>
    <row r="1927" spans="1:1" x14ac:dyDescent="0.25">
      <c r="A1927" s="5"/>
    </row>
    <row r="1928" spans="1:1" x14ac:dyDescent="0.25">
      <c r="A1928" s="5"/>
    </row>
    <row r="1929" spans="1:1" x14ac:dyDescent="0.25">
      <c r="A1929" s="5"/>
    </row>
    <row r="1930" spans="1:1" x14ac:dyDescent="0.25">
      <c r="A1930" s="5"/>
    </row>
    <row r="1931" spans="1:1" x14ac:dyDescent="0.25">
      <c r="A1931" s="5"/>
    </row>
    <row r="1932" spans="1:1" x14ac:dyDescent="0.25">
      <c r="A1932" s="5"/>
    </row>
    <row r="1933" spans="1:1" x14ac:dyDescent="0.25">
      <c r="A1933" s="5"/>
    </row>
    <row r="1934" spans="1:1" x14ac:dyDescent="0.25">
      <c r="A1934" s="5"/>
    </row>
    <row r="1935" spans="1:1" x14ac:dyDescent="0.25">
      <c r="A1935" s="5"/>
    </row>
    <row r="1936" spans="1:1" x14ac:dyDescent="0.25">
      <c r="A1936" s="5"/>
    </row>
    <row r="1937" spans="1:1" x14ac:dyDescent="0.25">
      <c r="A1937" s="5"/>
    </row>
    <row r="1938" spans="1:1" x14ac:dyDescent="0.25">
      <c r="A1938" s="5"/>
    </row>
    <row r="1939" spans="1:1" x14ac:dyDescent="0.25">
      <c r="A1939" s="5"/>
    </row>
    <row r="1940" spans="1:1" x14ac:dyDescent="0.25">
      <c r="A1940" s="5"/>
    </row>
    <row r="1941" spans="1:1" x14ac:dyDescent="0.25">
      <c r="A1941" s="5"/>
    </row>
    <row r="1942" spans="1:1" x14ac:dyDescent="0.25">
      <c r="A1942" s="5"/>
    </row>
    <row r="1943" spans="1:1" x14ac:dyDescent="0.25">
      <c r="A1943" s="5"/>
    </row>
    <row r="1944" spans="1:1" x14ac:dyDescent="0.25">
      <c r="A1944" s="5"/>
    </row>
    <row r="1945" spans="1:1" x14ac:dyDescent="0.25">
      <c r="A1945" s="5"/>
    </row>
    <row r="1946" spans="1:1" x14ac:dyDescent="0.25">
      <c r="A1946" s="5"/>
    </row>
    <row r="1947" spans="1:1" x14ac:dyDescent="0.25">
      <c r="A1947" s="5"/>
    </row>
    <row r="1948" spans="1:1" x14ac:dyDescent="0.25">
      <c r="A1948" s="5"/>
    </row>
    <row r="1949" spans="1:1" x14ac:dyDescent="0.25">
      <c r="A1949" s="5"/>
    </row>
    <row r="1950" spans="1:1" x14ac:dyDescent="0.25">
      <c r="A1950" s="5"/>
    </row>
    <row r="1951" spans="1:1" x14ac:dyDescent="0.25">
      <c r="A1951" s="5"/>
    </row>
    <row r="1952" spans="1:1" x14ac:dyDescent="0.25">
      <c r="A1952" s="5"/>
    </row>
    <row r="1953" spans="1:1" x14ac:dyDescent="0.25">
      <c r="A1953" s="5"/>
    </row>
    <row r="1954" spans="1:1" x14ac:dyDescent="0.25">
      <c r="A1954" s="5"/>
    </row>
    <row r="1955" spans="1:1" x14ac:dyDescent="0.25">
      <c r="A1955" s="5"/>
    </row>
    <row r="1956" spans="1:1" x14ac:dyDescent="0.25">
      <c r="A1956" s="5"/>
    </row>
    <row r="1957" spans="1:1" x14ac:dyDescent="0.25">
      <c r="A1957" s="5"/>
    </row>
    <row r="1958" spans="1:1" x14ac:dyDescent="0.25">
      <c r="A1958" s="5"/>
    </row>
    <row r="1959" spans="1:1" x14ac:dyDescent="0.25">
      <c r="A1959" s="5"/>
    </row>
    <row r="1960" spans="1:1" x14ac:dyDescent="0.25">
      <c r="A1960" s="5"/>
    </row>
    <row r="1961" spans="1:1" x14ac:dyDescent="0.25">
      <c r="A1961" s="5"/>
    </row>
    <row r="1962" spans="1:1" x14ac:dyDescent="0.25">
      <c r="A1962" s="5"/>
    </row>
    <row r="1963" spans="1:1" x14ac:dyDescent="0.25">
      <c r="A1963" s="5"/>
    </row>
    <row r="1964" spans="1:1" x14ac:dyDescent="0.25">
      <c r="A1964" s="5"/>
    </row>
    <row r="1965" spans="1:1" x14ac:dyDescent="0.25">
      <c r="A1965" s="5"/>
    </row>
    <row r="1966" spans="1:1" x14ac:dyDescent="0.25">
      <c r="A1966" s="5"/>
    </row>
    <row r="1967" spans="1:1" x14ac:dyDescent="0.25">
      <c r="A1967" s="5"/>
    </row>
    <row r="1968" spans="1:1" x14ac:dyDescent="0.25">
      <c r="A1968" s="5"/>
    </row>
    <row r="1969" spans="1:1" x14ac:dyDescent="0.25">
      <c r="A1969" s="5"/>
    </row>
    <row r="1970" spans="1:1" x14ac:dyDescent="0.25">
      <c r="A1970" s="5"/>
    </row>
    <row r="1971" spans="1:1" x14ac:dyDescent="0.25">
      <c r="A1971" s="5"/>
    </row>
    <row r="1972" spans="1:1" x14ac:dyDescent="0.25">
      <c r="A1972" s="5"/>
    </row>
    <row r="1973" spans="1:1" x14ac:dyDescent="0.25">
      <c r="A1973" s="5"/>
    </row>
    <row r="1974" spans="1:1" x14ac:dyDescent="0.25">
      <c r="A1974" s="5"/>
    </row>
    <row r="1975" spans="1:1" x14ac:dyDescent="0.25">
      <c r="A1975" s="5"/>
    </row>
    <row r="1976" spans="1:1" x14ac:dyDescent="0.25">
      <c r="A1976" s="5"/>
    </row>
    <row r="1977" spans="1:1" x14ac:dyDescent="0.25">
      <c r="A1977" s="5"/>
    </row>
    <row r="1978" spans="1:1" x14ac:dyDescent="0.25">
      <c r="A1978" s="5"/>
    </row>
    <row r="1979" spans="1:1" x14ac:dyDescent="0.25">
      <c r="A1979" s="5"/>
    </row>
    <row r="1980" spans="1:1" x14ac:dyDescent="0.25">
      <c r="A1980" s="5"/>
    </row>
    <row r="1981" spans="1:1" x14ac:dyDescent="0.25">
      <c r="A1981" s="5"/>
    </row>
    <row r="1982" spans="1:1" x14ac:dyDescent="0.25">
      <c r="A1982" s="5"/>
    </row>
    <row r="1983" spans="1:1" x14ac:dyDescent="0.25">
      <c r="A1983" s="5"/>
    </row>
    <row r="1984" spans="1:1" x14ac:dyDescent="0.25">
      <c r="A1984" s="5"/>
    </row>
    <row r="1985" spans="1:1" x14ac:dyDescent="0.25">
      <c r="A1985" s="5"/>
    </row>
    <row r="1986" spans="1:1" x14ac:dyDescent="0.25">
      <c r="A1986" s="5"/>
    </row>
    <row r="1987" spans="1:1" x14ac:dyDescent="0.25">
      <c r="A1987" s="5"/>
    </row>
    <row r="1988" spans="1:1" x14ac:dyDescent="0.25">
      <c r="A1988" s="5"/>
    </row>
    <row r="1989" spans="1:1" x14ac:dyDescent="0.25">
      <c r="A1989" s="5"/>
    </row>
    <row r="1990" spans="1:1" x14ac:dyDescent="0.25">
      <c r="A1990" s="5"/>
    </row>
    <row r="1991" spans="1:1" x14ac:dyDescent="0.25">
      <c r="A1991" s="5"/>
    </row>
    <row r="1992" spans="1:1" x14ac:dyDescent="0.25">
      <c r="A1992" s="5"/>
    </row>
    <row r="1993" spans="1:1" x14ac:dyDescent="0.25">
      <c r="A1993" s="5"/>
    </row>
    <row r="1994" spans="1:1" x14ac:dyDescent="0.25">
      <c r="A1994" s="5"/>
    </row>
    <row r="1995" spans="1:1" x14ac:dyDescent="0.25">
      <c r="A1995" s="5"/>
    </row>
    <row r="1996" spans="1:1" x14ac:dyDescent="0.25">
      <c r="A1996" s="5"/>
    </row>
    <row r="1997" spans="1:1" x14ac:dyDescent="0.25">
      <c r="A1997" s="5"/>
    </row>
    <row r="1998" spans="1:1" x14ac:dyDescent="0.25">
      <c r="A1998" s="5"/>
    </row>
    <row r="1999" spans="1:1" x14ac:dyDescent="0.25">
      <c r="A1999" s="5"/>
    </row>
    <row r="2000" spans="1:1" x14ac:dyDescent="0.25">
      <c r="A2000" s="5"/>
    </row>
    <row r="2001" spans="1:1" x14ac:dyDescent="0.25">
      <c r="A2001" s="5"/>
    </row>
    <row r="2002" spans="1:1" x14ac:dyDescent="0.25">
      <c r="A2002" s="5"/>
    </row>
    <row r="2003" spans="1:1" x14ac:dyDescent="0.25">
      <c r="A2003" s="5"/>
    </row>
    <row r="2004" spans="1:1" x14ac:dyDescent="0.25">
      <c r="A2004" s="5"/>
    </row>
    <row r="2005" spans="1:1" x14ac:dyDescent="0.25">
      <c r="A2005" s="5"/>
    </row>
    <row r="2006" spans="1:1" x14ac:dyDescent="0.25">
      <c r="A2006" s="5"/>
    </row>
    <row r="2007" spans="1:1" x14ac:dyDescent="0.25">
      <c r="A2007" s="5"/>
    </row>
    <row r="2008" spans="1:1" x14ac:dyDescent="0.25">
      <c r="A2008" s="5"/>
    </row>
    <row r="2009" spans="1:1" x14ac:dyDescent="0.25">
      <c r="A2009" s="5"/>
    </row>
    <row r="2010" spans="1:1" x14ac:dyDescent="0.25">
      <c r="A2010" s="5"/>
    </row>
    <row r="2011" spans="1:1" x14ac:dyDescent="0.25">
      <c r="A2011" s="5"/>
    </row>
    <row r="2012" spans="1:1" x14ac:dyDescent="0.25">
      <c r="A2012" s="5"/>
    </row>
    <row r="2013" spans="1:1" x14ac:dyDescent="0.25">
      <c r="A2013" s="5"/>
    </row>
    <row r="2014" spans="1:1" x14ac:dyDescent="0.25">
      <c r="A2014" s="5"/>
    </row>
    <row r="2015" spans="1:1" x14ac:dyDescent="0.25">
      <c r="A2015" s="5"/>
    </row>
    <row r="2016" spans="1:1" x14ac:dyDescent="0.25">
      <c r="A2016" s="5"/>
    </row>
    <row r="2017" spans="1:1" x14ac:dyDescent="0.25">
      <c r="A2017" s="5"/>
    </row>
    <row r="2018" spans="1:1" x14ac:dyDescent="0.25">
      <c r="A2018" s="5"/>
    </row>
    <row r="2019" spans="1:1" x14ac:dyDescent="0.25">
      <c r="A2019" s="5"/>
    </row>
    <row r="2020" spans="1:1" x14ac:dyDescent="0.25">
      <c r="A2020" s="5"/>
    </row>
    <row r="2021" spans="1:1" x14ac:dyDescent="0.25">
      <c r="A2021" s="5"/>
    </row>
    <row r="2022" spans="1:1" x14ac:dyDescent="0.25">
      <c r="A2022" s="5"/>
    </row>
    <row r="2023" spans="1:1" x14ac:dyDescent="0.25">
      <c r="A2023" s="5"/>
    </row>
    <row r="2024" spans="1:1" x14ac:dyDescent="0.25">
      <c r="A2024" s="5"/>
    </row>
    <row r="2025" spans="1:1" x14ac:dyDescent="0.25">
      <c r="A2025" s="5"/>
    </row>
    <row r="2026" spans="1:1" x14ac:dyDescent="0.25">
      <c r="A2026" s="5"/>
    </row>
    <row r="2027" spans="1:1" x14ac:dyDescent="0.25">
      <c r="A2027" s="5"/>
    </row>
    <row r="2028" spans="1:1" x14ac:dyDescent="0.25">
      <c r="A2028" s="5"/>
    </row>
    <row r="2029" spans="1:1" x14ac:dyDescent="0.25">
      <c r="A2029" s="5"/>
    </row>
    <row r="2030" spans="1:1" x14ac:dyDescent="0.25">
      <c r="A2030" s="5"/>
    </row>
    <row r="2031" spans="1:1" x14ac:dyDescent="0.25">
      <c r="A2031" s="5"/>
    </row>
    <row r="2032" spans="1:1" x14ac:dyDescent="0.25">
      <c r="A2032" s="5"/>
    </row>
    <row r="2033" spans="1:1" x14ac:dyDescent="0.25">
      <c r="A2033" s="5"/>
    </row>
    <row r="2034" spans="1:1" x14ac:dyDescent="0.25">
      <c r="A2034" s="5"/>
    </row>
    <row r="2035" spans="1:1" x14ac:dyDescent="0.25">
      <c r="A2035" s="5"/>
    </row>
    <row r="2036" spans="1:1" x14ac:dyDescent="0.25">
      <c r="A2036" s="5"/>
    </row>
    <row r="2037" spans="1:1" x14ac:dyDescent="0.25">
      <c r="A2037" s="5"/>
    </row>
    <row r="2038" spans="1:1" x14ac:dyDescent="0.25">
      <c r="A2038" s="5"/>
    </row>
    <row r="2039" spans="1:1" x14ac:dyDescent="0.25">
      <c r="A2039" s="5"/>
    </row>
    <row r="2040" spans="1:1" x14ac:dyDescent="0.25">
      <c r="A2040" s="5"/>
    </row>
    <row r="2041" spans="1:1" x14ac:dyDescent="0.25">
      <c r="A2041" s="5"/>
    </row>
    <row r="2042" spans="1:1" x14ac:dyDescent="0.25">
      <c r="A2042" s="5"/>
    </row>
    <row r="2043" spans="1:1" x14ac:dyDescent="0.25">
      <c r="A2043" s="5"/>
    </row>
    <row r="2044" spans="1:1" x14ac:dyDescent="0.25">
      <c r="A2044" s="5"/>
    </row>
    <row r="2045" spans="1:1" x14ac:dyDescent="0.25">
      <c r="A2045" s="5"/>
    </row>
    <row r="2046" spans="1:1" x14ac:dyDescent="0.25">
      <c r="A2046" s="5"/>
    </row>
    <row r="2047" spans="1:1" x14ac:dyDescent="0.25">
      <c r="A2047" s="5"/>
    </row>
    <row r="2048" spans="1:1" x14ac:dyDescent="0.25">
      <c r="A2048" s="5"/>
    </row>
    <row r="2049" spans="1:1" x14ac:dyDescent="0.25">
      <c r="A2049" s="5"/>
    </row>
    <row r="2050" spans="1:1" x14ac:dyDescent="0.25">
      <c r="A2050" s="5"/>
    </row>
    <row r="2051" spans="1:1" x14ac:dyDescent="0.25">
      <c r="A2051" s="5"/>
    </row>
    <row r="2052" spans="1:1" x14ac:dyDescent="0.25">
      <c r="A2052" s="5"/>
    </row>
    <row r="2053" spans="1:1" x14ac:dyDescent="0.25">
      <c r="A2053" s="5"/>
    </row>
    <row r="2054" spans="1:1" x14ac:dyDescent="0.25">
      <c r="A2054" s="5"/>
    </row>
    <row r="2055" spans="1:1" x14ac:dyDescent="0.25">
      <c r="A2055" s="5"/>
    </row>
    <row r="2056" spans="1:1" x14ac:dyDescent="0.25">
      <c r="A2056" s="5"/>
    </row>
    <row r="2057" spans="1:1" x14ac:dyDescent="0.25">
      <c r="A2057" s="5"/>
    </row>
    <row r="2058" spans="1:1" x14ac:dyDescent="0.25">
      <c r="A2058" s="5"/>
    </row>
    <row r="2059" spans="1:1" x14ac:dyDescent="0.25">
      <c r="A2059" s="5"/>
    </row>
    <row r="2060" spans="1:1" x14ac:dyDescent="0.25">
      <c r="A2060" s="5"/>
    </row>
    <row r="2061" spans="1:1" x14ac:dyDescent="0.25">
      <c r="A2061" s="5"/>
    </row>
    <row r="2062" spans="1:1" x14ac:dyDescent="0.25">
      <c r="A2062" s="5"/>
    </row>
    <row r="2063" spans="1:1" x14ac:dyDescent="0.25">
      <c r="A2063" s="5"/>
    </row>
    <row r="2064" spans="1:1" x14ac:dyDescent="0.25">
      <c r="A2064" s="5"/>
    </row>
    <row r="2065" spans="1:1" x14ac:dyDescent="0.25">
      <c r="A2065" s="5"/>
    </row>
    <row r="2066" spans="1:1" x14ac:dyDescent="0.25">
      <c r="A2066" s="5"/>
    </row>
    <row r="2067" spans="1:1" x14ac:dyDescent="0.25">
      <c r="A2067" s="5"/>
    </row>
    <row r="2068" spans="1:1" x14ac:dyDescent="0.25">
      <c r="A2068" s="5"/>
    </row>
    <row r="2069" spans="1:1" x14ac:dyDescent="0.25">
      <c r="A2069" s="5"/>
    </row>
    <row r="2070" spans="1:1" x14ac:dyDescent="0.25">
      <c r="A2070" s="5"/>
    </row>
    <row r="2071" spans="1:1" x14ac:dyDescent="0.25">
      <c r="A2071" s="5"/>
    </row>
    <row r="2072" spans="1:1" x14ac:dyDescent="0.25">
      <c r="A2072" s="5"/>
    </row>
    <row r="2073" spans="1:1" x14ac:dyDescent="0.25">
      <c r="A2073" s="5"/>
    </row>
    <row r="2074" spans="1:1" x14ac:dyDescent="0.25">
      <c r="A2074" s="5"/>
    </row>
    <row r="2075" spans="1:1" x14ac:dyDescent="0.25">
      <c r="A2075" s="5"/>
    </row>
    <row r="2076" spans="1:1" x14ac:dyDescent="0.25">
      <c r="A2076" s="5"/>
    </row>
    <row r="2077" spans="1:1" x14ac:dyDescent="0.25">
      <c r="A2077" s="5"/>
    </row>
    <row r="2078" spans="1:1" x14ac:dyDescent="0.25">
      <c r="A2078" s="5"/>
    </row>
    <row r="2079" spans="1:1" x14ac:dyDescent="0.25">
      <c r="A2079" s="5"/>
    </row>
    <row r="2080" spans="1:1" x14ac:dyDescent="0.25">
      <c r="A2080" s="5"/>
    </row>
    <row r="2081" spans="1:1" x14ac:dyDescent="0.25">
      <c r="A2081" s="5"/>
    </row>
    <row r="2082" spans="1:1" x14ac:dyDescent="0.25">
      <c r="A2082" s="5"/>
    </row>
    <row r="2083" spans="1:1" x14ac:dyDescent="0.25">
      <c r="A2083" s="5"/>
    </row>
    <row r="2084" spans="1:1" x14ac:dyDescent="0.25">
      <c r="A2084" s="5"/>
    </row>
    <row r="2085" spans="1:1" x14ac:dyDescent="0.25">
      <c r="A2085" s="5"/>
    </row>
    <row r="2086" spans="1:1" x14ac:dyDescent="0.25">
      <c r="A2086" s="5"/>
    </row>
    <row r="2087" spans="1:1" x14ac:dyDescent="0.25">
      <c r="A2087" s="5"/>
    </row>
    <row r="2088" spans="1:1" x14ac:dyDescent="0.25">
      <c r="A2088" s="5"/>
    </row>
    <row r="2089" spans="1:1" x14ac:dyDescent="0.25">
      <c r="A2089" s="5"/>
    </row>
    <row r="2090" spans="1:1" x14ac:dyDescent="0.25">
      <c r="A2090" s="5"/>
    </row>
    <row r="2091" spans="1:1" x14ac:dyDescent="0.25">
      <c r="A2091" s="5"/>
    </row>
    <row r="2092" spans="1:1" x14ac:dyDescent="0.25">
      <c r="A2092" s="5"/>
    </row>
    <row r="2093" spans="1:1" x14ac:dyDescent="0.25">
      <c r="A2093" s="5"/>
    </row>
    <row r="2094" spans="1:1" x14ac:dyDescent="0.25">
      <c r="A2094" s="5"/>
    </row>
    <row r="2095" spans="1:1" x14ac:dyDescent="0.25">
      <c r="A2095" s="5"/>
    </row>
    <row r="2096" spans="1:1" x14ac:dyDescent="0.25">
      <c r="A2096" s="5"/>
    </row>
    <row r="2097" spans="1:1" x14ac:dyDescent="0.25">
      <c r="A2097" s="5"/>
    </row>
    <row r="2098" spans="1:1" x14ac:dyDescent="0.25">
      <c r="A2098" s="5"/>
    </row>
    <row r="2099" spans="1:1" x14ac:dyDescent="0.25">
      <c r="A2099" s="5"/>
    </row>
    <row r="2100" spans="1:1" x14ac:dyDescent="0.25">
      <c r="A2100" s="5"/>
    </row>
    <row r="2101" spans="1:1" x14ac:dyDescent="0.25">
      <c r="A2101" s="5"/>
    </row>
    <row r="2102" spans="1:1" x14ac:dyDescent="0.25">
      <c r="A2102" s="5"/>
    </row>
    <row r="2103" spans="1:1" x14ac:dyDescent="0.25">
      <c r="A2103" s="5"/>
    </row>
    <row r="2104" spans="1:1" x14ac:dyDescent="0.25">
      <c r="A2104" s="5"/>
    </row>
    <row r="2105" spans="1:1" x14ac:dyDescent="0.25">
      <c r="A2105" s="5"/>
    </row>
    <row r="2106" spans="1:1" x14ac:dyDescent="0.25">
      <c r="A2106" s="5"/>
    </row>
    <row r="2107" spans="1:1" x14ac:dyDescent="0.25">
      <c r="A2107" s="5"/>
    </row>
    <row r="2108" spans="1:1" x14ac:dyDescent="0.25">
      <c r="A2108" s="5"/>
    </row>
    <row r="2109" spans="1:1" x14ac:dyDescent="0.25">
      <c r="A2109" s="5"/>
    </row>
    <row r="2110" spans="1:1" x14ac:dyDescent="0.25">
      <c r="A2110" s="5"/>
    </row>
    <row r="2111" spans="1:1" x14ac:dyDescent="0.25">
      <c r="A2111" s="5"/>
    </row>
    <row r="2112" spans="1:1" x14ac:dyDescent="0.25">
      <c r="A2112" s="5"/>
    </row>
    <row r="2113" spans="1:1" x14ac:dyDescent="0.25">
      <c r="A2113" s="5"/>
    </row>
    <row r="2114" spans="1:1" x14ac:dyDescent="0.25">
      <c r="A2114" s="5"/>
    </row>
    <row r="2115" spans="1:1" x14ac:dyDescent="0.25">
      <c r="A2115" s="5"/>
    </row>
    <row r="2116" spans="1:1" x14ac:dyDescent="0.25">
      <c r="A2116" s="5"/>
    </row>
    <row r="2117" spans="1:1" x14ac:dyDescent="0.25">
      <c r="A2117" s="5"/>
    </row>
    <row r="2118" spans="1:1" x14ac:dyDescent="0.25">
      <c r="A2118" s="5"/>
    </row>
    <row r="2119" spans="1:1" x14ac:dyDescent="0.25">
      <c r="A2119" s="5"/>
    </row>
    <row r="2120" spans="1:1" x14ac:dyDescent="0.25">
      <c r="A2120" s="5"/>
    </row>
    <row r="2121" spans="1:1" x14ac:dyDescent="0.25">
      <c r="A2121" s="5"/>
    </row>
    <row r="2122" spans="1:1" x14ac:dyDescent="0.25">
      <c r="A2122" s="5"/>
    </row>
    <row r="2123" spans="1:1" x14ac:dyDescent="0.25">
      <c r="A2123" s="5"/>
    </row>
    <row r="2124" spans="1:1" x14ac:dyDescent="0.25">
      <c r="A2124" s="5"/>
    </row>
    <row r="2125" spans="1:1" x14ac:dyDescent="0.25">
      <c r="A2125" s="5"/>
    </row>
    <row r="2126" spans="1:1" x14ac:dyDescent="0.25">
      <c r="A2126" s="5"/>
    </row>
    <row r="2127" spans="1:1" x14ac:dyDescent="0.25">
      <c r="A2127" s="5"/>
    </row>
    <row r="2128" spans="1:1" x14ac:dyDescent="0.25">
      <c r="A2128" s="5"/>
    </row>
    <row r="2129" spans="1:1" x14ac:dyDescent="0.25">
      <c r="A2129" s="5"/>
    </row>
    <row r="2130" spans="1:1" x14ac:dyDescent="0.25">
      <c r="A2130" s="5"/>
    </row>
    <row r="2131" spans="1:1" x14ac:dyDescent="0.25">
      <c r="A2131" s="5"/>
    </row>
    <row r="2132" spans="1:1" x14ac:dyDescent="0.25">
      <c r="A2132" s="5"/>
    </row>
    <row r="2133" spans="1:1" x14ac:dyDescent="0.25">
      <c r="A2133" s="5"/>
    </row>
    <row r="2134" spans="1:1" x14ac:dyDescent="0.25">
      <c r="A2134" s="5"/>
    </row>
    <row r="2135" spans="1:1" x14ac:dyDescent="0.25">
      <c r="A2135" s="5"/>
    </row>
    <row r="2136" spans="1:1" x14ac:dyDescent="0.25">
      <c r="A2136" s="5"/>
    </row>
    <row r="2137" spans="1:1" x14ac:dyDescent="0.25">
      <c r="A2137" s="5"/>
    </row>
    <row r="2138" spans="1:1" x14ac:dyDescent="0.25">
      <c r="A2138" s="5"/>
    </row>
    <row r="2139" spans="1:1" x14ac:dyDescent="0.25">
      <c r="A2139" s="5"/>
    </row>
    <row r="2140" spans="1:1" x14ac:dyDescent="0.25">
      <c r="A2140" s="5"/>
    </row>
    <row r="2141" spans="1:1" x14ac:dyDescent="0.25">
      <c r="A2141" s="5"/>
    </row>
    <row r="2142" spans="1:1" x14ac:dyDescent="0.25">
      <c r="A2142" s="5"/>
    </row>
    <row r="2143" spans="1:1" x14ac:dyDescent="0.25">
      <c r="A2143" s="5"/>
    </row>
    <row r="2144" spans="1:1" x14ac:dyDescent="0.25">
      <c r="A2144" s="5"/>
    </row>
    <row r="2145" spans="1:1" x14ac:dyDescent="0.25">
      <c r="A2145" s="5"/>
    </row>
    <row r="2146" spans="1:1" x14ac:dyDescent="0.25">
      <c r="A2146" s="5"/>
    </row>
    <row r="2147" spans="1:1" x14ac:dyDescent="0.25">
      <c r="A2147" s="5"/>
    </row>
    <row r="2148" spans="1:1" x14ac:dyDescent="0.25">
      <c r="A2148" s="5"/>
    </row>
    <row r="2149" spans="1:1" x14ac:dyDescent="0.25">
      <c r="A2149" s="5"/>
    </row>
    <row r="2150" spans="1:1" x14ac:dyDescent="0.25">
      <c r="A2150" s="5"/>
    </row>
    <row r="2151" spans="1:1" x14ac:dyDescent="0.25">
      <c r="A2151" s="5"/>
    </row>
    <row r="2152" spans="1:1" x14ac:dyDescent="0.25">
      <c r="A2152" s="5"/>
    </row>
    <row r="2153" spans="1:1" x14ac:dyDescent="0.25">
      <c r="A2153" s="5"/>
    </row>
    <row r="2154" spans="1:1" x14ac:dyDescent="0.25">
      <c r="A2154" s="5"/>
    </row>
    <row r="2155" spans="1:1" x14ac:dyDescent="0.25">
      <c r="A2155" s="5"/>
    </row>
    <row r="2156" spans="1:1" x14ac:dyDescent="0.25">
      <c r="A2156" s="5"/>
    </row>
    <row r="2157" spans="1:1" x14ac:dyDescent="0.25">
      <c r="A2157" s="5"/>
    </row>
    <row r="2158" spans="1:1" x14ac:dyDescent="0.25">
      <c r="A2158" s="5"/>
    </row>
    <row r="2159" spans="1:1" x14ac:dyDescent="0.25">
      <c r="A2159" s="5"/>
    </row>
    <row r="2160" spans="1:1" x14ac:dyDescent="0.25">
      <c r="A2160" s="5"/>
    </row>
    <row r="2161" spans="1:1" x14ac:dyDescent="0.25">
      <c r="A2161" s="5"/>
    </row>
    <row r="2162" spans="1:1" x14ac:dyDescent="0.25">
      <c r="A2162" s="5"/>
    </row>
    <row r="2163" spans="1:1" x14ac:dyDescent="0.25">
      <c r="A2163" s="5"/>
    </row>
    <row r="2164" spans="1:1" x14ac:dyDescent="0.25">
      <c r="A2164" s="5"/>
    </row>
    <row r="2165" spans="1:1" x14ac:dyDescent="0.25">
      <c r="A2165" s="5"/>
    </row>
    <row r="2166" spans="1:1" x14ac:dyDescent="0.25">
      <c r="A2166" s="5"/>
    </row>
    <row r="2167" spans="1:1" x14ac:dyDescent="0.25">
      <c r="A2167" s="5"/>
    </row>
    <row r="2168" spans="1:1" x14ac:dyDescent="0.25">
      <c r="A2168" s="5"/>
    </row>
    <row r="2169" spans="1:1" x14ac:dyDescent="0.25">
      <c r="A2169" s="5"/>
    </row>
    <row r="2170" spans="1:1" x14ac:dyDescent="0.25">
      <c r="A2170" s="5"/>
    </row>
    <row r="2171" spans="1:1" x14ac:dyDescent="0.25">
      <c r="A2171" s="5"/>
    </row>
    <row r="2172" spans="1:1" x14ac:dyDescent="0.25">
      <c r="A2172" s="5"/>
    </row>
    <row r="2173" spans="1:1" x14ac:dyDescent="0.25">
      <c r="A2173" s="5"/>
    </row>
    <row r="2174" spans="1:1" x14ac:dyDescent="0.25">
      <c r="A2174" s="5"/>
    </row>
    <row r="2175" spans="1:1" x14ac:dyDescent="0.25">
      <c r="A2175" s="5"/>
    </row>
    <row r="2176" spans="1:1" x14ac:dyDescent="0.25">
      <c r="A2176" s="5"/>
    </row>
    <row r="2177" spans="1:1" x14ac:dyDescent="0.25">
      <c r="A2177" s="5"/>
    </row>
    <row r="2178" spans="1:1" x14ac:dyDescent="0.25">
      <c r="A2178" s="5"/>
    </row>
    <row r="2179" spans="1:1" x14ac:dyDescent="0.25">
      <c r="A2179" s="5"/>
    </row>
    <row r="2180" spans="1:1" x14ac:dyDescent="0.25">
      <c r="A2180" s="5"/>
    </row>
    <row r="2181" spans="1:1" x14ac:dyDescent="0.25">
      <c r="A2181" s="5"/>
    </row>
    <row r="2182" spans="1:1" x14ac:dyDescent="0.25">
      <c r="A2182" s="5"/>
    </row>
    <row r="2183" spans="1:1" x14ac:dyDescent="0.25">
      <c r="A2183" s="5"/>
    </row>
    <row r="2184" spans="1:1" x14ac:dyDescent="0.25">
      <c r="A2184" s="5"/>
    </row>
    <row r="2185" spans="1:1" x14ac:dyDescent="0.25">
      <c r="A2185" s="5"/>
    </row>
    <row r="2186" spans="1:1" x14ac:dyDescent="0.25">
      <c r="A2186" s="5"/>
    </row>
    <row r="2187" spans="1:1" x14ac:dyDescent="0.25">
      <c r="A2187" s="5"/>
    </row>
    <row r="2188" spans="1:1" x14ac:dyDescent="0.25">
      <c r="A2188" s="5"/>
    </row>
    <row r="2189" spans="1:1" x14ac:dyDescent="0.25">
      <c r="A2189" s="5"/>
    </row>
    <row r="2190" spans="1:1" x14ac:dyDescent="0.25">
      <c r="A2190" s="5"/>
    </row>
    <row r="2191" spans="1:1" x14ac:dyDescent="0.25">
      <c r="A2191" s="5"/>
    </row>
    <row r="2192" spans="1:1" x14ac:dyDescent="0.25">
      <c r="A2192" s="5"/>
    </row>
    <row r="2193" spans="1:1" x14ac:dyDescent="0.25">
      <c r="A2193" s="5"/>
    </row>
    <row r="2194" spans="1:1" x14ac:dyDescent="0.25">
      <c r="A2194" s="5"/>
    </row>
    <row r="2195" spans="1:1" x14ac:dyDescent="0.25">
      <c r="A2195" s="5"/>
    </row>
    <row r="2196" spans="1:1" x14ac:dyDescent="0.25">
      <c r="A2196" s="5"/>
    </row>
    <row r="2197" spans="1:1" x14ac:dyDescent="0.25">
      <c r="A2197" s="5"/>
    </row>
    <row r="2198" spans="1:1" x14ac:dyDescent="0.25">
      <c r="A2198" s="5"/>
    </row>
    <row r="2199" spans="1:1" x14ac:dyDescent="0.25">
      <c r="A2199" s="5"/>
    </row>
    <row r="2200" spans="1:1" x14ac:dyDescent="0.25">
      <c r="A2200" s="5"/>
    </row>
    <row r="2201" spans="1:1" x14ac:dyDescent="0.25">
      <c r="A2201" s="5"/>
    </row>
    <row r="2202" spans="1:1" x14ac:dyDescent="0.25">
      <c r="A2202" s="5"/>
    </row>
    <row r="2203" spans="1:1" x14ac:dyDescent="0.25">
      <c r="A2203" s="5"/>
    </row>
    <row r="2204" spans="1:1" x14ac:dyDescent="0.25">
      <c r="A2204" s="5"/>
    </row>
    <row r="2205" spans="1:1" x14ac:dyDescent="0.25">
      <c r="A2205" s="5"/>
    </row>
    <row r="2206" spans="1:1" x14ac:dyDescent="0.25">
      <c r="A2206" s="5"/>
    </row>
    <row r="2207" spans="1:1" x14ac:dyDescent="0.25">
      <c r="A2207" s="5"/>
    </row>
    <row r="2208" spans="1:1" x14ac:dyDescent="0.25">
      <c r="A2208" s="5"/>
    </row>
    <row r="2209" spans="1:1" x14ac:dyDescent="0.25">
      <c r="A2209" s="5"/>
    </row>
    <row r="2210" spans="1:1" x14ac:dyDescent="0.25">
      <c r="A2210" s="5"/>
    </row>
    <row r="2211" spans="1:1" x14ac:dyDescent="0.25">
      <c r="A2211" s="5"/>
    </row>
    <row r="2212" spans="1:1" x14ac:dyDescent="0.25">
      <c r="A2212" s="5"/>
    </row>
    <row r="2213" spans="1:1" x14ac:dyDescent="0.25">
      <c r="A2213" s="5"/>
    </row>
    <row r="2214" spans="1:1" x14ac:dyDescent="0.25">
      <c r="A2214" s="5"/>
    </row>
    <row r="2215" spans="1:1" x14ac:dyDescent="0.25">
      <c r="A2215" s="5"/>
    </row>
    <row r="2216" spans="1:1" x14ac:dyDescent="0.25">
      <c r="A2216" s="5"/>
    </row>
    <row r="2217" spans="1:1" x14ac:dyDescent="0.25">
      <c r="A2217" s="5"/>
    </row>
    <row r="2218" spans="1:1" x14ac:dyDescent="0.25">
      <c r="A2218" s="5"/>
    </row>
    <row r="2219" spans="1:1" x14ac:dyDescent="0.25">
      <c r="A2219" s="5"/>
    </row>
    <row r="2220" spans="1:1" x14ac:dyDescent="0.25">
      <c r="A2220" s="5"/>
    </row>
    <row r="2221" spans="1:1" x14ac:dyDescent="0.25">
      <c r="A2221" s="5"/>
    </row>
    <row r="2222" spans="1:1" x14ac:dyDescent="0.25">
      <c r="A2222" s="5"/>
    </row>
    <row r="2223" spans="1:1" x14ac:dyDescent="0.25">
      <c r="A2223" s="5"/>
    </row>
    <row r="2224" spans="1:1" x14ac:dyDescent="0.25">
      <c r="A2224" s="5"/>
    </row>
    <row r="2225" spans="1:1" x14ac:dyDescent="0.25">
      <c r="A2225" s="5"/>
    </row>
    <row r="2226" spans="1:1" x14ac:dyDescent="0.25">
      <c r="A2226" s="5"/>
    </row>
    <row r="2227" spans="1:1" x14ac:dyDescent="0.25">
      <c r="A2227" s="5"/>
    </row>
    <row r="2228" spans="1:1" x14ac:dyDescent="0.25">
      <c r="A2228" s="5"/>
    </row>
    <row r="2229" spans="1:1" x14ac:dyDescent="0.25">
      <c r="A2229" s="5"/>
    </row>
    <row r="2230" spans="1:1" x14ac:dyDescent="0.25">
      <c r="A2230" s="5"/>
    </row>
    <row r="2231" spans="1:1" x14ac:dyDescent="0.25">
      <c r="A2231" s="5"/>
    </row>
    <row r="2232" spans="1:1" x14ac:dyDescent="0.25">
      <c r="A2232" s="5"/>
    </row>
    <row r="2233" spans="1:1" x14ac:dyDescent="0.25">
      <c r="A2233" s="5"/>
    </row>
    <row r="2234" spans="1:1" x14ac:dyDescent="0.25">
      <c r="A2234" s="5"/>
    </row>
    <row r="2235" spans="1:1" x14ac:dyDescent="0.25">
      <c r="A2235" s="5"/>
    </row>
    <row r="2236" spans="1:1" x14ac:dyDescent="0.25">
      <c r="A2236" s="5"/>
    </row>
    <row r="2237" spans="1:1" x14ac:dyDescent="0.25">
      <c r="A2237" s="5"/>
    </row>
    <row r="2238" spans="1:1" x14ac:dyDescent="0.25">
      <c r="A2238" s="5"/>
    </row>
    <row r="2239" spans="1:1" x14ac:dyDescent="0.25">
      <c r="A2239" s="5"/>
    </row>
    <row r="2240" spans="1:1" x14ac:dyDescent="0.25">
      <c r="A2240" s="5"/>
    </row>
    <row r="2241" spans="1:1" x14ac:dyDescent="0.25">
      <c r="A2241" s="5"/>
    </row>
    <row r="2242" spans="1:1" x14ac:dyDescent="0.25">
      <c r="A2242" s="5"/>
    </row>
    <row r="2243" spans="1:1" x14ac:dyDescent="0.25">
      <c r="A2243" s="5"/>
    </row>
    <row r="2244" spans="1:1" x14ac:dyDescent="0.25">
      <c r="A2244" s="5"/>
    </row>
    <row r="2245" spans="1:1" x14ac:dyDescent="0.25">
      <c r="A2245" s="5"/>
    </row>
    <row r="2246" spans="1:1" x14ac:dyDescent="0.25">
      <c r="A2246" s="5"/>
    </row>
    <row r="2247" spans="1:1" x14ac:dyDescent="0.25">
      <c r="A2247" s="5"/>
    </row>
    <row r="2248" spans="1:1" x14ac:dyDescent="0.25">
      <c r="A2248" s="5"/>
    </row>
    <row r="2249" spans="1:1" x14ac:dyDescent="0.25">
      <c r="A2249" s="5"/>
    </row>
    <row r="2250" spans="1:1" x14ac:dyDescent="0.25">
      <c r="A2250" s="5"/>
    </row>
    <row r="2251" spans="1:1" x14ac:dyDescent="0.25">
      <c r="A2251" s="5"/>
    </row>
    <row r="2252" spans="1:1" x14ac:dyDescent="0.25">
      <c r="A2252" s="5"/>
    </row>
    <row r="2253" spans="1:1" x14ac:dyDescent="0.25">
      <c r="A2253" s="5"/>
    </row>
    <row r="2254" spans="1:1" x14ac:dyDescent="0.25">
      <c r="A2254" s="5"/>
    </row>
    <row r="2255" spans="1:1" x14ac:dyDescent="0.25">
      <c r="A2255" s="5"/>
    </row>
    <row r="2256" spans="1:1" x14ac:dyDescent="0.25">
      <c r="A2256" s="5"/>
    </row>
    <row r="2257" spans="1:1" x14ac:dyDescent="0.25">
      <c r="A2257" s="5"/>
    </row>
    <row r="2258" spans="1:1" x14ac:dyDescent="0.25">
      <c r="A2258" s="5"/>
    </row>
    <row r="2259" spans="1:1" x14ac:dyDescent="0.25">
      <c r="A2259" s="5"/>
    </row>
    <row r="2260" spans="1:1" x14ac:dyDescent="0.25">
      <c r="A2260" s="5"/>
    </row>
    <row r="2261" spans="1:1" x14ac:dyDescent="0.25">
      <c r="A2261" s="5"/>
    </row>
    <row r="2262" spans="1:1" x14ac:dyDescent="0.25">
      <c r="A2262" s="5"/>
    </row>
    <row r="2263" spans="1:1" x14ac:dyDescent="0.25">
      <c r="A2263" s="5"/>
    </row>
    <row r="2264" spans="1:1" x14ac:dyDescent="0.25">
      <c r="A2264" s="5"/>
    </row>
    <row r="2265" spans="1:1" x14ac:dyDescent="0.25">
      <c r="A2265" s="5"/>
    </row>
    <row r="2266" spans="1:1" x14ac:dyDescent="0.25">
      <c r="A2266" s="5"/>
    </row>
    <row r="2267" spans="1:1" x14ac:dyDescent="0.25">
      <c r="A2267" s="5"/>
    </row>
    <row r="2268" spans="1:1" x14ac:dyDescent="0.25">
      <c r="A2268" s="5"/>
    </row>
    <row r="2269" spans="1:1" x14ac:dyDescent="0.25">
      <c r="A2269" s="5"/>
    </row>
    <row r="2270" spans="1:1" x14ac:dyDescent="0.25">
      <c r="A2270" s="5"/>
    </row>
    <row r="2271" spans="1:1" x14ac:dyDescent="0.25">
      <c r="A2271" s="5"/>
    </row>
    <row r="2272" spans="1:1" x14ac:dyDescent="0.25">
      <c r="A2272" s="5"/>
    </row>
    <row r="2273" spans="1:1" x14ac:dyDescent="0.25">
      <c r="A2273" s="5"/>
    </row>
    <row r="2274" spans="1:1" x14ac:dyDescent="0.25">
      <c r="A2274" s="5"/>
    </row>
    <row r="2275" spans="1:1" x14ac:dyDescent="0.25">
      <c r="A2275" s="5"/>
    </row>
    <row r="2276" spans="1:1" x14ac:dyDescent="0.25">
      <c r="A2276" s="5"/>
    </row>
    <row r="2277" spans="1:1" x14ac:dyDescent="0.25">
      <c r="A2277" s="5"/>
    </row>
    <row r="2278" spans="1:1" x14ac:dyDescent="0.25">
      <c r="A2278" s="5"/>
    </row>
    <row r="2279" spans="1:1" x14ac:dyDescent="0.25">
      <c r="A2279" s="5"/>
    </row>
    <row r="2280" spans="1:1" x14ac:dyDescent="0.25">
      <c r="A2280" s="5"/>
    </row>
    <row r="2281" spans="1:1" x14ac:dyDescent="0.25">
      <c r="A2281" s="5"/>
    </row>
    <row r="2282" spans="1:1" x14ac:dyDescent="0.25">
      <c r="A2282" s="5"/>
    </row>
    <row r="2283" spans="1:1" x14ac:dyDescent="0.25">
      <c r="A2283" s="5"/>
    </row>
    <row r="2284" spans="1:1" x14ac:dyDescent="0.25">
      <c r="A2284" s="5"/>
    </row>
    <row r="2285" spans="1:1" x14ac:dyDescent="0.25">
      <c r="A2285" s="5"/>
    </row>
    <row r="2286" spans="1:1" x14ac:dyDescent="0.25">
      <c r="A2286" s="5"/>
    </row>
    <row r="2287" spans="1:1" x14ac:dyDescent="0.25">
      <c r="A2287" s="5"/>
    </row>
    <row r="2288" spans="1:1" x14ac:dyDescent="0.25">
      <c r="A2288" s="5"/>
    </row>
    <row r="2289" spans="1:1" x14ac:dyDescent="0.25">
      <c r="A2289" s="5"/>
    </row>
    <row r="2290" spans="1:1" x14ac:dyDescent="0.25">
      <c r="A2290" s="5"/>
    </row>
    <row r="2291" spans="1:1" x14ac:dyDescent="0.25">
      <c r="A2291" s="5"/>
    </row>
    <row r="2292" spans="1:1" x14ac:dyDescent="0.25">
      <c r="A2292" s="5"/>
    </row>
    <row r="2293" spans="1:1" x14ac:dyDescent="0.25">
      <c r="A2293" s="5"/>
    </row>
    <row r="2294" spans="1:1" x14ac:dyDescent="0.25">
      <c r="A2294" s="5"/>
    </row>
    <row r="2295" spans="1:1" x14ac:dyDescent="0.25">
      <c r="A2295" s="5"/>
    </row>
    <row r="2296" spans="1:1" x14ac:dyDescent="0.25">
      <c r="A2296" s="5"/>
    </row>
    <row r="2297" spans="1:1" x14ac:dyDescent="0.25">
      <c r="A2297" s="5"/>
    </row>
    <row r="2298" spans="1:1" x14ac:dyDescent="0.25">
      <c r="A2298" s="5"/>
    </row>
    <row r="2299" spans="1:1" x14ac:dyDescent="0.25">
      <c r="A2299" s="5"/>
    </row>
    <row r="2300" spans="1:1" x14ac:dyDescent="0.25">
      <c r="A2300" s="5"/>
    </row>
    <row r="2301" spans="1:1" x14ac:dyDescent="0.25">
      <c r="A2301" s="5"/>
    </row>
    <row r="2302" spans="1:1" x14ac:dyDescent="0.25">
      <c r="A2302" s="5"/>
    </row>
    <row r="2303" spans="1:1" x14ac:dyDescent="0.25">
      <c r="A2303" s="5"/>
    </row>
    <row r="2304" spans="1:1" x14ac:dyDescent="0.25">
      <c r="A2304" s="5"/>
    </row>
    <row r="2305" spans="1:1" x14ac:dyDescent="0.25">
      <c r="A2305" s="5"/>
    </row>
    <row r="2306" spans="1:1" x14ac:dyDescent="0.25">
      <c r="A2306" s="5"/>
    </row>
    <row r="2307" spans="1:1" x14ac:dyDescent="0.25">
      <c r="A2307" s="5"/>
    </row>
    <row r="2308" spans="1:1" x14ac:dyDescent="0.25">
      <c r="A2308" s="5"/>
    </row>
    <row r="2309" spans="1:1" x14ac:dyDescent="0.25">
      <c r="A2309" s="5"/>
    </row>
    <row r="2310" spans="1:1" x14ac:dyDescent="0.25">
      <c r="A2310" s="5"/>
    </row>
    <row r="2311" spans="1:1" x14ac:dyDescent="0.25">
      <c r="A2311" s="5"/>
    </row>
    <row r="2312" spans="1:1" x14ac:dyDescent="0.25">
      <c r="A2312" s="5"/>
    </row>
    <row r="2313" spans="1:1" x14ac:dyDescent="0.25">
      <c r="A2313" s="5"/>
    </row>
    <row r="2314" spans="1:1" x14ac:dyDescent="0.25">
      <c r="A2314" s="5"/>
    </row>
    <row r="2315" spans="1:1" x14ac:dyDescent="0.25">
      <c r="A2315" s="5"/>
    </row>
    <row r="2316" spans="1:1" x14ac:dyDescent="0.25">
      <c r="A2316" s="5"/>
    </row>
    <row r="2317" spans="1:1" x14ac:dyDescent="0.25">
      <c r="A2317" s="5"/>
    </row>
    <row r="2318" spans="1:1" x14ac:dyDescent="0.25">
      <c r="A2318" s="5"/>
    </row>
    <row r="2319" spans="1:1" x14ac:dyDescent="0.25">
      <c r="A2319" s="5"/>
    </row>
    <row r="2320" spans="1:1" x14ac:dyDescent="0.25">
      <c r="A2320" s="5"/>
    </row>
    <row r="2321" spans="1:1" x14ac:dyDescent="0.25">
      <c r="A2321" s="5"/>
    </row>
    <row r="2322" spans="1:1" x14ac:dyDescent="0.25">
      <c r="A2322" s="5"/>
    </row>
    <row r="2323" spans="1:1" x14ac:dyDescent="0.25">
      <c r="A2323" s="5"/>
    </row>
    <row r="2324" spans="1:1" x14ac:dyDescent="0.25">
      <c r="A2324" s="5"/>
    </row>
    <row r="2325" spans="1:1" x14ac:dyDescent="0.25">
      <c r="A2325" s="5"/>
    </row>
    <row r="2326" spans="1:1" x14ac:dyDescent="0.25">
      <c r="A2326" s="5"/>
    </row>
    <row r="2327" spans="1:1" x14ac:dyDescent="0.25">
      <c r="A2327" s="5"/>
    </row>
    <row r="2328" spans="1:1" x14ac:dyDescent="0.25">
      <c r="A2328" s="5"/>
    </row>
    <row r="2329" spans="1:1" x14ac:dyDescent="0.25">
      <c r="A2329" s="5"/>
    </row>
    <row r="2330" spans="1:1" x14ac:dyDescent="0.25">
      <c r="A2330" s="5"/>
    </row>
    <row r="2331" spans="1:1" x14ac:dyDescent="0.25">
      <c r="A2331" s="5"/>
    </row>
    <row r="2332" spans="1:1" x14ac:dyDescent="0.25">
      <c r="A2332" s="5"/>
    </row>
    <row r="2333" spans="1:1" x14ac:dyDescent="0.25">
      <c r="A2333" s="5"/>
    </row>
    <row r="2334" spans="1:1" x14ac:dyDescent="0.25">
      <c r="A2334" s="5"/>
    </row>
    <row r="2335" spans="1:1" x14ac:dyDescent="0.25">
      <c r="A2335" s="5"/>
    </row>
    <row r="2336" spans="1:1" x14ac:dyDescent="0.25">
      <c r="A2336" s="5"/>
    </row>
    <row r="2337" spans="1:1" x14ac:dyDescent="0.25">
      <c r="A2337" s="5"/>
    </row>
    <row r="2338" spans="1:1" x14ac:dyDescent="0.25">
      <c r="A2338" s="5"/>
    </row>
    <row r="2339" spans="1:1" x14ac:dyDescent="0.25">
      <c r="A2339" s="5"/>
    </row>
    <row r="2340" spans="1:1" x14ac:dyDescent="0.25">
      <c r="A2340" s="5"/>
    </row>
    <row r="2341" spans="1:1" x14ac:dyDescent="0.25">
      <c r="A2341" s="5"/>
    </row>
    <row r="2342" spans="1:1" x14ac:dyDescent="0.25">
      <c r="A2342" s="5"/>
    </row>
    <row r="2343" spans="1:1" x14ac:dyDescent="0.25">
      <c r="A2343" s="5"/>
    </row>
    <row r="2344" spans="1:1" x14ac:dyDescent="0.25">
      <c r="A2344" s="5"/>
    </row>
    <row r="2345" spans="1:1" x14ac:dyDescent="0.25">
      <c r="A2345" s="5"/>
    </row>
    <row r="2346" spans="1:1" x14ac:dyDescent="0.25">
      <c r="A2346" s="5"/>
    </row>
    <row r="2347" spans="1:1" x14ac:dyDescent="0.25">
      <c r="A2347" s="5"/>
    </row>
    <row r="2348" spans="1:1" x14ac:dyDescent="0.25">
      <c r="A2348" s="5"/>
    </row>
    <row r="2349" spans="1:1" x14ac:dyDescent="0.25">
      <c r="A2349" s="5"/>
    </row>
    <row r="2350" spans="1:1" x14ac:dyDescent="0.25">
      <c r="A2350" s="5"/>
    </row>
    <row r="2351" spans="1:1" x14ac:dyDescent="0.25">
      <c r="A2351" s="5"/>
    </row>
    <row r="2352" spans="1:1" x14ac:dyDescent="0.25">
      <c r="A2352" s="5"/>
    </row>
    <row r="2353" spans="1:1" x14ac:dyDescent="0.25">
      <c r="A2353" s="5"/>
    </row>
    <row r="2354" spans="1:1" x14ac:dyDescent="0.25">
      <c r="A2354" s="5"/>
    </row>
    <row r="2355" spans="1:1" x14ac:dyDescent="0.25">
      <c r="A2355" s="5"/>
    </row>
    <row r="2356" spans="1:1" x14ac:dyDescent="0.25">
      <c r="A2356" s="5"/>
    </row>
    <row r="2357" spans="1:1" x14ac:dyDescent="0.25">
      <c r="A2357" s="5"/>
    </row>
    <row r="2358" spans="1:1" x14ac:dyDescent="0.25">
      <c r="A2358" s="5"/>
    </row>
    <row r="2359" spans="1:1" x14ac:dyDescent="0.25">
      <c r="A2359" s="5"/>
    </row>
    <row r="2360" spans="1:1" x14ac:dyDescent="0.25">
      <c r="A2360" s="5"/>
    </row>
    <row r="2361" spans="1:1" x14ac:dyDescent="0.25">
      <c r="A2361" s="5"/>
    </row>
    <row r="2362" spans="1:1" x14ac:dyDescent="0.25">
      <c r="A2362" s="5"/>
    </row>
    <row r="2363" spans="1:1" x14ac:dyDescent="0.25">
      <c r="A2363" s="5"/>
    </row>
    <row r="2364" spans="1:1" x14ac:dyDescent="0.25">
      <c r="A2364" s="5"/>
    </row>
    <row r="2365" spans="1:1" x14ac:dyDescent="0.25">
      <c r="A2365" s="5"/>
    </row>
    <row r="2366" spans="1:1" x14ac:dyDescent="0.25">
      <c r="A2366" s="5"/>
    </row>
    <row r="2367" spans="1:1" x14ac:dyDescent="0.25">
      <c r="A2367" s="5"/>
    </row>
    <row r="2368" spans="1:1" x14ac:dyDescent="0.25">
      <c r="A2368" s="5"/>
    </row>
    <row r="2369" spans="1:1" x14ac:dyDescent="0.25">
      <c r="A2369" s="5"/>
    </row>
    <row r="2370" spans="1:1" x14ac:dyDescent="0.25">
      <c r="A2370" s="5"/>
    </row>
    <row r="2371" spans="1:1" x14ac:dyDescent="0.25">
      <c r="A2371" s="5"/>
    </row>
    <row r="2372" spans="1:1" x14ac:dyDescent="0.25">
      <c r="A2372" s="5"/>
    </row>
    <row r="2373" spans="1:1" x14ac:dyDescent="0.25">
      <c r="A2373" s="5"/>
    </row>
    <row r="2374" spans="1:1" x14ac:dyDescent="0.25">
      <c r="A2374" s="5"/>
    </row>
    <row r="2375" spans="1:1" x14ac:dyDescent="0.25">
      <c r="A2375" s="5"/>
    </row>
    <row r="2376" spans="1:1" x14ac:dyDescent="0.25">
      <c r="A2376" s="5"/>
    </row>
    <row r="2377" spans="1:1" x14ac:dyDescent="0.25">
      <c r="A2377" s="5"/>
    </row>
    <row r="2378" spans="1:1" x14ac:dyDescent="0.25">
      <c r="A2378" s="5"/>
    </row>
    <row r="2379" spans="1:1" x14ac:dyDescent="0.25">
      <c r="A2379" s="5"/>
    </row>
    <row r="2380" spans="1:1" x14ac:dyDescent="0.25">
      <c r="A2380" s="5"/>
    </row>
    <row r="2381" spans="1:1" x14ac:dyDescent="0.25">
      <c r="A2381" s="5"/>
    </row>
    <row r="2382" spans="1:1" x14ac:dyDescent="0.25">
      <c r="A2382" s="5"/>
    </row>
    <row r="2383" spans="1:1" x14ac:dyDescent="0.25">
      <c r="A2383" s="5"/>
    </row>
    <row r="2384" spans="1:1" x14ac:dyDescent="0.25">
      <c r="A2384" s="5"/>
    </row>
    <row r="2385" spans="1:1" x14ac:dyDescent="0.25">
      <c r="A2385" s="5"/>
    </row>
    <row r="2386" spans="1:1" x14ac:dyDescent="0.25">
      <c r="A2386" s="5"/>
    </row>
    <row r="2387" spans="1:1" x14ac:dyDescent="0.25">
      <c r="A2387" s="5"/>
    </row>
    <row r="2388" spans="1:1" x14ac:dyDescent="0.25">
      <c r="A2388" s="5"/>
    </row>
    <row r="2389" spans="1:1" x14ac:dyDescent="0.25">
      <c r="A2389" s="5"/>
    </row>
    <row r="2390" spans="1:1" x14ac:dyDescent="0.25">
      <c r="A2390" s="5"/>
    </row>
    <row r="2391" spans="1:1" x14ac:dyDescent="0.25">
      <c r="A2391" s="5"/>
    </row>
    <row r="2392" spans="1:1" x14ac:dyDescent="0.25">
      <c r="A2392" s="5"/>
    </row>
    <row r="2393" spans="1:1" x14ac:dyDescent="0.25">
      <c r="A2393" s="5"/>
    </row>
    <row r="2394" spans="1:1" x14ac:dyDescent="0.25">
      <c r="A2394" s="5"/>
    </row>
    <row r="2395" spans="1:1" x14ac:dyDescent="0.25">
      <c r="A2395" s="5"/>
    </row>
    <row r="2396" spans="1:1" x14ac:dyDescent="0.25">
      <c r="A2396" s="5"/>
    </row>
    <row r="2397" spans="1:1" x14ac:dyDescent="0.25">
      <c r="A2397" s="5"/>
    </row>
    <row r="2398" spans="1:1" x14ac:dyDescent="0.25">
      <c r="A2398" s="5"/>
    </row>
    <row r="2399" spans="1:1" x14ac:dyDescent="0.25">
      <c r="A2399" s="5"/>
    </row>
    <row r="2400" spans="1:1" x14ac:dyDescent="0.25">
      <c r="A2400" s="5"/>
    </row>
    <row r="2401" spans="1:1" x14ac:dyDescent="0.25">
      <c r="A2401" s="5"/>
    </row>
    <row r="2402" spans="1:1" x14ac:dyDescent="0.25">
      <c r="A2402" s="5"/>
    </row>
    <row r="2403" spans="1:1" x14ac:dyDescent="0.25">
      <c r="A2403" s="5"/>
    </row>
    <row r="2404" spans="1:1" x14ac:dyDescent="0.25">
      <c r="A2404" s="5"/>
    </row>
    <row r="2405" spans="1:1" x14ac:dyDescent="0.25">
      <c r="A2405" s="5"/>
    </row>
    <row r="2406" spans="1:1" x14ac:dyDescent="0.25">
      <c r="A2406" s="5"/>
    </row>
    <row r="2407" spans="1:1" x14ac:dyDescent="0.25">
      <c r="A2407" s="5"/>
    </row>
    <row r="2408" spans="1:1" x14ac:dyDescent="0.25">
      <c r="A2408" s="5"/>
    </row>
    <row r="2409" spans="1:1" x14ac:dyDescent="0.25">
      <c r="A2409" s="5"/>
    </row>
    <row r="2410" spans="1:1" x14ac:dyDescent="0.25">
      <c r="A2410" s="5"/>
    </row>
    <row r="2411" spans="1:1" x14ac:dyDescent="0.25">
      <c r="A2411" s="5"/>
    </row>
    <row r="2412" spans="1:1" x14ac:dyDescent="0.25">
      <c r="A2412" s="5"/>
    </row>
    <row r="2413" spans="1:1" x14ac:dyDescent="0.25">
      <c r="A2413" s="5"/>
    </row>
    <row r="2414" spans="1:1" x14ac:dyDescent="0.25">
      <c r="A2414" s="5"/>
    </row>
    <row r="2415" spans="1:1" x14ac:dyDescent="0.25">
      <c r="A2415" s="5"/>
    </row>
    <row r="2416" spans="1:1" x14ac:dyDescent="0.25">
      <c r="A2416" s="5"/>
    </row>
    <row r="2417" spans="1:1" x14ac:dyDescent="0.25">
      <c r="A2417" s="5"/>
    </row>
    <row r="2418" spans="1:1" x14ac:dyDescent="0.25">
      <c r="A2418" s="5"/>
    </row>
    <row r="2419" spans="1:1" x14ac:dyDescent="0.25">
      <c r="A2419" s="5"/>
    </row>
    <row r="2420" spans="1:1" x14ac:dyDescent="0.25">
      <c r="A2420" s="5"/>
    </row>
    <row r="2421" spans="1:1" x14ac:dyDescent="0.25">
      <c r="A2421" s="5"/>
    </row>
    <row r="2422" spans="1:1" x14ac:dyDescent="0.25">
      <c r="A2422" s="5"/>
    </row>
    <row r="2423" spans="1:1" x14ac:dyDescent="0.25">
      <c r="A2423" s="5"/>
    </row>
    <row r="2424" spans="1:1" x14ac:dyDescent="0.25">
      <c r="A2424" s="5"/>
    </row>
    <row r="2425" spans="1:1" x14ac:dyDescent="0.25">
      <c r="A2425" s="5"/>
    </row>
    <row r="2426" spans="1:1" x14ac:dyDescent="0.25">
      <c r="A2426" s="5"/>
    </row>
    <row r="2427" spans="1:1" x14ac:dyDescent="0.25">
      <c r="A2427" s="5"/>
    </row>
    <row r="2428" spans="1:1" x14ac:dyDescent="0.25">
      <c r="A2428" s="5"/>
    </row>
    <row r="2429" spans="1:1" x14ac:dyDescent="0.25">
      <c r="A2429" s="5"/>
    </row>
    <row r="2430" spans="1:1" x14ac:dyDescent="0.25">
      <c r="A2430" s="5"/>
    </row>
    <row r="2431" spans="1:1" x14ac:dyDescent="0.25">
      <c r="A2431" s="5"/>
    </row>
    <row r="2432" spans="1:1" x14ac:dyDescent="0.25">
      <c r="A2432" s="5"/>
    </row>
    <row r="2433" spans="1:1" x14ac:dyDescent="0.25">
      <c r="A2433" s="5"/>
    </row>
    <row r="2434" spans="1:1" x14ac:dyDescent="0.25">
      <c r="A2434" s="5"/>
    </row>
    <row r="2435" spans="1:1" x14ac:dyDescent="0.25">
      <c r="A2435" s="5"/>
    </row>
    <row r="2436" spans="1:1" x14ac:dyDescent="0.25">
      <c r="A2436" s="5"/>
    </row>
    <row r="2437" spans="1:1" x14ac:dyDescent="0.25">
      <c r="A2437" s="5"/>
    </row>
    <row r="2438" spans="1:1" x14ac:dyDescent="0.25">
      <c r="A2438" s="5"/>
    </row>
    <row r="2439" spans="1:1" x14ac:dyDescent="0.25">
      <c r="A2439" s="5"/>
    </row>
    <row r="2440" spans="1:1" x14ac:dyDescent="0.25">
      <c r="A2440" s="5"/>
    </row>
    <row r="2441" spans="1:1" x14ac:dyDescent="0.25">
      <c r="A2441" s="5"/>
    </row>
    <row r="2442" spans="1:1" x14ac:dyDescent="0.25">
      <c r="A2442" s="5"/>
    </row>
    <row r="2443" spans="1:1" x14ac:dyDescent="0.25">
      <c r="A2443" s="5"/>
    </row>
    <row r="2444" spans="1:1" x14ac:dyDescent="0.25">
      <c r="A2444" s="5"/>
    </row>
    <row r="2445" spans="1:1" x14ac:dyDescent="0.25">
      <c r="A2445" s="5"/>
    </row>
    <row r="2446" spans="1:1" x14ac:dyDescent="0.25">
      <c r="A2446" s="5"/>
    </row>
    <row r="2447" spans="1:1" x14ac:dyDescent="0.25">
      <c r="A2447" s="5"/>
    </row>
    <row r="2448" spans="1:1" x14ac:dyDescent="0.25">
      <c r="A2448" s="5"/>
    </row>
    <row r="2449" spans="1:1" x14ac:dyDescent="0.25">
      <c r="A2449" s="5"/>
    </row>
    <row r="2450" spans="1:1" x14ac:dyDescent="0.25">
      <c r="A2450" s="5"/>
    </row>
    <row r="2451" spans="1:1" x14ac:dyDescent="0.25">
      <c r="A2451" s="5"/>
    </row>
    <row r="2452" spans="1:1" x14ac:dyDescent="0.25">
      <c r="A2452" s="5"/>
    </row>
    <row r="2453" spans="1:1" x14ac:dyDescent="0.25">
      <c r="A2453" s="5"/>
    </row>
    <row r="2454" spans="1:1" x14ac:dyDescent="0.25">
      <c r="A2454" s="5"/>
    </row>
    <row r="2455" spans="1:1" x14ac:dyDescent="0.25">
      <c r="A2455" s="5"/>
    </row>
    <row r="2456" spans="1:1" x14ac:dyDescent="0.25">
      <c r="A2456" s="5"/>
    </row>
    <row r="2457" spans="1:1" x14ac:dyDescent="0.25">
      <c r="A2457" s="5"/>
    </row>
    <row r="2458" spans="1:1" x14ac:dyDescent="0.25">
      <c r="A2458" s="5"/>
    </row>
    <row r="2459" spans="1:1" x14ac:dyDescent="0.25">
      <c r="A2459" s="5"/>
    </row>
    <row r="2460" spans="1:1" x14ac:dyDescent="0.25">
      <c r="A2460" s="5"/>
    </row>
    <row r="2461" spans="1:1" x14ac:dyDescent="0.25">
      <c r="A2461" s="5"/>
    </row>
    <row r="2462" spans="1:1" x14ac:dyDescent="0.25">
      <c r="A2462" s="5"/>
    </row>
    <row r="2463" spans="1:1" x14ac:dyDescent="0.25">
      <c r="A2463" s="5"/>
    </row>
    <row r="2464" spans="1:1" x14ac:dyDescent="0.25">
      <c r="A2464" s="5"/>
    </row>
    <row r="2465" spans="1:1" x14ac:dyDescent="0.25">
      <c r="A2465" s="5"/>
    </row>
    <row r="2466" spans="1:1" x14ac:dyDescent="0.25">
      <c r="A2466" s="5"/>
    </row>
    <row r="2467" spans="1:1" x14ac:dyDescent="0.25">
      <c r="A2467" s="5"/>
    </row>
    <row r="2468" spans="1:1" x14ac:dyDescent="0.25">
      <c r="A2468" s="5"/>
    </row>
    <row r="2469" spans="1:1" x14ac:dyDescent="0.25">
      <c r="A2469" s="5"/>
    </row>
    <row r="2470" spans="1:1" x14ac:dyDescent="0.25">
      <c r="A2470" s="5"/>
    </row>
    <row r="2471" spans="1:1" x14ac:dyDescent="0.25">
      <c r="A2471" s="5"/>
    </row>
    <row r="2472" spans="1:1" x14ac:dyDescent="0.25">
      <c r="A2472" s="5"/>
    </row>
    <row r="2473" spans="1:1" x14ac:dyDescent="0.25">
      <c r="A2473" s="5"/>
    </row>
    <row r="2474" spans="1:1" x14ac:dyDescent="0.25">
      <c r="A2474" s="5"/>
    </row>
    <row r="2475" spans="1:1" x14ac:dyDescent="0.25">
      <c r="A2475" s="5"/>
    </row>
    <row r="2476" spans="1:1" x14ac:dyDescent="0.25">
      <c r="A2476" s="5"/>
    </row>
    <row r="2477" spans="1:1" x14ac:dyDescent="0.25">
      <c r="A2477" s="5"/>
    </row>
    <row r="2478" spans="1:1" x14ac:dyDescent="0.25">
      <c r="A2478" s="5"/>
    </row>
    <row r="2479" spans="1:1" x14ac:dyDescent="0.25">
      <c r="A2479" s="5"/>
    </row>
    <row r="2480" spans="1:1" x14ac:dyDescent="0.25">
      <c r="A2480" s="5"/>
    </row>
    <row r="2481" spans="1:1" x14ac:dyDescent="0.25">
      <c r="A2481" s="5"/>
    </row>
    <row r="2482" spans="1:1" x14ac:dyDescent="0.25">
      <c r="A2482" s="5"/>
    </row>
    <row r="2483" spans="1:1" x14ac:dyDescent="0.25">
      <c r="A2483" s="5"/>
    </row>
    <row r="2484" spans="1:1" x14ac:dyDescent="0.25">
      <c r="A2484" s="5"/>
    </row>
    <row r="2485" spans="1:1" x14ac:dyDescent="0.25">
      <c r="A2485" s="5"/>
    </row>
    <row r="2486" spans="1:1" x14ac:dyDescent="0.25">
      <c r="A2486" s="5"/>
    </row>
    <row r="2487" spans="1:1" x14ac:dyDescent="0.25">
      <c r="A2487" s="5"/>
    </row>
    <row r="2488" spans="1:1" x14ac:dyDescent="0.25">
      <c r="A2488" s="5"/>
    </row>
    <row r="2489" spans="1:1" x14ac:dyDescent="0.25">
      <c r="A2489" s="5"/>
    </row>
    <row r="2490" spans="1:1" x14ac:dyDescent="0.25">
      <c r="A2490" s="5"/>
    </row>
    <row r="2491" spans="1:1" x14ac:dyDescent="0.25">
      <c r="A2491" s="5"/>
    </row>
    <row r="2492" spans="1:1" x14ac:dyDescent="0.25">
      <c r="A2492" s="5"/>
    </row>
    <row r="2493" spans="1:1" x14ac:dyDescent="0.25">
      <c r="A2493" s="5"/>
    </row>
    <row r="2494" spans="1:1" x14ac:dyDescent="0.25">
      <c r="A2494" s="5"/>
    </row>
    <row r="2495" spans="1:1" x14ac:dyDescent="0.25">
      <c r="A2495" s="5"/>
    </row>
    <row r="2496" spans="1:1" x14ac:dyDescent="0.25">
      <c r="A2496" s="5"/>
    </row>
    <row r="2497" spans="1:1" x14ac:dyDescent="0.25">
      <c r="A2497" s="5"/>
    </row>
    <row r="2498" spans="1:1" x14ac:dyDescent="0.25">
      <c r="A2498" s="5"/>
    </row>
    <row r="2499" spans="1:1" x14ac:dyDescent="0.25">
      <c r="A2499" s="5"/>
    </row>
    <row r="2500" spans="1:1" x14ac:dyDescent="0.25">
      <c r="A2500" s="5"/>
    </row>
    <row r="2501" spans="1:1" x14ac:dyDescent="0.25">
      <c r="A2501" s="5"/>
    </row>
    <row r="2502" spans="1:1" x14ac:dyDescent="0.25">
      <c r="A2502" s="5"/>
    </row>
    <row r="2503" spans="1:1" x14ac:dyDescent="0.25">
      <c r="A2503" s="5"/>
    </row>
    <row r="2504" spans="1:1" x14ac:dyDescent="0.25">
      <c r="A2504" s="5"/>
    </row>
    <row r="2505" spans="1:1" x14ac:dyDescent="0.25">
      <c r="A2505" s="5"/>
    </row>
    <row r="2506" spans="1:1" x14ac:dyDescent="0.25">
      <c r="A2506" s="5"/>
    </row>
    <row r="2507" spans="1:1" x14ac:dyDescent="0.25">
      <c r="A2507" s="5"/>
    </row>
    <row r="2508" spans="1:1" x14ac:dyDescent="0.25">
      <c r="A2508" s="5"/>
    </row>
    <row r="2509" spans="1:1" x14ac:dyDescent="0.25">
      <c r="A2509" s="5"/>
    </row>
    <row r="2510" spans="1:1" x14ac:dyDescent="0.25">
      <c r="A2510" s="5"/>
    </row>
    <row r="2511" spans="1:1" x14ac:dyDescent="0.25">
      <c r="A2511" s="5"/>
    </row>
    <row r="2512" spans="1:1" x14ac:dyDescent="0.25">
      <c r="A2512" s="5"/>
    </row>
    <row r="2513" spans="1:1" x14ac:dyDescent="0.25">
      <c r="A2513" s="5"/>
    </row>
    <row r="2514" spans="1:1" x14ac:dyDescent="0.25">
      <c r="A2514" s="5"/>
    </row>
    <row r="2515" spans="1:1" x14ac:dyDescent="0.25">
      <c r="A2515" s="5"/>
    </row>
    <row r="2516" spans="1:1" x14ac:dyDescent="0.25">
      <c r="A2516" s="5"/>
    </row>
    <row r="2517" spans="1:1" x14ac:dyDescent="0.25">
      <c r="A2517" s="5"/>
    </row>
    <row r="2518" spans="1:1" x14ac:dyDescent="0.25">
      <c r="A2518" s="5"/>
    </row>
    <row r="2519" spans="1:1" x14ac:dyDescent="0.25">
      <c r="A2519" s="5"/>
    </row>
    <row r="2520" spans="1:1" x14ac:dyDescent="0.25">
      <c r="A2520" s="5"/>
    </row>
    <row r="2521" spans="1:1" x14ac:dyDescent="0.25">
      <c r="A2521" s="5"/>
    </row>
    <row r="2522" spans="1:1" x14ac:dyDescent="0.25">
      <c r="A2522" s="5"/>
    </row>
    <row r="2523" spans="1:1" x14ac:dyDescent="0.25">
      <c r="A2523" s="5"/>
    </row>
    <row r="2524" spans="1:1" x14ac:dyDescent="0.25">
      <c r="A2524" s="5"/>
    </row>
    <row r="2525" spans="1:1" x14ac:dyDescent="0.25">
      <c r="A2525" s="5"/>
    </row>
    <row r="2526" spans="1:1" x14ac:dyDescent="0.25">
      <c r="A2526" s="5"/>
    </row>
    <row r="2527" spans="1:1" x14ac:dyDescent="0.25">
      <c r="A2527" s="5"/>
    </row>
    <row r="2528" spans="1:1" x14ac:dyDescent="0.25">
      <c r="A2528" s="5"/>
    </row>
    <row r="2529" spans="1:1" x14ac:dyDescent="0.25">
      <c r="A2529" s="5"/>
    </row>
    <row r="2530" spans="1:1" x14ac:dyDescent="0.25">
      <c r="A2530" s="5"/>
    </row>
    <row r="2531" spans="1:1" x14ac:dyDescent="0.25">
      <c r="A2531" s="5"/>
    </row>
    <row r="2532" spans="1:1" x14ac:dyDescent="0.25">
      <c r="A2532" s="5"/>
    </row>
    <row r="2533" spans="1:1" x14ac:dyDescent="0.25">
      <c r="A2533" s="5"/>
    </row>
    <row r="2534" spans="1:1" x14ac:dyDescent="0.25">
      <c r="A2534" s="5"/>
    </row>
    <row r="2535" spans="1:1" x14ac:dyDescent="0.25">
      <c r="A2535" s="5"/>
    </row>
    <row r="2536" spans="1:1" x14ac:dyDescent="0.25">
      <c r="A2536" s="5"/>
    </row>
    <row r="2537" spans="1:1" x14ac:dyDescent="0.25">
      <c r="A2537" s="5"/>
    </row>
    <row r="2538" spans="1:1" x14ac:dyDescent="0.25">
      <c r="A2538" s="5"/>
    </row>
    <row r="2539" spans="1:1" x14ac:dyDescent="0.25">
      <c r="A2539" s="5"/>
    </row>
    <row r="2540" spans="1:1" x14ac:dyDescent="0.25">
      <c r="A2540" s="5"/>
    </row>
    <row r="2541" spans="1:1" x14ac:dyDescent="0.25">
      <c r="A2541" s="5"/>
    </row>
    <row r="2542" spans="1:1" x14ac:dyDescent="0.25">
      <c r="A2542" s="5"/>
    </row>
    <row r="2543" spans="1:1" x14ac:dyDescent="0.25">
      <c r="A2543" s="5"/>
    </row>
    <row r="2544" spans="1:1" x14ac:dyDescent="0.25">
      <c r="A2544" s="5"/>
    </row>
    <row r="2545" spans="1:1" x14ac:dyDescent="0.25">
      <c r="A2545" s="5"/>
    </row>
    <row r="2546" spans="1:1" x14ac:dyDescent="0.25">
      <c r="A2546" s="5"/>
    </row>
    <row r="2547" spans="1:1" x14ac:dyDescent="0.25">
      <c r="A2547" s="5"/>
    </row>
    <row r="2548" spans="1:1" x14ac:dyDescent="0.25">
      <c r="A2548" s="5"/>
    </row>
    <row r="2549" spans="1:1" x14ac:dyDescent="0.25">
      <c r="A2549" s="5"/>
    </row>
    <row r="2550" spans="1:1" x14ac:dyDescent="0.25">
      <c r="A2550" s="5"/>
    </row>
    <row r="2551" spans="1:1" x14ac:dyDescent="0.25">
      <c r="A2551" s="5"/>
    </row>
    <row r="2552" spans="1:1" x14ac:dyDescent="0.25">
      <c r="A2552" s="5"/>
    </row>
    <row r="2553" spans="1:1" x14ac:dyDescent="0.25">
      <c r="A2553" s="5"/>
    </row>
    <row r="2554" spans="1:1" x14ac:dyDescent="0.25">
      <c r="A2554" s="5"/>
    </row>
    <row r="2555" spans="1:1" x14ac:dyDescent="0.25">
      <c r="A2555" s="5"/>
    </row>
    <row r="2556" spans="1:1" x14ac:dyDescent="0.25">
      <c r="A2556" s="5"/>
    </row>
    <row r="2557" spans="1:1" x14ac:dyDescent="0.25">
      <c r="A2557" s="5"/>
    </row>
    <row r="2558" spans="1:1" x14ac:dyDescent="0.25">
      <c r="A2558" s="5"/>
    </row>
    <row r="2559" spans="1:1" x14ac:dyDescent="0.25">
      <c r="A2559" s="5"/>
    </row>
    <row r="2560" spans="1:1" x14ac:dyDescent="0.25">
      <c r="A2560" s="5"/>
    </row>
    <row r="2561" spans="1:1" x14ac:dyDescent="0.25">
      <c r="A2561" s="5"/>
    </row>
    <row r="2562" spans="1:1" x14ac:dyDescent="0.25">
      <c r="A2562" s="5"/>
    </row>
    <row r="2563" spans="1:1" x14ac:dyDescent="0.25">
      <c r="A2563" s="5"/>
    </row>
    <row r="2564" spans="1:1" x14ac:dyDescent="0.25">
      <c r="A2564" s="5"/>
    </row>
    <row r="2565" spans="1:1" x14ac:dyDescent="0.25">
      <c r="A2565" s="5"/>
    </row>
    <row r="2566" spans="1:1" x14ac:dyDescent="0.25">
      <c r="A2566" s="5"/>
    </row>
    <row r="2567" spans="1:1" x14ac:dyDescent="0.25">
      <c r="A2567" s="5"/>
    </row>
    <row r="2568" spans="1:1" x14ac:dyDescent="0.25">
      <c r="A2568" s="5"/>
    </row>
    <row r="2569" spans="1:1" x14ac:dyDescent="0.25">
      <c r="A2569" s="5"/>
    </row>
    <row r="2570" spans="1:1" x14ac:dyDescent="0.25">
      <c r="A2570" s="5"/>
    </row>
    <row r="2571" spans="1:1" x14ac:dyDescent="0.25">
      <c r="A2571" s="5"/>
    </row>
    <row r="2572" spans="1:1" x14ac:dyDescent="0.25">
      <c r="A2572" s="5"/>
    </row>
    <row r="2573" spans="1:1" x14ac:dyDescent="0.25">
      <c r="A2573" s="5"/>
    </row>
    <row r="2574" spans="1:1" x14ac:dyDescent="0.25">
      <c r="A2574" s="5"/>
    </row>
    <row r="2575" spans="1:1" x14ac:dyDescent="0.25">
      <c r="A2575" s="5"/>
    </row>
    <row r="2576" spans="1:1" x14ac:dyDescent="0.25">
      <c r="A2576" s="5"/>
    </row>
    <row r="2577" spans="1:1" x14ac:dyDescent="0.25">
      <c r="A2577" s="5"/>
    </row>
    <row r="2578" spans="1:1" x14ac:dyDescent="0.25">
      <c r="A2578" s="5"/>
    </row>
    <row r="2579" spans="1:1" x14ac:dyDescent="0.25">
      <c r="A2579" s="5"/>
    </row>
    <row r="2580" spans="1:1" x14ac:dyDescent="0.25">
      <c r="A2580" s="5"/>
    </row>
    <row r="2581" spans="1:1" x14ac:dyDescent="0.25">
      <c r="A2581" s="5"/>
    </row>
    <row r="2582" spans="1:1" x14ac:dyDescent="0.25">
      <c r="A2582" s="5"/>
    </row>
    <row r="2583" spans="1:1" x14ac:dyDescent="0.25">
      <c r="A2583" s="5"/>
    </row>
    <row r="2584" spans="1:1" x14ac:dyDescent="0.25">
      <c r="A2584" s="5"/>
    </row>
    <row r="2585" spans="1:1" x14ac:dyDescent="0.25">
      <c r="A2585" s="5"/>
    </row>
    <row r="2586" spans="1:1" x14ac:dyDescent="0.25">
      <c r="A2586" s="5"/>
    </row>
    <row r="2587" spans="1:1" x14ac:dyDescent="0.25">
      <c r="A2587" s="5"/>
    </row>
    <row r="2588" spans="1:1" x14ac:dyDescent="0.25">
      <c r="A2588" s="5"/>
    </row>
    <row r="2589" spans="1:1" x14ac:dyDescent="0.25">
      <c r="A2589" s="5"/>
    </row>
    <row r="2590" spans="1:1" x14ac:dyDescent="0.25">
      <c r="A2590" s="5"/>
    </row>
    <row r="2591" spans="1:1" x14ac:dyDescent="0.25">
      <c r="A2591" s="5"/>
    </row>
    <row r="2592" spans="1:1" x14ac:dyDescent="0.25">
      <c r="A2592" s="5"/>
    </row>
    <row r="2593" spans="1:1" x14ac:dyDescent="0.25">
      <c r="A2593" s="5"/>
    </row>
    <row r="2594" spans="1:1" x14ac:dyDescent="0.25">
      <c r="A2594" s="5"/>
    </row>
    <row r="2595" spans="1:1" x14ac:dyDescent="0.25">
      <c r="A2595" s="5"/>
    </row>
    <row r="2596" spans="1:1" x14ac:dyDescent="0.25">
      <c r="A2596" s="5"/>
    </row>
    <row r="2597" spans="1:1" x14ac:dyDescent="0.25">
      <c r="A2597" s="5"/>
    </row>
    <row r="2598" spans="1:1" x14ac:dyDescent="0.25">
      <c r="A2598" s="5"/>
    </row>
    <row r="2599" spans="1:1" x14ac:dyDescent="0.25">
      <c r="A2599" s="5"/>
    </row>
    <row r="2600" spans="1:1" x14ac:dyDescent="0.25">
      <c r="A2600" s="5"/>
    </row>
    <row r="2601" spans="1:1" x14ac:dyDescent="0.25">
      <c r="A2601" s="5"/>
    </row>
    <row r="2602" spans="1:1" x14ac:dyDescent="0.25">
      <c r="A2602" s="5"/>
    </row>
    <row r="2603" spans="1:1" x14ac:dyDescent="0.25">
      <c r="A2603" s="5"/>
    </row>
    <row r="2604" spans="1:1" x14ac:dyDescent="0.25">
      <c r="A2604" s="5"/>
    </row>
    <row r="2605" spans="1:1" x14ac:dyDescent="0.25">
      <c r="A2605" s="5"/>
    </row>
    <row r="2606" spans="1:1" x14ac:dyDescent="0.25">
      <c r="A2606" s="5"/>
    </row>
    <row r="2607" spans="1:1" x14ac:dyDescent="0.25">
      <c r="A2607" s="5"/>
    </row>
    <row r="2608" spans="1:1" x14ac:dyDescent="0.25">
      <c r="A2608" s="5"/>
    </row>
    <row r="2609" spans="1:1" x14ac:dyDescent="0.25">
      <c r="A2609" s="5"/>
    </row>
    <row r="2610" spans="1:1" x14ac:dyDescent="0.25">
      <c r="A2610" s="5"/>
    </row>
    <row r="2611" spans="1:1" x14ac:dyDescent="0.25">
      <c r="A2611" s="5"/>
    </row>
    <row r="2612" spans="1:1" x14ac:dyDescent="0.25">
      <c r="A2612" s="5"/>
    </row>
    <row r="2613" spans="1:1" x14ac:dyDescent="0.25">
      <c r="A2613" s="5"/>
    </row>
    <row r="2614" spans="1:1" x14ac:dyDescent="0.25">
      <c r="A2614" s="5"/>
    </row>
    <row r="2615" spans="1:1" x14ac:dyDescent="0.25">
      <c r="A2615" s="5"/>
    </row>
    <row r="2616" spans="1:1" x14ac:dyDescent="0.25">
      <c r="A2616" s="5"/>
    </row>
    <row r="2617" spans="1:1" x14ac:dyDescent="0.25">
      <c r="A2617" s="5"/>
    </row>
    <row r="2618" spans="1:1" x14ac:dyDescent="0.25">
      <c r="A2618" s="5"/>
    </row>
    <row r="2619" spans="1:1" x14ac:dyDescent="0.25">
      <c r="A2619" s="5"/>
    </row>
    <row r="2620" spans="1:1" x14ac:dyDescent="0.25">
      <c r="A2620" s="5"/>
    </row>
    <row r="2621" spans="1:1" x14ac:dyDescent="0.25">
      <c r="A2621" s="5"/>
    </row>
    <row r="2622" spans="1:1" x14ac:dyDescent="0.25">
      <c r="A2622" s="5"/>
    </row>
    <row r="2623" spans="1:1" x14ac:dyDescent="0.25">
      <c r="A2623" s="5"/>
    </row>
    <row r="2624" spans="1:1" x14ac:dyDescent="0.25">
      <c r="A2624" s="5"/>
    </row>
    <row r="2625" spans="1:1" x14ac:dyDescent="0.25">
      <c r="A2625" s="5"/>
    </row>
    <row r="2626" spans="1:1" x14ac:dyDescent="0.25">
      <c r="A2626" s="5"/>
    </row>
    <row r="2627" spans="1:1" x14ac:dyDescent="0.25">
      <c r="A2627" s="5"/>
    </row>
    <row r="2628" spans="1:1" x14ac:dyDescent="0.25">
      <c r="A2628" s="5"/>
    </row>
    <row r="2629" spans="1:1" x14ac:dyDescent="0.25">
      <c r="A2629" s="5"/>
    </row>
    <row r="2630" spans="1:1" x14ac:dyDescent="0.25">
      <c r="A2630" s="5"/>
    </row>
    <row r="2631" spans="1:1" x14ac:dyDescent="0.25">
      <c r="A2631" s="5"/>
    </row>
    <row r="2632" spans="1:1" x14ac:dyDescent="0.25">
      <c r="A2632" s="5"/>
    </row>
    <row r="2633" spans="1:1" x14ac:dyDescent="0.25">
      <c r="A2633" s="5"/>
    </row>
    <row r="2634" spans="1:1" x14ac:dyDescent="0.25">
      <c r="A2634" s="5"/>
    </row>
    <row r="2635" spans="1:1" x14ac:dyDescent="0.25">
      <c r="A2635" s="5"/>
    </row>
    <row r="2636" spans="1:1" x14ac:dyDescent="0.25">
      <c r="A2636" s="5"/>
    </row>
    <row r="2637" spans="1:1" x14ac:dyDescent="0.25">
      <c r="A2637" s="5"/>
    </row>
    <row r="2638" spans="1:1" x14ac:dyDescent="0.25">
      <c r="A2638" s="5"/>
    </row>
    <row r="2639" spans="1:1" x14ac:dyDescent="0.25">
      <c r="A2639" s="5"/>
    </row>
    <row r="2640" spans="1:1" x14ac:dyDescent="0.25">
      <c r="A2640" s="5"/>
    </row>
    <row r="2641" spans="1:1" x14ac:dyDescent="0.25">
      <c r="A2641" s="5"/>
    </row>
    <row r="2642" spans="1:1" x14ac:dyDescent="0.25">
      <c r="A2642" s="5"/>
    </row>
    <row r="2643" spans="1:1" x14ac:dyDescent="0.25">
      <c r="A2643" s="5"/>
    </row>
    <row r="2644" spans="1:1" x14ac:dyDescent="0.25">
      <c r="A2644" s="5"/>
    </row>
    <row r="2645" spans="1:1" x14ac:dyDescent="0.25">
      <c r="A2645" s="5"/>
    </row>
    <row r="2646" spans="1:1" x14ac:dyDescent="0.25">
      <c r="A2646" s="5"/>
    </row>
    <row r="2647" spans="1:1" x14ac:dyDescent="0.25">
      <c r="A2647" s="5"/>
    </row>
    <row r="2648" spans="1:1" x14ac:dyDescent="0.25">
      <c r="A2648" s="5"/>
    </row>
    <row r="2649" spans="1:1" x14ac:dyDescent="0.25">
      <c r="A2649" s="5"/>
    </row>
    <row r="2650" spans="1:1" x14ac:dyDescent="0.25">
      <c r="A2650" s="5"/>
    </row>
    <row r="2651" spans="1:1" x14ac:dyDescent="0.25">
      <c r="A2651" s="5"/>
    </row>
    <row r="2652" spans="1:1" x14ac:dyDescent="0.25">
      <c r="A2652" s="5"/>
    </row>
    <row r="2653" spans="1:1" x14ac:dyDescent="0.25">
      <c r="A2653" s="5"/>
    </row>
    <row r="2654" spans="1:1" x14ac:dyDescent="0.25">
      <c r="A2654" s="5"/>
    </row>
    <row r="2655" spans="1:1" x14ac:dyDescent="0.25">
      <c r="A2655" s="5"/>
    </row>
    <row r="2656" spans="1:1" x14ac:dyDescent="0.25">
      <c r="A2656" s="5"/>
    </row>
    <row r="2657" spans="1:1" x14ac:dyDescent="0.25">
      <c r="A2657" s="5"/>
    </row>
    <row r="2658" spans="1:1" x14ac:dyDescent="0.25">
      <c r="A2658" s="5"/>
    </row>
    <row r="2659" spans="1:1" x14ac:dyDescent="0.25">
      <c r="A2659" s="5"/>
    </row>
    <row r="2660" spans="1:1" x14ac:dyDescent="0.25">
      <c r="A2660" s="5"/>
    </row>
    <row r="2661" spans="1:1" x14ac:dyDescent="0.25">
      <c r="A2661" s="5"/>
    </row>
    <row r="2662" spans="1:1" x14ac:dyDescent="0.25">
      <c r="A2662" s="5"/>
    </row>
    <row r="2663" spans="1:1" x14ac:dyDescent="0.25">
      <c r="A2663" s="5"/>
    </row>
    <row r="2664" spans="1:1" x14ac:dyDescent="0.25">
      <c r="A2664" s="5"/>
    </row>
    <row r="2665" spans="1:1" x14ac:dyDescent="0.25">
      <c r="A2665" s="5"/>
    </row>
    <row r="2666" spans="1:1" x14ac:dyDescent="0.25">
      <c r="A2666" s="5"/>
    </row>
    <row r="2667" spans="1:1" x14ac:dyDescent="0.25">
      <c r="A2667" s="5"/>
    </row>
    <row r="2668" spans="1:1" x14ac:dyDescent="0.25">
      <c r="A2668" s="5"/>
    </row>
    <row r="2669" spans="1:1" x14ac:dyDescent="0.25">
      <c r="A2669" s="5"/>
    </row>
    <row r="2670" spans="1:1" x14ac:dyDescent="0.25">
      <c r="A2670" s="5"/>
    </row>
    <row r="2671" spans="1:1" x14ac:dyDescent="0.25">
      <c r="A2671" s="5"/>
    </row>
    <row r="2672" spans="1:1" x14ac:dyDescent="0.25">
      <c r="A2672" s="5"/>
    </row>
    <row r="2673" spans="1:1" x14ac:dyDescent="0.25">
      <c r="A2673" s="5"/>
    </row>
    <row r="2674" spans="1:1" x14ac:dyDescent="0.25">
      <c r="A2674" s="5"/>
    </row>
    <row r="2675" spans="1:1" x14ac:dyDescent="0.25">
      <c r="A2675" s="5"/>
    </row>
    <row r="2676" spans="1:1" x14ac:dyDescent="0.25">
      <c r="A2676" s="5"/>
    </row>
    <row r="2677" spans="1:1" x14ac:dyDescent="0.25">
      <c r="A2677" s="5"/>
    </row>
    <row r="2678" spans="1:1" x14ac:dyDescent="0.25">
      <c r="A2678" s="5"/>
    </row>
    <row r="2679" spans="1:1" x14ac:dyDescent="0.25">
      <c r="A2679" s="5"/>
    </row>
    <row r="2680" spans="1:1" x14ac:dyDescent="0.25">
      <c r="A2680" s="5"/>
    </row>
    <row r="2681" spans="1:1" x14ac:dyDescent="0.25">
      <c r="A2681" s="5"/>
    </row>
    <row r="2682" spans="1:1" x14ac:dyDescent="0.25">
      <c r="A2682" s="5"/>
    </row>
    <row r="2683" spans="1:1" x14ac:dyDescent="0.25">
      <c r="A2683" s="5"/>
    </row>
    <row r="2684" spans="1:1" x14ac:dyDescent="0.25">
      <c r="A2684" s="5"/>
    </row>
    <row r="2685" spans="1:1" x14ac:dyDescent="0.25">
      <c r="A2685" s="5"/>
    </row>
    <row r="2686" spans="1:1" x14ac:dyDescent="0.25">
      <c r="A2686" s="5"/>
    </row>
    <row r="2687" spans="1:1" x14ac:dyDescent="0.25">
      <c r="A2687" s="5"/>
    </row>
    <row r="2688" spans="1:1" x14ac:dyDescent="0.25">
      <c r="A2688" s="5"/>
    </row>
    <row r="2689" spans="1:1" x14ac:dyDescent="0.25">
      <c r="A2689" s="5"/>
    </row>
    <row r="2690" spans="1:1" x14ac:dyDescent="0.25">
      <c r="A2690" s="5"/>
    </row>
    <row r="2691" spans="1:1" x14ac:dyDescent="0.25">
      <c r="A2691" s="5"/>
    </row>
    <row r="2692" spans="1:1" x14ac:dyDescent="0.25">
      <c r="A2692" s="5"/>
    </row>
    <row r="2693" spans="1:1" x14ac:dyDescent="0.25">
      <c r="A2693" s="5"/>
    </row>
    <row r="2694" spans="1:1" x14ac:dyDescent="0.25">
      <c r="A2694" s="5"/>
    </row>
    <row r="2695" spans="1:1" x14ac:dyDescent="0.25">
      <c r="A2695" s="5"/>
    </row>
    <row r="2696" spans="1:1" x14ac:dyDescent="0.25">
      <c r="A2696" s="5"/>
    </row>
    <row r="2697" spans="1:1" x14ac:dyDescent="0.25">
      <c r="A2697" s="5"/>
    </row>
    <row r="2698" spans="1:1" x14ac:dyDescent="0.25">
      <c r="A2698" s="5"/>
    </row>
    <row r="2699" spans="1:1" x14ac:dyDescent="0.25">
      <c r="A2699" s="5"/>
    </row>
    <row r="2700" spans="1:1" x14ac:dyDescent="0.25">
      <c r="A2700" s="5"/>
    </row>
    <row r="2701" spans="1:1" x14ac:dyDescent="0.25">
      <c r="A2701" s="5"/>
    </row>
    <row r="2702" spans="1:1" x14ac:dyDescent="0.25">
      <c r="A2702" s="5"/>
    </row>
    <row r="2703" spans="1:1" x14ac:dyDescent="0.25">
      <c r="A2703" s="5"/>
    </row>
    <row r="2704" spans="1:1" x14ac:dyDescent="0.25">
      <c r="A2704" s="5"/>
    </row>
    <row r="2705" spans="1:1" x14ac:dyDescent="0.25">
      <c r="A2705" s="5"/>
    </row>
    <row r="2706" spans="1:1" x14ac:dyDescent="0.25">
      <c r="A2706" s="5"/>
    </row>
    <row r="2707" spans="1:1" x14ac:dyDescent="0.25">
      <c r="A2707" s="5"/>
    </row>
    <row r="2708" spans="1:1" x14ac:dyDescent="0.25">
      <c r="A2708" s="5"/>
    </row>
    <row r="2709" spans="1:1" x14ac:dyDescent="0.25">
      <c r="A2709" s="5"/>
    </row>
    <row r="2710" spans="1:1" x14ac:dyDescent="0.25">
      <c r="A2710" s="5"/>
    </row>
    <row r="2711" spans="1:1" x14ac:dyDescent="0.25">
      <c r="A2711" s="5"/>
    </row>
    <row r="2712" spans="1:1" x14ac:dyDescent="0.25">
      <c r="A2712" s="5"/>
    </row>
    <row r="2713" spans="1:1" x14ac:dyDescent="0.25">
      <c r="A2713" s="5"/>
    </row>
    <row r="2714" spans="1:1" x14ac:dyDescent="0.25">
      <c r="A2714" s="5"/>
    </row>
    <row r="2715" spans="1:1" x14ac:dyDescent="0.25">
      <c r="A2715" s="5"/>
    </row>
    <row r="2716" spans="1:1" x14ac:dyDescent="0.25">
      <c r="A2716" s="5"/>
    </row>
    <row r="2717" spans="1:1" x14ac:dyDescent="0.25">
      <c r="A2717" s="5"/>
    </row>
    <row r="2718" spans="1:1" x14ac:dyDescent="0.25">
      <c r="A2718" s="5"/>
    </row>
    <row r="2719" spans="1:1" x14ac:dyDescent="0.25">
      <c r="A2719" s="5"/>
    </row>
    <row r="2720" spans="1:1" x14ac:dyDescent="0.25">
      <c r="A2720" s="5"/>
    </row>
    <row r="2721" spans="1:1" x14ac:dyDescent="0.25">
      <c r="A2721" s="5"/>
    </row>
    <row r="2722" spans="1:1" x14ac:dyDescent="0.25">
      <c r="A2722" s="5"/>
    </row>
    <row r="2723" spans="1:1" x14ac:dyDescent="0.25">
      <c r="A2723" s="5"/>
    </row>
    <row r="2724" spans="1:1" x14ac:dyDescent="0.25">
      <c r="A2724" s="5"/>
    </row>
    <row r="2725" spans="1:1" x14ac:dyDescent="0.25">
      <c r="A2725" s="5"/>
    </row>
    <row r="2726" spans="1:1" x14ac:dyDescent="0.25">
      <c r="A2726" s="5"/>
    </row>
    <row r="2727" spans="1:1" x14ac:dyDescent="0.25">
      <c r="A2727" s="5"/>
    </row>
    <row r="2728" spans="1:1" x14ac:dyDescent="0.25">
      <c r="A2728" s="5"/>
    </row>
    <row r="2729" spans="1:1" x14ac:dyDescent="0.25">
      <c r="A2729" s="5"/>
    </row>
    <row r="2730" spans="1:1" x14ac:dyDescent="0.25">
      <c r="A2730" s="5"/>
    </row>
    <row r="2731" spans="1:1" x14ac:dyDescent="0.25">
      <c r="A2731" s="5"/>
    </row>
    <row r="2732" spans="1:1" x14ac:dyDescent="0.25">
      <c r="A2732" s="5"/>
    </row>
    <row r="2733" spans="1:1" x14ac:dyDescent="0.25">
      <c r="A2733" s="5"/>
    </row>
    <row r="2734" spans="1:1" x14ac:dyDescent="0.25">
      <c r="A2734" s="5"/>
    </row>
    <row r="2735" spans="1:1" x14ac:dyDescent="0.25">
      <c r="A2735" s="5"/>
    </row>
    <row r="2736" spans="1:1" x14ac:dyDescent="0.25">
      <c r="A2736" s="5"/>
    </row>
    <row r="2737" spans="1:1" x14ac:dyDescent="0.25">
      <c r="A2737" s="5"/>
    </row>
    <row r="2738" spans="1:1" x14ac:dyDescent="0.25">
      <c r="A2738" s="5"/>
    </row>
    <row r="2739" spans="1:1" x14ac:dyDescent="0.25">
      <c r="A2739" s="5"/>
    </row>
    <row r="2740" spans="1:1" x14ac:dyDescent="0.25">
      <c r="A2740" s="5"/>
    </row>
    <row r="2741" spans="1:1" x14ac:dyDescent="0.25">
      <c r="A2741" s="5"/>
    </row>
    <row r="2742" spans="1:1" x14ac:dyDescent="0.25">
      <c r="A2742" s="5"/>
    </row>
    <row r="2743" spans="1:1" x14ac:dyDescent="0.25">
      <c r="A2743" s="5"/>
    </row>
    <row r="2744" spans="1:1" x14ac:dyDescent="0.25">
      <c r="A2744" s="5"/>
    </row>
    <row r="2745" spans="1:1" x14ac:dyDescent="0.25">
      <c r="A2745" s="5"/>
    </row>
    <row r="2746" spans="1:1" x14ac:dyDescent="0.25">
      <c r="A2746" s="5"/>
    </row>
    <row r="2747" spans="1:1" x14ac:dyDescent="0.25">
      <c r="A2747" s="5"/>
    </row>
    <row r="2748" spans="1:1" x14ac:dyDescent="0.25">
      <c r="A2748" s="5"/>
    </row>
    <row r="2749" spans="1:1" x14ac:dyDescent="0.25">
      <c r="A2749" s="5"/>
    </row>
    <row r="2750" spans="1:1" x14ac:dyDescent="0.25">
      <c r="A2750" s="5"/>
    </row>
    <row r="2751" spans="1:1" x14ac:dyDescent="0.25">
      <c r="A2751" s="5"/>
    </row>
    <row r="2752" spans="1:1" x14ac:dyDescent="0.25">
      <c r="A2752" s="5"/>
    </row>
    <row r="2753" spans="1:1" x14ac:dyDescent="0.25">
      <c r="A2753" s="5"/>
    </row>
    <row r="2754" spans="1:1" x14ac:dyDescent="0.25">
      <c r="A2754" s="5"/>
    </row>
    <row r="2755" spans="1:1" x14ac:dyDescent="0.25">
      <c r="A2755" s="5"/>
    </row>
    <row r="2756" spans="1:1" x14ac:dyDescent="0.25">
      <c r="A2756" s="5"/>
    </row>
    <row r="2757" spans="1:1" x14ac:dyDescent="0.25">
      <c r="A2757" s="5"/>
    </row>
    <row r="2758" spans="1:1" x14ac:dyDescent="0.25">
      <c r="A2758" s="5"/>
    </row>
    <row r="2759" spans="1:1" x14ac:dyDescent="0.25">
      <c r="A2759" s="5"/>
    </row>
    <row r="2760" spans="1:1" x14ac:dyDescent="0.25">
      <c r="A2760" s="5"/>
    </row>
    <row r="2761" spans="1:1" x14ac:dyDescent="0.25">
      <c r="A2761" s="5"/>
    </row>
    <row r="2762" spans="1:1" x14ac:dyDescent="0.25">
      <c r="A2762" s="5"/>
    </row>
    <row r="2763" spans="1:1" x14ac:dyDescent="0.25">
      <c r="A2763" s="5"/>
    </row>
    <row r="2764" spans="1:1" x14ac:dyDescent="0.25">
      <c r="A2764" s="5"/>
    </row>
    <row r="2765" spans="1:1" x14ac:dyDescent="0.25">
      <c r="A2765" s="5"/>
    </row>
    <row r="2766" spans="1:1" x14ac:dyDescent="0.25">
      <c r="A2766" s="5"/>
    </row>
    <row r="2767" spans="1:1" x14ac:dyDescent="0.25">
      <c r="A2767" s="5"/>
    </row>
    <row r="2768" spans="1:1" x14ac:dyDescent="0.25">
      <c r="A2768" s="5"/>
    </row>
    <row r="2769" spans="1:1" x14ac:dyDescent="0.25">
      <c r="A2769" s="5"/>
    </row>
    <row r="2770" spans="1:1" x14ac:dyDescent="0.25">
      <c r="A2770" s="5"/>
    </row>
    <row r="2771" spans="1:1" x14ac:dyDescent="0.25">
      <c r="A2771" s="5"/>
    </row>
    <row r="2772" spans="1:1" x14ac:dyDescent="0.25">
      <c r="A2772" s="5"/>
    </row>
    <row r="2773" spans="1:1" x14ac:dyDescent="0.25">
      <c r="A2773" s="5"/>
    </row>
    <row r="2774" spans="1:1" x14ac:dyDescent="0.25">
      <c r="A2774" s="5"/>
    </row>
    <row r="2775" spans="1:1" x14ac:dyDescent="0.25">
      <c r="A2775" s="5"/>
    </row>
    <row r="2776" spans="1:1" x14ac:dyDescent="0.25">
      <c r="A2776" s="5"/>
    </row>
    <row r="2777" spans="1:1" x14ac:dyDescent="0.25">
      <c r="A2777" s="5"/>
    </row>
    <row r="2778" spans="1:1" x14ac:dyDescent="0.25">
      <c r="A2778" s="5"/>
    </row>
    <row r="2779" spans="1:1" x14ac:dyDescent="0.25">
      <c r="A2779" s="5"/>
    </row>
    <row r="2780" spans="1:1" x14ac:dyDescent="0.25">
      <c r="A2780" s="5"/>
    </row>
    <row r="2781" spans="1:1" x14ac:dyDescent="0.25">
      <c r="A2781" s="5"/>
    </row>
    <row r="2782" spans="1:1" x14ac:dyDescent="0.25">
      <c r="A2782" s="5"/>
    </row>
    <row r="2783" spans="1:1" x14ac:dyDescent="0.25">
      <c r="A2783" s="5"/>
    </row>
    <row r="2784" spans="1:1" x14ac:dyDescent="0.25">
      <c r="A2784" s="5"/>
    </row>
    <row r="2785" spans="1:1" x14ac:dyDescent="0.25">
      <c r="A2785" s="5"/>
    </row>
    <row r="2786" spans="1:1" x14ac:dyDescent="0.25">
      <c r="A2786" s="5"/>
    </row>
    <row r="2787" spans="1:1" x14ac:dyDescent="0.25">
      <c r="A2787" s="5"/>
    </row>
    <row r="2788" spans="1:1" x14ac:dyDescent="0.25">
      <c r="A2788" s="5"/>
    </row>
    <row r="2789" spans="1:1" x14ac:dyDescent="0.25">
      <c r="A2789" s="5"/>
    </row>
    <row r="2790" spans="1:1" x14ac:dyDescent="0.25">
      <c r="A2790" s="5"/>
    </row>
    <row r="2791" spans="1:1" x14ac:dyDescent="0.25">
      <c r="A2791" s="5"/>
    </row>
    <row r="2792" spans="1:1" x14ac:dyDescent="0.25">
      <c r="A2792" s="5"/>
    </row>
    <row r="2793" spans="1:1" x14ac:dyDescent="0.25">
      <c r="A2793" s="5"/>
    </row>
    <row r="2794" spans="1:1" x14ac:dyDescent="0.25">
      <c r="A2794" s="5"/>
    </row>
    <row r="2795" spans="1:1" x14ac:dyDescent="0.25">
      <c r="A2795" s="5"/>
    </row>
    <row r="2796" spans="1:1" x14ac:dyDescent="0.25">
      <c r="A2796" s="5"/>
    </row>
    <row r="2797" spans="1:1" x14ac:dyDescent="0.25">
      <c r="A2797" s="5"/>
    </row>
    <row r="2798" spans="1:1" x14ac:dyDescent="0.25">
      <c r="A2798" s="5"/>
    </row>
    <row r="2799" spans="1:1" x14ac:dyDescent="0.25">
      <c r="A2799" s="5"/>
    </row>
    <row r="2800" spans="1:1" x14ac:dyDescent="0.25">
      <c r="A2800" s="5"/>
    </row>
    <row r="2801" spans="1:1" x14ac:dyDescent="0.25">
      <c r="A2801" s="5"/>
    </row>
    <row r="2802" spans="1:1" x14ac:dyDescent="0.25">
      <c r="A2802" s="5"/>
    </row>
    <row r="2803" spans="1:1" x14ac:dyDescent="0.25">
      <c r="A2803" s="5"/>
    </row>
    <row r="2804" spans="1:1" x14ac:dyDescent="0.25">
      <c r="A2804" s="5"/>
    </row>
    <row r="2805" spans="1:1" x14ac:dyDescent="0.25">
      <c r="A2805" s="5"/>
    </row>
    <row r="2806" spans="1:1" x14ac:dyDescent="0.25">
      <c r="A2806" s="5"/>
    </row>
    <row r="2807" spans="1:1" x14ac:dyDescent="0.25">
      <c r="A2807" s="5"/>
    </row>
    <row r="2808" spans="1:1" x14ac:dyDescent="0.25">
      <c r="A2808" s="5"/>
    </row>
    <row r="2809" spans="1:1" x14ac:dyDescent="0.25">
      <c r="A2809" s="5"/>
    </row>
    <row r="2810" spans="1:1" x14ac:dyDescent="0.25">
      <c r="A2810" s="5"/>
    </row>
    <row r="2811" spans="1:1" x14ac:dyDescent="0.25">
      <c r="A2811" s="5"/>
    </row>
    <row r="2812" spans="1:1" x14ac:dyDescent="0.25">
      <c r="A2812" s="5"/>
    </row>
    <row r="2813" spans="1:1" x14ac:dyDescent="0.25">
      <c r="A2813" s="5"/>
    </row>
    <row r="2814" spans="1:1" x14ac:dyDescent="0.25">
      <c r="A2814" s="5"/>
    </row>
    <row r="2815" spans="1:1" x14ac:dyDescent="0.25">
      <c r="A2815" s="5"/>
    </row>
    <row r="2816" spans="1:1" x14ac:dyDescent="0.25">
      <c r="A2816" s="5"/>
    </row>
    <row r="2817" spans="1:1" x14ac:dyDescent="0.25">
      <c r="A2817" s="5"/>
    </row>
    <row r="2818" spans="1:1" x14ac:dyDescent="0.25">
      <c r="A2818" s="5"/>
    </row>
    <row r="2819" spans="1:1" x14ac:dyDescent="0.25">
      <c r="A2819" s="5"/>
    </row>
    <row r="2820" spans="1:1" x14ac:dyDescent="0.25">
      <c r="A2820" s="5"/>
    </row>
    <row r="2821" spans="1:1" x14ac:dyDescent="0.25">
      <c r="A2821" s="5"/>
    </row>
    <row r="2822" spans="1:1" x14ac:dyDescent="0.25">
      <c r="A2822" s="5"/>
    </row>
    <row r="2823" spans="1:1" x14ac:dyDescent="0.25">
      <c r="A2823" s="5"/>
    </row>
    <row r="2824" spans="1:1" x14ac:dyDescent="0.25">
      <c r="A2824" s="5"/>
    </row>
    <row r="2825" spans="1:1" x14ac:dyDescent="0.25">
      <c r="A2825" s="5"/>
    </row>
    <row r="2826" spans="1:1" x14ac:dyDescent="0.25">
      <c r="A2826" s="5"/>
    </row>
    <row r="2827" spans="1:1" x14ac:dyDescent="0.25">
      <c r="A2827" s="5"/>
    </row>
    <row r="2828" spans="1:1" x14ac:dyDescent="0.25">
      <c r="A2828" s="5"/>
    </row>
    <row r="2829" spans="1:1" x14ac:dyDescent="0.25">
      <c r="A2829" s="5"/>
    </row>
    <row r="2830" spans="1:1" x14ac:dyDescent="0.25">
      <c r="A2830" s="5"/>
    </row>
    <row r="2831" spans="1:1" x14ac:dyDescent="0.25">
      <c r="A2831" s="5"/>
    </row>
    <row r="2832" spans="1:1" x14ac:dyDescent="0.25">
      <c r="A2832" s="5"/>
    </row>
    <row r="2833" spans="1:1" x14ac:dyDescent="0.25">
      <c r="A2833" s="5"/>
    </row>
    <row r="2834" spans="1:1" x14ac:dyDescent="0.25">
      <c r="A2834" s="5"/>
    </row>
    <row r="2835" spans="1:1" x14ac:dyDescent="0.25">
      <c r="A2835" s="5"/>
    </row>
    <row r="2836" spans="1:1" x14ac:dyDescent="0.25">
      <c r="A2836" s="5"/>
    </row>
    <row r="2837" spans="1:1" x14ac:dyDescent="0.25">
      <c r="A2837" s="5"/>
    </row>
    <row r="2838" spans="1:1" x14ac:dyDescent="0.25">
      <c r="A2838" s="5"/>
    </row>
    <row r="2839" spans="1:1" x14ac:dyDescent="0.25">
      <c r="A2839" s="5"/>
    </row>
    <row r="2840" spans="1:1" x14ac:dyDescent="0.25">
      <c r="A2840" s="5"/>
    </row>
    <row r="2841" spans="1:1" x14ac:dyDescent="0.25">
      <c r="A2841" s="5"/>
    </row>
    <row r="2842" spans="1:1" x14ac:dyDescent="0.25">
      <c r="A2842" s="5"/>
    </row>
    <row r="2843" spans="1:1" x14ac:dyDescent="0.25">
      <c r="A2843" s="5"/>
    </row>
    <row r="2844" spans="1:1" x14ac:dyDescent="0.25">
      <c r="A2844" s="5"/>
    </row>
    <row r="2845" spans="1:1" x14ac:dyDescent="0.25">
      <c r="A2845" s="5"/>
    </row>
    <row r="2846" spans="1:1" x14ac:dyDescent="0.25">
      <c r="A2846" s="5"/>
    </row>
    <row r="2847" spans="1:1" x14ac:dyDescent="0.25">
      <c r="A2847" s="5"/>
    </row>
    <row r="2848" spans="1:1" x14ac:dyDescent="0.25">
      <c r="A2848" s="5"/>
    </row>
    <row r="2849" spans="1:1" x14ac:dyDescent="0.25">
      <c r="A2849" s="5"/>
    </row>
    <row r="2850" spans="1:1" x14ac:dyDescent="0.25">
      <c r="A2850" s="5"/>
    </row>
    <row r="2851" spans="1:1" x14ac:dyDescent="0.25">
      <c r="A2851" s="5"/>
    </row>
    <row r="2852" spans="1:1" x14ac:dyDescent="0.25">
      <c r="A2852" s="5"/>
    </row>
    <row r="2853" spans="1:1" x14ac:dyDescent="0.25">
      <c r="A2853" s="5"/>
    </row>
    <row r="2854" spans="1:1" x14ac:dyDescent="0.25">
      <c r="A2854" s="5"/>
    </row>
    <row r="2855" spans="1:1" x14ac:dyDescent="0.25">
      <c r="A2855" s="5"/>
    </row>
    <row r="2856" spans="1:1" x14ac:dyDescent="0.25">
      <c r="A2856" s="5"/>
    </row>
    <row r="2857" spans="1:1" x14ac:dyDescent="0.25">
      <c r="A2857" s="5"/>
    </row>
    <row r="2858" spans="1:1" x14ac:dyDescent="0.25">
      <c r="A2858" s="5"/>
    </row>
    <row r="2859" spans="1:1" x14ac:dyDescent="0.25">
      <c r="A2859" s="5"/>
    </row>
    <row r="2860" spans="1:1" x14ac:dyDescent="0.25">
      <c r="A2860" s="5"/>
    </row>
    <row r="2861" spans="1:1" x14ac:dyDescent="0.25">
      <c r="A2861" s="5"/>
    </row>
    <row r="2862" spans="1:1" x14ac:dyDescent="0.25">
      <c r="A2862" s="5"/>
    </row>
    <row r="2863" spans="1:1" x14ac:dyDescent="0.25">
      <c r="A2863" s="5"/>
    </row>
    <row r="2864" spans="1:1" x14ac:dyDescent="0.25">
      <c r="A2864" s="5"/>
    </row>
    <row r="2865" spans="1:1" x14ac:dyDescent="0.25">
      <c r="A2865" s="5"/>
    </row>
    <row r="2866" spans="1:1" x14ac:dyDescent="0.25">
      <c r="A2866" s="5"/>
    </row>
    <row r="2867" spans="1:1" x14ac:dyDescent="0.25">
      <c r="A2867" s="5"/>
    </row>
    <row r="2868" spans="1:1" x14ac:dyDescent="0.25">
      <c r="A2868" s="5"/>
    </row>
    <row r="2869" spans="1:1" x14ac:dyDescent="0.25">
      <c r="A2869" s="5"/>
    </row>
    <row r="2870" spans="1:1" x14ac:dyDescent="0.25">
      <c r="A2870" s="5"/>
    </row>
    <row r="2871" spans="1:1" x14ac:dyDescent="0.25">
      <c r="A2871" s="5"/>
    </row>
    <row r="2872" spans="1:1" x14ac:dyDescent="0.25">
      <c r="A2872" s="5"/>
    </row>
    <row r="2873" spans="1:1" x14ac:dyDescent="0.25">
      <c r="A2873" s="5"/>
    </row>
    <row r="2874" spans="1:1" x14ac:dyDescent="0.25">
      <c r="A2874" s="5"/>
    </row>
    <row r="2875" spans="1:1" x14ac:dyDescent="0.25">
      <c r="A2875" s="5"/>
    </row>
    <row r="2876" spans="1:1" x14ac:dyDescent="0.25">
      <c r="A2876" s="5"/>
    </row>
    <row r="2877" spans="1:1" x14ac:dyDescent="0.25">
      <c r="A2877" s="5"/>
    </row>
    <row r="2878" spans="1:1" x14ac:dyDescent="0.25">
      <c r="A2878" s="5"/>
    </row>
    <row r="2879" spans="1:1" x14ac:dyDescent="0.25">
      <c r="A2879" s="5"/>
    </row>
    <row r="2880" spans="1:1" x14ac:dyDescent="0.25">
      <c r="A2880" s="5"/>
    </row>
    <row r="2881" spans="1:1" x14ac:dyDescent="0.25">
      <c r="A2881" s="5"/>
    </row>
    <row r="2882" spans="1:1" x14ac:dyDescent="0.25">
      <c r="A2882" s="5"/>
    </row>
    <row r="2883" spans="1:1" x14ac:dyDescent="0.25">
      <c r="A2883" s="5"/>
    </row>
    <row r="2884" spans="1:1" x14ac:dyDescent="0.25">
      <c r="A2884" s="5"/>
    </row>
    <row r="2885" spans="1:1" x14ac:dyDescent="0.25">
      <c r="A2885" s="5"/>
    </row>
    <row r="2886" spans="1:1" x14ac:dyDescent="0.25">
      <c r="A2886" s="5"/>
    </row>
    <row r="2887" spans="1:1" x14ac:dyDescent="0.25">
      <c r="A2887" s="5"/>
    </row>
    <row r="2888" spans="1:1" x14ac:dyDescent="0.25">
      <c r="A2888" s="5"/>
    </row>
    <row r="2889" spans="1:1" x14ac:dyDescent="0.25">
      <c r="A2889" s="5"/>
    </row>
  </sheetData>
  <conditionalFormatting sqref="D1:D4 D202:D1048576 C200:D201 D197:D199">
    <cfRule type="cellIs" dxfId="277" priority="193" operator="lessThan">
      <formula>$A$2</formula>
    </cfRule>
  </conditionalFormatting>
  <conditionalFormatting sqref="C196">
    <cfRule type="cellIs" dxfId="276" priority="192" operator="equal">
      <formula>0</formula>
    </cfRule>
  </conditionalFormatting>
  <conditionalFormatting sqref="C195">
    <cfRule type="cellIs" dxfId="275" priority="191" operator="equal">
      <formula>0</formula>
    </cfRule>
  </conditionalFormatting>
  <conditionalFormatting sqref="C194">
    <cfRule type="cellIs" dxfId="274" priority="190" operator="equal">
      <formula>0</formula>
    </cfRule>
  </conditionalFormatting>
  <conditionalFormatting sqref="C193">
    <cfRule type="cellIs" dxfId="273" priority="189" operator="equal">
      <formula>0</formula>
    </cfRule>
  </conditionalFormatting>
  <conditionalFormatting sqref="C192">
    <cfRule type="cellIs" dxfId="272" priority="188" operator="equal">
      <formula>0</formula>
    </cfRule>
  </conditionalFormatting>
  <conditionalFormatting sqref="C191">
    <cfRule type="cellIs" dxfId="271" priority="187" operator="equal">
      <formula>0</formula>
    </cfRule>
  </conditionalFormatting>
  <conditionalFormatting sqref="C190">
    <cfRule type="cellIs" dxfId="270" priority="186" operator="equal">
      <formula>0</formula>
    </cfRule>
  </conditionalFormatting>
  <conditionalFormatting sqref="C189">
    <cfRule type="cellIs" dxfId="269" priority="185" operator="equal">
      <formula>0</formula>
    </cfRule>
  </conditionalFormatting>
  <conditionalFormatting sqref="C188">
    <cfRule type="cellIs" dxfId="268" priority="184" operator="equal">
      <formula>0</formula>
    </cfRule>
  </conditionalFormatting>
  <conditionalFormatting sqref="C187">
    <cfRule type="cellIs" dxfId="267" priority="183" operator="equal">
      <formula>0</formula>
    </cfRule>
  </conditionalFormatting>
  <conditionalFormatting sqref="C186">
    <cfRule type="cellIs" dxfId="266" priority="182" operator="equal">
      <formula>0</formula>
    </cfRule>
  </conditionalFormatting>
  <conditionalFormatting sqref="C185">
    <cfRule type="cellIs" dxfId="265" priority="181" operator="equal">
      <formula>0</formula>
    </cfRule>
  </conditionalFormatting>
  <conditionalFormatting sqref="C184">
    <cfRule type="cellIs" dxfId="264" priority="180" operator="equal">
      <formula>0</formula>
    </cfRule>
  </conditionalFormatting>
  <conditionalFormatting sqref="C183">
    <cfRule type="cellIs" dxfId="263" priority="179" operator="equal">
      <formula>0</formula>
    </cfRule>
  </conditionalFormatting>
  <conditionalFormatting sqref="C182">
    <cfRule type="cellIs" dxfId="262" priority="178" operator="equal">
      <formula>0</formula>
    </cfRule>
  </conditionalFormatting>
  <conditionalFormatting sqref="C181">
    <cfRule type="cellIs" dxfId="261" priority="177" operator="equal">
      <formula>0</formula>
    </cfRule>
  </conditionalFormatting>
  <conditionalFormatting sqref="C180">
    <cfRule type="cellIs" dxfId="260" priority="176" operator="equal">
      <formula>0</formula>
    </cfRule>
  </conditionalFormatting>
  <conditionalFormatting sqref="C179">
    <cfRule type="cellIs" dxfId="259" priority="175" operator="equal">
      <formula>0</formula>
    </cfRule>
  </conditionalFormatting>
  <conditionalFormatting sqref="C178">
    <cfRule type="cellIs" dxfId="258" priority="174" operator="equal">
      <formula>0</formula>
    </cfRule>
  </conditionalFormatting>
  <conditionalFormatting sqref="C177">
    <cfRule type="cellIs" dxfId="257" priority="173" operator="equal">
      <formula>0</formula>
    </cfRule>
  </conditionalFormatting>
  <conditionalFormatting sqref="C176">
    <cfRule type="cellIs" dxfId="256" priority="172" operator="equal">
      <formula>0</formula>
    </cfRule>
  </conditionalFormatting>
  <conditionalFormatting sqref="C175">
    <cfRule type="cellIs" dxfId="255" priority="171" operator="equal">
      <formula>0</formula>
    </cfRule>
  </conditionalFormatting>
  <conditionalFormatting sqref="C174">
    <cfRule type="cellIs" dxfId="254" priority="170" operator="equal">
      <formula>0</formula>
    </cfRule>
  </conditionalFormatting>
  <conditionalFormatting sqref="C173">
    <cfRule type="cellIs" dxfId="253" priority="169" operator="equal">
      <formula>0</formula>
    </cfRule>
  </conditionalFormatting>
  <conditionalFormatting sqref="C172">
    <cfRule type="cellIs" dxfId="252" priority="168" operator="equal">
      <formula>0</formula>
    </cfRule>
  </conditionalFormatting>
  <conditionalFormatting sqref="C171">
    <cfRule type="cellIs" dxfId="251" priority="167" operator="equal">
      <formula>0</formula>
    </cfRule>
  </conditionalFormatting>
  <conditionalFormatting sqref="C170">
    <cfRule type="cellIs" dxfId="250" priority="166" operator="equal">
      <formula>0</formula>
    </cfRule>
  </conditionalFormatting>
  <conditionalFormatting sqref="C169">
    <cfRule type="cellIs" dxfId="249" priority="165" operator="equal">
      <formula>0</formula>
    </cfRule>
  </conditionalFormatting>
  <conditionalFormatting sqref="C168">
    <cfRule type="cellIs" dxfId="248" priority="164" operator="equal">
      <formula>0</formula>
    </cfRule>
  </conditionalFormatting>
  <conditionalFormatting sqref="C167">
    <cfRule type="cellIs" dxfId="247" priority="163" operator="equal">
      <formula>0</formula>
    </cfRule>
  </conditionalFormatting>
  <conditionalFormatting sqref="C166">
    <cfRule type="cellIs" dxfId="246" priority="162" operator="equal">
      <formula>0</formula>
    </cfRule>
  </conditionalFormatting>
  <conditionalFormatting sqref="C165">
    <cfRule type="cellIs" dxfId="245" priority="161" operator="equal">
      <formula>0</formula>
    </cfRule>
  </conditionalFormatting>
  <conditionalFormatting sqref="C164">
    <cfRule type="cellIs" dxfId="244" priority="160" operator="equal">
      <formula>0</formula>
    </cfRule>
  </conditionalFormatting>
  <conditionalFormatting sqref="C163">
    <cfRule type="cellIs" dxfId="243" priority="159" operator="equal">
      <formula>0</formula>
    </cfRule>
  </conditionalFormatting>
  <conditionalFormatting sqref="C162">
    <cfRule type="cellIs" dxfId="242" priority="158" operator="equal">
      <formula>0</formula>
    </cfRule>
  </conditionalFormatting>
  <conditionalFormatting sqref="C161">
    <cfRule type="cellIs" dxfId="241" priority="157" operator="equal">
      <formula>0</formula>
    </cfRule>
  </conditionalFormatting>
  <conditionalFormatting sqref="C160">
    <cfRule type="cellIs" dxfId="240" priority="156" operator="equal">
      <formula>0</formula>
    </cfRule>
  </conditionalFormatting>
  <conditionalFormatting sqref="C159">
    <cfRule type="cellIs" dxfId="239" priority="155" operator="equal">
      <formula>0</formula>
    </cfRule>
  </conditionalFormatting>
  <conditionalFormatting sqref="C158">
    <cfRule type="cellIs" dxfId="238" priority="154" operator="equal">
      <formula>0</formula>
    </cfRule>
  </conditionalFormatting>
  <conditionalFormatting sqref="C157">
    <cfRule type="cellIs" dxfId="237" priority="153" operator="equal">
      <formula>0</formula>
    </cfRule>
  </conditionalFormatting>
  <conditionalFormatting sqref="C156">
    <cfRule type="cellIs" dxfId="236" priority="152" operator="equal">
      <formula>0</formula>
    </cfRule>
  </conditionalFormatting>
  <conditionalFormatting sqref="C155">
    <cfRule type="cellIs" dxfId="235" priority="151" operator="equal">
      <formula>0</formula>
    </cfRule>
  </conditionalFormatting>
  <conditionalFormatting sqref="C154">
    <cfRule type="cellIs" dxfId="234" priority="150" operator="equal">
      <formula>0</formula>
    </cfRule>
  </conditionalFormatting>
  <conditionalFormatting sqref="C153">
    <cfRule type="cellIs" dxfId="233" priority="149" operator="equal">
      <formula>0</formula>
    </cfRule>
  </conditionalFormatting>
  <conditionalFormatting sqref="C152">
    <cfRule type="cellIs" dxfId="232" priority="148" operator="equal">
      <formula>0</formula>
    </cfRule>
  </conditionalFormatting>
  <conditionalFormatting sqref="C151">
    <cfRule type="cellIs" dxfId="231" priority="147" operator="equal">
      <formula>0</formula>
    </cfRule>
  </conditionalFormatting>
  <conditionalFormatting sqref="C150">
    <cfRule type="cellIs" dxfId="230" priority="146" operator="equal">
      <formula>0</formula>
    </cfRule>
  </conditionalFormatting>
  <conditionalFormatting sqref="C149">
    <cfRule type="cellIs" dxfId="229" priority="145" operator="equal">
      <formula>0</formula>
    </cfRule>
  </conditionalFormatting>
  <conditionalFormatting sqref="C148">
    <cfRule type="cellIs" dxfId="228" priority="144" operator="equal">
      <formula>0</formula>
    </cfRule>
  </conditionalFormatting>
  <conditionalFormatting sqref="C147">
    <cfRule type="cellIs" dxfId="227" priority="143" operator="equal">
      <formula>0</formula>
    </cfRule>
  </conditionalFormatting>
  <conditionalFormatting sqref="C146">
    <cfRule type="cellIs" dxfId="226" priority="142" operator="equal">
      <formula>0</formula>
    </cfRule>
  </conditionalFormatting>
  <conditionalFormatting sqref="C145">
    <cfRule type="cellIs" dxfId="225" priority="141" operator="equal">
      <formula>0</formula>
    </cfRule>
  </conditionalFormatting>
  <conditionalFormatting sqref="C144">
    <cfRule type="cellIs" dxfId="224" priority="140" operator="equal">
      <formula>0</formula>
    </cfRule>
  </conditionalFormatting>
  <conditionalFormatting sqref="C143">
    <cfRule type="cellIs" dxfId="223" priority="139" operator="equal">
      <formula>0</formula>
    </cfRule>
  </conditionalFormatting>
  <conditionalFormatting sqref="C142">
    <cfRule type="cellIs" dxfId="222" priority="138" operator="equal">
      <formula>0</formula>
    </cfRule>
  </conditionalFormatting>
  <conditionalFormatting sqref="C141">
    <cfRule type="cellIs" dxfId="221" priority="137" operator="equal">
      <formula>0</formula>
    </cfRule>
  </conditionalFormatting>
  <conditionalFormatting sqref="C140">
    <cfRule type="cellIs" dxfId="220" priority="136" operator="equal">
      <formula>0</formula>
    </cfRule>
  </conditionalFormatting>
  <conditionalFormatting sqref="C139">
    <cfRule type="cellIs" dxfId="219" priority="135" operator="equal">
      <formula>0</formula>
    </cfRule>
  </conditionalFormatting>
  <conditionalFormatting sqref="C138">
    <cfRule type="cellIs" dxfId="218" priority="134" operator="equal">
      <formula>0</formula>
    </cfRule>
  </conditionalFormatting>
  <conditionalFormatting sqref="C137">
    <cfRule type="cellIs" dxfId="217" priority="133" operator="equal">
      <formula>0</formula>
    </cfRule>
  </conditionalFormatting>
  <conditionalFormatting sqref="C136">
    <cfRule type="cellIs" dxfId="216" priority="132" operator="equal">
      <formula>0</formula>
    </cfRule>
  </conditionalFormatting>
  <conditionalFormatting sqref="C135">
    <cfRule type="cellIs" dxfId="215" priority="131" operator="equal">
      <formula>0</formula>
    </cfRule>
  </conditionalFormatting>
  <conditionalFormatting sqref="C134">
    <cfRule type="cellIs" dxfId="214" priority="130" operator="equal">
      <formula>0</formula>
    </cfRule>
  </conditionalFormatting>
  <conditionalFormatting sqref="C133">
    <cfRule type="cellIs" dxfId="213" priority="129" operator="equal">
      <formula>0</formula>
    </cfRule>
  </conditionalFormatting>
  <conditionalFormatting sqref="C132">
    <cfRule type="cellIs" dxfId="212" priority="128" operator="equal">
      <formula>0</formula>
    </cfRule>
  </conditionalFormatting>
  <conditionalFormatting sqref="C131">
    <cfRule type="cellIs" dxfId="211" priority="127" operator="equal">
      <formula>0</formula>
    </cfRule>
  </conditionalFormatting>
  <conditionalFormatting sqref="C130">
    <cfRule type="cellIs" dxfId="210" priority="126" operator="equal">
      <formula>0</formula>
    </cfRule>
  </conditionalFormatting>
  <conditionalFormatting sqref="C129">
    <cfRule type="cellIs" dxfId="209" priority="125" operator="equal">
      <formula>0</formula>
    </cfRule>
  </conditionalFormatting>
  <conditionalFormatting sqref="C128">
    <cfRule type="cellIs" dxfId="208" priority="124" operator="equal">
      <formula>0</formula>
    </cfRule>
  </conditionalFormatting>
  <conditionalFormatting sqref="C127">
    <cfRule type="cellIs" dxfId="207" priority="123" operator="equal">
      <formula>0</formula>
    </cfRule>
  </conditionalFormatting>
  <conditionalFormatting sqref="C126">
    <cfRule type="cellIs" dxfId="206" priority="122" operator="equal">
      <formula>0</formula>
    </cfRule>
  </conditionalFormatting>
  <conditionalFormatting sqref="C125">
    <cfRule type="cellIs" dxfId="205" priority="121" operator="equal">
      <formula>0</formula>
    </cfRule>
  </conditionalFormatting>
  <conditionalFormatting sqref="C124">
    <cfRule type="cellIs" dxfId="204" priority="120" operator="equal">
      <formula>0</formula>
    </cfRule>
  </conditionalFormatting>
  <conditionalFormatting sqref="C123">
    <cfRule type="cellIs" dxfId="203" priority="119" operator="equal">
      <formula>0</formula>
    </cfRule>
  </conditionalFormatting>
  <conditionalFormatting sqref="C122">
    <cfRule type="cellIs" dxfId="202" priority="118" operator="equal">
      <formula>0</formula>
    </cfRule>
  </conditionalFormatting>
  <conditionalFormatting sqref="C121">
    <cfRule type="cellIs" dxfId="201" priority="117" operator="equal">
      <formula>0</formula>
    </cfRule>
  </conditionalFormatting>
  <conditionalFormatting sqref="C120">
    <cfRule type="cellIs" dxfId="200" priority="116" operator="equal">
      <formula>0</formula>
    </cfRule>
  </conditionalFormatting>
  <conditionalFormatting sqref="C119">
    <cfRule type="cellIs" dxfId="199" priority="115" operator="equal">
      <formula>0</formula>
    </cfRule>
  </conditionalFormatting>
  <conditionalFormatting sqref="C118">
    <cfRule type="cellIs" dxfId="198" priority="114" operator="equal">
      <formula>0</formula>
    </cfRule>
  </conditionalFormatting>
  <conditionalFormatting sqref="C117">
    <cfRule type="cellIs" dxfId="197" priority="113" operator="equal">
      <formula>0</formula>
    </cfRule>
  </conditionalFormatting>
  <conditionalFormatting sqref="C116">
    <cfRule type="cellIs" dxfId="196" priority="112" operator="equal">
      <formula>0</formula>
    </cfRule>
  </conditionalFormatting>
  <conditionalFormatting sqref="C115">
    <cfRule type="cellIs" dxfId="195" priority="111" operator="equal">
      <formula>0</formula>
    </cfRule>
  </conditionalFormatting>
  <conditionalFormatting sqref="C114">
    <cfRule type="cellIs" dxfId="194" priority="110" operator="equal">
      <formula>0</formula>
    </cfRule>
  </conditionalFormatting>
  <conditionalFormatting sqref="C113">
    <cfRule type="cellIs" dxfId="193" priority="109" operator="equal">
      <formula>0</formula>
    </cfRule>
  </conditionalFormatting>
  <conditionalFormatting sqref="C112">
    <cfRule type="cellIs" dxfId="192" priority="108" operator="equal">
      <formula>0</formula>
    </cfRule>
  </conditionalFormatting>
  <conditionalFormatting sqref="C111">
    <cfRule type="cellIs" dxfId="191" priority="107" operator="equal">
      <formula>0</formula>
    </cfRule>
  </conditionalFormatting>
  <conditionalFormatting sqref="C110">
    <cfRule type="cellIs" dxfId="190" priority="106" operator="equal">
      <formula>0</formula>
    </cfRule>
  </conditionalFormatting>
  <conditionalFormatting sqref="C109">
    <cfRule type="cellIs" dxfId="189" priority="105" operator="equal">
      <formula>0</formula>
    </cfRule>
  </conditionalFormatting>
  <conditionalFormatting sqref="C108">
    <cfRule type="cellIs" dxfId="188" priority="104" operator="equal">
      <formula>0</formula>
    </cfRule>
  </conditionalFormatting>
  <conditionalFormatting sqref="C107">
    <cfRule type="cellIs" dxfId="187" priority="103" operator="equal">
      <formula>0</formula>
    </cfRule>
  </conditionalFormatting>
  <conditionalFormatting sqref="C106">
    <cfRule type="cellIs" dxfId="186" priority="102" operator="equal">
      <formula>0</formula>
    </cfRule>
  </conditionalFormatting>
  <conditionalFormatting sqref="C105">
    <cfRule type="cellIs" dxfId="185" priority="101" operator="equal">
      <formula>0</formula>
    </cfRule>
  </conditionalFormatting>
  <conditionalFormatting sqref="C104">
    <cfRule type="cellIs" dxfId="184" priority="100" operator="equal">
      <formula>0</formula>
    </cfRule>
  </conditionalFormatting>
  <conditionalFormatting sqref="C103">
    <cfRule type="cellIs" dxfId="183" priority="99" operator="equal">
      <formula>0</formula>
    </cfRule>
  </conditionalFormatting>
  <conditionalFormatting sqref="C102">
    <cfRule type="cellIs" dxfId="182" priority="98" operator="equal">
      <formula>0</formula>
    </cfRule>
  </conditionalFormatting>
  <conditionalFormatting sqref="C101">
    <cfRule type="cellIs" dxfId="181" priority="97" operator="equal">
      <formula>0</formula>
    </cfRule>
  </conditionalFormatting>
  <conditionalFormatting sqref="C100">
    <cfRule type="cellIs" dxfId="180" priority="96" operator="equal">
      <formula>0</formula>
    </cfRule>
  </conditionalFormatting>
  <conditionalFormatting sqref="C99">
    <cfRule type="cellIs" dxfId="179" priority="95" operator="equal">
      <formula>0</formula>
    </cfRule>
  </conditionalFormatting>
  <conditionalFormatting sqref="C98">
    <cfRule type="cellIs" dxfId="178" priority="94" operator="equal">
      <formula>0</formula>
    </cfRule>
  </conditionalFormatting>
  <conditionalFormatting sqref="C97">
    <cfRule type="cellIs" dxfId="177" priority="93" operator="equal">
      <formula>0</formula>
    </cfRule>
  </conditionalFormatting>
  <conditionalFormatting sqref="C96">
    <cfRule type="cellIs" dxfId="176" priority="92" operator="equal">
      <formula>0</formula>
    </cfRule>
  </conditionalFormatting>
  <conditionalFormatting sqref="C95">
    <cfRule type="cellIs" dxfId="175" priority="91" operator="equal">
      <formula>0</formula>
    </cfRule>
  </conditionalFormatting>
  <conditionalFormatting sqref="C94">
    <cfRule type="cellIs" dxfId="174" priority="90" operator="equal">
      <formula>0</formula>
    </cfRule>
  </conditionalFormatting>
  <conditionalFormatting sqref="C93">
    <cfRule type="cellIs" dxfId="173" priority="89" operator="equal">
      <formula>0</formula>
    </cfRule>
  </conditionalFormatting>
  <conditionalFormatting sqref="C92">
    <cfRule type="cellIs" dxfId="172" priority="88" operator="equal">
      <formula>0</formula>
    </cfRule>
  </conditionalFormatting>
  <conditionalFormatting sqref="C91">
    <cfRule type="cellIs" dxfId="171" priority="87" operator="equal">
      <formula>0</formula>
    </cfRule>
  </conditionalFormatting>
  <conditionalFormatting sqref="C90">
    <cfRule type="cellIs" dxfId="170" priority="86" operator="equal">
      <formula>0</formula>
    </cfRule>
  </conditionalFormatting>
  <conditionalFormatting sqref="C89">
    <cfRule type="cellIs" dxfId="169" priority="85" operator="equal">
      <formula>0</formula>
    </cfRule>
  </conditionalFormatting>
  <conditionalFormatting sqref="C88">
    <cfRule type="cellIs" dxfId="168" priority="84" operator="equal">
      <formula>0</formula>
    </cfRule>
  </conditionalFormatting>
  <conditionalFormatting sqref="C87">
    <cfRule type="cellIs" dxfId="167" priority="83" operator="equal">
      <formula>0</formula>
    </cfRule>
  </conditionalFormatting>
  <conditionalFormatting sqref="C86">
    <cfRule type="cellIs" dxfId="166" priority="82" operator="equal">
      <formula>0</formula>
    </cfRule>
  </conditionalFormatting>
  <conditionalFormatting sqref="C85">
    <cfRule type="cellIs" dxfId="165" priority="81" operator="equal">
      <formula>0</formula>
    </cfRule>
  </conditionalFormatting>
  <conditionalFormatting sqref="C84">
    <cfRule type="cellIs" dxfId="164" priority="80" operator="equal">
      <formula>0</formula>
    </cfRule>
  </conditionalFormatting>
  <conditionalFormatting sqref="C83">
    <cfRule type="cellIs" dxfId="163" priority="79" operator="equal">
      <formula>0</formula>
    </cfRule>
  </conditionalFormatting>
  <conditionalFormatting sqref="C82">
    <cfRule type="cellIs" dxfId="162" priority="78" operator="equal">
      <formula>0</formula>
    </cfRule>
  </conditionalFormatting>
  <conditionalFormatting sqref="C81">
    <cfRule type="cellIs" dxfId="161" priority="77" operator="equal">
      <formula>0</formula>
    </cfRule>
  </conditionalFormatting>
  <conditionalFormatting sqref="C80">
    <cfRule type="cellIs" dxfId="160" priority="76" operator="equal">
      <formula>0</formula>
    </cfRule>
  </conditionalFormatting>
  <conditionalFormatting sqref="C79">
    <cfRule type="cellIs" dxfId="159" priority="75" operator="equal">
      <formula>0</formula>
    </cfRule>
  </conditionalFormatting>
  <conditionalFormatting sqref="C78">
    <cfRule type="cellIs" dxfId="158" priority="74" operator="equal">
      <formula>0</formula>
    </cfRule>
  </conditionalFormatting>
  <conditionalFormatting sqref="C77">
    <cfRule type="cellIs" dxfId="157" priority="73" operator="equal">
      <formula>0</formula>
    </cfRule>
  </conditionalFormatting>
  <conditionalFormatting sqref="C76">
    <cfRule type="cellIs" dxfId="156" priority="72" operator="equal">
      <formula>0</formula>
    </cfRule>
  </conditionalFormatting>
  <conditionalFormatting sqref="C75">
    <cfRule type="cellIs" dxfId="155" priority="71" operator="equal">
      <formula>0</formula>
    </cfRule>
  </conditionalFormatting>
  <conditionalFormatting sqref="C74">
    <cfRule type="cellIs" dxfId="154" priority="70" operator="equal">
      <formula>0</formula>
    </cfRule>
  </conditionalFormatting>
  <conditionalFormatting sqref="C73">
    <cfRule type="cellIs" dxfId="153" priority="69" operator="equal">
      <formula>0</formula>
    </cfRule>
  </conditionalFormatting>
  <conditionalFormatting sqref="C72">
    <cfRule type="cellIs" dxfId="152" priority="68" operator="equal">
      <formula>0</formula>
    </cfRule>
  </conditionalFormatting>
  <conditionalFormatting sqref="C71">
    <cfRule type="cellIs" dxfId="151" priority="67" operator="equal">
      <formula>0</formula>
    </cfRule>
  </conditionalFormatting>
  <conditionalFormatting sqref="C70">
    <cfRule type="cellIs" dxfId="150" priority="66" operator="equal">
      <formula>0</formula>
    </cfRule>
  </conditionalFormatting>
  <conditionalFormatting sqref="C69">
    <cfRule type="cellIs" dxfId="149" priority="65" operator="equal">
      <formula>0</formula>
    </cfRule>
  </conditionalFormatting>
  <conditionalFormatting sqref="C68">
    <cfRule type="cellIs" dxfId="148" priority="64" operator="equal">
      <formula>0</formula>
    </cfRule>
  </conditionalFormatting>
  <conditionalFormatting sqref="C67">
    <cfRule type="cellIs" dxfId="147" priority="63" operator="equal">
      <formula>0</formula>
    </cfRule>
  </conditionalFormatting>
  <conditionalFormatting sqref="C66">
    <cfRule type="cellIs" dxfId="146" priority="62" operator="equal">
      <formula>0</formula>
    </cfRule>
  </conditionalFormatting>
  <conditionalFormatting sqref="C65">
    <cfRule type="cellIs" dxfId="145" priority="61" operator="equal">
      <formula>0</formula>
    </cfRule>
  </conditionalFormatting>
  <conditionalFormatting sqref="C64">
    <cfRule type="cellIs" dxfId="144" priority="60" operator="equal">
      <formula>0</formula>
    </cfRule>
  </conditionalFormatting>
  <conditionalFormatting sqref="C63">
    <cfRule type="cellIs" dxfId="143" priority="59" operator="equal">
      <formula>0</formula>
    </cfRule>
  </conditionalFormatting>
  <conditionalFormatting sqref="C62">
    <cfRule type="cellIs" dxfId="142" priority="58" operator="equal">
      <formula>0</formula>
    </cfRule>
  </conditionalFormatting>
  <conditionalFormatting sqref="C61">
    <cfRule type="cellIs" dxfId="141" priority="57" operator="equal">
      <formula>0</formula>
    </cfRule>
  </conditionalFormatting>
  <conditionalFormatting sqref="C60">
    <cfRule type="cellIs" dxfId="140" priority="56" operator="equal">
      <formula>0</formula>
    </cfRule>
  </conditionalFormatting>
  <conditionalFormatting sqref="C59">
    <cfRule type="cellIs" dxfId="139" priority="55" operator="equal">
      <formula>0</formula>
    </cfRule>
  </conditionalFormatting>
  <conditionalFormatting sqref="C58">
    <cfRule type="cellIs" dxfId="138" priority="54" operator="equal">
      <formula>0</formula>
    </cfRule>
  </conditionalFormatting>
  <conditionalFormatting sqref="C57">
    <cfRule type="cellIs" dxfId="137" priority="53" operator="equal">
      <formula>0</formula>
    </cfRule>
  </conditionalFormatting>
  <conditionalFormatting sqref="C56">
    <cfRule type="cellIs" dxfId="136" priority="52" operator="equal">
      <formula>0</formula>
    </cfRule>
  </conditionalFormatting>
  <conditionalFormatting sqref="C55">
    <cfRule type="cellIs" dxfId="135" priority="51" operator="equal">
      <formula>0</formula>
    </cfRule>
  </conditionalFormatting>
  <conditionalFormatting sqref="C54">
    <cfRule type="cellIs" dxfId="134" priority="50" operator="equal">
      <formula>0</formula>
    </cfRule>
  </conditionalFormatting>
  <conditionalFormatting sqref="C53">
    <cfRule type="cellIs" dxfId="133" priority="49" operator="equal">
      <formula>0</formula>
    </cfRule>
  </conditionalFormatting>
  <conditionalFormatting sqref="C52">
    <cfRule type="cellIs" dxfId="132" priority="48" operator="equal">
      <formula>0</formula>
    </cfRule>
  </conditionalFormatting>
  <conditionalFormatting sqref="C51">
    <cfRule type="cellIs" dxfId="131" priority="47" operator="equal">
      <formula>0</formula>
    </cfRule>
  </conditionalFormatting>
  <conditionalFormatting sqref="C50">
    <cfRule type="cellIs" dxfId="130" priority="46" operator="equal">
      <formula>0</formula>
    </cfRule>
  </conditionalFormatting>
  <conditionalFormatting sqref="C49">
    <cfRule type="cellIs" dxfId="129" priority="45" operator="equal">
      <formula>0</formula>
    </cfRule>
  </conditionalFormatting>
  <conditionalFormatting sqref="C48">
    <cfRule type="cellIs" dxfId="128" priority="44" operator="equal">
      <formula>0</formula>
    </cfRule>
  </conditionalFormatting>
  <conditionalFormatting sqref="C47">
    <cfRule type="cellIs" dxfId="127" priority="43" operator="equal">
      <formula>0</formula>
    </cfRule>
  </conditionalFormatting>
  <conditionalFormatting sqref="C46">
    <cfRule type="cellIs" dxfId="126" priority="42" operator="equal">
      <formula>0</formula>
    </cfRule>
  </conditionalFormatting>
  <conditionalFormatting sqref="C45">
    <cfRule type="cellIs" dxfId="125" priority="41" operator="equal">
      <formula>0</formula>
    </cfRule>
  </conditionalFormatting>
  <conditionalFormatting sqref="C44">
    <cfRule type="cellIs" dxfId="124" priority="40" operator="equal">
      <formula>0</formula>
    </cfRule>
  </conditionalFormatting>
  <conditionalFormatting sqref="C43">
    <cfRule type="cellIs" dxfId="123" priority="39" operator="equal">
      <formula>0</formula>
    </cfRule>
  </conditionalFormatting>
  <conditionalFormatting sqref="C42">
    <cfRule type="cellIs" dxfId="122" priority="38" operator="equal">
      <formula>0</formula>
    </cfRule>
  </conditionalFormatting>
  <conditionalFormatting sqref="C41">
    <cfRule type="cellIs" dxfId="121" priority="37" operator="equal">
      <formula>0</formula>
    </cfRule>
  </conditionalFormatting>
  <conditionalFormatting sqref="C40">
    <cfRule type="cellIs" dxfId="120" priority="36" operator="equal">
      <formula>0</formula>
    </cfRule>
  </conditionalFormatting>
  <conditionalFormatting sqref="C39">
    <cfRule type="cellIs" dxfId="119" priority="35" operator="equal">
      <formula>0</formula>
    </cfRule>
  </conditionalFormatting>
  <conditionalFormatting sqref="C38">
    <cfRule type="cellIs" dxfId="118" priority="34" operator="equal">
      <formula>0</formula>
    </cfRule>
  </conditionalFormatting>
  <conditionalFormatting sqref="C37">
    <cfRule type="cellIs" dxfId="117" priority="33" operator="equal">
      <formula>0</formula>
    </cfRule>
  </conditionalFormatting>
  <conditionalFormatting sqref="C36">
    <cfRule type="cellIs" dxfId="116" priority="32" operator="equal">
      <formula>0</formula>
    </cfRule>
  </conditionalFormatting>
  <conditionalFormatting sqref="C35">
    <cfRule type="cellIs" dxfId="115" priority="31" operator="equal">
      <formula>0</formula>
    </cfRule>
  </conditionalFormatting>
  <conditionalFormatting sqref="C34">
    <cfRule type="cellIs" dxfId="114" priority="30" operator="equal">
      <formula>0</formula>
    </cfRule>
  </conditionalFormatting>
  <conditionalFormatting sqref="C33">
    <cfRule type="cellIs" dxfId="113" priority="29" operator="equal">
      <formula>0</formula>
    </cfRule>
  </conditionalFormatting>
  <conditionalFormatting sqref="C32">
    <cfRule type="cellIs" dxfId="112" priority="28" operator="equal">
      <formula>0</formula>
    </cfRule>
  </conditionalFormatting>
  <conditionalFormatting sqref="C31">
    <cfRule type="cellIs" dxfId="111" priority="27" operator="equal">
      <formula>0</formula>
    </cfRule>
  </conditionalFormatting>
  <conditionalFormatting sqref="C30">
    <cfRule type="cellIs" dxfId="110" priority="26" operator="equal">
      <formula>0</formula>
    </cfRule>
  </conditionalFormatting>
  <conditionalFormatting sqref="C29">
    <cfRule type="cellIs" dxfId="109" priority="25" operator="equal">
      <formula>0</formula>
    </cfRule>
  </conditionalFormatting>
  <conditionalFormatting sqref="C28">
    <cfRule type="cellIs" dxfId="108" priority="24" operator="equal">
      <formula>0</formula>
    </cfRule>
  </conditionalFormatting>
  <conditionalFormatting sqref="C27">
    <cfRule type="cellIs" dxfId="107" priority="23" operator="equal">
      <formula>0</formula>
    </cfRule>
  </conditionalFormatting>
  <conditionalFormatting sqref="C26">
    <cfRule type="cellIs" dxfId="106" priority="22" operator="equal">
      <formula>0</formula>
    </cfRule>
  </conditionalFormatting>
  <conditionalFormatting sqref="C25">
    <cfRule type="cellIs" dxfId="105" priority="21" operator="equal">
      <formula>0</formula>
    </cfRule>
  </conditionalFormatting>
  <conditionalFormatting sqref="C24">
    <cfRule type="cellIs" dxfId="104" priority="20" operator="equal">
      <formula>0</formula>
    </cfRule>
  </conditionalFormatting>
  <conditionalFormatting sqref="C23">
    <cfRule type="cellIs" dxfId="103" priority="19" operator="equal">
      <formula>0</formula>
    </cfRule>
  </conditionalFormatting>
  <conditionalFormatting sqref="C22">
    <cfRule type="cellIs" dxfId="102" priority="18" operator="equal">
      <formula>0</formula>
    </cfRule>
  </conditionalFormatting>
  <conditionalFormatting sqref="C21">
    <cfRule type="cellIs" dxfId="101" priority="17" operator="equal">
      <formula>0</formula>
    </cfRule>
  </conditionalFormatting>
  <conditionalFormatting sqref="C20">
    <cfRule type="cellIs" dxfId="100" priority="16" operator="equal">
      <formula>0</formula>
    </cfRule>
  </conditionalFormatting>
  <conditionalFormatting sqref="C19">
    <cfRule type="cellIs" dxfId="99" priority="15" operator="equal">
      <formula>0</formula>
    </cfRule>
  </conditionalFormatting>
  <conditionalFormatting sqref="C18">
    <cfRule type="cellIs" dxfId="98" priority="14" operator="equal">
      <formula>0</formula>
    </cfRule>
  </conditionalFormatting>
  <conditionalFormatting sqref="C17">
    <cfRule type="cellIs" dxfId="97" priority="13" operator="equal">
      <formula>0</formula>
    </cfRule>
  </conditionalFormatting>
  <conditionalFormatting sqref="C16">
    <cfRule type="cellIs" dxfId="96" priority="12" operator="equal">
      <formula>0</formula>
    </cfRule>
  </conditionalFormatting>
  <conditionalFormatting sqref="C15">
    <cfRule type="cellIs" dxfId="95" priority="11" operator="equal">
      <formula>0</formula>
    </cfRule>
  </conditionalFormatting>
  <conditionalFormatting sqref="C14">
    <cfRule type="cellIs" dxfId="94" priority="10" operator="equal">
      <formula>0</formula>
    </cfRule>
  </conditionalFormatting>
  <conditionalFormatting sqref="C13">
    <cfRule type="cellIs" dxfId="93" priority="9" operator="equal">
      <formula>0</formula>
    </cfRule>
  </conditionalFormatting>
  <conditionalFormatting sqref="C12">
    <cfRule type="cellIs" dxfId="92" priority="8" operator="equal">
      <formula>0</formula>
    </cfRule>
  </conditionalFormatting>
  <conditionalFormatting sqref="C11">
    <cfRule type="cellIs" dxfId="91" priority="7" operator="equal">
      <formula>0</formula>
    </cfRule>
  </conditionalFormatting>
  <conditionalFormatting sqref="C10">
    <cfRule type="cellIs" dxfId="90" priority="6" operator="equal">
      <formula>0</formula>
    </cfRule>
  </conditionalFormatting>
  <conditionalFormatting sqref="C9">
    <cfRule type="cellIs" dxfId="89" priority="5" operator="equal">
      <formula>0</formula>
    </cfRule>
  </conditionalFormatting>
  <conditionalFormatting sqref="C8">
    <cfRule type="cellIs" dxfId="88" priority="4" operator="equal">
      <formula>0</formula>
    </cfRule>
  </conditionalFormatting>
  <conditionalFormatting sqref="C7">
    <cfRule type="cellIs" dxfId="87" priority="3" operator="equal">
      <formula>0</formula>
    </cfRule>
  </conditionalFormatting>
  <conditionalFormatting sqref="C6">
    <cfRule type="cellIs" dxfId="86" priority="2" operator="equal">
      <formula>0</formula>
    </cfRule>
  </conditionalFormatting>
  <conditionalFormatting sqref="C5">
    <cfRule type="cellIs" dxfId="85" priority="1" operator="equal">
      <formula>0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B0F0"/>
  </sheetPr>
  <dimension ref="A1:AZZ1865"/>
  <sheetViews>
    <sheetView topLeftCell="A1833" zoomScale="90" zoomScaleNormal="90" workbookViewId="0">
      <pane xSplit="4" topLeftCell="XEP1" activePane="topRight" state="frozen"/>
      <selection pane="topRight" activeCell="A1865" sqref="A1865"/>
    </sheetView>
  </sheetViews>
  <sheetFormatPr defaultRowHeight="15" x14ac:dyDescent="0.25"/>
  <cols>
    <col min="1" max="1" width="10.7109375" customWidth="1"/>
    <col min="2" max="5" width="10.7109375" style="10" hidden="1" customWidth="1"/>
    <col min="6" max="6" width="10.7109375" style="1" hidden="1" customWidth="1"/>
    <col min="7" max="1378" width="3" style="1" customWidth="1"/>
  </cols>
  <sheetData>
    <row r="1" spans="1:21" x14ac:dyDescent="0.25">
      <c r="S1" s="1" t="s">
        <v>7</v>
      </c>
      <c r="U1" s="1" t="s">
        <v>8</v>
      </c>
    </row>
    <row r="4" spans="1:21" x14ac:dyDescent="0.25">
      <c r="A4" s="7">
        <v>100960.34833214773</v>
      </c>
    </row>
    <row r="5" spans="1:21" x14ac:dyDescent="0.25">
      <c r="A5" s="7">
        <v>99960.740922918543</v>
      </c>
    </row>
    <row r="6" spans="1:21" x14ac:dyDescent="0.25">
      <c r="A6" s="7">
        <v>98971.030616751028</v>
      </c>
    </row>
    <row r="7" spans="1:21" x14ac:dyDescent="0.25">
      <c r="A7" s="7">
        <v>97991.119422525764</v>
      </c>
    </row>
    <row r="8" spans="1:21" x14ac:dyDescent="0.25">
      <c r="A8" s="7">
        <v>97020.910319332441</v>
      </c>
    </row>
    <row r="9" spans="1:21" x14ac:dyDescent="0.25">
      <c r="A9" s="7">
        <v>96060.307246863798</v>
      </c>
    </row>
    <row r="10" spans="1:21" x14ac:dyDescent="0.25">
      <c r="A10" s="7">
        <v>95109.215095904743</v>
      </c>
    </row>
    <row r="11" spans="1:21" x14ac:dyDescent="0.25">
      <c r="A11" s="7">
        <v>94167.539698915585</v>
      </c>
    </row>
    <row r="12" spans="1:21" x14ac:dyDescent="0.25">
      <c r="A12" s="7">
        <v>93235.187820708496</v>
      </c>
    </row>
    <row r="13" spans="1:21" x14ac:dyDescent="0.25">
      <c r="A13" s="7">
        <v>92312.067149216338</v>
      </c>
    </row>
    <row r="14" spans="1:21" x14ac:dyDescent="0.25">
      <c r="A14" s="7">
        <v>91398.086286352816</v>
      </c>
    </row>
    <row r="15" spans="1:21" x14ac:dyDescent="0.25">
      <c r="A15" s="7">
        <v>90493.154738963189</v>
      </c>
    </row>
    <row r="16" spans="1:21" x14ac:dyDescent="0.25">
      <c r="A16" s="7">
        <v>89597.182909864539</v>
      </c>
    </row>
    <row r="17" spans="1:7" x14ac:dyDescent="0.25">
      <c r="A17" s="7">
        <v>88710.082088974785</v>
      </c>
    </row>
    <row r="18" spans="1:7" x14ac:dyDescent="0.25">
      <c r="A18" s="7">
        <v>87831.764444529486</v>
      </c>
    </row>
    <row r="19" spans="1:7" x14ac:dyDescent="0.25">
      <c r="A19" s="7">
        <v>86962.143014385627</v>
      </c>
    </row>
    <row r="20" spans="1:7" x14ac:dyDescent="0.25">
      <c r="A20" s="7">
        <v>86101.131697411518</v>
      </c>
    </row>
    <row r="21" spans="1:7" x14ac:dyDescent="0.25">
      <c r="A21" s="7">
        <v>85248.645244961896</v>
      </c>
      <c r="G21" s="11"/>
    </row>
    <row r="22" spans="1:7" x14ac:dyDescent="0.25">
      <c r="A22" s="7">
        <v>84404.599252437518</v>
      </c>
    </row>
    <row r="23" spans="1:7" x14ac:dyDescent="0.25">
      <c r="A23" s="7">
        <v>83568.910150928234</v>
      </c>
    </row>
    <row r="24" spans="1:7" x14ac:dyDescent="0.25">
      <c r="A24" s="7">
        <v>82741.49519893885</v>
      </c>
    </row>
    <row r="25" spans="1:7" x14ac:dyDescent="0.25">
      <c r="A25" s="7">
        <v>81922.272474196885</v>
      </c>
    </row>
    <row r="26" spans="1:7" x14ac:dyDescent="0.25">
      <c r="A26" s="7">
        <v>81111.160865541475</v>
      </c>
    </row>
    <row r="27" spans="1:7" x14ac:dyDescent="0.25">
      <c r="A27" s="7">
        <v>80308.080064892551</v>
      </c>
    </row>
    <row r="28" spans="1:7" x14ac:dyDescent="0.25">
      <c r="A28" s="7">
        <v>79512.950559299556</v>
      </c>
    </row>
    <row r="29" spans="1:7" x14ac:dyDescent="0.25">
      <c r="A29" s="7">
        <v>78725.693623068873</v>
      </c>
    </row>
    <row r="30" spans="1:7" x14ac:dyDescent="0.25">
      <c r="A30" s="7">
        <v>77946.231309969182</v>
      </c>
    </row>
    <row r="31" spans="1:7" x14ac:dyDescent="0.25">
      <c r="A31" s="7">
        <v>77174.486445514034</v>
      </c>
    </row>
    <row r="32" spans="1:7" x14ac:dyDescent="0.25">
      <c r="A32" s="7">
        <v>76410.382619320822</v>
      </c>
    </row>
    <row r="33" spans="1:5" x14ac:dyDescent="0.25">
      <c r="A33" s="7">
        <v>75653.844177545368</v>
      </c>
      <c r="B33"/>
      <c r="C33"/>
      <c r="D33"/>
      <c r="E33" s="1"/>
    </row>
    <row r="34" spans="1:5" x14ac:dyDescent="0.25">
      <c r="A34" s="7">
        <v>74904.796215391456</v>
      </c>
      <c r="B34"/>
      <c r="C34"/>
      <c r="D34"/>
      <c r="E34" s="1"/>
    </row>
    <row r="35" spans="1:5" x14ac:dyDescent="0.25">
      <c r="A35" s="7">
        <v>74163.164569694505</v>
      </c>
      <c r="B35"/>
      <c r="C35"/>
      <c r="D35"/>
      <c r="E35" s="1"/>
    </row>
    <row r="36" spans="1:5" x14ac:dyDescent="0.25">
      <c r="A36" s="7">
        <v>73428.87581157872</v>
      </c>
      <c r="B36"/>
      <c r="C36"/>
      <c r="D36"/>
      <c r="E36" s="1"/>
    </row>
    <row r="37" spans="1:5" x14ac:dyDescent="0.25">
      <c r="A37" s="7">
        <v>72701.857239186851</v>
      </c>
      <c r="B37"/>
      <c r="C37"/>
      <c r="D37"/>
      <c r="E37" s="1"/>
    </row>
    <row r="38" spans="1:5" x14ac:dyDescent="0.25">
      <c r="A38" s="7">
        <v>71982.036870482028</v>
      </c>
      <c r="B38"/>
      <c r="C38"/>
      <c r="D38"/>
      <c r="E38" s="1"/>
    </row>
    <row r="39" spans="1:5" x14ac:dyDescent="0.25">
      <c r="A39" s="7">
        <v>71269.34343612082</v>
      </c>
      <c r="B39"/>
      <c r="C39"/>
      <c r="D39"/>
      <c r="E39" s="1"/>
    </row>
    <row r="40" spans="1:5" x14ac:dyDescent="0.25">
      <c r="A40" s="7">
        <v>70563.706372396846</v>
      </c>
      <c r="B40"/>
      <c r="C40"/>
      <c r="D40"/>
      <c r="E40" s="1"/>
    </row>
    <row r="41" spans="1:5" x14ac:dyDescent="0.25">
      <c r="A41" s="7">
        <v>69865.055814254301</v>
      </c>
      <c r="B41"/>
      <c r="C41"/>
      <c r="D41"/>
      <c r="E41" s="1"/>
    </row>
    <row r="42" spans="1:5" x14ac:dyDescent="0.25">
      <c r="A42" s="7">
        <v>69173.322588370589</v>
      </c>
      <c r="B42"/>
      <c r="C42"/>
      <c r="D42"/>
      <c r="E42" s="1"/>
    </row>
    <row r="43" spans="1:5" x14ac:dyDescent="0.25">
      <c r="A43" s="7">
        <v>68488.438206307517</v>
      </c>
      <c r="B43"/>
      <c r="C43"/>
      <c r="D43"/>
      <c r="E43" s="1"/>
    </row>
    <row r="44" spans="1:5" x14ac:dyDescent="0.25">
      <c r="A44" s="7">
        <v>67810.334857730209</v>
      </c>
      <c r="B44"/>
      <c r="C44"/>
      <c r="D44"/>
      <c r="E44" s="1"/>
    </row>
    <row r="45" spans="1:5" x14ac:dyDescent="0.25">
      <c r="A45" s="7">
        <v>67138.945403693273</v>
      </c>
      <c r="B45"/>
      <c r="C45"/>
      <c r="D45"/>
      <c r="E45" s="1"/>
    </row>
    <row r="46" spans="1:5" x14ac:dyDescent="0.25">
      <c r="A46" s="7">
        <v>66474.203369993338</v>
      </c>
      <c r="B46"/>
      <c r="C46"/>
      <c r="D46"/>
      <c r="E46" s="1"/>
    </row>
    <row r="47" spans="1:5" x14ac:dyDescent="0.25">
      <c r="A47" s="7">
        <v>65816.04294058746</v>
      </c>
      <c r="B47"/>
      <c r="C47"/>
      <c r="D47"/>
      <c r="E47" s="1"/>
    </row>
    <row r="48" spans="1:5" x14ac:dyDescent="0.25">
      <c r="A48" s="7">
        <v>65164.398951076699</v>
      </c>
      <c r="B48"/>
      <c r="C48"/>
      <c r="D48"/>
      <c r="E48" s="1"/>
    </row>
    <row r="49" spans="1:5" x14ac:dyDescent="0.25">
      <c r="A49" s="7">
        <v>64519.206882254155</v>
      </c>
      <c r="B49"/>
      <c r="C49"/>
      <c r="D49"/>
      <c r="E49" s="1"/>
    </row>
    <row r="50" spans="1:5" x14ac:dyDescent="0.25">
      <c r="A50" s="7">
        <v>63880.402853716987</v>
      </c>
      <c r="B50"/>
      <c r="C50"/>
      <c r="D50"/>
      <c r="E50" s="1"/>
    </row>
    <row r="51" spans="1:5" x14ac:dyDescent="0.25">
      <c r="A51" s="7">
        <v>63247.923617541572</v>
      </c>
      <c r="B51"/>
      <c r="C51"/>
      <c r="D51"/>
      <c r="E51" s="1"/>
    </row>
    <row r="52" spans="1:5" x14ac:dyDescent="0.25">
      <c r="A52" s="7">
        <v>62621.706552021358</v>
      </c>
      <c r="B52"/>
      <c r="C52"/>
      <c r="D52"/>
      <c r="E52" s="1"/>
    </row>
    <row r="53" spans="1:5" x14ac:dyDescent="0.25">
      <c r="A53" s="7">
        <v>62001.689655466689</v>
      </c>
      <c r="B53"/>
      <c r="C53"/>
      <c r="D53"/>
      <c r="E53" s="1"/>
    </row>
    <row r="54" spans="1:5" x14ac:dyDescent="0.25">
      <c r="A54" s="7">
        <v>61387.811540066032</v>
      </c>
      <c r="B54"/>
      <c r="C54"/>
      <c r="D54"/>
      <c r="E54" s="1"/>
    </row>
    <row r="55" spans="1:5" x14ac:dyDescent="0.25">
      <c r="A55" s="7">
        <v>60780.011425807948</v>
      </c>
      <c r="B55"/>
      <c r="C55"/>
      <c r="D55"/>
      <c r="E55" s="1"/>
    </row>
    <row r="56" spans="1:5" x14ac:dyDescent="0.25">
      <c r="A56" s="7">
        <v>60178.229134463312</v>
      </c>
      <c r="B56"/>
      <c r="C56"/>
      <c r="D56"/>
      <c r="E56" s="1"/>
    </row>
    <row r="57" spans="1:5" x14ac:dyDescent="0.25">
      <c r="A57" s="7">
        <v>59582.40508362704</v>
      </c>
      <c r="B57"/>
      <c r="C57"/>
      <c r="D57"/>
      <c r="E57" s="1"/>
    </row>
    <row r="58" spans="1:5" x14ac:dyDescent="0.25">
      <c r="A58" s="7">
        <v>58992.480280818854</v>
      </c>
      <c r="B58"/>
      <c r="C58"/>
      <c r="D58"/>
      <c r="E58" s="1"/>
    </row>
    <row r="59" spans="1:5" x14ac:dyDescent="0.25">
      <c r="A59" s="7">
        <v>58408.396317642429</v>
      </c>
      <c r="B59"/>
      <c r="C59"/>
      <c r="D59"/>
      <c r="E59" s="1"/>
    </row>
    <row r="60" spans="1:5" x14ac:dyDescent="0.25">
      <c r="A60" s="7">
        <v>57830.095364002402</v>
      </c>
      <c r="B60"/>
      <c r="C60"/>
      <c r="D60"/>
      <c r="E60" s="1"/>
    </row>
    <row r="61" spans="1:5" x14ac:dyDescent="0.25">
      <c r="A61" s="7">
        <v>57257.520162378612</v>
      </c>
      <c r="B61"/>
      <c r="C61"/>
      <c r="D61"/>
      <c r="E61" s="1"/>
    </row>
    <row r="62" spans="1:5" x14ac:dyDescent="0.25">
      <c r="A62" s="7">
        <v>56690.614022157039</v>
      </c>
      <c r="B62"/>
      <c r="C62"/>
      <c r="D62"/>
      <c r="E62" s="1"/>
    </row>
    <row r="63" spans="1:5" x14ac:dyDescent="0.25">
      <c r="A63" s="7">
        <v>56129.320814016872</v>
      </c>
      <c r="B63"/>
      <c r="C63"/>
      <c r="D63"/>
      <c r="E63" s="1"/>
    </row>
    <row r="64" spans="1:5" x14ac:dyDescent="0.25">
      <c r="A64" s="7">
        <v>55573.584964373142</v>
      </c>
      <c r="B64"/>
      <c r="C64"/>
      <c r="D64"/>
      <c r="E64" s="1"/>
    </row>
    <row r="65" spans="1:5" x14ac:dyDescent="0.25">
      <c r="A65" s="7">
        <v>55023.351449874397</v>
      </c>
      <c r="B65"/>
      <c r="C65"/>
      <c r="D65"/>
      <c r="E65" s="1"/>
    </row>
    <row r="66" spans="1:5" x14ac:dyDescent="0.25">
      <c r="A66" s="7">
        <v>54478.565791954847</v>
      </c>
      <c r="B66"/>
      <c r="C66"/>
      <c r="D66"/>
      <c r="E66" s="1"/>
    </row>
    <row r="67" spans="1:5" x14ac:dyDescent="0.25">
      <c r="A67" s="7">
        <v>53939.174051440445</v>
      </c>
      <c r="B67"/>
      <c r="C67"/>
      <c r="D67"/>
      <c r="E67" s="1"/>
    </row>
    <row r="68" spans="1:5" x14ac:dyDescent="0.25">
      <c r="A68" s="7">
        <v>53405.122823208359</v>
      </c>
      <c r="B68"/>
      <c r="C68"/>
      <c r="D68"/>
      <c r="E68" s="1"/>
    </row>
    <row r="69" spans="1:5" x14ac:dyDescent="0.25">
      <c r="A69" s="7">
        <v>52876.359230899368</v>
      </c>
      <c r="B69"/>
      <c r="C69"/>
      <c r="D69"/>
      <c r="E69" s="1"/>
    </row>
    <row r="70" spans="1:5" x14ac:dyDescent="0.25">
      <c r="A70" s="7">
        <v>52352.830921682544</v>
      </c>
      <c r="B70"/>
      <c r="C70"/>
      <c r="D70"/>
      <c r="E70" s="1"/>
    </row>
    <row r="71" spans="1:5" x14ac:dyDescent="0.25">
      <c r="A71" s="7">
        <v>51834.486061071824</v>
      </c>
      <c r="B71"/>
      <c r="C71"/>
      <c r="D71"/>
      <c r="E71" s="1"/>
    </row>
    <row r="72" spans="1:5" x14ac:dyDescent="0.25">
      <c r="A72" s="7">
        <v>51321.273327793882</v>
      </c>
      <c r="B72"/>
      <c r="C72"/>
      <c r="D72"/>
      <c r="E72" s="1"/>
    </row>
    <row r="73" spans="1:5" x14ac:dyDescent="0.25">
      <c r="A73" s="7">
        <v>50813.141908706813</v>
      </c>
      <c r="B73"/>
      <c r="C73"/>
      <c r="D73"/>
      <c r="E73" s="1"/>
    </row>
    <row r="74" spans="1:5" x14ac:dyDescent="0.25">
      <c r="A74" s="7">
        <v>50310.041493769124</v>
      </c>
      <c r="B74"/>
      <c r="C74"/>
      <c r="D74"/>
      <c r="E74" s="1"/>
    </row>
    <row r="75" spans="1:5" x14ac:dyDescent="0.25">
      <c r="A75" s="7">
        <v>49811.922271058538</v>
      </c>
      <c r="B75"/>
      <c r="C75"/>
      <c r="D75"/>
      <c r="E75" s="1"/>
    </row>
    <row r="76" spans="1:5" x14ac:dyDescent="0.25">
      <c r="A76" s="7">
        <v>49318.734921840136</v>
      </c>
      <c r="B76"/>
      <c r="C76"/>
      <c r="D76"/>
      <c r="E76" s="1"/>
    </row>
    <row r="77" spans="1:5" x14ac:dyDescent="0.25">
      <c r="A77" s="7">
        <v>48830.430615683304</v>
      </c>
      <c r="B77"/>
      <c r="C77"/>
      <c r="D77"/>
      <c r="E77" s="1"/>
    </row>
    <row r="78" spans="1:5" x14ac:dyDescent="0.25">
      <c r="A78" s="7">
        <v>48346.961005627032</v>
      </c>
      <c r="B78"/>
      <c r="C78"/>
      <c r="D78"/>
      <c r="E78" s="1"/>
    </row>
    <row r="79" spans="1:5" x14ac:dyDescent="0.25">
      <c r="A79" s="7">
        <v>47868.278223393099</v>
      </c>
      <c r="B79"/>
      <c r="C79"/>
      <c r="D79"/>
      <c r="E79" s="1"/>
    </row>
    <row r="80" spans="1:5" x14ac:dyDescent="0.25">
      <c r="A80" s="7">
        <v>47394.334874646629</v>
      </c>
      <c r="B80"/>
      <c r="C80"/>
      <c r="D80"/>
      <c r="E80" s="1"/>
    </row>
    <row r="81" spans="1:5" x14ac:dyDescent="0.25">
      <c r="A81" s="7">
        <v>46925.084034303596</v>
      </c>
      <c r="B81"/>
      <c r="C81"/>
      <c r="D81"/>
      <c r="E81" s="1"/>
    </row>
    <row r="82" spans="1:5" x14ac:dyDescent="0.25">
      <c r="A82" s="7">
        <v>46460.47924188475</v>
      </c>
      <c r="B82"/>
      <c r="C82"/>
      <c r="D82"/>
      <c r="E82" s="1"/>
    </row>
    <row r="83" spans="1:5" x14ac:dyDescent="0.25">
      <c r="A83" s="7">
        <v>46000.474496915595</v>
      </c>
      <c r="B83"/>
      <c r="C83"/>
      <c r="D83"/>
      <c r="E83" s="1"/>
    </row>
    <row r="84" spans="1:5" x14ac:dyDescent="0.25">
      <c r="A84" s="7">
        <v>45545.024254371878</v>
      </c>
      <c r="B84"/>
      <c r="C84"/>
      <c r="D84"/>
      <c r="E84" s="1"/>
    </row>
    <row r="85" spans="1:5" x14ac:dyDescent="0.25">
      <c r="A85" s="7">
        <v>45094.083420170173</v>
      </c>
      <c r="B85"/>
      <c r="C85"/>
      <c r="D85"/>
      <c r="E85" s="1"/>
    </row>
    <row r="86" spans="1:5" x14ac:dyDescent="0.25">
      <c r="A86" s="7">
        <v>44647.607346703138</v>
      </c>
      <c r="B86"/>
      <c r="C86"/>
      <c r="D86"/>
      <c r="E86" s="1"/>
    </row>
    <row r="87" spans="1:5" x14ac:dyDescent="0.25">
      <c r="A87" s="7">
        <v>44205.551828418946</v>
      </c>
      <c r="B87"/>
      <c r="C87"/>
      <c r="D87"/>
      <c r="E87" s="1"/>
    </row>
    <row r="88" spans="1:5" x14ac:dyDescent="0.25">
      <c r="A88" s="7">
        <v>43767.873097444499</v>
      </c>
      <c r="B88"/>
      <c r="C88"/>
      <c r="D88"/>
      <c r="E88" s="1"/>
    </row>
    <row r="89" spans="1:5" x14ac:dyDescent="0.25">
      <c r="A89" s="7">
        <v>43334.527819251976</v>
      </c>
      <c r="B89"/>
      <c r="C89"/>
      <c r="D89"/>
      <c r="E89" s="1"/>
    </row>
    <row r="90" spans="1:5" x14ac:dyDescent="0.25">
      <c r="A90" s="7">
        <v>42905.473088368293</v>
      </c>
      <c r="B90"/>
      <c r="C90"/>
      <c r="D90"/>
      <c r="E90" s="1"/>
    </row>
    <row r="91" spans="1:5" x14ac:dyDescent="0.25">
      <c r="A91" s="7">
        <v>42480.666424127019</v>
      </c>
      <c r="B91"/>
      <c r="C91"/>
      <c r="D91"/>
      <c r="E91" s="1"/>
    </row>
    <row r="92" spans="1:5" x14ac:dyDescent="0.25">
      <c r="A92" s="7">
        <v>42060.065766462394</v>
      </c>
      <c r="B92"/>
      <c r="C92"/>
      <c r="D92"/>
      <c r="E92" s="1"/>
    </row>
    <row r="93" spans="1:5" x14ac:dyDescent="0.25">
      <c r="A93" s="7">
        <v>41643.629471744942</v>
      </c>
      <c r="B93"/>
      <c r="C93"/>
      <c r="D93"/>
      <c r="E93" s="1"/>
    </row>
    <row r="94" spans="1:5" x14ac:dyDescent="0.25">
      <c r="A94" s="7">
        <v>41231.316308658359</v>
      </c>
      <c r="B94"/>
      <c r="C94"/>
      <c r="D94"/>
      <c r="E94" s="1"/>
    </row>
    <row r="95" spans="1:5" x14ac:dyDescent="0.25">
      <c r="A95" s="7">
        <v>40823.085454117187</v>
      </c>
      <c r="B95"/>
      <c r="C95"/>
      <c r="D95"/>
      <c r="E95" s="1"/>
    </row>
    <row r="96" spans="1:5" x14ac:dyDescent="0.25">
      <c r="A96" s="7">
        <v>40418.896489224935</v>
      </c>
      <c r="B96"/>
      <c r="C96"/>
      <c r="D96"/>
      <c r="E96" s="1"/>
    </row>
    <row r="97" spans="1:5" x14ac:dyDescent="0.25">
      <c r="A97" s="7">
        <v>40018.709395272213</v>
      </c>
      <c r="E97" s="1"/>
    </row>
    <row r="98" spans="1:5" x14ac:dyDescent="0.25">
      <c r="A98" s="7">
        <v>39622.484549774468</v>
      </c>
      <c r="E98" s="1"/>
    </row>
    <row r="99" spans="1:5" x14ac:dyDescent="0.25">
      <c r="A99" s="7">
        <v>39230.182722548976</v>
      </c>
      <c r="E99" s="1"/>
    </row>
    <row r="100" spans="1:5" x14ac:dyDescent="0.25">
      <c r="A100" s="7">
        <v>38841.765071830669</v>
      </c>
      <c r="E100" s="1"/>
    </row>
    <row r="101" spans="1:5" x14ac:dyDescent="0.25">
      <c r="A101" s="7">
        <v>38457.193140426403</v>
      </c>
      <c r="E101" s="1"/>
    </row>
    <row r="102" spans="1:5" x14ac:dyDescent="0.25">
      <c r="A102" s="7">
        <v>38076.428851907331</v>
      </c>
      <c r="E102" s="1"/>
    </row>
    <row r="103" spans="1:5" x14ac:dyDescent="0.25">
      <c r="A103" s="7">
        <v>37699.434506838938</v>
      </c>
      <c r="E103" s="1"/>
    </row>
    <row r="104" spans="1:5" x14ac:dyDescent="0.25">
      <c r="A104" s="7">
        <v>37326.172779048451</v>
      </c>
      <c r="E104" s="1"/>
    </row>
    <row r="105" spans="1:5" x14ac:dyDescent="0.25">
      <c r="A105" s="7">
        <v>36956.606711929162</v>
      </c>
      <c r="E105" s="1"/>
    </row>
    <row r="106" spans="1:5" x14ac:dyDescent="0.25">
      <c r="A106" s="7">
        <v>36590.699714781345</v>
      </c>
      <c r="E106" s="1"/>
    </row>
    <row r="107" spans="1:5" x14ac:dyDescent="0.25">
      <c r="A107" s="7">
        <v>36228.415559189452</v>
      </c>
      <c r="E107" s="1"/>
    </row>
    <row r="108" spans="1:5" x14ac:dyDescent="0.25">
      <c r="A108" s="7">
        <v>35869.718375435099</v>
      </c>
      <c r="E108" s="1"/>
    </row>
    <row r="109" spans="1:5" x14ac:dyDescent="0.25">
      <c r="A109" s="7">
        <v>35514.572648945643</v>
      </c>
      <c r="E109" s="1"/>
    </row>
    <row r="110" spans="1:5" x14ac:dyDescent="0.25">
      <c r="A110" s="7">
        <v>35162.943216777865</v>
      </c>
      <c r="E110" s="1"/>
    </row>
    <row r="111" spans="1:5" x14ac:dyDescent="0.25">
      <c r="A111" s="7">
        <v>34814.795264136497</v>
      </c>
      <c r="C111" s="10" t="str">
        <f>ADDRESS(C121-1,1,1,1)</f>
        <v>$A$1161</v>
      </c>
      <c r="D111" s="10" t="str">
        <f>ADDRESS(C121-1,D121,1,1)</f>
        <v>$E$1161</v>
      </c>
      <c r="E111" s="1"/>
    </row>
    <row r="112" spans="1:5" x14ac:dyDescent="0.25">
      <c r="A112" s="7">
        <v>34470.094320927223</v>
      </c>
      <c r="C112" s="10" t="str">
        <f>ADDRESS(C121,1,1,1)</f>
        <v>$A$1162</v>
      </c>
      <c r="D112" s="10" t="str">
        <f>ADDRESS(C121,D121-1,1,1)</f>
        <v>$D$1162</v>
      </c>
      <c r="E112" s="1"/>
    </row>
    <row r="113" spans="1:5" x14ac:dyDescent="0.25">
      <c r="A113" s="7">
        <v>34128.806258343786</v>
      </c>
      <c r="C113" s="10" t="str">
        <f>ADDRESS(C121+1,1,1,1)</f>
        <v>$A$1163</v>
      </c>
      <c r="D113" s="10" t="str">
        <f>ADDRESS(C121-1,D121+1,1,1)</f>
        <v>$F$1161</v>
      </c>
    </row>
    <row r="114" spans="1:5" x14ac:dyDescent="0.25">
      <c r="A114" s="7">
        <v>33790.8972854889</v>
      </c>
      <c r="C114" s="10" t="str">
        <f>ADDRESS(C121,D121,1,1)</f>
        <v>$E$1162</v>
      </c>
      <c r="D114" s="10" t="str">
        <f>ADDRESS(C121+1,D121+1,1,1)</f>
        <v>$F$1163</v>
      </c>
    </row>
    <row r="115" spans="1:5" x14ac:dyDescent="0.25">
      <c r="A115" s="7">
        <v>33456.333946028615</v>
      </c>
      <c r="C115" s="10" t="str">
        <f>ADDRESS(C121+1,D121,1,1)</f>
        <v>$E$1163</v>
      </c>
    </row>
    <row r="116" spans="1:5" x14ac:dyDescent="0.25">
      <c r="A116" s="7">
        <v>33125.083114879817</v>
      </c>
      <c r="C116" s="10">
        <f>C117-1</f>
        <v>1161</v>
      </c>
    </row>
    <row r="117" spans="1:5" x14ac:dyDescent="0.25">
      <c r="A117" s="7">
        <v>32797.111994930514</v>
      </c>
      <c r="C117" s="10">
        <f>C121</f>
        <v>1162</v>
      </c>
      <c r="D117" s="10">
        <f>D121</f>
        <v>5</v>
      </c>
    </row>
    <row r="118" spans="1:5" x14ac:dyDescent="0.25">
      <c r="A118" s="7">
        <v>32472.388113792589</v>
      </c>
      <c r="C118" s="10">
        <f>C117+1</f>
        <v>1163</v>
      </c>
      <c r="D118" s="10">
        <f>D117+1</f>
        <v>6</v>
      </c>
    </row>
    <row r="119" spans="1:5" x14ac:dyDescent="0.25">
      <c r="A119" s="7">
        <v>32150.879320586722</v>
      </c>
    </row>
    <row r="120" spans="1:5" x14ac:dyDescent="0.25">
      <c r="A120" s="7">
        <v>31832.553782759132</v>
      </c>
      <c r="C120" s="10" t="s">
        <v>9</v>
      </c>
    </row>
    <row r="121" spans="1:5" x14ac:dyDescent="0.25">
      <c r="A121" s="7">
        <v>31517.379982929833</v>
      </c>
      <c r="C121" s="12">
        <v>1162</v>
      </c>
      <c r="D121" s="13">
        <v>5</v>
      </c>
      <c r="E121" s="13"/>
    </row>
    <row r="122" spans="1:5" x14ac:dyDescent="0.25">
      <c r="A122" s="7">
        <v>31205.326715772113</v>
      </c>
      <c r="C122" s="10" t="str">
        <f>INDEX(1:1048576,C117,D117)</f>
        <v>X</v>
      </c>
    </row>
    <row r="123" spans="1:5" x14ac:dyDescent="0.25">
      <c r="A123" s="7">
        <v>30896.363084922883</v>
      </c>
      <c r="C123" s="10" t="str">
        <f>"R"&amp;C121</f>
        <v>R1162</v>
      </c>
      <c r="D123" s="10" t="str">
        <f>"C"&amp;D121</f>
        <v>C5</v>
      </c>
    </row>
    <row r="124" spans="1:5" x14ac:dyDescent="0.25">
      <c r="A124" s="7">
        <v>30590.458499923647</v>
      </c>
      <c r="C124" s="10">
        <f>SUM(C130:D130)</f>
        <v>0</v>
      </c>
      <c r="D124" s="10">
        <f>IF(C124=0,0,1)</f>
        <v>0</v>
      </c>
    </row>
    <row r="125" spans="1:5" x14ac:dyDescent="0.25">
      <c r="A125" s="7">
        <v>30287.58267319173</v>
      </c>
    </row>
    <row r="126" spans="1:5" x14ac:dyDescent="0.25">
      <c r="A126" s="7">
        <v>29987.705617021515</v>
      </c>
      <c r="C126" s="10" t="s">
        <v>10</v>
      </c>
    </row>
    <row r="127" spans="1:5" x14ac:dyDescent="0.25">
      <c r="A127" s="7">
        <v>29690.797640615361</v>
      </c>
      <c r="C127" s="7">
        <v>1</v>
      </c>
      <c r="D127" s="14"/>
    </row>
    <row r="128" spans="1:5" x14ac:dyDescent="0.25">
      <c r="A128" s="7">
        <v>29396.829347143921</v>
      </c>
    </row>
    <row r="129" spans="1:5" x14ac:dyDescent="0.25">
      <c r="A129" s="7">
        <v>29105.771630835567</v>
      </c>
      <c r="C129" s="10" t="s">
        <v>11</v>
      </c>
      <c r="D129" s="10" t="s">
        <v>12</v>
      </c>
      <c r="E129" s="1"/>
    </row>
    <row r="130" spans="1:5" x14ac:dyDescent="0.25">
      <c r="A130" s="7">
        <v>28817.59567409462</v>
      </c>
      <c r="C130"/>
      <c r="D130"/>
      <c r="E130" s="1"/>
    </row>
    <row r="131" spans="1:5" x14ac:dyDescent="0.25">
      <c r="A131" s="7">
        <v>28532.272944648139</v>
      </c>
      <c r="E131" s="1"/>
    </row>
    <row r="132" spans="1:5" x14ac:dyDescent="0.25">
      <c r="A132" s="7">
        <v>28249.775192720928</v>
      </c>
      <c r="C132" s="10" t="s">
        <v>13</v>
      </c>
      <c r="E132" s="1"/>
    </row>
    <row r="133" spans="1:5" x14ac:dyDescent="0.25">
      <c r="A133" s="7">
        <v>27970.074448238542</v>
      </c>
      <c r="C133" s="10" t="str">
        <f>C122</f>
        <v>X</v>
      </c>
      <c r="E133" s="1"/>
    </row>
    <row r="134" spans="1:5" x14ac:dyDescent="0.25">
      <c r="A134" s="7">
        <v>27693.143018057963</v>
      </c>
      <c r="E134" s="1"/>
    </row>
    <row r="135" spans="1:5" x14ac:dyDescent="0.25">
      <c r="A135" s="7">
        <v>27418.953483225705</v>
      </c>
      <c r="C135" s="10" t="s">
        <v>14</v>
      </c>
      <c r="E135" s="1"/>
    </row>
    <row r="136" spans="1:5" x14ac:dyDescent="0.25">
      <c r="A136" s="7">
        <v>27147.478696263075</v>
      </c>
      <c r="C136" s="10" t="str">
        <f>IF(C133=$S$1,IF(D130&lt;(C127*0.99009900990099),$S$1,IF(C130&gt;(C127*1.030301),$U$1,"")),"")</f>
        <v/>
      </c>
      <c r="D136" s="10" t="str">
        <f>IF(C133=$U$1,IF(C130&gt;(C127*1.01),$U$1,IF(D130&lt;(C127*0.970590147927644),$S$1,"")),"")</f>
        <v>O</v>
      </c>
      <c r="E136" s="1"/>
    </row>
    <row r="137" spans="1:5" x14ac:dyDescent="0.25">
      <c r="A137" s="7">
        <v>26878.691778478293</v>
      </c>
      <c r="E137" s="1"/>
    </row>
    <row r="138" spans="1:5" x14ac:dyDescent="0.25">
      <c r="A138" s="7">
        <v>26612.566117305239</v>
      </c>
      <c r="C138" s="10">
        <f>IF(AND(C136="",D136=""),0,IF(AND(C133="X",D136="X"),1,IF(AND(C133="O",C136="O"),2,(IF(AND(C133="X",D136="O"),3,4)))))</f>
        <v>3</v>
      </c>
      <c r="E138" s="1"/>
    </row>
    <row r="139" spans="1:5" x14ac:dyDescent="0.25">
      <c r="A139" s="7">
        <v>26349.075363668555</v>
      </c>
      <c r="E139" s="1"/>
    </row>
    <row r="140" spans="1:5" x14ac:dyDescent="0.25">
      <c r="A140" s="7">
        <v>26088.193429374805</v>
      </c>
      <c r="C140" s="10">
        <v>0</v>
      </c>
      <c r="E140" s="1"/>
    </row>
    <row r="141" spans="1:5" x14ac:dyDescent="0.25">
      <c r="A141" s="7">
        <v>25829.894484529512</v>
      </c>
      <c r="C141" s="10">
        <v>1</v>
      </c>
      <c r="E141" s="1"/>
    </row>
    <row r="142" spans="1:5" x14ac:dyDescent="0.25">
      <c r="A142" s="7">
        <v>25574.152954979716</v>
      </c>
      <c r="C142" s="10">
        <v>2</v>
      </c>
      <c r="E142" s="1"/>
    </row>
    <row r="143" spans="1:5" x14ac:dyDescent="0.25">
      <c r="A143" s="7">
        <v>25320.943519781897</v>
      </c>
      <c r="C143" s="10">
        <v>3</v>
      </c>
      <c r="E143" s="1"/>
    </row>
    <row r="144" spans="1:5" x14ac:dyDescent="0.25">
      <c r="A144" s="7">
        <v>25070.241108694947</v>
      </c>
      <c r="C144" s="10">
        <v>4</v>
      </c>
      <c r="E144" s="1"/>
    </row>
    <row r="145" spans="1:5" x14ac:dyDescent="0.25">
      <c r="A145" s="7">
        <v>24822.020899697967</v>
      </c>
      <c r="B145"/>
      <c r="C145"/>
      <c r="D145"/>
      <c r="E145" s="1"/>
    </row>
    <row r="146" spans="1:5" x14ac:dyDescent="0.25">
      <c r="A146" s="7">
        <v>24576.25831653264</v>
      </c>
      <c r="B146"/>
      <c r="C146"/>
      <c r="D146"/>
      <c r="E146" s="1"/>
    </row>
    <row r="147" spans="1:5" x14ac:dyDescent="0.25">
      <c r="A147" s="7">
        <v>24332.92902626994</v>
      </c>
      <c r="B147"/>
      <c r="C147"/>
      <c r="D147"/>
      <c r="E147" s="1"/>
    </row>
    <row r="148" spans="1:5" x14ac:dyDescent="0.25">
      <c r="A148" s="7">
        <v>24092.008936900929</v>
      </c>
      <c r="B148"/>
      <c r="C148"/>
      <c r="D148"/>
      <c r="E148" s="1"/>
    </row>
    <row r="149" spans="1:5" x14ac:dyDescent="0.25">
      <c r="A149" s="7">
        <v>23853.474194951414</v>
      </c>
      <c r="B149"/>
      <c r="C149"/>
      <c r="D149"/>
      <c r="E149" s="1"/>
    </row>
    <row r="150" spans="1:5" x14ac:dyDescent="0.25">
      <c r="A150" s="7">
        <v>23617.301183120213</v>
      </c>
      <c r="B150"/>
      <c r="C150"/>
      <c r="D150"/>
      <c r="E150" s="1"/>
    </row>
    <row r="151" spans="1:5" x14ac:dyDescent="0.25">
      <c r="A151" s="7">
        <v>23383.466517940804</v>
      </c>
      <c r="B151"/>
      <c r="C151"/>
      <c r="D151"/>
      <c r="E151" s="1"/>
    </row>
    <row r="152" spans="1:5" x14ac:dyDescent="0.25">
      <c r="A152" s="7">
        <v>23151.947047466143</v>
      </c>
      <c r="B152"/>
      <c r="C152"/>
      <c r="D152"/>
      <c r="E152" s="1"/>
    </row>
    <row r="153" spans="1:5" x14ac:dyDescent="0.25">
      <c r="A153" s="7">
        <v>22922.71984897638</v>
      </c>
      <c r="B153"/>
      <c r="C153"/>
      <c r="D153"/>
      <c r="E153" s="1"/>
    </row>
    <row r="154" spans="1:5" x14ac:dyDescent="0.25">
      <c r="A154" s="7">
        <v>22695.762226709285</v>
      </c>
      <c r="B154"/>
      <c r="C154"/>
      <c r="D154"/>
      <c r="E154" s="1"/>
    </row>
    <row r="155" spans="1:5" x14ac:dyDescent="0.25">
      <c r="A155" s="7">
        <v>22471.051709613152</v>
      </c>
      <c r="B155"/>
      <c r="C155"/>
      <c r="D155"/>
      <c r="E155" s="1"/>
    </row>
    <row r="156" spans="1:5" x14ac:dyDescent="0.25">
      <c r="A156" s="7">
        <v>22248.566049121931</v>
      </c>
      <c r="B156"/>
      <c r="C156"/>
      <c r="D156"/>
      <c r="E156" s="1"/>
    </row>
    <row r="157" spans="1:5" x14ac:dyDescent="0.25">
      <c r="A157" s="7">
        <v>22028.283216952408</v>
      </c>
      <c r="B157"/>
      <c r="C157"/>
      <c r="D157"/>
      <c r="E157" s="1"/>
    </row>
    <row r="158" spans="1:5" x14ac:dyDescent="0.25">
      <c r="A158" s="7">
        <v>21810.181402923175</v>
      </c>
      <c r="B158"/>
      <c r="C158"/>
      <c r="D158"/>
      <c r="E158" s="1"/>
    </row>
    <row r="159" spans="1:5" x14ac:dyDescent="0.25">
      <c r="A159" s="7">
        <v>21594.239012795224</v>
      </c>
      <c r="B159"/>
      <c r="C159"/>
      <c r="D159"/>
      <c r="E159" s="1"/>
    </row>
    <row r="160" spans="1:5" x14ac:dyDescent="0.25">
      <c r="A160" s="7">
        <v>21380.434666133886</v>
      </c>
      <c r="B160"/>
      <c r="C160"/>
      <c r="D160"/>
      <c r="E160" s="1"/>
    </row>
    <row r="161" spans="1:5" x14ac:dyDescent="0.25">
      <c r="A161" s="7">
        <v>21168.747194191965</v>
      </c>
      <c r="B161"/>
      <c r="C161"/>
      <c r="D161"/>
      <c r="E161" s="1"/>
    </row>
    <row r="162" spans="1:5" x14ac:dyDescent="0.25">
      <c r="A162" s="7">
        <v>20959.155637813827</v>
      </c>
      <c r="B162"/>
      <c r="C162"/>
      <c r="D162"/>
      <c r="E162" s="1"/>
    </row>
    <row r="163" spans="1:5" x14ac:dyDescent="0.25">
      <c r="A163" s="7">
        <v>20751.639245360224</v>
      </c>
      <c r="B163"/>
      <c r="C163"/>
      <c r="D163"/>
      <c r="E163" s="1"/>
    </row>
    <row r="164" spans="1:5" x14ac:dyDescent="0.25">
      <c r="A164" s="7">
        <v>20546.177470653685</v>
      </c>
      <c r="B164"/>
      <c r="C164"/>
      <c r="D164"/>
      <c r="E164" s="1"/>
    </row>
    <row r="165" spans="1:5" x14ac:dyDescent="0.25">
      <c r="A165" s="7">
        <v>20342.749970944242</v>
      </c>
      <c r="B165"/>
      <c r="C165"/>
      <c r="D165"/>
      <c r="E165" s="1"/>
    </row>
    <row r="166" spans="1:5" x14ac:dyDescent="0.25">
      <c r="A166" s="7">
        <v>20141.336604895288</v>
      </c>
      <c r="B166"/>
      <c r="C166"/>
      <c r="D166"/>
      <c r="E166" s="1"/>
    </row>
    <row r="167" spans="1:5" x14ac:dyDescent="0.25">
      <c r="A167" s="7">
        <v>19941.917430589394</v>
      </c>
      <c r="B167"/>
      <c r="C167"/>
      <c r="D167"/>
      <c r="E167" s="1"/>
    </row>
    <row r="168" spans="1:5" x14ac:dyDescent="0.25">
      <c r="A168" s="7">
        <v>19744.472703553856</v>
      </c>
      <c r="B168"/>
      <c r="C168"/>
      <c r="D168"/>
      <c r="E168" s="1"/>
    </row>
    <row r="169" spans="1:5" x14ac:dyDescent="0.25">
      <c r="A169" s="7">
        <v>19548.982874805799</v>
      </c>
      <c r="B169"/>
      <c r="C169"/>
      <c r="D169"/>
      <c r="E169" s="1"/>
    </row>
    <row r="170" spans="1:5" x14ac:dyDescent="0.25">
      <c r="A170" s="7">
        <v>19355.428588916631</v>
      </c>
      <c r="B170"/>
      <c r="C170"/>
      <c r="D170"/>
      <c r="E170" s="1"/>
    </row>
    <row r="171" spans="1:5" x14ac:dyDescent="0.25">
      <c r="A171" s="7">
        <v>19163.790682095674</v>
      </c>
      <c r="B171"/>
      <c r="C171"/>
      <c r="D171"/>
      <c r="E171" s="1"/>
    </row>
    <row r="172" spans="1:5" x14ac:dyDescent="0.25">
      <c r="A172" s="7">
        <v>18974.050180292747</v>
      </c>
      <c r="B172"/>
      <c r="C172"/>
      <c r="D172"/>
      <c r="E172" s="1"/>
    </row>
    <row r="173" spans="1:5" x14ac:dyDescent="0.25">
      <c r="A173" s="7">
        <v>18786.18829731955</v>
      </c>
      <c r="B173"/>
      <c r="C173"/>
      <c r="D173"/>
      <c r="E173" s="1"/>
    </row>
    <row r="174" spans="1:5" x14ac:dyDescent="0.25">
      <c r="A174" s="7">
        <v>18600.186432989653</v>
      </c>
      <c r="B174"/>
      <c r="C174"/>
      <c r="D174"/>
      <c r="E174" s="1"/>
    </row>
    <row r="175" spans="1:5" x14ac:dyDescent="0.25">
      <c r="A175" s="7">
        <v>18416.026171276884</v>
      </c>
      <c r="B175"/>
      <c r="C175"/>
      <c r="D175"/>
      <c r="E175" s="1"/>
    </row>
    <row r="176" spans="1:5" x14ac:dyDescent="0.25">
      <c r="A176" s="7">
        <v>18233.689278491966</v>
      </c>
      <c r="B176"/>
      <c r="C176"/>
      <c r="D176"/>
      <c r="E176" s="1"/>
    </row>
    <row r="177" spans="1:5" x14ac:dyDescent="0.25">
      <c r="A177" s="7">
        <v>18053.157701477194</v>
      </c>
      <c r="B177"/>
      <c r="C177"/>
      <c r="D177"/>
      <c r="E177" s="1"/>
    </row>
    <row r="178" spans="1:5" x14ac:dyDescent="0.25">
      <c r="A178" s="7">
        <v>17874.413565819003</v>
      </c>
      <c r="B178"/>
      <c r="C178"/>
      <c r="D178"/>
      <c r="E178" s="1"/>
    </row>
    <row r="179" spans="1:5" x14ac:dyDescent="0.25">
      <c r="A179" s="7">
        <v>17697.439174078219</v>
      </c>
      <c r="B179"/>
      <c r="C179"/>
      <c r="D179"/>
      <c r="E179" s="1"/>
    </row>
    <row r="180" spans="1:5" x14ac:dyDescent="0.25">
      <c r="A180" s="7">
        <v>17522.217004037841</v>
      </c>
      <c r="B180"/>
      <c r="C180"/>
      <c r="D180"/>
      <c r="E180" s="1"/>
    </row>
    <row r="181" spans="1:5" x14ac:dyDescent="0.25">
      <c r="A181" s="7">
        <v>17348.729706968159</v>
      </c>
      <c r="B181"/>
      <c r="C181"/>
      <c r="D181"/>
      <c r="E181" s="1"/>
    </row>
    <row r="182" spans="1:5" x14ac:dyDescent="0.25">
      <c r="A182" s="7">
        <v>17176.960105909067</v>
      </c>
      <c r="B182"/>
      <c r="C182"/>
      <c r="D182"/>
      <c r="E182" s="1"/>
    </row>
    <row r="183" spans="1:5" x14ac:dyDescent="0.25">
      <c r="A183" s="7">
        <v>17006.891193969372</v>
      </c>
      <c r="B183"/>
      <c r="C183"/>
      <c r="D183"/>
      <c r="E183" s="1"/>
    </row>
    <row r="184" spans="1:5" x14ac:dyDescent="0.25">
      <c r="A184" s="7">
        <v>16838.506132642942</v>
      </c>
      <c r="B184"/>
      <c r="C184"/>
      <c r="D184"/>
      <c r="E184" s="1"/>
    </row>
    <row r="185" spans="1:5" x14ac:dyDescent="0.25">
      <c r="A185" s="7">
        <v>16671.788250141526</v>
      </c>
      <c r="B185"/>
      <c r="C185"/>
      <c r="D185"/>
      <c r="E185" s="1"/>
    </row>
    <row r="186" spans="1:5" x14ac:dyDescent="0.25">
      <c r="A186" s="7">
        <v>16506.721039744087</v>
      </c>
      <c r="B186"/>
      <c r="C186"/>
      <c r="D186"/>
      <c r="E186" s="1"/>
    </row>
    <row r="187" spans="1:5" x14ac:dyDescent="0.25">
      <c r="A187" s="7">
        <v>16343.288158162462</v>
      </c>
      <c r="B187"/>
      <c r="C187"/>
      <c r="D187"/>
      <c r="E187" s="1"/>
    </row>
    <row r="188" spans="1:5" x14ac:dyDescent="0.25">
      <c r="A188" s="7">
        <v>16181.473423923229</v>
      </c>
      <c r="B188"/>
      <c r="C188"/>
      <c r="D188"/>
      <c r="E188" s="1"/>
    </row>
    <row r="189" spans="1:5" x14ac:dyDescent="0.25">
      <c r="A189" s="7">
        <v>16021.260815765574</v>
      </c>
      <c r="B189"/>
      <c r="C189"/>
      <c r="D189"/>
      <c r="E189" s="1"/>
    </row>
    <row r="190" spans="1:5" x14ac:dyDescent="0.25">
      <c r="A190" s="7">
        <v>15862.634471055024</v>
      </c>
      <c r="B190"/>
      <c r="C190"/>
      <c r="D190"/>
      <c r="E190" s="1"/>
    </row>
    <row r="191" spans="1:5" x14ac:dyDescent="0.25">
      <c r="A191" s="7">
        <v>15705.578684212895</v>
      </c>
      <c r="B191"/>
      <c r="C191"/>
      <c r="D191"/>
      <c r="E191" s="1"/>
    </row>
    <row r="192" spans="1:5" x14ac:dyDescent="0.25">
      <c r="A192" s="7">
        <v>15550.077905161281</v>
      </c>
      <c r="B192"/>
      <c r="C192"/>
      <c r="D192"/>
      <c r="E192" s="1"/>
    </row>
    <row r="193" spans="1:5" x14ac:dyDescent="0.25">
      <c r="A193" s="7">
        <v>15396.116737783446</v>
      </c>
      <c r="B193"/>
      <c r="C193"/>
      <c r="D193"/>
      <c r="E193" s="1"/>
    </row>
    <row r="194" spans="1:5" x14ac:dyDescent="0.25">
      <c r="A194" s="7">
        <v>15243.679938399451</v>
      </c>
      <c r="B194"/>
      <c r="C194"/>
      <c r="D194"/>
      <c r="E194" s="1"/>
    </row>
    <row r="195" spans="1:5" x14ac:dyDescent="0.25">
      <c r="A195" s="7">
        <v>15092.752414256882</v>
      </c>
      <c r="B195"/>
      <c r="C195"/>
      <c r="D195"/>
      <c r="E195" s="1"/>
    </row>
    <row r="196" spans="1:5" x14ac:dyDescent="0.25">
      <c r="A196" s="7">
        <v>14943.319222036516</v>
      </c>
      <c r="B196"/>
      <c r="C196"/>
      <c r="D196"/>
      <c r="E196" s="1"/>
    </row>
    <row r="197" spans="1:5" x14ac:dyDescent="0.25">
      <c r="A197" s="7">
        <v>14795.365566372788</v>
      </c>
      <c r="B197"/>
      <c r="C197"/>
      <c r="D197"/>
      <c r="E197" s="1"/>
    </row>
    <row r="198" spans="1:5" x14ac:dyDescent="0.25">
      <c r="A198" s="7">
        <v>14648.876798388899</v>
      </c>
      <c r="B198"/>
      <c r="C198"/>
      <c r="D198"/>
      <c r="E198" s="1"/>
    </row>
    <row r="199" spans="1:5" x14ac:dyDescent="0.25">
      <c r="A199" s="7">
        <v>14503.838414246435</v>
      </c>
      <c r="B199"/>
      <c r="C199"/>
      <c r="D199"/>
      <c r="E199" s="1"/>
    </row>
    <row r="200" spans="1:5" x14ac:dyDescent="0.25">
      <c r="A200" s="7">
        <v>14360.236053709341</v>
      </c>
      <c r="B200"/>
      <c r="C200"/>
      <c r="D200"/>
      <c r="E200" s="1"/>
    </row>
    <row r="201" spans="1:5" x14ac:dyDescent="0.25">
      <c r="A201" s="7">
        <v>14218.05549872212</v>
      </c>
      <c r="B201"/>
      <c r="C201"/>
      <c r="D201"/>
      <c r="E201" s="1"/>
    </row>
    <row r="202" spans="1:5" x14ac:dyDescent="0.25">
      <c r="A202" s="7">
        <v>14077.282672002098</v>
      </c>
      <c r="B202"/>
      <c r="C202"/>
      <c r="D202"/>
      <c r="E202" s="1"/>
    </row>
    <row r="203" spans="1:5" x14ac:dyDescent="0.25">
      <c r="A203" s="7">
        <v>13937.903635645642</v>
      </c>
      <c r="B203"/>
      <c r="C203"/>
      <c r="D203"/>
      <c r="E203" s="1"/>
    </row>
    <row r="204" spans="1:5" x14ac:dyDescent="0.25">
      <c r="A204" s="7">
        <v>13799.904589748159</v>
      </c>
      <c r="B204"/>
      <c r="C204"/>
      <c r="D204"/>
      <c r="E204" s="1"/>
    </row>
    <row r="205" spans="1:5" x14ac:dyDescent="0.25">
      <c r="A205" s="7">
        <v>13663.271871037781</v>
      </c>
      <c r="B205"/>
      <c r="C205"/>
      <c r="D205"/>
      <c r="E205" s="1"/>
    </row>
    <row r="206" spans="1:5" x14ac:dyDescent="0.25">
      <c r="A206" s="7">
        <v>13527.991951522556</v>
      </c>
      <c r="B206"/>
      <c r="C206"/>
      <c r="D206"/>
      <c r="E206" s="1"/>
    </row>
    <row r="207" spans="1:5" x14ac:dyDescent="0.25">
      <c r="A207" s="7">
        <v>13394.051437151045</v>
      </c>
      <c r="B207"/>
      <c r="C207"/>
      <c r="D207"/>
      <c r="E207" s="1"/>
    </row>
    <row r="208" spans="1:5" x14ac:dyDescent="0.25">
      <c r="A208" s="7">
        <v>13261.437066486184</v>
      </c>
      <c r="B208"/>
      <c r="C208"/>
      <c r="D208"/>
      <c r="E208" s="1"/>
    </row>
    <row r="209" spans="1:5" x14ac:dyDescent="0.25">
      <c r="A209" s="7">
        <v>13130.135709392262</v>
      </c>
      <c r="B209"/>
      <c r="C209"/>
      <c r="D209"/>
      <c r="E209" s="1"/>
    </row>
    <row r="210" spans="1:5" x14ac:dyDescent="0.25">
      <c r="A210" s="7">
        <v>13000.134365734912</v>
      </c>
      <c r="B210"/>
      <c r="C210"/>
      <c r="D210"/>
      <c r="E210" s="1"/>
    </row>
    <row r="211" spans="1:5" x14ac:dyDescent="0.25">
      <c r="A211" s="7">
        <v>12871.420164093972</v>
      </c>
      <c r="B211"/>
      <c r="C211"/>
      <c r="D211"/>
      <c r="E211" s="1"/>
    </row>
    <row r="212" spans="1:5" x14ac:dyDescent="0.25">
      <c r="A212" s="7">
        <v>12743.98036048908</v>
      </c>
      <c r="B212"/>
      <c r="C212"/>
      <c r="D212"/>
      <c r="E212" s="1"/>
    </row>
    <row r="213" spans="1:5" x14ac:dyDescent="0.25">
      <c r="A213" s="7">
        <v>12617.802337117901</v>
      </c>
      <c r="B213"/>
      <c r="C213"/>
      <c r="D213"/>
      <c r="E213" s="1"/>
    </row>
    <row r="214" spans="1:5" x14ac:dyDescent="0.25">
      <c r="A214" s="7">
        <v>12492.873601106832</v>
      </c>
      <c r="B214"/>
      <c r="C214"/>
      <c r="D214"/>
      <c r="E214" s="1"/>
    </row>
    <row r="215" spans="1:5" x14ac:dyDescent="0.25">
      <c r="A215" s="7">
        <v>12369.181783274091</v>
      </c>
      <c r="B215"/>
      <c r="C215"/>
      <c r="D215"/>
      <c r="E215" s="1"/>
    </row>
    <row r="216" spans="1:5" x14ac:dyDescent="0.25">
      <c r="A216" s="7">
        <v>12246.714636905041</v>
      </c>
      <c r="B216"/>
      <c r="C216"/>
      <c r="D216"/>
      <c r="E216" s="1"/>
    </row>
    <row r="217" spans="1:5" x14ac:dyDescent="0.25">
      <c r="A217" s="7">
        <v>12125.460036539644</v>
      </c>
      <c r="B217"/>
      <c r="C217"/>
      <c r="D217"/>
      <c r="E217" s="1"/>
    </row>
    <row r="218" spans="1:5" x14ac:dyDescent="0.25">
      <c r="A218" s="7">
        <v>12005.405976771925</v>
      </c>
      <c r="B218"/>
      <c r="C218"/>
      <c r="D218"/>
      <c r="E218" s="1"/>
    </row>
    <row r="219" spans="1:5" x14ac:dyDescent="0.25">
      <c r="A219" s="7">
        <v>11886.540571061312</v>
      </c>
      <c r="B219"/>
      <c r="C219"/>
      <c r="D219"/>
      <c r="E219" s="1"/>
    </row>
    <row r="220" spans="1:5" x14ac:dyDescent="0.25">
      <c r="A220" s="7">
        <v>11768.852050555755</v>
      </c>
      <c r="B220"/>
      <c r="C220"/>
      <c r="D220"/>
      <c r="E220" s="1"/>
    </row>
    <row r="221" spans="1:5" x14ac:dyDescent="0.25">
      <c r="A221" s="7">
        <v>11652.328762926491</v>
      </c>
      <c r="B221"/>
      <c r="C221"/>
      <c r="D221"/>
      <c r="E221" s="1"/>
    </row>
    <row r="222" spans="1:5" x14ac:dyDescent="0.25">
      <c r="A222" s="7">
        <v>11536.959171214346</v>
      </c>
      <c r="B222"/>
      <c r="C222"/>
      <c r="D222"/>
      <c r="E222" s="1"/>
    </row>
    <row r="223" spans="1:5" x14ac:dyDescent="0.25">
      <c r="A223" s="7">
        <v>11422.731852687471</v>
      </c>
      <c r="B223"/>
      <c r="C223"/>
      <c r="D223"/>
      <c r="E223" s="1"/>
    </row>
    <row r="224" spans="1:5" x14ac:dyDescent="0.25">
      <c r="A224" s="7">
        <v>11309.635497710367</v>
      </c>
      <c r="B224"/>
      <c r="C224"/>
      <c r="D224"/>
      <c r="E224" s="1"/>
    </row>
    <row r="225" spans="1:5" x14ac:dyDescent="0.25">
      <c r="A225" s="7">
        <v>11197.658908624126</v>
      </c>
      <c r="B225"/>
      <c r="C225"/>
      <c r="D225"/>
      <c r="E225" s="1"/>
    </row>
    <row r="226" spans="1:5" x14ac:dyDescent="0.25">
      <c r="A226" s="7">
        <v>11086.790998637747</v>
      </c>
      <c r="B226"/>
      <c r="C226"/>
      <c r="D226"/>
      <c r="E226" s="1"/>
    </row>
    <row r="227" spans="1:5" x14ac:dyDescent="0.25">
      <c r="A227" s="7">
        <v>10977.020790730443</v>
      </c>
      <c r="B227"/>
      <c r="C227"/>
      <c r="D227"/>
      <c r="E227" s="1"/>
    </row>
    <row r="228" spans="1:5" x14ac:dyDescent="0.25">
      <c r="A228" s="7">
        <v>10868.337416564795</v>
      </c>
      <c r="B228"/>
      <c r="C228"/>
      <c r="D228"/>
      <c r="E228" s="1"/>
    </row>
    <row r="229" spans="1:5" x14ac:dyDescent="0.25">
      <c r="A229" s="7">
        <v>10760.730115410688</v>
      </c>
      <c r="B229"/>
      <c r="C229"/>
      <c r="D229"/>
      <c r="E229" s="1"/>
    </row>
    <row r="230" spans="1:5" x14ac:dyDescent="0.25">
      <c r="A230" s="7">
        <v>10654.188233079889</v>
      </c>
      <c r="B230"/>
      <c r="C230"/>
      <c r="D230"/>
      <c r="E230" s="1"/>
    </row>
    <row r="231" spans="1:5" x14ac:dyDescent="0.25">
      <c r="A231" s="7">
        <v>10548.701220871177</v>
      </c>
      <c r="B231"/>
      <c r="C231"/>
      <c r="D231"/>
      <c r="E231" s="1"/>
    </row>
    <row r="232" spans="1:5" x14ac:dyDescent="0.25">
      <c r="A232" s="7">
        <v>10444.258634525917</v>
      </c>
      <c r="B232"/>
      <c r="C232"/>
      <c r="D232"/>
      <c r="E232" s="1"/>
    </row>
    <row r="233" spans="1:5" x14ac:dyDescent="0.25">
      <c r="A233" s="7">
        <v>10340.850133193977</v>
      </c>
      <c r="B233"/>
      <c r="C233"/>
      <c r="D233"/>
      <c r="E233" s="1"/>
    </row>
    <row r="234" spans="1:5" x14ac:dyDescent="0.25">
      <c r="A234" s="7">
        <v>10238.465478409878</v>
      </c>
      <c r="B234"/>
      <c r="C234"/>
      <c r="D234"/>
      <c r="E234" s="1"/>
    </row>
    <row r="235" spans="1:5" x14ac:dyDescent="0.25">
      <c r="A235" s="7">
        <v>10137.094533079087</v>
      </c>
      <c r="B235"/>
      <c r="C235"/>
      <c r="D235"/>
      <c r="E235" s="1"/>
    </row>
    <row r="236" spans="1:5" x14ac:dyDescent="0.25">
      <c r="A236" s="7">
        <v>10036.727260474343</v>
      </c>
      <c r="B236"/>
      <c r="C236"/>
      <c r="D236"/>
      <c r="E236" s="1"/>
    </row>
    <row r="237" spans="1:5" x14ac:dyDescent="0.25">
      <c r="A237" s="7">
        <v>9937.3537232419239</v>
      </c>
      <c r="B237"/>
      <c r="C237"/>
      <c r="D237"/>
      <c r="E237" s="1"/>
    </row>
    <row r="238" spans="1:5" x14ac:dyDescent="0.25">
      <c r="A238" s="7">
        <v>9838.9640824177459</v>
      </c>
      <c r="B238"/>
      <c r="C238"/>
      <c r="D238"/>
      <c r="E238" s="1"/>
    </row>
    <row r="239" spans="1:5" x14ac:dyDescent="0.25">
      <c r="A239" s="7">
        <v>9741.5485964532145</v>
      </c>
      <c r="B239"/>
      <c r="C239"/>
      <c r="D239"/>
      <c r="E239" s="1"/>
    </row>
    <row r="240" spans="1:5" x14ac:dyDescent="0.25">
      <c r="A240" s="7">
        <v>9645.0976202507081</v>
      </c>
      <c r="B240"/>
      <c r="C240"/>
      <c r="D240"/>
      <c r="E240" s="1"/>
    </row>
    <row r="241" spans="1:5" x14ac:dyDescent="0.25">
      <c r="A241" s="7">
        <v>9549.6016042086212</v>
      </c>
      <c r="B241" s="14"/>
      <c r="C241" s="14"/>
      <c r="D241" s="14"/>
      <c r="E241" s="1"/>
    </row>
    <row r="242" spans="1:5" x14ac:dyDescent="0.25">
      <c r="A242" s="7">
        <v>9455.0510932758625</v>
      </c>
      <c r="B242" s="14"/>
      <c r="C242" s="14"/>
      <c r="D242" s="14"/>
      <c r="E242" s="1"/>
    </row>
    <row r="243" spans="1:5" x14ac:dyDescent="0.25">
      <c r="A243" s="7">
        <v>9361.4367260157051</v>
      </c>
      <c r="B243" s="14"/>
      <c r="C243" s="14"/>
      <c r="D243" s="14"/>
      <c r="E243" s="1"/>
    </row>
    <row r="244" spans="1:5" x14ac:dyDescent="0.25">
      <c r="A244" s="7">
        <v>9268.7492336789164</v>
      </c>
      <c r="B244" s="14"/>
      <c r="C244" s="14"/>
      <c r="D244" s="14"/>
      <c r="E244" s="1"/>
    </row>
    <row r="245" spans="1:5" x14ac:dyDescent="0.25">
      <c r="A245" s="7">
        <v>9176.9794392860549</v>
      </c>
      <c r="B245" s="14"/>
      <c r="C245" s="14"/>
      <c r="D245" s="14"/>
      <c r="E245" s="1"/>
    </row>
    <row r="246" spans="1:5" x14ac:dyDescent="0.25">
      <c r="A246" s="7">
        <v>9086.1182567188662</v>
      </c>
      <c r="B246" s="14"/>
      <c r="C246" s="14"/>
      <c r="D246" s="14"/>
      <c r="E246" s="1"/>
    </row>
    <row r="247" spans="1:5" x14ac:dyDescent="0.25">
      <c r="A247" s="7">
        <v>8996.1566898206602</v>
      </c>
      <c r="B247" s="14"/>
      <c r="C247" s="14"/>
      <c r="D247" s="14"/>
      <c r="E247" s="1"/>
    </row>
    <row r="248" spans="1:5" x14ac:dyDescent="0.25">
      <c r="A248" s="7">
        <v>8907.0858315056048</v>
      </c>
      <c r="B248" s="14"/>
      <c r="C248" s="14"/>
      <c r="D248" s="14"/>
      <c r="E248" s="1"/>
    </row>
    <row r="249" spans="1:5" x14ac:dyDescent="0.25">
      <c r="A249" s="7">
        <v>8818.8968628768362</v>
      </c>
      <c r="B249" s="14"/>
      <c r="C249" s="14"/>
      <c r="D249" s="14"/>
      <c r="E249" s="1"/>
    </row>
    <row r="250" spans="1:5" x14ac:dyDescent="0.25">
      <c r="A250" s="7">
        <v>8731.5810523533037</v>
      </c>
      <c r="B250" s="14"/>
      <c r="C250" s="14"/>
      <c r="D250" s="14"/>
      <c r="E250" s="1"/>
    </row>
    <row r="251" spans="1:5" x14ac:dyDescent="0.25">
      <c r="A251" s="7">
        <v>8645.1297548052517</v>
      </c>
      <c r="B251" s="14"/>
      <c r="C251" s="14"/>
      <c r="D251" s="14"/>
      <c r="E251" s="1"/>
    </row>
    <row r="252" spans="1:5" x14ac:dyDescent="0.25">
      <c r="A252" s="7">
        <v>8559.5344106982684</v>
      </c>
      <c r="B252" s="14"/>
      <c r="C252" s="14"/>
      <c r="D252" s="14"/>
      <c r="E252" s="1"/>
    </row>
    <row r="253" spans="1:5" x14ac:dyDescent="0.25">
      <c r="A253" s="7">
        <v>8474.78654524581</v>
      </c>
      <c r="B253" s="14"/>
      <c r="C253" s="14"/>
      <c r="D253" s="14"/>
      <c r="E253" s="1"/>
    </row>
    <row r="254" spans="1:5" x14ac:dyDescent="0.25">
      <c r="A254" s="7">
        <v>8390.8777675701094</v>
      </c>
      <c r="B254" s="14"/>
      <c r="C254" s="14"/>
      <c r="D254" s="14"/>
      <c r="E254" s="1"/>
    </row>
    <row r="255" spans="1:5" x14ac:dyDescent="0.25">
      <c r="A255" s="7">
        <v>8307.7997698713953</v>
      </c>
      <c r="C255" s="14"/>
      <c r="D255" s="14"/>
      <c r="E255" s="1"/>
    </row>
    <row r="256" spans="1:5" x14ac:dyDescent="0.25">
      <c r="A256" s="7">
        <v>8225.5443266053426</v>
      </c>
      <c r="C256" s="14"/>
      <c r="D256" s="14"/>
      <c r="E256" s="1"/>
    </row>
    <row r="257" spans="1:5" x14ac:dyDescent="0.25">
      <c r="A257" s="7">
        <v>8144.1032936686552</v>
      </c>
      <c r="C257" s="14"/>
      <c r="D257" s="14"/>
      <c r="E257" s="1"/>
    </row>
    <row r="258" spans="1:5" x14ac:dyDescent="0.25">
      <c r="A258" s="7">
        <v>8063.4686075927275</v>
      </c>
      <c r="C258" s="14"/>
      <c r="D258" s="14"/>
      <c r="E258" s="1"/>
    </row>
    <row r="259" spans="1:5" x14ac:dyDescent="0.25">
      <c r="A259" s="7">
        <v>7983.6322847452748</v>
      </c>
      <c r="C259" s="14"/>
      <c r="D259" s="14"/>
      <c r="E259" s="1"/>
    </row>
    <row r="260" spans="1:5" x14ac:dyDescent="0.25">
      <c r="A260" s="7">
        <v>7904.5864205398757</v>
      </c>
      <c r="C260" s="14"/>
      <c r="D260" s="14"/>
      <c r="E260" s="1"/>
    </row>
    <row r="261" spans="1:5" x14ac:dyDescent="0.25">
      <c r="A261" s="7">
        <v>7826.3231886533422</v>
      </c>
      <c r="C261" s="14"/>
      <c r="D261" s="14"/>
      <c r="E261" s="1"/>
    </row>
    <row r="262" spans="1:5" x14ac:dyDescent="0.25">
      <c r="A262" s="7">
        <v>7748.8348402508336</v>
      </c>
      <c r="C262" s="14"/>
      <c r="D262" s="14"/>
      <c r="E262" s="1"/>
    </row>
    <row r="263" spans="1:5" x14ac:dyDescent="0.25">
      <c r="A263" s="7">
        <v>7672.1137032186471</v>
      </c>
      <c r="C263" s="14"/>
      <c r="D263" s="14"/>
      <c r="E263" s="1"/>
    </row>
    <row r="264" spans="1:5" x14ac:dyDescent="0.25">
      <c r="A264" s="7">
        <v>7596.1521814046009</v>
      </c>
      <c r="E264" s="1"/>
    </row>
    <row r="265" spans="1:5" x14ac:dyDescent="0.25">
      <c r="A265" s="7">
        <v>7520.9427538659411</v>
      </c>
      <c r="E265" s="1"/>
    </row>
    <row r="266" spans="1:5" x14ac:dyDescent="0.25">
      <c r="A266" s="7">
        <v>7446.4779741246939</v>
      </c>
      <c r="E266" s="1"/>
    </row>
    <row r="267" spans="1:5" x14ac:dyDescent="0.25">
      <c r="A267" s="7">
        <v>7372.7504694303898</v>
      </c>
      <c r="E267" s="1"/>
    </row>
    <row r="268" spans="1:5" x14ac:dyDescent="0.25">
      <c r="A268" s="7">
        <v>7299.7529400300891</v>
      </c>
      <c r="E268" s="1"/>
    </row>
    <row r="269" spans="1:5" x14ac:dyDescent="0.25">
      <c r="A269" s="7">
        <v>7227.4781584456323</v>
      </c>
      <c r="E269" s="1"/>
    </row>
    <row r="270" spans="1:5" x14ac:dyDescent="0.25">
      <c r="A270" s="7">
        <v>7155.918968758052</v>
      </c>
      <c r="E270" s="1"/>
    </row>
    <row r="271" spans="1:5" x14ac:dyDescent="0.25">
      <c r="A271" s="7">
        <v>7085.0682858990613</v>
      </c>
      <c r="E271" s="1"/>
    </row>
    <row r="272" spans="1:5" x14ac:dyDescent="0.25">
      <c r="A272" s="7">
        <v>7014.919094949566</v>
      </c>
      <c r="E272" s="1"/>
    </row>
    <row r="273" spans="1:5" x14ac:dyDescent="0.25">
      <c r="A273" s="7">
        <v>6945.4644504451144</v>
      </c>
      <c r="B273"/>
      <c r="C273"/>
      <c r="D273"/>
      <c r="E273" s="1"/>
    </row>
    <row r="274" spans="1:5" x14ac:dyDescent="0.25">
      <c r="A274" s="7">
        <v>6876.6974756882319</v>
      </c>
      <c r="B274"/>
      <c r="C274"/>
      <c r="D274"/>
      <c r="E274" s="1"/>
    </row>
    <row r="275" spans="1:5" x14ac:dyDescent="0.25">
      <c r="A275" s="7">
        <v>6808.611362067556</v>
      </c>
      <c r="B275"/>
      <c r="C275"/>
      <c r="D275"/>
      <c r="E275" s="1"/>
    </row>
    <row r="276" spans="1:5" x14ac:dyDescent="0.25">
      <c r="A276" s="7">
        <v>6741.199368383719</v>
      </c>
      <c r="B276"/>
      <c r="C276"/>
      <c r="D276"/>
      <c r="E276" s="1"/>
    </row>
    <row r="277" spans="1:5" x14ac:dyDescent="0.25">
      <c r="A277" s="7">
        <v>6674.4548201818998</v>
      </c>
      <c r="B277"/>
      <c r="C277"/>
      <c r="D277"/>
      <c r="E277" s="1"/>
    </row>
    <row r="278" spans="1:5" x14ac:dyDescent="0.25">
      <c r="A278" s="7">
        <v>6608.3711090909901</v>
      </c>
      <c r="B278"/>
      <c r="C278"/>
      <c r="D278"/>
      <c r="E278" s="1"/>
    </row>
    <row r="279" spans="1:5" x14ac:dyDescent="0.25">
      <c r="A279" s="7">
        <v>6542.9416921692973</v>
      </c>
      <c r="B279"/>
      <c r="C279"/>
      <c r="D279"/>
      <c r="E279" s="1"/>
    </row>
    <row r="280" spans="1:5" x14ac:dyDescent="0.25">
      <c r="A280" s="7">
        <v>6478.1600912567301</v>
      </c>
      <c r="B280"/>
      <c r="C280"/>
      <c r="D280"/>
      <c r="E280" s="1"/>
    </row>
    <row r="281" spans="1:5" x14ac:dyDescent="0.25">
      <c r="A281" s="7">
        <v>6414.0198923333965</v>
      </c>
      <c r="B281"/>
      <c r="C281"/>
      <c r="D281"/>
      <c r="E281" s="1"/>
    </row>
    <row r="282" spans="1:5" x14ac:dyDescent="0.25">
      <c r="A282" s="7">
        <v>6350.514744884551</v>
      </c>
      <c r="B282"/>
      <c r="C282"/>
      <c r="D282"/>
      <c r="E282" s="1"/>
    </row>
    <row r="283" spans="1:5" x14ac:dyDescent="0.25">
      <c r="A283" s="7">
        <v>6287.6383612718328</v>
      </c>
      <c r="B283"/>
      <c r="C283"/>
      <c r="D283"/>
      <c r="E283" s="1"/>
    </row>
    <row r="284" spans="1:5" x14ac:dyDescent="0.25">
      <c r="A284" s="7">
        <v>6225.3845161107256</v>
      </c>
      <c r="B284"/>
      <c r="C284"/>
      <c r="D284"/>
      <c r="E284" s="1"/>
    </row>
    <row r="285" spans="1:5" x14ac:dyDescent="0.25">
      <c r="A285" s="7">
        <v>6163.7470456541841</v>
      </c>
      <c r="B285"/>
      <c r="C285"/>
      <c r="D285"/>
      <c r="E285" s="1"/>
    </row>
    <row r="286" spans="1:5" x14ac:dyDescent="0.25">
      <c r="A286" s="7">
        <v>6102.7198471823604</v>
      </c>
      <c r="B286"/>
      <c r="C286"/>
      <c r="D286"/>
      <c r="E286" s="1"/>
    </row>
    <row r="287" spans="1:5" x14ac:dyDescent="0.25">
      <c r="A287" s="7">
        <v>6042.296878398377</v>
      </c>
      <c r="B287"/>
      <c r="C287"/>
      <c r="D287"/>
      <c r="E287" s="1"/>
    </row>
    <row r="288" spans="1:5" x14ac:dyDescent="0.25">
      <c r="A288" s="7">
        <v>5982.4721568300765</v>
      </c>
      <c r="B288"/>
      <c r="C288"/>
      <c r="D288"/>
      <c r="E288" s="1"/>
    </row>
    <row r="289" spans="1:5" x14ac:dyDescent="0.25">
      <c r="A289" s="7">
        <v>5923.2397592376992</v>
      </c>
      <c r="B289"/>
      <c r="C289"/>
      <c r="D289"/>
      <c r="E289" s="1"/>
    </row>
    <row r="290" spans="1:5" x14ac:dyDescent="0.25">
      <c r="A290" s="7">
        <v>5864.5938210274253</v>
      </c>
      <c r="B290"/>
      <c r="C290"/>
      <c r="D290"/>
      <c r="E290" s="1"/>
    </row>
    <row r="291" spans="1:5" x14ac:dyDescent="0.25">
      <c r="A291" s="7">
        <v>5806.5285356707182</v>
      </c>
      <c r="B291"/>
      <c r="C291"/>
      <c r="D291"/>
      <c r="E291" s="1"/>
    </row>
    <row r="292" spans="1:5" x14ac:dyDescent="0.25">
      <c r="A292" s="7">
        <v>5749.0381541294237</v>
      </c>
      <c r="B292"/>
      <c r="C292"/>
      <c r="D292"/>
      <c r="E292" s="1"/>
    </row>
    <row r="293" spans="1:5" x14ac:dyDescent="0.25">
      <c r="A293" s="7">
        <v>5692.1169842865584</v>
      </c>
      <c r="B293"/>
      <c r="C293"/>
      <c r="D293"/>
      <c r="E293" s="1"/>
    </row>
    <row r="294" spans="1:5" x14ac:dyDescent="0.25">
      <c r="A294" s="7">
        <v>5635.759390382731</v>
      </c>
      <c r="B294"/>
      <c r="C294"/>
      <c r="D294"/>
      <c r="E294" s="1"/>
    </row>
    <row r="295" spans="1:5" x14ac:dyDescent="0.25">
      <c r="A295" s="7">
        <v>5579.9597924581494</v>
      </c>
      <c r="B295"/>
      <c r="C295"/>
      <c r="D295"/>
      <c r="E295" s="1"/>
    </row>
    <row r="296" spans="1:5" x14ac:dyDescent="0.25">
      <c r="A296" s="7">
        <v>5524.712665800148</v>
      </c>
      <c r="B296"/>
      <c r="C296"/>
      <c r="D296"/>
      <c r="E296" s="1"/>
    </row>
    <row r="297" spans="1:5" x14ac:dyDescent="0.25">
      <c r="A297" s="7">
        <v>5470.0125403961865</v>
      </c>
      <c r="B297"/>
      <c r="C297"/>
      <c r="D297"/>
      <c r="E297" s="1"/>
    </row>
    <row r="298" spans="1:5" x14ac:dyDescent="0.25">
      <c r="A298" s="7">
        <v>5415.8540003922635</v>
      </c>
      <c r="B298"/>
      <c r="C298"/>
      <c r="D298"/>
      <c r="E298" s="1"/>
    </row>
    <row r="299" spans="1:5" x14ac:dyDescent="0.25">
      <c r="A299" s="7">
        <v>5362.2316835566962</v>
      </c>
      <c r="B299"/>
      <c r="C299"/>
      <c r="D299"/>
      <c r="E299" s="1"/>
    </row>
    <row r="300" spans="1:5" x14ac:dyDescent="0.25">
      <c r="A300" s="7">
        <v>5309.1402807492041</v>
      </c>
      <c r="B300"/>
      <c r="C300"/>
      <c r="D300"/>
      <c r="E300" s="1"/>
    </row>
    <row r="301" spans="1:5" x14ac:dyDescent="0.25">
      <c r="A301" s="7">
        <v>5256.5745353952516</v>
      </c>
      <c r="B301"/>
      <c r="C301"/>
      <c r="D301"/>
      <c r="E301" s="1"/>
    </row>
    <row r="302" spans="1:5" x14ac:dyDescent="0.25">
      <c r="A302" s="7">
        <v>5204.5292429655956</v>
      </c>
      <c r="B302"/>
      <c r="C302"/>
      <c r="D302"/>
      <c r="E302" s="1"/>
    </row>
    <row r="303" spans="1:5" x14ac:dyDescent="0.25">
      <c r="A303" s="7">
        <v>5152.9992504609854</v>
      </c>
      <c r="B303"/>
      <c r="C303"/>
      <c r="D303"/>
      <c r="E303" s="1"/>
    </row>
    <row r="304" spans="1:5" x14ac:dyDescent="0.25">
      <c r="A304" s="7">
        <v>5101.9794559019656</v>
      </c>
      <c r="B304"/>
      <c r="C304"/>
      <c r="D304"/>
      <c r="E304" s="1"/>
    </row>
    <row r="305" spans="1:5" x14ac:dyDescent="0.25">
      <c r="A305" s="7">
        <v>5051.4648078237278</v>
      </c>
      <c r="B305"/>
      <c r="C305"/>
      <c r="D305"/>
      <c r="E305" s="1"/>
    </row>
    <row r="306" spans="1:5" x14ac:dyDescent="0.25">
      <c r="A306" s="7">
        <v>5001.4503047759681</v>
      </c>
      <c r="B306"/>
      <c r="C306"/>
      <c r="D306"/>
      <c r="E306" s="1"/>
    </row>
    <row r="307" spans="1:5" x14ac:dyDescent="0.25">
      <c r="A307" s="7">
        <v>4951.9309948276914</v>
      </c>
      <c r="B307"/>
      <c r="C307"/>
      <c r="D307"/>
      <c r="E307" s="1"/>
    </row>
    <row r="308" spans="1:5" x14ac:dyDescent="0.25">
      <c r="A308" s="7">
        <v>4902.9019750769221</v>
      </c>
      <c r="B308"/>
      <c r="C308"/>
      <c r="D308"/>
      <c r="E308" s="1"/>
    </row>
    <row r="309" spans="1:5" x14ac:dyDescent="0.25">
      <c r="A309" s="7">
        <v>4854.3583911652695</v>
      </c>
      <c r="B309"/>
      <c r="C309"/>
      <c r="D309"/>
      <c r="E309" s="1"/>
    </row>
    <row r="310" spans="1:5" x14ac:dyDescent="0.25">
      <c r="A310" s="7">
        <v>4806.2954367972961</v>
      </c>
      <c r="B310"/>
      <c r="C310"/>
      <c r="D310"/>
      <c r="E310" s="1"/>
    </row>
    <row r="311" spans="1:5" x14ac:dyDescent="0.25">
      <c r="A311" s="7">
        <v>4758.7083532646493</v>
      </c>
      <c r="B311"/>
      <c r="C311"/>
      <c r="D311"/>
      <c r="E311" s="1"/>
    </row>
    <row r="312" spans="1:5" x14ac:dyDescent="0.25">
      <c r="A312" s="7">
        <v>4711.5924289749</v>
      </c>
      <c r="B312"/>
      <c r="C312"/>
      <c r="D312"/>
      <c r="E312" s="1"/>
    </row>
    <row r="313" spans="1:5" x14ac:dyDescent="0.25">
      <c r="A313" s="7">
        <v>4664.9429989850496</v>
      </c>
      <c r="B313"/>
      <c r="C313"/>
      <c r="D313"/>
      <c r="E313" s="1"/>
    </row>
    <row r="314" spans="1:5" x14ac:dyDescent="0.25">
      <c r="A314" s="7">
        <v>4618.7554445396527</v>
      </c>
      <c r="B314"/>
      <c r="C314"/>
      <c r="D314"/>
      <c r="E314" s="1"/>
    </row>
    <row r="315" spans="1:5" x14ac:dyDescent="0.25">
      <c r="A315" s="7">
        <v>4573.0251926135179</v>
      </c>
      <c r="B315"/>
      <c r="C315"/>
      <c r="D315"/>
      <c r="E315" s="1"/>
    </row>
    <row r="316" spans="1:5" x14ac:dyDescent="0.25">
      <c r="A316" s="7">
        <v>4527.7477154589287</v>
      </c>
      <c r="B316"/>
      <c r="C316"/>
      <c r="D316"/>
      <c r="E316" s="1"/>
    </row>
    <row r="317" spans="1:5" x14ac:dyDescent="0.25">
      <c r="A317" s="7">
        <v>4482.9185301573552</v>
      </c>
      <c r="B317"/>
      <c r="C317"/>
      <c r="D317"/>
      <c r="E317" s="1"/>
    </row>
    <row r="318" spans="1:5" x14ac:dyDescent="0.25">
      <c r="A318" s="7">
        <v>4438.533198175599</v>
      </c>
      <c r="B318"/>
      <c r="C318"/>
      <c r="D318"/>
      <c r="E318" s="1"/>
    </row>
    <row r="319" spans="1:5" x14ac:dyDescent="0.25">
      <c r="A319" s="7">
        <v>4394.5873249263359</v>
      </c>
      <c r="B319"/>
      <c r="C319"/>
      <c r="D319"/>
      <c r="E319" s="1"/>
    </row>
    <row r="320" spans="1:5" x14ac:dyDescent="0.25">
      <c r="A320" s="7">
        <v>4351.0765593330061</v>
      </c>
      <c r="B320"/>
      <c r="C320"/>
      <c r="D320"/>
      <c r="E320" s="1"/>
    </row>
    <row r="321" spans="1:5" x14ac:dyDescent="0.25">
      <c r="A321" s="7">
        <v>4307.9965933990161</v>
      </c>
      <c r="B321"/>
      <c r="C321"/>
      <c r="D321"/>
      <c r="E321" s="1"/>
    </row>
    <row r="322" spans="1:5" x14ac:dyDescent="0.25">
      <c r="A322" s="7">
        <v>4265.3431617812039</v>
      </c>
      <c r="B322"/>
      <c r="C322"/>
      <c r="D322"/>
      <c r="E322" s="1"/>
    </row>
    <row r="323" spans="1:5" x14ac:dyDescent="0.25">
      <c r="A323" s="7">
        <v>4223.1120413675289</v>
      </c>
      <c r="B323"/>
      <c r="C323"/>
      <c r="D323"/>
      <c r="E323" s="1"/>
    </row>
    <row r="324" spans="1:5" x14ac:dyDescent="0.25">
      <c r="A324" s="7">
        <v>4181.2990508589392</v>
      </c>
      <c r="B324"/>
      <c r="C324"/>
      <c r="D324"/>
      <c r="E324" s="1"/>
    </row>
    <row r="325" spans="1:5" x14ac:dyDescent="0.25">
      <c r="A325" s="7">
        <v>4139.9000503553852</v>
      </c>
      <c r="B325"/>
      <c r="C325"/>
      <c r="D325"/>
      <c r="E325" s="1"/>
    </row>
    <row r="326" spans="1:5" x14ac:dyDescent="0.25">
      <c r="A326" s="7">
        <v>4098.9109409459261</v>
      </c>
      <c r="B326"/>
      <c r="C326"/>
      <c r="D326"/>
      <c r="E326" s="1"/>
    </row>
    <row r="327" spans="1:5" x14ac:dyDescent="0.25">
      <c r="A327" s="7">
        <v>4058.3276643028967</v>
      </c>
      <c r="B327"/>
      <c r="C327"/>
      <c r="D327"/>
      <c r="E327" s="1"/>
    </row>
    <row r="328" spans="1:5" x14ac:dyDescent="0.25">
      <c r="A328" s="7">
        <v>4018.1462022800956</v>
      </c>
      <c r="B328"/>
      <c r="C328"/>
      <c r="D328"/>
      <c r="E328" s="1"/>
    </row>
    <row r="329" spans="1:5" x14ac:dyDescent="0.25">
      <c r="A329" s="7">
        <v>3978.3625765149463</v>
      </c>
      <c r="B329"/>
      <c r="C329"/>
      <c r="D329"/>
      <c r="E329" s="1"/>
    </row>
    <row r="330" spans="1:5" x14ac:dyDescent="0.25">
      <c r="A330" s="7">
        <v>3938.9728480346002</v>
      </c>
      <c r="B330"/>
      <c r="C330"/>
      <c r="D330"/>
      <c r="E330" s="1"/>
    </row>
    <row r="331" spans="1:5" x14ac:dyDescent="0.25">
      <c r="A331" s="7">
        <v>3899.9731168659409</v>
      </c>
      <c r="B331"/>
      <c r="C331"/>
      <c r="D331"/>
      <c r="E331" s="1"/>
    </row>
    <row r="332" spans="1:5" x14ac:dyDescent="0.25">
      <c r="A332" s="7">
        <v>3861.3595216494464</v>
      </c>
      <c r="B332"/>
      <c r="C332"/>
      <c r="D332"/>
      <c r="E332" s="1"/>
    </row>
    <row r="333" spans="1:5" x14ac:dyDescent="0.25">
      <c r="A333" s="7">
        <v>3823.1282392568774</v>
      </c>
      <c r="B333"/>
      <c r="C333"/>
      <c r="D333"/>
      <c r="E333" s="1"/>
    </row>
    <row r="334" spans="1:5" x14ac:dyDescent="0.25">
      <c r="A334" s="7">
        <v>3785.2754844127498</v>
      </c>
      <c r="B334"/>
      <c r="C334"/>
      <c r="D334"/>
      <c r="E334" s="1"/>
    </row>
    <row r="335" spans="1:5" x14ac:dyDescent="0.25">
      <c r="A335" s="7">
        <v>3747.7975093195541</v>
      </c>
      <c r="B335"/>
      <c r="C335"/>
      <c r="D335"/>
      <c r="E335" s="1"/>
    </row>
    <row r="336" spans="1:5" x14ac:dyDescent="0.25">
      <c r="A336" s="7">
        <v>3710.6906032866873</v>
      </c>
      <c r="B336"/>
      <c r="C336"/>
      <c r="D336"/>
      <c r="E336" s="1"/>
    </row>
    <row r="337" spans="1:5" x14ac:dyDescent="0.25">
      <c r="A337" s="7">
        <v>3673.9510923630569</v>
      </c>
      <c r="B337"/>
      <c r="C337"/>
      <c r="D337"/>
      <c r="E337" s="1"/>
    </row>
    <row r="338" spans="1:5" x14ac:dyDescent="0.25">
      <c r="A338" s="7">
        <v>3637.5753389733236</v>
      </c>
      <c r="B338"/>
      <c r="C338"/>
      <c r="D338"/>
      <c r="E338" s="1"/>
    </row>
    <row r="339" spans="1:5" x14ac:dyDescent="0.25">
      <c r="A339" s="7">
        <v>3601.5597415577463</v>
      </c>
      <c r="B339"/>
      <c r="C339"/>
      <c r="D339"/>
      <c r="E339" s="1"/>
    </row>
    <row r="340" spans="1:5" x14ac:dyDescent="0.25">
      <c r="A340" s="7">
        <v>3565.9007342155905</v>
      </c>
      <c r="B340"/>
      <c r="C340"/>
      <c r="D340"/>
      <c r="E340" s="1"/>
    </row>
    <row r="341" spans="1:5" x14ac:dyDescent="0.25">
      <c r="A341" s="7">
        <v>3530.5947863520696</v>
      </c>
      <c r="B341"/>
      <c r="C341"/>
      <c r="D341"/>
      <c r="E341" s="1"/>
    </row>
    <row r="342" spans="1:5" x14ac:dyDescent="0.25">
      <c r="A342" s="7">
        <v>3495.6384023287819</v>
      </c>
      <c r="B342"/>
      <c r="C342"/>
      <c r="D342"/>
      <c r="E342" s="1"/>
    </row>
    <row r="343" spans="1:5" x14ac:dyDescent="0.25">
      <c r="A343" s="7">
        <v>3461.0281211176057</v>
      </c>
      <c r="B343"/>
      <c r="C343"/>
      <c r="D343"/>
      <c r="E343" s="1"/>
    </row>
    <row r="344" spans="1:5" x14ac:dyDescent="0.25">
      <c r="A344" s="7">
        <v>3426.7605159580253</v>
      </c>
      <c r="B344"/>
      <c r="C344"/>
      <c r="D344"/>
      <c r="E344" s="1"/>
    </row>
    <row r="345" spans="1:5" x14ac:dyDescent="0.25">
      <c r="A345" s="7">
        <v>3392.8321940178466</v>
      </c>
      <c r="B345"/>
      <c r="C345"/>
      <c r="D345"/>
      <c r="E345" s="1"/>
    </row>
    <row r="346" spans="1:5" x14ac:dyDescent="0.25">
      <c r="A346" s="7">
        <v>3359.2397960572739</v>
      </c>
      <c r="B346"/>
      <c r="C346"/>
      <c r="D346"/>
      <c r="E346" s="1"/>
    </row>
    <row r="347" spans="1:5" x14ac:dyDescent="0.25">
      <c r="A347" s="7">
        <v>3325.979996096311</v>
      </c>
      <c r="B347"/>
      <c r="C347"/>
      <c r="D347"/>
      <c r="E347" s="1"/>
    </row>
    <row r="348" spans="1:5" x14ac:dyDescent="0.25">
      <c r="A348" s="7">
        <v>3293.0495010854565</v>
      </c>
      <c r="B348"/>
      <c r="C348"/>
      <c r="D348"/>
      <c r="E348" s="1"/>
    </row>
    <row r="349" spans="1:5" x14ac:dyDescent="0.25">
      <c r="A349" s="7">
        <v>3260.4450505796599</v>
      </c>
      <c r="B349"/>
      <c r="C349"/>
      <c r="D349"/>
      <c r="E349" s="1"/>
    </row>
    <row r="350" spans="1:5" x14ac:dyDescent="0.25">
      <c r="A350" s="7">
        <v>3228.1634164155048</v>
      </c>
      <c r="B350"/>
      <c r="C350"/>
      <c r="D350"/>
      <c r="E350" s="1"/>
    </row>
    <row r="351" spans="1:5" x14ac:dyDescent="0.25">
      <c r="A351" s="7">
        <v>3196.201402391589</v>
      </c>
      <c r="B351"/>
      <c r="C351"/>
      <c r="D351"/>
      <c r="E351" s="1"/>
    </row>
    <row r="352" spans="1:5" x14ac:dyDescent="0.25">
      <c r="A352" s="7">
        <v>3164.5558439520682</v>
      </c>
      <c r="B352"/>
      <c r="C352"/>
      <c r="D352"/>
      <c r="E352" s="1"/>
    </row>
    <row r="353" spans="1:5" x14ac:dyDescent="0.25">
      <c r="A353" s="7">
        <v>3133.2236078733349</v>
      </c>
      <c r="B353"/>
      <c r="C353"/>
      <c r="D353"/>
      <c r="E353" s="1"/>
    </row>
    <row r="354" spans="1:5" x14ac:dyDescent="0.25">
      <c r="A354" s="7">
        <v>3102.2015919537971</v>
      </c>
      <c r="B354"/>
      <c r="C354"/>
      <c r="D354"/>
      <c r="E354" s="1"/>
    </row>
    <row r="355" spans="1:5" x14ac:dyDescent="0.25">
      <c r="A355" s="7">
        <v>3071.48672470673</v>
      </c>
      <c r="B355"/>
      <c r="C355"/>
      <c r="D355"/>
      <c r="E355" s="1"/>
    </row>
    <row r="356" spans="1:5" x14ac:dyDescent="0.25">
      <c r="A356" s="7">
        <v>3041.0759650561681</v>
      </c>
      <c r="B356"/>
      <c r="C356"/>
      <c r="D356"/>
      <c r="E356" s="1"/>
    </row>
    <row r="357" spans="1:5" x14ac:dyDescent="0.25">
      <c r="A357" s="7">
        <v>3010.9663020358098</v>
      </c>
      <c r="B357"/>
      <c r="C357"/>
      <c r="D357"/>
      <c r="E357" s="1"/>
    </row>
    <row r="358" spans="1:5" x14ac:dyDescent="0.25">
      <c r="A358" s="7">
        <v>2981.1547544909008</v>
      </c>
      <c r="B358"/>
      <c r="C358"/>
      <c r="D358"/>
      <c r="E358" s="1"/>
    </row>
    <row r="359" spans="1:5" x14ac:dyDescent="0.25">
      <c r="A359" s="7">
        <v>2951.6383707830701</v>
      </c>
      <c r="B359"/>
      <c r="C359"/>
      <c r="D359"/>
      <c r="E359" s="1"/>
    </row>
    <row r="360" spans="1:5" x14ac:dyDescent="0.25">
      <c r="A360" s="7">
        <v>2922.414228498089</v>
      </c>
      <c r="B360"/>
      <c r="C360"/>
      <c r="D360"/>
      <c r="E360" s="1"/>
    </row>
    <row r="361" spans="1:5" x14ac:dyDescent="0.25">
      <c r="A361" s="7">
        <v>2893.4794341565239</v>
      </c>
      <c r="B361"/>
      <c r="C361"/>
      <c r="D361"/>
      <c r="E361" s="1"/>
    </row>
    <row r="362" spans="1:5" x14ac:dyDescent="0.25">
      <c r="A362" s="7">
        <v>2864.8311229272513</v>
      </c>
      <c r="B362"/>
      <c r="C362"/>
      <c r="D362"/>
      <c r="E362" s="1"/>
    </row>
    <row r="363" spans="1:5" x14ac:dyDescent="0.25">
      <c r="A363" s="7">
        <v>2836.466458343813</v>
      </c>
      <c r="B363"/>
      <c r="C363"/>
      <c r="D363"/>
      <c r="E363" s="1"/>
    </row>
    <row r="364" spans="1:5" x14ac:dyDescent="0.25">
      <c r="A364" s="7">
        <v>2808.3826320235771</v>
      </c>
      <c r="B364"/>
      <c r="C364"/>
      <c r="D364"/>
      <c r="E364" s="1"/>
    </row>
    <row r="365" spans="1:5" x14ac:dyDescent="0.25">
      <c r="A365" s="7">
        <v>2780.5768633896805</v>
      </c>
      <c r="B365"/>
      <c r="C365"/>
      <c r="D365"/>
      <c r="E365" s="1"/>
    </row>
    <row r="366" spans="1:5" x14ac:dyDescent="0.25">
      <c r="A366" s="7">
        <v>2753.0463993957233</v>
      </c>
      <c r="B366"/>
      <c r="C366"/>
      <c r="D366"/>
      <c r="E366" s="1"/>
    </row>
    <row r="367" spans="1:5" x14ac:dyDescent="0.25">
      <c r="A367" s="7">
        <v>2725.7885142531914</v>
      </c>
      <c r="B367"/>
      <c r="C367"/>
      <c r="D367"/>
      <c r="E367" s="1"/>
    </row>
    <row r="368" spans="1:5" x14ac:dyDescent="0.25">
      <c r="A368" s="7">
        <v>2698.8005091615755</v>
      </c>
      <c r="B368"/>
      <c r="C368"/>
      <c r="D368"/>
      <c r="E368" s="1"/>
    </row>
    <row r="369" spans="1:5" x14ac:dyDescent="0.25">
      <c r="A369" s="7">
        <v>2672.0797120411639</v>
      </c>
      <c r="B369"/>
      <c r="C369"/>
      <c r="D369"/>
      <c r="E369" s="1"/>
    </row>
    <row r="370" spans="1:5" x14ac:dyDescent="0.25">
      <c r="A370" s="7">
        <v>2645.6234772684793</v>
      </c>
      <c r="B370"/>
      <c r="C370"/>
      <c r="D370"/>
      <c r="E370" s="1"/>
    </row>
    <row r="371" spans="1:5" x14ac:dyDescent="0.25">
      <c r="A371" s="7">
        <v>2619.4291854143357</v>
      </c>
      <c r="B371"/>
      <c r="C371"/>
      <c r="D371"/>
      <c r="E371" s="1"/>
    </row>
    <row r="372" spans="1:5" x14ac:dyDescent="0.25">
      <c r="A372" s="7">
        <v>2593.4942429844909</v>
      </c>
      <c r="B372"/>
      <c r="C372"/>
      <c r="D372"/>
      <c r="E372" s="1"/>
    </row>
    <row r="373" spans="1:5" x14ac:dyDescent="0.25">
      <c r="A373" s="7">
        <v>2567.8160821628621</v>
      </c>
      <c r="B373"/>
      <c r="C373"/>
      <c r="D373"/>
      <c r="E373" s="1"/>
    </row>
    <row r="374" spans="1:5" x14ac:dyDescent="0.25">
      <c r="A374" s="7">
        <v>2542.3921605572891</v>
      </c>
      <c r="B374"/>
      <c r="C374"/>
      <c r="D374"/>
      <c r="E374" s="1"/>
    </row>
    <row r="375" spans="1:5" x14ac:dyDescent="0.25">
      <c r="A375" s="7">
        <v>2517.2199609478112</v>
      </c>
      <c r="B375"/>
      <c r="C375"/>
      <c r="D375"/>
      <c r="E375" s="1"/>
    </row>
    <row r="376" spans="1:5" x14ac:dyDescent="0.25">
      <c r="A376" s="7">
        <v>2492.2969910374368</v>
      </c>
      <c r="B376"/>
      <c r="C376"/>
      <c r="D376"/>
      <c r="E376" s="1"/>
    </row>
    <row r="377" spans="1:5" x14ac:dyDescent="0.25">
      <c r="A377" s="7">
        <v>2467.6207832053828</v>
      </c>
      <c r="B377"/>
      <c r="C377"/>
      <c r="D377"/>
      <c r="E377" s="1"/>
    </row>
    <row r="378" spans="1:5" x14ac:dyDescent="0.25">
      <c r="A378" s="7">
        <v>2443.1888942627552</v>
      </c>
      <c r="B378"/>
      <c r="C378"/>
      <c r="D378"/>
      <c r="E378" s="1"/>
    </row>
    <row r="379" spans="1:5" x14ac:dyDescent="0.25">
      <c r="A379" s="7">
        <v>2418.9989052106489</v>
      </c>
      <c r="B379"/>
      <c r="C379"/>
      <c r="D379"/>
      <c r="E379" s="1"/>
    </row>
    <row r="380" spans="1:5" x14ac:dyDescent="0.25">
      <c r="A380" s="7">
        <v>2395.0484210006425</v>
      </c>
      <c r="B380"/>
      <c r="C380"/>
      <c r="D380"/>
      <c r="E380" s="1"/>
    </row>
    <row r="381" spans="1:5" x14ac:dyDescent="0.25">
      <c r="A381" s="7">
        <v>2371.3350702976659</v>
      </c>
      <c r="B381"/>
      <c r="C381"/>
      <c r="D381"/>
      <c r="E381" s="1"/>
    </row>
    <row r="382" spans="1:5" x14ac:dyDescent="0.25">
      <c r="A382" s="7">
        <v>2347.8565052452136</v>
      </c>
      <c r="B382"/>
      <c r="C382"/>
      <c r="D382"/>
      <c r="E382" s="1"/>
    </row>
    <row r="383" spans="1:5" x14ac:dyDescent="0.25">
      <c r="A383" s="7">
        <v>2324.6104012328847</v>
      </c>
      <c r="B383"/>
      <c r="C383"/>
      <c r="D383"/>
      <c r="E383" s="1"/>
    </row>
    <row r="384" spans="1:5" x14ac:dyDescent="0.25">
      <c r="A384" s="7">
        <v>2301.5944566662224</v>
      </c>
      <c r="B384"/>
      <c r="C384"/>
      <c r="D384"/>
      <c r="E384" s="1"/>
    </row>
    <row r="385" spans="1:5" x14ac:dyDescent="0.25">
      <c r="A385" s="7">
        <v>2278.8063927388339</v>
      </c>
      <c r="B385"/>
      <c r="C385"/>
      <c r="D385"/>
      <c r="E385" s="1"/>
    </row>
    <row r="386" spans="1:5" x14ac:dyDescent="0.25">
      <c r="A386" s="7">
        <v>2256.243953206766</v>
      </c>
      <c r="B386"/>
      <c r="C386"/>
      <c r="D386"/>
      <c r="E386" s="1"/>
    </row>
    <row r="387" spans="1:5" x14ac:dyDescent="0.25">
      <c r="A387" s="7">
        <v>2233.9049041651147</v>
      </c>
      <c r="B387"/>
      <c r="C387"/>
      <c r="D387"/>
      <c r="E387" s="1"/>
    </row>
    <row r="388" spans="1:5" x14ac:dyDescent="0.25">
      <c r="A388" s="7">
        <v>2211.7870338268463</v>
      </c>
      <c r="B388"/>
      <c r="C388"/>
      <c r="D388"/>
      <c r="E388" s="1"/>
    </row>
    <row r="389" spans="1:5" x14ac:dyDescent="0.25">
      <c r="A389" s="7">
        <v>2189.8881523038081</v>
      </c>
      <c r="B389"/>
      <c r="C389"/>
      <c r="D389"/>
      <c r="E389" s="1"/>
    </row>
    <row r="390" spans="1:5" x14ac:dyDescent="0.25">
      <c r="A390" s="7">
        <v>2168.206091389909</v>
      </c>
      <c r="B390"/>
      <c r="C390"/>
      <c r="D390"/>
      <c r="E390" s="1"/>
    </row>
    <row r="391" spans="1:5" x14ac:dyDescent="0.25">
      <c r="A391" s="7">
        <v>2146.7387043464446</v>
      </c>
      <c r="B391"/>
      <c r="C391"/>
      <c r="D391"/>
      <c r="E391" s="1"/>
    </row>
    <row r="392" spans="1:5" x14ac:dyDescent="0.25">
      <c r="A392" s="7">
        <v>2125.483865689549</v>
      </c>
      <c r="B392"/>
      <c r="C392"/>
      <c r="D392"/>
      <c r="E392" s="1"/>
    </row>
    <row r="393" spans="1:5" x14ac:dyDescent="0.25">
      <c r="A393" s="7">
        <v>2104.4394709797516</v>
      </c>
      <c r="B393"/>
      <c r="C393"/>
      <c r="D393"/>
      <c r="E393" s="1"/>
    </row>
    <row r="394" spans="1:5" x14ac:dyDescent="0.25">
      <c r="A394" s="7">
        <v>2083.6034366136155</v>
      </c>
      <c r="B394"/>
      <c r="C394"/>
      <c r="D394"/>
      <c r="E394" s="1"/>
    </row>
    <row r="395" spans="1:5" x14ac:dyDescent="0.25">
      <c r="A395" s="7">
        <v>2062.9736996174411</v>
      </c>
      <c r="B395"/>
      <c r="C395"/>
      <c r="D395"/>
      <c r="E395" s="1"/>
    </row>
    <row r="396" spans="1:5" x14ac:dyDescent="0.25">
      <c r="A396" s="7">
        <v>2042.5482174430108</v>
      </c>
      <c r="B396"/>
      <c r="C396"/>
      <c r="D396"/>
      <c r="E396" s="1"/>
    </row>
    <row r="397" spans="1:5" x14ac:dyDescent="0.25">
      <c r="A397" s="7">
        <v>2022.3249677653573</v>
      </c>
      <c r="B397"/>
      <c r="C397"/>
      <c r="D397"/>
      <c r="E397" s="1"/>
    </row>
    <row r="398" spans="1:5" x14ac:dyDescent="0.25">
      <c r="A398" s="7">
        <v>2002.3019482825321</v>
      </c>
      <c r="B398"/>
      <c r="C398"/>
      <c r="D398"/>
      <c r="E398" s="1"/>
    </row>
    <row r="399" spans="1:5" x14ac:dyDescent="0.25">
      <c r="A399" s="7">
        <v>1982.4771765173584</v>
      </c>
      <c r="B399"/>
      <c r="C399"/>
      <c r="D399"/>
      <c r="E399" s="1"/>
    </row>
    <row r="400" spans="1:5" x14ac:dyDescent="0.25">
      <c r="A400" s="7">
        <v>1962.8486896211468</v>
      </c>
      <c r="B400"/>
      <c r="C400"/>
      <c r="D400"/>
      <c r="E400" s="1"/>
    </row>
    <row r="401" spans="1:5" x14ac:dyDescent="0.25">
      <c r="A401" s="7">
        <v>1943.4145441793532</v>
      </c>
      <c r="B401"/>
      <c r="C401"/>
      <c r="D401"/>
      <c r="E401" s="1"/>
    </row>
    <row r="402" spans="1:5" x14ac:dyDescent="0.25">
      <c r="A402" s="7">
        <v>1924.1728160191617</v>
      </c>
      <c r="B402"/>
      <c r="C402"/>
      <c r="D402"/>
      <c r="E402" s="1"/>
    </row>
    <row r="403" spans="1:5" x14ac:dyDescent="0.25">
      <c r="A403" s="7">
        <v>1905.121600018972</v>
      </c>
      <c r="B403"/>
      <c r="C403"/>
      <c r="D403"/>
      <c r="E403" s="1"/>
    </row>
    <row r="404" spans="1:5" x14ac:dyDescent="0.25">
      <c r="A404" s="7">
        <v>1886.2590099197741</v>
      </c>
      <c r="B404"/>
      <c r="C404"/>
      <c r="D404"/>
      <c r="E404" s="1"/>
    </row>
    <row r="405" spans="1:5" x14ac:dyDescent="0.25">
      <c r="A405" s="7">
        <v>1867.5831781383902</v>
      </c>
      <c r="B405"/>
      <c r="C405"/>
      <c r="D405"/>
      <c r="E405" s="1"/>
    </row>
    <row r="406" spans="1:5" x14ac:dyDescent="0.25">
      <c r="A406" s="7">
        <v>1849.0922555825646</v>
      </c>
      <c r="B406"/>
      <c r="C406"/>
      <c r="D406"/>
      <c r="E406" s="1"/>
    </row>
    <row r="407" spans="1:5" x14ac:dyDescent="0.25">
      <c r="A407" s="7">
        <v>1830.7844114678858</v>
      </c>
      <c r="B407"/>
      <c r="C407"/>
      <c r="D407"/>
      <c r="E407" s="1"/>
    </row>
    <row r="408" spans="1:5" x14ac:dyDescent="0.25">
      <c r="A408" s="7">
        <v>1812.6578331365206</v>
      </c>
      <c r="B408"/>
      <c r="C408"/>
      <c r="D408"/>
      <c r="E408" s="1"/>
    </row>
    <row r="409" spans="1:5" x14ac:dyDescent="0.25">
      <c r="A409" s="7">
        <v>1794.7107258777432</v>
      </c>
      <c r="B409"/>
      <c r="C409"/>
      <c r="D409"/>
      <c r="E409" s="1"/>
    </row>
    <row r="410" spans="1:5" x14ac:dyDescent="0.25">
      <c r="A410" s="7">
        <v>1776.9413127502407</v>
      </c>
      <c r="B410"/>
      <c r="C410"/>
      <c r="D410"/>
      <c r="E410" s="1"/>
    </row>
    <row r="411" spans="1:5" x14ac:dyDescent="0.25">
      <c r="A411" s="7">
        <v>1759.3478344061789</v>
      </c>
      <c r="B411"/>
      <c r="C411"/>
      <c r="D411"/>
      <c r="E411" s="1"/>
    </row>
    <row r="412" spans="1:5" x14ac:dyDescent="0.25">
      <c r="A412" s="7">
        <v>1741.9285489170088</v>
      </c>
      <c r="B412"/>
      <c r="C412"/>
      <c r="D412"/>
      <c r="E412" s="1"/>
    </row>
    <row r="413" spans="1:5" x14ac:dyDescent="0.25">
      <c r="A413" s="7">
        <v>1724.6817316009988</v>
      </c>
      <c r="B413"/>
      <c r="C413"/>
      <c r="D413"/>
      <c r="E413" s="1"/>
    </row>
    <row r="414" spans="1:5" x14ac:dyDescent="0.25">
      <c r="A414" s="7">
        <v>1707.6056748524741</v>
      </c>
      <c r="B414"/>
      <c r="C414"/>
      <c r="D414"/>
      <c r="E414" s="1"/>
    </row>
    <row r="415" spans="1:5" x14ac:dyDescent="0.25">
      <c r="A415" s="7">
        <v>1690.6986879727465</v>
      </c>
      <c r="B415"/>
      <c r="C415"/>
      <c r="D415"/>
      <c r="E415" s="1"/>
    </row>
    <row r="416" spans="1:5" x14ac:dyDescent="0.25">
      <c r="A416" s="7">
        <v>1673.9590970027193</v>
      </c>
      <c r="B416"/>
      <c r="C416"/>
      <c r="D416"/>
      <c r="E416" s="1"/>
    </row>
    <row r="417" spans="1:5" x14ac:dyDescent="0.25">
      <c r="A417" s="7">
        <v>1657.3852445571479</v>
      </c>
      <c r="B417"/>
      <c r="C417"/>
      <c r="D417"/>
      <c r="E417" s="1"/>
    </row>
    <row r="418" spans="1:5" x14ac:dyDescent="0.25">
      <c r="A418" s="7">
        <v>1640.9754896605425</v>
      </c>
      <c r="B418"/>
      <c r="C418"/>
      <c r="D418"/>
      <c r="E418" s="1"/>
    </row>
    <row r="419" spans="1:5" x14ac:dyDescent="0.25">
      <c r="A419" s="7">
        <v>1624.7282075846956</v>
      </c>
      <c r="B419"/>
      <c r="C419"/>
      <c r="D419"/>
      <c r="E419" s="1"/>
    </row>
    <row r="420" spans="1:5" x14ac:dyDescent="0.25">
      <c r="A420" s="7">
        <v>1608.6417896878174</v>
      </c>
      <c r="B420"/>
      <c r="C420"/>
      <c r="D420"/>
      <c r="E420" s="1"/>
    </row>
    <row r="421" spans="1:5" x14ac:dyDescent="0.25">
      <c r="A421" s="7">
        <v>1592.7146432552647</v>
      </c>
      <c r="B421"/>
      <c r="C421"/>
      <c r="D421"/>
      <c r="E421" s="1"/>
    </row>
    <row r="422" spans="1:5" x14ac:dyDescent="0.25">
      <c r="A422" s="7">
        <v>1576.9451913418463</v>
      </c>
      <c r="B422"/>
      <c r="C422"/>
      <c r="D422"/>
      <c r="E422" s="1"/>
    </row>
    <row r="423" spans="1:5" x14ac:dyDescent="0.25">
      <c r="A423" s="7">
        <v>1561.3318726156895</v>
      </c>
      <c r="B423"/>
      <c r="C423"/>
      <c r="D423"/>
      <c r="E423" s="1"/>
    </row>
    <row r="424" spans="1:5" x14ac:dyDescent="0.25">
      <c r="A424" s="7">
        <v>1545.8731412036529</v>
      </c>
      <c r="B424"/>
      <c r="C424"/>
      <c r="D424"/>
      <c r="E424" s="1"/>
    </row>
    <row r="425" spans="1:5" x14ac:dyDescent="0.25">
      <c r="A425" s="7">
        <v>1530.5674665382703</v>
      </c>
      <c r="B425"/>
      <c r="C425"/>
      <c r="D425"/>
      <c r="E425" s="1"/>
    </row>
    <row r="426" spans="1:5" x14ac:dyDescent="0.25">
      <c r="A426" s="7">
        <v>1515.4133332062081</v>
      </c>
      <c r="B426"/>
      <c r="C426"/>
      <c r="D426"/>
      <c r="E426" s="1"/>
    </row>
    <row r="427" spans="1:5" x14ac:dyDescent="0.25">
      <c r="A427" s="7">
        <v>1500.4092407982259</v>
      </c>
      <c r="B427"/>
      <c r="C427"/>
      <c r="D427"/>
      <c r="E427" s="1"/>
    </row>
    <row r="428" spans="1:5" x14ac:dyDescent="0.25">
      <c r="A428" s="7">
        <v>1485.5537037606198</v>
      </c>
      <c r="B428"/>
      <c r="C428"/>
      <c r="D428"/>
      <c r="E428" s="1"/>
    </row>
    <row r="429" spans="1:5" x14ac:dyDescent="0.25">
      <c r="A429" s="7">
        <v>1470.8452512481383</v>
      </c>
      <c r="B429"/>
      <c r="C429"/>
      <c r="D429"/>
      <c r="E429" s="1"/>
    </row>
    <row r="430" spans="1:5" x14ac:dyDescent="0.25">
      <c r="A430" s="7">
        <v>1456.2824269783548</v>
      </c>
      <c r="B430"/>
      <c r="C430"/>
      <c r="D430"/>
      <c r="E430" s="1"/>
    </row>
    <row r="431" spans="1:5" x14ac:dyDescent="0.25">
      <c r="A431" s="7">
        <v>1441.86378908748</v>
      </c>
      <c r="B431"/>
      <c r="C431"/>
      <c r="D431"/>
      <c r="E431" s="1"/>
    </row>
    <row r="432" spans="1:5" x14ac:dyDescent="0.25">
      <c r="A432" s="7">
        <v>1427.587909987604</v>
      </c>
      <c r="B432"/>
      <c r="C432"/>
      <c r="D432"/>
      <c r="E432" s="1"/>
    </row>
    <row r="433" spans="1:5" x14ac:dyDescent="0.25">
      <c r="A433" s="7">
        <v>1413.4533762253504</v>
      </c>
      <c r="B433"/>
      <c r="C433"/>
      <c r="D433"/>
      <c r="E433" s="1"/>
    </row>
    <row r="434" spans="1:5" x14ac:dyDescent="0.25">
      <c r="A434" s="7">
        <v>1399.458788341931</v>
      </c>
      <c r="B434"/>
      <c r="C434"/>
      <c r="D434"/>
      <c r="E434" s="1"/>
    </row>
    <row r="435" spans="1:5" x14ac:dyDescent="0.25">
      <c r="A435" s="7">
        <v>1385.6027607345852</v>
      </c>
      <c r="B435"/>
      <c r="C435"/>
      <c r="D435"/>
      <c r="E435" s="1"/>
    </row>
    <row r="436" spans="1:5" x14ac:dyDescent="0.25">
      <c r="A436" s="7">
        <v>1371.8839215193914</v>
      </c>
      <c r="B436"/>
      <c r="C436"/>
      <c r="D436"/>
      <c r="E436" s="1"/>
    </row>
    <row r="437" spans="1:5" x14ac:dyDescent="0.25">
      <c r="A437" s="7">
        <v>1358.3009123954371</v>
      </c>
      <c r="B437"/>
      <c r="C437"/>
      <c r="D437"/>
      <c r="E437" s="1"/>
    </row>
    <row r="438" spans="1:5" x14ac:dyDescent="0.25">
      <c r="A438" s="7">
        <v>1344.8523885103336</v>
      </c>
      <c r="B438"/>
      <c r="C438"/>
      <c r="D438"/>
      <c r="E438" s="1"/>
    </row>
    <row r="439" spans="1:5" x14ac:dyDescent="0.25">
      <c r="A439" s="7">
        <v>1331.5370183270629</v>
      </c>
      <c r="B439"/>
      <c r="C439"/>
      <c r="D439"/>
      <c r="E439" s="1"/>
    </row>
    <row r="440" spans="1:5" x14ac:dyDescent="0.25">
      <c r="A440" s="7">
        <v>1318.3534834921415</v>
      </c>
      <c r="B440"/>
      <c r="C440"/>
      <c r="D440"/>
      <c r="E440" s="1"/>
    </row>
    <row r="441" spans="1:5" x14ac:dyDescent="0.25">
      <c r="A441" s="7">
        <v>1305.3004787050907</v>
      </c>
      <c r="B441"/>
      <c r="C441"/>
      <c r="D441"/>
      <c r="E441" s="1"/>
    </row>
    <row r="442" spans="1:5" x14ac:dyDescent="0.25">
      <c r="A442" s="7">
        <v>1292.3767115891987</v>
      </c>
      <c r="B442"/>
      <c r="C442"/>
      <c r="D442"/>
      <c r="E442" s="1"/>
    </row>
    <row r="443" spans="1:5" x14ac:dyDescent="0.25">
      <c r="A443" s="7">
        <v>1279.5809025635631</v>
      </c>
      <c r="B443"/>
      <c r="C443"/>
      <c r="D443"/>
      <c r="E443" s="1"/>
    </row>
    <row r="444" spans="1:5" x14ac:dyDescent="0.25">
      <c r="A444" s="7">
        <v>1266.9117847163991</v>
      </c>
      <c r="B444"/>
      <c r="C444"/>
      <c r="D444"/>
      <c r="E444" s="1"/>
    </row>
    <row r="445" spans="1:5" x14ac:dyDescent="0.25">
      <c r="A445" s="7">
        <v>1254.3681036796031</v>
      </c>
      <c r="B445"/>
      <c r="C445"/>
      <c r="D445"/>
      <c r="E445" s="1"/>
    </row>
    <row r="446" spans="1:5" x14ac:dyDescent="0.25">
      <c r="A446" s="7">
        <v>1241.9486175045574</v>
      </c>
      <c r="B446"/>
      <c r="C446"/>
      <c r="D446"/>
      <c r="E446" s="1"/>
    </row>
    <row r="447" spans="1:5" x14ac:dyDescent="0.25">
      <c r="A447" s="7">
        <v>1229.6520965391658</v>
      </c>
      <c r="B447"/>
      <c r="C447"/>
      <c r="D447"/>
      <c r="E447" s="1"/>
    </row>
    <row r="448" spans="1:5" x14ac:dyDescent="0.25">
      <c r="A448" s="7">
        <v>1217.4773233061046</v>
      </c>
      <c r="B448"/>
      <c r="C448"/>
      <c r="D448"/>
      <c r="E448" s="1"/>
    </row>
    <row r="449" spans="1:5" x14ac:dyDescent="0.25">
      <c r="A449" s="7">
        <v>1205.4230923822818</v>
      </c>
      <c r="B449"/>
      <c r="C449"/>
      <c r="D449"/>
      <c r="E449" s="1"/>
    </row>
    <row r="450" spans="1:5" x14ac:dyDescent="0.25">
      <c r="A450" s="7">
        <v>1193.4882102794868</v>
      </c>
      <c r="B450"/>
      <c r="C450"/>
      <c r="D450"/>
      <c r="E450" s="1"/>
    </row>
    <row r="451" spans="1:5" x14ac:dyDescent="0.25">
      <c r="A451" s="7">
        <v>1181.6714953262244</v>
      </c>
      <c r="B451"/>
      <c r="C451"/>
      <c r="D451"/>
      <c r="E451" s="1"/>
    </row>
    <row r="452" spans="1:5" x14ac:dyDescent="0.25">
      <c r="A452" s="7">
        <v>1169.9717775507172</v>
      </c>
      <c r="B452"/>
      <c r="C452"/>
      <c r="D452"/>
      <c r="E452" s="1"/>
    </row>
    <row r="453" spans="1:5" x14ac:dyDescent="0.25">
      <c r="A453" s="7">
        <v>1158.3878985650665</v>
      </c>
      <c r="B453"/>
      <c r="C453"/>
      <c r="D453"/>
      <c r="E453" s="1"/>
    </row>
    <row r="454" spans="1:5" x14ac:dyDescent="0.25">
      <c r="A454" s="7">
        <v>1146.918711450561</v>
      </c>
      <c r="B454"/>
      <c r="C454"/>
      <c r="D454"/>
      <c r="E454" s="1"/>
    </row>
    <row r="455" spans="1:5" x14ac:dyDescent="0.25">
      <c r="A455" s="7">
        <v>1135.5630806441197</v>
      </c>
      <c r="B455"/>
      <c r="C455"/>
      <c r="D455"/>
      <c r="E455" s="1"/>
    </row>
    <row r="456" spans="1:5" x14ac:dyDescent="0.25">
      <c r="A456" s="7">
        <v>1124.3198818258611</v>
      </c>
      <c r="B456"/>
      <c r="C456"/>
      <c r="D456"/>
      <c r="E456" s="1"/>
    </row>
    <row r="457" spans="1:5" x14ac:dyDescent="0.25">
      <c r="A457" s="7">
        <v>1113.1880018077832</v>
      </c>
      <c r="B457"/>
      <c r="C457"/>
      <c r="D457"/>
      <c r="E457" s="1"/>
    </row>
    <row r="458" spans="1:5" x14ac:dyDescent="0.25">
      <c r="A458" s="7">
        <v>1102.1663384235476</v>
      </c>
      <c r="B458"/>
      <c r="C458"/>
      <c r="D458"/>
      <c r="E458" s="1"/>
    </row>
    <row r="459" spans="1:5" x14ac:dyDescent="0.25">
      <c r="A459" s="7">
        <v>1091.2538004193541</v>
      </c>
      <c r="B459"/>
      <c r="C459"/>
      <c r="D459"/>
      <c r="E459" s="1"/>
    </row>
    <row r="460" spans="1:5" x14ac:dyDescent="0.25">
      <c r="A460" s="7">
        <v>1080.449307345895</v>
      </c>
      <c r="B460"/>
      <c r="C460"/>
      <c r="D460"/>
      <c r="E460" s="1"/>
    </row>
    <row r="461" spans="1:5" x14ac:dyDescent="0.25">
      <c r="A461" s="7">
        <v>1069.7517894513812</v>
      </c>
      <c r="B461"/>
      <c r="C461"/>
      <c r="D461"/>
      <c r="E461" s="1"/>
    </row>
    <row r="462" spans="1:5" x14ac:dyDescent="0.25">
      <c r="A462" s="7">
        <v>1059.1601875756251</v>
      </c>
      <c r="B462"/>
      <c r="C462"/>
      <c r="D462"/>
      <c r="E462" s="1"/>
    </row>
    <row r="463" spans="1:5" x14ac:dyDescent="0.25">
      <c r="A463" s="7">
        <v>1048.6734530451733</v>
      </c>
      <c r="B463"/>
      <c r="C463"/>
      <c r="D463"/>
      <c r="E463" s="1"/>
    </row>
    <row r="464" spans="1:5" x14ac:dyDescent="0.25">
      <c r="A464" s="7">
        <v>1038.2905475694786</v>
      </c>
      <c r="B464"/>
      <c r="C464"/>
      <c r="D464"/>
      <c r="E464" s="1"/>
    </row>
    <row r="465" spans="1:5" x14ac:dyDescent="0.25">
      <c r="A465" s="7">
        <v>1028.0104431380976</v>
      </c>
      <c r="B465"/>
      <c r="C465"/>
      <c r="D465"/>
      <c r="E465" s="1"/>
    </row>
    <row r="466" spans="1:5" x14ac:dyDescent="0.25">
      <c r="A466" s="7">
        <v>1017.8321219189085</v>
      </c>
      <c r="B466"/>
      <c r="C466"/>
      <c r="D466"/>
      <c r="E466" s="1"/>
    </row>
    <row r="467" spans="1:5" x14ac:dyDescent="0.25">
      <c r="A467" s="7">
        <v>1007.7545761573351</v>
      </c>
      <c r="B467"/>
      <c r="C467"/>
      <c r="D467"/>
      <c r="E467" s="1"/>
    </row>
    <row r="468" spans="1:5" x14ac:dyDescent="0.25">
      <c r="A468" s="7">
        <v>997.77680807656941</v>
      </c>
      <c r="B468"/>
      <c r="C468"/>
      <c r="D468"/>
      <c r="E468" s="1"/>
    </row>
    <row r="469" spans="1:5" x14ac:dyDescent="0.25">
      <c r="A469" s="7">
        <v>987.89782977878156</v>
      </c>
      <c r="B469"/>
      <c r="C469"/>
      <c r="D469"/>
      <c r="E469" s="1"/>
    </row>
    <row r="470" spans="1:5" x14ac:dyDescent="0.25">
      <c r="A470" s="7">
        <v>978.11666314730849</v>
      </c>
      <c r="B470"/>
      <c r="C470"/>
      <c r="D470"/>
      <c r="E470" s="1"/>
    </row>
    <row r="471" spans="1:5" x14ac:dyDescent="0.25">
      <c r="A471" s="7">
        <v>968.43233974981035</v>
      </c>
      <c r="B471"/>
      <c r="C471"/>
      <c r="D471"/>
      <c r="E471" s="1"/>
    </row>
    <row r="472" spans="1:5" x14ac:dyDescent="0.25">
      <c r="A472" s="7">
        <v>958.8439007423865</v>
      </c>
      <c r="B472"/>
      <c r="C472"/>
      <c r="D472"/>
      <c r="E472" s="1"/>
    </row>
    <row r="473" spans="1:5" x14ac:dyDescent="0.25">
      <c r="A473" s="7">
        <v>949.3503967746401</v>
      </c>
      <c r="B473"/>
      <c r="C473"/>
      <c r="D473"/>
      <c r="E473" s="1"/>
    </row>
    <row r="474" spans="1:5" x14ac:dyDescent="0.25">
      <c r="A474" s="7">
        <v>939.95088789568331</v>
      </c>
      <c r="B474"/>
      <c r="C474"/>
      <c r="D474"/>
      <c r="E474" s="1"/>
    </row>
    <row r="475" spans="1:5" x14ac:dyDescent="0.25">
      <c r="A475" s="7">
        <v>930.64444346107257</v>
      </c>
      <c r="B475"/>
      <c r="C475"/>
      <c r="D475"/>
      <c r="E475" s="1"/>
    </row>
    <row r="476" spans="1:5" x14ac:dyDescent="0.25">
      <c r="A476" s="7">
        <v>921.43014204066594</v>
      </c>
      <c r="B476"/>
      <c r="C476"/>
      <c r="D476"/>
      <c r="E476" s="1"/>
    </row>
    <row r="477" spans="1:5" x14ac:dyDescent="0.25">
      <c r="A477" s="7">
        <v>912.30707132739201</v>
      </c>
      <c r="B477"/>
      <c r="C477"/>
      <c r="D477"/>
      <c r="E477" s="1"/>
    </row>
    <row r="478" spans="1:5" x14ac:dyDescent="0.25">
      <c r="A478" s="7">
        <v>903.27432804692273</v>
      </c>
      <c r="B478"/>
      <c r="C478"/>
      <c r="D478"/>
      <c r="E478" s="1"/>
    </row>
    <row r="479" spans="1:5" x14ac:dyDescent="0.25">
      <c r="A479" s="7">
        <v>894.33101786824034</v>
      </c>
      <c r="B479"/>
      <c r="C479"/>
      <c r="D479"/>
      <c r="E479" s="1"/>
    </row>
    <row r="480" spans="1:5" x14ac:dyDescent="0.25">
      <c r="A480" s="7">
        <v>885.47625531508947</v>
      </c>
      <c r="B480"/>
      <c r="C480"/>
      <c r="D480"/>
      <c r="E480" s="1"/>
    </row>
    <row r="481" spans="1:5" x14ac:dyDescent="0.25">
      <c r="A481" s="7">
        <v>876.70916367830637</v>
      </c>
      <c r="B481"/>
      <c r="C481"/>
      <c r="D481"/>
      <c r="E481" s="1"/>
    </row>
    <row r="482" spans="1:5" x14ac:dyDescent="0.25">
      <c r="A482" s="7">
        <v>868.02887492901618</v>
      </c>
      <c r="B482"/>
      <c r="C482"/>
      <c r="D482"/>
      <c r="E482" s="1"/>
    </row>
    <row r="483" spans="1:5" x14ac:dyDescent="0.25">
      <c r="A483" s="7">
        <v>859.4345296326893</v>
      </c>
      <c r="B483"/>
      <c r="C483"/>
      <c r="D483"/>
      <c r="E483" s="1"/>
    </row>
    <row r="484" spans="1:5" x14ac:dyDescent="0.25">
      <c r="A484" s="7">
        <v>850.92527686404878</v>
      </c>
      <c r="B484"/>
      <c r="C484"/>
      <c r="D484"/>
      <c r="E484" s="1"/>
    </row>
    <row r="485" spans="1:5" x14ac:dyDescent="0.25">
      <c r="A485" s="7">
        <v>842.50027412282054</v>
      </c>
      <c r="B485"/>
      <c r="C485"/>
      <c r="D485"/>
      <c r="E485" s="1"/>
    </row>
    <row r="486" spans="1:5" x14ac:dyDescent="0.25">
      <c r="A486" s="7">
        <v>834.15868725031737</v>
      </c>
      <c r="B486"/>
      <c r="C486"/>
      <c r="D486"/>
      <c r="E486" s="1"/>
    </row>
    <row r="487" spans="1:5" x14ac:dyDescent="0.25">
      <c r="A487" s="7">
        <v>825.89969034684884</v>
      </c>
      <c r="B487"/>
      <c r="C487"/>
      <c r="D487"/>
      <c r="E487" s="1"/>
    </row>
    <row r="488" spans="1:5" x14ac:dyDescent="0.25">
      <c r="A488" s="7">
        <v>817.72246568994933</v>
      </c>
      <c r="B488"/>
      <c r="C488"/>
      <c r="D488"/>
      <c r="E488" s="1"/>
    </row>
    <row r="489" spans="1:5" x14ac:dyDescent="0.25">
      <c r="A489" s="7">
        <v>809.62620365341513</v>
      </c>
      <c r="B489"/>
      <c r="C489"/>
      <c r="D489"/>
      <c r="E489" s="1"/>
    </row>
    <row r="490" spans="1:5" x14ac:dyDescent="0.25">
      <c r="A490" s="7">
        <v>801.61010262714365</v>
      </c>
      <c r="B490"/>
      <c r="C490"/>
      <c r="D490"/>
      <c r="E490" s="1"/>
    </row>
    <row r="491" spans="1:5" x14ac:dyDescent="0.25">
      <c r="A491" s="7">
        <v>793.67336893776599</v>
      </c>
      <c r="B491"/>
      <c r="C491"/>
      <c r="D491"/>
      <c r="E491" s="1"/>
    </row>
    <row r="492" spans="1:5" x14ac:dyDescent="0.25">
      <c r="A492" s="7">
        <v>785.81521677006538</v>
      </c>
      <c r="B492"/>
      <c r="C492"/>
      <c r="D492"/>
      <c r="E492" s="1"/>
    </row>
    <row r="493" spans="1:5" x14ac:dyDescent="0.25">
      <c r="A493" s="7">
        <v>778.03486808917364</v>
      </c>
      <c r="B493"/>
      <c r="C493"/>
      <c r="D493"/>
      <c r="E493" s="1"/>
    </row>
    <row r="494" spans="1:5" x14ac:dyDescent="0.25">
      <c r="A494" s="7">
        <v>770.33155256353825</v>
      </c>
      <c r="B494"/>
      <c r="C494"/>
      <c r="D494"/>
      <c r="E494" s="1"/>
    </row>
    <row r="495" spans="1:5" x14ac:dyDescent="0.25">
      <c r="A495" s="7">
        <v>762.70450748865176</v>
      </c>
      <c r="B495"/>
      <c r="C495"/>
      <c r="D495"/>
      <c r="E495" s="1"/>
    </row>
    <row r="496" spans="1:5" x14ac:dyDescent="0.25">
      <c r="A496" s="7">
        <v>755.15297771153644</v>
      </c>
      <c r="B496"/>
      <c r="C496"/>
      <c r="D496"/>
      <c r="E496" s="1"/>
    </row>
    <row r="497" spans="1:5" x14ac:dyDescent="0.25">
      <c r="A497" s="7">
        <v>747.67621555597668</v>
      </c>
      <c r="B497"/>
      <c r="C497"/>
      <c r="D497"/>
      <c r="E497" s="1"/>
    </row>
    <row r="498" spans="1:5" x14ac:dyDescent="0.25">
      <c r="A498" s="7">
        <v>740.27348074849181</v>
      </c>
      <c r="B498"/>
      <c r="C498"/>
      <c r="D498"/>
      <c r="E498" s="1"/>
    </row>
    <row r="499" spans="1:5" x14ac:dyDescent="0.25">
      <c r="A499" s="7">
        <v>732.94404034504134</v>
      </c>
      <c r="B499"/>
      <c r="C499"/>
      <c r="D499"/>
      <c r="E499" s="1"/>
    </row>
    <row r="500" spans="1:5" x14ac:dyDescent="0.25">
      <c r="A500" s="7">
        <v>725.68716865845681</v>
      </c>
      <c r="B500"/>
      <c r="C500"/>
      <c r="D500"/>
      <c r="E500" s="1"/>
    </row>
    <row r="501" spans="1:5" x14ac:dyDescent="0.25">
      <c r="A501" s="7">
        <v>718.50214718659095</v>
      </c>
      <c r="B501"/>
      <c r="C501"/>
      <c r="D501"/>
      <c r="E501" s="1"/>
    </row>
    <row r="502" spans="1:5" x14ac:dyDescent="0.25">
      <c r="A502" s="7">
        <v>711.38826454117918</v>
      </c>
      <c r="B502"/>
      <c r="C502"/>
      <c r="D502"/>
      <c r="E502" s="1"/>
    </row>
    <row r="503" spans="1:5" x14ac:dyDescent="0.25">
      <c r="A503" s="7">
        <v>704.3448163774051</v>
      </c>
      <c r="B503"/>
      <c r="C503"/>
      <c r="D503"/>
      <c r="E503" s="1"/>
    </row>
    <row r="504" spans="1:5" x14ac:dyDescent="0.25">
      <c r="A504" s="7">
        <v>697.37110532416341</v>
      </c>
      <c r="B504"/>
      <c r="C504"/>
      <c r="D504"/>
      <c r="E504" s="1"/>
    </row>
    <row r="505" spans="1:5" x14ac:dyDescent="0.25">
      <c r="A505" s="7">
        <v>690.46644091501332</v>
      </c>
      <c r="B505"/>
      <c r="C505"/>
      <c r="D505"/>
      <c r="E505" s="1"/>
    </row>
    <row r="506" spans="1:5" x14ac:dyDescent="0.25">
      <c r="A506" s="7">
        <v>683.6301395198152</v>
      </c>
      <c r="B506"/>
      <c r="C506"/>
      <c r="D506"/>
      <c r="E506" s="1"/>
    </row>
    <row r="507" spans="1:5" x14ac:dyDescent="0.25">
      <c r="A507" s="7">
        <v>676.86152427704474</v>
      </c>
      <c r="B507"/>
      <c r="C507"/>
      <c r="D507"/>
      <c r="E507" s="1"/>
    </row>
    <row r="508" spans="1:5" x14ac:dyDescent="0.25">
      <c r="A508" s="7">
        <v>670.15992502677693</v>
      </c>
      <c r="B508"/>
      <c r="C508"/>
      <c r="D508"/>
      <c r="E508" s="1"/>
    </row>
    <row r="509" spans="1:5" x14ac:dyDescent="0.25">
      <c r="A509" s="7">
        <v>663.52467824433359</v>
      </c>
      <c r="B509"/>
      <c r="C509"/>
      <c r="D509"/>
      <c r="E509" s="1"/>
    </row>
    <row r="510" spans="1:5" x14ac:dyDescent="0.25">
      <c r="A510" s="7">
        <v>656.95512697458776</v>
      </c>
      <c r="B510"/>
      <c r="C510"/>
      <c r="D510"/>
      <c r="E510" s="1"/>
    </row>
    <row r="511" spans="1:5" x14ac:dyDescent="0.25">
      <c r="A511" s="7">
        <v>650.45062076691852</v>
      </c>
      <c r="B511"/>
      <c r="C511"/>
      <c r="D511"/>
      <c r="E511" s="1"/>
    </row>
    <row r="512" spans="1:5" x14ac:dyDescent="0.25">
      <c r="A512" s="7">
        <v>644.01051561081044</v>
      </c>
      <c r="B512"/>
      <c r="C512"/>
      <c r="D512"/>
      <c r="E512" s="1"/>
    </row>
    <row r="513" spans="1:5" x14ac:dyDescent="0.25">
      <c r="A513" s="7">
        <v>637.63417387208949</v>
      </c>
      <c r="B513"/>
      <c r="C513"/>
      <c r="D513"/>
      <c r="E513" s="1"/>
    </row>
    <row r="514" spans="1:5" x14ac:dyDescent="0.25">
      <c r="A514" s="7">
        <v>631.32096422979157</v>
      </c>
      <c r="B514"/>
      <c r="C514"/>
      <c r="D514"/>
      <c r="E514" s="1"/>
    </row>
    <row r="515" spans="1:5" x14ac:dyDescent="0.25">
      <c r="A515" s="7">
        <v>625.07026161365502</v>
      </c>
      <c r="B515"/>
      <c r="C515"/>
      <c r="D515"/>
      <c r="E515" s="1"/>
    </row>
    <row r="516" spans="1:5" x14ac:dyDescent="0.25">
      <c r="A516" s="7">
        <v>618.88144714223267</v>
      </c>
      <c r="B516"/>
      <c r="C516"/>
      <c r="D516"/>
      <c r="E516" s="1"/>
    </row>
    <row r="517" spans="1:5" x14ac:dyDescent="0.25">
      <c r="A517" s="7">
        <v>612.75390806161647</v>
      </c>
      <c r="B517"/>
      <c r="C517"/>
      <c r="D517"/>
      <c r="E517" s="1"/>
    </row>
    <row r="518" spans="1:5" x14ac:dyDescent="0.25">
      <c r="A518" s="7">
        <v>606.68703768476882</v>
      </c>
      <c r="B518"/>
      <c r="C518"/>
      <c r="D518"/>
      <c r="E518" s="1"/>
    </row>
    <row r="519" spans="1:5" x14ac:dyDescent="0.25">
      <c r="A519" s="7">
        <v>600.68023533145424</v>
      </c>
      <c r="B519"/>
      <c r="C519"/>
      <c r="D519"/>
      <c r="E519" s="1"/>
    </row>
    <row r="520" spans="1:5" x14ac:dyDescent="0.25">
      <c r="A520" s="7">
        <v>594.73290626876656</v>
      </c>
      <c r="B520"/>
      <c r="C520"/>
      <c r="D520"/>
      <c r="E520" s="1"/>
    </row>
    <row r="521" spans="1:5" x14ac:dyDescent="0.25">
      <c r="A521" s="7">
        <v>588.84446165224415</v>
      </c>
      <c r="B521"/>
      <c r="C521"/>
      <c r="D521"/>
      <c r="E521" s="1"/>
    </row>
    <row r="522" spans="1:5" x14ac:dyDescent="0.25">
      <c r="A522" s="7">
        <v>583.0143184675685</v>
      </c>
      <c r="B522"/>
      <c r="C522"/>
      <c r="D522"/>
      <c r="E522" s="1"/>
    </row>
    <row r="523" spans="1:5" x14ac:dyDescent="0.25">
      <c r="A523" s="7">
        <v>577.24189947284015</v>
      </c>
      <c r="B523"/>
      <c r="C523"/>
      <c r="D523"/>
      <c r="E523" s="1"/>
    </row>
    <row r="524" spans="1:5" x14ac:dyDescent="0.25">
      <c r="A524" s="7">
        <v>571.52663314142592</v>
      </c>
      <c r="B524"/>
      <c r="C524"/>
      <c r="D524"/>
      <c r="E524" s="1"/>
    </row>
    <row r="525" spans="1:5" x14ac:dyDescent="0.25">
      <c r="A525" s="7">
        <v>565.86795360537224</v>
      </c>
      <c r="B525"/>
      <c r="C525"/>
      <c r="D525"/>
      <c r="E525" s="1"/>
    </row>
    <row r="526" spans="1:5" x14ac:dyDescent="0.25">
      <c r="A526" s="7">
        <v>560.26530059937841</v>
      </c>
      <c r="B526"/>
      <c r="C526"/>
      <c r="D526"/>
      <c r="E526" s="1"/>
    </row>
    <row r="527" spans="1:5" x14ac:dyDescent="0.25">
      <c r="A527" s="7">
        <v>554.71811940532518</v>
      </c>
      <c r="B527"/>
      <c r="C527"/>
      <c r="D527"/>
      <c r="E527" s="1"/>
    </row>
    <row r="528" spans="1:5" x14ac:dyDescent="0.25">
      <c r="A528" s="7">
        <v>549.22586079735163</v>
      </c>
      <c r="B528"/>
      <c r="C528"/>
      <c r="D528"/>
      <c r="E528" s="1"/>
    </row>
    <row r="529" spans="1:5" x14ac:dyDescent="0.25">
      <c r="A529" s="7">
        <v>543.78798098747689</v>
      </c>
      <c r="B529"/>
      <c r="C529"/>
      <c r="D529"/>
      <c r="E529" s="1"/>
    </row>
    <row r="530" spans="1:5" x14ac:dyDescent="0.25">
      <c r="A530" s="7">
        <v>538.40394157175933</v>
      </c>
      <c r="B530"/>
      <c r="C530"/>
      <c r="D530"/>
      <c r="E530" s="1"/>
    </row>
    <row r="531" spans="1:5" x14ac:dyDescent="0.25">
      <c r="A531" s="7">
        <v>533.0732094769894</v>
      </c>
      <c r="B531"/>
      <c r="C531"/>
      <c r="D531"/>
      <c r="E531" s="1"/>
    </row>
    <row r="532" spans="1:5" x14ac:dyDescent="0.25">
      <c r="A532" s="7">
        <v>527.79525690791024</v>
      </c>
      <c r="B532"/>
      <c r="C532"/>
      <c r="D532"/>
      <c r="E532" s="1"/>
    </row>
    <row r="533" spans="1:5" x14ac:dyDescent="0.25">
      <c r="A533" s="7">
        <v>522.56956129496064</v>
      </c>
      <c r="B533"/>
      <c r="C533"/>
      <c r="D533"/>
      <c r="E533" s="1"/>
    </row>
    <row r="534" spans="1:5" x14ac:dyDescent="0.25">
      <c r="A534" s="7">
        <v>517.39560524253523</v>
      </c>
      <c r="B534"/>
      <c r="C534"/>
      <c r="D534"/>
      <c r="E534" s="1"/>
    </row>
    <row r="535" spans="1:5" x14ac:dyDescent="0.25">
      <c r="A535" s="7">
        <v>512.27287647775768</v>
      </c>
      <c r="B535"/>
      <c r="C535"/>
      <c r="D535"/>
      <c r="E535" s="1"/>
    </row>
    <row r="536" spans="1:5" x14ac:dyDescent="0.25">
      <c r="A536" s="7">
        <v>507.20086779976003</v>
      </c>
      <c r="B536"/>
      <c r="C536"/>
      <c r="D536"/>
      <c r="E536" s="1"/>
    </row>
    <row r="537" spans="1:5" x14ac:dyDescent="0.25">
      <c r="A537" s="7">
        <v>502.17907702946536</v>
      </c>
      <c r="B537"/>
      <c r="C537"/>
      <c r="D537"/>
      <c r="E537" s="1"/>
    </row>
    <row r="538" spans="1:5" x14ac:dyDescent="0.25">
      <c r="A538" s="7">
        <v>497.2070069598667</v>
      </c>
      <c r="B538"/>
      <c r="C538"/>
      <c r="D538"/>
      <c r="E538" s="1"/>
    </row>
    <row r="539" spans="1:5" x14ac:dyDescent="0.25">
      <c r="A539" s="7">
        <v>492.28416530679868</v>
      </c>
      <c r="B539"/>
      <c r="C539"/>
      <c r="D539"/>
      <c r="E539" s="1"/>
    </row>
    <row r="540" spans="1:5" x14ac:dyDescent="0.25">
      <c r="A540" s="7">
        <v>487.41006466019672</v>
      </c>
      <c r="B540"/>
      <c r="C540"/>
      <c r="D540"/>
      <c r="E540" s="1"/>
    </row>
    <row r="541" spans="1:5" x14ac:dyDescent="0.25">
      <c r="A541" s="7">
        <v>482.58422243583834</v>
      </c>
      <c r="B541"/>
      <c r="C541"/>
      <c r="D541"/>
      <c r="E541" s="1"/>
    </row>
    <row r="542" spans="1:5" x14ac:dyDescent="0.25">
      <c r="A542" s="7">
        <v>477.80616082756273</v>
      </c>
      <c r="B542"/>
      <c r="C542"/>
      <c r="D542"/>
      <c r="E542" s="1"/>
    </row>
    <row r="543" spans="1:5" x14ac:dyDescent="0.25">
      <c r="A543" s="7">
        <v>473.07540675996307</v>
      </c>
      <c r="B543"/>
      <c r="C543"/>
      <c r="D543"/>
      <c r="E543" s="1"/>
    </row>
    <row r="544" spans="1:5" x14ac:dyDescent="0.25">
      <c r="A544" s="7">
        <v>468.39149184154758</v>
      </c>
      <c r="B544"/>
      <c r="C544"/>
      <c r="D544"/>
      <c r="E544" s="1"/>
    </row>
    <row r="545" spans="1:5" x14ac:dyDescent="0.25">
      <c r="A545" s="7">
        <v>463.75395231836393</v>
      </c>
      <c r="B545"/>
      <c r="C545"/>
      <c r="D545"/>
      <c r="E545" s="1"/>
    </row>
    <row r="546" spans="1:5" x14ac:dyDescent="0.25">
      <c r="A546" s="7">
        <v>459.16232902808309</v>
      </c>
      <c r="B546"/>
      <c r="C546"/>
      <c r="D546"/>
      <c r="E546" s="1"/>
    </row>
    <row r="547" spans="1:5" x14ac:dyDescent="0.25">
      <c r="A547" s="7">
        <v>454.61616735453771</v>
      </c>
      <c r="B547"/>
      <c r="C547"/>
      <c r="D547"/>
      <c r="E547" s="1"/>
    </row>
    <row r="548" spans="1:5" x14ac:dyDescent="0.25">
      <c r="A548" s="7">
        <v>450.11501718271057</v>
      </c>
      <c r="B548"/>
      <c r="C548"/>
      <c r="D548"/>
      <c r="E548" s="1"/>
    </row>
    <row r="549" spans="1:5" x14ac:dyDescent="0.25">
      <c r="A549" s="7">
        <v>445.65843285416889</v>
      </c>
      <c r="B549"/>
      <c r="C549"/>
      <c r="D549"/>
      <c r="E549" s="1"/>
    </row>
    <row r="550" spans="1:5" x14ac:dyDescent="0.25">
      <c r="A550" s="7">
        <v>441.24597312293952</v>
      </c>
      <c r="B550"/>
      <c r="C550"/>
      <c r="D550"/>
      <c r="E550" s="1"/>
    </row>
    <row r="551" spans="1:5" x14ac:dyDescent="0.25">
      <c r="A551" s="7">
        <v>436.87720111182131</v>
      </c>
      <c r="B551"/>
      <c r="C551"/>
      <c r="D551"/>
      <c r="E551" s="1"/>
    </row>
    <row r="552" spans="1:5" x14ac:dyDescent="0.25">
      <c r="A552" s="7">
        <v>432.55168426913002</v>
      </c>
      <c r="B552"/>
      <c r="C552"/>
      <c r="D552"/>
      <c r="E552" s="1"/>
    </row>
    <row r="553" spans="1:5" x14ac:dyDescent="0.25">
      <c r="A553" s="7">
        <v>428.26899432587129</v>
      </c>
      <c r="B553"/>
      <c r="C553"/>
      <c r="D553"/>
      <c r="E553" s="1"/>
    </row>
    <row r="554" spans="1:5" x14ac:dyDescent="0.25">
      <c r="A554" s="7">
        <v>424.02870725333793</v>
      </c>
      <c r="B554"/>
      <c r="C554"/>
      <c r="D554"/>
      <c r="E554" s="1"/>
    </row>
    <row r="555" spans="1:5" x14ac:dyDescent="0.25">
      <c r="A555" s="7">
        <v>419.83040322112663</v>
      </c>
      <c r="B555"/>
      <c r="C555"/>
      <c r="D555"/>
      <c r="E555" s="1"/>
    </row>
    <row r="556" spans="1:5" x14ac:dyDescent="0.25">
      <c r="A556" s="7">
        <v>415.67366655557089</v>
      </c>
      <c r="B556"/>
      <c r="C556"/>
      <c r="D556"/>
      <c r="E556" s="1"/>
    </row>
    <row r="557" spans="1:5" x14ac:dyDescent="0.25">
      <c r="A557" s="7">
        <v>411.55808569858505</v>
      </c>
      <c r="B557"/>
      <c r="C557"/>
      <c r="D557"/>
      <c r="E557" s="1"/>
    </row>
    <row r="558" spans="1:5" x14ac:dyDescent="0.25">
      <c r="A558" s="7">
        <v>407.48325316691586</v>
      </c>
      <c r="B558"/>
      <c r="C558"/>
      <c r="D558"/>
      <c r="E558" s="1"/>
    </row>
    <row r="559" spans="1:5" x14ac:dyDescent="0.25">
      <c r="A559" s="7">
        <v>403.44876551179789</v>
      </c>
      <c r="B559"/>
      <c r="C559"/>
      <c r="D559"/>
      <c r="E559" s="1"/>
    </row>
    <row r="560" spans="1:5" x14ac:dyDescent="0.25">
      <c r="A560" s="7">
        <v>399.45422327900781</v>
      </c>
      <c r="B560"/>
      <c r="C560"/>
      <c r="D560"/>
      <c r="E560" s="1"/>
    </row>
    <row r="561" spans="1:5" x14ac:dyDescent="0.25">
      <c r="A561" s="7">
        <v>395.49923096931468</v>
      </c>
      <c r="B561"/>
      <c r="C561"/>
      <c r="D561"/>
      <c r="E561" s="1"/>
    </row>
    <row r="562" spans="1:5" x14ac:dyDescent="0.25">
      <c r="A562" s="7">
        <v>391.58339699932145</v>
      </c>
      <c r="B562"/>
      <c r="C562"/>
      <c r="D562"/>
      <c r="E562" s="1"/>
    </row>
    <row r="563" spans="1:5" x14ac:dyDescent="0.25">
      <c r="A563" s="7">
        <v>387.70633366269448</v>
      </c>
      <c r="B563"/>
      <c r="C563"/>
      <c r="D563"/>
      <c r="E563" s="1"/>
    </row>
    <row r="564" spans="1:5" x14ac:dyDescent="0.25">
      <c r="A564" s="7">
        <v>383.86765709177672</v>
      </c>
      <c r="B564"/>
      <c r="C564"/>
      <c r="D564"/>
      <c r="E564" s="1"/>
    </row>
    <row r="565" spans="1:5" x14ac:dyDescent="0.25">
      <c r="A565" s="7">
        <v>380.06698721958088</v>
      </c>
      <c r="B565"/>
      <c r="C565"/>
      <c r="D565"/>
      <c r="E565" s="1"/>
    </row>
    <row r="566" spans="1:5" x14ac:dyDescent="0.25">
      <c r="A566" s="7">
        <v>376.30394774215927</v>
      </c>
      <c r="B566"/>
      <c r="C566"/>
      <c r="D566"/>
      <c r="E566" s="1"/>
    </row>
    <row r="567" spans="1:5" x14ac:dyDescent="0.25">
      <c r="A567" s="7">
        <v>372.57816608134578</v>
      </c>
      <c r="B567"/>
      <c r="C567"/>
      <c r="D567"/>
      <c r="E567" s="1"/>
    </row>
    <row r="568" spans="1:5" x14ac:dyDescent="0.25">
      <c r="A568" s="7">
        <v>368.88927334786712</v>
      </c>
      <c r="B568"/>
      <c r="C568"/>
      <c r="D568"/>
      <c r="E568" s="1"/>
    </row>
    <row r="569" spans="1:5" x14ac:dyDescent="0.25">
      <c r="A569" s="7">
        <v>365.23690430481895</v>
      </c>
      <c r="B569"/>
      <c r="C569"/>
      <c r="D569"/>
      <c r="E569" s="1"/>
    </row>
    <row r="570" spans="1:5" x14ac:dyDescent="0.25">
      <c r="A570" s="7">
        <v>361.62069733150389</v>
      </c>
      <c r="B570"/>
      <c r="C570"/>
      <c r="D570"/>
      <c r="E570" s="1"/>
    </row>
    <row r="571" spans="1:5" x14ac:dyDescent="0.25">
      <c r="A571" s="7">
        <v>358.04029438762763</v>
      </c>
      <c r="B571"/>
      <c r="C571"/>
      <c r="D571"/>
      <c r="E571" s="1"/>
    </row>
    <row r="572" spans="1:5" x14ac:dyDescent="0.25">
      <c r="A572" s="7">
        <v>354.49534097784914</v>
      </c>
      <c r="B572"/>
      <c r="C572"/>
      <c r="D572"/>
      <c r="E572" s="1"/>
    </row>
    <row r="573" spans="1:5" x14ac:dyDescent="0.25">
      <c r="A573" s="7">
        <v>350.9854861166823</v>
      </c>
      <c r="B573"/>
      <c r="C573"/>
      <c r="D573"/>
      <c r="E573" s="1"/>
    </row>
    <row r="574" spans="1:5" x14ac:dyDescent="0.25">
      <c r="A574" s="7">
        <v>347.51038229374484</v>
      </c>
      <c r="B574"/>
      <c r="C574"/>
      <c r="D574"/>
      <c r="E574" s="1"/>
    </row>
    <row r="575" spans="1:5" x14ac:dyDescent="0.25">
      <c r="A575" s="7">
        <v>344.0696854393513</v>
      </c>
      <c r="B575"/>
      <c r="C575"/>
      <c r="D575"/>
      <c r="E575" s="1"/>
    </row>
    <row r="576" spans="1:5" x14ac:dyDescent="0.25">
      <c r="A576" s="7">
        <v>340.66305489044686</v>
      </c>
      <c r="B576"/>
      <c r="C576"/>
      <c r="D576"/>
      <c r="E576" s="1"/>
    </row>
    <row r="577" spans="1:5" x14ac:dyDescent="0.25">
      <c r="A577" s="7">
        <v>337.29015335687808</v>
      </c>
      <c r="B577"/>
      <c r="C577"/>
      <c r="D577"/>
      <c r="E577" s="1"/>
    </row>
    <row r="578" spans="1:5" x14ac:dyDescent="0.25">
      <c r="A578" s="7">
        <v>333.95064688799812</v>
      </c>
      <c r="B578"/>
      <c r="C578"/>
      <c r="D578"/>
      <c r="E578" s="1"/>
    </row>
    <row r="579" spans="1:5" x14ac:dyDescent="0.25">
      <c r="A579" s="7">
        <v>330.64420483960208</v>
      </c>
      <c r="B579"/>
      <c r="C579"/>
      <c r="D579"/>
      <c r="E579" s="1"/>
    </row>
    <row r="580" spans="1:5" x14ac:dyDescent="0.25">
      <c r="A580" s="7">
        <v>327.37049984119017</v>
      </c>
      <c r="B580"/>
      <c r="C580"/>
      <c r="D580"/>
      <c r="E580" s="1"/>
    </row>
    <row r="581" spans="1:5" x14ac:dyDescent="0.25">
      <c r="A581" s="7">
        <v>324.12920776355463</v>
      </c>
      <c r="B581"/>
      <c r="C581"/>
      <c r="D581"/>
      <c r="E581" s="1"/>
    </row>
    <row r="582" spans="1:5" x14ac:dyDescent="0.25">
      <c r="A582" s="7">
        <v>320.92000768668777</v>
      </c>
      <c r="B582"/>
      <c r="C582"/>
      <c r="D582"/>
      <c r="E582" s="1"/>
    </row>
    <row r="583" spans="1:5" x14ac:dyDescent="0.25">
      <c r="A583" s="7">
        <v>317.74258186800768</v>
      </c>
      <c r="B583"/>
      <c r="C583"/>
      <c r="D583"/>
      <c r="E583" s="1"/>
    </row>
    <row r="584" spans="1:5" x14ac:dyDescent="0.25">
      <c r="A584" s="7">
        <v>314.59661571089867</v>
      </c>
      <c r="B584"/>
      <c r="C584"/>
      <c r="D584"/>
      <c r="E584" s="1"/>
    </row>
    <row r="585" spans="1:5" x14ac:dyDescent="0.25">
      <c r="A585" s="7">
        <v>311.48179773356304</v>
      </c>
      <c r="B585"/>
      <c r="C585"/>
      <c r="D585"/>
      <c r="E585" s="1"/>
    </row>
    <row r="586" spans="1:5" x14ac:dyDescent="0.25">
      <c r="A586" s="7">
        <v>308.39781953818124</v>
      </c>
      <c r="B586"/>
      <c r="C586"/>
      <c r="D586"/>
      <c r="E586" s="1"/>
    </row>
    <row r="587" spans="1:5" x14ac:dyDescent="0.25">
      <c r="A587" s="7">
        <v>305.34437578037745</v>
      </c>
      <c r="B587"/>
      <c r="C587"/>
      <c r="D587"/>
      <c r="E587" s="1"/>
    </row>
    <row r="588" spans="1:5" x14ac:dyDescent="0.25">
      <c r="A588" s="7">
        <v>302.32116413898757</v>
      </c>
      <c r="B588"/>
      <c r="C588"/>
      <c r="D588"/>
      <c r="E588" s="1"/>
    </row>
    <row r="589" spans="1:5" x14ac:dyDescent="0.25">
      <c r="A589" s="7">
        <v>299.32788528612633</v>
      </c>
      <c r="B589"/>
      <c r="C589"/>
      <c r="D589"/>
      <c r="E589" s="1"/>
    </row>
    <row r="590" spans="1:5" x14ac:dyDescent="0.25">
      <c r="A590" s="7">
        <v>296.36424285755083</v>
      </c>
      <c r="B590"/>
      <c r="C590"/>
      <c r="D590"/>
      <c r="E590" s="1"/>
    </row>
    <row r="591" spans="1:5" x14ac:dyDescent="0.25">
      <c r="A591" s="7">
        <v>293.42994342331764</v>
      </c>
      <c r="B591"/>
      <c r="C591"/>
      <c r="D591"/>
      <c r="E591" s="1"/>
    </row>
    <row r="592" spans="1:5" x14ac:dyDescent="0.25">
      <c r="A592" s="7">
        <v>290.52469645873032</v>
      </c>
      <c r="B592"/>
      <c r="C592"/>
      <c r="D592"/>
      <c r="E592" s="1"/>
    </row>
    <row r="593" spans="1:5" x14ac:dyDescent="0.25">
      <c r="A593" s="7">
        <v>287.64821431557459</v>
      </c>
      <c r="B593"/>
      <c r="C593"/>
      <c r="D593"/>
      <c r="E593" s="1"/>
    </row>
    <row r="594" spans="1:5" x14ac:dyDescent="0.25">
      <c r="A594" s="7">
        <v>284.80021219363823</v>
      </c>
      <c r="B594"/>
      <c r="C594"/>
      <c r="D594"/>
      <c r="E594" s="1"/>
    </row>
    <row r="595" spans="1:5" x14ac:dyDescent="0.25">
      <c r="A595" s="7">
        <v>281.98040811251309</v>
      </c>
      <c r="B595"/>
      <c r="C595"/>
      <c r="D595"/>
      <c r="E595" s="1"/>
    </row>
    <row r="596" spans="1:5" x14ac:dyDescent="0.25">
      <c r="A596" s="7">
        <v>279.18852288367634</v>
      </c>
      <c r="B596"/>
      <c r="C596"/>
      <c r="D596"/>
      <c r="E596" s="1"/>
    </row>
    <row r="597" spans="1:5" x14ac:dyDescent="0.25">
      <c r="A597" s="7">
        <v>276.42428008284787</v>
      </c>
      <c r="B597"/>
      <c r="C597"/>
      <c r="D597"/>
      <c r="E597" s="1"/>
    </row>
    <row r="598" spans="1:5" x14ac:dyDescent="0.25">
      <c r="A598" s="7">
        <v>273.68740602262164</v>
      </c>
      <c r="B598"/>
      <c r="C598"/>
      <c r="D598"/>
      <c r="E598" s="1"/>
    </row>
    <row r="599" spans="1:5" x14ac:dyDescent="0.25">
      <c r="A599" s="7">
        <v>270.97762972536799</v>
      </c>
      <c r="B599"/>
      <c r="C599"/>
      <c r="D599"/>
      <c r="E599" s="1"/>
    </row>
    <row r="600" spans="1:5" x14ac:dyDescent="0.25">
      <c r="A600" s="7">
        <v>268.29468289640397</v>
      </c>
      <c r="B600"/>
      <c r="C600"/>
      <c r="D600"/>
      <c r="E600" s="1"/>
    </row>
    <row r="601" spans="1:5" x14ac:dyDescent="0.25">
      <c r="A601" s="7">
        <v>265.63829989742965</v>
      </c>
      <c r="B601"/>
      <c r="C601"/>
      <c r="D601"/>
      <c r="E601" s="1"/>
    </row>
    <row r="602" spans="1:5" x14ac:dyDescent="0.25">
      <c r="A602" s="7">
        <v>263.00821772022738</v>
      </c>
      <c r="B602"/>
      <c r="C602"/>
      <c r="D602"/>
      <c r="E602" s="1"/>
    </row>
    <row r="603" spans="1:5" x14ac:dyDescent="0.25">
      <c r="A603" s="7">
        <v>260.40417596062116</v>
      </c>
      <c r="B603"/>
      <c r="C603"/>
      <c r="D603"/>
      <c r="E603" s="1"/>
    </row>
    <row r="604" spans="1:5" x14ac:dyDescent="0.25">
      <c r="A604" s="7">
        <v>257.82591679269422</v>
      </c>
      <c r="B604"/>
      <c r="C604"/>
      <c r="D604"/>
      <c r="E604" s="1"/>
    </row>
    <row r="605" spans="1:5" x14ac:dyDescent="0.25">
      <c r="A605" s="7">
        <v>255.27318494326161</v>
      </c>
      <c r="B605"/>
      <c r="C605"/>
      <c r="D605"/>
      <c r="E605" s="1"/>
    </row>
    <row r="606" spans="1:5" x14ac:dyDescent="0.25">
      <c r="A606" s="7">
        <v>252.74572766659566</v>
      </c>
      <c r="B606"/>
      <c r="C606"/>
      <c r="D606"/>
      <c r="E606" s="1"/>
    </row>
    <row r="607" spans="1:5" x14ac:dyDescent="0.25">
      <c r="A607" s="7">
        <v>250.24329471940163</v>
      </c>
      <c r="B607"/>
      <c r="C607"/>
      <c r="D607"/>
      <c r="E607" s="1"/>
    </row>
    <row r="608" spans="1:5" x14ac:dyDescent="0.25">
      <c r="A608" s="7">
        <v>247.76563833604121</v>
      </c>
      <c r="B608"/>
      <c r="C608"/>
      <c r="D608"/>
      <c r="E608" s="1"/>
    </row>
    <row r="609" spans="1:5" x14ac:dyDescent="0.25">
      <c r="A609" s="7">
        <v>245.31251320400119</v>
      </c>
      <c r="B609"/>
      <c r="C609"/>
      <c r="D609"/>
      <c r="E609" s="1"/>
    </row>
    <row r="610" spans="1:5" x14ac:dyDescent="0.25">
      <c r="A610" s="7">
        <v>242.88367643960513</v>
      </c>
      <c r="B610"/>
      <c r="C610"/>
      <c r="D610"/>
      <c r="E610" s="1"/>
    </row>
    <row r="611" spans="1:5" x14ac:dyDescent="0.25">
      <c r="A611" s="7">
        <v>240.47888756396546</v>
      </c>
      <c r="B611"/>
      <c r="C611"/>
      <c r="D611"/>
      <c r="E611" s="1"/>
    </row>
    <row r="612" spans="1:5" x14ac:dyDescent="0.25">
      <c r="A612" s="7">
        <v>238.09790847917373</v>
      </c>
      <c r="B612"/>
      <c r="C612"/>
      <c r="D612"/>
      <c r="E612" s="1"/>
    </row>
    <row r="613" spans="1:5" x14ac:dyDescent="0.25">
      <c r="A613" s="7">
        <v>235.74050344472647</v>
      </c>
      <c r="B613"/>
      <c r="C613"/>
      <c r="D613"/>
      <c r="E613" s="1"/>
    </row>
    <row r="614" spans="1:5" x14ac:dyDescent="0.25">
      <c r="A614" s="7">
        <v>233.40643905418463</v>
      </c>
      <c r="B614"/>
      <c r="C614"/>
      <c r="D614"/>
      <c r="E614" s="1"/>
    </row>
    <row r="615" spans="1:5" x14ac:dyDescent="0.25">
      <c r="A615" s="7">
        <v>231.09548421206398</v>
      </c>
      <c r="B615"/>
      <c r="C615"/>
      <c r="D615"/>
      <c r="E615" s="1"/>
    </row>
    <row r="616" spans="1:5" x14ac:dyDescent="0.25">
      <c r="A616" s="7">
        <v>228.80741011095444</v>
      </c>
      <c r="B616"/>
      <c r="C616"/>
      <c r="D616"/>
      <c r="E616" s="1"/>
    </row>
    <row r="617" spans="1:5" x14ac:dyDescent="0.25">
      <c r="A617" s="7">
        <v>226.54199020886577</v>
      </c>
      <c r="B617"/>
      <c r="C617"/>
      <c r="D617"/>
      <c r="E617" s="1"/>
    </row>
    <row r="618" spans="1:5" x14ac:dyDescent="0.25">
      <c r="A618" s="7">
        <v>224.29900020679779</v>
      </c>
      <c r="B618"/>
      <c r="C618"/>
      <c r="D618"/>
      <c r="E618" s="1"/>
    </row>
    <row r="619" spans="1:5" x14ac:dyDescent="0.25">
      <c r="A619" s="7">
        <v>222.07821802653245</v>
      </c>
      <c r="B619"/>
      <c r="C619"/>
      <c r="D619"/>
      <c r="E619" s="1"/>
    </row>
    <row r="620" spans="1:5" x14ac:dyDescent="0.25">
      <c r="A620" s="7">
        <v>219.87942378864599</v>
      </c>
      <c r="B620"/>
      <c r="C620"/>
      <c r="D620"/>
      <c r="E620" s="1"/>
    </row>
    <row r="621" spans="1:5" x14ac:dyDescent="0.25">
      <c r="A621" s="7">
        <v>217.70239979073861</v>
      </c>
      <c r="B621"/>
      <c r="C621"/>
      <c r="D621"/>
      <c r="E621" s="1"/>
    </row>
    <row r="622" spans="1:5" x14ac:dyDescent="0.25">
      <c r="A622" s="7">
        <v>215.54693048587981</v>
      </c>
      <c r="B622"/>
      <c r="C622"/>
      <c r="D622"/>
      <c r="E622" s="1"/>
    </row>
    <row r="623" spans="1:5" x14ac:dyDescent="0.25">
      <c r="A623" s="7">
        <v>213.41280246126715</v>
      </c>
      <c r="B623"/>
      <c r="C623"/>
      <c r="D623"/>
      <c r="E623" s="1"/>
    </row>
    <row r="624" spans="1:5" x14ac:dyDescent="0.25">
      <c r="A624" s="7">
        <v>211.2998044170962</v>
      </c>
      <c r="B624"/>
      <c r="C624"/>
      <c r="D624"/>
      <c r="E624" s="1"/>
    </row>
    <row r="625" spans="1:5" x14ac:dyDescent="0.25">
      <c r="A625" s="7">
        <v>209.20772714563981</v>
      </c>
      <c r="B625"/>
      <c r="C625"/>
      <c r="D625"/>
      <c r="E625" s="1"/>
    </row>
    <row r="626" spans="1:5" x14ac:dyDescent="0.25">
      <c r="A626" s="7">
        <v>207.13636351053447</v>
      </c>
      <c r="B626"/>
      <c r="C626"/>
      <c r="D626"/>
      <c r="E626" s="1"/>
    </row>
    <row r="627" spans="1:5" x14ac:dyDescent="0.25">
      <c r="A627" s="7">
        <v>205.08550842627176</v>
      </c>
      <c r="B627"/>
      <c r="C627"/>
      <c r="D627"/>
      <c r="E627" s="1"/>
    </row>
    <row r="628" spans="1:5" x14ac:dyDescent="0.25">
      <c r="A628" s="7">
        <v>203.05495883789283</v>
      </c>
      <c r="B628"/>
      <c r="C628"/>
      <c r="D628"/>
      <c r="E628" s="1"/>
    </row>
    <row r="629" spans="1:5" x14ac:dyDescent="0.25">
      <c r="A629" s="7">
        <v>201.04451370088398</v>
      </c>
      <c r="B629"/>
      <c r="C629"/>
      <c r="D629"/>
      <c r="E629" s="1"/>
    </row>
    <row r="630" spans="1:5" x14ac:dyDescent="0.25">
      <c r="A630" s="7">
        <v>199.05397396127125</v>
      </c>
      <c r="B630"/>
      <c r="C630"/>
      <c r="D630"/>
      <c r="E630" s="1"/>
    </row>
    <row r="631" spans="1:5" x14ac:dyDescent="0.25">
      <c r="A631" s="7">
        <v>197.08314253591212</v>
      </c>
      <c r="B631"/>
      <c r="C631"/>
      <c r="D631"/>
      <c r="E631" s="1"/>
    </row>
    <row r="632" spans="1:5" x14ac:dyDescent="0.25">
      <c r="A632" s="7">
        <v>195.13182429298229</v>
      </c>
      <c r="B632"/>
      <c r="C632"/>
      <c r="D632"/>
      <c r="E632" s="1"/>
    </row>
    <row r="633" spans="1:5" x14ac:dyDescent="0.25">
      <c r="A633" s="7">
        <v>193.19982603265572</v>
      </c>
      <c r="B633"/>
      <c r="C633"/>
      <c r="D633"/>
      <c r="E633" s="1"/>
    </row>
    <row r="634" spans="1:5" x14ac:dyDescent="0.25">
      <c r="A634" s="7">
        <v>191.28695646797595</v>
      </c>
      <c r="B634"/>
      <c r="C634"/>
      <c r="D634"/>
      <c r="E634" s="1"/>
    </row>
    <row r="635" spans="1:5" x14ac:dyDescent="0.25">
      <c r="A635" s="7">
        <v>189.39302620591678</v>
      </c>
      <c r="B635"/>
      <c r="C635"/>
      <c r="D635"/>
      <c r="E635" s="1"/>
    </row>
    <row r="636" spans="1:5" x14ac:dyDescent="0.25">
      <c r="A636" s="7">
        <v>187.51784772863047</v>
      </c>
      <c r="B636"/>
      <c r="C636"/>
      <c r="D636"/>
      <c r="E636" s="1"/>
    </row>
    <row r="637" spans="1:5" x14ac:dyDescent="0.25">
      <c r="A637" s="7">
        <v>185.66123537488164</v>
      </c>
      <c r="B637"/>
      <c r="C637"/>
      <c r="D637"/>
      <c r="E637" s="1"/>
    </row>
    <row r="638" spans="1:5" x14ac:dyDescent="0.25">
      <c r="A638" s="7">
        <v>183.82300532166499</v>
      </c>
      <c r="B638"/>
      <c r="C638"/>
      <c r="D638"/>
      <c r="E638" s="1"/>
    </row>
    <row r="639" spans="1:5" x14ac:dyDescent="0.25">
      <c r="A639" s="7">
        <v>182.00297556600495</v>
      </c>
      <c r="B639"/>
      <c r="C639"/>
      <c r="D639"/>
      <c r="E639" s="1"/>
    </row>
    <row r="640" spans="1:5" x14ac:dyDescent="0.25">
      <c r="A640" s="7">
        <v>180.20096590693558</v>
      </c>
      <c r="B640"/>
      <c r="C640"/>
      <c r="D640"/>
      <c r="E640" s="1"/>
    </row>
    <row r="641" spans="1:5" x14ac:dyDescent="0.25">
      <c r="A641" s="7">
        <v>178.41679792765899</v>
      </c>
      <c r="B641"/>
      <c r="C641"/>
      <c r="D641"/>
      <c r="E641" s="1"/>
    </row>
    <row r="642" spans="1:5" x14ac:dyDescent="0.25">
      <c r="A642" s="7">
        <v>176.65029497788018</v>
      </c>
      <c r="B642"/>
      <c r="C642"/>
      <c r="D642"/>
      <c r="E642" s="1"/>
    </row>
    <row r="643" spans="1:5" x14ac:dyDescent="0.25">
      <c r="A643" s="7">
        <v>174.901282156317</v>
      </c>
      <c r="B643"/>
      <c r="C643"/>
      <c r="D643"/>
      <c r="E643" s="1"/>
    </row>
    <row r="644" spans="1:5" x14ac:dyDescent="0.25">
      <c r="A644" s="7">
        <v>173.16958629338316</v>
      </c>
      <c r="B644"/>
      <c r="C644"/>
      <c r="D644"/>
      <c r="E644" s="1"/>
    </row>
    <row r="645" spans="1:5" x14ac:dyDescent="0.25">
      <c r="A645" s="7">
        <v>171.45503593404274</v>
      </c>
      <c r="B645"/>
      <c r="C645"/>
      <c r="D645"/>
      <c r="E645" s="1"/>
    </row>
    <row r="646" spans="1:5" x14ac:dyDescent="0.25">
      <c r="A646" s="7">
        <v>169.75746132083441</v>
      </c>
      <c r="B646"/>
      <c r="C646"/>
      <c r="D646"/>
      <c r="E646" s="1"/>
    </row>
    <row r="647" spans="1:5" x14ac:dyDescent="0.25">
      <c r="A647" s="7">
        <v>168.07669437706377</v>
      </c>
      <c r="B647"/>
      <c r="C647"/>
      <c r="D647"/>
      <c r="E647" s="1"/>
    </row>
    <row r="648" spans="1:5" x14ac:dyDescent="0.25">
      <c r="A648" s="7">
        <v>166.41256869016215</v>
      </c>
      <c r="B648"/>
      <c r="C648"/>
      <c r="D648"/>
      <c r="E648" s="1"/>
    </row>
    <row r="649" spans="1:5" x14ac:dyDescent="0.25">
      <c r="A649" s="7">
        <v>164.76491949521005</v>
      </c>
      <c r="B649"/>
      <c r="C649"/>
      <c r="D649"/>
      <c r="E649" s="1"/>
    </row>
    <row r="650" spans="1:5" x14ac:dyDescent="0.25">
      <c r="A650" s="7">
        <v>163.13358365862382</v>
      </c>
      <c r="B650"/>
      <c r="C650"/>
      <c r="D650"/>
      <c r="E650" s="1"/>
    </row>
    <row r="651" spans="1:5" x14ac:dyDescent="0.25">
      <c r="A651" s="7">
        <v>161.51839966200379</v>
      </c>
      <c r="B651"/>
      <c r="C651"/>
      <c r="D651"/>
      <c r="E651" s="1"/>
    </row>
    <row r="652" spans="1:5" x14ac:dyDescent="0.25">
      <c r="A652" s="7">
        <v>159.91920758614236</v>
      </c>
      <c r="B652"/>
      <c r="C652"/>
      <c r="D652"/>
      <c r="E652" s="1"/>
    </row>
    <row r="653" spans="1:5" x14ac:dyDescent="0.25">
      <c r="A653" s="7">
        <v>158.33584909519047</v>
      </c>
      <c r="B653"/>
      <c r="C653"/>
      <c r="D653"/>
      <c r="E653" s="1"/>
    </row>
    <row r="654" spans="1:5" x14ac:dyDescent="0.25">
      <c r="A654" s="7">
        <v>156.76816742098066</v>
      </c>
      <c r="B654"/>
      <c r="C654"/>
      <c r="D654"/>
      <c r="E654" s="1"/>
    </row>
    <row r="655" spans="1:5" x14ac:dyDescent="0.25">
      <c r="A655" s="7">
        <v>155.21600734750561</v>
      </c>
      <c r="B655"/>
      <c r="C655"/>
      <c r="D655"/>
      <c r="E655" s="1"/>
    </row>
    <row r="656" spans="1:5" x14ac:dyDescent="0.25">
      <c r="A656" s="7">
        <v>153.67921519555011</v>
      </c>
      <c r="B656"/>
      <c r="C656"/>
      <c r="D656"/>
      <c r="E656" s="1"/>
    </row>
    <row r="657" spans="1:5" x14ac:dyDescent="0.25">
      <c r="A657" s="7">
        <v>152.15763880747537</v>
      </c>
      <c r="B657"/>
      <c r="C657"/>
      <c r="D657"/>
      <c r="E657" s="1"/>
    </row>
    <row r="658" spans="1:5" x14ac:dyDescent="0.25">
      <c r="A658" s="7">
        <v>150.65112753215382</v>
      </c>
      <c r="B658"/>
      <c r="C658"/>
      <c r="D658"/>
      <c r="E658" s="1"/>
    </row>
    <row r="659" spans="1:5" x14ac:dyDescent="0.25">
      <c r="A659" s="7">
        <v>149.1595322100533</v>
      </c>
      <c r="B659"/>
      <c r="C659"/>
      <c r="D659"/>
      <c r="E659" s="1"/>
    </row>
    <row r="660" spans="1:5" x14ac:dyDescent="0.25">
      <c r="A660" s="7">
        <v>147.68270515846862</v>
      </c>
      <c r="B660"/>
      <c r="C660"/>
      <c r="D660"/>
      <c r="E660" s="1"/>
    </row>
    <row r="661" spans="1:5" x14ac:dyDescent="0.25">
      <c r="A661" s="7">
        <v>146.22050015689962</v>
      </c>
      <c r="B661"/>
      <c r="C661"/>
      <c r="D661"/>
      <c r="E661" s="1"/>
    </row>
    <row r="662" spans="1:5" x14ac:dyDescent="0.25">
      <c r="A662" s="7">
        <v>144.77277243257387</v>
      </c>
      <c r="B662"/>
      <c r="C662"/>
      <c r="D662"/>
      <c r="E662" s="1"/>
    </row>
    <row r="663" spans="1:5" x14ac:dyDescent="0.25">
      <c r="A663" s="7">
        <v>143.33937864611275</v>
      </c>
      <c r="B663"/>
      <c r="C663"/>
      <c r="D663"/>
      <c r="E663" s="1"/>
    </row>
    <row r="664" spans="1:5" x14ac:dyDescent="0.25">
      <c r="A664" s="7">
        <v>141.92017687733934</v>
      </c>
      <c r="B664"/>
      <c r="C664"/>
      <c r="D664"/>
      <c r="E664" s="1"/>
    </row>
    <row r="665" spans="1:5" x14ac:dyDescent="0.25">
      <c r="A665" s="7">
        <v>140.51502661122709</v>
      </c>
      <c r="B665"/>
      <c r="C665"/>
      <c r="D665"/>
      <c r="E665" s="1"/>
    </row>
    <row r="666" spans="1:5" x14ac:dyDescent="0.25">
      <c r="A666" s="7">
        <v>139.12378872398722</v>
      </c>
      <c r="B666"/>
      <c r="C666"/>
      <c r="D666"/>
      <c r="E666" s="1"/>
    </row>
    <row r="667" spans="1:5" x14ac:dyDescent="0.25">
      <c r="A667" s="7">
        <v>137.74632546929428</v>
      </c>
      <c r="B667"/>
      <c r="C667"/>
      <c r="D667"/>
      <c r="E667" s="1"/>
    </row>
    <row r="668" spans="1:5" x14ac:dyDescent="0.25">
      <c r="A668" s="7">
        <v>136.38250046464779</v>
      </c>
      <c r="B668"/>
      <c r="C668"/>
      <c r="D668"/>
      <c r="E668" s="1"/>
    </row>
    <row r="669" spans="1:5" x14ac:dyDescent="0.25">
      <c r="A669" s="7">
        <v>135.0321786778691</v>
      </c>
      <c r="B669"/>
      <c r="C669"/>
      <c r="D669"/>
      <c r="E669" s="1"/>
    </row>
    <row r="670" spans="1:5" x14ac:dyDescent="0.25">
      <c r="A670" s="7">
        <v>133.69522641373177</v>
      </c>
      <c r="B670"/>
      <c r="C670"/>
      <c r="D670"/>
      <c r="E670" s="1"/>
    </row>
    <row r="671" spans="1:5" x14ac:dyDescent="0.25">
      <c r="A671" s="7">
        <v>132.37151130072453</v>
      </c>
      <c r="B671"/>
      <c r="C671"/>
      <c r="D671"/>
      <c r="E671" s="1"/>
    </row>
    <row r="672" spans="1:5" x14ac:dyDescent="0.25">
      <c r="A672" s="7">
        <v>131.06090227794508</v>
      </c>
      <c r="B672"/>
      <c r="C672"/>
      <c r="D672"/>
      <c r="E672" s="1"/>
    </row>
    <row r="673" spans="1:5" x14ac:dyDescent="0.25">
      <c r="A673" s="7">
        <v>129.76326958212383</v>
      </c>
      <c r="B673"/>
      <c r="C673"/>
      <c r="D673"/>
      <c r="E673" s="1"/>
    </row>
    <row r="674" spans="1:5" x14ac:dyDescent="0.25">
      <c r="A674" s="7">
        <v>128.47848473477606</v>
      </c>
      <c r="B674"/>
      <c r="C674"/>
      <c r="D674"/>
      <c r="E674" s="1"/>
    </row>
    <row r="675" spans="1:5" x14ac:dyDescent="0.25">
      <c r="A675" s="7">
        <v>127.20642052948125</v>
      </c>
      <c r="B675"/>
      <c r="C675"/>
      <c r="D675"/>
      <c r="E675" s="1"/>
    </row>
    <row r="676" spans="1:5" x14ac:dyDescent="0.25">
      <c r="A676" s="7">
        <v>125.94695101928836</v>
      </c>
      <c r="B676"/>
      <c r="C676"/>
      <c r="D676"/>
      <c r="E676" s="1"/>
    </row>
    <row r="677" spans="1:5" x14ac:dyDescent="0.25">
      <c r="A677" s="7">
        <v>124.6999515042459</v>
      </c>
      <c r="B677"/>
      <c r="C677"/>
      <c r="D677"/>
      <c r="E677" s="1"/>
    </row>
    <row r="678" spans="1:5" x14ac:dyDescent="0.25">
      <c r="A678" s="7">
        <v>123.46529851905535</v>
      </c>
      <c r="B678"/>
      <c r="C678"/>
      <c r="D678"/>
      <c r="E678" s="1"/>
    </row>
    <row r="679" spans="1:5" x14ac:dyDescent="0.25">
      <c r="A679" s="7">
        <v>122.24286982084688</v>
      </c>
      <c r="B679"/>
      <c r="C679"/>
      <c r="D679"/>
      <c r="E679" s="1"/>
    </row>
    <row r="680" spans="1:5" x14ac:dyDescent="0.25">
      <c r="A680" s="7">
        <v>121.03254437707612</v>
      </c>
      <c r="B680"/>
      <c r="C680"/>
      <c r="D680"/>
      <c r="E680" s="1"/>
    </row>
    <row r="681" spans="1:5" x14ac:dyDescent="0.25">
      <c r="A681" s="7">
        <v>119.83420235354072</v>
      </c>
      <c r="B681"/>
      <c r="C681"/>
      <c r="D681"/>
      <c r="E681" s="1"/>
    </row>
    <row r="682" spans="1:5" x14ac:dyDescent="0.25">
      <c r="A682" s="7">
        <v>118.64772510251557</v>
      </c>
      <c r="B682"/>
      <c r="C682"/>
      <c r="D682"/>
      <c r="E682" s="1"/>
    </row>
    <row r="683" spans="1:5" x14ac:dyDescent="0.25">
      <c r="A683" s="7">
        <v>117.47299515100551</v>
      </c>
      <c r="B683"/>
      <c r="C683"/>
      <c r="D683"/>
      <c r="E683" s="1"/>
    </row>
    <row r="684" spans="1:5" x14ac:dyDescent="0.25">
      <c r="A684" s="7">
        <v>116.30989618911435</v>
      </c>
      <c r="B684"/>
      <c r="C684"/>
      <c r="D684"/>
      <c r="E684" s="1"/>
    </row>
    <row r="685" spans="1:5" x14ac:dyDescent="0.25">
      <c r="A685" s="7">
        <v>115.15831305852906</v>
      </c>
      <c r="B685"/>
      <c r="C685"/>
      <c r="D685"/>
      <c r="E685" s="1"/>
    </row>
    <row r="686" spans="1:5" x14ac:dyDescent="0.25">
      <c r="A686" s="7">
        <v>114.01813174111788</v>
      </c>
      <c r="B686"/>
      <c r="C686"/>
      <c r="D686"/>
      <c r="E686" s="1"/>
    </row>
    <row r="687" spans="1:5" x14ac:dyDescent="0.25">
      <c r="A687" s="7">
        <v>112.88923934764146</v>
      </c>
      <c r="B687"/>
      <c r="C687"/>
      <c r="D687"/>
      <c r="E687" s="1"/>
    </row>
    <row r="688" spans="1:5" x14ac:dyDescent="0.25">
      <c r="A688" s="7">
        <v>111.77152410657571</v>
      </c>
      <c r="B688"/>
      <c r="C688"/>
      <c r="D688"/>
      <c r="E688" s="1"/>
    </row>
    <row r="689" spans="1:5" x14ac:dyDescent="0.25">
      <c r="A689" s="7">
        <v>110.66487535304526</v>
      </c>
      <c r="B689"/>
      <c r="C689"/>
      <c r="D689"/>
      <c r="E689" s="1"/>
    </row>
    <row r="690" spans="1:5" x14ac:dyDescent="0.25">
      <c r="A690" s="7">
        <v>109.56918351786659</v>
      </c>
      <c r="B690"/>
      <c r="C690"/>
      <c r="D690"/>
      <c r="E690" s="1"/>
    </row>
    <row r="691" spans="1:5" x14ac:dyDescent="0.25">
      <c r="A691" s="7">
        <v>108.4843401166996</v>
      </c>
      <c r="B691"/>
      <c r="C691"/>
      <c r="D691"/>
      <c r="E691" s="1"/>
    </row>
    <row r="692" spans="1:5" x14ac:dyDescent="0.25">
      <c r="A692" s="7">
        <v>107.41023773930654</v>
      </c>
      <c r="B692"/>
      <c r="C692"/>
      <c r="D692"/>
      <c r="E692" s="1"/>
    </row>
    <row r="693" spans="1:5" x14ac:dyDescent="0.25">
      <c r="A693" s="7">
        <v>106.34677003891737</v>
      </c>
      <c r="B693"/>
      <c r="C693"/>
      <c r="D693"/>
      <c r="E693" s="1"/>
    </row>
    <row r="694" spans="1:5" x14ac:dyDescent="0.25">
      <c r="A694" s="7">
        <v>105.29383172170037</v>
      </c>
      <c r="B694"/>
      <c r="C694"/>
      <c r="D694"/>
      <c r="E694" s="1"/>
    </row>
    <row r="695" spans="1:5" x14ac:dyDescent="0.25">
      <c r="A695" s="7">
        <v>104.251318536337</v>
      </c>
      <c r="B695"/>
      <c r="C695"/>
      <c r="D695"/>
      <c r="E695" s="1"/>
    </row>
    <row r="696" spans="1:5" x14ac:dyDescent="0.25">
      <c r="A696" s="7">
        <v>103.21912726369999</v>
      </c>
      <c r="B696"/>
      <c r="C696"/>
      <c r="D696"/>
      <c r="E696" s="1"/>
    </row>
    <row r="697" spans="1:5" x14ac:dyDescent="0.25">
      <c r="A697" s="7">
        <v>102.19715570663365</v>
      </c>
      <c r="B697"/>
      <c r="C697"/>
      <c r="D697"/>
      <c r="E697" s="1"/>
    </row>
    <row r="698" spans="1:5" x14ac:dyDescent="0.25">
      <c r="A698" s="7">
        <v>101.1853026798353</v>
      </c>
      <c r="B698"/>
      <c r="C698"/>
      <c r="D698"/>
      <c r="E698" s="1"/>
    </row>
    <row r="699" spans="1:5" x14ac:dyDescent="0.25">
      <c r="A699" s="7">
        <v>100.18346799983694</v>
      </c>
      <c r="B699"/>
      <c r="C699"/>
      <c r="D699"/>
      <c r="E699" s="1"/>
    </row>
    <row r="700" spans="1:5" x14ac:dyDescent="0.25">
      <c r="A700" s="7">
        <v>99.19155247508607</v>
      </c>
      <c r="B700"/>
      <c r="C700"/>
      <c r="D700"/>
      <c r="E700" s="1"/>
    </row>
    <row r="701" spans="1:5" x14ac:dyDescent="0.25">
      <c r="A701" s="7">
        <v>98.209457896124817</v>
      </c>
      <c r="B701"/>
      <c r="C701"/>
      <c r="D701"/>
      <c r="E701" s="1"/>
    </row>
    <row r="702" spans="1:5" x14ac:dyDescent="0.25">
      <c r="A702" s="7">
        <v>97.23708702586616</v>
      </c>
      <c r="B702"/>
      <c r="C702"/>
      <c r="D702"/>
      <c r="E702" s="1"/>
    </row>
    <row r="703" spans="1:5" x14ac:dyDescent="0.25">
      <c r="A703" s="7">
        <v>96.274343589966492</v>
      </c>
      <c r="B703"/>
      <c r="C703"/>
      <c r="D703"/>
      <c r="E703" s="1"/>
    </row>
    <row r="704" spans="1:5" x14ac:dyDescent="0.25">
      <c r="A704" s="7">
        <v>95.321132267293549</v>
      </c>
      <c r="B704"/>
      <c r="C704"/>
      <c r="D704"/>
      <c r="E704" s="1"/>
    </row>
    <row r="705" spans="1:5" x14ac:dyDescent="0.25">
      <c r="A705" s="7">
        <v>94.377358680488669</v>
      </c>
      <c r="B705"/>
      <c r="C705"/>
      <c r="D705"/>
      <c r="E705" s="1"/>
    </row>
    <row r="706" spans="1:5" x14ac:dyDescent="0.25">
      <c r="A706" s="7">
        <v>93.442929386622438</v>
      </c>
      <c r="B706"/>
      <c r="C706"/>
      <c r="D706"/>
      <c r="E706" s="1"/>
    </row>
    <row r="707" spans="1:5" x14ac:dyDescent="0.25">
      <c r="A707" s="7">
        <v>92.517751867943005</v>
      </c>
      <c r="B707"/>
      <c r="C707"/>
      <c r="D707"/>
      <c r="E707" s="1"/>
    </row>
    <row r="708" spans="1:5" x14ac:dyDescent="0.25">
      <c r="A708" s="7">
        <v>91.601734522715844</v>
      </c>
      <c r="B708"/>
      <c r="C708"/>
      <c r="D708"/>
      <c r="E708" s="1"/>
    </row>
    <row r="709" spans="1:5" x14ac:dyDescent="0.25">
      <c r="A709" s="7">
        <v>90.694786656154307</v>
      </c>
      <c r="B709"/>
      <c r="C709"/>
      <c r="D709"/>
      <c r="E709" s="1"/>
    </row>
    <row r="710" spans="1:5" x14ac:dyDescent="0.25">
      <c r="A710" s="7">
        <v>89.796818471439906</v>
      </c>
      <c r="B710"/>
      <c r="C710"/>
      <c r="D710"/>
      <c r="E710" s="1"/>
    </row>
    <row r="711" spans="1:5" x14ac:dyDescent="0.25">
      <c r="A711" s="7">
        <v>88.907741060831583</v>
      </c>
      <c r="B711"/>
      <c r="C711"/>
      <c r="D711"/>
      <c r="E711" s="1"/>
    </row>
    <row r="712" spans="1:5" x14ac:dyDescent="0.25">
      <c r="A712" s="7">
        <v>88.027466396862948</v>
      </c>
      <c r="B712"/>
      <c r="C712"/>
      <c r="D712"/>
      <c r="E712" s="1"/>
    </row>
    <row r="713" spans="1:5" x14ac:dyDescent="0.25">
      <c r="A713" s="7">
        <v>87.155907323626678</v>
      </c>
      <c r="B713"/>
      <c r="C713"/>
      <c r="D713"/>
      <c r="E713" s="1"/>
    </row>
    <row r="714" spans="1:5" x14ac:dyDescent="0.25">
      <c r="A714" s="7">
        <v>86.292977548145231</v>
      </c>
      <c r="B714"/>
      <c r="C714"/>
      <c r="D714"/>
      <c r="E714" s="1"/>
    </row>
    <row r="715" spans="1:5" x14ac:dyDescent="0.25">
      <c r="A715" s="7">
        <v>85.438591631826966</v>
      </c>
      <c r="B715"/>
      <c r="C715"/>
      <c r="D715"/>
      <c r="E715" s="1"/>
    </row>
    <row r="716" spans="1:5" x14ac:dyDescent="0.25">
      <c r="A716" s="7">
        <v>84.592664982006895</v>
      </c>
      <c r="B716"/>
      <c r="C716"/>
      <c r="D716"/>
      <c r="E716" s="1"/>
    </row>
    <row r="717" spans="1:5" x14ac:dyDescent="0.25">
      <c r="A717" s="7">
        <v>83.755113843571181</v>
      </c>
      <c r="B717"/>
      <c r="C717"/>
      <c r="D717"/>
      <c r="E717" s="1"/>
    </row>
    <row r="718" spans="1:5" x14ac:dyDescent="0.25">
      <c r="A718" s="7">
        <v>82.925855290664529</v>
      </c>
      <c r="B718"/>
      <c r="C718"/>
      <c r="D718"/>
      <c r="E718" s="1"/>
    </row>
    <row r="719" spans="1:5" x14ac:dyDescent="0.25">
      <c r="A719" s="7">
        <v>82.104807218479735</v>
      </c>
      <c r="B719"/>
      <c r="C719"/>
      <c r="D719"/>
      <c r="E719" s="1"/>
    </row>
    <row r="720" spans="1:5" x14ac:dyDescent="0.25">
      <c r="A720" s="7">
        <v>81.291888335128448</v>
      </c>
      <c r="B720"/>
      <c r="C720"/>
      <c r="D720"/>
      <c r="E720" s="1"/>
    </row>
    <row r="721" spans="1:5" x14ac:dyDescent="0.25">
      <c r="A721" s="7">
        <v>80.487018153592516</v>
      </c>
      <c r="B721"/>
      <c r="C721"/>
      <c r="D721"/>
      <c r="E721" s="1"/>
    </row>
    <row r="722" spans="1:5" x14ac:dyDescent="0.25">
      <c r="A722" s="7">
        <v>79.690116983754962</v>
      </c>
      <c r="B722"/>
      <c r="C722"/>
      <c r="D722"/>
      <c r="E722" s="1"/>
    </row>
    <row r="723" spans="1:5" x14ac:dyDescent="0.25">
      <c r="A723" s="7">
        <v>78.901105924509864</v>
      </c>
      <c r="B723"/>
      <c r="C723"/>
      <c r="D723"/>
      <c r="E723" s="1"/>
    </row>
    <row r="724" spans="1:5" x14ac:dyDescent="0.25">
      <c r="A724" s="7">
        <v>78.119906855950362</v>
      </c>
      <c r="B724"/>
      <c r="C724"/>
      <c r="D724"/>
      <c r="E724" s="1"/>
    </row>
    <row r="725" spans="1:5" x14ac:dyDescent="0.25">
      <c r="A725" s="7">
        <v>77.346442431634017</v>
      </c>
      <c r="B725"/>
      <c r="C725"/>
      <c r="D725"/>
      <c r="E725" s="1"/>
    </row>
    <row r="726" spans="1:5" x14ac:dyDescent="0.25">
      <c r="A726" s="7">
        <v>76.580636070924768</v>
      </c>
      <c r="B726"/>
      <c r="C726"/>
      <c r="D726"/>
      <c r="E726" s="1"/>
    </row>
    <row r="727" spans="1:5" x14ac:dyDescent="0.25">
      <c r="A727" s="7">
        <v>75.822411951410658</v>
      </c>
      <c r="B727"/>
      <c r="C727"/>
      <c r="D727"/>
      <c r="E727" s="1"/>
    </row>
    <row r="728" spans="1:5" x14ac:dyDescent="0.25">
      <c r="A728" s="7">
        <v>75.071695001396691</v>
      </c>
      <c r="B728"/>
      <c r="C728"/>
      <c r="D728"/>
      <c r="E728" s="1"/>
    </row>
    <row r="729" spans="1:5" x14ac:dyDescent="0.25">
      <c r="A729" s="7">
        <v>74.328410892471965</v>
      </c>
      <c r="B729"/>
      <c r="C729"/>
      <c r="D729"/>
      <c r="E729" s="1"/>
    </row>
    <row r="730" spans="1:5" x14ac:dyDescent="0.25">
      <c r="A730" s="7">
        <v>73.592486032150461</v>
      </c>
      <c r="B730"/>
      <c r="C730"/>
      <c r="D730"/>
      <c r="E730" s="1"/>
    </row>
    <row r="731" spans="1:5" x14ac:dyDescent="0.25">
      <c r="A731" s="7">
        <v>72.863847556584616</v>
      </c>
      <c r="B731"/>
      <c r="C731"/>
      <c r="D731"/>
      <c r="E731" s="1"/>
    </row>
    <row r="732" spans="1:5" x14ac:dyDescent="0.25">
      <c r="A732" s="7">
        <v>72.14242332335111</v>
      </c>
      <c r="B732"/>
      <c r="C732"/>
      <c r="D732"/>
      <c r="E732" s="1"/>
    </row>
    <row r="733" spans="1:5" x14ac:dyDescent="0.25">
      <c r="A733" s="7">
        <v>71.428141904308035</v>
      </c>
      <c r="B733"/>
      <c r="C733"/>
      <c r="D733"/>
      <c r="E733" s="1"/>
    </row>
    <row r="734" spans="1:5" x14ac:dyDescent="0.25">
      <c r="A734" s="7">
        <v>70.720932578522806</v>
      </c>
      <c r="B734"/>
      <c r="C734"/>
      <c r="D734"/>
      <c r="E734" s="1"/>
    </row>
    <row r="735" spans="1:5" x14ac:dyDescent="0.25">
      <c r="A735" s="7">
        <v>70.020725325270107</v>
      </c>
      <c r="B735"/>
      <c r="C735"/>
      <c r="D735"/>
      <c r="E735" s="1"/>
    </row>
    <row r="736" spans="1:5" x14ac:dyDescent="0.25">
      <c r="A736" s="7">
        <v>69.32745081709912</v>
      </c>
      <c r="B736"/>
      <c r="C736"/>
      <c r="D736"/>
      <c r="E736" s="1"/>
    </row>
    <row r="737" spans="1:5" x14ac:dyDescent="0.25">
      <c r="A737" s="7">
        <v>68.641040412969431</v>
      </c>
      <c r="B737"/>
      <c r="C737"/>
      <c r="D737"/>
      <c r="E737" s="1"/>
    </row>
    <row r="738" spans="1:5" x14ac:dyDescent="0.25">
      <c r="A738" s="7">
        <v>67.961426151454887</v>
      </c>
      <c r="B738"/>
      <c r="C738"/>
      <c r="D738"/>
      <c r="E738" s="1"/>
    </row>
    <row r="739" spans="1:5" x14ac:dyDescent="0.25">
      <c r="A739" s="7">
        <v>67.288540744014739</v>
      </c>
      <c r="B739"/>
      <c r="C739"/>
      <c r="D739"/>
      <c r="E739" s="1"/>
    </row>
    <row r="740" spans="1:5" x14ac:dyDescent="0.25">
      <c r="A740" s="7">
        <v>66.622317568331425</v>
      </c>
      <c r="B740"/>
      <c r="C740"/>
      <c r="D740"/>
      <c r="E740" s="1"/>
    </row>
    <row r="741" spans="1:5" x14ac:dyDescent="0.25">
      <c r="A741" s="7">
        <v>65.962690661714277</v>
      </c>
      <c r="B741"/>
      <c r="C741"/>
      <c r="D741"/>
      <c r="E741" s="1"/>
    </row>
    <row r="742" spans="1:5" x14ac:dyDescent="0.25">
      <c r="A742" s="7">
        <v>65.30959471456859</v>
      </c>
      <c r="B742"/>
      <c r="C742"/>
      <c r="D742"/>
      <c r="E742" s="1"/>
    </row>
    <row r="743" spans="1:5" x14ac:dyDescent="0.25">
      <c r="A743" s="7">
        <v>64.662965063929292</v>
      </c>
      <c r="B743"/>
      <c r="C743"/>
      <c r="D743"/>
      <c r="E743" s="1"/>
    </row>
    <row r="744" spans="1:5" x14ac:dyDescent="0.25">
      <c r="A744" s="7">
        <v>64.022737687058708</v>
      </c>
      <c r="B744"/>
      <c r="C744"/>
      <c r="D744"/>
      <c r="E744" s="1"/>
    </row>
    <row r="745" spans="1:5" x14ac:dyDescent="0.25">
      <c r="A745" s="7">
        <v>63.388849195107632</v>
      </c>
      <c r="B745"/>
      <c r="C745"/>
      <c r="D745"/>
      <c r="E745" s="1"/>
    </row>
    <row r="746" spans="1:5" x14ac:dyDescent="0.25">
      <c r="A746" s="7">
        <v>62.761236826839237</v>
      </c>
      <c r="B746"/>
      <c r="C746"/>
      <c r="D746"/>
      <c r="E746" s="1"/>
    </row>
    <row r="747" spans="1:5" x14ac:dyDescent="0.25">
      <c r="A747" s="7">
        <v>62.139838442415083</v>
      </c>
      <c r="B747"/>
      <c r="C747"/>
      <c r="D747"/>
      <c r="E747" s="1"/>
    </row>
    <row r="748" spans="1:5" x14ac:dyDescent="0.25">
      <c r="A748" s="7">
        <v>61.52459251724266</v>
      </c>
      <c r="B748"/>
      <c r="C748"/>
      <c r="D748"/>
      <c r="E748" s="1"/>
    </row>
    <row r="749" spans="1:5" x14ac:dyDescent="0.25">
      <c r="A749" s="7">
        <v>60.915438135883818</v>
      </c>
      <c r="B749"/>
      <c r="C749"/>
      <c r="D749"/>
      <c r="E749" s="1"/>
    </row>
    <row r="750" spans="1:5" x14ac:dyDescent="0.25">
      <c r="A750" s="7">
        <v>60.31231498602358</v>
      </c>
      <c r="B750"/>
      <c r="C750"/>
      <c r="D750"/>
      <c r="E750" s="1"/>
    </row>
    <row r="751" spans="1:5" x14ac:dyDescent="0.25">
      <c r="A751" s="7">
        <v>59.715163352498593</v>
      </c>
      <c r="B751"/>
      <c r="C751"/>
      <c r="D751"/>
      <c r="E751" s="1"/>
    </row>
    <row r="752" spans="1:5" x14ac:dyDescent="0.25">
      <c r="A752" s="7">
        <v>59.123924111384746</v>
      </c>
      <c r="B752"/>
      <c r="C752"/>
      <c r="D752"/>
      <c r="E752" s="1"/>
    </row>
    <row r="753" spans="1:5" x14ac:dyDescent="0.25">
      <c r="A753" s="7">
        <v>58.538538724143315</v>
      </c>
      <c r="B753"/>
      <c r="C753"/>
      <c r="D753"/>
      <c r="E753" s="1"/>
    </row>
    <row r="754" spans="1:5" x14ac:dyDescent="0.25">
      <c r="A754" s="7">
        <v>57.958949231825066</v>
      </c>
      <c r="B754"/>
      <c r="C754"/>
      <c r="D754"/>
      <c r="E754" s="1"/>
    </row>
    <row r="755" spans="1:5" x14ac:dyDescent="0.25">
      <c r="A755" s="7">
        <v>57.385098249331747</v>
      </c>
      <c r="B755"/>
      <c r="C755"/>
      <c r="D755"/>
      <c r="E755" s="1"/>
    </row>
    <row r="756" spans="1:5" x14ac:dyDescent="0.25">
      <c r="A756" s="7">
        <v>56.816928959734405</v>
      </c>
      <c r="B756"/>
      <c r="C756"/>
      <c r="D756"/>
      <c r="E756" s="1"/>
    </row>
    <row r="757" spans="1:5" x14ac:dyDescent="0.25">
      <c r="A757" s="7">
        <v>56.254385108647924</v>
      </c>
      <c r="B757"/>
      <c r="C757"/>
      <c r="D757"/>
      <c r="E757" s="1"/>
    </row>
    <row r="758" spans="1:5" x14ac:dyDescent="0.25">
      <c r="A758" s="7">
        <v>55.697410998661312</v>
      </c>
      <c r="B758"/>
      <c r="C758"/>
      <c r="D758"/>
      <c r="E758" s="1"/>
    </row>
    <row r="759" spans="1:5" x14ac:dyDescent="0.25">
      <c r="A759" s="7">
        <v>55.145951483823083</v>
      </c>
      <c r="B759"/>
      <c r="C759"/>
      <c r="D759"/>
      <c r="E759" s="1"/>
    </row>
    <row r="760" spans="1:5" x14ac:dyDescent="0.25">
      <c r="A760" s="7">
        <v>54.599951964181273</v>
      </c>
      <c r="B760"/>
      <c r="C760"/>
      <c r="D760"/>
      <c r="E760" s="1"/>
    </row>
    <row r="761" spans="1:5" x14ac:dyDescent="0.25">
      <c r="A761" s="7">
        <v>54.059358380377496</v>
      </c>
      <c r="B761"/>
      <c r="C761"/>
      <c r="D761"/>
      <c r="E761" s="1"/>
    </row>
    <row r="762" spans="1:5" x14ac:dyDescent="0.25">
      <c r="A762" s="7">
        <v>53.524117208294548</v>
      </c>
      <c r="B762"/>
      <c r="C762"/>
      <c r="D762"/>
      <c r="E762" s="1"/>
    </row>
    <row r="763" spans="1:5" x14ac:dyDescent="0.25">
      <c r="A763" s="7">
        <v>52.994175453756981</v>
      </c>
      <c r="B763"/>
      <c r="C763"/>
      <c r="D763"/>
      <c r="E763" s="1"/>
    </row>
    <row r="764" spans="1:5" x14ac:dyDescent="0.25">
      <c r="A764" s="7">
        <v>52.469480647284136</v>
      </c>
      <c r="B764"/>
      <c r="C764"/>
      <c r="D764"/>
      <c r="E764" s="1"/>
    </row>
    <row r="765" spans="1:5" x14ac:dyDescent="0.25">
      <c r="A765" s="7">
        <v>51.949980838895186</v>
      </c>
      <c r="B765"/>
      <c r="C765"/>
      <c r="D765"/>
      <c r="E765" s="1"/>
    </row>
    <row r="766" spans="1:5" x14ac:dyDescent="0.25">
      <c r="A766" s="7">
        <v>51.435624592965532</v>
      </c>
      <c r="B766"/>
      <c r="C766"/>
      <c r="D766"/>
      <c r="E766" s="1"/>
    </row>
    <row r="767" spans="1:5" x14ac:dyDescent="0.25">
      <c r="A767" s="7">
        <v>50.926360983134188</v>
      </c>
      <c r="B767"/>
      <c r="C767"/>
      <c r="D767"/>
      <c r="E767" s="1"/>
    </row>
    <row r="768" spans="1:5" x14ac:dyDescent="0.25">
      <c r="A768" s="7">
        <v>50.422139587261569</v>
      </c>
      <c r="B768"/>
      <c r="C768"/>
      <c r="D768"/>
      <c r="E768" s="1"/>
    </row>
    <row r="769" spans="1:5" x14ac:dyDescent="0.25">
      <c r="A769" s="7">
        <v>49.922910482437196</v>
      </c>
      <c r="B769"/>
      <c r="C769"/>
      <c r="D769"/>
      <c r="E769" s="1"/>
    </row>
    <row r="770" spans="1:5" x14ac:dyDescent="0.25">
      <c r="A770" s="7">
        <v>49.428624240036825</v>
      </c>
      <c r="B770"/>
      <c r="C770"/>
      <c r="D770"/>
      <c r="E770" s="1"/>
    </row>
    <row r="771" spans="1:5" x14ac:dyDescent="0.25">
      <c r="A771" s="7">
        <v>48.93923192082854</v>
      </c>
      <c r="B771"/>
      <c r="C771"/>
      <c r="D771"/>
      <c r="E771" s="1"/>
    </row>
    <row r="772" spans="1:5" x14ac:dyDescent="0.25">
      <c r="A772" s="7">
        <v>48.454685070127269</v>
      </c>
      <c r="B772"/>
      <c r="C772"/>
      <c r="D772"/>
      <c r="E772" s="1"/>
    </row>
    <row r="773" spans="1:5" x14ac:dyDescent="0.25">
      <c r="A773" s="7">
        <v>47.974935712997294</v>
      </c>
      <c r="B773"/>
      <c r="C773"/>
      <c r="D773"/>
      <c r="E773" s="1"/>
    </row>
    <row r="774" spans="1:5" x14ac:dyDescent="0.25">
      <c r="A774" s="7">
        <v>47.499936349502271</v>
      </c>
      <c r="B774"/>
      <c r="C774"/>
      <c r="D774"/>
      <c r="E774" s="1"/>
    </row>
    <row r="775" spans="1:5" x14ac:dyDescent="0.25">
      <c r="A775" s="7">
        <v>47.029639950002249</v>
      </c>
      <c r="B775"/>
      <c r="C775"/>
      <c r="D775"/>
      <c r="E775" s="1"/>
    </row>
    <row r="776" spans="1:5" x14ac:dyDescent="0.25">
      <c r="A776" s="7">
        <v>46.563999950497276</v>
      </c>
      <c r="B776"/>
      <c r="C776"/>
      <c r="D776"/>
      <c r="E776" s="1"/>
    </row>
    <row r="777" spans="1:5" x14ac:dyDescent="0.25">
      <c r="A777" s="7">
        <v>46.102970248017108</v>
      </c>
      <c r="B777"/>
      <c r="C777"/>
      <c r="D777"/>
      <c r="E777" s="1"/>
    </row>
    <row r="778" spans="1:5" x14ac:dyDescent="0.25">
      <c r="A778" s="7">
        <v>45.646505196056545</v>
      </c>
      <c r="B778"/>
      <c r="C778"/>
      <c r="D778"/>
      <c r="E778" s="1"/>
    </row>
    <row r="779" spans="1:5" x14ac:dyDescent="0.25">
      <c r="A779" s="7">
        <v>45.194559600055982</v>
      </c>
      <c r="B779"/>
      <c r="C779"/>
      <c r="D779"/>
      <c r="E779" s="1"/>
    </row>
    <row r="780" spans="1:5" x14ac:dyDescent="0.25">
      <c r="A780" s="7">
        <v>44.747088712926711</v>
      </c>
      <c r="B780"/>
      <c r="C780"/>
      <c r="D780"/>
      <c r="E780" s="1"/>
    </row>
    <row r="781" spans="1:5" x14ac:dyDescent="0.25">
      <c r="A781" s="7">
        <v>44.304048230620509</v>
      </c>
      <c r="B781"/>
      <c r="C781"/>
      <c r="D781"/>
      <c r="E781" s="1"/>
    </row>
    <row r="782" spans="1:5" x14ac:dyDescent="0.25">
      <c r="A782" s="7">
        <v>43.865394287743079</v>
      </c>
      <c r="B782"/>
      <c r="C782"/>
      <c r="D782"/>
      <c r="E782" s="1"/>
    </row>
    <row r="783" spans="1:5" x14ac:dyDescent="0.25">
      <c r="A783" s="7">
        <v>43.431083453210967</v>
      </c>
      <c r="B783"/>
      <c r="C783"/>
      <c r="D783"/>
      <c r="E783" s="1"/>
    </row>
    <row r="784" spans="1:5" x14ac:dyDescent="0.25">
      <c r="A784" s="7">
        <v>43.001072725951452</v>
      </c>
      <c r="B784"/>
      <c r="C784"/>
      <c r="D784"/>
      <c r="E784" s="1"/>
    </row>
    <row r="785" spans="1:5" x14ac:dyDescent="0.25">
      <c r="A785" s="7">
        <v>42.575319530645004</v>
      </c>
      <c r="B785"/>
      <c r="C785"/>
      <c r="D785"/>
      <c r="E785" s="1"/>
    </row>
    <row r="786" spans="1:5" x14ac:dyDescent="0.25">
      <c r="A786" s="7">
        <v>42.153781713509908</v>
      </c>
      <c r="B786"/>
      <c r="C786"/>
      <c r="D786"/>
      <c r="E786" s="1"/>
    </row>
    <row r="787" spans="1:5" x14ac:dyDescent="0.25">
      <c r="A787" s="7">
        <v>41.73641753812862</v>
      </c>
      <c r="B787"/>
      <c r="C787"/>
      <c r="D787"/>
      <c r="E787" s="1"/>
    </row>
    <row r="788" spans="1:5" x14ac:dyDescent="0.25">
      <c r="A788" s="7">
        <v>41.323185681315465</v>
      </c>
      <c r="B788"/>
      <c r="C788"/>
      <c r="D788"/>
      <c r="E788" s="1"/>
    </row>
    <row r="789" spans="1:5" x14ac:dyDescent="0.25">
      <c r="A789" s="7">
        <v>40.914045229025213</v>
      </c>
      <c r="B789"/>
      <c r="C789"/>
      <c r="D789"/>
      <c r="E789" s="1"/>
    </row>
    <row r="790" spans="1:5" x14ac:dyDescent="0.25">
      <c r="A790" s="7">
        <v>40.508955672302193</v>
      </c>
      <c r="B790"/>
      <c r="C790"/>
      <c r="D790"/>
      <c r="E790" s="1"/>
    </row>
    <row r="791" spans="1:5" x14ac:dyDescent="0.25">
      <c r="A791" s="7">
        <v>40.107876903269499</v>
      </c>
      <c r="B791"/>
      <c r="C791"/>
      <c r="D791"/>
      <c r="E791" s="1"/>
    </row>
    <row r="792" spans="1:5" x14ac:dyDescent="0.25">
      <c r="A792" s="7">
        <v>39.710769211157917</v>
      </c>
      <c r="B792"/>
      <c r="C792"/>
      <c r="D792"/>
      <c r="E792" s="1"/>
    </row>
    <row r="793" spans="1:5" x14ac:dyDescent="0.25">
      <c r="A793" s="7">
        <v>39.317593278374176</v>
      </c>
      <c r="B793"/>
      <c r="C793"/>
      <c r="D793"/>
      <c r="E793" s="1"/>
    </row>
    <row r="794" spans="1:5" x14ac:dyDescent="0.25">
      <c r="A794" s="7">
        <v>38.928310176608093</v>
      </c>
      <c r="B794"/>
      <c r="C794"/>
      <c r="D794"/>
      <c r="E794" s="1"/>
    </row>
    <row r="795" spans="1:5" x14ac:dyDescent="0.25">
      <c r="A795" s="7">
        <v>38.542881362978306</v>
      </c>
      <c r="B795"/>
      <c r="C795"/>
      <c r="D795"/>
      <c r="E795" s="1"/>
    </row>
    <row r="796" spans="1:5" x14ac:dyDescent="0.25">
      <c r="A796" s="7">
        <v>38.161268676216146</v>
      </c>
      <c r="B796"/>
      <c r="C796"/>
      <c r="D796"/>
      <c r="E796" s="1"/>
    </row>
    <row r="797" spans="1:5" x14ac:dyDescent="0.25">
      <c r="A797" s="7">
        <v>37.783434332887275</v>
      </c>
      <c r="B797"/>
      <c r="C797"/>
      <c r="D797"/>
      <c r="E797" s="1"/>
    </row>
    <row r="798" spans="1:5" x14ac:dyDescent="0.25">
      <c r="A798" s="7">
        <v>37.409340923650767</v>
      </c>
      <c r="B798"/>
      <c r="C798"/>
      <c r="D798"/>
      <c r="E798" s="1"/>
    </row>
    <row r="799" spans="1:5" x14ac:dyDescent="0.25">
      <c r="A799" s="7">
        <v>37.038951409555217</v>
      </c>
      <c r="B799"/>
      <c r="C799"/>
      <c r="D799"/>
      <c r="E799" s="1"/>
    </row>
    <row r="800" spans="1:5" x14ac:dyDescent="0.25">
      <c r="A800" s="7">
        <v>36.672229118371504</v>
      </c>
      <c r="B800"/>
      <c r="C800"/>
      <c r="D800"/>
      <c r="E800" s="1"/>
    </row>
    <row r="801" spans="1:5" x14ac:dyDescent="0.25">
      <c r="A801" s="7">
        <v>36.309137740961887</v>
      </c>
      <c r="B801"/>
      <c r="C801"/>
      <c r="D801"/>
      <c r="E801" s="1"/>
    </row>
    <row r="802" spans="1:5" x14ac:dyDescent="0.25">
      <c r="A802" s="7">
        <v>35.949641327685036</v>
      </c>
      <c r="B802"/>
      <c r="C802"/>
      <c r="D802"/>
      <c r="E802" s="1"/>
    </row>
    <row r="803" spans="1:5" x14ac:dyDescent="0.25">
      <c r="A803" s="7">
        <v>35.593704284836669</v>
      </c>
      <c r="B803"/>
      <c r="C803"/>
      <c r="D803"/>
      <c r="E803" s="1"/>
    </row>
    <row r="804" spans="1:5" x14ac:dyDescent="0.25">
      <c r="A804" s="7">
        <v>35.241291371125413</v>
      </c>
      <c r="B804"/>
      <c r="C804"/>
      <c r="D804"/>
      <c r="E804" s="1"/>
    </row>
    <row r="805" spans="1:5" x14ac:dyDescent="0.25">
      <c r="A805" s="7">
        <v>34.892367694183577</v>
      </c>
      <c r="B805"/>
      <c r="C805"/>
      <c r="D805"/>
      <c r="E805" s="1"/>
    </row>
    <row r="806" spans="1:5" x14ac:dyDescent="0.25">
      <c r="A806" s="7">
        <v>34.546898707112454</v>
      </c>
      <c r="B806"/>
      <c r="C806"/>
      <c r="D806"/>
      <c r="E806" s="1"/>
    </row>
    <row r="807" spans="1:5" x14ac:dyDescent="0.25">
      <c r="A807" s="7">
        <v>34.204850205061838</v>
      </c>
      <c r="B807"/>
      <c r="C807"/>
      <c r="D807"/>
      <c r="E807" s="1"/>
    </row>
    <row r="808" spans="1:5" x14ac:dyDescent="0.25">
      <c r="A808" s="7">
        <v>33.866188321843403</v>
      </c>
      <c r="B808"/>
      <c r="C808"/>
      <c r="D808"/>
      <c r="E808" s="1"/>
    </row>
    <row r="809" spans="1:5" x14ac:dyDescent="0.25">
      <c r="A809" s="7">
        <v>33.530879526577628</v>
      </c>
      <c r="B809"/>
      <c r="C809"/>
      <c r="D809"/>
      <c r="E809" s="1"/>
    </row>
    <row r="810" spans="1:5" x14ac:dyDescent="0.25">
      <c r="A810" s="7">
        <v>33.198890620373888</v>
      </c>
      <c r="B810"/>
      <c r="C810"/>
      <c r="D810"/>
      <c r="E810" s="1"/>
    </row>
    <row r="811" spans="1:5" x14ac:dyDescent="0.25">
      <c r="A811" s="7">
        <v>32.870188733043456</v>
      </c>
      <c r="B811"/>
      <c r="C811"/>
      <c r="D811"/>
      <c r="E811" s="1"/>
    </row>
    <row r="812" spans="1:5" x14ac:dyDescent="0.25">
      <c r="A812" s="7">
        <v>32.544741319845002</v>
      </c>
      <c r="B812"/>
      <c r="C812"/>
      <c r="D812"/>
      <c r="E812" s="1"/>
    </row>
    <row r="813" spans="1:5" x14ac:dyDescent="0.25">
      <c r="A813" s="7">
        <v>32.22251615826238</v>
      </c>
      <c r="B813"/>
      <c r="C813"/>
      <c r="D813"/>
      <c r="E813" s="1"/>
    </row>
    <row r="814" spans="1:5" x14ac:dyDescent="0.25">
      <c r="A814" s="7">
        <v>31.903481344814235</v>
      </c>
      <c r="B814"/>
      <c r="C814"/>
      <c r="D814"/>
      <c r="E814" s="1"/>
    </row>
    <row r="815" spans="1:5" x14ac:dyDescent="0.25">
      <c r="A815" s="7">
        <v>31.587605291895283</v>
      </c>
      <c r="B815"/>
      <c r="C815"/>
      <c r="D815"/>
      <c r="E815" s="1"/>
    </row>
    <row r="816" spans="1:5" x14ac:dyDescent="0.25">
      <c r="A816" s="7">
        <v>31.274856724648796</v>
      </c>
      <c r="B816"/>
      <c r="C816"/>
      <c r="D816"/>
      <c r="E816" s="1"/>
    </row>
    <row r="817" spans="1:5" x14ac:dyDescent="0.25">
      <c r="A817" s="7">
        <v>30.965204677870094</v>
      </c>
      <c r="B817"/>
      <c r="C817"/>
      <c r="D817"/>
      <c r="E817" s="1"/>
    </row>
    <row r="818" spans="1:5" x14ac:dyDescent="0.25">
      <c r="A818" s="7">
        <v>30.658618492940686</v>
      </c>
      <c r="B818"/>
      <c r="C818"/>
      <c r="D818"/>
      <c r="E818" s="1"/>
    </row>
    <row r="819" spans="1:5" x14ac:dyDescent="0.25">
      <c r="A819" s="7">
        <v>30.355067814792758</v>
      </c>
      <c r="B819"/>
      <c r="C819"/>
      <c r="D819"/>
      <c r="E819" s="1"/>
    </row>
    <row r="820" spans="1:5" x14ac:dyDescent="0.25">
      <c r="A820" s="7">
        <v>30.054522588903719</v>
      </c>
      <c r="B820"/>
      <c r="C820"/>
      <c r="D820"/>
      <c r="E820" s="1"/>
    </row>
    <row r="821" spans="1:5" x14ac:dyDescent="0.25">
      <c r="A821" s="7">
        <v>29.756953058320512</v>
      </c>
      <c r="B821"/>
      <c r="C821"/>
      <c r="D821"/>
      <c r="E821" s="1"/>
    </row>
    <row r="822" spans="1:5" x14ac:dyDescent="0.25">
      <c r="A822" s="7">
        <v>29.462329760713377</v>
      </c>
      <c r="B822"/>
      <c r="C822"/>
      <c r="D822"/>
      <c r="E822" s="1"/>
    </row>
    <row r="823" spans="1:5" x14ac:dyDescent="0.25">
      <c r="A823" s="7">
        <v>29.17062352545879</v>
      </c>
      <c r="B823"/>
      <c r="C823"/>
      <c r="D823"/>
      <c r="E823" s="1"/>
    </row>
    <row r="824" spans="1:5" x14ac:dyDescent="0.25">
      <c r="A824" s="7">
        <v>28.881805470751278</v>
      </c>
      <c r="B824"/>
      <c r="C824"/>
      <c r="D824"/>
      <c r="E824" s="1"/>
    </row>
    <row r="825" spans="1:5" x14ac:dyDescent="0.25">
      <c r="A825" s="7">
        <v>28.595847000743838</v>
      </c>
      <c r="B825"/>
      <c r="C825"/>
      <c r="D825"/>
      <c r="E825" s="1"/>
    </row>
    <row r="826" spans="1:5" x14ac:dyDescent="0.25">
      <c r="A826" s="7">
        <v>28.312719802716671</v>
      </c>
      <c r="B826"/>
      <c r="C826"/>
      <c r="D826"/>
      <c r="E826" s="1"/>
    </row>
    <row r="827" spans="1:5" x14ac:dyDescent="0.25">
      <c r="A827" s="7">
        <v>28.032395844273932</v>
      </c>
      <c r="B827"/>
      <c r="C827"/>
      <c r="D827"/>
      <c r="E827" s="1"/>
    </row>
    <row r="828" spans="1:5" x14ac:dyDescent="0.25">
      <c r="A828" s="7">
        <v>27.75484737056825</v>
      </c>
      <c r="B828"/>
      <c r="C828"/>
      <c r="D828"/>
      <c r="E828" s="1"/>
    </row>
    <row r="829" spans="1:5" x14ac:dyDescent="0.25">
      <c r="A829" s="7">
        <v>27.480046901552722</v>
      </c>
      <c r="B829"/>
      <c r="C829"/>
      <c r="D829"/>
      <c r="E829" s="1"/>
    </row>
    <row r="830" spans="1:5" x14ac:dyDescent="0.25">
      <c r="A830" s="7">
        <v>27.20796722926012</v>
      </c>
      <c r="B830"/>
      <c r="C830"/>
      <c r="D830"/>
      <c r="E830" s="1"/>
    </row>
    <row r="831" spans="1:5" x14ac:dyDescent="0.25">
      <c r="A831" s="7">
        <v>26.938581415109031</v>
      </c>
      <c r="B831"/>
      <c r="C831"/>
      <c r="D831"/>
      <c r="E831" s="1"/>
    </row>
    <row r="832" spans="1:5" x14ac:dyDescent="0.25">
      <c r="A832" s="7">
        <v>26.671862787236662</v>
      </c>
      <c r="B832"/>
      <c r="C832"/>
      <c r="D832"/>
      <c r="E832" s="1"/>
    </row>
    <row r="833" spans="1:5" x14ac:dyDescent="0.25">
      <c r="A833" s="7">
        <v>26.407784937858082</v>
      </c>
      <c r="B833"/>
      <c r="C833"/>
      <c r="D833"/>
      <c r="E833" s="1"/>
    </row>
    <row r="834" spans="1:5" x14ac:dyDescent="0.25">
      <c r="A834" s="7">
        <v>26.146321720651567</v>
      </c>
      <c r="B834"/>
      <c r="C834"/>
      <c r="D834"/>
      <c r="E834" s="1"/>
    </row>
    <row r="835" spans="1:5" x14ac:dyDescent="0.25">
      <c r="A835" s="7">
        <v>25.887447248169867</v>
      </c>
      <c r="B835"/>
      <c r="C835"/>
      <c r="D835"/>
      <c r="E835" s="1"/>
    </row>
    <row r="836" spans="1:5" x14ac:dyDescent="0.25">
      <c r="A836" s="7">
        <v>25.631135889277097</v>
      </c>
      <c r="B836"/>
      <c r="C836"/>
      <c r="D836"/>
      <c r="E836" s="1"/>
    </row>
    <row r="837" spans="1:5" x14ac:dyDescent="0.25">
      <c r="A837" s="7">
        <v>25.377362266610987</v>
      </c>
      <c r="B837"/>
      <c r="C837"/>
      <c r="D837"/>
      <c r="E837" s="1"/>
    </row>
    <row r="838" spans="1:5" x14ac:dyDescent="0.25">
      <c r="A838" s="7">
        <v>25.126101254070285</v>
      </c>
      <c r="B838"/>
      <c r="C838"/>
      <c r="D838"/>
      <c r="E838" s="1"/>
    </row>
    <row r="839" spans="1:5" x14ac:dyDescent="0.25">
      <c r="A839" s="7">
        <v>24.877327974327013</v>
      </c>
      <c r="B839"/>
      <c r="C839"/>
      <c r="D839"/>
      <c r="E839" s="1"/>
    </row>
    <row r="840" spans="1:5" x14ac:dyDescent="0.25">
      <c r="A840" s="7">
        <v>24.631017796363381</v>
      </c>
      <c r="B840"/>
      <c r="C840"/>
      <c r="D840"/>
      <c r="E840" s="1"/>
    </row>
    <row r="841" spans="1:5" x14ac:dyDescent="0.25">
      <c r="A841" s="7">
        <v>24.387146333033051</v>
      </c>
      <c r="B841"/>
      <c r="C841"/>
      <c r="D841"/>
      <c r="E841" s="1"/>
    </row>
    <row r="842" spans="1:5" x14ac:dyDescent="0.25">
      <c r="A842" s="7">
        <v>24.145689438646585</v>
      </c>
      <c r="B842"/>
      <c r="C842"/>
      <c r="D842"/>
      <c r="E842" s="1"/>
    </row>
    <row r="843" spans="1:5" x14ac:dyDescent="0.25">
      <c r="A843" s="7">
        <v>23.906623206580775</v>
      </c>
      <c r="B843"/>
      <c r="C843"/>
      <c r="D843"/>
      <c r="E843" s="1"/>
    </row>
    <row r="844" spans="1:5" x14ac:dyDescent="0.25">
      <c r="A844" s="7">
        <v>23.669923966911657</v>
      </c>
      <c r="B844"/>
      <c r="C844"/>
      <c r="D844"/>
      <c r="E844" s="1"/>
    </row>
    <row r="845" spans="1:5" x14ac:dyDescent="0.25">
      <c r="A845" s="7">
        <v>23.435568284070946</v>
      </c>
      <c r="B845"/>
      <c r="C845"/>
      <c r="D845"/>
      <c r="E845" s="1"/>
    </row>
    <row r="846" spans="1:5" x14ac:dyDescent="0.25">
      <c r="A846" s="7">
        <v>23.203532954525688</v>
      </c>
      <c r="B846"/>
      <c r="C846"/>
      <c r="D846"/>
      <c r="E846" s="1"/>
    </row>
    <row r="847" spans="1:5" x14ac:dyDescent="0.25">
      <c r="A847" s="7">
        <v>22.973795004480881</v>
      </c>
      <c r="B847"/>
      <c r="C847"/>
      <c r="D847"/>
      <c r="E847" s="1"/>
    </row>
    <row r="848" spans="1:5" x14ac:dyDescent="0.25">
      <c r="A848" s="7">
        <v>22.746331687604833</v>
      </c>
      <c r="B848"/>
      <c r="C848"/>
      <c r="D848"/>
      <c r="E848" s="1"/>
    </row>
    <row r="849" spans="1:5" x14ac:dyDescent="0.25">
      <c r="A849" s="7">
        <v>22.521120482777061</v>
      </c>
      <c r="B849"/>
      <c r="C849"/>
      <c r="D849"/>
      <c r="E849" s="1"/>
    </row>
    <row r="850" spans="1:5" x14ac:dyDescent="0.25">
      <c r="A850" s="7">
        <v>22.298139091858477</v>
      </c>
      <c r="B850"/>
      <c r="C850"/>
      <c r="D850"/>
      <c r="E850" s="1"/>
    </row>
    <row r="851" spans="1:5" x14ac:dyDescent="0.25">
      <c r="A851" s="7">
        <v>22.077365437483639</v>
      </c>
      <c r="B851"/>
      <c r="C851"/>
      <c r="D851"/>
      <c r="E851" s="1"/>
    </row>
    <row r="852" spans="1:5" x14ac:dyDescent="0.25">
      <c r="A852" s="7">
        <v>21.858777660874889</v>
      </c>
      <c r="B852"/>
      <c r="C852"/>
      <c r="D852"/>
      <c r="E852" s="1"/>
    </row>
    <row r="853" spans="1:5" x14ac:dyDescent="0.25">
      <c r="A853" s="7">
        <v>21.642354119678107</v>
      </c>
      <c r="B853"/>
      <c r="C853"/>
      <c r="D853"/>
      <c r="E853" s="1"/>
    </row>
    <row r="854" spans="1:5" x14ac:dyDescent="0.25">
      <c r="A854" s="7">
        <v>21.428073385819907</v>
      </c>
      <c r="B854"/>
      <c r="C854"/>
      <c r="D854"/>
      <c r="E854" s="1"/>
    </row>
    <row r="855" spans="1:5" x14ac:dyDescent="0.25">
      <c r="A855" s="7">
        <v>21.215914243386045</v>
      </c>
      <c r="B855"/>
      <c r="C855"/>
      <c r="D855"/>
      <c r="E855" s="1"/>
    </row>
    <row r="856" spans="1:5" x14ac:dyDescent="0.25">
      <c r="A856" s="7">
        <v>21.005855686520835</v>
      </c>
      <c r="B856"/>
      <c r="C856"/>
      <c r="D856"/>
      <c r="E856" s="1"/>
    </row>
    <row r="857" spans="1:5" x14ac:dyDescent="0.25">
      <c r="A857" s="7">
        <v>20.797876917347363</v>
      </c>
      <c r="B857"/>
      <c r="C857"/>
      <c r="D857"/>
      <c r="E857" s="1"/>
    </row>
    <row r="858" spans="1:5" x14ac:dyDescent="0.25">
      <c r="A858" s="7">
        <v>20.59195734390828</v>
      </c>
      <c r="B858"/>
      <c r="C858"/>
      <c r="D858"/>
      <c r="E858" s="1"/>
    </row>
    <row r="859" spans="1:5" x14ac:dyDescent="0.25">
      <c r="A859" s="7">
        <v>20.388076578127009</v>
      </c>
      <c r="B859"/>
      <c r="C859"/>
      <c r="D859"/>
      <c r="E859" s="1"/>
    </row>
    <row r="860" spans="1:5" x14ac:dyDescent="0.25">
      <c r="A860" s="7">
        <v>20.186214433789118</v>
      </c>
      <c r="B860"/>
      <c r="C860"/>
      <c r="D860"/>
      <c r="E860" s="1"/>
    </row>
    <row r="861" spans="1:5" x14ac:dyDescent="0.25">
      <c r="A861" s="7">
        <v>19.986350924543682</v>
      </c>
      <c r="B861"/>
      <c r="C861"/>
      <c r="D861"/>
      <c r="E861" s="1"/>
    </row>
    <row r="862" spans="1:5" x14ac:dyDescent="0.25">
      <c r="A862" s="7">
        <v>19.788466261924437</v>
      </c>
      <c r="B862"/>
      <c r="C862"/>
      <c r="D862"/>
      <c r="E862" s="1"/>
    </row>
    <row r="863" spans="1:5" x14ac:dyDescent="0.25">
      <c r="A863" s="7">
        <v>19.592540853390531</v>
      </c>
      <c r="B863"/>
      <c r="C863"/>
      <c r="D863"/>
      <c r="E863" s="1"/>
    </row>
    <row r="864" spans="1:5" x14ac:dyDescent="0.25">
      <c r="A864" s="7">
        <v>19.398555300386665</v>
      </c>
      <c r="B864"/>
      <c r="C864"/>
      <c r="D864"/>
      <c r="E864" s="1"/>
    </row>
    <row r="865" spans="1:5" x14ac:dyDescent="0.25">
      <c r="A865" s="7">
        <v>19.206490396422442</v>
      </c>
      <c r="B865"/>
      <c r="C865"/>
      <c r="D865"/>
      <c r="E865" s="1"/>
    </row>
    <row r="866" spans="1:5" x14ac:dyDescent="0.25">
      <c r="A866" s="7">
        <v>19.016327125170733</v>
      </c>
      <c r="B866"/>
      <c r="C866"/>
      <c r="D866"/>
      <c r="E866" s="1"/>
    </row>
    <row r="867" spans="1:5" x14ac:dyDescent="0.25">
      <c r="A867" s="7">
        <v>18.828046658584885</v>
      </c>
      <c r="B867"/>
      <c r="C867"/>
      <c r="D867"/>
      <c r="E867" s="1"/>
    </row>
    <row r="868" spans="1:5" x14ac:dyDescent="0.25">
      <c r="A868" s="7">
        <v>18.64163035503454</v>
      </c>
      <c r="B868"/>
      <c r="C868"/>
      <c r="D868"/>
      <c r="E868" s="1"/>
    </row>
    <row r="869" spans="1:5" x14ac:dyDescent="0.25">
      <c r="A869" s="7">
        <v>18.457059757459941</v>
      </c>
      <c r="B869"/>
      <c r="C869"/>
      <c r="D869"/>
      <c r="E869" s="1"/>
    </row>
    <row r="870" spans="1:5" x14ac:dyDescent="0.25">
      <c r="A870" s="7">
        <v>18.274316591544498</v>
      </c>
      <c r="B870"/>
      <c r="C870"/>
      <c r="D870"/>
      <c r="E870" s="1"/>
    </row>
    <row r="871" spans="1:5" x14ac:dyDescent="0.25">
      <c r="A871" s="7">
        <v>18.093382763905442</v>
      </c>
      <c r="B871"/>
      <c r="C871"/>
      <c r="D871"/>
      <c r="E871" s="1"/>
    </row>
    <row r="872" spans="1:5" x14ac:dyDescent="0.25">
      <c r="A872" s="7">
        <v>17.914240360302419</v>
      </c>
      <c r="B872"/>
      <c r="C872"/>
      <c r="D872"/>
      <c r="E872" s="1"/>
    </row>
    <row r="873" spans="1:5" x14ac:dyDescent="0.25">
      <c r="A873" s="7">
        <v>17.736871643863779</v>
      </c>
      <c r="B873"/>
      <c r="C873"/>
      <c r="D873"/>
      <c r="E873" s="1"/>
    </row>
    <row r="874" spans="1:5" x14ac:dyDescent="0.25">
      <c r="A874" s="7">
        <v>17.561259053330474</v>
      </c>
      <c r="B874"/>
      <c r="C874"/>
      <c r="D874"/>
      <c r="E874" s="1"/>
    </row>
    <row r="875" spans="1:5" x14ac:dyDescent="0.25">
      <c r="A875" s="7">
        <v>17.387385201317301</v>
      </c>
      <c r="B875"/>
      <c r="C875"/>
      <c r="D875"/>
      <c r="E875" s="1"/>
    </row>
    <row r="876" spans="1:5" x14ac:dyDescent="0.25">
      <c r="A876" s="7">
        <v>17.215232872591386</v>
      </c>
      <c r="B876"/>
      <c r="C876"/>
      <c r="D876"/>
      <c r="E876" s="1"/>
    </row>
    <row r="877" spans="1:5" x14ac:dyDescent="0.25">
      <c r="A877" s="7">
        <v>17.044785022367709</v>
      </c>
      <c r="B877"/>
      <c r="C877"/>
      <c r="D877"/>
      <c r="E877" s="1"/>
    </row>
    <row r="878" spans="1:5" x14ac:dyDescent="0.25">
      <c r="A878" s="7">
        <v>16.876024774621495</v>
      </c>
      <c r="B878"/>
      <c r="C878"/>
      <c r="D878"/>
      <c r="E878" s="1"/>
    </row>
    <row r="879" spans="1:5" x14ac:dyDescent="0.25">
      <c r="A879" s="7">
        <v>16.708935420417323</v>
      </c>
      <c r="B879"/>
      <c r="C879"/>
      <c r="D879"/>
      <c r="E879" s="1"/>
    </row>
    <row r="880" spans="1:5" x14ac:dyDescent="0.25">
      <c r="A880" s="7">
        <v>16.543500416254776</v>
      </c>
      <c r="B880"/>
      <c r="C880"/>
      <c r="D880"/>
      <c r="E880" s="1"/>
    </row>
    <row r="881" spans="1:5" x14ac:dyDescent="0.25">
      <c r="A881" s="7">
        <v>16.379703382430471</v>
      </c>
      <c r="B881"/>
      <c r="C881"/>
      <c r="D881"/>
      <c r="E881" s="1"/>
    </row>
    <row r="882" spans="1:5" x14ac:dyDescent="0.25">
      <c r="A882" s="7">
        <v>16.217528101416306</v>
      </c>
      <c r="B882"/>
      <c r="C882"/>
      <c r="D882"/>
      <c r="E882" s="1"/>
    </row>
    <row r="883" spans="1:5" x14ac:dyDescent="0.25">
      <c r="A883" s="7">
        <v>16.056958516253768</v>
      </c>
      <c r="B883"/>
      <c r="C883"/>
      <c r="D883"/>
      <c r="E883" s="1"/>
    </row>
    <row r="884" spans="1:5" x14ac:dyDescent="0.25">
      <c r="A884" s="7">
        <v>15.897978728964127</v>
      </c>
      <c r="B884"/>
      <c r="C884"/>
      <c r="D884"/>
      <c r="E884" s="1"/>
    </row>
    <row r="885" spans="1:5" x14ac:dyDescent="0.25">
      <c r="A885" s="7">
        <v>15.740572998974383</v>
      </c>
      <c r="B885"/>
      <c r="C885"/>
      <c r="D885"/>
      <c r="E885" s="1"/>
    </row>
    <row r="886" spans="1:5" x14ac:dyDescent="0.25">
      <c r="A886" s="7">
        <v>15.584725741558794</v>
      </c>
      <c r="B886"/>
      <c r="C886"/>
      <c r="D886"/>
      <c r="E886" s="1"/>
    </row>
    <row r="887" spans="1:5" x14ac:dyDescent="0.25">
      <c r="A887" s="7">
        <v>15.430421526295834</v>
      </c>
      <c r="B887"/>
      <c r="C887"/>
      <c r="D887"/>
      <c r="E887" s="1"/>
    </row>
    <row r="888" spans="1:5" x14ac:dyDescent="0.25">
      <c r="A888" s="7">
        <v>15.27764507554043</v>
      </c>
      <c r="B888"/>
      <c r="C888"/>
      <c r="D888"/>
      <c r="E888" s="1"/>
    </row>
    <row r="889" spans="1:5" x14ac:dyDescent="0.25">
      <c r="A889" s="7">
        <v>15.126381262911318</v>
      </c>
      <c r="B889"/>
      <c r="C889"/>
      <c r="D889"/>
      <c r="E889" s="1"/>
    </row>
    <row r="890" spans="1:5" x14ac:dyDescent="0.25">
      <c r="A890" s="7">
        <v>14.976615111793384</v>
      </c>
      <c r="B890"/>
      <c r="C890"/>
      <c r="D890"/>
      <c r="E890" s="1"/>
    </row>
    <row r="891" spans="1:5" x14ac:dyDescent="0.25">
      <c r="A891" s="7">
        <v>14.828331793854836</v>
      </c>
      <c r="B891"/>
      <c r="C891"/>
      <c r="D891"/>
      <c r="E891" s="1"/>
    </row>
    <row r="892" spans="1:5" x14ac:dyDescent="0.25">
      <c r="A892" s="7">
        <v>14.681516627579047</v>
      </c>
      <c r="B892"/>
      <c r="C892"/>
      <c r="D892"/>
      <c r="E892" s="1"/>
    </row>
    <row r="893" spans="1:5" x14ac:dyDescent="0.25">
      <c r="A893" s="7">
        <v>14.536155076810937</v>
      </c>
      <c r="B893"/>
      <c r="C893"/>
      <c r="D893"/>
      <c r="E893" s="1"/>
    </row>
    <row r="894" spans="1:5" x14ac:dyDescent="0.25">
      <c r="A894" s="7">
        <v>14.39223274931776</v>
      </c>
      <c r="B894"/>
      <c r="C894"/>
      <c r="D894"/>
      <c r="E894" s="1"/>
    </row>
    <row r="895" spans="1:5" x14ac:dyDescent="0.25">
      <c r="A895" s="7">
        <v>14.249735395364118</v>
      </c>
      <c r="B895"/>
      <c r="C895"/>
      <c r="D895"/>
      <c r="E895" s="1"/>
    </row>
    <row r="896" spans="1:5" x14ac:dyDescent="0.25">
      <c r="A896" s="7">
        <v>14.108648906301106</v>
      </c>
      <c r="B896"/>
      <c r="C896"/>
      <c r="D896"/>
      <c r="E896" s="1"/>
    </row>
    <row r="897" spans="1:5" x14ac:dyDescent="0.25">
      <c r="A897" s="7">
        <v>13.968959313169412</v>
      </c>
      <c r="B897"/>
      <c r="C897"/>
      <c r="D897"/>
      <c r="E897" s="1"/>
    </row>
    <row r="898" spans="1:5" x14ac:dyDescent="0.25">
      <c r="A898" s="7">
        <v>13.83065278531625</v>
      </c>
      <c r="B898"/>
      <c r="C898"/>
      <c r="D898"/>
      <c r="E898" s="1"/>
    </row>
    <row r="899" spans="1:5" x14ac:dyDescent="0.25">
      <c r="A899" s="7">
        <v>13.69371562902599</v>
      </c>
      <c r="B899"/>
      <c r="C899"/>
      <c r="D899"/>
      <c r="E899" s="1"/>
    </row>
    <row r="900" spans="1:5" x14ac:dyDescent="0.25">
      <c r="A900" s="7">
        <v>13.558134286164346</v>
      </c>
      <c r="B900"/>
      <c r="C900"/>
      <c r="D900"/>
      <c r="E900" s="1"/>
    </row>
    <row r="901" spans="1:5" x14ac:dyDescent="0.25">
      <c r="A901" s="7">
        <v>13.423895332835986</v>
      </c>
      <c r="B901"/>
      <c r="C901"/>
      <c r="D901"/>
      <c r="E901" s="1"/>
    </row>
    <row r="902" spans="1:5" x14ac:dyDescent="0.25">
      <c r="A902" s="7">
        <v>13.290985478055433</v>
      </c>
      <c r="B902"/>
      <c r="C902"/>
      <c r="D902"/>
      <c r="E902" s="1"/>
    </row>
    <row r="903" spans="1:5" x14ac:dyDescent="0.25">
      <c r="A903" s="7">
        <v>13.159391562431122</v>
      </c>
      <c r="B903"/>
      <c r="C903"/>
      <c r="D903"/>
      <c r="E903" s="1"/>
    </row>
    <row r="904" spans="1:5" x14ac:dyDescent="0.25">
      <c r="A904" s="7">
        <v>13.029100556862497</v>
      </c>
      <c r="B904"/>
      <c r="C904"/>
      <c r="D904"/>
      <c r="E904" s="1"/>
    </row>
    <row r="905" spans="1:5" x14ac:dyDescent="0.25">
      <c r="A905" s="7">
        <v>12.900099561249997</v>
      </c>
      <c r="B905"/>
      <c r="C905"/>
      <c r="D905"/>
      <c r="E905" s="1"/>
    </row>
    <row r="906" spans="1:5" x14ac:dyDescent="0.25">
      <c r="A906" s="7">
        <v>12.772375803217818</v>
      </c>
      <c r="B906"/>
      <c r="C906"/>
      <c r="D906"/>
      <c r="E906" s="1"/>
    </row>
    <row r="907" spans="1:5" x14ac:dyDescent="0.25">
      <c r="A907" s="7">
        <v>12.645916636849325</v>
      </c>
      <c r="B907"/>
      <c r="C907"/>
      <c r="D907"/>
      <c r="E907" s="1"/>
    </row>
    <row r="908" spans="1:5" x14ac:dyDescent="0.25">
      <c r="A908" s="7">
        <v>12.520709541434975</v>
      </c>
      <c r="B908"/>
      <c r="C908"/>
      <c r="D908"/>
      <c r="E908" s="1"/>
    </row>
    <row r="909" spans="1:5" x14ac:dyDescent="0.25">
      <c r="A909" s="7">
        <v>12.396742120232648</v>
      </c>
      <c r="B909"/>
      <c r="C909"/>
      <c r="D909"/>
      <c r="E909" s="1"/>
    </row>
    <row r="910" spans="1:5" x14ac:dyDescent="0.25">
      <c r="A910" s="7">
        <v>12.274002099240246</v>
      </c>
      <c r="B910"/>
      <c r="C910"/>
      <c r="D910"/>
      <c r="E910" s="1"/>
    </row>
    <row r="911" spans="1:5" x14ac:dyDescent="0.25">
      <c r="A911" s="7">
        <v>12.152477325980442</v>
      </c>
      <c r="B911"/>
      <c r="C911"/>
      <c r="D911"/>
      <c r="E911" s="1"/>
    </row>
    <row r="912" spans="1:5" x14ac:dyDescent="0.25">
      <c r="A912" s="7">
        <v>12.032155768297468</v>
      </c>
      <c r="B912"/>
      <c r="C912"/>
      <c r="D912"/>
      <c r="E912" s="1"/>
    </row>
    <row r="913" spans="1:5" x14ac:dyDescent="0.25">
      <c r="A913" s="7">
        <v>11.91302551316581</v>
      </c>
      <c r="B913"/>
      <c r="C913"/>
      <c r="D913"/>
      <c r="E913" s="1"/>
    </row>
    <row r="914" spans="1:5" x14ac:dyDescent="0.25">
      <c r="A914" s="7">
        <v>11.795074765510703</v>
      </c>
      <c r="B914"/>
      <c r="C914"/>
      <c r="D914"/>
      <c r="E914" s="1"/>
    </row>
    <row r="915" spans="1:5" x14ac:dyDescent="0.25">
      <c r="A915" s="7">
        <v>11.678291847040301</v>
      </c>
      <c r="B915"/>
      <c r="C915"/>
      <c r="D915"/>
      <c r="E915" s="1"/>
    </row>
    <row r="916" spans="1:5" x14ac:dyDescent="0.25">
      <c r="A916" s="7">
        <v>11.562665195089407</v>
      </c>
      <c r="B916"/>
      <c r="C916"/>
      <c r="D916"/>
      <c r="E916" s="1"/>
    </row>
    <row r="917" spans="1:5" x14ac:dyDescent="0.25">
      <c r="A917" s="7">
        <v>11.44818336147466</v>
      </c>
      <c r="B917"/>
      <c r="C917"/>
      <c r="D917"/>
      <c r="E917" s="1"/>
    </row>
    <row r="918" spans="1:5" x14ac:dyDescent="0.25">
      <c r="A918" s="7">
        <v>11.334835011361049</v>
      </c>
      <c r="B918"/>
      <c r="C918"/>
      <c r="D918"/>
      <c r="E918" s="1"/>
    </row>
    <row r="919" spans="1:5" x14ac:dyDescent="0.25">
      <c r="A919" s="7">
        <v>11.222608922139653</v>
      </c>
      <c r="B919"/>
      <c r="C919"/>
      <c r="D919"/>
      <c r="E919" s="1"/>
    </row>
    <row r="920" spans="1:5" x14ac:dyDescent="0.25">
      <c r="A920" s="7">
        <v>11.111493982316487</v>
      </c>
      <c r="B920"/>
      <c r="C920"/>
      <c r="D920"/>
      <c r="E920" s="1"/>
    </row>
    <row r="921" spans="1:5" x14ac:dyDescent="0.25">
      <c r="A921" s="7">
        <v>11.001479190412363</v>
      </c>
      <c r="B921"/>
      <c r="C921"/>
      <c r="D921"/>
      <c r="E921" s="1"/>
    </row>
    <row r="922" spans="1:5" x14ac:dyDescent="0.25">
      <c r="A922" s="7">
        <v>10.892553653873627</v>
      </c>
      <c r="B922"/>
      <c r="C922"/>
      <c r="D922"/>
      <c r="E922" s="1"/>
    </row>
    <row r="923" spans="1:5" x14ac:dyDescent="0.25">
      <c r="A923" s="7">
        <v>10.784706587993689</v>
      </c>
      <c r="B923"/>
      <c r="C923"/>
      <c r="D923"/>
      <c r="E923" s="1"/>
    </row>
    <row r="924" spans="1:5" x14ac:dyDescent="0.25">
      <c r="A924" s="7">
        <v>10.677927314845236</v>
      </c>
      <c r="B924"/>
      <c r="C924"/>
      <c r="D924"/>
      <c r="E924" s="1"/>
    </row>
    <row r="925" spans="1:5" x14ac:dyDescent="0.25">
      <c r="A925" s="7">
        <v>10.572205262223006</v>
      </c>
      <c r="B925"/>
      <c r="C925"/>
      <c r="D925"/>
      <c r="E925" s="1"/>
    </row>
    <row r="926" spans="1:5" x14ac:dyDescent="0.25">
      <c r="A926" s="7">
        <v>10.467529962597036</v>
      </c>
      <c r="B926"/>
      <c r="C926"/>
      <c r="D926"/>
      <c r="E926" s="1"/>
    </row>
    <row r="927" spans="1:5" x14ac:dyDescent="0.25">
      <c r="A927" s="7">
        <v>10.363891052076273</v>
      </c>
      <c r="B927"/>
      <c r="C927"/>
      <c r="D927"/>
      <c r="E927" s="1"/>
    </row>
    <row r="928" spans="1:5" x14ac:dyDescent="0.25">
      <c r="A928" s="7">
        <v>10.261278269382448</v>
      </c>
      <c r="B928"/>
      <c r="C928"/>
      <c r="D928"/>
      <c r="E928" s="1"/>
    </row>
    <row r="929" spans="1:5" x14ac:dyDescent="0.25">
      <c r="A929" s="7">
        <v>10.159681454834107</v>
      </c>
      <c r="B929"/>
      <c r="C929"/>
      <c r="D929"/>
      <c r="E929" s="1"/>
    </row>
    <row r="930" spans="1:5" x14ac:dyDescent="0.25">
      <c r="A930" s="7">
        <v>10.0590905493407</v>
      </c>
      <c r="B930"/>
      <c r="C930"/>
      <c r="D930"/>
      <c r="E930" s="1"/>
    </row>
    <row r="931" spans="1:5" x14ac:dyDescent="0.25">
      <c r="A931" s="7">
        <v>9.9594955934066345</v>
      </c>
      <c r="B931"/>
      <c r="C931"/>
      <c r="D931"/>
      <c r="E931" s="1"/>
    </row>
    <row r="932" spans="1:5" x14ac:dyDescent="0.25">
      <c r="A932" s="7">
        <v>9.860886726145182</v>
      </c>
      <c r="B932"/>
      <c r="C932"/>
      <c r="D932"/>
      <c r="E932" s="1"/>
    </row>
    <row r="933" spans="1:5" x14ac:dyDescent="0.25">
      <c r="A933" s="7">
        <v>9.763254184302161</v>
      </c>
      <c r="B933"/>
      <c r="C933"/>
      <c r="D933"/>
      <c r="E933" s="1"/>
    </row>
    <row r="934" spans="1:5" x14ac:dyDescent="0.25">
      <c r="A934" s="7">
        <v>9.6665883012892682</v>
      </c>
      <c r="B934"/>
      <c r="C934"/>
      <c r="D934"/>
      <c r="E934" s="1"/>
    </row>
    <row r="935" spans="1:5" x14ac:dyDescent="0.25">
      <c r="A935" s="7">
        <v>9.5708795062269978</v>
      </c>
      <c r="B935"/>
      <c r="C935"/>
      <c r="D935"/>
      <c r="E935" s="1"/>
    </row>
    <row r="936" spans="1:5" x14ac:dyDescent="0.25">
      <c r="A936" s="7">
        <v>9.4761183229970278</v>
      </c>
      <c r="B936"/>
      <c r="C936"/>
      <c r="D936"/>
      <c r="E936" s="1"/>
    </row>
    <row r="937" spans="1:5" x14ac:dyDescent="0.25">
      <c r="A937" s="7">
        <v>9.3822953693039874</v>
      </c>
      <c r="B937"/>
      <c r="C937"/>
      <c r="D937"/>
      <c r="E937" s="1"/>
    </row>
    <row r="938" spans="1:5" x14ac:dyDescent="0.25">
      <c r="A938" s="7">
        <v>9.2894013557465218</v>
      </c>
      <c r="B938"/>
      <c r="C938"/>
      <c r="D938"/>
      <c r="E938" s="1"/>
    </row>
    <row r="939" spans="1:5" x14ac:dyDescent="0.25">
      <c r="A939" s="7">
        <v>9.1974270848975461</v>
      </c>
      <c r="B939"/>
      <c r="C939"/>
      <c r="D939"/>
      <c r="E939" s="1"/>
    </row>
    <row r="940" spans="1:5" x14ac:dyDescent="0.25">
      <c r="A940" s="7">
        <v>9.1063634503936104</v>
      </c>
      <c r="B940"/>
      <c r="C940"/>
      <c r="D940"/>
      <c r="E940" s="1"/>
    </row>
    <row r="941" spans="1:5" x14ac:dyDescent="0.25">
      <c r="A941" s="7">
        <v>9.0162014360332776</v>
      </c>
      <c r="B941"/>
      <c r="C941"/>
      <c r="D941"/>
      <c r="E941" s="1"/>
    </row>
    <row r="942" spans="1:5" x14ac:dyDescent="0.25">
      <c r="A942" s="7">
        <v>8.9269321148844334</v>
      </c>
      <c r="B942"/>
      <c r="C942"/>
      <c r="D942"/>
      <c r="E942" s="1"/>
    </row>
    <row r="943" spans="1:5" x14ac:dyDescent="0.25">
      <c r="A943" s="7">
        <v>8.8385466484004294</v>
      </c>
      <c r="B943"/>
      <c r="C943"/>
      <c r="D943"/>
      <c r="E943" s="1"/>
    </row>
    <row r="944" spans="1:5" x14ac:dyDescent="0.25">
      <c r="A944" s="7">
        <v>8.7510362855449788</v>
      </c>
      <c r="B944"/>
      <c r="C944"/>
      <c r="D944"/>
      <c r="E944" s="1"/>
    </row>
    <row r="945" spans="1:5" x14ac:dyDescent="0.25">
      <c r="A945" s="7">
        <v>8.6643923619257208</v>
      </c>
      <c r="B945"/>
      <c r="C945"/>
      <c r="D945"/>
      <c r="E945" s="1"/>
    </row>
    <row r="946" spans="1:5" x14ac:dyDescent="0.25">
      <c r="A946" s="7">
        <v>8.5786062989363572</v>
      </c>
      <c r="B946"/>
      <c r="C946"/>
      <c r="D946"/>
      <c r="E946" s="1"/>
    </row>
    <row r="947" spans="1:5" x14ac:dyDescent="0.25">
      <c r="A947" s="7">
        <v>8.4936696029072838</v>
      </c>
      <c r="B947"/>
      <c r="C947"/>
      <c r="D947"/>
      <c r="E947" s="1"/>
    </row>
    <row r="948" spans="1:5" x14ac:dyDescent="0.25">
      <c r="A948" s="7">
        <v>8.4095738642646367</v>
      </c>
      <c r="B948"/>
      <c r="C948"/>
      <c r="D948"/>
      <c r="E948" s="1"/>
    </row>
    <row r="949" spans="1:5" x14ac:dyDescent="0.25">
      <c r="A949" s="7">
        <v>8.3263107566976604</v>
      </c>
      <c r="B949"/>
      <c r="C949"/>
      <c r="D949"/>
      <c r="E949" s="1"/>
    </row>
    <row r="950" spans="1:5" x14ac:dyDescent="0.25">
      <c r="A950" s="7">
        <v>8.2438720363343165</v>
      </c>
      <c r="B950"/>
      <c r="C950"/>
      <c r="D950"/>
      <c r="E950" s="1"/>
    </row>
    <row r="951" spans="1:5" x14ac:dyDescent="0.25">
      <c r="A951" s="7">
        <v>8.1622495409250657</v>
      </c>
      <c r="B951"/>
      <c r="C951"/>
      <c r="D951"/>
      <c r="E951" s="1"/>
    </row>
    <row r="952" spans="1:5" x14ac:dyDescent="0.25">
      <c r="A952" s="7">
        <v>8.0814351890347176</v>
      </c>
      <c r="B952"/>
      <c r="C952"/>
      <c r="D952"/>
      <c r="E952" s="1"/>
    </row>
    <row r="953" spans="1:5" x14ac:dyDescent="0.25">
      <c r="A953" s="7">
        <v>8.0014209792422939</v>
      </c>
      <c r="B953"/>
      <c r="C953"/>
      <c r="D953"/>
      <c r="E953" s="1"/>
    </row>
    <row r="954" spans="1:5" x14ac:dyDescent="0.25">
      <c r="A954" s="7">
        <v>7.9221989893488054</v>
      </c>
      <c r="B954"/>
      <c r="C954"/>
      <c r="D954"/>
      <c r="E954" s="1"/>
    </row>
    <row r="955" spans="1:5" x14ac:dyDescent="0.25">
      <c r="A955" s="7">
        <v>7.8437613755928766</v>
      </c>
      <c r="B955"/>
      <c r="C955"/>
      <c r="D955"/>
      <c r="E955" s="1"/>
    </row>
    <row r="956" spans="1:5" x14ac:dyDescent="0.25">
      <c r="A956" s="7">
        <v>7.7661003718741348</v>
      </c>
      <c r="B956"/>
      <c r="C956"/>
      <c r="D956"/>
      <c r="E956" s="1"/>
    </row>
    <row r="957" spans="1:5" x14ac:dyDescent="0.25">
      <c r="A957" s="7">
        <v>7.6892082889842914</v>
      </c>
      <c r="B957"/>
      <c r="C957"/>
      <c r="D957"/>
      <c r="E957" s="1"/>
    </row>
    <row r="958" spans="1:5" x14ac:dyDescent="0.25">
      <c r="A958" s="7">
        <v>7.6130775138458331</v>
      </c>
      <c r="B958"/>
      <c r="C958"/>
      <c r="D958"/>
      <c r="E958" s="1"/>
    </row>
    <row r="959" spans="1:5" x14ac:dyDescent="0.25">
      <c r="A959" s="7">
        <v>7.5377005087582507</v>
      </c>
      <c r="B959"/>
      <c r="C959"/>
      <c r="D959"/>
      <c r="E959" s="1"/>
    </row>
    <row r="960" spans="1:5" x14ac:dyDescent="0.25">
      <c r="A960" s="7">
        <v>7.4630698106517332</v>
      </c>
      <c r="B960"/>
      <c r="C960"/>
      <c r="D960"/>
      <c r="E960" s="1"/>
    </row>
    <row r="961" spans="1:5" x14ac:dyDescent="0.25">
      <c r="A961" s="7">
        <v>7.3891780303482504</v>
      </c>
      <c r="B961"/>
      <c r="C961"/>
      <c r="D961"/>
      <c r="E961" s="1"/>
    </row>
    <row r="962" spans="1:5" x14ac:dyDescent="0.25">
      <c r="A962" s="7">
        <v>7.316017851829951</v>
      </c>
      <c r="B962"/>
      <c r="C962"/>
      <c r="D962"/>
      <c r="E962" s="1"/>
    </row>
    <row r="963" spans="1:5" x14ac:dyDescent="0.25">
      <c r="A963" s="7">
        <v>7.2435820315148032</v>
      </c>
      <c r="B963"/>
      <c r="C963"/>
      <c r="D963"/>
      <c r="E963" s="1"/>
    </row>
    <row r="964" spans="1:5" x14ac:dyDescent="0.25">
      <c r="A964" s="7">
        <v>7.1718633975394086</v>
      </c>
      <c r="B964"/>
      <c r="C964"/>
      <c r="D964"/>
      <c r="E964" s="1"/>
    </row>
    <row r="965" spans="1:5" x14ac:dyDescent="0.25">
      <c r="A965" s="7">
        <v>7.1008548490489192</v>
      </c>
      <c r="B965"/>
      <c r="C965"/>
      <c r="D965"/>
      <c r="E965" s="1"/>
    </row>
    <row r="966" spans="1:5" x14ac:dyDescent="0.25">
      <c r="A966" s="7">
        <v>7.0305493554939797</v>
      </c>
      <c r="B966"/>
      <c r="C966"/>
      <c r="D966"/>
      <c r="E966" s="1"/>
    </row>
    <row r="967" spans="1:5" x14ac:dyDescent="0.25">
      <c r="A967" s="7">
        <v>6.9609399559346334</v>
      </c>
      <c r="B967"/>
      <c r="C967"/>
      <c r="D967"/>
      <c r="E967" s="1"/>
    </row>
    <row r="968" spans="1:5" x14ac:dyDescent="0.25">
      <c r="A968" s="7">
        <v>6.8920197583511218</v>
      </c>
      <c r="B968"/>
      <c r="C968"/>
      <c r="D968"/>
      <c r="E968" s="1"/>
    </row>
    <row r="969" spans="1:5" x14ac:dyDescent="0.25">
      <c r="A969" s="7">
        <v>6.8237819389615071</v>
      </c>
      <c r="B969"/>
      <c r="C969"/>
      <c r="D969"/>
      <c r="E969" s="1"/>
    </row>
    <row r="970" spans="1:5" x14ac:dyDescent="0.25">
      <c r="A970" s="7">
        <v>6.7562197415460465</v>
      </c>
      <c r="B970"/>
      <c r="C970"/>
      <c r="D970"/>
      <c r="E970" s="1"/>
    </row>
    <row r="971" spans="1:5" x14ac:dyDescent="0.25">
      <c r="A971" s="7">
        <v>6.6893264767782634</v>
      </c>
      <c r="B971"/>
      <c r="C971"/>
      <c r="D971"/>
      <c r="E971" s="1"/>
    </row>
    <row r="972" spans="1:5" x14ac:dyDescent="0.25">
      <c r="A972" s="7">
        <v>6.6230955215626368</v>
      </c>
      <c r="B972"/>
      <c r="C972"/>
      <c r="D972"/>
      <c r="E972" s="1"/>
    </row>
    <row r="973" spans="1:5" x14ac:dyDescent="0.25">
      <c r="A973" s="7">
        <v>6.557520318378848</v>
      </c>
      <c r="B973"/>
      <c r="C973"/>
      <c r="D973"/>
      <c r="E973" s="1"/>
    </row>
    <row r="974" spans="1:5" x14ac:dyDescent="0.25">
      <c r="A974" s="7">
        <v>6.4925943746325228</v>
      </c>
      <c r="B974"/>
      <c r="C974"/>
      <c r="D974"/>
      <c r="E974" s="1"/>
    </row>
    <row r="975" spans="1:5" x14ac:dyDescent="0.25">
      <c r="A975" s="7">
        <v>6.4283112620123983</v>
      </c>
      <c r="B975"/>
      <c r="C975"/>
      <c r="D975"/>
      <c r="E975" s="1"/>
    </row>
    <row r="976" spans="1:5" x14ac:dyDescent="0.25">
      <c r="A976" s="7">
        <v>6.3646646158538598</v>
      </c>
      <c r="B976"/>
      <c r="C976"/>
      <c r="D976"/>
      <c r="E976" s="1"/>
    </row>
    <row r="977" spans="1:5" x14ac:dyDescent="0.25">
      <c r="A977" s="7">
        <v>6.3016481345087723</v>
      </c>
      <c r="B977"/>
      <c r="C977"/>
      <c r="D977"/>
      <c r="E977" s="1"/>
    </row>
    <row r="978" spans="1:5" x14ac:dyDescent="0.25">
      <c r="A978" s="7">
        <v>6.2392555787215569</v>
      </c>
      <c r="B978"/>
      <c r="C978"/>
      <c r="D978"/>
      <c r="E978" s="1"/>
    </row>
    <row r="979" spans="1:5" x14ac:dyDescent="0.25">
      <c r="A979" s="7">
        <v>6.1774807710114423</v>
      </c>
      <c r="B979"/>
      <c r="C979"/>
      <c r="D979"/>
      <c r="E979" s="1"/>
    </row>
    <row r="980" spans="1:5" x14ac:dyDescent="0.25">
      <c r="A980" s="7">
        <v>6.1163175950608339</v>
      </c>
      <c r="B980"/>
      <c r="C980"/>
      <c r="D980"/>
      <c r="E980" s="1"/>
    </row>
    <row r="981" spans="1:5" x14ac:dyDescent="0.25">
      <c r="A981" s="7">
        <v>6.0557599951097369</v>
      </c>
      <c r="B981"/>
      <c r="C981"/>
      <c r="D981"/>
      <c r="E981" s="1"/>
    </row>
    <row r="982" spans="1:5" x14ac:dyDescent="0.25">
      <c r="A982" s="7">
        <v>5.9958019753561755</v>
      </c>
      <c r="B982"/>
      <c r="C982"/>
      <c r="D982"/>
      <c r="E982" s="1"/>
    </row>
    <row r="983" spans="1:5" x14ac:dyDescent="0.25">
      <c r="A983" s="7">
        <v>5.9364375993625496</v>
      </c>
      <c r="B983"/>
      <c r="C983"/>
      <c r="D983"/>
      <c r="E983" s="1"/>
    </row>
    <row r="984" spans="1:5" x14ac:dyDescent="0.25">
      <c r="A984" s="7">
        <v>5.8776609894678709</v>
      </c>
      <c r="B984"/>
      <c r="C984"/>
      <c r="D984"/>
      <c r="E984" s="1"/>
    </row>
    <row r="985" spans="1:5" x14ac:dyDescent="0.25">
      <c r="A985" s="7">
        <v>5.8194663262058128</v>
      </c>
      <c r="B985"/>
      <c r="C985"/>
      <c r="D985"/>
      <c r="E985" s="1"/>
    </row>
    <row r="986" spans="1:5" x14ac:dyDescent="0.25">
      <c r="A986" s="7">
        <v>5.7618478477285278</v>
      </c>
      <c r="B986"/>
      <c r="C986"/>
      <c r="D986"/>
      <c r="E986" s="1"/>
    </row>
    <row r="987" spans="1:5" x14ac:dyDescent="0.25">
      <c r="A987" s="7">
        <v>5.7047998492361662</v>
      </c>
      <c r="B987"/>
      <c r="C987"/>
      <c r="D987"/>
      <c r="E987" s="1"/>
    </row>
    <row r="988" spans="1:5" x14ac:dyDescent="0.25">
      <c r="A988" s="7">
        <v>5.6483166824120454</v>
      </c>
      <c r="B988"/>
      <c r="C988"/>
      <c r="D988"/>
      <c r="E988" s="1"/>
    </row>
    <row r="989" spans="1:5" x14ac:dyDescent="0.25">
      <c r="A989" s="7">
        <v>5.5923927548634111</v>
      </c>
      <c r="B989"/>
      <c r="C989"/>
      <c r="D989"/>
      <c r="E989" s="1"/>
    </row>
    <row r="990" spans="1:5" x14ac:dyDescent="0.25">
      <c r="A990" s="7">
        <v>5.537022529567734</v>
      </c>
      <c r="B990"/>
      <c r="C990"/>
      <c r="D990"/>
      <c r="E990" s="1"/>
    </row>
    <row r="991" spans="1:5" x14ac:dyDescent="0.25">
      <c r="A991" s="7">
        <v>5.4822005243244893</v>
      </c>
      <c r="B991"/>
      <c r="C991"/>
      <c r="D991"/>
      <c r="E991" s="1"/>
    </row>
    <row r="992" spans="1:5" x14ac:dyDescent="0.25">
      <c r="A992" s="7">
        <v>5.4279213112123657</v>
      </c>
      <c r="B992"/>
      <c r="C992"/>
      <c r="D992"/>
      <c r="E992" s="1"/>
    </row>
    <row r="993" spans="1:5" x14ac:dyDescent="0.25">
      <c r="A993" s="7">
        <v>5.3741795160518473</v>
      </c>
      <c r="B993"/>
      <c r="C993"/>
      <c r="D993"/>
      <c r="E993" s="1"/>
    </row>
    <row r="994" spans="1:5" x14ac:dyDescent="0.25">
      <c r="A994" s="7">
        <v>5.3209698178731157</v>
      </c>
      <c r="B994"/>
      <c r="C994"/>
      <c r="D994"/>
      <c r="E994" s="1"/>
    </row>
    <row r="995" spans="1:5" x14ac:dyDescent="0.25">
      <c r="A995" s="7">
        <v>5.2682869483892238</v>
      </c>
      <c r="B995"/>
      <c r="C995"/>
      <c r="D995"/>
      <c r="E995" s="1"/>
    </row>
    <row r="996" spans="1:5" x14ac:dyDescent="0.25">
      <c r="A996" s="7">
        <v>5.2161256914744794</v>
      </c>
      <c r="B996"/>
      <c r="C996"/>
      <c r="D996"/>
      <c r="E996" s="1"/>
    </row>
    <row r="997" spans="1:5" x14ac:dyDescent="0.25">
      <c r="A997" s="7">
        <v>5.1644808826479993</v>
      </c>
      <c r="B997"/>
      <c r="C997"/>
      <c r="D997"/>
      <c r="E997" s="1"/>
    </row>
    <row r="998" spans="1:5" x14ac:dyDescent="0.25">
      <c r="A998" s="7">
        <v>5.1133474085623751</v>
      </c>
      <c r="B998"/>
      <c r="C998"/>
      <c r="D998"/>
      <c r="E998" s="1"/>
    </row>
    <row r="999" spans="1:5" x14ac:dyDescent="0.25">
      <c r="A999" s="7">
        <v>5.0627202064974011</v>
      </c>
      <c r="B999"/>
      <c r="C999"/>
      <c r="D999"/>
      <c r="E999" s="1"/>
    </row>
    <row r="1000" spans="1:5" x14ac:dyDescent="0.25">
      <c r="A1000" s="7">
        <v>5.012594263858813</v>
      </c>
      <c r="B1000"/>
      <c r="C1000"/>
      <c r="D1000"/>
      <c r="E1000" s="1"/>
    </row>
    <row r="1001" spans="1:5" x14ac:dyDescent="0.25">
      <c r="A1001" s="7">
        <v>4.962964617681993</v>
      </c>
      <c r="B1001"/>
      <c r="C1001"/>
      <c r="D1001"/>
      <c r="E1001" s="1"/>
    </row>
    <row r="1002" spans="1:5" x14ac:dyDescent="0.25">
      <c r="A1002" s="7">
        <v>4.9138263541405873</v>
      </c>
      <c r="B1002"/>
      <c r="C1002"/>
      <c r="D1002"/>
      <c r="E1002" s="1"/>
    </row>
    <row r="1003" spans="1:5" x14ac:dyDescent="0.25">
      <c r="A1003" s="7">
        <v>4.8651746080599878</v>
      </c>
      <c r="B1003"/>
      <c r="C1003"/>
      <c r="D1003"/>
      <c r="E1003" s="1"/>
    </row>
    <row r="1004" spans="1:5" x14ac:dyDescent="0.25">
      <c r="A1004" s="7">
        <v>4.8170045624356312</v>
      </c>
      <c r="B1004"/>
      <c r="C1004"/>
      <c r="D1004"/>
      <c r="E1004" s="1"/>
    </row>
    <row r="1005" spans="1:5" x14ac:dyDescent="0.25">
      <c r="A1005" s="7">
        <v>4.7693114479560705</v>
      </c>
      <c r="B1005"/>
      <c r="C1005"/>
      <c r="D1005"/>
      <c r="E1005" s="1"/>
    </row>
    <row r="1006" spans="1:5" x14ac:dyDescent="0.25">
      <c r="A1006" s="7">
        <v>4.7220905425307631</v>
      </c>
      <c r="B1006"/>
      <c r="C1006"/>
      <c r="D1006"/>
      <c r="E1006" s="1"/>
    </row>
    <row r="1007" spans="1:5" x14ac:dyDescent="0.25">
      <c r="A1007" s="7">
        <v>4.6753371708225373</v>
      </c>
      <c r="B1007"/>
      <c r="C1007"/>
      <c r="D1007"/>
      <c r="E1007" s="1"/>
    </row>
    <row r="1008" spans="1:5" x14ac:dyDescent="0.25">
      <c r="A1008" s="7">
        <v>4.6290467037846907</v>
      </c>
      <c r="B1008"/>
      <c r="C1008"/>
      <c r="D1008"/>
      <c r="E1008" s="1"/>
    </row>
    <row r="1009" spans="1:5" x14ac:dyDescent="0.25">
      <c r="A1009" s="7">
        <v>4.5832145582026644</v>
      </c>
      <c r="B1009"/>
      <c r="C1009"/>
      <c r="D1009"/>
      <c r="E1009" s="1"/>
    </row>
    <row r="1010" spans="1:5" x14ac:dyDescent="0.25">
      <c r="A1010" s="7">
        <v>4.5378361962402618</v>
      </c>
      <c r="B1010"/>
      <c r="C1010"/>
      <c r="D1010"/>
      <c r="E1010" s="1"/>
    </row>
    <row r="1011" spans="1:5" x14ac:dyDescent="0.25">
      <c r="A1011" s="7">
        <v>4.4929071249903583</v>
      </c>
      <c r="B1011"/>
      <c r="C1011"/>
      <c r="D1011"/>
      <c r="E1011" s="1"/>
    </row>
    <row r="1012" spans="1:5" x14ac:dyDescent="0.25">
      <c r="A1012" s="7">
        <v>4.448422896030058</v>
      </c>
      <c r="B1012"/>
      <c r="C1012"/>
      <c r="D1012"/>
      <c r="E1012" s="1"/>
    </row>
    <row r="1013" spans="1:5" x14ac:dyDescent="0.25">
      <c r="A1013" s="7">
        <v>4.4043791049802552</v>
      </c>
      <c r="B1013"/>
      <c r="C1013"/>
      <c r="D1013"/>
      <c r="E1013" s="1"/>
    </row>
    <row r="1014" spans="1:5" x14ac:dyDescent="0.25">
      <c r="A1014" s="7">
        <v>4.3607713910695596</v>
      </c>
      <c r="B1014"/>
      <c r="C1014"/>
      <c r="D1014"/>
      <c r="E1014" s="1"/>
    </row>
    <row r="1015" spans="1:5" x14ac:dyDescent="0.25">
      <c r="A1015" s="7">
        <v>4.3175954367025344</v>
      </c>
      <c r="B1015"/>
      <c r="C1015"/>
      <c r="D1015"/>
      <c r="E1015" s="1"/>
    </row>
    <row r="1016" spans="1:5" x14ac:dyDescent="0.25">
      <c r="A1016" s="7">
        <v>4.2748469670322127</v>
      </c>
      <c r="B1016"/>
      <c r="C1016"/>
      <c r="D1016"/>
      <c r="E1016" s="1"/>
    </row>
    <row r="1017" spans="1:5" x14ac:dyDescent="0.25">
      <c r="A1017" s="7">
        <v>4.2325217495368443</v>
      </c>
      <c r="B1017"/>
      <c r="C1017"/>
      <c r="D1017"/>
      <c r="E1017" s="1"/>
    </row>
    <row r="1018" spans="1:5" x14ac:dyDescent="0.25">
      <c r="A1018" s="7">
        <v>4.1906155936008362</v>
      </c>
      <c r="B1018"/>
      <c r="C1018"/>
      <c r="D1018"/>
      <c r="E1018" s="1"/>
    </row>
    <row r="1019" spans="1:5" x14ac:dyDescent="0.25">
      <c r="A1019" s="7">
        <v>4.1491243500998376</v>
      </c>
      <c r="B1019"/>
      <c r="C1019"/>
      <c r="D1019"/>
      <c r="E1019" s="1"/>
    </row>
    <row r="1020" spans="1:5" x14ac:dyDescent="0.25">
      <c r="A1020" s="7">
        <v>4.108043910989938</v>
      </c>
      <c r="B1020"/>
      <c r="C1020"/>
      <c r="D1020"/>
      <c r="E1020" s="1"/>
    </row>
    <row r="1021" spans="1:5" x14ac:dyDescent="0.25">
      <c r="A1021" s="7">
        <v>4.0673702089009289</v>
      </c>
      <c r="B1021"/>
      <c r="C1021"/>
      <c r="D1021"/>
      <c r="E1021" s="1"/>
    </row>
    <row r="1022" spans="1:5" x14ac:dyDescent="0.25">
      <c r="A1022" s="7">
        <v>4.0270992167335926</v>
      </c>
      <c r="B1022"/>
      <c r="C1022"/>
      <c r="D1022"/>
      <c r="E1022" s="1"/>
    </row>
    <row r="1023" spans="1:5" x14ac:dyDescent="0.25">
      <c r="A1023" s="7">
        <v>3.9872269472609827</v>
      </c>
      <c r="B1023"/>
      <c r="C1023"/>
      <c r="D1023"/>
      <c r="E1023" s="1"/>
    </row>
    <row r="1024" spans="1:5" x14ac:dyDescent="0.25">
      <c r="A1024" s="7">
        <v>3.9477494527336461</v>
      </c>
      <c r="B1024"/>
      <c r="C1024"/>
      <c r="D1024"/>
      <c r="E1024" s="1"/>
    </row>
    <row r="1025" spans="1:5" x14ac:dyDescent="0.25">
      <c r="A1025" s="7">
        <v>3.9086628244887587</v>
      </c>
      <c r="B1025"/>
      <c r="C1025"/>
      <c r="D1025"/>
      <c r="E1025" s="1"/>
    </row>
    <row r="1026" spans="1:5" x14ac:dyDescent="0.25">
      <c r="A1026" s="7">
        <v>3.8699631925631275</v>
      </c>
      <c r="B1026"/>
      <c r="C1026"/>
      <c r="D1026"/>
      <c r="E1026" s="1"/>
    </row>
    <row r="1027" spans="1:5" x14ac:dyDescent="0.25">
      <c r="A1027" s="7">
        <v>3.8316467253100273</v>
      </c>
      <c r="B1027"/>
      <c r="C1027"/>
      <c r="D1027"/>
      <c r="E1027" s="1"/>
    </row>
    <row r="1028" spans="1:5" x14ac:dyDescent="0.25">
      <c r="A1028" s="7">
        <v>3.7937096290198289</v>
      </c>
      <c r="B1028"/>
      <c r="C1028"/>
      <c r="D1028"/>
      <c r="E1028" s="1"/>
    </row>
    <row r="1029" spans="1:5" x14ac:dyDescent="0.25">
      <c r="A1029" s="7">
        <v>3.7561481475443852</v>
      </c>
      <c r="B1029"/>
      <c r="C1029"/>
      <c r="D1029"/>
      <c r="E1029" s="1"/>
    </row>
    <row r="1030" spans="1:5" x14ac:dyDescent="0.25">
      <c r="A1030" s="7">
        <v>3.7189585619251337</v>
      </c>
      <c r="B1030"/>
      <c r="C1030"/>
      <c r="D1030"/>
      <c r="E1030" s="1"/>
    </row>
    <row r="1031" spans="1:5" x14ac:dyDescent="0.25">
      <c r="A1031" s="7">
        <v>3.6821371900248847</v>
      </c>
      <c r="B1031"/>
      <c r="C1031"/>
      <c r="D1031"/>
      <c r="E1031" s="1"/>
    </row>
    <row r="1032" spans="1:5" x14ac:dyDescent="0.25">
      <c r="A1032" s="7">
        <v>3.6456803861632521</v>
      </c>
      <c r="B1032"/>
      <c r="C1032"/>
      <c r="D1032"/>
      <c r="E1032" s="1"/>
    </row>
    <row r="1033" spans="1:5" x14ac:dyDescent="0.25">
      <c r="A1033" s="7">
        <v>3.6095845407556952</v>
      </c>
      <c r="B1033"/>
      <c r="C1033"/>
      <c r="D1033"/>
      <c r="E1033" s="1"/>
    </row>
    <row r="1034" spans="1:5" x14ac:dyDescent="0.25">
      <c r="A1034" s="7">
        <v>3.5738460799561338</v>
      </c>
      <c r="B1034"/>
      <c r="C1034"/>
      <c r="D1034"/>
      <c r="E1034" s="1"/>
    </row>
    <row r="1035" spans="1:5" x14ac:dyDescent="0.25">
      <c r="A1035" s="7">
        <v>3.5384614653031026</v>
      </c>
      <c r="B1035"/>
      <c r="C1035"/>
      <c r="D1035"/>
      <c r="E1035" s="1"/>
    </row>
    <row r="1036" spans="1:5" x14ac:dyDescent="0.25">
      <c r="A1036" s="7">
        <v>3.5034271933694083</v>
      </c>
      <c r="B1036"/>
      <c r="C1036"/>
      <c r="D1036"/>
      <c r="E1036" s="1"/>
    </row>
    <row r="1037" spans="1:5" x14ac:dyDescent="0.25">
      <c r="A1037" s="7">
        <v>3.4687397954152557</v>
      </c>
      <c r="B1037"/>
      <c r="C1037"/>
      <c r="D1037"/>
      <c r="E1037" s="1"/>
    </row>
    <row r="1038" spans="1:5" x14ac:dyDescent="0.25">
      <c r="A1038" s="7">
        <v>3.4343958370448076</v>
      </c>
      <c r="B1038"/>
      <c r="C1038"/>
      <c r="D1038"/>
      <c r="E1038" s="1"/>
    </row>
    <row r="1039" spans="1:5" x14ac:dyDescent="0.25">
      <c r="A1039" s="7">
        <v>3.4003919178661461</v>
      </c>
      <c r="B1039"/>
      <c r="C1039"/>
      <c r="D1039"/>
      <c r="E1039" s="1"/>
    </row>
    <row r="1040" spans="1:5" x14ac:dyDescent="0.25">
      <c r="A1040" s="7">
        <v>3.3667246711545999</v>
      </c>
      <c r="B1040"/>
      <c r="C1040"/>
      <c r="D1040"/>
      <c r="E1040" s="1"/>
    </row>
    <row r="1041" spans="1:5" x14ac:dyDescent="0.25">
      <c r="A1041" s="7">
        <v>3.333390763519406</v>
      </c>
      <c r="B1041"/>
      <c r="C1041"/>
      <c r="D1041"/>
      <c r="E1041" s="1"/>
    </row>
    <row r="1042" spans="1:5" x14ac:dyDescent="0.25">
      <c r="A1042" s="7">
        <v>3.3003868945736694</v>
      </c>
      <c r="B1042"/>
      <c r="C1042"/>
      <c r="D1042"/>
      <c r="E1042" s="1"/>
    </row>
    <row r="1043" spans="1:5" x14ac:dyDescent="0.25">
      <c r="A1043" s="7">
        <v>3.2677097966075936</v>
      </c>
      <c r="B1043"/>
      <c r="C1043"/>
      <c r="D1043"/>
      <c r="E1043" s="1"/>
    </row>
    <row r="1044" spans="1:5" x14ac:dyDescent="0.25">
      <c r="A1044" s="7">
        <v>3.2353562342649442</v>
      </c>
      <c r="B1044"/>
      <c r="C1044"/>
      <c r="D1044"/>
      <c r="E1044" s="1"/>
    </row>
    <row r="1045" spans="1:5" x14ac:dyDescent="0.25">
      <c r="A1045" s="7">
        <v>3.203323004222717</v>
      </c>
      <c r="B1045"/>
      <c r="C1045"/>
      <c r="D1045"/>
      <c r="E1045" s="1"/>
    </row>
    <row r="1046" spans="1:5" x14ac:dyDescent="0.25">
      <c r="A1046" s="7">
        <v>3.171606934873977</v>
      </c>
      <c r="B1046"/>
      <c r="C1046"/>
      <c r="D1046"/>
      <c r="E1046" s="1"/>
    </row>
    <row r="1047" spans="1:5" x14ac:dyDescent="0.25">
      <c r="A1047" s="7">
        <v>3.1402048860138385</v>
      </c>
      <c r="B1047"/>
      <c r="C1047"/>
      <c r="D1047"/>
      <c r="E1047" s="1"/>
    </row>
    <row r="1048" spans="1:5" x14ac:dyDescent="0.25">
      <c r="A1048" s="7">
        <v>3.1091137485285532</v>
      </c>
      <c r="B1048"/>
      <c r="C1048"/>
      <c r="D1048"/>
      <c r="E1048" s="1"/>
    </row>
    <row r="1049" spans="1:5" x14ac:dyDescent="0.25">
      <c r="A1049" s="7">
        <v>3.0783304440876762</v>
      </c>
      <c r="B1049"/>
      <c r="C1049"/>
      <c r="D1049"/>
      <c r="E1049" s="1"/>
    </row>
    <row r="1050" spans="1:5" x14ac:dyDescent="0.25">
      <c r="A1050" s="7">
        <v>3.0478519248392835</v>
      </c>
      <c r="B1050"/>
      <c r="C1050"/>
      <c r="D1050"/>
      <c r="E1050" s="1"/>
    </row>
    <row r="1051" spans="1:5" x14ac:dyDescent="0.25">
      <c r="A1051" s="7">
        <v>3.0176751731082012</v>
      </c>
      <c r="B1051"/>
      <c r="C1051"/>
      <c r="D1051"/>
      <c r="E1051" s="1"/>
    </row>
    <row r="1052" spans="1:5" x14ac:dyDescent="0.25">
      <c r="A1052" s="7">
        <v>2.9877972010972287</v>
      </c>
      <c r="B1052"/>
      <c r="C1052"/>
      <c r="D1052"/>
      <c r="E1052" s="1"/>
    </row>
    <row r="1053" spans="1:5" x14ac:dyDescent="0.25">
      <c r="A1053" s="7">
        <v>2.9582150505913156</v>
      </c>
      <c r="B1053"/>
      <c r="C1053"/>
      <c r="D1053"/>
      <c r="E1053" s="1"/>
    </row>
    <row r="1054" spans="1:5" x14ac:dyDescent="0.25">
      <c r="A1054" s="7">
        <v>2.928925792664669</v>
      </c>
      <c r="B1054"/>
      <c r="C1054"/>
      <c r="D1054"/>
      <c r="E1054" s="1"/>
    </row>
    <row r="1055" spans="1:5" x14ac:dyDescent="0.25">
      <c r="A1055" s="7">
        <v>2.8999265273907615</v>
      </c>
      <c r="B1055"/>
      <c r="C1055"/>
      <c r="D1055"/>
      <c r="E1055" s="1"/>
    </row>
    <row r="1056" spans="1:5" x14ac:dyDescent="0.25">
      <c r="A1056" s="7">
        <v>2.8712143835552095</v>
      </c>
      <c r="B1056"/>
      <c r="C1056"/>
      <c r="D1056"/>
      <c r="E1056" s="1"/>
    </row>
    <row r="1057" spans="1:5" x14ac:dyDescent="0.25">
      <c r="A1057" s="7">
        <v>2.8427865183714944</v>
      </c>
      <c r="B1057"/>
      <c r="C1057"/>
      <c r="D1057"/>
      <c r="E1057" s="1"/>
    </row>
    <row r="1058" spans="1:5" x14ac:dyDescent="0.25">
      <c r="A1058" s="7">
        <v>2.8146401171994992</v>
      </c>
      <c r="B1058"/>
      <c r="C1058"/>
      <c r="D1058"/>
      <c r="E1058" s="1"/>
    </row>
    <row r="1059" spans="1:5" x14ac:dyDescent="0.25">
      <c r="A1059" s="7">
        <v>2.7867723932668311</v>
      </c>
      <c r="B1059"/>
      <c r="C1059"/>
      <c r="D1059"/>
      <c r="E1059" s="1"/>
    </row>
    <row r="1060" spans="1:5" x14ac:dyDescent="0.25">
      <c r="A1060" s="7">
        <v>2.7591805873929021</v>
      </c>
      <c r="B1060"/>
      <c r="C1060"/>
      <c r="D1060"/>
      <c r="E1060" s="1"/>
    </row>
    <row r="1061" spans="1:5" x14ac:dyDescent="0.25">
      <c r="A1061" s="7">
        <v>2.7318619677157447</v>
      </c>
      <c r="B1061"/>
      <c r="C1061"/>
      <c r="D1061"/>
      <c r="E1061" s="1"/>
    </row>
    <row r="1062" spans="1:5" x14ac:dyDescent="0.25">
      <c r="A1062" s="7">
        <v>2.7048138294215294</v>
      </c>
      <c r="B1062"/>
      <c r="C1062"/>
      <c r="D1062"/>
      <c r="E1062" s="1"/>
    </row>
    <row r="1063" spans="1:5" x14ac:dyDescent="0.25">
      <c r="A1063" s="7">
        <v>2.6780334944767619</v>
      </c>
      <c r="B1063"/>
      <c r="C1063"/>
      <c r="D1063"/>
      <c r="E1063" s="1"/>
    </row>
    <row r="1064" spans="1:5" x14ac:dyDescent="0.25">
      <c r="A1064" s="7">
        <v>2.6515183113631307</v>
      </c>
      <c r="B1064"/>
      <c r="C1064"/>
      <c r="D1064"/>
      <c r="E1064" s="1"/>
    </row>
    <row r="1065" spans="1:5" x14ac:dyDescent="0.25">
      <c r="A1065" s="7">
        <v>2.6252656548149806</v>
      </c>
      <c r="B1065"/>
      <c r="C1065"/>
      <c r="D1065"/>
      <c r="E1065" s="1"/>
    </row>
    <row r="1066" spans="1:5" x14ac:dyDescent="0.25">
      <c r="A1066" s="7">
        <v>2.5992729255593869</v>
      </c>
      <c r="B1066"/>
      <c r="C1066"/>
      <c r="D1066"/>
      <c r="E1066" s="1"/>
    </row>
    <row r="1067" spans="1:5" x14ac:dyDescent="0.25">
      <c r="A1067" s="7">
        <v>2.5735375500587989</v>
      </c>
      <c r="B1067"/>
      <c r="C1067"/>
      <c r="D1067"/>
      <c r="E1067" s="1"/>
    </row>
    <row r="1068" spans="1:5" x14ac:dyDescent="0.25">
      <c r="A1068" s="7">
        <v>2.5480569802562365</v>
      </c>
      <c r="B1068"/>
      <c r="C1068"/>
      <c r="D1068"/>
      <c r="E1068" s="1"/>
    </row>
    <row r="1069" spans="1:5" x14ac:dyDescent="0.25">
      <c r="A1069" s="7">
        <v>2.5228286933230066</v>
      </c>
      <c r="B1069"/>
      <c r="C1069"/>
      <c r="D1069"/>
      <c r="E1069" s="1"/>
    </row>
    <row r="1070" spans="1:5" x14ac:dyDescent="0.25">
      <c r="A1070" s="7">
        <v>2.4978501914089173</v>
      </c>
      <c r="B1070"/>
      <c r="C1070"/>
      <c r="D1070"/>
      <c r="E1070" s="1"/>
    </row>
    <row r="1071" spans="1:5" x14ac:dyDescent="0.25">
      <c r="A1071" s="7">
        <v>2.4731190013949678</v>
      </c>
      <c r="B1071"/>
      <c r="C1071"/>
      <c r="D1071"/>
      <c r="E1071" s="1"/>
    </row>
    <row r="1072" spans="1:5" x14ac:dyDescent="0.25">
      <c r="A1072" s="7">
        <v>2.4486326746484828</v>
      </c>
      <c r="B1072"/>
      <c r="C1072"/>
      <c r="D1072"/>
      <c r="E1072" s="1"/>
    </row>
    <row r="1073" spans="1:5" x14ac:dyDescent="0.25">
      <c r="A1073" s="7">
        <v>2.4243887867806762</v>
      </c>
      <c r="B1073"/>
      <c r="C1073"/>
      <c r="D1073"/>
      <c r="E1073" s="1"/>
    </row>
    <row r="1074" spans="1:5" x14ac:dyDescent="0.25">
      <c r="A1074" s="7">
        <v>2.40038493740661</v>
      </c>
      <c r="B1074"/>
      <c r="C1074"/>
      <c r="D1074"/>
      <c r="E1074" s="1"/>
    </row>
    <row r="1075" spans="1:5" x14ac:dyDescent="0.25">
      <c r="A1075" s="7">
        <v>2.3766187499075344</v>
      </c>
      <c r="B1075"/>
      <c r="C1075"/>
      <c r="D1075"/>
      <c r="E1075" s="1"/>
    </row>
    <row r="1076" spans="1:5" x14ac:dyDescent="0.25">
      <c r="A1076" s="7">
        <v>2.3530878711955787</v>
      </c>
      <c r="B1076"/>
      <c r="C1076"/>
      <c r="D1076"/>
      <c r="E1076" s="1"/>
    </row>
    <row r="1077" spans="1:5" x14ac:dyDescent="0.25">
      <c r="A1077" s="7">
        <v>2.3297899714807708</v>
      </c>
      <c r="B1077"/>
      <c r="C1077"/>
      <c r="D1077"/>
      <c r="E1077" s="1"/>
    </row>
    <row r="1078" spans="1:5" x14ac:dyDescent="0.25">
      <c r="A1078" s="7">
        <v>2.3067227440403673</v>
      </c>
      <c r="B1078"/>
      <c r="C1078"/>
      <c r="D1078"/>
      <c r="E1078" s="1"/>
    </row>
    <row r="1079" spans="1:5" x14ac:dyDescent="0.25">
      <c r="A1079" s="7">
        <v>2.2838839049904625</v>
      </c>
      <c r="B1079"/>
      <c r="C1079"/>
      <c r="D1079"/>
      <c r="E1079" s="1"/>
    </row>
    <row r="1080" spans="1:5" x14ac:dyDescent="0.25">
      <c r="A1080" s="7">
        <v>2.2612711930598639</v>
      </c>
      <c r="B1080"/>
      <c r="C1080"/>
      <c r="D1080"/>
      <c r="E1080" s="1"/>
    </row>
    <row r="1081" spans="1:5" x14ac:dyDescent="0.25">
      <c r="A1081" s="7">
        <v>2.2388823693662019</v>
      </c>
      <c r="B1081"/>
      <c r="C1081"/>
      <c r="D1081"/>
      <c r="E1081" s="1"/>
    </row>
    <row r="1082" spans="1:5" x14ac:dyDescent="0.25">
      <c r="A1082" s="7">
        <v>2.2167152171942592</v>
      </c>
      <c r="B1082"/>
      <c r="C1082"/>
      <c r="D1082"/>
      <c r="E1082" s="1"/>
    </row>
    <row r="1083" spans="1:5" x14ac:dyDescent="0.25">
      <c r="A1083" s="7">
        <v>2.1947675417764945</v>
      </c>
      <c r="B1083"/>
      <c r="C1083"/>
      <c r="D1083"/>
      <c r="E1083" s="1"/>
    </row>
    <row r="1084" spans="1:5" x14ac:dyDescent="0.25">
      <c r="A1084" s="7">
        <v>2.1730371700757369</v>
      </c>
      <c r="B1084"/>
      <c r="C1084"/>
      <c r="D1084"/>
      <c r="E1084" s="1"/>
    </row>
    <row r="1085" spans="1:5" x14ac:dyDescent="0.25">
      <c r="A1085" s="7">
        <v>2.1515219505700367</v>
      </c>
      <c r="B1085"/>
      <c r="C1085"/>
      <c r="D1085"/>
      <c r="E1085" s="1"/>
    </row>
    <row r="1086" spans="1:5" x14ac:dyDescent="0.25">
      <c r="A1086" s="7">
        <v>2.1302197530396403</v>
      </c>
      <c r="B1086"/>
      <c r="C1086"/>
      <c r="D1086"/>
      <c r="E1086" s="1"/>
    </row>
    <row r="1087" spans="1:5" x14ac:dyDescent="0.25">
      <c r="A1087" s="7">
        <v>2.1091284683560794</v>
      </c>
      <c r="B1087"/>
      <c r="C1087"/>
      <c r="D1087"/>
      <c r="E1087" s="1"/>
    </row>
    <row r="1088" spans="1:5" x14ac:dyDescent="0.25">
      <c r="A1088" s="7">
        <v>2.0882460082733458</v>
      </c>
      <c r="B1088"/>
      <c r="C1088"/>
      <c r="D1088"/>
      <c r="E1088" s="1"/>
    </row>
    <row r="1089" spans="1:5" x14ac:dyDescent="0.25">
      <c r="A1089" s="7">
        <v>2.0675703052211345</v>
      </c>
      <c r="B1089"/>
      <c r="C1089"/>
      <c r="D1089"/>
      <c r="E1089" s="1"/>
    </row>
    <row r="1090" spans="1:5" x14ac:dyDescent="0.25">
      <c r="A1090" s="7">
        <v>2.0470993121001331</v>
      </c>
      <c r="B1090"/>
      <c r="C1090"/>
      <c r="D1090"/>
      <c r="E1090" s="1"/>
    </row>
    <row r="1091" spans="1:5" x14ac:dyDescent="0.25">
      <c r="A1091" s="7">
        <v>2.0268310020793399</v>
      </c>
      <c r="B1091"/>
      <c r="C1091"/>
      <c r="D1091"/>
      <c r="E1091" s="1"/>
    </row>
    <row r="1092" spans="1:5" x14ac:dyDescent="0.25">
      <c r="A1092" s="7">
        <v>2.006763368395386</v>
      </c>
      <c r="B1092"/>
      <c r="C1092"/>
      <c r="D1092"/>
      <c r="E1092" s="1"/>
    </row>
    <row r="1093" spans="1:5" x14ac:dyDescent="0.25">
      <c r="A1093" s="7">
        <v>1.9868944241538475</v>
      </c>
      <c r="B1093"/>
      <c r="C1093"/>
      <c r="D1093"/>
      <c r="E1093" s="1"/>
    </row>
    <row r="1094" spans="1:5" x14ac:dyDescent="0.25">
      <c r="A1094" s="7">
        <v>1.9672222021325223</v>
      </c>
      <c r="B1094"/>
      <c r="C1094"/>
      <c r="D1094"/>
      <c r="E1094" s="1"/>
    </row>
    <row r="1095" spans="1:5" x14ac:dyDescent="0.25">
      <c r="A1095" s="7">
        <v>1.9477447545866557</v>
      </c>
      <c r="B1095"/>
      <c r="C1095"/>
      <c r="D1095"/>
      <c r="E1095" s="1"/>
    </row>
    <row r="1096" spans="1:5" x14ac:dyDescent="0.25">
      <c r="A1096" s="7">
        <v>1.9284601530560948</v>
      </c>
      <c r="B1096"/>
      <c r="C1096"/>
      <c r="D1096"/>
      <c r="E1096" s="1"/>
    </row>
    <row r="1097" spans="1:5" x14ac:dyDescent="0.25">
      <c r="A1097" s="7">
        <v>1.9093664881743513</v>
      </c>
      <c r="B1097"/>
      <c r="C1097"/>
      <c r="D1097"/>
      <c r="E1097" s="1"/>
    </row>
    <row r="1098" spans="1:5" x14ac:dyDescent="0.25">
      <c r="A1098" s="7">
        <v>1.8904618694795556</v>
      </c>
      <c r="B1098"/>
      <c r="C1098"/>
      <c r="D1098"/>
      <c r="E1098" s="1"/>
    </row>
    <row r="1099" spans="1:5" x14ac:dyDescent="0.25">
      <c r="A1099" s="7">
        <v>1.8717444252272828</v>
      </c>
      <c r="B1099"/>
      <c r="C1099"/>
      <c r="D1099"/>
      <c r="E1099" s="1"/>
    </row>
    <row r="1100" spans="1:5" x14ac:dyDescent="0.25">
      <c r="A1100" s="7">
        <v>1.8532123022052305</v>
      </c>
      <c r="B1100"/>
      <c r="C1100"/>
      <c r="D1100"/>
      <c r="E1100" s="1"/>
    </row>
    <row r="1101" spans="1:5" x14ac:dyDescent="0.25">
      <c r="A1101" s="7">
        <v>1.8348636655497332</v>
      </c>
      <c r="B1101"/>
      <c r="C1101"/>
      <c r="D1101"/>
      <c r="E1101" s="1"/>
    </row>
    <row r="1102" spans="1:5" x14ac:dyDescent="0.25">
      <c r="A1102" s="7">
        <v>1.8166966985640922</v>
      </c>
      <c r="B1102"/>
      <c r="C1102"/>
      <c r="D1102"/>
      <c r="E1102" s="1"/>
    </row>
    <row r="1103" spans="1:5" x14ac:dyDescent="0.25">
      <c r="A1103" s="7">
        <v>1.798709602538705</v>
      </c>
      <c r="B1103"/>
      <c r="C1103"/>
      <c r="D1103"/>
      <c r="E1103" s="1"/>
    </row>
    <row r="1104" spans="1:5" x14ac:dyDescent="0.25">
      <c r="A1104" s="7">
        <v>1.7809005965729752</v>
      </c>
      <c r="B1104"/>
      <c r="C1104"/>
      <c r="D1104"/>
      <c r="E1104" s="1"/>
    </row>
    <row r="1105" spans="1:5" x14ac:dyDescent="0.25">
      <c r="A1105" s="7">
        <v>1.7632679173989854</v>
      </c>
      <c r="B1105"/>
      <c r="C1105"/>
      <c r="D1105"/>
      <c r="E1105" s="1"/>
    </row>
    <row r="1106" spans="1:5" x14ac:dyDescent="0.25">
      <c r="A1106" s="7">
        <v>1.7458098192069162</v>
      </c>
      <c r="B1106"/>
      <c r="C1106"/>
      <c r="D1106"/>
      <c r="E1106" s="1"/>
    </row>
    <row r="1107" spans="1:5" x14ac:dyDescent="0.25">
      <c r="A1107" s="7">
        <v>1.7285245734721943</v>
      </c>
      <c r="B1107"/>
      <c r="C1107"/>
      <c r="D1107"/>
      <c r="E1107" s="1"/>
    </row>
    <row r="1108" spans="1:5" x14ac:dyDescent="0.25">
      <c r="A1108" s="7">
        <v>1.7114104687843508</v>
      </c>
      <c r="B1108"/>
      <c r="C1108"/>
      <c r="D1108"/>
      <c r="E1108" s="1"/>
    </row>
    <row r="1109" spans="1:5" x14ac:dyDescent="0.25">
      <c r="A1109" s="7">
        <v>1.694465810677575</v>
      </c>
      <c r="B1109"/>
      <c r="C1109"/>
      <c r="D1109"/>
      <c r="E1109" s="1"/>
    </row>
    <row r="1110" spans="1:5" x14ac:dyDescent="0.25">
      <c r="A1110" s="7">
        <v>1.6776889214629456</v>
      </c>
      <c r="B1110"/>
      <c r="C1110"/>
      <c r="D1110"/>
      <c r="E1110" s="1"/>
    </row>
    <row r="1111" spans="1:5" x14ac:dyDescent="0.25">
      <c r="A1111" s="7">
        <v>1.6610781400623222</v>
      </c>
      <c r="B1111"/>
      <c r="C1111"/>
      <c r="D1111"/>
      <c r="E1111" s="1"/>
    </row>
    <row r="1112" spans="1:5" x14ac:dyDescent="0.25">
      <c r="A1112" s="7">
        <v>1.6446318218438833</v>
      </c>
      <c r="B1112"/>
      <c r="C1112"/>
      <c r="D1112"/>
      <c r="E1112" s="1"/>
    </row>
    <row r="1113" spans="1:5" x14ac:dyDescent="0.25">
      <c r="A1113" s="7">
        <v>1.6283483384592905</v>
      </c>
      <c r="B1113"/>
      <c r="C1113"/>
      <c r="D1113"/>
      <c r="E1113" s="1"/>
    </row>
    <row r="1114" spans="1:5" x14ac:dyDescent="0.25">
      <c r="A1114" s="7">
        <v>1.6122260776824657</v>
      </c>
      <c r="B1114"/>
      <c r="C1114"/>
      <c r="D1114"/>
      <c r="E1114" s="1"/>
    </row>
    <row r="1115" spans="1:5" x14ac:dyDescent="0.25">
      <c r="A1115" s="7">
        <v>1.5962634432499661</v>
      </c>
      <c r="B1115"/>
      <c r="C1115"/>
      <c r="D1115"/>
      <c r="E1115" s="1"/>
    </row>
    <row r="1116" spans="1:5" x14ac:dyDescent="0.25">
      <c r="A1116" s="7">
        <v>1.5804588547029366</v>
      </c>
      <c r="B1116"/>
      <c r="C1116"/>
      <c r="D1116"/>
      <c r="E1116" s="1"/>
    </row>
    <row r="1117" spans="1:5" x14ac:dyDescent="0.25">
      <c r="A1117" s="7">
        <v>1.5648107472306303</v>
      </c>
      <c r="B1117"/>
      <c r="C1117"/>
      <c r="D1117"/>
      <c r="E1117" s="1"/>
    </row>
    <row r="1118" spans="1:5" x14ac:dyDescent="0.25">
      <c r="A1118" s="7">
        <v>1.5493175715154754</v>
      </c>
      <c r="B1118"/>
      <c r="C1118"/>
      <c r="D1118"/>
      <c r="E1118" s="1"/>
    </row>
    <row r="1119" spans="1:5" x14ac:dyDescent="0.25">
      <c r="A1119" s="7">
        <v>1.5339777935796786</v>
      </c>
      <c r="B1119"/>
      <c r="C1119"/>
      <c r="D1119"/>
      <c r="E1119" s="1"/>
    </row>
    <row r="1120" spans="1:5" x14ac:dyDescent="0.25">
      <c r="A1120" s="7">
        <v>1.5187898946333451</v>
      </c>
      <c r="B1120"/>
      <c r="C1120"/>
      <c r="D1120"/>
      <c r="E1120" s="1"/>
    </row>
    <row r="1121" spans="1:5" x14ac:dyDescent="0.25">
      <c r="A1121" s="7">
        <v>1.5037523709241041</v>
      </c>
      <c r="B1121"/>
      <c r="C1121"/>
      <c r="D1121"/>
      <c r="E1121" s="1"/>
    </row>
    <row r="1122" spans="1:5" x14ac:dyDescent="0.25">
      <c r="A1122" s="7">
        <v>1.4888637335882218</v>
      </c>
      <c r="B1122"/>
      <c r="C1122"/>
      <c r="D1122"/>
      <c r="E1122" s="1"/>
    </row>
    <row r="1123" spans="1:5" x14ac:dyDescent="0.25">
      <c r="A1123" s="7">
        <v>1.4741225085031899</v>
      </c>
      <c r="B1123"/>
      <c r="C1123"/>
      <c r="D1123"/>
      <c r="E1123" s="1"/>
    </row>
    <row r="1124" spans="1:5" x14ac:dyDescent="0.25">
      <c r="A1124" s="7">
        <v>1.4595272361417722</v>
      </c>
      <c r="B1124"/>
      <c r="C1124"/>
      <c r="D1124"/>
      <c r="E1124" s="1"/>
    </row>
    <row r="1125" spans="1:5" x14ac:dyDescent="0.25">
      <c r="A1125" s="7">
        <v>1.4450764714274971</v>
      </c>
      <c r="B1125"/>
      <c r="C1125"/>
      <c r="D1125"/>
      <c r="E1125" s="1"/>
    </row>
    <row r="1126" spans="1:5" x14ac:dyDescent="0.25">
      <c r="A1126" s="7">
        <v>1.4307687835915812</v>
      </c>
      <c r="B1126"/>
      <c r="C1126"/>
      <c r="D1126"/>
      <c r="E1126" s="1"/>
    </row>
    <row r="1127" spans="1:5" x14ac:dyDescent="0.25">
      <c r="A1127" s="7">
        <v>1.4166027560312686</v>
      </c>
      <c r="B1127"/>
      <c r="C1127"/>
      <c r="D1127"/>
      <c r="E1127" s="1"/>
    </row>
    <row r="1128" spans="1:5" x14ac:dyDescent="0.25">
      <c r="A1128" s="7">
        <v>1.4025769861695729</v>
      </c>
      <c r="B1128"/>
      <c r="C1128"/>
      <c r="D1128"/>
      <c r="E1128" s="1"/>
    </row>
    <row r="1129" spans="1:5" x14ac:dyDescent="0.25">
      <c r="A1129" s="7">
        <v>1.3886900853164088</v>
      </c>
      <c r="B1129"/>
      <c r="C1129"/>
      <c r="D1129"/>
      <c r="E1129" s="1"/>
    </row>
    <row r="1130" spans="1:5" x14ac:dyDescent="0.25">
      <c r="A1130" s="7">
        <v>1.3749406785310978</v>
      </c>
      <c r="B1130"/>
      <c r="C1130"/>
      <c r="D1130"/>
      <c r="E1130" s="1"/>
    </row>
    <row r="1131" spans="1:5" x14ac:dyDescent="0.25">
      <c r="A1131" s="7">
        <v>1.3613274044862353</v>
      </c>
      <c r="B1131"/>
      <c r="C1131"/>
      <c r="D1131"/>
      <c r="E1131" s="1"/>
    </row>
    <row r="1132" spans="1:5" x14ac:dyDescent="0.25">
      <c r="A1132" s="7">
        <v>1.3478489153329063</v>
      </c>
      <c r="B1132"/>
      <c r="C1132"/>
      <c r="D1132"/>
      <c r="E1132" s="1"/>
    </row>
    <row r="1133" spans="1:5" x14ac:dyDescent="0.25">
      <c r="A1133" s="7">
        <v>1.3345038765672339</v>
      </c>
      <c r="B1133"/>
      <c r="C1133"/>
      <c r="D1133"/>
      <c r="E1133" s="1"/>
    </row>
    <row r="1134" spans="1:5" x14ac:dyDescent="0.25">
      <c r="A1134" s="7">
        <v>1.3212909668982513</v>
      </c>
      <c r="B1134"/>
      <c r="C1134"/>
      <c r="D1134"/>
      <c r="E1134" s="1"/>
    </row>
    <row r="1135" spans="1:5" x14ac:dyDescent="0.25">
      <c r="A1135" s="7">
        <v>1.3082088781170804</v>
      </c>
      <c r="B1135"/>
      <c r="C1135"/>
      <c r="D1135"/>
      <c r="E1135" s="1"/>
    </row>
    <row r="1136" spans="1:5" x14ac:dyDescent="0.25">
      <c r="A1136" s="7">
        <v>1.2952563149674063</v>
      </c>
      <c r="B1136"/>
      <c r="C1136"/>
      <c r="D1136"/>
      <c r="E1136" s="1"/>
    </row>
    <row r="1137" spans="1:5" x14ac:dyDescent="0.25">
      <c r="A1137" s="7">
        <v>1.282431995017234</v>
      </c>
      <c r="B1137"/>
      <c r="C1137"/>
      <c r="D1137"/>
      <c r="E1137" s="1"/>
    </row>
    <row r="1138" spans="1:5" x14ac:dyDescent="0.25">
      <c r="A1138" s="7">
        <v>1.269734648531915</v>
      </c>
      <c r="B1138"/>
      <c r="C1138"/>
      <c r="D1138"/>
      <c r="E1138" s="1"/>
    </row>
    <row r="1139" spans="1:5" x14ac:dyDescent="0.25">
      <c r="A1139" s="7">
        <v>1.2571630183484306</v>
      </c>
      <c r="B1139"/>
      <c r="C1139"/>
      <c r="D1139"/>
      <c r="E1139" s="1"/>
    </row>
    <row r="1140" spans="1:5" x14ac:dyDescent="0.25">
      <c r="A1140" s="7">
        <v>1.2447158597509214</v>
      </c>
      <c r="B1140"/>
      <c r="C1140"/>
      <c r="D1140"/>
      <c r="E1140" s="1"/>
    </row>
    <row r="1141" spans="1:5" x14ac:dyDescent="0.25">
      <c r="A1141" s="7">
        <v>1.2323919403474468</v>
      </c>
      <c r="B1141"/>
      <c r="C1141"/>
      <c r="D1141"/>
      <c r="E1141" s="1"/>
    </row>
    <row r="1142" spans="1:5" x14ac:dyDescent="0.25">
      <c r="A1142" s="7">
        <v>1.220190039947967</v>
      </c>
      <c r="B1142"/>
      <c r="C1142"/>
      <c r="D1142"/>
      <c r="E1142" s="1"/>
    </row>
    <row r="1143" spans="1:5" x14ac:dyDescent="0.25">
      <c r="A1143" s="7">
        <v>1.2081089504435316</v>
      </c>
      <c r="B1143"/>
      <c r="C1143"/>
      <c r="D1143"/>
      <c r="E1143" s="1"/>
    </row>
    <row r="1144" spans="1:5" x14ac:dyDescent="0.25">
      <c r="A1144" s="7">
        <v>1.196147475686665</v>
      </c>
      <c r="B1144"/>
      <c r="C1144"/>
      <c r="D1144"/>
      <c r="E1144" s="1"/>
    </row>
    <row r="1145" spans="1:5" x14ac:dyDescent="0.25">
      <c r="A1145" s="7">
        <v>1.1843044313729356</v>
      </c>
      <c r="B1145"/>
      <c r="C1145"/>
      <c r="D1145"/>
      <c r="E1145" s="1"/>
    </row>
    <row r="1146" spans="1:5" x14ac:dyDescent="0.25">
      <c r="A1146" s="7">
        <v>1.1725786449236986</v>
      </c>
      <c r="B1146"/>
      <c r="C1146"/>
      <c r="D1146"/>
      <c r="E1146" s="1"/>
    </row>
    <row r="1147" spans="1:5" x14ac:dyDescent="0.25">
      <c r="A1147" s="7">
        <v>1.1609689553699987</v>
      </c>
      <c r="B1147"/>
      <c r="C1147"/>
      <c r="D1147"/>
      <c r="E1147" s="1"/>
    </row>
    <row r="1148" spans="1:5" x14ac:dyDescent="0.25">
      <c r="A1148" s="7">
        <v>1.1494742132376223</v>
      </c>
      <c r="B1148"/>
      <c r="C1148"/>
      <c r="D1148"/>
      <c r="E1148" s="1"/>
    </row>
    <row r="1149" spans="1:5" x14ac:dyDescent="0.25">
      <c r="A1149" s="7">
        <v>1.1380932804332895</v>
      </c>
      <c r="B1149"/>
      <c r="C1149"/>
      <c r="D1149"/>
      <c r="E1149" s="1"/>
    </row>
    <row r="1150" spans="1:5" x14ac:dyDescent="0.25">
      <c r="A1150" s="7">
        <v>1.1268250301319698</v>
      </c>
      <c r="B1150"/>
      <c r="C1150"/>
      <c r="D1150"/>
      <c r="E1150" s="1"/>
    </row>
    <row r="1151" spans="1:5" x14ac:dyDescent="0.25">
      <c r="A1151" s="7">
        <v>1.1156683466653166</v>
      </c>
      <c r="B1151"/>
      <c r="C1151"/>
      <c r="D1151"/>
      <c r="E1151" s="1"/>
    </row>
    <row r="1152" spans="1:5" x14ac:dyDescent="0.25">
      <c r="A1152" s="7">
        <v>1.1046221254112045</v>
      </c>
      <c r="B1152"/>
      <c r="C1152"/>
      <c r="D1152"/>
      <c r="E1152" s="1"/>
    </row>
    <row r="1153" spans="1:5" x14ac:dyDescent="0.25">
      <c r="A1153" s="7">
        <v>1.0936852726843609</v>
      </c>
      <c r="B1153"/>
      <c r="C1153"/>
      <c r="D1153"/>
      <c r="E1153" s="1"/>
    </row>
    <row r="1154" spans="1:5" x14ac:dyDescent="0.25">
      <c r="A1154" s="7">
        <v>1.08285670562808</v>
      </c>
      <c r="B1154"/>
      <c r="C1154"/>
      <c r="D1154"/>
      <c r="E1154" s="1"/>
    </row>
    <row r="1155" spans="1:5" x14ac:dyDescent="0.25">
      <c r="A1155" s="7">
        <v>1.0721353521070098</v>
      </c>
      <c r="B1155"/>
      <c r="C1155"/>
      <c r="D1155"/>
      <c r="E1155" s="1"/>
    </row>
    <row r="1156" spans="1:5" x14ac:dyDescent="0.25">
      <c r="A1156" s="7">
        <v>1.0615201506009999</v>
      </c>
      <c r="B1156"/>
      <c r="C1156"/>
      <c r="D1156"/>
      <c r="E1156" s="1"/>
    </row>
    <row r="1157" spans="1:5" x14ac:dyDescent="0.25">
      <c r="A1157" s="7">
        <v>1.0510100500999999</v>
      </c>
      <c r="B1157"/>
      <c r="C1157"/>
      <c r="D1157"/>
      <c r="E1157" s="1"/>
    </row>
    <row r="1158" spans="1:5" x14ac:dyDescent="0.25">
      <c r="A1158" s="7">
        <v>1.04060401</v>
      </c>
      <c r="B1158"/>
      <c r="C1158"/>
      <c r="D1158"/>
      <c r="E1158" s="1"/>
    </row>
    <row r="1159" spans="1:5" x14ac:dyDescent="0.25">
      <c r="A1159" s="7">
        <v>1.0303009999999999</v>
      </c>
      <c r="B1159"/>
      <c r="C1159"/>
      <c r="D1159"/>
      <c r="E1159" s="1"/>
    </row>
    <row r="1160" spans="1:5" x14ac:dyDescent="0.25">
      <c r="A1160" s="7">
        <v>1.0201</v>
      </c>
      <c r="B1160"/>
      <c r="C1160"/>
      <c r="D1160"/>
      <c r="E1160" s="1"/>
    </row>
    <row r="1161" spans="1:5" x14ac:dyDescent="0.25">
      <c r="A1161" s="7">
        <v>1.01</v>
      </c>
      <c r="B1161"/>
      <c r="C1161"/>
      <c r="D1161"/>
      <c r="E1161" s="1"/>
    </row>
    <row r="1162" spans="1:5" x14ac:dyDescent="0.25">
      <c r="A1162" s="7">
        <v>1</v>
      </c>
      <c r="B1162"/>
      <c r="C1162"/>
      <c r="D1162"/>
      <c r="E1162" s="18" t="s">
        <v>8</v>
      </c>
    </row>
    <row r="1163" spans="1:5" x14ac:dyDescent="0.25">
      <c r="A1163" s="7">
        <v>0.99009900990099009</v>
      </c>
      <c r="B1163"/>
      <c r="C1163"/>
      <c r="D1163"/>
      <c r="E1163" s="1"/>
    </row>
    <row r="1164" spans="1:5" x14ac:dyDescent="0.25">
      <c r="A1164" s="7">
        <v>0.98029604940692083</v>
      </c>
      <c r="B1164"/>
      <c r="C1164"/>
      <c r="D1164"/>
      <c r="E1164" s="1"/>
    </row>
    <row r="1165" spans="1:5" x14ac:dyDescent="0.25">
      <c r="A1165" s="7">
        <v>0.97059014792764442</v>
      </c>
      <c r="B1165"/>
      <c r="C1165"/>
      <c r="D1165"/>
      <c r="E1165" s="1"/>
    </row>
    <row r="1166" spans="1:5" x14ac:dyDescent="0.25">
      <c r="A1166" s="7">
        <v>0.96098034448281622</v>
      </c>
      <c r="B1166"/>
      <c r="C1166"/>
      <c r="D1166"/>
      <c r="E1166" s="1"/>
    </row>
    <row r="1167" spans="1:5" x14ac:dyDescent="0.25">
      <c r="A1167" s="7">
        <v>0.95146568760674877</v>
      </c>
      <c r="B1167"/>
      <c r="C1167"/>
      <c r="D1167"/>
      <c r="E1167" s="1"/>
    </row>
    <row r="1168" spans="1:5" x14ac:dyDescent="0.25">
      <c r="A1168" s="7">
        <v>0.94204523525420669</v>
      </c>
      <c r="B1168"/>
      <c r="C1168"/>
      <c r="D1168"/>
      <c r="E1168" s="1"/>
    </row>
    <row r="1169" spans="1:5" x14ac:dyDescent="0.25">
      <c r="A1169" s="7">
        <v>0.93271805470713531</v>
      </c>
      <c r="B1169"/>
      <c r="C1169"/>
      <c r="D1169"/>
      <c r="E1169" s="1"/>
    </row>
    <row r="1170" spans="1:5" x14ac:dyDescent="0.25">
      <c r="A1170" s="7">
        <v>0.92348322248231218</v>
      </c>
      <c r="B1170"/>
      <c r="C1170"/>
      <c r="D1170"/>
      <c r="E1170" s="1"/>
    </row>
    <row r="1171" spans="1:5" x14ac:dyDescent="0.25">
      <c r="A1171" s="7">
        <v>0.914339824239913</v>
      </c>
      <c r="B1171"/>
      <c r="C1171"/>
      <c r="D1171"/>
      <c r="E1171" s="1"/>
    </row>
    <row r="1172" spans="1:5" x14ac:dyDescent="0.25">
      <c r="A1172" s="7">
        <v>0.90528695469298315</v>
      </c>
      <c r="B1172"/>
      <c r="C1172"/>
      <c r="D1172"/>
      <c r="E1172" s="1"/>
    </row>
    <row r="1173" spans="1:5" x14ac:dyDescent="0.25">
      <c r="A1173" s="7">
        <v>0.89632371751780504</v>
      </c>
      <c r="B1173"/>
      <c r="C1173"/>
      <c r="D1173"/>
      <c r="E1173" s="1"/>
    </row>
    <row r="1174" spans="1:5" x14ac:dyDescent="0.25">
      <c r="A1174" s="7">
        <v>0.88744922526515346</v>
      </c>
      <c r="B1174"/>
      <c r="C1174"/>
      <c r="D1174"/>
      <c r="E1174" s="1"/>
    </row>
    <row r="1175" spans="1:5" x14ac:dyDescent="0.25">
      <c r="A1175" s="7">
        <v>0.87866259927242918</v>
      </c>
      <c r="B1175"/>
      <c r="C1175"/>
      <c r="D1175"/>
      <c r="E1175" s="1"/>
    </row>
    <row r="1176" spans="1:5" x14ac:dyDescent="0.25">
      <c r="A1176" s="7">
        <v>0.86996296957666253</v>
      </c>
      <c r="B1176"/>
      <c r="C1176"/>
      <c r="D1176"/>
      <c r="E1176" s="1"/>
    </row>
    <row r="1177" spans="1:5" x14ac:dyDescent="0.25">
      <c r="A1177" s="7">
        <v>0.86134947482837876</v>
      </c>
      <c r="B1177"/>
      <c r="C1177"/>
      <c r="D1177"/>
      <c r="E1177" s="1"/>
    </row>
    <row r="1178" spans="1:5" x14ac:dyDescent="0.25">
      <c r="A1178" s="7">
        <v>0.8528212622063156</v>
      </c>
      <c r="B1178"/>
      <c r="C1178"/>
      <c r="D1178"/>
      <c r="E1178" s="1"/>
    </row>
    <row r="1179" spans="1:5" x14ac:dyDescent="0.25">
      <c r="A1179" s="7">
        <v>0.84437748733298579</v>
      </c>
      <c r="B1179"/>
      <c r="C1179"/>
      <c r="D1179"/>
      <c r="E1179" s="1"/>
    </row>
    <row r="1180" spans="1:5" x14ac:dyDescent="0.25">
      <c r="A1180" s="7">
        <v>0.83601731419107506</v>
      </c>
      <c r="B1180"/>
      <c r="C1180"/>
      <c r="D1180"/>
      <c r="E1180" s="1"/>
    </row>
    <row r="1181" spans="1:5" x14ac:dyDescent="0.25">
      <c r="A1181" s="7">
        <v>0.82773991504066835</v>
      </c>
      <c r="B1181"/>
      <c r="C1181"/>
      <c r="D1181"/>
      <c r="E1181" s="1"/>
    </row>
    <row r="1182" spans="1:5" x14ac:dyDescent="0.25">
      <c r="A1182" s="7">
        <v>0.81954447033729538</v>
      </c>
      <c r="B1182"/>
      <c r="C1182"/>
      <c r="D1182"/>
      <c r="E1182" s="1"/>
    </row>
    <row r="1183" spans="1:5" x14ac:dyDescent="0.25">
      <c r="A1183" s="7">
        <v>0.81143016865078754</v>
      </c>
      <c r="B1183"/>
      <c r="C1183"/>
      <c r="D1183"/>
      <c r="E1183" s="1"/>
    </row>
    <row r="1184" spans="1:5" x14ac:dyDescent="0.25">
      <c r="A1184" s="7">
        <v>0.80339620658493816</v>
      </c>
      <c r="B1184"/>
      <c r="C1184"/>
      <c r="D1184"/>
      <c r="E1184" s="1"/>
    </row>
    <row r="1185" spans="1:5" x14ac:dyDescent="0.25">
      <c r="A1185" s="7">
        <v>0.79544178869795856</v>
      </c>
      <c r="B1185"/>
      <c r="C1185"/>
      <c r="D1185"/>
      <c r="E1185" s="1"/>
    </row>
    <row r="1186" spans="1:5" x14ac:dyDescent="0.25">
      <c r="A1186" s="7">
        <v>0.78756612742372134</v>
      </c>
      <c r="B1186"/>
      <c r="C1186"/>
      <c r="D1186"/>
      <c r="E1186" s="1"/>
    </row>
    <row r="1187" spans="1:5" x14ac:dyDescent="0.25">
      <c r="A1187" s="7">
        <v>0.77976844299378345</v>
      </c>
      <c r="B1187"/>
      <c r="C1187"/>
      <c r="D1187"/>
      <c r="E1187" s="1"/>
    </row>
    <row r="1188" spans="1:5" x14ac:dyDescent="0.25">
      <c r="A1188" s="7">
        <v>0.77204796336018167</v>
      </c>
      <c r="B1188"/>
      <c r="C1188"/>
      <c r="D1188"/>
      <c r="E1188" s="1"/>
    </row>
    <row r="1189" spans="1:5" x14ac:dyDescent="0.25">
      <c r="A1189" s="7">
        <v>0.76440392411899172</v>
      </c>
      <c r="B1189"/>
      <c r="C1189"/>
      <c r="D1189"/>
      <c r="E1189" s="1"/>
    </row>
    <row r="1190" spans="1:5" x14ac:dyDescent="0.25">
      <c r="A1190" s="7">
        <v>0.75683556843464528</v>
      </c>
      <c r="B1190"/>
      <c r="C1190"/>
      <c r="D1190"/>
      <c r="E1190" s="1"/>
    </row>
    <row r="1191" spans="1:5" x14ac:dyDescent="0.25">
      <c r="A1191" s="7">
        <v>0.74934214696499535</v>
      </c>
      <c r="B1191"/>
      <c r="C1191"/>
      <c r="D1191"/>
      <c r="E1191" s="1"/>
    </row>
    <row r="1192" spans="1:5" x14ac:dyDescent="0.25">
      <c r="A1192" s="7">
        <v>0.74192291778712405</v>
      </c>
      <c r="B1192"/>
      <c r="C1192"/>
      <c r="D1192"/>
      <c r="E1192" s="1"/>
    </row>
    <row r="1193" spans="1:5" x14ac:dyDescent="0.25">
      <c r="A1193" s="7">
        <v>0.73457714632388516</v>
      </c>
      <c r="B1193"/>
      <c r="C1193"/>
      <c r="D1193"/>
      <c r="E1193" s="1"/>
    </row>
    <row r="1194" spans="1:5" x14ac:dyDescent="0.25">
      <c r="A1194" s="7">
        <v>0.7273041052711734</v>
      </c>
      <c r="B1194"/>
      <c r="C1194"/>
      <c r="D1194"/>
      <c r="E1194" s="1"/>
    </row>
    <row r="1195" spans="1:5" x14ac:dyDescent="0.25">
      <c r="A1195" s="7">
        <v>0.72010307452591427</v>
      </c>
      <c r="B1195"/>
      <c r="C1195"/>
      <c r="D1195"/>
      <c r="E1195" s="1"/>
    </row>
    <row r="1196" spans="1:5" x14ac:dyDescent="0.25">
      <c r="A1196" s="7">
        <v>0.71297334111476662</v>
      </c>
      <c r="B1196"/>
      <c r="C1196"/>
      <c r="D1196"/>
      <c r="E1196" s="1"/>
    </row>
    <row r="1197" spans="1:5" x14ac:dyDescent="0.25">
      <c r="A1197" s="7">
        <v>0.70591419912353126</v>
      </c>
      <c r="B1197"/>
      <c r="C1197"/>
      <c r="D1197"/>
      <c r="E1197" s="1"/>
    </row>
    <row r="1198" spans="1:5" x14ac:dyDescent="0.25">
      <c r="A1198" s="7">
        <v>0.69892494962725871</v>
      </c>
      <c r="B1198"/>
      <c r="C1198"/>
      <c r="D1198"/>
      <c r="E1198" s="1"/>
    </row>
    <row r="1199" spans="1:5" x14ac:dyDescent="0.25">
      <c r="A1199" s="7">
        <v>0.69200490062104825</v>
      </c>
      <c r="B1199"/>
      <c r="C1199"/>
      <c r="D1199"/>
      <c r="E1199" s="1"/>
    </row>
    <row r="1200" spans="1:5" x14ac:dyDescent="0.25">
      <c r="A1200" s="7">
        <v>0.68515336695153295</v>
      </c>
      <c r="B1200"/>
      <c r="C1200"/>
      <c r="D1200"/>
      <c r="E1200" s="1"/>
    </row>
    <row r="1201" spans="1:5" x14ac:dyDescent="0.25">
      <c r="A1201" s="7">
        <v>0.67836967024904249</v>
      </c>
      <c r="B1201"/>
      <c r="C1201"/>
      <c r="D1201"/>
      <c r="E1201" s="1"/>
    </row>
    <row r="1202" spans="1:5" x14ac:dyDescent="0.25">
      <c r="A1202" s="7">
        <v>0.67165313886043809</v>
      </c>
      <c r="B1202"/>
      <c r="C1202"/>
      <c r="D1202"/>
      <c r="E1202" s="1"/>
    </row>
    <row r="1203" spans="1:5" x14ac:dyDescent="0.25">
      <c r="A1203" s="7">
        <v>0.66500310778261196</v>
      </c>
      <c r="B1203"/>
      <c r="C1203"/>
      <c r="D1203"/>
      <c r="E1203" s="1"/>
    </row>
    <row r="1204" spans="1:5" x14ac:dyDescent="0.25">
      <c r="A1204" s="7">
        <v>0.65841891859664547</v>
      </c>
      <c r="B1204"/>
      <c r="C1204"/>
      <c r="D1204"/>
      <c r="E1204" s="1"/>
    </row>
    <row r="1205" spans="1:5" x14ac:dyDescent="0.25">
      <c r="A1205" s="7">
        <v>0.65189991940261927</v>
      </c>
      <c r="B1205"/>
      <c r="C1205"/>
      <c r="D1205"/>
      <c r="E1205" s="1"/>
    </row>
    <row r="1206" spans="1:5" x14ac:dyDescent="0.25">
      <c r="A1206" s="7">
        <v>0.64544546475506859</v>
      </c>
      <c r="B1206"/>
      <c r="C1206"/>
      <c r="D1206"/>
      <c r="E1206" s="1"/>
    </row>
    <row r="1207" spans="1:5" x14ac:dyDescent="0.25">
      <c r="A1207" s="7">
        <v>0.63905491559907779</v>
      </c>
      <c r="B1207"/>
      <c r="C1207"/>
      <c r="D1207"/>
      <c r="E1207" s="1"/>
    </row>
    <row r="1208" spans="1:5" x14ac:dyDescent="0.25">
      <c r="A1208" s="7">
        <v>0.6327276392070077</v>
      </c>
      <c r="B1208"/>
      <c r="C1208"/>
      <c r="D1208"/>
      <c r="E1208" s="1"/>
    </row>
    <row r="1209" spans="1:5" x14ac:dyDescent="0.25">
      <c r="A1209" s="7">
        <v>0.62646300911584918</v>
      </c>
      <c r="B1209"/>
      <c r="C1209"/>
      <c r="D1209"/>
      <c r="E1209" s="1"/>
    </row>
    <row r="1210" spans="1:5" x14ac:dyDescent="0.25">
      <c r="A1210" s="7">
        <v>0.6202604050651972</v>
      </c>
      <c r="B1210"/>
      <c r="C1210"/>
      <c r="D1210"/>
      <c r="E1210" s="1"/>
    </row>
    <row r="1211" spans="1:5" x14ac:dyDescent="0.25">
      <c r="A1211" s="7">
        <v>0.61411921293583882</v>
      </c>
      <c r="B1211"/>
      <c r="C1211"/>
      <c r="D1211"/>
      <c r="E1211" s="1"/>
    </row>
    <row r="1212" spans="1:5" x14ac:dyDescent="0.25">
      <c r="A1212" s="7">
        <v>0.60803882468894932</v>
      </c>
      <c r="B1212"/>
      <c r="C1212"/>
      <c r="D1212"/>
      <c r="E1212" s="1"/>
    </row>
    <row r="1213" spans="1:5" x14ac:dyDescent="0.25">
      <c r="A1213" s="7">
        <v>0.60201863830589042</v>
      </c>
      <c r="B1213"/>
      <c r="C1213"/>
      <c r="D1213"/>
      <c r="E1213" s="1"/>
    </row>
    <row r="1214" spans="1:5" x14ac:dyDescent="0.25">
      <c r="A1214" s="7">
        <v>0.59605805772860432</v>
      </c>
      <c r="B1214"/>
      <c r="C1214"/>
      <c r="D1214"/>
      <c r="E1214" s="1"/>
    </row>
    <row r="1215" spans="1:5" x14ac:dyDescent="0.25">
      <c r="A1215" s="7">
        <v>0.59015649280059834</v>
      </c>
      <c r="B1215"/>
      <c r="C1215"/>
      <c r="D1215"/>
      <c r="E1215" s="1"/>
    </row>
    <row r="1216" spans="1:5" x14ac:dyDescent="0.25">
      <c r="A1216" s="7">
        <v>0.58431335920851324</v>
      </c>
      <c r="B1216"/>
      <c r="C1216"/>
      <c r="D1216"/>
      <c r="E1216" s="1"/>
    </row>
    <row r="1217" spans="1:5" x14ac:dyDescent="0.25">
      <c r="A1217" s="7">
        <v>0.57852807842427056</v>
      </c>
      <c r="B1217"/>
      <c r="C1217"/>
      <c r="D1217"/>
      <c r="E1217" s="1"/>
    </row>
    <row r="1218" spans="1:5" x14ac:dyDescent="0.25">
      <c r="A1218" s="7">
        <v>0.57280007764779262</v>
      </c>
      <c r="B1218"/>
      <c r="C1218"/>
      <c r="D1218"/>
      <c r="E1218" s="1"/>
    </row>
    <row r="1219" spans="1:5" x14ac:dyDescent="0.25">
      <c r="A1219" s="7">
        <v>0.56712878975028969</v>
      </c>
      <c r="B1219"/>
      <c r="C1219"/>
      <c r="D1219"/>
      <c r="E1219" s="1"/>
    </row>
    <row r="1220" spans="1:5" x14ac:dyDescent="0.25">
      <c r="A1220" s="7">
        <v>0.56151365321810864</v>
      </c>
      <c r="B1220"/>
      <c r="C1220"/>
      <c r="D1220"/>
      <c r="E1220" s="1"/>
    </row>
    <row r="1221" spans="1:5" x14ac:dyDescent="0.25">
      <c r="A1221" s="7">
        <v>0.5559541120971373</v>
      </c>
      <c r="B1221"/>
      <c r="C1221"/>
      <c r="D1221"/>
      <c r="E1221" s="1"/>
    </row>
    <row r="1222" spans="1:5" x14ac:dyDescent="0.25">
      <c r="A1222" s="7">
        <v>0.55044961593775965</v>
      </c>
      <c r="B1222"/>
      <c r="C1222"/>
      <c r="D1222"/>
      <c r="E1222" s="1"/>
    </row>
    <row r="1223" spans="1:5" x14ac:dyDescent="0.25">
      <c r="A1223" s="7">
        <v>0.54499961974035604</v>
      </c>
      <c r="B1223"/>
      <c r="C1223"/>
      <c r="D1223"/>
      <c r="E1223" s="1"/>
    </row>
    <row r="1224" spans="1:5" x14ac:dyDescent="0.25">
      <c r="A1224" s="7">
        <v>0.53960358390134266</v>
      </c>
      <c r="B1224"/>
      <c r="C1224"/>
      <c r="D1224"/>
      <c r="E1224" s="1"/>
    </row>
    <row r="1225" spans="1:5" x14ac:dyDescent="0.25">
      <c r="A1225" s="7">
        <v>0.53426097415974516</v>
      </c>
      <c r="B1225"/>
      <c r="C1225"/>
      <c r="D1225"/>
      <c r="E1225" s="1"/>
    </row>
    <row r="1226" spans="1:5" x14ac:dyDescent="0.25">
      <c r="A1226" s="7">
        <v>0.52897126154430218</v>
      </c>
      <c r="B1226"/>
      <c r="C1226"/>
      <c r="D1226"/>
      <c r="E1226" s="1"/>
    </row>
    <row r="1227" spans="1:5" x14ac:dyDescent="0.25">
      <c r="A1227" s="7">
        <v>0.52373392232109128</v>
      </c>
      <c r="B1227"/>
      <c r="C1227"/>
      <c r="D1227"/>
      <c r="E1227" s="1"/>
    </row>
    <row r="1228" spans="1:5" x14ac:dyDescent="0.25">
      <c r="A1228" s="7">
        <v>0.51854843794167449</v>
      </c>
      <c r="B1228"/>
      <c r="C1228"/>
      <c r="D1228"/>
      <c r="E1228" s="1"/>
    </row>
    <row r="1229" spans="1:5" x14ac:dyDescent="0.25">
      <c r="A1229" s="7">
        <v>0.51341429499175695</v>
      </c>
      <c r="B1229"/>
      <c r="C1229"/>
      <c r="D1229"/>
      <c r="E1229" s="1"/>
    </row>
    <row r="1230" spans="1:5" x14ac:dyDescent="0.25">
      <c r="A1230" s="7">
        <v>0.50833098514035346</v>
      </c>
      <c r="B1230"/>
      <c r="C1230"/>
      <c r="D1230"/>
      <c r="E1230" s="1"/>
    </row>
    <row r="1231" spans="1:5" x14ac:dyDescent="0.25">
      <c r="A1231" s="7">
        <v>0.50329800508945888</v>
      </c>
      <c r="B1231"/>
      <c r="C1231"/>
      <c r="D1231"/>
      <c r="E1231" s="1"/>
    </row>
    <row r="1232" spans="1:5" x14ac:dyDescent="0.25">
      <c r="A1232" s="7">
        <v>0.4983148565242167</v>
      </c>
      <c r="B1232"/>
      <c r="C1232"/>
      <c r="D1232"/>
      <c r="E1232" s="1"/>
    </row>
    <row r="1233" spans="1:5" x14ac:dyDescent="0.25">
      <c r="A1233" s="7">
        <v>0.49338104606358091</v>
      </c>
      <c r="B1233"/>
      <c r="C1233"/>
      <c r="D1233"/>
      <c r="E1233" s="1"/>
    </row>
    <row r="1234" spans="1:5" x14ac:dyDescent="0.25">
      <c r="A1234" s="7">
        <v>0.48849608521146626</v>
      </c>
      <c r="B1234"/>
      <c r="C1234"/>
      <c r="D1234"/>
      <c r="E1234" s="1"/>
    </row>
    <row r="1235" spans="1:5" x14ac:dyDescent="0.25">
      <c r="A1235" s="7">
        <v>0.48365949030838246</v>
      </c>
      <c r="B1235"/>
      <c r="C1235"/>
      <c r="D1235"/>
      <c r="E1235" s="1"/>
    </row>
    <row r="1236" spans="1:5" x14ac:dyDescent="0.25">
      <c r="A1236" s="7">
        <v>0.47887078248354698</v>
      </c>
      <c r="B1236"/>
      <c r="C1236"/>
      <c r="D1236"/>
      <c r="E1236" s="1"/>
    </row>
    <row r="1237" spans="1:5" x14ac:dyDescent="0.25">
      <c r="A1237" s="7">
        <v>0.47412948760747226</v>
      </c>
      <c r="B1237"/>
      <c r="C1237"/>
      <c r="D1237"/>
      <c r="E1237" s="1"/>
    </row>
    <row r="1238" spans="1:5" x14ac:dyDescent="0.25">
      <c r="A1238" s="7">
        <v>0.46943513624502203</v>
      </c>
      <c r="B1238"/>
      <c r="C1238"/>
      <c r="D1238"/>
      <c r="E1238" s="1"/>
    </row>
    <row r="1239" spans="1:5" x14ac:dyDescent="0.25">
      <c r="A1239" s="7">
        <v>0.46478726360893269</v>
      </c>
      <c r="B1239"/>
      <c r="C1239"/>
      <c r="D1239"/>
      <c r="E1239" s="1"/>
    </row>
    <row r="1240" spans="1:5" x14ac:dyDescent="0.25">
      <c r="A1240" s="7">
        <v>0.46018540951379472</v>
      </c>
      <c r="B1240"/>
      <c r="C1240"/>
      <c r="D1240"/>
      <c r="E1240" s="1"/>
    </row>
    <row r="1241" spans="1:5" x14ac:dyDescent="0.25">
      <c r="A1241" s="7">
        <v>0.4556291183304898</v>
      </c>
      <c r="B1241"/>
      <c r="C1241"/>
      <c r="D1241"/>
      <c r="E1241" s="1"/>
    </row>
    <row r="1242" spans="1:5" x14ac:dyDescent="0.25">
      <c r="A1242" s="7">
        <v>0.45111793894107899</v>
      </c>
      <c r="B1242"/>
      <c r="C1242"/>
      <c r="D1242"/>
      <c r="E1242" s="1"/>
    </row>
    <row r="1243" spans="1:5" x14ac:dyDescent="0.25">
      <c r="A1243" s="7">
        <v>0.4466514246941376</v>
      </c>
      <c r="B1243"/>
      <c r="C1243"/>
      <c r="D1243"/>
      <c r="E1243" s="1"/>
    </row>
    <row r="1244" spans="1:5" x14ac:dyDescent="0.25">
      <c r="A1244" s="7">
        <v>0.44222913336053227</v>
      </c>
      <c r="B1244"/>
      <c r="C1244"/>
      <c r="D1244"/>
      <c r="E1244" s="1"/>
    </row>
    <row r="1245" spans="1:5" x14ac:dyDescent="0.25">
      <c r="A1245" s="7">
        <v>0.4378506270896359</v>
      </c>
      <c r="B1245"/>
      <c r="C1245"/>
      <c r="D1245"/>
      <c r="E1245" s="1"/>
    </row>
    <row r="1246" spans="1:5" x14ac:dyDescent="0.25">
      <c r="A1246" s="7">
        <v>0.43351547236597615</v>
      </c>
      <c r="B1246"/>
      <c r="C1246"/>
      <c r="D1246"/>
      <c r="E1246" s="1"/>
    </row>
    <row r="1247" spans="1:5" x14ac:dyDescent="0.25">
      <c r="A1247" s="7">
        <v>0.42922323996631301</v>
      </c>
      <c r="B1247"/>
      <c r="C1247"/>
      <c r="D1247"/>
      <c r="E1247" s="1"/>
    </row>
    <row r="1248" spans="1:5" x14ac:dyDescent="0.25">
      <c r="A1248" s="7">
        <v>0.42497350491714159</v>
      </c>
      <c r="B1248"/>
      <c r="C1248"/>
      <c r="D1248"/>
      <c r="E1248" s="1"/>
    </row>
    <row r="1249" spans="1:5" x14ac:dyDescent="0.25">
      <c r="A1249" s="7">
        <v>0.42076584645261544</v>
      </c>
      <c r="B1249"/>
      <c r="C1249"/>
      <c r="D1249"/>
      <c r="E1249" s="1"/>
    </row>
    <row r="1250" spans="1:5" x14ac:dyDescent="0.25">
      <c r="A1250" s="7">
        <v>0.41659984797288657</v>
      </c>
      <c r="B1250"/>
      <c r="C1250"/>
      <c r="D1250"/>
      <c r="E1250" s="1"/>
    </row>
    <row r="1251" spans="1:5" x14ac:dyDescent="0.25">
      <c r="A1251" s="7">
        <v>0.412475097002858</v>
      </c>
      <c r="B1251"/>
      <c r="C1251"/>
      <c r="D1251"/>
      <c r="E1251" s="1"/>
    </row>
    <row r="1252" spans="1:5" x14ac:dyDescent="0.25">
      <c r="A1252" s="7">
        <v>0.40839118515134454</v>
      </c>
      <c r="B1252"/>
      <c r="C1252"/>
      <c r="D1252"/>
      <c r="E1252" s="1"/>
    </row>
    <row r="1253" spans="1:5" x14ac:dyDescent="0.25">
      <c r="A1253" s="7">
        <v>0.40434770807063813</v>
      </c>
      <c r="B1253"/>
      <c r="C1253"/>
      <c r="D1253"/>
      <c r="E1253" s="1"/>
    </row>
    <row r="1254" spans="1:5" x14ac:dyDescent="0.25">
      <c r="A1254" s="7">
        <v>0.40034426541647339</v>
      </c>
      <c r="B1254"/>
      <c r="C1254"/>
      <c r="D1254"/>
      <c r="E1254" s="1"/>
    </row>
    <row r="1255" spans="1:5" x14ac:dyDescent="0.25">
      <c r="A1255" s="7">
        <v>0.39638046080838951</v>
      </c>
      <c r="B1255"/>
      <c r="C1255"/>
      <c r="D1255"/>
      <c r="E1255" s="1"/>
    </row>
    <row r="1256" spans="1:5" x14ac:dyDescent="0.25">
      <c r="A1256" s="7">
        <v>0.39245590179048467</v>
      </c>
      <c r="B1256"/>
      <c r="C1256"/>
      <c r="D1256"/>
      <c r="E1256" s="1"/>
    </row>
    <row r="1257" spans="1:5" x14ac:dyDescent="0.25">
      <c r="A1257" s="7">
        <v>0.38857019979255908</v>
      </c>
      <c r="B1257"/>
      <c r="C1257"/>
      <c r="D1257"/>
      <c r="E1257" s="1"/>
    </row>
    <row r="1258" spans="1:5" x14ac:dyDescent="0.25">
      <c r="A1258" s="7">
        <v>0.38472297009164264</v>
      </c>
      <c r="B1258"/>
      <c r="C1258"/>
      <c r="D1258"/>
      <c r="E1258" s="1"/>
    </row>
    <row r="1259" spans="1:5" x14ac:dyDescent="0.25">
      <c r="A1259" s="7">
        <v>0.38091383177390359</v>
      </c>
      <c r="B1259"/>
      <c r="C1259"/>
      <c r="D1259"/>
      <c r="E1259" s="1"/>
    </row>
    <row r="1260" spans="1:5" x14ac:dyDescent="0.25">
      <c r="A1260" s="7">
        <v>0.37714240769693425</v>
      </c>
      <c r="B1260"/>
      <c r="C1260"/>
      <c r="D1260"/>
      <c r="E1260" s="1"/>
    </row>
    <row r="1261" spans="1:5" x14ac:dyDescent="0.25">
      <c r="A1261" s="7">
        <v>0.37340832445241012</v>
      </c>
      <c r="B1261"/>
      <c r="C1261"/>
      <c r="D1261"/>
      <c r="E1261" s="1"/>
    </row>
    <row r="1262" spans="1:5" x14ac:dyDescent="0.25">
      <c r="A1262" s="7">
        <v>0.36971121232911891</v>
      </c>
      <c r="B1262"/>
      <c r="C1262"/>
      <c r="D1262"/>
      <c r="E1262" s="1"/>
    </row>
    <row r="1263" spans="1:5" x14ac:dyDescent="0.25">
      <c r="A1263" s="7">
        <v>0.36605070527635536</v>
      </c>
      <c r="B1263"/>
      <c r="C1263"/>
      <c r="D1263"/>
      <c r="E1263" s="1"/>
    </row>
    <row r="1264" spans="1:5" x14ac:dyDescent="0.25">
      <c r="A1264" s="7">
        <v>0.36242644086767856</v>
      </c>
      <c r="B1264"/>
      <c r="C1264"/>
      <c r="D1264"/>
      <c r="E1264" s="1"/>
    </row>
    <row r="1265" spans="1:5" x14ac:dyDescent="0.25">
      <c r="A1265" s="7">
        <v>0.35883806026502829</v>
      </c>
      <c r="B1265"/>
      <c r="C1265"/>
      <c r="D1265"/>
      <c r="E1265" s="1"/>
    </row>
    <row r="1266" spans="1:5" x14ac:dyDescent="0.25">
      <c r="A1266" s="7">
        <v>0.35528520818319631</v>
      </c>
      <c r="B1266"/>
      <c r="C1266"/>
      <c r="D1266"/>
      <c r="E1266" s="1"/>
    </row>
    <row r="1267" spans="1:5" x14ac:dyDescent="0.25">
      <c r="A1267" s="7">
        <v>0.35176753285464979</v>
      </c>
      <c r="B1267"/>
      <c r="C1267"/>
      <c r="D1267"/>
      <c r="E1267" s="1"/>
    </row>
    <row r="1268" spans="1:5" x14ac:dyDescent="0.25">
      <c r="A1268" s="7">
        <v>0.34828468599470275</v>
      </c>
      <c r="B1268"/>
      <c r="C1268"/>
      <c r="D1268"/>
      <c r="E1268" s="1"/>
    </row>
    <row r="1269" spans="1:5" x14ac:dyDescent="0.25">
      <c r="A1269" s="7">
        <v>0.34483632276703241</v>
      </c>
      <c r="B1269"/>
      <c r="C1269"/>
      <c r="D1269"/>
      <c r="E1269" s="1"/>
    </row>
    <row r="1270" spans="1:5" x14ac:dyDescent="0.25">
      <c r="A1270" s="7">
        <v>0.34142210174953702</v>
      </c>
      <c r="B1270"/>
      <c r="C1270"/>
      <c r="D1270"/>
      <c r="E1270" s="1"/>
    </row>
    <row r="1271" spans="1:5" x14ac:dyDescent="0.25">
      <c r="A1271" s="7">
        <v>0.33804168490053171</v>
      </c>
      <c r="B1271"/>
      <c r="C1271"/>
      <c r="D1271"/>
      <c r="E1271" s="1"/>
    </row>
    <row r="1272" spans="1:5" x14ac:dyDescent="0.25">
      <c r="A1272" s="7">
        <v>0.3346947375252789</v>
      </c>
      <c r="B1272"/>
      <c r="C1272"/>
      <c r="D1272"/>
      <c r="E1272" s="1"/>
    </row>
    <row r="1273" spans="1:5" x14ac:dyDescent="0.25">
      <c r="A1273" s="7">
        <v>0.33138092824285037</v>
      </c>
      <c r="B1273"/>
      <c r="C1273"/>
      <c r="D1273"/>
      <c r="E1273" s="1"/>
    </row>
    <row r="1274" spans="1:5" x14ac:dyDescent="0.25">
      <c r="A1274" s="7">
        <v>0.32809992895331719</v>
      </c>
      <c r="B1274"/>
      <c r="C1274"/>
      <c r="D1274"/>
      <c r="E1274" s="1"/>
    </row>
    <row r="1275" spans="1:5" x14ac:dyDescent="0.25">
      <c r="A1275" s="7">
        <v>0.32485141480526453</v>
      </c>
      <c r="B1275"/>
      <c r="C1275"/>
      <c r="D1275"/>
      <c r="E1275" s="1"/>
    </row>
    <row r="1276" spans="1:5" x14ac:dyDescent="0.25">
      <c r="A1276" s="7">
        <v>0.32163506416362825</v>
      </c>
      <c r="B1276"/>
      <c r="C1276"/>
      <c r="D1276"/>
      <c r="E1276" s="1"/>
    </row>
    <row r="1277" spans="1:5" x14ac:dyDescent="0.25">
      <c r="A1277" s="7">
        <v>0.31845055857784976</v>
      </c>
      <c r="B1277"/>
      <c r="C1277"/>
      <c r="D1277"/>
      <c r="E1277" s="1"/>
    </row>
    <row r="1278" spans="1:5" x14ac:dyDescent="0.25">
      <c r="A1278" s="7">
        <v>0.31529758275034631</v>
      </c>
      <c r="B1278"/>
      <c r="C1278"/>
      <c r="D1278"/>
      <c r="E1278" s="1"/>
    </row>
    <row r="1279" spans="1:5" x14ac:dyDescent="0.25">
      <c r="A1279" s="7">
        <v>0.31217582450529335</v>
      </c>
      <c r="B1279"/>
      <c r="C1279"/>
      <c r="D1279"/>
      <c r="E1279" s="1"/>
    </row>
    <row r="1280" spans="1:5" x14ac:dyDescent="0.25">
      <c r="A1280" s="7">
        <v>0.30908497475771618</v>
      </c>
      <c r="B1280"/>
      <c r="C1280"/>
      <c r="D1280"/>
      <c r="E1280" s="1"/>
    </row>
    <row r="1281" spans="1:5" x14ac:dyDescent="0.25">
      <c r="A1281" s="7">
        <v>0.30602472748288728</v>
      </c>
      <c r="B1281"/>
      <c r="C1281"/>
      <c r="D1281"/>
      <c r="E1281" s="1"/>
    </row>
    <row r="1282" spans="1:5" x14ac:dyDescent="0.25">
      <c r="A1282" s="7">
        <v>0.302994779686027</v>
      </c>
      <c r="B1282"/>
      <c r="C1282"/>
      <c r="D1282"/>
      <c r="E1282" s="1"/>
    </row>
    <row r="1283" spans="1:5" x14ac:dyDescent="0.25">
      <c r="A1283" s="7">
        <v>0.29999483137230398</v>
      </c>
      <c r="B1283"/>
      <c r="C1283"/>
      <c r="D1283"/>
      <c r="E1283" s="1"/>
    </row>
    <row r="1284" spans="1:5" x14ac:dyDescent="0.25">
      <c r="A1284" s="7">
        <v>0.29702458551713268</v>
      </c>
      <c r="B1284"/>
      <c r="C1284"/>
      <c r="D1284"/>
      <c r="E1284" s="1"/>
    </row>
    <row r="1285" spans="1:5" x14ac:dyDescent="0.25">
      <c r="A1285" s="7">
        <v>0.29408374803676501</v>
      </c>
      <c r="B1285"/>
      <c r="C1285"/>
      <c r="D1285"/>
      <c r="E1285" s="1"/>
    </row>
    <row r="1286" spans="1:5" x14ac:dyDescent="0.25">
      <c r="A1286" s="7">
        <v>0.29117202775917328</v>
      </c>
      <c r="B1286"/>
      <c r="C1286"/>
      <c r="D1286"/>
      <c r="E1286" s="1"/>
    </row>
    <row r="1287" spans="1:5" x14ac:dyDescent="0.25">
      <c r="A1287" s="7">
        <v>0.28828913639522108</v>
      </c>
      <c r="B1287"/>
      <c r="C1287"/>
      <c r="D1287"/>
      <c r="E1287" s="1"/>
    </row>
    <row r="1288" spans="1:5" x14ac:dyDescent="0.25">
      <c r="A1288" s="7">
        <v>0.28543478851011989</v>
      </c>
      <c r="B1288"/>
      <c r="C1288"/>
      <c r="D1288"/>
      <c r="E1288" s="1"/>
    </row>
    <row r="1289" spans="1:5" x14ac:dyDescent="0.25">
      <c r="A1289" s="7">
        <v>0.2826087014951682</v>
      </c>
      <c r="B1289"/>
      <c r="C1289"/>
      <c r="D1289"/>
      <c r="E1289" s="1"/>
    </row>
    <row r="1290" spans="1:5" x14ac:dyDescent="0.25">
      <c r="A1290" s="7">
        <v>0.2798105955397705</v>
      </c>
      <c r="B1290"/>
      <c r="C1290"/>
      <c r="D1290"/>
      <c r="E1290" s="1"/>
    </row>
    <row r="1291" spans="1:5" x14ac:dyDescent="0.25">
      <c r="A1291" s="7">
        <v>0.27704019360373316</v>
      </c>
      <c r="B1291"/>
      <c r="C1291"/>
      <c r="D1291"/>
      <c r="E1291" s="1"/>
    </row>
    <row r="1292" spans="1:5" x14ac:dyDescent="0.25">
      <c r="A1292" s="7">
        <v>0.27429722138983481</v>
      </c>
      <c r="B1292"/>
      <c r="C1292"/>
      <c r="D1292"/>
      <c r="E1292" s="1"/>
    </row>
    <row r="1293" spans="1:5" x14ac:dyDescent="0.25">
      <c r="A1293" s="7">
        <v>0.27158140731666813</v>
      </c>
      <c r="B1293"/>
      <c r="C1293"/>
      <c r="D1293"/>
      <c r="E1293" s="1"/>
    </row>
    <row r="1294" spans="1:5" x14ac:dyDescent="0.25">
      <c r="A1294" s="7">
        <v>0.26889248249175063</v>
      </c>
      <c r="B1294"/>
      <c r="C1294"/>
      <c r="D1294"/>
      <c r="E1294" s="1"/>
    </row>
    <row r="1295" spans="1:5" x14ac:dyDescent="0.25">
      <c r="A1295" s="7">
        <v>0.26623018068490162</v>
      </c>
      <c r="B1295"/>
      <c r="C1295"/>
      <c r="D1295"/>
      <c r="E1295" s="1"/>
    </row>
    <row r="1296" spans="1:5" x14ac:dyDescent="0.25">
      <c r="A1296" s="7">
        <v>0.26359423830188278</v>
      </c>
      <c r="B1296"/>
      <c r="C1296"/>
      <c r="D1296"/>
      <c r="E1296" s="1"/>
    </row>
    <row r="1297" spans="1:5" x14ac:dyDescent="0.25">
      <c r="A1297" s="7">
        <v>0.26098439435829979</v>
      </c>
      <c r="B1297"/>
      <c r="C1297"/>
      <c r="D1297"/>
      <c r="E1297" s="1"/>
    </row>
    <row r="1298" spans="1:5" x14ac:dyDescent="0.25">
      <c r="A1298" s="7">
        <v>0.25840039045376217</v>
      </c>
      <c r="B1298"/>
      <c r="C1298"/>
      <c r="D1298"/>
      <c r="E1298" s="1"/>
    </row>
    <row r="1299" spans="1:5" x14ac:dyDescent="0.25">
      <c r="A1299" s="7">
        <v>0.25584197074629916</v>
      </c>
      <c r="B1299"/>
      <c r="C1299"/>
      <c r="D1299"/>
      <c r="E1299" s="1"/>
    </row>
    <row r="1300" spans="1:5" x14ac:dyDescent="0.25">
      <c r="A1300" s="7">
        <v>0.25330888192702888</v>
      </c>
      <c r="B1300"/>
      <c r="C1300"/>
      <c r="D1300"/>
      <c r="E1300" s="1"/>
    </row>
    <row r="1301" spans="1:5" x14ac:dyDescent="0.25">
      <c r="A1301" s="7">
        <v>0.2508008731950781</v>
      </c>
      <c r="B1301"/>
      <c r="C1301"/>
      <c r="D1301"/>
      <c r="E1301" s="1"/>
    </row>
    <row r="1302" spans="1:5" x14ac:dyDescent="0.25">
      <c r="A1302" s="7">
        <v>0.2483176962327506</v>
      </c>
      <c r="B1302"/>
      <c r="C1302"/>
      <c r="D1302"/>
      <c r="E1302" s="1"/>
    </row>
    <row r="1303" spans="1:5" x14ac:dyDescent="0.25">
      <c r="A1303" s="7">
        <v>0.24585910518094117</v>
      </c>
      <c r="B1303"/>
      <c r="C1303"/>
      <c r="D1303"/>
      <c r="E1303" s="1"/>
    </row>
    <row r="1304" spans="1:5" x14ac:dyDescent="0.25">
      <c r="A1304" s="7">
        <v>0.24342485661479324</v>
      </c>
      <c r="B1304"/>
      <c r="C1304"/>
      <c r="D1304"/>
      <c r="E1304" s="1"/>
    </row>
    <row r="1305" spans="1:5" x14ac:dyDescent="0.25">
      <c r="A1305" s="7">
        <v>0.24101470951959728</v>
      </c>
      <c r="B1305"/>
      <c r="C1305"/>
      <c r="D1305"/>
      <c r="E1305" s="1"/>
    </row>
    <row r="1306" spans="1:5" x14ac:dyDescent="0.25">
      <c r="A1306" s="7">
        <v>0.23862842526692798</v>
      </c>
      <c r="B1306"/>
      <c r="C1306"/>
      <c r="D1306"/>
      <c r="E1306" s="1"/>
    </row>
    <row r="1307" spans="1:5" x14ac:dyDescent="0.25">
      <c r="A1307" s="7">
        <v>0.23626576759101781</v>
      </c>
      <c r="B1307"/>
      <c r="C1307"/>
      <c r="D1307"/>
      <c r="E1307" s="1"/>
    </row>
    <row r="1308" spans="1:5" x14ac:dyDescent="0.25">
      <c r="A1308" s="7">
        <v>0.23392650256536415</v>
      </c>
      <c r="B1308"/>
      <c r="C1308"/>
      <c r="D1308"/>
      <c r="E1308" s="1"/>
    </row>
    <row r="1309" spans="1:5" x14ac:dyDescent="0.25">
      <c r="A1309" s="7">
        <v>0.23161039857956847</v>
      </c>
      <c r="B1309"/>
      <c r="C1309"/>
      <c r="D1309"/>
      <c r="E1309" s="1"/>
    </row>
    <row r="1310" spans="1:5" x14ac:dyDescent="0.25">
      <c r="A1310" s="7">
        <v>0.22931722631640442</v>
      </c>
      <c r="B1310"/>
      <c r="C1310"/>
      <c r="D1310"/>
      <c r="E1310" s="1"/>
    </row>
    <row r="1311" spans="1:5" x14ac:dyDescent="0.25">
      <c r="A1311" s="7">
        <v>0.22704675872911328</v>
      </c>
      <c r="B1311"/>
      <c r="C1311"/>
      <c r="D1311"/>
      <c r="E1311" s="1"/>
    </row>
    <row r="1312" spans="1:5" x14ac:dyDescent="0.25">
      <c r="A1312" s="7">
        <v>0.22479877101892404</v>
      </c>
      <c r="B1312"/>
      <c r="C1312"/>
      <c r="D1312"/>
      <c r="E1312" s="1"/>
    </row>
    <row r="1313" spans="1:5" x14ac:dyDescent="0.25">
      <c r="A1313" s="7">
        <v>0.22257304061279606</v>
      </c>
      <c r="B1313"/>
      <c r="C1313"/>
      <c r="D1313"/>
      <c r="E1313" s="1"/>
    </row>
    <row r="1314" spans="1:5" x14ac:dyDescent="0.25">
      <c r="A1314" s="7">
        <v>0.22036934714138223</v>
      </c>
      <c r="B1314"/>
      <c r="C1314"/>
      <c r="D1314"/>
      <c r="E1314" s="1"/>
    </row>
    <row r="1315" spans="1:5" x14ac:dyDescent="0.25">
      <c r="A1315" s="7">
        <v>0.21818747241721012</v>
      </c>
      <c r="B1315"/>
      <c r="C1315"/>
      <c r="D1315"/>
      <c r="E1315" s="1"/>
    </row>
    <row r="1316" spans="1:5" x14ac:dyDescent="0.25">
      <c r="A1316" s="7">
        <v>0.21602720041307932</v>
      </c>
      <c r="B1316"/>
      <c r="C1316"/>
      <c r="D1316"/>
      <c r="E1316" s="1"/>
    </row>
    <row r="1317" spans="1:5" x14ac:dyDescent="0.25">
      <c r="A1317" s="7">
        <v>0.21388831724067259</v>
      </c>
      <c r="B1317"/>
      <c r="C1317"/>
      <c r="D1317"/>
      <c r="E1317" s="1"/>
    </row>
    <row r="1318" spans="1:5" x14ac:dyDescent="0.25">
      <c r="A1318" s="7">
        <v>0.21177061112937881</v>
      </c>
      <c r="B1318"/>
      <c r="C1318"/>
      <c r="D1318"/>
      <c r="E1318" s="1"/>
    </row>
    <row r="1319" spans="1:5" x14ac:dyDescent="0.25">
      <c r="A1319" s="7">
        <v>0.20967387240532556</v>
      </c>
      <c r="B1319"/>
      <c r="C1319"/>
      <c r="D1319"/>
      <c r="E1319" s="1"/>
    </row>
    <row r="1320" spans="1:5" x14ac:dyDescent="0.25">
      <c r="A1320" s="7">
        <v>0.20759789347061935</v>
      </c>
      <c r="B1320"/>
      <c r="C1320"/>
      <c r="D1320"/>
      <c r="E1320" s="1"/>
    </row>
    <row r="1321" spans="1:5" x14ac:dyDescent="0.25">
      <c r="A1321" s="7">
        <v>0.20554246878279145</v>
      </c>
      <c r="B1321"/>
      <c r="C1321"/>
      <c r="D1321"/>
      <c r="E1321" s="1"/>
    </row>
    <row r="1322" spans="1:5" x14ac:dyDescent="0.25">
      <c r="A1322" s="7">
        <v>0.20350739483444696</v>
      </c>
      <c r="B1322"/>
      <c r="C1322"/>
      <c r="D1322"/>
      <c r="E1322" s="1"/>
    </row>
    <row r="1323" spans="1:5" x14ac:dyDescent="0.25">
      <c r="A1323" s="7">
        <v>0.2014924701331158</v>
      </c>
      <c r="B1323"/>
      <c r="C1323"/>
      <c r="D1323"/>
      <c r="E1323" s="1"/>
    </row>
    <row r="1324" spans="1:5" x14ac:dyDescent="0.25">
      <c r="A1324" s="7">
        <v>0.19949749518130278</v>
      </c>
      <c r="B1324"/>
      <c r="C1324"/>
      <c r="D1324"/>
      <c r="E1324" s="1"/>
    </row>
    <row r="1325" spans="1:5" x14ac:dyDescent="0.25">
      <c r="A1325" s="7">
        <v>0.19752227245673543</v>
      </c>
      <c r="B1325"/>
      <c r="C1325"/>
      <c r="D1325"/>
      <c r="E1325" s="1"/>
    </row>
    <row r="1326" spans="1:5" x14ac:dyDescent="0.25">
      <c r="A1326" s="7">
        <v>0.19556660639280735</v>
      </c>
      <c r="B1326"/>
      <c r="C1326"/>
      <c r="D1326"/>
      <c r="E1326" s="1"/>
    </row>
    <row r="1327" spans="1:5" x14ac:dyDescent="0.25">
      <c r="A1327" s="7">
        <v>0.19363030335921519</v>
      </c>
      <c r="B1327"/>
      <c r="C1327"/>
      <c r="D1327"/>
      <c r="E1327" s="1"/>
    </row>
    <row r="1328" spans="1:5" x14ac:dyDescent="0.25">
      <c r="A1328" s="7">
        <v>0.19171317164278731</v>
      </c>
      <c r="B1328"/>
      <c r="C1328"/>
      <c r="D1328"/>
      <c r="E1328" s="1"/>
    </row>
    <row r="1329" spans="1:5" x14ac:dyDescent="0.25">
      <c r="A1329" s="7">
        <v>0.18981502142850229</v>
      </c>
      <c r="B1329"/>
      <c r="C1329"/>
      <c r="D1329"/>
      <c r="E1329" s="1"/>
    </row>
    <row r="1330" spans="1:5" x14ac:dyDescent="0.25">
      <c r="A1330" s="7">
        <v>0.18793566478069534</v>
      </c>
      <c r="B1330"/>
      <c r="C1330"/>
      <c r="D1330"/>
      <c r="E1330" s="1"/>
    </row>
    <row r="1331" spans="1:5" x14ac:dyDescent="0.25">
      <c r="A1331" s="7">
        <v>0.18607491562445083</v>
      </c>
      <c r="B1331"/>
      <c r="C1331"/>
      <c r="D1331"/>
      <c r="E1331" s="1"/>
    </row>
    <row r="1332" spans="1:5" x14ac:dyDescent="0.25">
      <c r="A1332" s="7">
        <v>0.18423258972717904</v>
      </c>
      <c r="B1332"/>
      <c r="C1332"/>
      <c r="D1332"/>
      <c r="E1332" s="1"/>
    </row>
    <row r="1333" spans="1:5" x14ac:dyDescent="0.25">
      <c r="A1333" s="7">
        <v>0.18240850468037528</v>
      </c>
      <c r="B1333"/>
      <c r="C1333"/>
      <c r="D1333"/>
      <c r="E1333" s="1"/>
    </row>
    <row r="1334" spans="1:5" x14ac:dyDescent="0.25">
      <c r="A1334" s="7">
        <v>0.1806024798815597</v>
      </c>
      <c r="B1334"/>
      <c r="C1334"/>
      <c r="D1334"/>
      <c r="E1334" s="1"/>
    </row>
    <row r="1335" spans="1:5" x14ac:dyDescent="0.25">
      <c r="A1335" s="7">
        <v>0.17881433651639575</v>
      </c>
      <c r="B1335"/>
      <c r="C1335"/>
      <c r="D1335"/>
      <c r="E1335" s="1"/>
    </row>
    <row r="1336" spans="1:5" x14ac:dyDescent="0.25">
      <c r="A1336" s="7">
        <v>0.1770438975409859</v>
      </c>
      <c r="B1336"/>
      <c r="C1336"/>
      <c r="D1336"/>
      <c r="E1336" s="1"/>
    </row>
    <row r="1337" spans="1:5" x14ac:dyDescent="0.25">
      <c r="A1337" s="7">
        <v>0.17529098766434248</v>
      </c>
      <c r="B1337"/>
      <c r="C1337"/>
      <c r="D1337"/>
      <c r="E1337" s="1"/>
    </row>
    <row r="1338" spans="1:5" x14ac:dyDescent="0.25">
      <c r="A1338" s="7">
        <v>0.17355543333103216</v>
      </c>
      <c r="B1338"/>
      <c r="C1338"/>
      <c r="D1338"/>
      <c r="E1338" s="1"/>
    </row>
    <row r="1339" spans="1:5" x14ac:dyDescent="0.25">
      <c r="A1339" s="7">
        <v>0.17183706270399224</v>
      </c>
      <c r="B1339"/>
      <c r="C1339"/>
      <c r="D1339"/>
      <c r="E1339" s="1"/>
    </row>
    <row r="1340" spans="1:5" x14ac:dyDescent="0.25">
      <c r="A1340" s="7">
        <v>0.17013570564751707</v>
      </c>
      <c r="B1340"/>
      <c r="C1340"/>
      <c r="D1340"/>
      <c r="E1340" s="1"/>
    </row>
    <row r="1341" spans="1:5" x14ac:dyDescent="0.25">
      <c r="A1341" s="7">
        <v>0.16845119371041292</v>
      </c>
      <c r="B1341"/>
      <c r="C1341"/>
      <c r="D1341"/>
      <c r="E1341" s="1"/>
    </row>
    <row r="1342" spans="1:5" x14ac:dyDescent="0.25">
      <c r="A1342" s="7">
        <v>0.16678336010931971</v>
      </c>
      <c r="B1342"/>
      <c r="C1342"/>
      <c r="D1342"/>
      <c r="E1342" s="1"/>
    </row>
    <row r="1343" spans="1:5" x14ac:dyDescent="0.25">
      <c r="A1343" s="7">
        <v>0.16513203971219773</v>
      </c>
      <c r="B1343"/>
      <c r="C1343"/>
      <c r="D1343"/>
      <c r="E1343" s="1"/>
    </row>
    <row r="1344" spans="1:5" x14ac:dyDescent="0.25">
      <c r="A1344" s="7">
        <v>0.16349706902197794</v>
      </c>
      <c r="B1344"/>
      <c r="C1344"/>
      <c r="D1344"/>
      <c r="E1344" s="1"/>
    </row>
    <row r="1345" spans="1:5" x14ac:dyDescent="0.25">
      <c r="A1345" s="7">
        <v>0.1618782861603742</v>
      </c>
      <c r="B1345"/>
      <c r="C1345"/>
      <c r="D1345"/>
      <c r="E1345" s="1"/>
    </row>
    <row r="1346" spans="1:5" x14ac:dyDescent="0.25">
      <c r="A1346" s="7">
        <v>0.16027553085185564</v>
      </c>
      <c r="B1346"/>
      <c r="C1346"/>
      <c r="D1346"/>
      <c r="E1346" s="1"/>
    </row>
    <row r="1347" spans="1:5" x14ac:dyDescent="0.25">
      <c r="A1347" s="7">
        <v>0.15868864440777786</v>
      </c>
      <c r="B1347"/>
      <c r="C1347"/>
      <c r="D1347"/>
      <c r="E1347" s="1"/>
    </row>
    <row r="1348" spans="1:5" x14ac:dyDescent="0.25">
      <c r="A1348" s="7">
        <v>0.15711746971067114</v>
      </c>
      <c r="B1348"/>
      <c r="C1348"/>
      <c r="D1348"/>
      <c r="E1348" s="1"/>
    </row>
    <row r="1349" spans="1:5" x14ac:dyDescent="0.25">
      <c r="A1349" s="7">
        <v>0.15556185119868429</v>
      </c>
      <c r="B1349"/>
      <c r="C1349"/>
      <c r="D1349"/>
      <c r="E1349" s="1"/>
    </row>
    <row r="1350" spans="1:5" x14ac:dyDescent="0.25">
      <c r="A1350" s="7">
        <v>0.15402163485018247</v>
      </c>
      <c r="B1350"/>
      <c r="C1350"/>
      <c r="D1350"/>
      <c r="E1350" s="1"/>
    </row>
    <row r="1351" spans="1:5" x14ac:dyDescent="0.25">
      <c r="A1351" s="7">
        <v>0.1524966681684975</v>
      </c>
      <c r="B1351"/>
      <c r="C1351"/>
      <c r="D1351"/>
      <c r="E1351" s="1"/>
    </row>
    <row r="1352" spans="1:5" x14ac:dyDescent="0.25">
      <c r="A1352" s="7">
        <v>0.15098680016682919</v>
      </c>
      <c r="B1352"/>
      <c r="C1352"/>
      <c r="D1352"/>
      <c r="E1352" s="1"/>
    </row>
    <row r="1353" spans="1:5" x14ac:dyDescent="0.25">
      <c r="A1353" s="7">
        <v>0.14949188135329622</v>
      </c>
      <c r="B1353"/>
      <c r="C1353"/>
      <c r="D1353"/>
      <c r="E1353" s="1"/>
    </row>
    <row r="1354" spans="1:5" x14ac:dyDescent="0.25">
      <c r="A1354" s="7">
        <v>0.14801176371613486</v>
      </c>
      <c r="B1354"/>
      <c r="C1354"/>
      <c r="D1354"/>
      <c r="E1354" s="1"/>
    </row>
    <row r="1355" spans="1:5" x14ac:dyDescent="0.25">
      <c r="A1355" s="7">
        <v>0.14654630070904442</v>
      </c>
      <c r="B1355"/>
      <c r="C1355"/>
      <c r="D1355"/>
      <c r="E1355" s="1"/>
    </row>
    <row r="1356" spans="1:5" x14ac:dyDescent="0.25">
      <c r="A1356" s="7">
        <v>0.14509534723667764</v>
      </c>
      <c r="B1356"/>
      <c r="C1356"/>
      <c r="D1356"/>
      <c r="E1356" s="1"/>
    </row>
    <row r="1357" spans="1:5" x14ac:dyDescent="0.25">
      <c r="A1357" s="7">
        <v>0.14365875964027489</v>
      </c>
      <c r="B1357"/>
      <c r="C1357"/>
      <c r="D1357"/>
      <c r="E1357" s="1"/>
    </row>
    <row r="1358" spans="1:5" x14ac:dyDescent="0.25">
      <c r="A1358" s="7">
        <v>0.14223639568344049</v>
      </c>
      <c r="B1358"/>
      <c r="C1358"/>
      <c r="D1358"/>
      <c r="E1358" s="1"/>
    </row>
    <row r="1359" spans="1:5" x14ac:dyDescent="0.25">
      <c r="A1359" s="7">
        <v>0.14082811453805988</v>
      </c>
      <c r="B1359"/>
      <c r="C1359"/>
      <c r="D1359"/>
      <c r="E1359" s="1"/>
    </row>
    <row r="1360" spans="1:5" x14ac:dyDescent="0.25">
      <c r="A1360" s="7">
        <v>0.13943377677035632</v>
      </c>
      <c r="B1360"/>
      <c r="C1360"/>
      <c r="D1360"/>
      <c r="E1360" s="1"/>
    </row>
    <row r="1361" spans="1:5" x14ac:dyDescent="0.25">
      <c r="A1361" s="7">
        <v>0.13805324432708546</v>
      </c>
      <c r="B1361"/>
      <c r="C1361"/>
      <c r="D1361"/>
      <c r="E1361" s="1"/>
    </row>
    <row r="1362" spans="1:5" x14ac:dyDescent="0.25">
      <c r="A1362" s="7">
        <v>0.1366863805218668</v>
      </c>
      <c r="B1362"/>
      <c r="C1362"/>
      <c r="D1362"/>
      <c r="E1362" s="1"/>
    </row>
    <row r="1363" spans="1:5" x14ac:dyDescent="0.25">
      <c r="A1363" s="7">
        <v>0.1353330500216503</v>
      </c>
      <c r="B1363"/>
      <c r="C1363"/>
      <c r="D1363"/>
      <c r="E1363" s="1"/>
    </row>
    <row r="1364" spans="1:5" x14ac:dyDescent="0.25">
      <c r="A1364" s="7">
        <v>0.13399311883331713</v>
      </c>
      <c r="B1364"/>
      <c r="C1364"/>
      <c r="D1364"/>
      <c r="E1364" s="1"/>
    </row>
    <row r="1365" spans="1:5" x14ac:dyDescent="0.25">
      <c r="A1365" s="7">
        <v>0.13266645429041299</v>
      </c>
      <c r="B1365"/>
      <c r="C1365"/>
      <c r="D1365"/>
      <c r="E1365" s="1"/>
    </row>
    <row r="1366" spans="1:5" x14ac:dyDescent="0.25">
      <c r="A1366" s="7">
        <v>0.13135292504001286</v>
      </c>
      <c r="B1366"/>
      <c r="C1366"/>
      <c r="D1366"/>
      <c r="E1366" s="1"/>
    </row>
    <row r="1367" spans="1:5" x14ac:dyDescent="0.25">
      <c r="A1367" s="7">
        <v>0.13005240102971571</v>
      </c>
      <c r="B1367"/>
      <c r="C1367"/>
      <c r="D1367"/>
      <c r="E1367" s="1"/>
    </row>
    <row r="1368" spans="1:5" x14ac:dyDescent="0.25">
      <c r="A1368" s="7">
        <v>0.12876475349476804</v>
      </c>
      <c r="B1368"/>
      <c r="C1368"/>
      <c r="D1368"/>
      <c r="E1368" s="1"/>
    </row>
    <row r="1369" spans="1:5" x14ac:dyDescent="0.25">
      <c r="A1369" s="7">
        <v>0.1274898549453149</v>
      </c>
      <c r="B1369"/>
      <c r="C1369"/>
      <c r="D1369"/>
      <c r="E1369" s="1"/>
    </row>
    <row r="1370" spans="1:5" x14ac:dyDescent="0.25">
      <c r="A1370" s="7">
        <v>0.12622757915377714</v>
      </c>
      <c r="B1370"/>
      <c r="C1370"/>
      <c r="D1370"/>
      <c r="E1370" s="1"/>
    </row>
    <row r="1371" spans="1:5" x14ac:dyDescent="0.25">
      <c r="A1371" s="7">
        <v>0.1249778011423536</v>
      </c>
      <c r="B1371"/>
      <c r="C1371"/>
      <c r="D1371"/>
      <c r="E1371" s="1"/>
    </row>
    <row r="1372" spans="1:5" x14ac:dyDescent="0.25">
      <c r="A1372" s="7">
        <v>0.12374039717064712</v>
      </c>
      <c r="B1372"/>
      <c r="C1372"/>
      <c r="D1372"/>
      <c r="E1372" s="1"/>
    </row>
    <row r="1373" spans="1:5" x14ac:dyDescent="0.25">
      <c r="A1373" s="7">
        <v>0.12251524472341299</v>
      </c>
      <c r="B1373"/>
      <c r="C1373"/>
      <c r="D1373"/>
      <c r="E1373" s="1"/>
    </row>
    <row r="1374" spans="1:5" x14ac:dyDescent="0.25">
      <c r="A1374" s="7">
        <v>0.1213022224984287</v>
      </c>
      <c r="B1374"/>
      <c r="C1374"/>
      <c r="D1374"/>
      <c r="E1374" s="1"/>
    </row>
    <row r="1375" spans="1:5" x14ac:dyDescent="0.25">
      <c r="A1375" s="7">
        <v>0.12010121039448386</v>
      </c>
      <c r="B1375"/>
      <c r="C1375"/>
      <c r="D1375"/>
      <c r="E1375" s="1"/>
    </row>
    <row r="1376" spans="1:5" x14ac:dyDescent="0.25">
      <c r="A1376" s="7">
        <v>0.11891208949948898</v>
      </c>
      <c r="B1376"/>
      <c r="C1376"/>
      <c r="D1376"/>
      <c r="E1376" s="1"/>
    </row>
    <row r="1377" spans="1:5" x14ac:dyDescent="0.25">
      <c r="A1377" s="7">
        <v>0.11773474207870195</v>
      </c>
      <c r="B1377"/>
      <c r="C1377"/>
      <c r="D1377"/>
      <c r="E1377" s="1"/>
    </row>
    <row r="1378" spans="1:5" x14ac:dyDescent="0.25">
      <c r="A1378" s="7">
        <v>0.11656905156307124</v>
      </c>
      <c r="B1378"/>
      <c r="C1378"/>
      <c r="D1378"/>
      <c r="E1378" s="1"/>
    </row>
    <row r="1379" spans="1:5" x14ac:dyDescent="0.25">
      <c r="A1379" s="7">
        <v>0.11541490253769429</v>
      </c>
      <c r="B1379"/>
      <c r="C1379"/>
      <c r="D1379"/>
      <c r="E1379" s="1"/>
    </row>
    <row r="1380" spans="1:5" x14ac:dyDescent="0.25">
      <c r="A1380" s="7">
        <v>0.11427218073039039</v>
      </c>
      <c r="B1380"/>
      <c r="C1380"/>
      <c r="D1380"/>
      <c r="E1380" s="1"/>
    </row>
    <row r="1381" spans="1:5" x14ac:dyDescent="0.25">
      <c r="A1381" s="7">
        <v>0.11314077300038652</v>
      </c>
      <c r="B1381"/>
      <c r="C1381"/>
      <c r="D1381"/>
      <c r="E1381" s="1"/>
    </row>
    <row r="1382" spans="1:5" x14ac:dyDescent="0.25">
      <c r="A1382" s="7">
        <v>0.11202056732711536</v>
      </c>
      <c r="B1382"/>
      <c r="C1382"/>
      <c r="D1382"/>
      <c r="E1382" s="1"/>
    </row>
    <row r="1383" spans="1:5" x14ac:dyDescent="0.25">
      <c r="A1383" s="7">
        <v>0.11091145279912412</v>
      </c>
      <c r="B1383"/>
      <c r="C1383"/>
      <c r="D1383"/>
      <c r="E1383" s="1"/>
    </row>
    <row r="1384" spans="1:5" x14ac:dyDescent="0.25">
      <c r="A1384" s="7">
        <v>0.10981331960309319</v>
      </c>
      <c r="B1384"/>
      <c r="C1384"/>
      <c r="D1384"/>
      <c r="E1384" s="1"/>
    </row>
    <row r="1385" spans="1:5" x14ac:dyDescent="0.25">
      <c r="A1385" s="7">
        <v>0.10872605901296356</v>
      </c>
      <c r="B1385"/>
      <c r="C1385"/>
      <c r="D1385"/>
      <c r="E1385" s="1"/>
    </row>
    <row r="1386" spans="1:5" x14ac:dyDescent="0.25">
      <c r="A1386" s="7">
        <v>0.10764956337917184</v>
      </c>
      <c r="B1386"/>
      <c r="C1386"/>
      <c r="D1386"/>
      <c r="E1386" s="1"/>
    </row>
    <row r="1387" spans="1:5" x14ac:dyDescent="0.25">
      <c r="A1387" s="7">
        <v>0.10658372611799191</v>
      </c>
      <c r="B1387"/>
      <c r="C1387"/>
      <c r="D1387"/>
      <c r="E1387" s="1"/>
    </row>
    <row r="1388" spans="1:5" x14ac:dyDescent="0.25">
      <c r="A1388" s="7">
        <v>0.10552844170098209</v>
      </c>
      <c r="B1388"/>
      <c r="C1388"/>
      <c r="D1388"/>
      <c r="E1388" s="1"/>
    </row>
    <row r="1389" spans="1:5" x14ac:dyDescent="0.25">
      <c r="A1389" s="7">
        <v>0.10448360564453672</v>
      </c>
      <c r="B1389"/>
      <c r="C1389"/>
      <c r="D1389"/>
      <c r="E1389" s="1"/>
    </row>
    <row r="1390" spans="1:5" x14ac:dyDescent="0.25">
      <c r="A1390" s="7">
        <v>0.10344911449954131</v>
      </c>
      <c r="B1390"/>
      <c r="C1390"/>
      <c r="D1390"/>
      <c r="E1390" s="1"/>
    </row>
    <row r="1391" spans="1:5" x14ac:dyDescent="0.25">
      <c r="A1391" s="7">
        <v>0.10242486584113</v>
      </c>
      <c r="B1391"/>
      <c r="C1391"/>
      <c r="D1391"/>
      <c r="E1391" s="1"/>
    </row>
    <row r="1392" spans="1:5" x14ac:dyDescent="0.25">
      <c r="A1392" s="7">
        <v>0.10141075825854455</v>
      </c>
      <c r="B1392"/>
      <c r="C1392"/>
      <c r="D1392"/>
      <c r="E1392" s="1"/>
    </row>
    <row r="1393" spans="1:5" x14ac:dyDescent="0.25">
      <c r="A1393" s="7">
        <v>0.10040669134509361</v>
      </c>
      <c r="B1393"/>
      <c r="C1393"/>
      <c r="D1393"/>
      <c r="E1393" s="1"/>
    </row>
    <row r="1394" spans="1:5" x14ac:dyDescent="0.25">
      <c r="A1394" s="7">
        <v>9.9412565688211496E-2</v>
      </c>
      <c r="B1394"/>
      <c r="C1394"/>
      <c r="D1394"/>
      <c r="E1394" s="1"/>
    </row>
    <row r="1395" spans="1:5" x14ac:dyDescent="0.25">
      <c r="A1395" s="7">
        <v>9.8428282859615343E-2</v>
      </c>
      <c r="B1395"/>
      <c r="C1395"/>
      <c r="D1395"/>
      <c r="E1395" s="1"/>
    </row>
    <row r="1396" spans="1:5" x14ac:dyDescent="0.25">
      <c r="A1396" s="7">
        <v>9.7453745405559747E-2</v>
      </c>
      <c r="B1396"/>
      <c r="C1396"/>
      <c r="D1396"/>
      <c r="E1396" s="1"/>
    </row>
    <row r="1397" spans="1:5" x14ac:dyDescent="0.25">
      <c r="A1397" s="7">
        <v>9.6488856837187872E-2</v>
      </c>
      <c r="B1397"/>
      <c r="C1397"/>
      <c r="D1397"/>
      <c r="E1397" s="1"/>
    </row>
    <row r="1398" spans="1:5" x14ac:dyDescent="0.25">
      <c r="A1398" s="7">
        <v>9.5533521620978085E-2</v>
      </c>
      <c r="B1398"/>
      <c r="C1398"/>
      <c r="D1398"/>
      <c r="E1398" s="1"/>
    </row>
    <row r="1399" spans="1:5" x14ac:dyDescent="0.25">
      <c r="A1399" s="7">
        <v>9.4587645169285237E-2</v>
      </c>
      <c r="B1399"/>
      <c r="C1399"/>
      <c r="D1399"/>
      <c r="E1399" s="1"/>
    </row>
    <row r="1400" spans="1:5" x14ac:dyDescent="0.25">
      <c r="A1400" s="7">
        <v>9.365113383097548E-2</v>
      </c>
      <c r="B1400"/>
      <c r="C1400"/>
      <c r="D1400"/>
      <c r="E1400" s="1"/>
    </row>
    <row r="1401" spans="1:5" x14ac:dyDescent="0.25">
      <c r="A1401" s="7">
        <v>9.2723894882153934E-2</v>
      </c>
      <c r="B1401"/>
      <c r="C1401"/>
      <c r="D1401"/>
      <c r="E1401" s="1"/>
    </row>
    <row r="1402" spans="1:5" x14ac:dyDescent="0.25">
      <c r="A1402" s="7">
        <v>9.1805836516984096E-2</v>
      </c>
      <c r="B1402"/>
      <c r="C1402"/>
      <c r="D1402"/>
      <c r="E1402" s="1"/>
    </row>
    <row r="1403" spans="1:5" x14ac:dyDescent="0.25">
      <c r="A1403" s="7">
        <v>9.0896867838598114E-2</v>
      </c>
      <c r="B1403"/>
      <c r="C1403"/>
      <c r="D1403"/>
      <c r="E1403" s="1"/>
    </row>
    <row r="1404" spans="1:5" x14ac:dyDescent="0.25">
      <c r="A1404" s="7">
        <v>8.9996898850097137E-2</v>
      </c>
      <c r="B1404"/>
      <c r="C1404"/>
      <c r="D1404"/>
      <c r="E1404" s="1"/>
    </row>
    <row r="1405" spans="1:5" x14ac:dyDescent="0.25">
      <c r="A1405" s="7">
        <v>8.9105840445640724E-2</v>
      </c>
      <c r="B1405"/>
      <c r="C1405"/>
      <c r="D1405"/>
      <c r="E1405" s="1"/>
    </row>
    <row r="1406" spans="1:5" x14ac:dyDescent="0.25">
      <c r="A1406" s="7">
        <v>8.8223604401624481E-2</v>
      </c>
      <c r="B1406"/>
      <c r="C1406"/>
      <c r="D1406"/>
      <c r="E1406" s="1"/>
    </row>
    <row r="1407" spans="1:5" x14ac:dyDescent="0.25">
      <c r="A1407" s="7">
        <v>8.7350103367945034E-2</v>
      </c>
      <c r="B1407"/>
      <c r="C1407"/>
      <c r="D1407"/>
      <c r="E1407" s="1"/>
    </row>
    <row r="1408" spans="1:5" x14ac:dyDescent="0.25">
      <c r="A1408" s="7">
        <v>8.648525085935152E-2</v>
      </c>
      <c r="B1408"/>
      <c r="C1408"/>
      <c r="D1408"/>
      <c r="E1408" s="1"/>
    </row>
    <row r="1409" spans="1:5" x14ac:dyDescent="0.25">
      <c r="A1409" s="7">
        <v>8.5628961246882698E-2</v>
      </c>
      <c r="B1409"/>
      <c r="C1409"/>
      <c r="D1409"/>
      <c r="E1409" s="1"/>
    </row>
    <row r="1410" spans="1:5" x14ac:dyDescent="0.25">
      <c r="A1410" s="7">
        <v>8.4781149749388815E-2</v>
      </c>
      <c r="B1410"/>
      <c r="C1410"/>
      <c r="D1410"/>
      <c r="E1410" s="1"/>
    </row>
    <row r="1411" spans="1:5" x14ac:dyDescent="0.25">
      <c r="A1411" s="7">
        <v>8.3941732425137444E-2</v>
      </c>
      <c r="B1411"/>
      <c r="C1411"/>
      <c r="D1411"/>
      <c r="E1411" s="1"/>
    </row>
    <row r="1412" spans="1:5" x14ac:dyDescent="0.25">
      <c r="A1412" s="7">
        <v>8.3110626163502413E-2</v>
      </c>
      <c r="B1412"/>
      <c r="C1412"/>
      <c r="D1412"/>
      <c r="E1412" s="1"/>
    </row>
    <row r="1413" spans="1:5" x14ac:dyDescent="0.25">
      <c r="A1413" s="7">
        <v>8.2287748676735065E-2</v>
      </c>
      <c r="B1413"/>
      <c r="C1413"/>
      <c r="D1413"/>
      <c r="E1413" s="1"/>
    </row>
    <row r="1414" spans="1:5" x14ac:dyDescent="0.25">
      <c r="A1414" s="7">
        <v>8.1473018491816901E-2</v>
      </c>
      <c r="B1414"/>
      <c r="C1414"/>
      <c r="D1414"/>
      <c r="E1414" s="1"/>
    </row>
    <row r="1415" spans="1:5" x14ac:dyDescent="0.25">
      <c r="A1415" s="7">
        <v>8.0666354942392965E-2</v>
      </c>
      <c r="B1415"/>
      <c r="C1415"/>
      <c r="D1415"/>
      <c r="E1415" s="1"/>
    </row>
    <row r="1416" spans="1:5" x14ac:dyDescent="0.25">
      <c r="A1416" s="7">
        <v>7.9867678160785119E-2</v>
      </c>
      <c r="B1416"/>
      <c r="C1416"/>
      <c r="D1416"/>
      <c r="E1416" s="1"/>
    </row>
    <row r="1417" spans="1:5" x14ac:dyDescent="0.25">
      <c r="A1417" s="7">
        <v>7.9076909070084273E-2</v>
      </c>
      <c r="B1417"/>
      <c r="C1417"/>
      <c r="D1417"/>
      <c r="E1417" s="1"/>
    </row>
    <row r="1418" spans="1:5" x14ac:dyDescent="0.25">
      <c r="A1418" s="7">
        <v>7.8293969376321063E-2</v>
      </c>
      <c r="B1418"/>
      <c r="C1418"/>
      <c r="D1418"/>
      <c r="E1418" s="1"/>
    </row>
    <row r="1419" spans="1:5" x14ac:dyDescent="0.25">
      <c r="A1419" s="7">
        <v>7.7518781560713929E-2</v>
      </c>
      <c r="B1419"/>
      <c r="C1419"/>
      <c r="D1419"/>
      <c r="E1419" s="1"/>
    </row>
    <row r="1420" spans="1:5" x14ac:dyDescent="0.25">
      <c r="A1420" s="7">
        <v>7.6751268871993988E-2</v>
      </c>
      <c r="B1420"/>
      <c r="C1420"/>
      <c r="D1420"/>
      <c r="E1420" s="1"/>
    </row>
    <row r="1421" spans="1:5" x14ac:dyDescent="0.25">
      <c r="A1421" s="7">
        <v>7.5991355318805923E-2</v>
      </c>
      <c r="B1421"/>
      <c r="C1421"/>
      <c r="D1421"/>
      <c r="E1421" s="1"/>
    </row>
    <row r="1422" spans="1:5" x14ac:dyDescent="0.25">
      <c r="A1422" s="7">
        <v>7.5238965662184076E-2</v>
      </c>
      <c r="B1422"/>
      <c r="C1422"/>
      <c r="D1422"/>
      <c r="E1422" s="1"/>
    </row>
    <row r="1423" spans="1:5" x14ac:dyDescent="0.25">
      <c r="A1423" s="7">
        <v>7.4494025408103043E-2</v>
      </c>
      <c r="B1423"/>
      <c r="C1423"/>
      <c r="D1423"/>
      <c r="E1423" s="1"/>
    </row>
    <row r="1424" spans="1:5" x14ac:dyDescent="0.25">
      <c r="A1424" s="7">
        <v>7.3756460800102022E-2</v>
      </c>
      <c r="B1424"/>
      <c r="C1424"/>
      <c r="D1424"/>
      <c r="E1424" s="1"/>
    </row>
    <row r="1425" spans="1:5" x14ac:dyDescent="0.25">
      <c r="A1425" s="7">
        <v>7.3026198811982204E-2</v>
      </c>
      <c r="B1425"/>
      <c r="C1425"/>
      <c r="D1425"/>
      <c r="E1425" s="1"/>
    </row>
    <row r="1426" spans="1:5" x14ac:dyDescent="0.25">
      <c r="A1426" s="7">
        <v>7.2303167140576441E-2</v>
      </c>
      <c r="B1426"/>
      <c r="C1426"/>
      <c r="D1426"/>
      <c r="E1426" s="1"/>
    </row>
    <row r="1427" spans="1:5" x14ac:dyDescent="0.25">
      <c r="A1427" s="7">
        <v>7.1587294198590529E-2</v>
      </c>
      <c r="B1427"/>
      <c r="C1427"/>
      <c r="D1427"/>
      <c r="E1427" s="1"/>
    </row>
    <row r="1428" spans="1:5" x14ac:dyDescent="0.25">
      <c r="A1428" s="7">
        <v>7.0878509107515378E-2</v>
      </c>
      <c r="B1428"/>
      <c r="C1428"/>
      <c r="D1428"/>
      <c r="E1428" s="1"/>
    </row>
    <row r="1429" spans="1:5" x14ac:dyDescent="0.25">
      <c r="A1429" s="7">
        <v>7.0176741690609279E-2</v>
      </c>
      <c r="B1429"/>
      <c r="C1429"/>
      <c r="D1429"/>
      <c r="E1429" s="1"/>
    </row>
    <row r="1430" spans="1:5" x14ac:dyDescent="0.25">
      <c r="A1430" s="7">
        <v>6.948192246594978E-2</v>
      </c>
      <c r="B1430"/>
      <c r="C1430"/>
      <c r="D1430"/>
      <c r="E1430" s="1"/>
    </row>
    <row r="1431" spans="1:5" x14ac:dyDescent="0.25">
      <c r="A1431" s="7">
        <v>6.8793982639554233E-2</v>
      </c>
      <c r="B1431"/>
      <c r="C1431"/>
      <c r="D1431"/>
      <c r="E1431" s="1"/>
    </row>
    <row r="1432" spans="1:5" x14ac:dyDescent="0.25">
      <c r="A1432" s="7">
        <v>6.8112854098568543E-2</v>
      </c>
      <c r="B1432"/>
      <c r="C1432"/>
      <c r="D1432"/>
      <c r="E1432" s="1"/>
    </row>
    <row r="1433" spans="1:5" x14ac:dyDescent="0.25">
      <c r="A1433" s="7">
        <v>6.7438469404523305E-2</v>
      </c>
      <c r="B1433"/>
      <c r="C1433"/>
      <c r="D1433"/>
      <c r="E1433" s="1"/>
    </row>
    <row r="1434" spans="1:5" x14ac:dyDescent="0.25">
      <c r="A1434" s="7">
        <v>6.6770761786656738E-2</v>
      </c>
      <c r="B1434"/>
      <c r="C1434"/>
      <c r="D1434"/>
      <c r="E1434" s="1"/>
    </row>
    <row r="1435" spans="1:5" x14ac:dyDescent="0.25">
      <c r="A1435" s="7">
        <v>6.6109665135303697E-2</v>
      </c>
      <c r="B1435"/>
      <c r="C1435"/>
      <c r="D1435"/>
      <c r="E1435" s="1"/>
    </row>
    <row r="1436" spans="1:5" x14ac:dyDescent="0.25">
      <c r="A1436" s="7">
        <v>6.54551139953502E-2</v>
      </c>
      <c r="B1436"/>
      <c r="C1436"/>
      <c r="D1436"/>
      <c r="E1436" s="1"/>
    </row>
    <row r="1437" spans="1:5" x14ac:dyDescent="0.25">
      <c r="A1437" s="7">
        <v>6.480704355975267E-2</v>
      </c>
      <c r="B1437"/>
      <c r="C1437"/>
      <c r="D1437"/>
      <c r="E1437" s="1"/>
    </row>
    <row r="1438" spans="1:5" x14ac:dyDescent="0.25">
      <c r="A1438" s="7">
        <v>6.416538966312145E-2</v>
      </c>
      <c r="B1438"/>
      <c r="C1438"/>
      <c r="D1438"/>
      <c r="E1438" s="1"/>
    </row>
    <row r="1439" spans="1:5" x14ac:dyDescent="0.25">
      <c r="A1439" s="7">
        <v>6.3530088775367768E-2</v>
      </c>
      <c r="B1439"/>
      <c r="C1439"/>
      <c r="D1439"/>
      <c r="E1439" s="1"/>
    </row>
    <row r="1440" spans="1:5" x14ac:dyDescent="0.25">
      <c r="A1440" s="7">
        <v>6.2901077995413626E-2</v>
      </c>
      <c r="B1440"/>
      <c r="C1440"/>
      <c r="D1440"/>
      <c r="E1440" s="1"/>
    </row>
    <row r="1441" spans="1:5" x14ac:dyDescent="0.25">
      <c r="A1441" s="7">
        <v>6.2278295044963988E-2</v>
      </c>
      <c r="B1441"/>
      <c r="C1441"/>
      <c r="D1441"/>
      <c r="E1441" s="1"/>
    </row>
    <row r="1442" spans="1:5" x14ac:dyDescent="0.25">
      <c r="A1442" s="7">
        <v>6.1661678262340584E-2</v>
      </c>
      <c r="B1442"/>
      <c r="C1442"/>
      <c r="D1442"/>
      <c r="E1442" s="1"/>
    </row>
    <row r="1443" spans="1:5" x14ac:dyDescent="0.25">
      <c r="A1443" s="7">
        <v>6.1051166596376813E-2</v>
      </c>
      <c r="B1443"/>
      <c r="C1443"/>
      <c r="D1443"/>
      <c r="E1443" s="1"/>
    </row>
    <row r="1444" spans="1:5" x14ac:dyDescent="0.25">
      <c r="A1444" s="7">
        <v>6.0446699600373084E-2</v>
      </c>
      <c r="B1444"/>
      <c r="C1444"/>
      <c r="D1444"/>
      <c r="E1444" s="1"/>
    </row>
    <row r="1445" spans="1:5" x14ac:dyDescent="0.25">
      <c r="A1445" s="7">
        <v>5.9848217426111967E-2</v>
      </c>
      <c r="B1445"/>
      <c r="C1445"/>
      <c r="D1445"/>
      <c r="E1445" s="1"/>
    </row>
    <row r="1446" spans="1:5" x14ac:dyDescent="0.25">
      <c r="A1446" s="7">
        <v>5.925566081793264E-2</v>
      </c>
      <c r="B1446"/>
      <c r="C1446"/>
      <c r="D1446"/>
      <c r="E1446" s="1"/>
    </row>
    <row r="1447" spans="1:5" x14ac:dyDescent="0.25">
      <c r="A1447" s="7">
        <v>5.8668971106863997E-2</v>
      </c>
      <c r="B1447"/>
      <c r="C1447"/>
      <c r="D1447"/>
      <c r="E1447" s="1"/>
    </row>
    <row r="1448" spans="1:5" x14ac:dyDescent="0.25">
      <c r="A1448" s="7">
        <v>5.808809020481584E-2</v>
      </c>
      <c r="B1448"/>
      <c r="C1448"/>
      <c r="D1448"/>
      <c r="E1448" s="1"/>
    </row>
    <row r="1449" spans="1:5" x14ac:dyDescent="0.25">
      <c r="A1449" s="7">
        <v>5.7512960598827566E-2</v>
      </c>
      <c r="B1449"/>
      <c r="C1449"/>
      <c r="D1449"/>
      <c r="E1449" s="1"/>
    </row>
    <row r="1450" spans="1:5" x14ac:dyDescent="0.25">
      <c r="A1450" s="7">
        <v>5.6943525345373829E-2</v>
      </c>
      <c r="B1450"/>
      <c r="C1450"/>
      <c r="D1450"/>
      <c r="E1450" s="1"/>
    </row>
    <row r="1451" spans="1:5" x14ac:dyDescent="0.25">
      <c r="A1451" s="7">
        <v>5.6379728064726561E-2</v>
      </c>
      <c r="B1451"/>
      <c r="C1451"/>
      <c r="D1451"/>
      <c r="E1451" s="1"/>
    </row>
    <row r="1452" spans="1:5" x14ac:dyDescent="0.25">
      <c r="A1452" s="7">
        <v>5.5821512935372831E-2</v>
      </c>
      <c r="B1452"/>
      <c r="C1452"/>
      <c r="D1452"/>
      <c r="E1452" s="1"/>
    </row>
    <row r="1453" spans="1:5" x14ac:dyDescent="0.25">
      <c r="A1453" s="7">
        <v>5.5268824688487948E-2</v>
      </c>
      <c r="B1453"/>
      <c r="C1453"/>
      <c r="D1453"/>
      <c r="E1453" s="1"/>
    </row>
    <row r="1454" spans="1:5" x14ac:dyDescent="0.25">
      <c r="A1454" s="7">
        <v>5.4721608602463313E-2</v>
      </c>
      <c r="B1454"/>
      <c r="C1454"/>
      <c r="D1454"/>
      <c r="E1454" s="1"/>
    </row>
    <row r="1455" spans="1:5" x14ac:dyDescent="0.25">
      <c r="A1455" s="7">
        <v>5.4179810497488427E-2</v>
      </c>
      <c r="B1455"/>
      <c r="C1455"/>
      <c r="D1455"/>
      <c r="E1455" s="1"/>
    </row>
    <row r="1456" spans="1:5" x14ac:dyDescent="0.25">
      <c r="A1456" s="7">
        <v>5.3643376730186564E-2</v>
      </c>
      <c r="B1456"/>
      <c r="C1456"/>
      <c r="D1456"/>
      <c r="E1456" s="1"/>
    </row>
    <row r="1457" spans="1:5" x14ac:dyDescent="0.25">
      <c r="A1457" s="7">
        <v>5.311225418830353E-2</v>
      </c>
      <c r="B1457"/>
      <c r="C1457"/>
      <c r="D1457"/>
      <c r="E1457" s="1"/>
    </row>
    <row r="1458" spans="1:5" x14ac:dyDescent="0.25">
      <c r="A1458" s="7">
        <v>5.2586390285449036E-2</v>
      </c>
      <c r="B1458"/>
      <c r="C1458"/>
      <c r="D1458"/>
      <c r="E1458" s="1"/>
    </row>
    <row r="1459" spans="1:5" x14ac:dyDescent="0.25">
      <c r="A1459" s="7">
        <v>5.2065732955890134E-2</v>
      </c>
      <c r="B1459"/>
      <c r="C1459"/>
      <c r="D1459"/>
      <c r="E1459" s="1"/>
    </row>
    <row r="1460" spans="1:5" x14ac:dyDescent="0.25">
      <c r="A1460" s="7">
        <v>5.1550230649396171E-2</v>
      </c>
      <c r="B1460"/>
      <c r="C1460"/>
      <c r="D1460"/>
      <c r="E1460" s="1"/>
    </row>
    <row r="1461" spans="1:5" x14ac:dyDescent="0.25">
      <c r="A1461" s="7">
        <v>5.1039832326134821E-2</v>
      </c>
      <c r="B1461"/>
      <c r="C1461"/>
      <c r="D1461"/>
      <c r="E1461" s="1"/>
    </row>
    <row r="1462" spans="1:5" x14ac:dyDescent="0.25">
      <c r="A1462" s="7">
        <v>5.0534487451618634E-2</v>
      </c>
      <c r="B1462"/>
      <c r="C1462"/>
      <c r="D1462"/>
      <c r="E1462" s="1"/>
    </row>
    <row r="1463" spans="1:5" x14ac:dyDescent="0.25">
      <c r="A1463" s="7">
        <v>5.0034145991701619E-2</v>
      </c>
      <c r="B1463"/>
      <c r="C1463"/>
      <c r="D1463"/>
      <c r="E1463" s="1"/>
    </row>
    <row r="1464" spans="1:5" x14ac:dyDescent="0.25">
      <c r="A1464" s="7">
        <v>4.9538758407625366E-2</v>
      </c>
      <c r="B1464"/>
      <c r="C1464"/>
      <c r="D1464"/>
      <c r="E1464" s="1"/>
    </row>
    <row r="1465" spans="1:5" x14ac:dyDescent="0.25">
      <c r="A1465" s="7">
        <v>4.904827565111422E-2</v>
      </c>
      <c r="B1465"/>
      <c r="C1465"/>
      <c r="D1465"/>
      <c r="E1465" s="1"/>
    </row>
    <row r="1466" spans="1:5" x14ac:dyDescent="0.25">
      <c r="A1466" s="7">
        <v>4.8562649159519029E-2</v>
      </c>
      <c r="B1466"/>
      <c r="C1466"/>
      <c r="D1466"/>
      <c r="E1466" s="1"/>
    </row>
    <row r="1467" spans="1:5" x14ac:dyDescent="0.25">
      <c r="A1467" s="7">
        <v>4.8081830851008943E-2</v>
      </c>
      <c r="B1467"/>
      <c r="C1467"/>
      <c r="D1467"/>
      <c r="E1467" s="1"/>
    </row>
    <row r="1468" spans="1:5" x14ac:dyDescent="0.25">
      <c r="A1468" s="7">
        <v>4.7605773119810832E-2</v>
      </c>
      <c r="B1468"/>
      <c r="C1468"/>
      <c r="D1468"/>
      <c r="E1468" s="1"/>
    </row>
    <row r="1469" spans="1:5" x14ac:dyDescent="0.25">
      <c r="A1469" s="7">
        <v>4.7134428831495871E-2</v>
      </c>
      <c r="B1469"/>
      <c r="C1469"/>
      <c r="D1469"/>
      <c r="E1469" s="1"/>
    </row>
    <row r="1470" spans="1:5" x14ac:dyDescent="0.25">
      <c r="A1470" s="7">
        <v>4.6667751318312745E-2</v>
      </c>
      <c r="B1470"/>
      <c r="C1470"/>
      <c r="D1470"/>
      <c r="E1470" s="1"/>
    </row>
    <row r="1471" spans="1:5" x14ac:dyDescent="0.25">
      <c r="A1471" s="7">
        <v>4.620569437456707E-2</v>
      </c>
      <c r="B1471"/>
      <c r="C1471"/>
      <c r="D1471"/>
      <c r="E1471" s="1"/>
    </row>
    <row r="1472" spans="1:5" x14ac:dyDescent="0.25">
      <c r="A1472" s="7">
        <v>4.5748212252046602E-2</v>
      </c>
      <c r="B1472"/>
      <c r="C1472"/>
      <c r="D1472"/>
      <c r="E1472" s="1"/>
    </row>
    <row r="1473" spans="1:5" x14ac:dyDescent="0.25">
      <c r="A1473" s="7">
        <v>4.5295259655491686E-2</v>
      </c>
      <c r="B1473"/>
      <c r="C1473"/>
      <c r="D1473"/>
      <c r="E1473" s="1"/>
    </row>
    <row r="1474" spans="1:5" x14ac:dyDescent="0.25">
      <c r="A1474" s="7">
        <v>4.4846791738110577E-2</v>
      </c>
      <c r="B1474"/>
      <c r="C1474"/>
      <c r="D1474"/>
      <c r="E1474" s="1"/>
    </row>
    <row r="1475" spans="1:5" x14ac:dyDescent="0.25">
      <c r="A1475" s="7">
        <v>4.4402764097139183E-2</v>
      </c>
      <c r="B1475"/>
      <c r="C1475"/>
      <c r="D1475"/>
      <c r="E1475" s="1"/>
    </row>
    <row r="1476" spans="1:5" x14ac:dyDescent="0.25">
      <c r="A1476" s="7">
        <v>4.3963132769444732E-2</v>
      </c>
      <c r="B1476"/>
      <c r="C1476"/>
      <c r="D1476"/>
      <c r="E1476" s="1"/>
    </row>
    <row r="1477" spans="1:5" x14ac:dyDescent="0.25">
      <c r="A1477" s="7">
        <v>4.3527854227173E-2</v>
      </c>
      <c r="B1477"/>
      <c r="C1477"/>
      <c r="D1477"/>
      <c r="E1477" s="1"/>
    </row>
    <row r="1478" spans="1:5" x14ac:dyDescent="0.25">
      <c r="A1478" s="7">
        <v>4.3096885373438615E-2</v>
      </c>
      <c r="B1478"/>
      <c r="C1478"/>
      <c r="D1478"/>
      <c r="E1478" s="1"/>
    </row>
    <row r="1479" spans="1:5" x14ac:dyDescent="0.25">
      <c r="A1479" s="7">
        <v>4.2670183538058036E-2</v>
      </c>
      <c r="B1479"/>
      <c r="C1479"/>
      <c r="D1479"/>
      <c r="E1479" s="1"/>
    </row>
    <row r="1480" spans="1:5" x14ac:dyDescent="0.25">
      <c r="A1480" s="7">
        <v>4.2247706473324785E-2</v>
      </c>
      <c r="B1480"/>
      <c r="C1480"/>
      <c r="D1480"/>
      <c r="E1480" s="1"/>
    </row>
    <row r="1481" spans="1:5" x14ac:dyDescent="0.25">
      <c r="A1481" s="7">
        <v>4.1829412349826518E-2</v>
      </c>
      <c r="B1481"/>
      <c r="C1481"/>
      <c r="D1481"/>
      <c r="E1481" s="1"/>
    </row>
    <row r="1482" spans="1:5" x14ac:dyDescent="0.25">
      <c r="A1482" s="7">
        <v>4.1415259752303486E-2</v>
      </c>
      <c r="B1482"/>
      <c r="C1482"/>
      <c r="D1482"/>
      <c r="E1482" s="1"/>
    </row>
    <row r="1483" spans="1:5" x14ac:dyDescent="0.25">
      <c r="A1483" s="7">
        <v>4.1005207675548008E-2</v>
      </c>
      <c r="B1483"/>
      <c r="C1483"/>
      <c r="D1483"/>
      <c r="E1483" s="1"/>
    </row>
    <row r="1484" spans="1:5" x14ac:dyDescent="0.25">
      <c r="A1484" s="7">
        <v>4.059921552034456E-2</v>
      </c>
      <c r="B1484"/>
      <c r="C1484"/>
      <c r="D1484"/>
      <c r="E1484" s="1"/>
    </row>
    <row r="1485" spans="1:5" x14ac:dyDescent="0.25">
      <c r="A1485" s="7">
        <v>4.0197243089450059E-2</v>
      </c>
      <c r="B1485"/>
      <c r="C1485"/>
      <c r="D1485"/>
      <c r="E1485" s="1"/>
    </row>
    <row r="1486" spans="1:5" x14ac:dyDescent="0.25">
      <c r="A1486" s="7">
        <v>3.9799250583613922E-2</v>
      </c>
      <c r="B1486"/>
      <c r="C1486"/>
      <c r="D1486"/>
      <c r="E1486" s="1"/>
    </row>
    <row r="1487" spans="1:5" x14ac:dyDescent="0.25">
      <c r="A1487" s="7">
        <v>3.9405198597637546E-2</v>
      </c>
      <c r="B1487"/>
      <c r="C1487"/>
      <c r="D1487"/>
      <c r="E1487" s="1"/>
    </row>
    <row r="1488" spans="1:5" x14ac:dyDescent="0.25">
      <c r="A1488" s="7">
        <v>3.9015048116472814E-2</v>
      </c>
      <c r="B1488"/>
      <c r="C1488"/>
      <c r="D1488"/>
      <c r="E1488" s="1"/>
    </row>
    <row r="1489" spans="1:5" x14ac:dyDescent="0.25">
      <c r="A1489" s="7">
        <v>3.8628760511359224E-2</v>
      </c>
      <c r="B1489"/>
      <c r="C1489"/>
      <c r="D1489"/>
      <c r="E1489" s="1"/>
    </row>
    <row r="1490" spans="1:5" x14ac:dyDescent="0.25">
      <c r="A1490" s="7">
        <v>3.824629753599923E-2</v>
      </c>
      <c r="B1490"/>
      <c r="C1490"/>
      <c r="D1490"/>
      <c r="E1490" s="1"/>
    </row>
    <row r="1491" spans="1:5" x14ac:dyDescent="0.25">
      <c r="A1491" s="7">
        <v>3.7867621322771515E-2</v>
      </c>
      <c r="B1491"/>
      <c r="C1491"/>
      <c r="D1491"/>
      <c r="E1491" s="1"/>
    </row>
    <row r="1492" spans="1:5" x14ac:dyDescent="0.25">
      <c r="A1492" s="7">
        <v>3.74926943789817E-2</v>
      </c>
      <c r="B1492"/>
      <c r="C1492"/>
      <c r="D1492"/>
      <c r="E1492" s="1"/>
    </row>
    <row r="1493" spans="1:5" x14ac:dyDescent="0.25">
      <c r="A1493" s="7">
        <v>3.7121479583150201E-2</v>
      </c>
      <c r="B1493"/>
      <c r="C1493"/>
      <c r="D1493"/>
      <c r="E1493" s="1"/>
    </row>
    <row r="1494" spans="1:5" x14ac:dyDescent="0.25">
      <c r="A1494" s="7">
        <v>3.6753940181336833E-2</v>
      </c>
      <c r="B1494"/>
      <c r="C1494"/>
      <c r="D1494"/>
      <c r="E1494" s="1"/>
    </row>
    <row r="1495" spans="1:5" x14ac:dyDescent="0.25">
      <c r="A1495" s="7">
        <v>3.6390039783501818E-2</v>
      </c>
      <c r="B1495"/>
      <c r="C1495"/>
      <c r="D1495"/>
      <c r="E1495" s="1"/>
    </row>
    <row r="1496" spans="1:5" x14ac:dyDescent="0.25">
      <c r="A1496" s="7">
        <v>3.6029742359902792E-2</v>
      </c>
      <c r="B1496"/>
      <c r="C1496"/>
      <c r="D1496"/>
      <c r="E1496" s="1"/>
    </row>
    <row r="1497" spans="1:5" x14ac:dyDescent="0.25">
      <c r="A1497" s="7">
        <v>3.5673012237527515E-2</v>
      </c>
      <c r="B1497"/>
      <c r="C1497"/>
      <c r="D1497"/>
      <c r="E1497" s="1"/>
    </row>
    <row r="1498" spans="1:5" x14ac:dyDescent="0.25">
      <c r="A1498" s="7">
        <v>3.5319814096561895E-2</v>
      </c>
      <c r="B1498"/>
      <c r="C1498"/>
      <c r="D1498"/>
      <c r="E1498" s="1"/>
    </row>
    <row r="1499" spans="1:5" x14ac:dyDescent="0.25">
      <c r="A1499" s="7">
        <v>3.4970112966892966E-2</v>
      </c>
      <c r="B1499"/>
      <c r="C1499"/>
      <c r="D1499"/>
      <c r="E1499" s="1"/>
    </row>
    <row r="1500" spans="1:5" x14ac:dyDescent="0.25">
      <c r="A1500" s="7">
        <v>3.4623874224646502E-2</v>
      </c>
      <c r="B1500"/>
      <c r="C1500"/>
      <c r="D1500"/>
      <c r="E1500" s="1"/>
    </row>
    <row r="1501" spans="1:5" x14ac:dyDescent="0.25">
      <c r="A1501" s="7">
        <v>3.428106358875891E-2</v>
      </c>
      <c r="B1501"/>
      <c r="C1501"/>
      <c r="D1501"/>
      <c r="E1501" s="1"/>
    </row>
    <row r="1502" spans="1:5" x14ac:dyDescent="0.25">
      <c r="A1502" s="7">
        <v>3.3941647117583081E-2</v>
      </c>
      <c r="B1502"/>
      <c r="C1502"/>
      <c r="D1502"/>
      <c r="E1502" s="1"/>
    </row>
    <row r="1503" spans="1:5" x14ac:dyDescent="0.25">
      <c r="A1503" s="7">
        <v>3.36055912055278E-2</v>
      </c>
      <c r="B1503"/>
      <c r="C1503"/>
      <c r="D1503"/>
      <c r="E1503" s="1"/>
    </row>
    <row r="1504" spans="1:5" x14ac:dyDescent="0.25">
      <c r="A1504" s="7">
        <v>3.3272862579730493E-2</v>
      </c>
      <c r="B1504"/>
      <c r="C1504"/>
      <c r="D1504"/>
      <c r="E1504" s="1"/>
    </row>
    <row r="1505" spans="1:5" x14ac:dyDescent="0.25">
      <c r="A1505" s="7">
        <v>3.2943428296762861E-2</v>
      </c>
      <c r="B1505"/>
      <c r="C1505"/>
      <c r="D1505"/>
      <c r="E1505" s="1"/>
    </row>
    <row r="1506" spans="1:5" x14ac:dyDescent="0.25">
      <c r="A1506" s="7">
        <v>3.2617255739369168E-2</v>
      </c>
      <c r="B1506"/>
      <c r="C1506"/>
      <c r="D1506"/>
      <c r="E1506" s="1"/>
    </row>
    <row r="1507" spans="1:5" x14ac:dyDescent="0.25">
      <c r="A1507" s="7">
        <v>3.22943126132368E-2</v>
      </c>
      <c r="B1507"/>
      <c r="C1507"/>
      <c r="D1507"/>
      <c r="E1507" s="1"/>
    </row>
    <row r="1508" spans="1:5" x14ac:dyDescent="0.25">
      <c r="A1508" s="7">
        <v>3.1974566943798813E-2</v>
      </c>
      <c r="B1508"/>
      <c r="C1508"/>
      <c r="D1508"/>
      <c r="E1508" s="1"/>
    </row>
    <row r="1509" spans="1:5" x14ac:dyDescent="0.25">
      <c r="A1509" s="7">
        <v>3.1657987073068133E-2</v>
      </c>
      <c r="B1509"/>
      <c r="C1509"/>
      <c r="D1509"/>
      <c r="E1509" s="1"/>
    </row>
    <row r="1510" spans="1:5" x14ac:dyDescent="0.25">
      <c r="A1510" s="7">
        <v>3.1344541656503105E-2</v>
      </c>
      <c r="B1510"/>
      <c r="C1510"/>
      <c r="D1510"/>
      <c r="E1510" s="1"/>
    </row>
    <row r="1511" spans="1:5" x14ac:dyDescent="0.25">
      <c r="A1511" s="7">
        <v>3.1034199659904064E-2</v>
      </c>
      <c r="B1511"/>
      <c r="C1511"/>
      <c r="D1511"/>
      <c r="E1511" s="1"/>
    </row>
    <row r="1512" spans="1:5" x14ac:dyDescent="0.25">
      <c r="A1512" s="7">
        <v>3.0726930356340658E-2</v>
      </c>
      <c r="B1512"/>
      <c r="C1512"/>
      <c r="D1512"/>
      <c r="E1512" s="1"/>
    </row>
    <row r="1513" spans="1:5" x14ac:dyDescent="0.25">
      <c r="A1513" s="7">
        <v>3.0422703323109562E-2</v>
      </c>
      <c r="B1513"/>
      <c r="C1513"/>
      <c r="D1513"/>
      <c r="E1513" s="1"/>
    </row>
    <row r="1514" spans="1:5" x14ac:dyDescent="0.25">
      <c r="A1514" s="7">
        <v>3.0121488438722338E-2</v>
      </c>
      <c r="B1514"/>
      <c r="C1514"/>
      <c r="D1514"/>
      <c r="E1514" s="1"/>
    </row>
    <row r="1515" spans="1:5" x14ac:dyDescent="0.25">
      <c r="A1515" s="7">
        <v>2.9823255879923107E-2</v>
      </c>
      <c r="B1515"/>
      <c r="C1515"/>
      <c r="D1515"/>
      <c r="E1515" s="1"/>
    </row>
    <row r="1516" spans="1:5" x14ac:dyDescent="0.25">
      <c r="A1516" s="7">
        <v>2.9527976118735748E-2</v>
      </c>
      <c r="B1516"/>
      <c r="C1516"/>
      <c r="D1516"/>
      <c r="E1516" s="1"/>
    </row>
    <row r="1517" spans="1:5" x14ac:dyDescent="0.25">
      <c r="A1517" s="7">
        <v>2.9235619919540344E-2</v>
      </c>
      <c r="B1517"/>
      <c r="C1517"/>
      <c r="D1517"/>
      <c r="E1517" s="1"/>
    </row>
    <row r="1518" spans="1:5" x14ac:dyDescent="0.25">
      <c r="A1518" s="7">
        <v>2.8946158336178557E-2</v>
      </c>
      <c r="B1518"/>
      <c r="C1518"/>
      <c r="D1518"/>
      <c r="E1518" s="1"/>
    </row>
    <row r="1519" spans="1:5" x14ac:dyDescent="0.25">
      <c r="A1519" s="7">
        <v>2.865956270908768E-2</v>
      </c>
      <c r="B1519"/>
      <c r="C1519"/>
      <c r="D1519"/>
      <c r="E1519" s="1"/>
    </row>
    <row r="1520" spans="1:5" x14ac:dyDescent="0.25">
      <c r="A1520" s="7">
        <v>2.8375804662463051E-2</v>
      </c>
      <c r="B1520"/>
      <c r="C1520"/>
      <c r="D1520"/>
      <c r="E1520" s="1"/>
    </row>
    <row r="1521" spans="1:5" x14ac:dyDescent="0.25">
      <c r="A1521" s="7">
        <v>2.8094856101448566E-2</v>
      </c>
      <c r="B1521"/>
      <c r="C1521"/>
      <c r="D1521"/>
      <c r="E1521" s="1"/>
    </row>
    <row r="1522" spans="1:5" x14ac:dyDescent="0.25">
      <c r="A1522" s="7">
        <v>2.7816689209355015E-2</v>
      </c>
      <c r="B1522"/>
      <c r="C1522"/>
      <c r="D1522"/>
      <c r="E1522" s="1"/>
    </row>
    <row r="1523" spans="1:5" x14ac:dyDescent="0.25">
      <c r="A1523" s="7">
        <v>2.7541276444905956E-2</v>
      </c>
      <c r="B1523"/>
      <c r="C1523"/>
      <c r="D1523"/>
      <c r="E1523" s="1"/>
    </row>
    <row r="1524" spans="1:5" x14ac:dyDescent="0.25">
      <c r="A1524" s="7">
        <v>2.7268590539510848E-2</v>
      </c>
      <c r="B1524"/>
      <c r="C1524"/>
      <c r="D1524"/>
      <c r="E1524" s="1"/>
    </row>
    <row r="1525" spans="1:5" x14ac:dyDescent="0.25">
      <c r="A1525" s="7">
        <v>2.6998604494565197E-2</v>
      </c>
      <c r="B1525"/>
      <c r="C1525"/>
      <c r="D1525"/>
      <c r="E1525" s="1"/>
    </row>
    <row r="1526" spans="1:5" x14ac:dyDescent="0.25">
      <c r="A1526" s="7">
        <v>2.6731291578777423E-2</v>
      </c>
      <c r="B1526"/>
      <c r="C1526"/>
      <c r="D1526"/>
      <c r="E1526" s="1"/>
    </row>
    <row r="1527" spans="1:5" x14ac:dyDescent="0.25">
      <c r="A1527" s="7">
        <v>2.64666253255222E-2</v>
      </c>
      <c r="B1527"/>
      <c r="C1527"/>
      <c r="D1527"/>
      <c r="E1527" s="1"/>
    </row>
    <row r="1528" spans="1:5" x14ac:dyDescent="0.25">
      <c r="A1528" s="7">
        <v>2.6204579530219999E-2</v>
      </c>
      <c r="B1528"/>
      <c r="C1528"/>
      <c r="D1528"/>
      <c r="E1528" s="1"/>
    </row>
    <row r="1529" spans="1:5" x14ac:dyDescent="0.25">
      <c r="A1529" s="7">
        <v>2.5945128247742571E-2</v>
      </c>
      <c r="B1529"/>
      <c r="C1529"/>
      <c r="D1529"/>
      <c r="E1529" s="1"/>
    </row>
    <row r="1530" spans="1:5" x14ac:dyDescent="0.25">
      <c r="A1530" s="7">
        <v>2.568824578984413E-2</v>
      </c>
      <c r="B1530"/>
      <c r="C1530"/>
      <c r="D1530"/>
      <c r="E1530" s="1"/>
    </row>
    <row r="1531" spans="1:5" x14ac:dyDescent="0.25">
      <c r="A1531" s="7">
        <v>2.5433906722617951E-2</v>
      </c>
      <c r="B1531"/>
      <c r="C1531"/>
      <c r="D1531"/>
      <c r="E1531" s="1"/>
    </row>
    <row r="1532" spans="1:5" x14ac:dyDescent="0.25">
      <c r="A1532" s="7">
        <v>2.518208586397817E-2</v>
      </c>
      <c r="B1532"/>
      <c r="C1532"/>
      <c r="D1532"/>
      <c r="E1532" s="1"/>
    </row>
    <row r="1533" spans="1:5" x14ac:dyDescent="0.25">
      <c r="A1533" s="7">
        <v>2.4932758281166506E-2</v>
      </c>
      <c r="B1533"/>
      <c r="C1533"/>
      <c r="D1533"/>
      <c r="E1533" s="1"/>
    </row>
    <row r="1534" spans="1:5" x14ac:dyDescent="0.25">
      <c r="A1534" s="7">
        <v>2.4685899288283669E-2</v>
      </c>
      <c r="B1534"/>
      <c r="C1534"/>
      <c r="D1534"/>
      <c r="E1534" s="1"/>
    </row>
    <row r="1535" spans="1:5" x14ac:dyDescent="0.25">
      <c r="A1535" s="7">
        <v>2.4441484443845217E-2</v>
      </c>
      <c r="B1535"/>
      <c r="C1535"/>
      <c r="D1535"/>
      <c r="E1535" s="1"/>
    </row>
    <row r="1536" spans="1:5" x14ac:dyDescent="0.25">
      <c r="A1536" s="7">
        <v>2.41994895483616E-2</v>
      </c>
      <c r="B1536"/>
      <c r="C1536"/>
      <c r="D1536"/>
      <c r="E1536" s="1"/>
    </row>
    <row r="1537" spans="1:5" x14ac:dyDescent="0.25">
      <c r="A1537" s="7">
        <v>2.3959890641942178E-2</v>
      </c>
      <c r="B1537"/>
      <c r="C1537"/>
      <c r="D1537"/>
      <c r="E1537" s="1"/>
    </row>
    <row r="1538" spans="1:5" x14ac:dyDescent="0.25">
      <c r="A1538" s="7">
        <v>2.3722664001922949E-2</v>
      </c>
      <c r="B1538"/>
      <c r="C1538"/>
      <c r="D1538"/>
      <c r="E1538" s="1"/>
    </row>
    <row r="1539" spans="1:5" x14ac:dyDescent="0.25">
      <c r="A1539" s="7">
        <v>2.3487786140517771E-2</v>
      </c>
      <c r="B1539"/>
      <c r="C1539"/>
      <c r="D1539"/>
      <c r="E1539" s="1"/>
    </row>
    <row r="1540" spans="1:5" x14ac:dyDescent="0.25">
      <c r="A1540" s="7">
        <v>2.3255233802492843E-2</v>
      </c>
      <c r="B1540"/>
      <c r="C1540"/>
      <c r="D1540"/>
      <c r="E1540" s="1"/>
    </row>
    <row r="1541" spans="1:5" x14ac:dyDescent="0.25">
      <c r="A1541" s="7">
        <v>2.30249839628642E-2</v>
      </c>
      <c r="B1541"/>
      <c r="C1541"/>
      <c r="D1541"/>
      <c r="E1541" s="1"/>
    </row>
    <row r="1542" spans="1:5" x14ac:dyDescent="0.25">
      <c r="A1542" s="7">
        <v>2.2797013824618021E-2</v>
      </c>
      <c r="B1542"/>
      <c r="C1542"/>
      <c r="D1542"/>
      <c r="E1542" s="1"/>
    </row>
    <row r="1543" spans="1:5" x14ac:dyDescent="0.25">
      <c r="A1543" s="7">
        <v>2.2571300816453487E-2</v>
      </c>
      <c r="B1543"/>
      <c r="C1543"/>
      <c r="D1543"/>
      <c r="E1543" s="1"/>
    </row>
    <row r="1544" spans="1:5" x14ac:dyDescent="0.25">
      <c r="A1544" s="7">
        <v>2.2347822590548006E-2</v>
      </c>
      <c r="B1544"/>
      <c r="C1544"/>
      <c r="D1544"/>
      <c r="E1544" s="1"/>
    </row>
    <row r="1545" spans="1:5" x14ac:dyDescent="0.25">
      <c r="A1545" s="7">
        <v>2.2126557020344561E-2</v>
      </c>
      <c r="B1545"/>
      <c r="C1545"/>
      <c r="D1545"/>
      <c r="E1545" s="1"/>
    </row>
    <row r="1546" spans="1:5" x14ac:dyDescent="0.25">
      <c r="A1546" s="7">
        <v>2.1907482198360952E-2</v>
      </c>
      <c r="B1546"/>
      <c r="C1546"/>
      <c r="D1546"/>
      <c r="E1546" s="1"/>
    </row>
    <row r="1547" spans="1:5" x14ac:dyDescent="0.25">
      <c r="A1547" s="7">
        <v>2.1690576434020743E-2</v>
      </c>
      <c r="B1547"/>
      <c r="C1547"/>
      <c r="D1547"/>
      <c r="E1547" s="1"/>
    </row>
    <row r="1548" spans="1:5" x14ac:dyDescent="0.25">
      <c r="A1548" s="7">
        <v>2.1475818251505685E-2</v>
      </c>
      <c r="B1548"/>
      <c r="C1548"/>
      <c r="D1548"/>
      <c r="E1548" s="1"/>
    </row>
    <row r="1549" spans="1:5" x14ac:dyDescent="0.25">
      <c r="A1549" s="7">
        <v>2.126318638762939E-2</v>
      </c>
      <c r="B1549"/>
      <c r="C1549"/>
      <c r="D1549"/>
      <c r="E1549" s="1"/>
    </row>
    <row r="1550" spans="1:5" x14ac:dyDescent="0.25">
      <c r="A1550" s="7">
        <v>2.1052659789732069E-2</v>
      </c>
      <c r="B1550"/>
      <c r="C1550"/>
      <c r="D1550"/>
      <c r="E1550" s="1"/>
    </row>
    <row r="1551" spans="1:5" x14ac:dyDescent="0.25">
      <c r="A1551" s="7">
        <v>2.084421761359611E-2</v>
      </c>
      <c r="B1551"/>
      <c r="C1551"/>
      <c r="D1551"/>
      <c r="E1551" s="1"/>
    </row>
    <row r="1552" spans="1:5" x14ac:dyDescent="0.25">
      <c r="A1552" s="7">
        <v>2.0637839221382286E-2</v>
      </c>
      <c r="B1552"/>
      <c r="C1552"/>
      <c r="D1552"/>
      <c r="E1552" s="1"/>
    </row>
    <row r="1553" spans="1:5" x14ac:dyDescent="0.25">
      <c r="A1553" s="7">
        <v>2.043350417958642E-2</v>
      </c>
      <c r="B1553"/>
      <c r="C1553"/>
      <c r="D1553"/>
      <c r="E1553" s="1"/>
    </row>
    <row r="1554" spans="1:5" x14ac:dyDescent="0.25">
      <c r="A1554" s="7">
        <v>2.0231192257016258E-2</v>
      </c>
      <c r="B1554"/>
      <c r="C1554"/>
      <c r="D1554"/>
      <c r="E1554" s="1"/>
    </row>
    <row r="1555" spans="1:5" x14ac:dyDescent="0.25">
      <c r="A1555" s="7">
        <v>2.0030883422788373E-2</v>
      </c>
      <c r="B1555"/>
      <c r="C1555"/>
      <c r="D1555"/>
      <c r="E1555" s="1"/>
    </row>
    <row r="1556" spans="1:5" x14ac:dyDescent="0.25">
      <c r="A1556" s="7">
        <v>1.9832557844344924E-2</v>
      </c>
      <c r="B1556"/>
      <c r="C1556"/>
      <c r="D1556"/>
      <c r="E1556" s="1"/>
    </row>
    <row r="1557" spans="1:5" x14ac:dyDescent="0.25">
      <c r="A1557" s="7">
        <v>1.9636195885490024E-2</v>
      </c>
      <c r="B1557"/>
      <c r="C1557"/>
      <c r="D1557"/>
      <c r="E1557" s="1"/>
    </row>
    <row r="1558" spans="1:5" x14ac:dyDescent="0.25">
      <c r="A1558" s="7">
        <v>1.9441778104445567E-2</v>
      </c>
      <c r="B1558"/>
      <c r="C1558"/>
      <c r="D1558"/>
      <c r="E1558" s="1"/>
    </row>
    <row r="1559" spans="1:5" x14ac:dyDescent="0.25">
      <c r="A1559" s="7">
        <v>1.9249285251926304E-2</v>
      </c>
      <c r="B1559"/>
      <c r="C1559"/>
      <c r="D1559"/>
      <c r="E1559" s="1"/>
    </row>
    <row r="1560" spans="1:5" x14ac:dyDescent="0.25">
      <c r="A1560" s="7">
        <v>1.9058698269233964E-2</v>
      </c>
      <c r="B1560"/>
      <c r="C1560"/>
      <c r="D1560"/>
      <c r="E1560" s="1"/>
    </row>
    <row r="1561" spans="1:5" x14ac:dyDescent="0.25">
      <c r="A1561" s="7">
        <v>1.886999828637026E-2</v>
      </c>
      <c r="B1561"/>
      <c r="C1561"/>
      <c r="D1561"/>
      <c r="E1561" s="1"/>
    </row>
    <row r="1562" spans="1:5" x14ac:dyDescent="0.25">
      <c r="A1562" s="7">
        <v>1.8683166620168574E-2</v>
      </c>
      <c r="B1562"/>
      <c r="C1562"/>
      <c r="D1562"/>
      <c r="E1562" s="1"/>
    </row>
    <row r="1563" spans="1:5" x14ac:dyDescent="0.25">
      <c r="A1563" s="7">
        <v>1.8498184772444134E-2</v>
      </c>
      <c r="B1563"/>
      <c r="C1563"/>
      <c r="D1563"/>
      <c r="E1563" s="1"/>
    </row>
    <row r="1564" spans="1:5" x14ac:dyDescent="0.25">
      <c r="A1564" s="7">
        <v>1.831503442816251E-2</v>
      </c>
      <c r="B1564"/>
      <c r="C1564"/>
      <c r="D1564"/>
      <c r="E1564" s="1"/>
    </row>
    <row r="1565" spans="1:5" x14ac:dyDescent="0.25">
      <c r="A1565" s="7">
        <v>1.8133697453626248E-2</v>
      </c>
      <c r="B1565"/>
      <c r="C1565"/>
      <c r="D1565"/>
      <c r="E1565" s="1"/>
    </row>
    <row r="1566" spans="1:5" x14ac:dyDescent="0.25">
      <c r="A1566" s="7">
        <v>1.7954155894679455E-2</v>
      </c>
      <c r="B1566"/>
      <c r="C1566"/>
      <c r="D1566"/>
      <c r="E1566" s="1"/>
    </row>
    <row r="1567" spans="1:5" x14ac:dyDescent="0.25">
      <c r="A1567" s="7">
        <v>1.7776391974930153E-2</v>
      </c>
      <c r="B1567"/>
      <c r="C1567"/>
      <c r="D1567"/>
      <c r="E1567" s="1"/>
    </row>
    <row r="1568" spans="1:5" x14ac:dyDescent="0.25">
      <c r="A1568" s="7">
        <v>1.7600388093990251E-2</v>
      </c>
      <c r="B1568"/>
      <c r="C1568"/>
      <c r="D1568"/>
      <c r="E1568" s="1"/>
    </row>
    <row r="1569" spans="1:5" x14ac:dyDescent="0.25">
      <c r="A1569" s="7">
        <v>1.7426126825732923E-2</v>
      </c>
      <c r="B1569"/>
      <c r="C1569"/>
      <c r="D1569"/>
      <c r="E1569" s="1"/>
    </row>
    <row r="1570" spans="1:5" x14ac:dyDescent="0.25">
      <c r="A1570" s="7">
        <v>1.7253590916567252E-2</v>
      </c>
      <c r="B1570"/>
      <c r="C1570"/>
      <c r="D1570"/>
      <c r="E1570" s="1"/>
    </row>
    <row r="1571" spans="1:5" x14ac:dyDescent="0.25">
      <c r="A1571" s="7">
        <v>1.7082763283729954E-2</v>
      </c>
      <c r="B1571"/>
      <c r="C1571"/>
      <c r="D1571"/>
      <c r="E1571" s="1"/>
    </row>
    <row r="1572" spans="1:5" x14ac:dyDescent="0.25">
      <c r="A1572" s="7">
        <v>1.6913627013594012E-2</v>
      </c>
      <c r="B1572"/>
      <c r="C1572"/>
      <c r="D1572"/>
      <c r="E1572" s="1"/>
    </row>
    <row r="1573" spans="1:5" x14ac:dyDescent="0.25">
      <c r="A1573" s="7">
        <v>1.674616535999407E-2</v>
      </c>
      <c r="B1573"/>
      <c r="C1573"/>
      <c r="D1573"/>
      <c r="E1573" s="1"/>
    </row>
    <row r="1574" spans="1:5" x14ac:dyDescent="0.25">
      <c r="A1574" s="7">
        <v>1.6580361742568387E-2</v>
      </c>
      <c r="B1574"/>
      <c r="C1574"/>
      <c r="D1574"/>
      <c r="E1574" s="1"/>
    </row>
    <row r="1575" spans="1:5" x14ac:dyDescent="0.25">
      <c r="A1575" s="7">
        <v>1.6416199745117214E-2</v>
      </c>
      <c r="B1575"/>
      <c r="C1575"/>
      <c r="D1575"/>
      <c r="E1575" s="1"/>
    </row>
    <row r="1576" spans="1:5" x14ac:dyDescent="0.25">
      <c r="A1576" s="7">
        <v>1.625366311397744E-2</v>
      </c>
      <c r="B1576"/>
      <c r="C1576"/>
      <c r="D1576"/>
      <c r="E1576" s="1"/>
    </row>
    <row r="1577" spans="1:5" x14ac:dyDescent="0.25">
      <c r="A1577" s="7">
        <v>1.6092735756413307E-2</v>
      </c>
      <c r="B1577"/>
      <c r="C1577"/>
      <c r="D1577"/>
      <c r="E1577" s="1"/>
    </row>
    <row r="1578" spans="1:5" x14ac:dyDescent="0.25">
      <c r="A1578" s="7">
        <v>1.5933401739023075E-2</v>
      </c>
      <c r="B1578"/>
      <c r="C1578"/>
      <c r="D1578"/>
      <c r="E1578" s="1"/>
    </row>
    <row r="1579" spans="1:5" x14ac:dyDescent="0.25">
      <c r="A1579" s="7">
        <v>1.577564528616146E-2</v>
      </c>
      <c r="B1579"/>
      <c r="C1579"/>
      <c r="D1579"/>
      <c r="E1579" s="1"/>
    </row>
    <row r="1580" spans="1:5" x14ac:dyDescent="0.25">
      <c r="A1580" s="7">
        <v>1.5619450778377683E-2</v>
      </c>
      <c r="B1580"/>
      <c r="C1580"/>
      <c r="D1580"/>
      <c r="E1580" s="1"/>
    </row>
    <row r="1581" spans="1:5" x14ac:dyDescent="0.25">
      <c r="A1581" s="7">
        <v>1.5464802750868993E-2</v>
      </c>
      <c r="B1581"/>
      <c r="C1581"/>
      <c r="D1581"/>
      <c r="E1581" s="1"/>
    </row>
    <row r="1582" spans="1:5" x14ac:dyDescent="0.25">
      <c r="A1582" s="7">
        <v>1.5311685891949499E-2</v>
      </c>
      <c r="B1582"/>
      <c r="C1582"/>
      <c r="D1582"/>
      <c r="E1582" s="1"/>
    </row>
    <row r="1583" spans="1:5" x14ac:dyDescent="0.25">
      <c r="A1583" s="7">
        <v>1.5160085041534157E-2</v>
      </c>
      <c r="B1583"/>
      <c r="C1583"/>
      <c r="D1583"/>
      <c r="E1583" s="1"/>
    </row>
    <row r="1584" spans="1:5" x14ac:dyDescent="0.25">
      <c r="A1584" s="7">
        <v>1.5009985189637779E-2</v>
      </c>
      <c r="B1584"/>
      <c r="C1584"/>
      <c r="D1584"/>
      <c r="E1584" s="1"/>
    </row>
    <row r="1585" spans="1:5" x14ac:dyDescent="0.25">
      <c r="A1585" s="7">
        <v>1.486137147488889E-2</v>
      </c>
      <c r="B1585"/>
      <c r="C1585"/>
      <c r="D1585"/>
      <c r="E1585" s="1"/>
    </row>
    <row r="1586" spans="1:5" x14ac:dyDescent="0.25">
      <c r="A1586" s="7">
        <v>1.4714229183058307E-2</v>
      </c>
      <c r="B1586"/>
      <c r="C1586"/>
      <c r="D1586"/>
      <c r="E1586" s="1"/>
    </row>
    <row r="1587" spans="1:5" x14ac:dyDescent="0.25">
      <c r="A1587" s="7">
        <v>1.4568543745602285E-2</v>
      </c>
      <c r="B1587"/>
      <c r="C1587"/>
      <c r="D1587"/>
      <c r="E1587" s="1"/>
    </row>
    <row r="1588" spans="1:5" x14ac:dyDescent="0.25">
      <c r="A1588" s="7">
        <v>1.4424300738220083E-2</v>
      </c>
      <c r="B1588"/>
      <c r="C1588"/>
      <c r="D1588"/>
      <c r="E1588" s="1"/>
    </row>
    <row r="1589" spans="1:5" x14ac:dyDescent="0.25">
      <c r="A1589" s="7">
        <v>1.4281485879425826E-2</v>
      </c>
      <c r="B1589"/>
      <c r="C1589"/>
      <c r="D1589"/>
      <c r="E1589" s="1"/>
    </row>
    <row r="1590" spans="1:5" x14ac:dyDescent="0.25">
      <c r="A1590" s="7">
        <v>1.4140085029134481E-2</v>
      </c>
      <c r="B1590"/>
      <c r="C1590"/>
      <c r="D1590"/>
      <c r="E1590" s="1"/>
    </row>
    <row r="1591" spans="1:5" x14ac:dyDescent="0.25">
      <c r="A1591" s="7">
        <v>1.4000084187261863E-2</v>
      </c>
      <c r="B1591"/>
      <c r="C1591"/>
      <c r="D1591"/>
      <c r="E1591" s="1"/>
    </row>
    <row r="1592" spans="1:5" x14ac:dyDescent="0.25">
      <c r="A1592" s="7">
        <v>1.3861469492338479E-2</v>
      </c>
      <c r="B1592"/>
      <c r="C1592"/>
      <c r="D1592"/>
      <c r="E1592" s="1"/>
    </row>
    <row r="1593" spans="1:5" x14ac:dyDescent="0.25">
      <c r="A1593" s="7">
        <v>1.3724227220137107E-2</v>
      </c>
      <c r="B1593"/>
      <c r="C1593"/>
      <c r="D1593"/>
      <c r="E1593" s="1"/>
    </row>
    <row r="1594" spans="1:5" x14ac:dyDescent="0.25">
      <c r="A1594" s="7">
        <v>1.3588343782313966E-2</v>
      </c>
      <c r="B1594"/>
      <c r="C1594"/>
      <c r="D1594"/>
      <c r="E1594" s="1"/>
    </row>
    <row r="1595" spans="1:5" x14ac:dyDescent="0.25">
      <c r="A1595" s="7">
        <v>1.3453805725063333E-2</v>
      </c>
      <c r="B1595"/>
      <c r="C1595"/>
      <c r="D1595"/>
      <c r="E1595" s="1"/>
    </row>
    <row r="1596" spans="1:5" x14ac:dyDescent="0.25">
      <c r="A1596" s="7">
        <v>1.3320599727785478E-2</v>
      </c>
      <c r="B1596"/>
      <c r="C1596"/>
      <c r="D1596"/>
      <c r="E1596" s="1"/>
    </row>
    <row r="1597" spans="1:5" x14ac:dyDescent="0.25">
      <c r="A1597" s="7">
        <v>1.3188712601767801E-2</v>
      </c>
      <c r="B1597"/>
      <c r="C1597"/>
      <c r="D1597"/>
      <c r="E1597" s="1"/>
    </row>
    <row r="1598" spans="1:5" x14ac:dyDescent="0.25">
      <c r="A1598" s="7">
        <v>1.305813128887901E-2</v>
      </c>
      <c r="B1598"/>
      <c r="C1598"/>
      <c r="D1598"/>
      <c r="E1598" s="1"/>
    </row>
    <row r="1599" spans="1:5" x14ac:dyDescent="0.25">
      <c r="A1599" s="7">
        <v>1.2928842860276247E-2</v>
      </c>
      <c r="B1599"/>
      <c r="C1599"/>
      <c r="D1599"/>
      <c r="E1599" s="1"/>
    </row>
    <row r="1600" spans="1:5" x14ac:dyDescent="0.25">
      <c r="A1600" s="7">
        <v>1.2800834515124997E-2</v>
      </c>
      <c r="B1600"/>
      <c r="C1600"/>
      <c r="D1600"/>
      <c r="E1600" s="1"/>
    </row>
    <row r="1601" spans="1:5" x14ac:dyDescent="0.25">
      <c r="A1601" s="7">
        <v>1.2674093579331681E-2</v>
      </c>
      <c r="B1601"/>
      <c r="C1601"/>
      <c r="D1601"/>
      <c r="E1601" s="1"/>
    </row>
    <row r="1602" spans="1:5" x14ac:dyDescent="0.25">
      <c r="A1602" s="7">
        <v>1.2548607504288793E-2</v>
      </c>
      <c r="B1602"/>
      <c r="C1602"/>
      <c r="D1602"/>
      <c r="E1602" s="1"/>
    </row>
    <row r="1603" spans="1:5" x14ac:dyDescent="0.25">
      <c r="A1603" s="7">
        <v>1.2424363865632468E-2</v>
      </c>
      <c r="B1603"/>
      <c r="C1603"/>
      <c r="D1603"/>
      <c r="E1603" s="1"/>
    </row>
    <row r="1604" spans="1:5" x14ac:dyDescent="0.25">
      <c r="A1604" s="7">
        <v>1.2301350362012345E-2</v>
      </c>
      <c r="B1604"/>
      <c r="C1604"/>
      <c r="D1604"/>
      <c r="E1604" s="1"/>
    </row>
    <row r="1605" spans="1:5" x14ac:dyDescent="0.25">
      <c r="A1605" s="7">
        <v>1.2179554813873608E-2</v>
      </c>
      <c r="B1605"/>
      <c r="C1605"/>
      <c r="D1605"/>
      <c r="E1605" s="1"/>
    </row>
    <row r="1606" spans="1:5" x14ac:dyDescent="0.25">
      <c r="A1606" s="7">
        <v>1.2058965162251098E-2</v>
      </c>
      <c r="B1606"/>
      <c r="C1606"/>
      <c r="D1606"/>
      <c r="E1606" s="1"/>
    </row>
    <row r="1607" spans="1:5" x14ac:dyDescent="0.25">
      <c r="A1607" s="7">
        <v>1.1939569467575344E-2</v>
      </c>
      <c r="B1607"/>
      <c r="C1607"/>
      <c r="D1607"/>
      <c r="E1607" s="1"/>
    </row>
    <row r="1608" spans="1:5" x14ac:dyDescent="0.25">
      <c r="A1608" s="7">
        <v>1.182135590849044E-2</v>
      </c>
      <c r="B1608"/>
      <c r="C1608"/>
      <c r="D1608"/>
      <c r="E1608" s="1"/>
    </row>
    <row r="1609" spans="1:5" x14ac:dyDescent="0.25">
      <c r="A1609" s="7">
        <v>1.1704312780683603E-2</v>
      </c>
      <c r="B1609"/>
      <c r="C1609"/>
      <c r="D1609"/>
      <c r="E1609" s="1"/>
    </row>
    <row r="1610" spans="1:5" x14ac:dyDescent="0.25">
      <c r="A1610" s="7">
        <v>1.158842849572634E-2</v>
      </c>
      <c r="B1610"/>
      <c r="C1610"/>
      <c r="D1610"/>
      <c r="E1610" s="1"/>
    </row>
    <row r="1611" spans="1:5" x14ac:dyDescent="0.25">
      <c r="A1611" s="7">
        <v>1.1473691579927069E-2</v>
      </c>
      <c r="B1611"/>
      <c r="C1611"/>
      <c r="D1611"/>
      <c r="E1611" s="1"/>
    </row>
    <row r="1612" spans="1:5" x14ac:dyDescent="0.25">
      <c r="A1612" s="7">
        <v>1.1360090673195117E-2</v>
      </c>
      <c r="B1612"/>
      <c r="C1612"/>
      <c r="D1612"/>
      <c r="E1612" s="1"/>
    </row>
    <row r="1613" spans="1:5" x14ac:dyDescent="0.25">
      <c r="A1613" s="7">
        <v>1.1247614527915957E-2</v>
      </c>
      <c r="B1613"/>
      <c r="C1613"/>
      <c r="D1613"/>
      <c r="E1613" s="1"/>
    </row>
    <row r="1614" spans="1:5" x14ac:dyDescent="0.25">
      <c r="A1614" s="7">
        <v>1.1136252007837581E-2</v>
      </c>
      <c r="B1614"/>
      <c r="C1614"/>
      <c r="D1614"/>
      <c r="E1614" s="1"/>
    </row>
    <row r="1615" spans="1:5" x14ac:dyDescent="0.25">
      <c r="A1615" s="7">
        <v>1.1025992086967902E-2</v>
      </c>
      <c r="B1615"/>
      <c r="C1615"/>
      <c r="D1615"/>
      <c r="E1615" s="1"/>
    </row>
    <row r="1616" spans="1:5" x14ac:dyDescent="0.25">
      <c r="A1616" s="7">
        <v>1.0916823848483071E-2</v>
      </c>
      <c r="B1616"/>
      <c r="C1616"/>
      <c r="D1616"/>
      <c r="E1616" s="1"/>
    </row>
    <row r="1617" spans="1:5" x14ac:dyDescent="0.25">
      <c r="A1617" s="7">
        <v>1.0808736483646605E-2</v>
      </c>
      <c r="B1617"/>
      <c r="C1617"/>
      <c r="D1617"/>
      <c r="E1617" s="1"/>
    </row>
    <row r="1618" spans="1:5" x14ac:dyDescent="0.25">
      <c r="A1618" s="7">
        <v>1.0701719290739212E-2</v>
      </c>
      <c r="B1618"/>
      <c r="C1618"/>
      <c r="D1618"/>
      <c r="E1618" s="1"/>
    </row>
    <row r="1619" spans="1:5" x14ac:dyDescent="0.25">
      <c r="A1619" s="7">
        <v>1.059576167399922E-2</v>
      </c>
      <c r="B1619"/>
      <c r="C1619"/>
      <c r="D1619"/>
      <c r="E1619" s="1"/>
    </row>
    <row r="1620" spans="1:5" x14ac:dyDescent="0.25">
      <c r="A1620" s="7">
        <v>1.0490853142573484E-2</v>
      </c>
      <c r="B1620"/>
      <c r="C1620"/>
      <c r="D1620"/>
      <c r="E1620" s="1"/>
    </row>
    <row r="1621" spans="1:5" x14ac:dyDescent="0.25">
      <c r="A1621" s="7">
        <v>1.0386983309478697E-2</v>
      </c>
      <c r="B1621"/>
      <c r="C1621"/>
      <c r="D1621"/>
      <c r="E1621" s="1"/>
    </row>
    <row r="1622" spans="1:5" x14ac:dyDescent="0.25">
      <c r="A1622" s="7">
        <v>1.0284141890572968E-2</v>
      </c>
      <c r="B1622"/>
      <c r="C1622"/>
      <c r="D1622"/>
      <c r="E1622" s="1"/>
    </row>
    <row r="1623" spans="1:5" x14ac:dyDescent="0.25">
      <c r="A1623" s="7">
        <v>1.0182318703537592E-2</v>
      </c>
      <c r="B1623"/>
      <c r="C1623"/>
      <c r="D1623"/>
      <c r="E1623" s="1"/>
    </row>
    <row r="1624" spans="1:5" x14ac:dyDescent="0.25">
      <c r="A1624" s="7">
        <v>1.0081503666868902E-2</v>
      </c>
      <c r="B1624"/>
      <c r="C1624"/>
      <c r="D1624"/>
      <c r="E1624" s="1"/>
    </row>
    <row r="1625" spans="1:5" x14ac:dyDescent="0.25">
      <c r="A1625" s="7">
        <v>9.981686798880101E-3</v>
      </c>
      <c r="B1625"/>
      <c r="C1625"/>
      <c r="D1625"/>
      <c r="E1625" s="1"/>
    </row>
    <row r="1626" spans="1:5" x14ac:dyDescent="0.25">
      <c r="A1626" s="7">
        <v>9.8828582167129718E-3</v>
      </c>
      <c r="B1626"/>
      <c r="C1626"/>
      <c r="D1626"/>
      <c r="E1626" s="1"/>
    </row>
    <row r="1627" spans="1:5" x14ac:dyDescent="0.25">
      <c r="A1627" s="7">
        <v>9.7850081353593778E-3</v>
      </c>
      <c r="B1627"/>
      <c r="C1627"/>
      <c r="D1627"/>
      <c r="E1627" s="1"/>
    </row>
    <row r="1628" spans="1:5" x14ac:dyDescent="0.25">
      <c r="A1628" s="7">
        <v>9.6881268666924539E-3</v>
      </c>
      <c r="B1628"/>
      <c r="C1628"/>
      <c r="D1628"/>
      <c r="E1628" s="1"/>
    </row>
    <row r="1629" spans="1:5" x14ac:dyDescent="0.25">
      <c r="A1629" s="7">
        <v>9.5922048185073799E-3</v>
      </c>
      <c r="B1629"/>
      <c r="C1629"/>
      <c r="D1629"/>
      <c r="E1629" s="1"/>
    </row>
    <row r="1630" spans="1:5" x14ac:dyDescent="0.25">
      <c r="A1630" s="7">
        <v>9.497232493571664E-3</v>
      </c>
      <c r="B1630"/>
      <c r="C1630"/>
      <c r="D1630"/>
      <c r="E1630" s="1"/>
    </row>
    <row r="1631" spans="1:5" x14ac:dyDescent="0.25">
      <c r="A1631" s="7">
        <v>9.4032004886848153E-3</v>
      </c>
      <c r="B1631"/>
      <c r="C1631"/>
      <c r="D1631"/>
      <c r="E1631" s="1"/>
    </row>
    <row r="1632" spans="1:5" x14ac:dyDescent="0.25">
      <c r="A1632" s="7">
        <v>9.3100994937473421E-3</v>
      </c>
      <c r="B1632"/>
      <c r="C1632"/>
      <c r="D1632"/>
      <c r="E1632" s="1"/>
    </row>
    <row r="1633" spans="1:5" x14ac:dyDescent="0.25">
      <c r="A1633" s="7">
        <v>9.2179202908389529E-3</v>
      </c>
      <c r="B1633"/>
      <c r="C1633"/>
      <c r="D1633"/>
      <c r="E1633" s="1"/>
    </row>
    <row r="1634" spans="1:5" x14ac:dyDescent="0.25">
      <c r="A1634" s="7">
        <v>9.1266537533058936E-3</v>
      </c>
      <c r="B1634"/>
      <c r="C1634"/>
      <c r="D1634"/>
      <c r="E1634" s="1"/>
    </row>
    <row r="1635" spans="1:5" x14ac:dyDescent="0.25">
      <c r="A1635" s="7">
        <v>9.0362908448573202E-3</v>
      </c>
      <c r="B1635"/>
      <c r="C1635"/>
      <c r="D1635"/>
      <c r="E1635" s="1"/>
    </row>
    <row r="1636" spans="1:5" x14ac:dyDescent="0.25">
      <c r="A1636" s="7">
        <v>8.9468226186706131E-3</v>
      </c>
      <c r="B1636"/>
      <c r="C1636"/>
      <c r="D1636"/>
      <c r="E1636" s="1"/>
    </row>
    <row r="1637" spans="1:5" x14ac:dyDescent="0.25">
      <c r="A1637" s="7">
        <v>8.8582402165055581E-3</v>
      </c>
      <c r="B1637"/>
      <c r="C1637"/>
      <c r="D1637"/>
      <c r="E1637" s="1"/>
    </row>
    <row r="1638" spans="1:5" x14ac:dyDescent="0.25">
      <c r="A1638" s="7">
        <v>8.7705348678272857E-3</v>
      </c>
      <c r="B1638"/>
      <c r="C1638"/>
      <c r="D1638"/>
      <c r="E1638" s="1"/>
    </row>
    <row r="1639" spans="1:5" x14ac:dyDescent="0.25">
      <c r="A1639" s="7">
        <v>8.6836978889379066E-3</v>
      </c>
      <c r="B1639"/>
      <c r="C1639"/>
      <c r="D1639"/>
      <c r="E1639" s="1"/>
    </row>
    <row r="1640" spans="1:5" x14ac:dyDescent="0.25">
      <c r="A1640" s="7">
        <v>8.5977206821167395E-3</v>
      </c>
      <c r="B1640"/>
      <c r="C1640"/>
      <c r="D1640"/>
      <c r="E1640" s="1"/>
    </row>
    <row r="1641" spans="1:5" x14ac:dyDescent="0.25">
      <c r="A1641" s="7">
        <v>8.5125947347690495E-3</v>
      </c>
      <c r="B1641"/>
      <c r="C1641"/>
      <c r="D1641"/>
      <c r="E1641" s="1"/>
    </row>
    <row r="1642" spans="1:5" x14ac:dyDescent="0.25">
      <c r="A1642" s="7">
        <v>8.4283116185832167E-3</v>
      </c>
      <c r="B1642"/>
      <c r="C1642"/>
      <c r="D1642"/>
      <c r="E1642" s="1"/>
    </row>
    <row r="1643" spans="1:5" x14ac:dyDescent="0.25">
      <c r="A1643" s="7">
        <v>8.3448629886962548E-3</v>
      </c>
      <c r="B1643"/>
      <c r="C1643"/>
      <c r="D1643"/>
      <c r="E1643" s="1"/>
    </row>
    <row r="1644" spans="1:5" x14ac:dyDescent="0.25">
      <c r="A1644" s="7">
        <v>8.2622405828675794E-3</v>
      </c>
      <c r="B1644"/>
      <c r="C1644"/>
      <c r="D1644"/>
      <c r="E1644" s="1"/>
    </row>
    <row r="1645" spans="1:5" x14ac:dyDescent="0.25">
      <c r="A1645" s="7">
        <v>8.1804362206609697E-3</v>
      </c>
      <c r="B1645"/>
      <c r="C1645"/>
      <c r="D1645"/>
      <c r="E1645" s="1"/>
    </row>
    <row r="1646" spans="1:5" x14ac:dyDescent="0.25">
      <c r="A1646" s="7">
        <v>8.0994418026346226E-3</v>
      </c>
      <c r="B1646"/>
      <c r="C1646"/>
      <c r="D1646"/>
      <c r="E1646" s="1"/>
    </row>
    <row r="1647" spans="1:5" x14ac:dyDescent="0.25">
      <c r="A1647" s="7">
        <v>8.0192493095392302E-3</v>
      </c>
      <c r="B1647"/>
      <c r="C1647"/>
      <c r="D1647"/>
      <c r="E1647" s="1"/>
    </row>
    <row r="1648" spans="1:5" x14ac:dyDescent="0.25">
      <c r="A1648" s="7">
        <v>7.9398508015239896E-3</v>
      </c>
      <c r="B1648"/>
      <c r="C1648"/>
      <c r="D1648"/>
      <c r="E1648" s="1"/>
    </row>
    <row r="1649" spans="1:5" x14ac:dyDescent="0.25">
      <c r="A1649" s="7">
        <v>7.8612384173504853E-3</v>
      </c>
      <c r="B1649"/>
      <c r="C1649"/>
      <c r="D1649"/>
      <c r="E1649" s="1"/>
    </row>
    <row r="1650" spans="1:5" x14ac:dyDescent="0.25">
      <c r="A1650" s="7">
        <v>7.7834043736143416E-3</v>
      </c>
      <c r="B1650"/>
      <c r="C1650"/>
      <c r="D1650"/>
      <c r="E1650" s="1"/>
    </row>
    <row r="1651" spans="1:5" x14ac:dyDescent="0.25">
      <c r="A1651" s="7">
        <v>7.7063409639745954E-3</v>
      </c>
      <c r="B1651"/>
      <c r="C1651"/>
      <c r="D1651"/>
      <c r="E1651" s="1"/>
    </row>
    <row r="1652" spans="1:5" x14ac:dyDescent="0.25">
      <c r="A1652" s="7">
        <v>7.6300405583906881E-3</v>
      </c>
      <c r="B1652"/>
      <c r="C1652"/>
      <c r="D1652"/>
      <c r="E1652" s="1"/>
    </row>
    <row r="1653" spans="1:5" x14ac:dyDescent="0.25">
      <c r="A1653" s="7">
        <v>7.5544956023670179E-3</v>
      </c>
      <c r="B1653"/>
      <c r="C1653"/>
      <c r="D1653"/>
      <c r="E1653" s="1"/>
    </row>
    <row r="1654" spans="1:5" x14ac:dyDescent="0.25">
      <c r="A1654" s="7">
        <v>7.479698616204968E-3</v>
      </c>
      <c r="B1654"/>
      <c r="C1654"/>
      <c r="D1654"/>
      <c r="E1654" s="1"/>
    </row>
    <row r="1655" spans="1:5" x14ac:dyDescent="0.25">
      <c r="A1655" s="7">
        <v>7.4056421942623445E-3</v>
      </c>
      <c r="B1655"/>
      <c r="C1655"/>
      <c r="D1655"/>
      <c r="E1655" s="1"/>
    </row>
    <row r="1656" spans="1:5" x14ac:dyDescent="0.25">
      <c r="A1656" s="7">
        <v>7.3323190042201428E-3</v>
      </c>
      <c r="B1656"/>
      <c r="C1656"/>
      <c r="D1656"/>
      <c r="E1656" s="1"/>
    </row>
    <row r="1657" spans="1:5" x14ac:dyDescent="0.25">
      <c r="A1657" s="7">
        <v>7.2597217863565773E-3</v>
      </c>
      <c r="B1657"/>
      <c r="C1657"/>
      <c r="D1657"/>
      <c r="E1657" s="1"/>
    </row>
    <row r="1658" spans="1:5" x14ac:dyDescent="0.25">
      <c r="A1658" s="7">
        <v>7.1878433528282945E-3</v>
      </c>
      <c r="B1658"/>
      <c r="C1658"/>
      <c r="D1658"/>
      <c r="E1658" s="1"/>
    </row>
    <row r="1659" spans="1:5" x14ac:dyDescent="0.25">
      <c r="A1659" s="7">
        <v>7.1166765869587071E-3</v>
      </c>
      <c r="B1659"/>
      <c r="C1659"/>
      <c r="D1659"/>
      <c r="E1659" s="1"/>
    </row>
    <row r="1660" spans="1:5" x14ac:dyDescent="0.25">
      <c r="A1660" s="7">
        <v>7.0462144425333731E-3</v>
      </c>
      <c r="B1660"/>
      <c r="C1660"/>
      <c r="D1660"/>
      <c r="E1660" s="1"/>
    </row>
    <row r="1661" spans="1:5" x14ac:dyDescent="0.25">
      <c r="A1661" s="7">
        <v>6.9764499431023497E-3</v>
      </c>
      <c r="B1661"/>
      <c r="C1661"/>
      <c r="D1661"/>
      <c r="E1661" s="1"/>
    </row>
    <row r="1662" spans="1:5" x14ac:dyDescent="0.25">
      <c r="A1662" s="7">
        <v>6.9073761812894555E-3</v>
      </c>
      <c r="B1662"/>
      <c r="C1662"/>
      <c r="D1662"/>
      <c r="E1662" s="1"/>
    </row>
    <row r="1663" spans="1:5" x14ac:dyDescent="0.25">
      <c r="A1663" s="7">
        <v>6.8389863181083713E-3</v>
      </c>
      <c r="B1663"/>
      <c r="C1663"/>
      <c r="D1663"/>
      <c r="E1663" s="1"/>
    </row>
    <row r="1664" spans="1:5" x14ac:dyDescent="0.25">
      <c r="A1664" s="7">
        <v>6.7712735822855162E-3</v>
      </c>
      <c r="B1664"/>
      <c r="C1664"/>
      <c r="D1664"/>
      <c r="E1664" s="1"/>
    </row>
    <row r="1665" spans="1:5" x14ac:dyDescent="0.25">
      <c r="A1665" s="7">
        <v>6.7042312695896203E-3</v>
      </c>
      <c r="B1665"/>
      <c r="C1665"/>
      <c r="D1665"/>
      <c r="E1665" s="1"/>
    </row>
    <row r="1666" spans="1:5" x14ac:dyDescent="0.25">
      <c r="A1666" s="7">
        <v>6.6378527421679405E-3</v>
      </c>
      <c r="B1666"/>
      <c r="C1666"/>
      <c r="D1666"/>
      <c r="E1666" s="1"/>
    </row>
    <row r="1667" spans="1:5" x14ac:dyDescent="0.25">
      <c r="A1667" s="7">
        <v>6.5721314278890499E-3</v>
      </c>
      <c r="B1667"/>
      <c r="C1667"/>
      <c r="D1667"/>
      <c r="E1667" s="1"/>
    </row>
    <row r="1668" spans="1:5" x14ac:dyDescent="0.25">
      <c r="A1668" s="7">
        <v>6.5070608196921287E-3</v>
      </c>
      <c r="B1668"/>
      <c r="C1668"/>
      <c r="D1668"/>
      <c r="E1668" s="1"/>
    </row>
    <row r="1669" spans="1:5" x14ac:dyDescent="0.25">
      <c r="A1669" s="7">
        <v>6.4426344749427015E-3</v>
      </c>
      <c r="B1669"/>
      <c r="C1669"/>
      <c r="D1669"/>
      <c r="E1669" s="1"/>
    </row>
    <row r="1670" spans="1:5" x14ac:dyDescent="0.25">
      <c r="A1670" s="7">
        <v>6.3788460147947536E-3</v>
      </c>
      <c r="B1670"/>
      <c r="C1670"/>
      <c r="D1670"/>
      <c r="E1670" s="1"/>
    </row>
    <row r="1671" spans="1:5" x14ac:dyDescent="0.25">
      <c r="A1671" s="7">
        <v>6.3156891235591622E-3</v>
      </c>
      <c r="B1671"/>
      <c r="C1671"/>
      <c r="D1671"/>
      <c r="E1671" s="1"/>
    </row>
    <row r="1672" spans="1:5" x14ac:dyDescent="0.25">
      <c r="A1672" s="7">
        <v>6.2531575480783783E-3</v>
      </c>
      <c r="B1672"/>
      <c r="C1672"/>
      <c r="D1672"/>
      <c r="E1672" s="1"/>
    </row>
    <row r="1673" spans="1:5" x14ac:dyDescent="0.25">
      <c r="A1673" s="7">
        <v>6.1912450971073054E-3</v>
      </c>
      <c r="B1673"/>
      <c r="C1673"/>
      <c r="D1673"/>
      <c r="E1673" s="1"/>
    </row>
    <row r="1674" spans="1:5" x14ac:dyDescent="0.25">
      <c r="A1674" s="7">
        <v>6.1299456407003022E-3</v>
      </c>
      <c r="B1674"/>
      <c r="C1674"/>
      <c r="D1674"/>
      <c r="E1674" s="1"/>
    </row>
    <row r="1675" spans="1:5" x14ac:dyDescent="0.25">
      <c r="A1675" s="7">
        <v>6.0692531096042598E-3</v>
      </c>
      <c r="B1675"/>
      <c r="C1675"/>
      <c r="D1675"/>
      <c r="E1675" s="1"/>
    </row>
    <row r="1676" spans="1:5" x14ac:dyDescent="0.25">
      <c r="A1676" s="7">
        <v>6.0091614946576827E-3</v>
      </c>
      <c r="B1676"/>
      <c r="C1676"/>
      <c r="D1676"/>
      <c r="E1676" s="1"/>
    </row>
    <row r="1677" spans="1:5" x14ac:dyDescent="0.25">
      <c r="A1677" s="7">
        <v>5.9496648461957258E-3</v>
      </c>
      <c r="B1677"/>
      <c r="C1677"/>
      <c r="D1677"/>
      <c r="E1677" s="1"/>
    </row>
    <row r="1678" spans="1:5" x14ac:dyDescent="0.25">
      <c r="A1678" s="7">
        <v>5.8907572734611148E-3</v>
      </c>
      <c r="B1678"/>
      <c r="C1678"/>
      <c r="D1678"/>
      <c r="E1678" s="1"/>
    </row>
    <row r="1679" spans="1:5" x14ac:dyDescent="0.25">
      <c r="A1679" s="7">
        <v>5.832432944020906E-3</v>
      </c>
      <c r="B1679"/>
      <c r="C1679"/>
      <c r="D1679"/>
      <c r="E1679" s="1"/>
    </row>
    <row r="1680" spans="1:5" x14ac:dyDescent="0.25">
      <c r="A1680" s="7">
        <v>5.7746860831890158E-3</v>
      </c>
      <c r="B1680"/>
      <c r="C1680"/>
      <c r="D1680"/>
      <c r="E1680" s="1"/>
    </row>
    <row r="1681" spans="1:5" x14ac:dyDescent="0.25">
      <c r="A1681" s="7">
        <v>5.717510973454471E-3</v>
      </c>
      <c r="B1681"/>
      <c r="C1681"/>
      <c r="D1681"/>
      <c r="E1681" s="1"/>
    </row>
    <row r="1682" spans="1:5" x14ac:dyDescent="0.25">
      <c r="A1682" s="7">
        <v>5.6609019539153177E-3</v>
      </c>
      <c r="B1682"/>
      <c r="C1682"/>
      <c r="D1682"/>
      <c r="E1682" s="1"/>
    </row>
    <row r="1683" spans="1:5" x14ac:dyDescent="0.25">
      <c r="A1683" s="7">
        <v>5.604853419718136E-3</v>
      </c>
      <c r="B1683"/>
      <c r="C1683"/>
      <c r="D1683"/>
      <c r="E1683" s="1"/>
    </row>
    <row r="1684" spans="1:5" x14ac:dyDescent="0.25">
      <c r="A1684" s="7">
        <v>5.5493598215031054E-3</v>
      </c>
      <c r="B1684"/>
      <c r="C1684"/>
      <c r="D1684"/>
      <c r="E1684" s="1"/>
    </row>
    <row r="1685" spans="1:5" x14ac:dyDescent="0.25">
      <c r="A1685" s="7">
        <v>5.4944156648545593E-3</v>
      </c>
      <c r="B1685"/>
      <c r="C1685"/>
      <c r="D1685"/>
      <c r="E1685" s="1"/>
    </row>
    <row r="1686" spans="1:5" x14ac:dyDescent="0.25">
      <c r="A1686" s="7">
        <v>5.4400155097569895E-3</v>
      </c>
      <c r="B1686"/>
      <c r="C1686"/>
      <c r="D1686"/>
      <c r="E1686" s="1"/>
    </row>
    <row r="1687" spans="1:5" x14ac:dyDescent="0.25">
      <c r="A1687" s="7">
        <v>5.3861539700564252E-3</v>
      </c>
      <c r="B1687"/>
      <c r="C1687"/>
      <c r="D1687"/>
      <c r="E1687" s="1"/>
    </row>
    <row r="1688" spans="1:5" x14ac:dyDescent="0.25">
      <c r="A1688" s="7">
        <v>5.3328257129271533E-3</v>
      </c>
      <c r="B1688"/>
      <c r="C1688"/>
      <c r="D1688"/>
      <c r="E1688" s="1"/>
    </row>
    <row r="1689" spans="1:5" x14ac:dyDescent="0.25">
      <c r="A1689" s="7">
        <v>5.2800254583437161E-3</v>
      </c>
      <c r="B1689"/>
      <c r="C1689"/>
      <c r="D1689"/>
      <c r="E1689" s="1"/>
    </row>
    <row r="1690" spans="1:5" x14ac:dyDescent="0.25">
      <c r="A1690" s="7">
        <v>5.2277479785581343E-3</v>
      </c>
      <c r="B1690"/>
      <c r="C1690"/>
      <c r="D1690"/>
      <c r="E1690" s="1"/>
    </row>
    <row r="1691" spans="1:5" x14ac:dyDescent="0.25">
      <c r="A1691" s="7">
        <v>5.1759880975823114E-3</v>
      </c>
      <c r="B1691"/>
      <c r="C1691"/>
      <c r="D1691"/>
      <c r="E1691" s="1"/>
    </row>
    <row r="1692" spans="1:5" x14ac:dyDescent="0.25">
      <c r="A1692" s="7">
        <v>5.1247406906755558E-3</v>
      </c>
      <c r="B1692"/>
      <c r="C1692"/>
      <c r="D1692"/>
      <c r="E1692" s="1"/>
    </row>
    <row r="1693" spans="1:5" x14ac:dyDescent="0.25">
      <c r="A1693" s="7">
        <v>5.0740006838371843E-3</v>
      </c>
      <c r="B1693"/>
      <c r="C1693"/>
      <c r="D1693"/>
      <c r="E1693" s="1"/>
    </row>
    <row r="1694" spans="1:5" x14ac:dyDescent="0.25">
      <c r="A1694" s="7">
        <v>5.0237630533041429E-3</v>
      </c>
      <c r="B1694"/>
      <c r="C1694"/>
      <c r="D1694"/>
      <c r="E1694" s="1"/>
    </row>
    <row r="1695" spans="1:5" x14ac:dyDescent="0.25">
      <c r="A1695" s="7">
        <v>4.9740228250536068E-3</v>
      </c>
      <c r="B1695"/>
      <c r="C1695"/>
      <c r="D1695"/>
      <c r="E1695" s="1"/>
    </row>
    <row r="1696" spans="1:5" x14ac:dyDescent="0.25">
      <c r="A1696" s="7">
        <v>4.9247750743105015E-3</v>
      </c>
      <c r="B1696"/>
      <c r="C1696"/>
      <c r="D1696"/>
      <c r="E1696" s="1"/>
    </row>
    <row r="1697" spans="1:5" x14ac:dyDescent="0.25">
      <c r="A1697" s="7">
        <v>4.8760149250599025E-3</v>
      </c>
      <c r="B1697"/>
      <c r="C1697"/>
      <c r="D1697"/>
      <c r="E1697" s="1"/>
    </row>
    <row r="1698" spans="1:5" x14ac:dyDescent="0.25">
      <c r="A1698" s="7">
        <v>4.8277375495642599E-3</v>
      </c>
      <c r="B1698"/>
      <c r="C1698"/>
      <c r="D1698"/>
      <c r="E1698" s="1"/>
    </row>
    <row r="1699" spans="1:5" x14ac:dyDescent="0.25">
      <c r="A1699" s="7">
        <v>4.7799381678854062E-3</v>
      </c>
      <c r="B1699"/>
      <c r="C1699"/>
      <c r="D1699"/>
      <c r="E1699" s="1"/>
    </row>
    <row r="1700" spans="1:5" x14ac:dyDescent="0.25">
      <c r="A1700" s="7">
        <v>4.7326120474112934E-3</v>
      </c>
      <c r="B1700"/>
      <c r="C1700"/>
      <c r="D1700"/>
      <c r="E1700" s="1"/>
    </row>
    <row r="1701" spans="1:5" x14ac:dyDescent="0.25">
      <c r="A1701" s="7">
        <v>4.6857545023874193E-3</v>
      </c>
      <c r="B1701"/>
      <c r="C1701"/>
      <c r="D1701"/>
      <c r="E1701" s="1"/>
    </row>
    <row r="1702" spans="1:5" x14ac:dyDescent="0.25">
      <c r="A1702" s="7">
        <v>4.6393608934528902E-3</v>
      </c>
      <c r="B1702"/>
      <c r="C1702"/>
      <c r="D1702"/>
      <c r="E1702" s="1"/>
    </row>
    <row r="1703" spans="1:5" x14ac:dyDescent="0.25">
      <c r="A1703" s="7">
        <v>4.5934266271810791E-3</v>
      </c>
      <c r="B1703"/>
      <c r="C1703"/>
      <c r="D1703"/>
      <c r="E1703" s="1"/>
    </row>
    <row r="1704" spans="1:5" x14ac:dyDescent="0.25">
      <c r="A1704" s="7">
        <v>4.5479471556248308E-3</v>
      </c>
      <c r="B1704"/>
      <c r="C1704"/>
      <c r="D1704"/>
      <c r="E1704" s="1"/>
    </row>
    <row r="1705" spans="1:5" x14ac:dyDescent="0.25">
      <c r="A1705" s="7">
        <v>4.5029179758661695E-3</v>
      </c>
      <c r="B1705"/>
      <c r="C1705"/>
      <c r="D1705"/>
      <c r="E1705" s="1"/>
    </row>
    <row r="1706" spans="1:5" x14ac:dyDescent="0.25">
      <c r="A1706" s="7">
        <v>4.4583346295704648E-3</v>
      </c>
      <c r="B1706"/>
      <c r="C1706"/>
      <c r="D1706"/>
      <c r="E1706" s="1"/>
    </row>
    <row r="1707" spans="1:5" x14ac:dyDescent="0.25">
      <c r="A1707" s="7">
        <v>4.4141927025450143E-3</v>
      </c>
      <c r="B1707"/>
      <c r="C1707"/>
      <c r="D1707"/>
      <c r="E1707" s="1"/>
    </row>
    <row r="1708" spans="1:5" x14ac:dyDescent="0.25">
      <c r="A1708" s="7">
        <v>4.370487824301994E-3</v>
      </c>
      <c r="B1708"/>
      <c r="C1708"/>
      <c r="D1708"/>
      <c r="E1708" s="1"/>
    </row>
    <row r="1709" spans="1:5" x14ac:dyDescent="0.25">
      <c r="A1709" s="7">
        <v>4.3272156676257365E-3</v>
      </c>
      <c r="B1709"/>
      <c r="C1709"/>
      <c r="D1709"/>
      <c r="E1709" s="1"/>
    </row>
    <row r="1710" spans="1:5" x14ac:dyDescent="0.25">
      <c r="A1710" s="7">
        <v>4.2843719481442935E-3</v>
      </c>
      <c r="B1710"/>
      <c r="C1710"/>
      <c r="D1710"/>
      <c r="E1710" s="1"/>
    </row>
    <row r="1711" spans="1:5" x14ac:dyDescent="0.25">
      <c r="A1711" s="7">
        <v>4.241952423905241E-3</v>
      </c>
      <c r="B1711"/>
      <c r="C1711"/>
      <c r="D1711"/>
      <c r="E1711" s="1"/>
    </row>
    <row r="1712" spans="1:5" x14ac:dyDescent="0.25">
      <c r="A1712" s="7">
        <v>4.1999528949556841E-3</v>
      </c>
      <c r="B1712"/>
      <c r="C1712"/>
      <c r="D1712"/>
      <c r="E1712" s="1"/>
    </row>
    <row r="1713" spans="1:5" x14ac:dyDescent="0.25">
      <c r="A1713" s="7">
        <v>4.1583692029264199E-3</v>
      </c>
      <c r="B1713"/>
      <c r="C1713"/>
      <c r="D1713"/>
      <c r="E1713" s="1"/>
    </row>
    <row r="1714" spans="1:5" x14ac:dyDescent="0.25">
      <c r="A1714" s="7">
        <v>4.1171972306202178E-3</v>
      </c>
      <c r="B1714"/>
      <c r="C1714"/>
      <c r="D1714"/>
      <c r="E1714" s="1"/>
    </row>
    <row r="1715" spans="1:5" x14ac:dyDescent="0.25">
      <c r="A1715" s="7">
        <v>4.0764329016041764E-3</v>
      </c>
      <c r="B1715"/>
      <c r="C1715"/>
      <c r="D1715"/>
      <c r="E1715" s="1"/>
    </row>
    <row r="1716" spans="1:5" x14ac:dyDescent="0.25">
      <c r="A1716" s="7">
        <v>4.0360721798061152E-3</v>
      </c>
      <c r="B1716"/>
      <c r="C1716"/>
      <c r="D1716"/>
      <c r="E1716" s="1"/>
    </row>
    <row r="1717" spans="1:5" x14ac:dyDescent="0.25">
      <c r="A1717" s="7">
        <v>3.9961110691149656E-3</v>
      </c>
      <c r="B1717"/>
      <c r="C1717"/>
      <c r="D1717"/>
      <c r="E1717" s="1"/>
    </row>
    <row r="1718" spans="1:5" x14ac:dyDescent="0.25">
      <c r="A1718" s="7">
        <v>3.9565456129851146E-3</v>
      </c>
      <c r="B1718"/>
      <c r="C1718"/>
      <c r="D1718"/>
      <c r="E1718" s="1"/>
    </row>
    <row r="1719" spans="1:5" x14ac:dyDescent="0.25">
      <c r="A1719" s="7">
        <v>3.9173718940446675E-3</v>
      </c>
      <c r="B1719"/>
      <c r="C1719"/>
      <c r="D1719"/>
      <c r="E1719" s="1"/>
    </row>
    <row r="1720" spans="1:5" x14ac:dyDescent="0.25">
      <c r="A1720" s="7">
        <v>3.8785860337075917E-3</v>
      </c>
      <c r="B1720"/>
      <c r="C1720"/>
      <c r="D1720"/>
      <c r="E1720" s="1"/>
    </row>
    <row r="1721" spans="1:5" x14ac:dyDescent="0.25">
      <c r="A1721" s="7">
        <v>3.8401841917896948E-3</v>
      </c>
      <c r="B1721"/>
      <c r="C1721"/>
      <c r="D1721"/>
      <c r="E1721" s="1"/>
    </row>
    <row r="1722" spans="1:5" x14ac:dyDescent="0.25">
      <c r="A1722" s="7">
        <v>3.8021625661284106E-3</v>
      </c>
      <c r="B1722"/>
      <c r="C1722"/>
      <c r="D1722"/>
      <c r="E1722" s="1"/>
    </row>
    <row r="1723" spans="1:5" x14ac:dyDescent="0.25">
      <c r="A1723" s="7">
        <v>3.764517392206347E-3</v>
      </c>
      <c r="B1723"/>
      <c r="C1723"/>
      <c r="D1723"/>
      <c r="E1723" s="1"/>
    </row>
    <row r="1724" spans="1:5" x14ac:dyDescent="0.25">
      <c r="A1724" s="7">
        <v>3.7272449427785616E-3</v>
      </c>
      <c r="B1724"/>
      <c r="C1724"/>
      <c r="D1724"/>
      <c r="E1724" s="1"/>
    </row>
    <row r="1725" spans="1:5" x14ac:dyDescent="0.25">
      <c r="A1725" s="7">
        <v>3.6903415275035263E-3</v>
      </c>
      <c r="B1725"/>
      <c r="C1725"/>
      <c r="D1725"/>
      <c r="E1725" s="1"/>
    </row>
    <row r="1726" spans="1:5" x14ac:dyDescent="0.25">
      <c r="A1726" s="7">
        <v>3.6538034925777487E-3</v>
      </c>
      <c r="B1726"/>
      <c r="C1726"/>
      <c r="D1726"/>
      <c r="E1726" s="1"/>
    </row>
    <row r="1727" spans="1:5" x14ac:dyDescent="0.25">
      <c r="A1727" s="7">
        <v>3.6176272203740085E-3</v>
      </c>
      <c r="B1727"/>
      <c r="C1727"/>
      <c r="D1727"/>
      <c r="E1727" s="1"/>
    </row>
    <row r="1728" spans="1:5" x14ac:dyDescent="0.25">
      <c r="A1728" s="7">
        <v>3.5818091290831769E-3</v>
      </c>
      <c r="B1728"/>
      <c r="C1728"/>
      <c r="D1728"/>
      <c r="E1728" s="1"/>
    </row>
    <row r="1729" spans="1:5" x14ac:dyDescent="0.25">
      <c r="A1729" s="7">
        <v>3.546345672359581E-3</v>
      </c>
      <c r="B1729"/>
      <c r="C1729"/>
      <c r="D1729"/>
      <c r="E1729" s="1"/>
    </row>
    <row r="1730" spans="1:5" x14ac:dyDescent="0.25">
      <c r="A1730" s="7">
        <v>3.511233338969882E-3</v>
      </c>
      <c r="B1730"/>
      <c r="C1730"/>
      <c r="D1730"/>
      <c r="E1730" s="1"/>
    </row>
    <row r="1731" spans="1:5" x14ac:dyDescent="0.25">
      <c r="A1731" s="7">
        <v>3.4764686524454279E-3</v>
      </c>
      <c r="B1731"/>
      <c r="C1731"/>
      <c r="D1731"/>
      <c r="E1731" s="1"/>
    </row>
    <row r="1732" spans="1:5" x14ac:dyDescent="0.25">
      <c r="A1732" s="7">
        <v>3.4420481707380475E-3</v>
      </c>
      <c r="B1732"/>
      <c r="C1732"/>
      <c r="D1732"/>
      <c r="E1732" s="1"/>
    </row>
    <row r="1733" spans="1:5" x14ac:dyDescent="0.25">
      <c r="A1733" s="7">
        <v>3.4079684858792547E-3</v>
      </c>
      <c r="B1733"/>
      <c r="C1733"/>
      <c r="D1733"/>
      <c r="E1733" s="1"/>
    </row>
    <row r="1734" spans="1:5" x14ac:dyDescent="0.25">
      <c r="A1734" s="7">
        <v>3.3742262236428266E-3</v>
      </c>
      <c r="B1734"/>
      <c r="C1734"/>
      <c r="D1734"/>
      <c r="E1734" s="1"/>
    </row>
    <row r="1735" spans="1:5" x14ac:dyDescent="0.25">
      <c r="A1735" s="7">
        <v>3.3408180432107195E-3</v>
      </c>
      <c r="B1735"/>
      <c r="C1735"/>
      <c r="D1735"/>
      <c r="E1735" s="1"/>
    </row>
    <row r="1736" spans="1:5" x14ac:dyDescent="0.25">
      <c r="A1736" s="7">
        <v>3.3077406368422963E-3</v>
      </c>
      <c r="B1736"/>
      <c r="C1736"/>
      <c r="D1736"/>
      <c r="E1736" s="1"/>
    </row>
    <row r="1737" spans="1:5" x14ac:dyDescent="0.25">
      <c r="A1737" s="7">
        <v>3.2749907295468281E-3</v>
      </c>
      <c r="B1737"/>
      <c r="C1737"/>
      <c r="D1737"/>
      <c r="E1737" s="1"/>
    </row>
    <row r="1738" spans="1:5" x14ac:dyDescent="0.25">
      <c r="A1738" s="7">
        <v>3.2425650787592359E-3</v>
      </c>
      <c r="B1738"/>
      <c r="C1738"/>
      <c r="D1738"/>
      <c r="E1738" s="1"/>
    </row>
    <row r="1739" spans="1:5" x14ac:dyDescent="0.25">
      <c r="A1739" s="7">
        <v>3.2104604740190454E-3</v>
      </c>
      <c r="B1739"/>
      <c r="C1739"/>
      <c r="D1739"/>
      <c r="E1739" s="1"/>
    </row>
    <row r="1740" spans="1:5" x14ac:dyDescent="0.25">
      <c r="A1740" s="7">
        <v>3.1786737366525201E-3</v>
      </c>
      <c r="B1740"/>
      <c r="C1740"/>
      <c r="D1740"/>
      <c r="E1740" s="1"/>
    </row>
    <row r="1741" spans="1:5" x14ac:dyDescent="0.25">
      <c r="A1741" s="7">
        <v>3.1472017194579408E-3</v>
      </c>
      <c r="B1741"/>
      <c r="C1741"/>
      <c r="D1741"/>
      <c r="E1741" s="1"/>
    </row>
    <row r="1742" spans="1:5" x14ac:dyDescent="0.25">
      <c r="A1742" s="7">
        <v>3.1160413063940008E-3</v>
      </c>
      <c r="B1742"/>
      <c r="C1742"/>
      <c r="D1742"/>
      <c r="E1742" s="1"/>
    </row>
    <row r="1743" spans="1:5" x14ac:dyDescent="0.25">
      <c r="A1743" s="7">
        <v>3.0851894122712878E-3</v>
      </c>
      <c r="B1743"/>
      <c r="C1743"/>
      <c r="D1743"/>
      <c r="E1743" s="1"/>
    </row>
    <row r="1744" spans="1:5" x14ac:dyDescent="0.25">
      <c r="A1744" s="7">
        <v>3.0546429824468194E-3</v>
      </c>
      <c r="B1744"/>
      <c r="C1744"/>
      <c r="D1744"/>
      <c r="E1744" s="1"/>
    </row>
    <row r="1745" spans="1:5" x14ac:dyDescent="0.25">
      <c r="A1745" s="7">
        <v>3.0243989925216033E-3</v>
      </c>
      <c r="B1745"/>
      <c r="C1745"/>
      <c r="D1745"/>
      <c r="E1745" s="1"/>
    </row>
    <row r="1746" spans="1:5" x14ac:dyDescent="0.25">
      <c r="A1746" s="7">
        <v>2.9944544480411915E-3</v>
      </c>
      <c r="B1746"/>
      <c r="C1746"/>
      <c r="D1746"/>
      <c r="E1746" s="1"/>
    </row>
    <row r="1747" spans="1:5" x14ac:dyDescent="0.25">
      <c r="A1747" s="7">
        <v>2.9648063841991993E-3</v>
      </c>
      <c r="B1747"/>
      <c r="C1747"/>
      <c r="D1747"/>
      <c r="E1747" s="1"/>
    </row>
    <row r="1748" spans="1:5" x14ac:dyDescent="0.25">
      <c r="A1748" s="7">
        <v>2.9354518655437616E-3</v>
      </c>
      <c r="B1748"/>
      <c r="C1748"/>
      <c r="D1748"/>
      <c r="E1748" s="1"/>
    </row>
    <row r="1749" spans="1:5" x14ac:dyDescent="0.25">
      <c r="A1749" s="7">
        <v>2.9063879856868926E-3</v>
      </c>
      <c r="B1749"/>
      <c r="C1749"/>
      <c r="D1749"/>
      <c r="E1749" s="1"/>
    </row>
    <row r="1750" spans="1:5" x14ac:dyDescent="0.25">
      <c r="A1750" s="7">
        <v>2.8776118670167253E-3</v>
      </c>
      <c r="B1750"/>
      <c r="C1750"/>
      <c r="D1750"/>
      <c r="E1750" s="1"/>
    </row>
    <row r="1751" spans="1:5" x14ac:dyDescent="0.25">
      <c r="A1751" s="7">
        <v>2.8491206604125993E-3</v>
      </c>
      <c r="B1751"/>
      <c r="C1751"/>
      <c r="D1751"/>
      <c r="E1751" s="1"/>
    </row>
    <row r="1752" spans="1:5" x14ac:dyDescent="0.25">
      <c r="A1752" s="7">
        <v>2.8209115449629694E-3</v>
      </c>
      <c r="B1752"/>
      <c r="C1752"/>
      <c r="D1752"/>
      <c r="E1752" s="1"/>
    </row>
    <row r="1753" spans="1:5" x14ac:dyDescent="0.25">
      <c r="A1753" s="7">
        <v>2.7929817276861084E-3</v>
      </c>
      <c r="B1753"/>
      <c r="C1753"/>
      <c r="D1753"/>
      <c r="E1753" s="1"/>
    </row>
    <row r="1754" spans="1:5" x14ac:dyDescent="0.25">
      <c r="A1754" s="7">
        <v>2.7653284432535728E-3</v>
      </c>
      <c r="B1754"/>
      <c r="C1754"/>
      <c r="D1754"/>
      <c r="E1754" s="1"/>
    </row>
    <row r="1755" spans="1:5" x14ac:dyDescent="0.25">
      <c r="A1755" s="7">
        <v>2.7379489537164088E-3</v>
      </c>
      <c r="B1755"/>
      <c r="C1755"/>
      <c r="D1755"/>
      <c r="E1755" s="1"/>
    </row>
    <row r="1756" spans="1:5" x14ac:dyDescent="0.25">
      <c r="A1756" s="7">
        <v>2.7108405482340683E-3</v>
      </c>
      <c r="B1756"/>
      <c r="C1756"/>
      <c r="D1756"/>
      <c r="E1756" s="1"/>
    </row>
    <row r="1757" spans="1:5" x14ac:dyDescent="0.25">
      <c r="A1757" s="7">
        <v>2.6840005428060082E-3</v>
      </c>
      <c r="B1757"/>
      <c r="C1757"/>
      <c r="D1757"/>
      <c r="E1757" s="1"/>
    </row>
    <row r="1758" spans="1:5" x14ac:dyDescent="0.25">
      <c r="A1758" s="7">
        <v>2.6574262800059486E-3</v>
      </c>
      <c r="B1758"/>
      <c r="C1758"/>
      <c r="D1758"/>
      <c r="E1758" s="1"/>
    </row>
    <row r="1759" spans="1:5" x14ac:dyDescent="0.25">
      <c r="A1759" s="7">
        <v>2.6311151287187612E-3</v>
      </c>
      <c r="B1759"/>
      <c r="C1759"/>
      <c r="D1759"/>
      <c r="E1759" s="1"/>
    </row>
    <row r="1760" spans="1:5" x14ac:dyDescent="0.25">
      <c r="A1760" s="7">
        <v>2.6050644838799615E-3</v>
      </c>
      <c r="B1760"/>
      <c r="C1760"/>
      <c r="D1760"/>
      <c r="E1760" s="1"/>
    </row>
    <row r="1761" spans="1:5" x14ac:dyDescent="0.25">
      <c r="A1761" s="7">
        <v>2.5792717662177838E-3</v>
      </c>
      <c r="B1761"/>
      <c r="C1761"/>
      <c r="D1761"/>
      <c r="E1761" s="1"/>
    </row>
    <row r="1762" spans="1:5" x14ac:dyDescent="0.25">
      <c r="A1762" s="7">
        <v>2.5537344219978058E-3</v>
      </c>
      <c r="B1762"/>
      <c r="C1762"/>
      <c r="D1762"/>
      <c r="E1762" s="1"/>
    </row>
    <row r="1763" spans="1:5" x14ac:dyDescent="0.25">
      <c r="A1763" s="7">
        <v>2.5284499227701046E-3</v>
      </c>
      <c r="B1763"/>
      <c r="C1763"/>
      <c r="D1763"/>
      <c r="E1763" s="1"/>
    </row>
    <row r="1764" spans="1:5" x14ac:dyDescent="0.25">
      <c r="A1764" s="7">
        <v>2.5034157651189154E-3</v>
      </c>
      <c r="B1764"/>
      <c r="C1764"/>
      <c r="D1764"/>
      <c r="E1764" s="1"/>
    </row>
    <row r="1765" spans="1:5" x14ac:dyDescent="0.25">
      <c r="A1765" s="7">
        <v>2.4786294704147679E-3</v>
      </c>
      <c r="B1765"/>
      <c r="C1765"/>
      <c r="D1765"/>
      <c r="E1765" s="1"/>
    </row>
    <row r="1766" spans="1:5" x14ac:dyDescent="0.25">
      <c r="A1766" s="7">
        <v>2.4540885845690773E-3</v>
      </c>
      <c r="B1766"/>
      <c r="C1766"/>
      <c r="D1766"/>
      <c r="E1766" s="1"/>
    </row>
    <row r="1767" spans="1:5" x14ac:dyDescent="0.25">
      <c r="A1767" s="7">
        <v>2.4297906777911655E-3</v>
      </c>
      <c r="B1767"/>
      <c r="C1767"/>
      <c r="D1767"/>
      <c r="E1767" s="1"/>
    </row>
    <row r="1768" spans="1:5" x14ac:dyDescent="0.25">
      <c r="A1768" s="7">
        <v>2.4057333443476886E-3</v>
      </c>
      <c r="B1768"/>
      <c r="C1768"/>
      <c r="D1768"/>
      <c r="E1768" s="1"/>
    </row>
    <row r="1769" spans="1:5" x14ac:dyDescent="0.25">
      <c r="A1769" s="7">
        <v>2.3819142023244443E-3</v>
      </c>
      <c r="B1769"/>
      <c r="C1769"/>
      <c r="D1769"/>
      <c r="E1769" s="1"/>
    </row>
    <row r="1770" spans="1:5" x14ac:dyDescent="0.25">
      <c r="A1770" s="7">
        <v>2.3583308933905387E-3</v>
      </c>
      <c r="B1770"/>
      <c r="C1770"/>
      <c r="D1770"/>
      <c r="E1770" s="1"/>
    </row>
    <row r="1771" spans="1:5" x14ac:dyDescent="0.25">
      <c r="A1771" s="7">
        <v>2.3349810825648897E-3</v>
      </c>
      <c r="B1771"/>
      <c r="C1771"/>
      <c r="D1771"/>
      <c r="E1771" s="1"/>
    </row>
    <row r="1772" spans="1:5" x14ac:dyDescent="0.25">
      <c r="A1772" s="7">
        <v>2.3118624579850392E-3</v>
      </c>
      <c r="B1772"/>
      <c r="C1772"/>
      <c r="D1772"/>
      <c r="E1772" s="1"/>
    </row>
    <row r="1773" spans="1:5" x14ac:dyDescent="0.25">
      <c r="A1773" s="7">
        <v>2.2889727306782568E-3</v>
      </c>
      <c r="B1773"/>
      <c r="C1773"/>
      <c r="D1773"/>
      <c r="E1773" s="1"/>
    </row>
    <row r="1774" spans="1:5" x14ac:dyDescent="0.25">
      <c r="A1774" s="7">
        <v>2.2663096343349077E-3</v>
      </c>
      <c r="B1774"/>
      <c r="C1774"/>
      <c r="D1774"/>
      <c r="E1774" s="1"/>
    </row>
    <row r="1775" spans="1:5" x14ac:dyDescent="0.25">
      <c r="A1775" s="7">
        <v>2.2438709250840669E-3</v>
      </c>
      <c r="B1775"/>
      <c r="C1775"/>
      <c r="D1775"/>
      <c r="E1775" s="1"/>
    </row>
    <row r="1776" spans="1:5" x14ac:dyDescent="0.25">
      <c r="A1776" s="7">
        <v>2.2216543812713535E-3</v>
      </c>
      <c r="B1776"/>
      <c r="C1776"/>
      <c r="D1776"/>
      <c r="E1776" s="1"/>
    </row>
    <row r="1777" spans="1:5" x14ac:dyDescent="0.25">
      <c r="A1777" s="7">
        <v>2.1996578032389639E-3</v>
      </c>
      <c r="B1777"/>
      <c r="C1777"/>
      <c r="D1777"/>
      <c r="E1777" s="1"/>
    </row>
    <row r="1778" spans="1:5" x14ac:dyDescent="0.25">
      <c r="A1778" s="7">
        <v>2.1778790131078852E-3</v>
      </c>
      <c r="B1778"/>
      <c r="C1778"/>
      <c r="D1778"/>
      <c r="E1778" s="1"/>
    </row>
    <row r="1779" spans="1:5" x14ac:dyDescent="0.25">
      <c r="A1779" s="7">
        <v>2.1563158545622628E-3</v>
      </c>
      <c r="B1779"/>
      <c r="C1779"/>
      <c r="D1779"/>
      <c r="E1779" s="1"/>
    </row>
    <row r="1780" spans="1:5" x14ac:dyDescent="0.25">
      <c r="A1780" s="7">
        <v>2.1349661926359036E-3</v>
      </c>
      <c r="B1780"/>
      <c r="C1780"/>
      <c r="D1780"/>
      <c r="E1780" s="1"/>
    </row>
    <row r="1781" spans="1:5" x14ac:dyDescent="0.25">
      <c r="A1781" s="7">
        <v>2.1138279135008947E-3</v>
      </c>
      <c r="B1781"/>
      <c r="C1781"/>
      <c r="D1781"/>
      <c r="E1781" s="1"/>
    </row>
    <row r="1782" spans="1:5" x14ac:dyDescent="0.25">
      <c r="A1782" s="7">
        <v>2.0928989242583115E-3</v>
      </c>
      <c r="B1782"/>
      <c r="C1782"/>
      <c r="D1782"/>
      <c r="E1782" s="1"/>
    </row>
    <row r="1783" spans="1:5" x14ac:dyDescent="0.25">
      <c r="A1783" s="7">
        <v>2.0721771527310016E-3</v>
      </c>
      <c r="B1783"/>
      <c r="C1783"/>
      <c r="D1783"/>
      <c r="E1783" s="1"/>
    </row>
    <row r="1784" spans="1:5" x14ac:dyDescent="0.25">
      <c r="A1784" s="7">
        <v>2.0516605472584173E-3</v>
      </c>
      <c r="B1784"/>
      <c r="C1784"/>
      <c r="D1784"/>
      <c r="E1784" s="1"/>
    </row>
    <row r="1785" spans="1:5" x14ac:dyDescent="0.25">
      <c r="A1785" s="7">
        <v>2.0313470764934823E-3</v>
      </c>
      <c r="B1785"/>
      <c r="C1785"/>
      <c r="D1785"/>
      <c r="E1785" s="1"/>
    </row>
    <row r="1786" spans="1:5" x14ac:dyDescent="0.25">
      <c r="A1786" s="7">
        <v>2.0112347292014676E-3</v>
      </c>
      <c r="B1786"/>
      <c r="C1786"/>
      <c r="D1786"/>
      <c r="E1786" s="1"/>
    </row>
    <row r="1787" spans="1:5" x14ac:dyDescent="0.25">
      <c r="A1787" s="7">
        <v>1.9913215140608589E-3</v>
      </c>
      <c r="B1787"/>
      <c r="C1787"/>
      <c r="D1787"/>
      <c r="E1787" s="1"/>
    </row>
    <row r="1788" spans="1:5" x14ac:dyDescent="0.25">
      <c r="A1788" s="7">
        <v>1.9716054594661968E-3</v>
      </c>
      <c r="B1788"/>
      <c r="C1788"/>
      <c r="D1788"/>
      <c r="E1788" s="1"/>
    </row>
    <row r="1789" spans="1:5" x14ac:dyDescent="0.25">
      <c r="A1789" s="7">
        <v>1.9520846133328682E-3</v>
      </c>
      <c r="B1789"/>
      <c r="C1789"/>
      <c r="D1789"/>
      <c r="E1789" s="1"/>
    </row>
    <row r="1790" spans="1:5" x14ac:dyDescent="0.25">
      <c r="A1790" s="7">
        <v>1.9327570429038298E-3</v>
      </c>
      <c r="B1790"/>
      <c r="C1790"/>
      <c r="D1790"/>
      <c r="E1790" s="1"/>
    </row>
    <row r="1791" spans="1:5" x14ac:dyDescent="0.25">
      <c r="A1791" s="7">
        <v>1.9136208345582474E-3</v>
      </c>
      <c r="B1791"/>
      <c r="C1791"/>
      <c r="D1791"/>
      <c r="E1791" s="1"/>
    </row>
    <row r="1792" spans="1:5" x14ac:dyDescent="0.25">
      <c r="A1792" s="7">
        <v>1.8946740936220271E-3</v>
      </c>
      <c r="B1792"/>
      <c r="C1792"/>
      <c r="D1792"/>
      <c r="E1792" s="1"/>
    </row>
    <row r="1793" spans="1:5" x14ac:dyDescent="0.25">
      <c r="A1793" s="7">
        <v>1.8759149441802249E-3</v>
      </c>
      <c r="B1793"/>
      <c r="C1793"/>
      <c r="D1793"/>
      <c r="E1793" s="1"/>
    </row>
    <row r="1794" spans="1:5" x14ac:dyDescent="0.25">
      <c r="A1794" s="7">
        <v>1.8573415288913118E-3</v>
      </c>
      <c r="B1794"/>
      <c r="C1794"/>
      <c r="D1794"/>
      <c r="E1794" s="1"/>
    </row>
    <row r="1795" spans="1:5" x14ac:dyDescent="0.25">
      <c r="A1795" s="7">
        <v>1.8389520088032791E-3</v>
      </c>
      <c r="B1795"/>
      <c r="C1795"/>
      <c r="D1795"/>
      <c r="E1795" s="1"/>
    </row>
    <row r="1796" spans="1:5" x14ac:dyDescent="0.25">
      <c r="A1796" s="7">
        <v>1.8207445631715634E-3</v>
      </c>
    </row>
    <row r="1797" spans="1:5" x14ac:dyDescent="0.25">
      <c r="A1797" s="7">
        <v>1.8027173892787756E-3</v>
      </c>
    </row>
    <row r="1798" spans="1:5" x14ac:dyDescent="0.25">
      <c r="A1798" s="7">
        <v>1.7848687022562135E-3</v>
      </c>
    </row>
    <row r="1799" spans="1:5" x14ac:dyDescent="0.25">
      <c r="A1799" s="7">
        <v>1.767196734907142E-3</v>
      </c>
    </row>
    <row r="1800" spans="1:5" x14ac:dyDescent="0.25">
      <c r="A1800" s="7">
        <v>1.7496997375318238E-3</v>
      </c>
    </row>
    <row r="1801" spans="1:5" x14ac:dyDescent="0.25">
      <c r="A1801" s="7">
        <v>1.7323759777542809E-3</v>
      </c>
    </row>
    <row r="1802" spans="1:5" x14ac:dyDescent="0.25">
      <c r="A1802" s="7">
        <v>1.7152237403507732E-3</v>
      </c>
    </row>
    <row r="1803" spans="1:5" x14ac:dyDescent="0.25">
      <c r="A1803" s="7">
        <v>1.6982413270799734E-3</v>
      </c>
    </row>
    <row r="1804" spans="1:5" x14ac:dyDescent="0.25">
      <c r="A1804" s="7">
        <v>1.6814270565148252E-3</v>
      </c>
    </row>
    <row r="1805" spans="1:5" x14ac:dyDescent="0.25">
      <c r="A1805" s="7">
        <v>1.6647792638760646E-3</v>
      </c>
    </row>
    <row r="1806" spans="1:5" x14ac:dyDescent="0.25">
      <c r="A1806" s="7">
        <v>1.6482963008673907E-3</v>
      </c>
    </row>
    <row r="1807" spans="1:5" x14ac:dyDescent="0.25">
      <c r="A1807" s="7">
        <v>1.631976535512268E-3</v>
      </c>
    </row>
    <row r="1808" spans="1:5" x14ac:dyDescent="0.25">
      <c r="A1808" s="7">
        <v>1.6158183519923445E-3</v>
      </c>
    </row>
    <row r="1809" spans="1:1" x14ac:dyDescent="0.25">
      <c r="A1809" s="7">
        <v>1.5998201504874698E-3</v>
      </c>
    </row>
    <row r="1810" spans="1:1" x14ac:dyDescent="0.25">
      <c r="A1810" s="7">
        <v>1.5839803470172969E-3</v>
      </c>
    </row>
    <row r="1811" spans="1:1" x14ac:dyDescent="0.25">
      <c r="A1811" s="7">
        <v>1.5682973732844524E-3</v>
      </c>
    </row>
    <row r="1812" spans="1:1" x14ac:dyDescent="0.25">
      <c r="A1812" s="7">
        <v>1.5527696765192597E-3</v>
      </c>
    </row>
    <row r="1813" spans="1:1" x14ac:dyDescent="0.25">
      <c r="A1813" s="7">
        <v>1.5373957193259998E-3</v>
      </c>
    </row>
    <row r="1814" spans="1:1" x14ac:dyDescent="0.25">
      <c r="A1814" s="7">
        <v>1.5221739795306928E-3</v>
      </c>
    </row>
    <row r="1815" spans="1:1" x14ac:dyDescent="0.25">
      <c r="A1815" s="7">
        <v>1.507102950030389E-3</v>
      </c>
    </row>
    <row r="1816" spans="1:1" x14ac:dyDescent="0.25">
      <c r="A1816" s="7">
        <v>1.4921811386439494E-3</v>
      </c>
    </row>
    <row r="1817" spans="1:1" x14ac:dyDescent="0.25">
      <c r="A1817" s="7">
        <v>1.4774070679643063E-3</v>
      </c>
    </row>
    <row r="1818" spans="1:1" x14ac:dyDescent="0.25">
      <c r="A1818" s="7">
        <v>1.4627792752121844E-3</v>
      </c>
    </row>
    <row r="1819" spans="1:1" x14ac:dyDescent="0.25">
      <c r="A1819" s="7">
        <v>1.4482963120912716E-3</v>
      </c>
    </row>
    <row r="1820" spans="1:1" x14ac:dyDescent="0.25">
      <c r="A1820" s="7">
        <v>1.4339567446448234E-3</v>
      </c>
    </row>
    <row r="1821" spans="1:1" x14ac:dyDescent="0.25">
      <c r="A1821" s="7">
        <v>1.4197591531136865E-3</v>
      </c>
    </row>
    <row r="1822" spans="1:1" x14ac:dyDescent="0.25">
      <c r="A1822" s="7">
        <v>1.4057021317957293E-3</v>
      </c>
    </row>
    <row r="1823" spans="1:1" x14ac:dyDescent="0.25">
      <c r="A1823" s="7">
        <v>1.3917842889066626E-3</v>
      </c>
    </row>
    <row r="1824" spans="1:1" x14ac:dyDescent="0.25">
      <c r="A1824" s="7">
        <v>1.37800424644224E-3</v>
      </c>
    </row>
    <row r="1825" spans="1:1" x14ac:dyDescent="0.25">
      <c r="A1825" s="7">
        <v>1.3643606400418219E-3</v>
      </c>
    </row>
    <row r="1826" spans="1:1" x14ac:dyDescent="0.25">
      <c r="A1826" s="7">
        <v>1.350852118853289E-3</v>
      </c>
    </row>
    <row r="1827" spans="1:1" x14ac:dyDescent="0.25">
      <c r="A1827" s="7">
        <v>1.3374773453992961E-3</v>
      </c>
    </row>
    <row r="1828" spans="1:1" x14ac:dyDescent="0.25">
      <c r="A1828" s="7">
        <v>1.3242349954448475E-3</v>
      </c>
    </row>
    <row r="1829" spans="1:1" x14ac:dyDescent="0.25">
      <c r="A1829" s="7">
        <v>1.3111237578661856E-3</v>
      </c>
    </row>
    <row r="1830" spans="1:1" x14ac:dyDescent="0.25">
      <c r="A1830" s="7">
        <v>1.2981423345209758E-3</v>
      </c>
    </row>
    <row r="1831" spans="1:1" x14ac:dyDescent="0.25">
      <c r="A1831" s="7">
        <v>1.2852894401197779E-3</v>
      </c>
    </row>
    <row r="1832" spans="1:1" x14ac:dyDescent="0.25">
      <c r="A1832" s="7">
        <v>1.2725638020987899E-3</v>
      </c>
    </row>
    <row r="1833" spans="1:1" x14ac:dyDescent="0.25">
      <c r="A1833" s="7">
        <v>1.2599641604938514E-3</v>
      </c>
    </row>
    <row r="1834" spans="1:1" x14ac:dyDescent="0.25">
      <c r="A1834" s="7">
        <v>1.2474892678156944E-3</v>
      </c>
    </row>
    <row r="1835" spans="1:1" x14ac:dyDescent="0.25">
      <c r="A1835" s="7">
        <v>1.2351378889264302E-3</v>
      </c>
    </row>
    <row r="1836" spans="1:1" x14ac:dyDescent="0.25">
      <c r="A1836" s="7">
        <v>1.2229088009172576E-3</v>
      </c>
    </row>
    <row r="1837" spans="1:1" x14ac:dyDescent="0.25">
      <c r="A1837" s="7">
        <v>1.2108007929873838E-3</v>
      </c>
    </row>
    <row r="1838" spans="1:1" x14ac:dyDescent="0.25">
      <c r="A1838" s="7">
        <v>1.1988126663241424E-3</v>
      </c>
    </row>
    <row r="1839" spans="1:1" x14ac:dyDescent="0.25">
      <c r="A1839" s="7">
        <v>1.1869432339842994E-3</v>
      </c>
    </row>
    <row r="1840" spans="1:1" x14ac:dyDescent="0.25">
      <c r="A1840" s="7">
        <v>1.1751913207765339E-3</v>
      </c>
    </row>
    <row r="1841" spans="1:1" x14ac:dyDescent="0.25">
      <c r="A1841" s="7">
        <v>1.1635557631450831E-3</v>
      </c>
    </row>
    <row r="1842" spans="1:1" x14ac:dyDescent="0.25">
      <c r="A1842" s="7">
        <v>1.1520354090545377E-3</v>
      </c>
    </row>
    <row r="1843" spans="1:1" x14ac:dyDescent="0.25">
      <c r="A1843" s="7">
        <v>1.1406291178757799E-3</v>
      </c>
    </row>
    <row r="1844" spans="1:1" x14ac:dyDescent="0.25">
      <c r="A1844" s="7">
        <v>1.1293357602730494E-3</v>
      </c>
    </row>
    <row r="1845" spans="1:1" x14ac:dyDescent="0.25">
      <c r="A1845" s="7">
        <v>1.118154218092128E-3</v>
      </c>
    </row>
    <row r="1846" spans="1:1" x14ac:dyDescent="0.25">
      <c r="A1846" s="7">
        <v>1.1070833842496317E-3</v>
      </c>
    </row>
    <row r="1847" spans="1:1" x14ac:dyDescent="0.25">
      <c r="A1847" s="7">
        <v>1.0961221626233978E-3</v>
      </c>
    </row>
    <row r="1848" spans="1:1" x14ac:dyDescent="0.25">
      <c r="A1848" s="7">
        <v>1.0852694679439581E-3</v>
      </c>
    </row>
    <row r="1849" spans="1:1" x14ac:dyDescent="0.25">
      <c r="A1849" s="7">
        <v>1.0745242256870872E-3</v>
      </c>
    </row>
    <row r="1850" spans="1:1" x14ac:dyDescent="0.25">
      <c r="A1850" s="7">
        <v>1.0638853719674131E-3</v>
      </c>
    </row>
    <row r="1851" spans="1:1" x14ac:dyDescent="0.25">
      <c r="A1851" s="7">
        <v>1.0533518534330823E-3</v>
      </c>
    </row>
    <row r="1852" spans="1:1" x14ac:dyDescent="0.25">
      <c r="A1852" s="7">
        <v>1.0429226271614677E-3</v>
      </c>
    </row>
    <row r="1853" spans="1:1" x14ac:dyDescent="0.25">
      <c r="A1853" s="7">
        <v>1.0325966605559086E-3</v>
      </c>
    </row>
    <row r="1854" spans="1:1" x14ac:dyDescent="0.25">
      <c r="A1854" s="7">
        <v>1.0223729312434737E-3</v>
      </c>
    </row>
    <row r="1855" spans="1:1" x14ac:dyDescent="0.25">
      <c r="A1855" s="7">
        <v>1.0122504269737364E-3</v>
      </c>
    </row>
    <row r="1856" spans="1:1" x14ac:dyDescent="0.25">
      <c r="A1856" s="7">
        <v>1.002228145518551E-3</v>
      </c>
    </row>
    <row r="1857" spans="1:1" x14ac:dyDescent="0.25">
      <c r="A1857" s="7">
        <v>9.9230509457282263E-4</v>
      </c>
    </row>
    <row r="1858" spans="1:1" x14ac:dyDescent="0.25">
      <c r="A1858" s="7">
        <v>9.8248029165626011E-4</v>
      </c>
    </row>
    <row r="1859" spans="1:1" x14ac:dyDescent="0.25">
      <c r="A1859" s="7">
        <v>9.727527640160991E-4</v>
      </c>
    </row>
    <row r="1860" spans="1:1" x14ac:dyDescent="0.25">
      <c r="A1860" s="7">
        <v>9.6312154853079115E-4</v>
      </c>
    </row>
    <row r="1861" spans="1:1" x14ac:dyDescent="0.25">
      <c r="A1861" s="7">
        <v>9.5358569161464474E-4</v>
      </c>
    </row>
    <row r="1862" spans="1:1" x14ac:dyDescent="0.25">
      <c r="A1862" s="7">
        <v>9.4414424912341065E-4</v>
      </c>
    </row>
    <row r="1863" spans="1:1" x14ac:dyDescent="0.25">
      <c r="A1863" s="7">
        <v>9.347962862608026E-4</v>
      </c>
    </row>
    <row r="1864" spans="1:1" x14ac:dyDescent="0.25">
      <c r="A1864" s="7">
        <v>9.2554087748594315E-4</v>
      </c>
    </row>
    <row r="1865" spans="1:1" x14ac:dyDescent="0.25">
      <c r="A1865" s="29"/>
    </row>
  </sheetData>
  <conditionalFormatting sqref="C136">
    <cfRule type="cellIs" dxfId="84" priority="3" operator="equal">
      <formula>$U$1</formula>
    </cfRule>
    <cfRule type="cellIs" dxfId="83" priority="4" operator="equal">
      <formula>$S$1</formula>
    </cfRule>
  </conditionalFormatting>
  <conditionalFormatting sqref="D136">
    <cfRule type="cellIs" dxfId="82" priority="1" operator="equal">
      <formula>$S$1</formula>
    </cfRule>
    <cfRule type="cellIs" dxfId="81" priority="2" operator="equal">
      <formula>$U$1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B0F0"/>
  </sheetPr>
  <dimension ref="A1:AZZ936"/>
  <sheetViews>
    <sheetView topLeftCell="A153" zoomScale="55" zoomScaleNormal="55" workbookViewId="0">
      <pane xSplit="4" topLeftCell="KE1" activePane="topRight" state="frozen"/>
      <selection activeCell="A109" sqref="A109"/>
      <selection pane="topRight" activeCell="NT193" sqref="NT193"/>
    </sheetView>
  </sheetViews>
  <sheetFormatPr defaultRowHeight="15" x14ac:dyDescent="0.25"/>
  <cols>
    <col min="1" max="1" width="10.7109375" style="17" customWidth="1"/>
    <col min="2" max="5" width="10.7109375" style="1" hidden="1" customWidth="1"/>
    <col min="6" max="6" width="10.7109375" style="27" hidden="1" customWidth="1"/>
    <col min="7" max="1378" width="3" style="27" customWidth="1"/>
  </cols>
  <sheetData>
    <row r="1" spans="1:21" x14ac:dyDescent="0.25">
      <c r="A1" s="15"/>
      <c r="B1"/>
      <c r="C1"/>
      <c r="D1" s="16"/>
      <c r="E1" s="16"/>
      <c r="S1" s="27" t="s">
        <v>7</v>
      </c>
      <c r="U1" s="27" t="s">
        <v>8</v>
      </c>
    </row>
    <row r="2" spans="1:21" x14ac:dyDescent="0.25">
      <c r="A2" s="15"/>
      <c r="B2" s="16"/>
      <c r="C2" s="16" t="s">
        <v>11</v>
      </c>
      <c r="D2" s="16" t="s">
        <v>12</v>
      </c>
      <c r="E2" s="16"/>
    </row>
    <row r="3" spans="1:21" x14ac:dyDescent="0.25">
      <c r="A3" s="15"/>
      <c r="B3" s="16"/>
      <c r="C3" s="15"/>
      <c r="D3" s="15"/>
      <c r="E3" s="16"/>
    </row>
    <row r="4" spans="1:21" x14ac:dyDescent="0.25">
      <c r="E4" s="16"/>
    </row>
    <row r="5" spans="1:21" x14ac:dyDescent="0.25">
      <c r="A5" s="7">
        <v>101227.83894314201</v>
      </c>
      <c r="E5" s="16"/>
    </row>
    <row r="6" spans="1:21" x14ac:dyDescent="0.25">
      <c r="A6" s="7">
        <v>99242.979356021577</v>
      </c>
      <c r="E6" s="16"/>
    </row>
    <row r="7" spans="1:21" x14ac:dyDescent="0.25">
      <c r="A7" s="7">
        <v>97297.038584334878</v>
      </c>
      <c r="E7" s="16"/>
    </row>
    <row r="8" spans="1:21" x14ac:dyDescent="0.25">
      <c r="A8" s="7">
        <v>95389.253514053795</v>
      </c>
    </row>
    <row r="9" spans="1:21" x14ac:dyDescent="0.25">
      <c r="A9" s="7">
        <v>93518.87599417039</v>
      </c>
    </row>
    <row r="10" spans="1:21" x14ac:dyDescent="0.25">
      <c r="A10" s="7">
        <v>91685.172543304303</v>
      </c>
    </row>
    <row r="11" spans="1:21" x14ac:dyDescent="0.25">
      <c r="A11" s="7">
        <v>89887.424062063044</v>
      </c>
    </row>
    <row r="12" spans="1:21" x14ac:dyDescent="0.25">
      <c r="A12" s="7">
        <v>88124.925551042194</v>
      </c>
    </row>
    <row r="13" spans="1:21" x14ac:dyDescent="0.25">
      <c r="A13" s="7">
        <v>86396.985834355088</v>
      </c>
    </row>
    <row r="14" spans="1:21" x14ac:dyDescent="0.25">
      <c r="A14" s="7">
        <v>84702.927288583422</v>
      </c>
    </row>
    <row r="15" spans="1:21" x14ac:dyDescent="0.25">
      <c r="A15" s="7">
        <v>83042.08557704257</v>
      </c>
    </row>
    <row r="16" spans="1:21" x14ac:dyDescent="0.25">
      <c r="A16" s="7">
        <v>81413.809389257425</v>
      </c>
    </row>
    <row r="17" spans="1:5" x14ac:dyDescent="0.25">
      <c r="A17" s="7">
        <v>79817.460185546501</v>
      </c>
      <c r="C17" s="1" t="s">
        <v>15</v>
      </c>
      <c r="E17"/>
    </row>
    <row r="18" spans="1:5" x14ac:dyDescent="0.25">
      <c r="A18" s="7">
        <v>78252.411946614215</v>
      </c>
      <c r="C18" s="7">
        <v>0.41019680250993112</v>
      </c>
      <c r="D18"/>
      <c r="E18"/>
    </row>
    <row r="19" spans="1:5" x14ac:dyDescent="0.25">
      <c r="A19" s="7">
        <v>76718.050928053155</v>
      </c>
      <c r="E19"/>
    </row>
    <row r="20" spans="1:5" x14ac:dyDescent="0.25">
      <c r="A20" s="7">
        <v>75213.775419659956</v>
      </c>
      <c r="C20" s="1" t="s">
        <v>11</v>
      </c>
      <c r="D20" s="1" t="s">
        <v>12</v>
      </c>
      <c r="E20"/>
    </row>
    <row r="21" spans="1:5" x14ac:dyDescent="0.25">
      <c r="A21" s="7">
        <v>73738.995509470551</v>
      </c>
      <c r="C21" s="7">
        <v>0.35910999999999998</v>
      </c>
      <c r="D21" s="7">
        <v>0.32918999999999998</v>
      </c>
      <c r="E21"/>
    </row>
    <row r="22" spans="1:5" x14ac:dyDescent="0.25">
      <c r="A22" s="7">
        <v>72293.132852422103</v>
      </c>
      <c r="E22"/>
    </row>
    <row r="23" spans="1:5" x14ac:dyDescent="0.25">
      <c r="A23" s="7">
        <v>70875.620443551074</v>
      </c>
      <c r="C23" s="1" t="s">
        <v>13</v>
      </c>
      <c r="E23"/>
    </row>
    <row r="24" spans="1:5" x14ac:dyDescent="0.25">
      <c r="A24" s="7">
        <v>69485.902395638303</v>
      </c>
      <c r="C24" s="1" t="s">
        <v>8</v>
      </c>
      <c r="E24"/>
    </row>
    <row r="25" spans="1:5" x14ac:dyDescent="0.25">
      <c r="A25" s="7">
        <v>68123.433721214024</v>
      </c>
      <c r="E25"/>
    </row>
    <row r="26" spans="1:5" x14ac:dyDescent="0.25">
      <c r="A26" s="7">
        <v>66787.680118837277</v>
      </c>
      <c r="C26" s="1" t="s">
        <v>14</v>
      </c>
      <c r="E26"/>
    </row>
    <row r="27" spans="1:5" x14ac:dyDescent="0.25">
      <c r="A27" s="7">
        <v>65478.117763565962</v>
      </c>
      <c r="C27" s="1" t="str">
        <f>IF(C24=$S$1,IF(D21&lt;(C18*0.980392156862745),$S$1,IF(C21&gt;(C18*1.061208),$U$1,"")),"")</f>
        <v/>
      </c>
      <c r="D27" s="1" t="str">
        <f>IF(C24=$U$1,IF(C21&gt;(C18*1.02),$U$1,IF(D21&lt;(C18*0.942322334547044),$S$1,"")),"")</f>
        <v>O</v>
      </c>
      <c r="E27"/>
    </row>
    <row r="28" spans="1:5" x14ac:dyDescent="0.25">
      <c r="A28" s="7">
        <v>64194.233101535254</v>
      </c>
      <c r="E28"/>
    </row>
    <row r="29" spans="1:5" x14ac:dyDescent="0.25">
      <c r="A29" s="7">
        <v>62935.522648563972</v>
      </c>
      <c r="E29"/>
    </row>
    <row r="30" spans="1:5" x14ac:dyDescent="0.25">
      <c r="A30" s="7">
        <v>61701.492792709774</v>
      </c>
      <c r="E30"/>
    </row>
    <row r="31" spans="1:5" x14ac:dyDescent="0.25">
      <c r="A31" s="7">
        <v>60491.659600695857</v>
      </c>
      <c r="E31"/>
    </row>
    <row r="32" spans="1:5" x14ac:dyDescent="0.25">
      <c r="A32" s="7">
        <v>59305.548628133191</v>
      </c>
      <c r="E32"/>
    </row>
    <row r="33" spans="1:5" x14ac:dyDescent="0.25">
      <c r="A33" s="7">
        <v>58142.694733463912</v>
      </c>
      <c r="E33"/>
    </row>
    <row r="34" spans="1:5" x14ac:dyDescent="0.25">
      <c r="A34" s="7">
        <v>57002.641895552857</v>
      </c>
      <c r="E34"/>
    </row>
    <row r="35" spans="1:5" x14ac:dyDescent="0.25">
      <c r="A35" s="7">
        <v>55884.943034855743</v>
      </c>
      <c r="E35"/>
    </row>
    <row r="36" spans="1:5" x14ac:dyDescent="0.25">
      <c r="A36" s="7">
        <v>54789.159838093867</v>
      </c>
      <c r="E36"/>
    </row>
    <row r="37" spans="1:5" x14ac:dyDescent="0.25">
      <c r="A37" s="7">
        <v>53714.862586366537</v>
      </c>
      <c r="E37"/>
    </row>
    <row r="38" spans="1:5" x14ac:dyDescent="0.25">
      <c r="A38" s="7">
        <v>52661.62998663386</v>
      </c>
      <c r="E38"/>
    </row>
    <row r="39" spans="1:5" x14ac:dyDescent="0.25">
      <c r="A39" s="7">
        <v>51629.049006503781</v>
      </c>
      <c r="E39"/>
    </row>
    <row r="40" spans="1:5" x14ac:dyDescent="0.25">
      <c r="A40" s="7">
        <v>50616.71471225861</v>
      </c>
      <c r="E40"/>
    </row>
    <row r="41" spans="1:5" x14ac:dyDescent="0.25">
      <c r="A41" s="7">
        <v>49624.230110057462</v>
      </c>
      <c r="E41"/>
    </row>
    <row r="42" spans="1:5" x14ac:dyDescent="0.25">
      <c r="A42" s="7">
        <v>48651.205990252412</v>
      </c>
      <c r="E42"/>
    </row>
    <row r="43" spans="1:5" x14ac:dyDescent="0.25">
      <c r="A43" s="7">
        <v>47697.260774757269</v>
      </c>
      <c r="E43"/>
    </row>
    <row r="44" spans="1:5" x14ac:dyDescent="0.25">
      <c r="A44" s="7">
        <v>46762.020367409088</v>
      </c>
      <c r="E44"/>
    </row>
    <row r="45" spans="1:5" x14ac:dyDescent="0.25">
      <c r="A45" s="7">
        <v>45845.118007263809</v>
      </c>
      <c r="C45" s="1" t="s">
        <v>15</v>
      </c>
      <c r="E45"/>
    </row>
    <row r="46" spans="1:5" x14ac:dyDescent="0.25">
      <c r="A46" s="7">
        <v>44946.194124768437</v>
      </c>
      <c r="C46" s="7">
        <v>0.16172762090481685</v>
      </c>
      <c r="D46"/>
      <c r="E46"/>
    </row>
    <row r="47" spans="1:5" x14ac:dyDescent="0.25">
      <c r="A47" s="7">
        <v>44064.89620075337</v>
      </c>
      <c r="E47"/>
    </row>
    <row r="48" spans="1:5" x14ac:dyDescent="0.25">
      <c r="A48" s="7">
        <v>43200.878628189581</v>
      </c>
      <c r="C48" s="1" t="s">
        <v>11</v>
      </c>
      <c r="D48" s="1" t="s">
        <v>12</v>
      </c>
      <c r="E48"/>
    </row>
    <row r="49" spans="1:5" x14ac:dyDescent="0.25">
      <c r="A49" s="7">
        <v>42353.802576656453</v>
      </c>
      <c r="C49">
        <v>0.11</v>
      </c>
      <c r="D49">
        <v>0.1</v>
      </c>
      <c r="E49"/>
    </row>
    <row r="50" spans="1:5" x14ac:dyDescent="0.25">
      <c r="A50" s="7">
        <v>41523.335859467108</v>
      </c>
      <c r="E50"/>
    </row>
    <row r="51" spans="1:5" x14ac:dyDescent="0.25">
      <c r="A51" s="7">
        <v>40709.152803399127</v>
      </c>
      <c r="C51" s="1" t="s">
        <v>13</v>
      </c>
      <c r="E51"/>
    </row>
    <row r="52" spans="1:5" x14ac:dyDescent="0.25">
      <c r="A52" s="7">
        <v>39910.934120979538</v>
      </c>
      <c r="C52" s="1" t="s">
        <v>8</v>
      </c>
      <c r="E52"/>
    </row>
    <row r="53" spans="1:5" x14ac:dyDescent="0.25">
      <c r="A53" s="7">
        <v>39128.366785274055</v>
      </c>
      <c r="E53"/>
    </row>
    <row r="54" spans="1:5" x14ac:dyDescent="0.25">
      <c r="A54" s="7">
        <v>38361.143907131423</v>
      </c>
      <c r="C54" s="1" t="s">
        <v>14</v>
      </c>
      <c r="E54"/>
    </row>
    <row r="55" spans="1:5" x14ac:dyDescent="0.25">
      <c r="A55" s="7">
        <v>37608.964614834731</v>
      </c>
      <c r="C55" s="1" t="str">
        <f>IF(C52=$S$1,IF(D49&lt;(C46*0.980392156862745),$S$1,IF(C49&gt;(C46*1.061208),$U$1,"")),"")</f>
        <v/>
      </c>
      <c r="D55" s="1" t="str">
        <f>IF(C52=$U$1,IF(C49&gt;(C46*1.02),$U$1,IF(D49&lt;(C46*0.942322334547044),$S$1,"")),"")</f>
        <v>O</v>
      </c>
      <c r="E55"/>
    </row>
    <row r="56" spans="1:5" x14ac:dyDescent="0.25">
      <c r="A56" s="7">
        <v>36871.533936112479</v>
      </c>
      <c r="E56"/>
    </row>
    <row r="57" spans="1:5" x14ac:dyDescent="0.25">
      <c r="A57" s="7">
        <v>36148.562682463213</v>
      </c>
      <c r="E57"/>
    </row>
    <row r="58" spans="1:5" x14ac:dyDescent="0.25">
      <c r="A58" s="7">
        <v>35439.767335748249</v>
      </c>
      <c r="E58"/>
    </row>
    <row r="59" spans="1:5" x14ac:dyDescent="0.25">
      <c r="A59" s="7">
        <v>34744.869937008087</v>
      </c>
      <c r="E59"/>
    </row>
    <row r="60" spans="1:5" x14ac:dyDescent="0.25">
      <c r="A60" s="7">
        <v>34063.597977458907</v>
      </c>
      <c r="E60"/>
    </row>
    <row r="61" spans="1:5" x14ac:dyDescent="0.25">
      <c r="A61" s="7">
        <v>33395.684291626378</v>
      </c>
      <c r="E61"/>
    </row>
    <row r="62" spans="1:5" x14ac:dyDescent="0.25">
      <c r="A62" s="7">
        <v>32740.866952574877</v>
      </c>
      <c r="E62"/>
    </row>
    <row r="63" spans="1:5" x14ac:dyDescent="0.25">
      <c r="A63" s="7">
        <v>32098.889169191054</v>
      </c>
      <c r="E63"/>
    </row>
    <row r="64" spans="1:5" x14ac:dyDescent="0.25">
      <c r="A64" s="7">
        <v>31469.499185481425</v>
      </c>
      <c r="E64"/>
    </row>
    <row r="65" spans="1:5" x14ac:dyDescent="0.25">
      <c r="A65" s="7">
        <v>30852.450181844535</v>
      </c>
      <c r="E65"/>
    </row>
    <row r="66" spans="1:5" x14ac:dyDescent="0.25">
      <c r="A66" s="7">
        <v>30247.500178278955</v>
      </c>
      <c r="E66"/>
    </row>
    <row r="67" spans="1:5" x14ac:dyDescent="0.25">
      <c r="A67" s="7">
        <v>29654.411939489171</v>
      </c>
      <c r="E67"/>
    </row>
    <row r="68" spans="1:5" x14ac:dyDescent="0.25">
      <c r="A68" s="7">
        <v>29072.952881852128</v>
      </c>
      <c r="E68"/>
    </row>
    <row r="69" spans="1:5" x14ac:dyDescent="0.25">
      <c r="A69" s="7">
        <v>28502.89498220797</v>
      </c>
      <c r="E69"/>
    </row>
    <row r="70" spans="1:5" x14ac:dyDescent="0.25">
      <c r="A70" s="7">
        <v>27944.014688439187</v>
      </c>
      <c r="E70"/>
    </row>
    <row r="71" spans="1:5" x14ac:dyDescent="0.25">
      <c r="A71" s="7">
        <v>27396.092831803126</v>
      </c>
      <c r="E71"/>
    </row>
    <row r="72" spans="1:5" x14ac:dyDescent="0.25">
      <c r="A72" s="7">
        <v>26858.914540983456</v>
      </c>
      <c r="E72"/>
    </row>
    <row r="73" spans="1:5" x14ac:dyDescent="0.25">
      <c r="A73" s="7">
        <v>26332.269157826919</v>
      </c>
      <c r="E73"/>
    </row>
    <row r="74" spans="1:5" x14ac:dyDescent="0.25">
      <c r="A74" s="7">
        <v>25815.950154732272</v>
      </c>
      <c r="E74"/>
    </row>
    <row r="75" spans="1:5" x14ac:dyDescent="0.25">
      <c r="A75" s="7">
        <v>25309.75505365909</v>
      </c>
      <c r="E75"/>
    </row>
    <row r="76" spans="1:5" x14ac:dyDescent="0.25">
      <c r="A76" s="7">
        <v>24813.485346724596</v>
      </c>
      <c r="E76"/>
    </row>
    <row r="77" spans="1:5" x14ac:dyDescent="0.25">
      <c r="A77" s="7">
        <v>24326.946418357446</v>
      </c>
      <c r="E77"/>
    </row>
    <row r="78" spans="1:5" x14ac:dyDescent="0.25">
      <c r="A78" s="7">
        <v>23849.947468977887</v>
      </c>
      <c r="E78"/>
    </row>
    <row r="79" spans="1:5" x14ac:dyDescent="0.25">
      <c r="A79" s="7">
        <v>23382.3014401744</v>
      </c>
      <c r="C79" s="1" t="s">
        <v>15</v>
      </c>
      <c r="E79"/>
    </row>
    <row r="80" spans="1:5" x14ac:dyDescent="0.25">
      <c r="A80" s="7">
        <v>22923.824941347451</v>
      </c>
      <c r="C80" s="7">
        <v>9.6645076037824032E-2</v>
      </c>
      <c r="D80"/>
      <c r="E80"/>
    </row>
    <row r="81" spans="1:5" x14ac:dyDescent="0.25">
      <c r="A81" s="7">
        <v>22474.338177791618</v>
      </c>
      <c r="E81"/>
    </row>
    <row r="82" spans="1:5" x14ac:dyDescent="0.25">
      <c r="A82" s="7">
        <v>22033.664880187862</v>
      </c>
      <c r="C82" s="1" t="s">
        <v>11</v>
      </c>
      <c r="D82" s="1" t="s">
        <v>12</v>
      </c>
      <c r="E82"/>
    </row>
    <row r="83" spans="1:5" x14ac:dyDescent="0.25">
      <c r="A83" s="7">
        <v>21601.632235478297</v>
      </c>
      <c r="C83">
        <v>0.11</v>
      </c>
      <c r="D83">
        <v>9.5000000000000001E-2</v>
      </c>
      <c r="E83"/>
    </row>
    <row r="84" spans="1:5" x14ac:dyDescent="0.25">
      <c r="A84" s="7">
        <v>21178.070819096371</v>
      </c>
      <c r="E84"/>
    </row>
    <row r="85" spans="1:5" x14ac:dyDescent="0.25">
      <c r="A85" s="7">
        <v>20762.814528525854</v>
      </c>
      <c r="C85" s="1" t="s">
        <v>13</v>
      </c>
      <c r="E85"/>
    </row>
    <row r="86" spans="1:5" x14ac:dyDescent="0.25">
      <c r="A86" s="7">
        <v>20355.700518162601</v>
      </c>
      <c r="C86" s="1" t="s">
        <v>7</v>
      </c>
      <c r="E86"/>
    </row>
    <row r="87" spans="1:5" x14ac:dyDescent="0.25">
      <c r="A87" s="7">
        <v>19956.56913545353</v>
      </c>
      <c r="E87"/>
    </row>
    <row r="88" spans="1:5" x14ac:dyDescent="0.25">
      <c r="A88" s="7">
        <v>19565.263858287773</v>
      </c>
      <c r="C88" s="1" t="s">
        <v>14</v>
      </c>
      <c r="E88"/>
    </row>
    <row r="89" spans="1:5" x14ac:dyDescent="0.25">
      <c r="A89" s="7">
        <v>19181.631233615462</v>
      </c>
      <c r="C89" s="1" t="str">
        <f>IF(C86=$S$1,IF(D83&lt;(C80*0.980392156862745),$S$1,IF(C83&gt;(C80*1.061208),$U$1,"")),"")</f>
        <v>X</v>
      </c>
      <c r="D89" s="1" t="str">
        <f>IF(C86=$U$1,IF(C83&gt;(C80*1.02),$U$1,IF(D83&lt;(C80*0.942322334547044),$S$1,"")),"")</f>
        <v/>
      </c>
      <c r="E89"/>
    </row>
    <row r="90" spans="1:5" x14ac:dyDescent="0.25">
      <c r="A90" s="7">
        <v>18805.520817270062</v>
      </c>
      <c r="E90"/>
    </row>
    <row r="91" spans="1:5" x14ac:dyDescent="0.25">
      <c r="A91" s="7">
        <v>18436.785114970648</v>
      </c>
      <c r="E91"/>
    </row>
    <row r="92" spans="1:5" x14ac:dyDescent="0.25">
      <c r="A92" s="7">
        <v>18075.279524481026</v>
      </c>
      <c r="E92"/>
    </row>
    <row r="93" spans="1:5" x14ac:dyDescent="0.25">
      <c r="A93" s="7">
        <v>17720.862278902965</v>
      </c>
      <c r="E93"/>
    </row>
    <row r="94" spans="1:5" x14ac:dyDescent="0.25">
      <c r="A94" s="7">
        <v>17373.39439108134</v>
      </c>
      <c r="E94"/>
    </row>
    <row r="95" spans="1:5" x14ac:dyDescent="0.25">
      <c r="A95" s="7">
        <v>17032.739599099354</v>
      </c>
      <c r="E95"/>
    </row>
    <row r="96" spans="1:5" x14ac:dyDescent="0.25">
      <c r="A96" s="7">
        <v>16698.764312842504</v>
      </c>
      <c r="E96"/>
    </row>
    <row r="97" spans="1:5" x14ac:dyDescent="0.25">
      <c r="A97" s="7">
        <v>16371.337561610297</v>
      </c>
      <c r="E97"/>
    </row>
    <row r="98" spans="1:5" x14ac:dyDescent="0.25">
      <c r="A98" s="7">
        <v>16050.330942755192</v>
      </c>
      <c r="E98"/>
    </row>
    <row r="99" spans="1:5" x14ac:dyDescent="0.25">
      <c r="A99" s="7">
        <v>15735.61857132862</v>
      </c>
      <c r="E99"/>
    </row>
    <row r="100" spans="1:5" x14ac:dyDescent="0.25">
      <c r="A100" s="7">
        <v>15427.077030714332</v>
      </c>
      <c r="E100"/>
    </row>
    <row r="101" spans="1:5" x14ac:dyDescent="0.25">
      <c r="A101" s="7">
        <v>15124.585324229736</v>
      </c>
      <c r="E101"/>
    </row>
    <row r="102" spans="1:5" x14ac:dyDescent="0.25">
      <c r="A102" s="7">
        <v>14828.024827676212</v>
      </c>
      <c r="E102"/>
    </row>
    <row r="103" spans="1:5" x14ac:dyDescent="0.25">
      <c r="A103" s="7">
        <v>14537.279242819815</v>
      </c>
      <c r="E103"/>
    </row>
    <row r="104" spans="1:5" x14ac:dyDescent="0.25">
      <c r="A104" s="7">
        <v>14252.234551784133</v>
      </c>
      <c r="E104"/>
    </row>
    <row r="105" spans="1:5" x14ac:dyDescent="0.25">
      <c r="A105" s="7">
        <v>13972.778972337384</v>
      </c>
      <c r="E105"/>
    </row>
    <row r="106" spans="1:5" x14ac:dyDescent="0.25">
      <c r="A106" s="7">
        <v>13698.802914056259</v>
      </c>
      <c r="E106"/>
    </row>
    <row r="107" spans="1:5" x14ac:dyDescent="0.25">
      <c r="A107" s="7">
        <v>13430.198935349274</v>
      </c>
      <c r="E107"/>
    </row>
    <row r="108" spans="1:5" x14ac:dyDescent="0.25">
      <c r="A108" s="7">
        <v>13166.861701322818</v>
      </c>
      <c r="E108"/>
    </row>
    <row r="109" spans="1:5" x14ac:dyDescent="0.25">
      <c r="A109" s="7">
        <v>12908.687942473351</v>
      </c>
      <c r="E109"/>
    </row>
    <row r="110" spans="1:5" x14ac:dyDescent="0.25">
      <c r="A110" s="7">
        <v>12655.57641418956</v>
      </c>
      <c r="E110"/>
    </row>
    <row r="111" spans="1:5" x14ac:dyDescent="0.25">
      <c r="A111" s="7">
        <v>12407.427857048588</v>
      </c>
      <c r="C111" s="1" t="str">
        <f>ADDRESS(C121-1,1,1,1)</f>
        <v>$A$192</v>
      </c>
      <c r="D111" s="1" t="str">
        <f>ADDRESS(C121-1,D121,1,1)</f>
        <v>$NT$192</v>
      </c>
      <c r="E111"/>
    </row>
    <row r="112" spans="1:5" x14ac:dyDescent="0.25">
      <c r="A112" s="7">
        <v>12164.144957890772</v>
      </c>
      <c r="C112" s="1" t="str">
        <f>ADDRESS(C121,1,1,1)</f>
        <v>$A$193</v>
      </c>
      <c r="D112" s="1" t="str">
        <f>ADDRESS(C121,D121-1,1,1)</f>
        <v>$NS$193</v>
      </c>
      <c r="E112"/>
    </row>
    <row r="113" spans="1:5" x14ac:dyDescent="0.25">
      <c r="A113" s="7">
        <v>11925.63231165762</v>
      </c>
      <c r="C113" s="1" t="str">
        <f>ADDRESS(C121+1,1,1,1)</f>
        <v>$A$194</v>
      </c>
      <c r="D113" s="1" t="str">
        <f>ADDRESS(C121-1,D121+1,1,1)</f>
        <v>$NU$192</v>
      </c>
    </row>
    <row r="114" spans="1:5" x14ac:dyDescent="0.25">
      <c r="A114" s="7">
        <v>11691.796383978059</v>
      </c>
      <c r="C114" s="1" t="str">
        <f>ADDRESS(C121,D121,1,1)</f>
        <v>$NT$193</v>
      </c>
      <c r="D114" s="1" t="str">
        <f>ADDRESS(C121+1,D121+1,1,1)</f>
        <v>$NU$194</v>
      </c>
    </row>
    <row r="115" spans="1:5" x14ac:dyDescent="0.25">
      <c r="A115" s="7">
        <v>11462.545474488292</v>
      </c>
      <c r="C115" s="1" t="str">
        <f>ADDRESS(C121+1,D121,1,1)</f>
        <v>$NT$194</v>
      </c>
    </row>
    <row r="116" spans="1:5" x14ac:dyDescent="0.25">
      <c r="A116" s="7">
        <v>11237.789680870874</v>
      </c>
      <c r="C116" s="1">
        <f>C117-1</f>
        <v>192</v>
      </c>
    </row>
    <row r="117" spans="1:5" x14ac:dyDescent="0.25">
      <c r="A117" s="7">
        <v>11017.440863598895</v>
      </c>
      <c r="C117" s="1">
        <f>C121</f>
        <v>193</v>
      </c>
      <c r="D117" s="1">
        <f>D121</f>
        <v>384</v>
      </c>
    </row>
    <row r="118" spans="1:5" x14ac:dyDescent="0.25">
      <c r="A118" s="7">
        <v>10801.412611371465</v>
      </c>
      <c r="C118" s="1">
        <f>C117+1</f>
        <v>194</v>
      </c>
      <c r="D118" s="1">
        <f>D117+1</f>
        <v>385</v>
      </c>
    </row>
    <row r="119" spans="1:5" x14ac:dyDescent="0.25">
      <c r="A119" s="7">
        <v>10589.620207226926</v>
      </c>
    </row>
    <row r="120" spans="1:5" x14ac:dyDescent="0.25">
      <c r="A120" s="7">
        <v>10381.980595320516</v>
      </c>
      <c r="C120" s="1" t="s">
        <v>9</v>
      </c>
    </row>
    <row r="121" spans="1:5" x14ac:dyDescent="0.25">
      <c r="A121" s="7">
        <v>10178.412348353448</v>
      </c>
      <c r="C121" s="18">
        <v>193</v>
      </c>
      <c r="D121" s="19">
        <v>384</v>
      </c>
      <c r="E121" s="19"/>
    </row>
    <row r="122" spans="1:5" x14ac:dyDescent="0.25">
      <c r="A122" s="7">
        <v>9978.8356356406348</v>
      </c>
      <c r="C122" s="1" t="str">
        <f>INDEX(1:1048576,C117,D117)</f>
        <v>O</v>
      </c>
    </row>
    <row r="123" spans="1:5" x14ac:dyDescent="0.25">
      <c r="A123" s="7">
        <v>9783.1721918045441</v>
      </c>
      <c r="C123" s="1" t="str">
        <f>"R"&amp;C121</f>
        <v>R193</v>
      </c>
      <c r="D123" s="1" t="str">
        <f>"C"&amp;D121</f>
        <v>C384</v>
      </c>
    </row>
    <row r="124" spans="1:5" x14ac:dyDescent="0.25">
      <c r="A124" s="7">
        <v>9591.3452860828857</v>
      </c>
      <c r="C124" s="1">
        <f>SUM(C130:D130)</f>
        <v>0</v>
      </c>
      <c r="D124" s="1">
        <f>IF(C124=0,0,1)</f>
        <v>0</v>
      </c>
    </row>
    <row r="125" spans="1:5" x14ac:dyDescent="0.25">
      <c r="A125" s="7">
        <v>9403.2796922381222</v>
      </c>
    </row>
    <row r="126" spans="1:5" x14ac:dyDescent="0.25">
      <c r="A126" s="7">
        <v>9218.9016590569827</v>
      </c>
      <c r="C126" s="1" t="s">
        <v>10</v>
      </c>
    </row>
    <row r="127" spans="1:5" x14ac:dyDescent="0.25">
      <c r="A127" s="7">
        <v>9038.1388814284146</v>
      </c>
      <c r="C127" s="7">
        <v>2446.0632016595778</v>
      </c>
      <c r="D127"/>
    </row>
    <row r="128" spans="1:5" x14ac:dyDescent="0.25">
      <c r="A128" s="7">
        <v>8860.920471988642</v>
      </c>
    </row>
    <row r="129" spans="1:5" x14ac:dyDescent="0.25">
      <c r="A129" s="7">
        <v>8687.1769333221982</v>
      </c>
      <c r="C129" s="1" t="s">
        <v>11</v>
      </c>
      <c r="D129" s="1" t="s">
        <v>12</v>
      </c>
      <c r="E129"/>
    </row>
    <row r="130" spans="1:5" x14ac:dyDescent="0.25">
      <c r="A130" s="7">
        <v>8516.8401307080367</v>
      </c>
      <c r="C130" s="6"/>
      <c r="D130" s="6"/>
      <c r="E130"/>
    </row>
    <row r="131" spans="1:5" x14ac:dyDescent="0.25">
      <c r="A131" s="7">
        <v>8349.8432654000353</v>
      </c>
      <c r="E131"/>
    </row>
    <row r="132" spans="1:5" x14ac:dyDescent="0.25">
      <c r="A132" s="7">
        <v>8186.1208484314075</v>
      </c>
      <c r="C132" s="1" t="s">
        <v>13</v>
      </c>
      <c r="E132"/>
    </row>
    <row r="133" spans="1:5" x14ac:dyDescent="0.25">
      <c r="A133" s="7">
        <v>8025.6086749327524</v>
      </c>
      <c r="C133" s="1" t="str">
        <f>C122</f>
        <v>O</v>
      </c>
      <c r="E133"/>
    </row>
    <row r="134" spans="1:5" x14ac:dyDescent="0.25">
      <c r="A134" s="7">
        <v>7868.2437989536784</v>
      </c>
      <c r="E134"/>
    </row>
    <row r="135" spans="1:5" x14ac:dyDescent="0.25">
      <c r="A135" s="7">
        <v>7713.9645087781155</v>
      </c>
      <c r="C135" s="1" t="s">
        <v>14</v>
      </c>
      <c r="E135"/>
    </row>
    <row r="136" spans="1:5" x14ac:dyDescent="0.25">
      <c r="A136" s="7">
        <v>7562.7103027236426</v>
      </c>
      <c r="C136" s="1" t="str">
        <f>IF(C133=$S$1,IF(D130&lt;(C127*0.980392156862745),$S$1,IF(C130&gt;(C127*1.061208),$U$1,"")),"")</f>
        <v>O</v>
      </c>
      <c r="D136" s="1" t="str">
        <f>IF(C133=$U$1,IF(C130&gt;(C127*1.02),$U$1,IF(D130&lt;(C127*0.942322334547044),$S$1,"")),"")</f>
        <v/>
      </c>
      <c r="E136"/>
    </row>
    <row r="137" spans="1:5" x14ac:dyDescent="0.25">
      <c r="A137" s="7">
        <v>7414.4218654153356</v>
      </c>
      <c r="E137"/>
    </row>
    <row r="138" spans="1:5" x14ac:dyDescent="0.25">
      <c r="A138" s="7">
        <v>7269.041044524839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7">
        <v>7126.5108279655287</v>
      </c>
      <c r="E139"/>
    </row>
    <row r="140" spans="1:5" x14ac:dyDescent="0.25">
      <c r="A140" s="7">
        <v>6986.7753215348321</v>
      </c>
      <c r="C140" s="1">
        <v>0</v>
      </c>
      <c r="E140"/>
    </row>
    <row r="141" spans="1:5" x14ac:dyDescent="0.25">
      <c r="A141" s="7">
        <v>6849.7797269949333</v>
      </c>
      <c r="C141" s="1">
        <v>1</v>
      </c>
      <c r="E141"/>
    </row>
    <row r="142" spans="1:5" x14ac:dyDescent="0.25">
      <c r="A142" s="7">
        <v>6715.4703205832675</v>
      </c>
      <c r="C142" s="1">
        <v>2</v>
      </c>
      <c r="E142"/>
    </row>
    <row r="143" spans="1:5" x14ac:dyDescent="0.25">
      <c r="A143" s="7">
        <v>6583.7944319443795</v>
      </c>
      <c r="C143" s="1">
        <v>3</v>
      </c>
      <c r="E143"/>
    </row>
    <row r="144" spans="1:5" x14ac:dyDescent="0.25">
      <c r="A144" s="7">
        <v>6454.700423474882</v>
      </c>
      <c r="C144" s="1">
        <v>4</v>
      </c>
      <c r="E144"/>
    </row>
    <row r="145" spans="1:363" x14ac:dyDescent="0.25">
      <c r="A145" s="7">
        <v>6328.1376700734136</v>
      </c>
      <c r="E145"/>
    </row>
    <row r="146" spans="1:363" x14ac:dyDescent="0.25">
      <c r="A146" s="7">
        <v>6204.0565392876606</v>
      </c>
      <c r="E146"/>
    </row>
    <row r="147" spans="1:363" x14ac:dyDescent="0.25">
      <c r="A147" s="7">
        <v>6082.4083718506472</v>
      </c>
      <c r="E147"/>
    </row>
    <row r="148" spans="1:363" x14ac:dyDescent="0.25">
      <c r="A148" s="7">
        <v>5963.1454625986735</v>
      </c>
      <c r="E148"/>
    </row>
    <row r="149" spans="1:363" x14ac:dyDescent="0.25">
      <c r="A149" s="7">
        <v>5846.2210417634051</v>
      </c>
      <c r="E149"/>
    </row>
    <row r="150" spans="1:363" x14ac:dyDescent="0.25">
      <c r="A150" s="7">
        <v>5731.5892566307894</v>
      </c>
      <c r="E150"/>
    </row>
    <row r="151" spans="1:363" x14ac:dyDescent="0.25">
      <c r="A151" s="7">
        <v>5619.2051535595974</v>
      </c>
      <c r="E151"/>
    </row>
    <row r="152" spans="1:363" x14ac:dyDescent="0.25">
      <c r="A152" s="7">
        <v>5509.0246603525466</v>
      </c>
      <c r="E152"/>
    </row>
    <row r="153" spans="1:363" x14ac:dyDescent="0.25">
      <c r="A153" s="7">
        <v>5401.004568973085</v>
      </c>
      <c r="E153"/>
    </row>
    <row r="154" spans="1:363" x14ac:dyDescent="0.25">
      <c r="A154" s="7">
        <v>5295.1025186010638</v>
      </c>
      <c r="C154" s="1" t="s">
        <v>15</v>
      </c>
      <c r="E154"/>
    </row>
    <row r="155" spans="1:363" x14ac:dyDescent="0.25">
      <c r="A155" s="7">
        <v>5191.2769790206503</v>
      </c>
      <c r="C155" s="7">
        <v>3.2521478785124451E-2</v>
      </c>
      <c r="D155"/>
      <c r="E155"/>
    </row>
    <row r="156" spans="1:363" x14ac:dyDescent="0.25">
      <c r="A156" s="7">
        <v>5089.4872343339712</v>
      </c>
      <c r="E156"/>
    </row>
    <row r="157" spans="1:363" x14ac:dyDescent="0.25">
      <c r="A157" s="7">
        <v>4989.693366994089</v>
      </c>
      <c r="C157" s="1" t="s">
        <v>11</v>
      </c>
      <c r="D157" s="1" t="s">
        <v>12</v>
      </c>
      <c r="E157"/>
    </row>
    <row r="158" spans="1:363" x14ac:dyDescent="0.25">
      <c r="A158" s="7">
        <v>4891.8562421510678</v>
      </c>
      <c r="C158">
        <v>3.6999999999999998E-2</v>
      </c>
      <c r="D158">
        <v>3.3000000000000002E-2</v>
      </c>
      <c r="E158"/>
    </row>
    <row r="159" spans="1:363" x14ac:dyDescent="0.25">
      <c r="A159" s="7">
        <v>4795.9374923049681</v>
      </c>
      <c r="E159"/>
      <c r="MQ159" s="27" t="s">
        <v>8</v>
      </c>
      <c r="MS159" s="31" t="s">
        <v>8</v>
      </c>
    </row>
    <row r="160" spans="1:363" x14ac:dyDescent="0.25">
      <c r="A160" s="7">
        <v>4701.8995022597728</v>
      </c>
      <c r="C160" s="1" t="s">
        <v>13</v>
      </c>
      <c r="E160"/>
      <c r="MQ160" s="27" t="s">
        <v>8</v>
      </c>
      <c r="MR160" s="27" t="s">
        <v>7</v>
      </c>
      <c r="MS160" s="27" t="s">
        <v>8</v>
      </c>
      <c r="MT160" s="31" t="s">
        <v>7</v>
      </c>
      <c r="MY160" s="27" t="s">
        <v>8</v>
      </c>
    </row>
    <row r="161" spans="1:376" x14ac:dyDescent="0.25">
      <c r="A161" s="7">
        <v>4609.7053943723258</v>
      </c>
      <c r="C161" s="1" t="s">
        <v>8</v>
      </c>
      <c r="E161"/>
      <c r="MO161" s="27" t="s">
        <v>8</v>
      </c>
      <c r="MQ161" s="27" t="s">
        <v>8</v>
      </c>
      <c r="MR161" s="27" t="s">
        <v>7</v>
      </c>
      <c r="MS161" s="27" t="s">
        <v>8</v>
      </c>
      <c r="MT161" s="27" t="s">
        <v>7</v>
      </c>
      <c r="MU161" s="31"/>
      <c r="MY161" s="27" t="s">
        <v>8</v>
      </c>
      <c r="MZ161" s="27" t="s">
        <v>7</v>
      </c>
    </row>
    <row r="162" spans="1:376" x14ac:dyDescent="0.25">
      <c r="A162" s="7">
        <v>4519.3190140905153</v>
      </c>
      <c r="E162"/>
      <c r="MO162" s="27" t="s">
        <v>8</v>
      </c>
      <c r="MP162" s="27" t="s">
        <v>7</v>
      </c>
      <c r="MQ162" s="27" t="s">
        <v>8</v>
      </c>
      <c r="MR162" s="27" t="s">
        <v>7</v>
      </c>
      <c r="MT162" s="27" t="s">
        <v>7</v>
      </c>
      <c r="MV162" s="31"/>
      <c r="MW162" s="27" t="s">
        <v>8</v>
      </c>
      <c r="MY162" s="27" t="s">
        <v>8</v>
      </c>
      <c r="MZ162" s="27" t="s">
        <v>7</v>
      </c>
    </row>
    <row r="163" spans="1:376" x14ac:dyDescent="0.25">
      <c r="A163" s="7">
        <v>4430.7049157750153</v>
      </c>
      <c r="C163" s="1" t="s">
        <v>14</v>
      </c>
      <c r="E163"/>
      <c r="MM163" s="27" t="s">
        <v>8</v>
      </c>
      <c r="MO163" s="27" t="s">
        <v>8</v>
      </c>
      <c r="MP163" s="27" t="s">
        <v>7</v>
      </c>
      <c r="MQ163" s="27" t="s">
        <v>8</v>
      </c>
      <c r="MT163" s="27" t="s">
        <v>7</v>
      </c>
      <c r="MU163" s="27" t="s">
        <v>8</v>
      </c>
      <c r="MW163" s="31" t="s">
        <v>8</v>
      </c>
      <c r="MX163" s="27" t="s">
        <v>7</v>
      </c>
      <c r="MY163" s="27" t="s">
        <v>8</v>
      </c>
      <c r="MZ163" s="27" t="s">
        <v>7</v>
      </c>
      <c r="NA163" s="27" t="s">
        <v>8</v>
      </c>
    </row>
    <row r="164" spans="1:376" x14ac:dyDescent="0.25">
      <c r="A164" s="7">
        <v>4343.8283487990348</v>
      </c>
      <c r="C164" s="1" t="str">
        <f>IF(C161=$S$1,IF(D158&lt;(C155*0.980392156862745),$S$1,IF(C158&gt;(C155*1.061208),$U$1,"")),"")</f>
        <v/>
      </c>
      <c r="D164" s="1" t="str">
        <f>IF(C161=$U$1,IF(C158&gt;(C155*1.02),$U$1,IF(D158&lt;(C155*0.942322334547044),$S$1,"")),"")</f>
        <v>X</v>
      </c>
      <c r="E164"/>
      <c r="MI164" s="27" t="s">
        <v>8</v>
      </c>
      <c r="MM164" s="27" t="s">
        <v>8</v>
      </c>
      <c r="MN164" s="27" t="s">
        <v>7</v>
      </c>
      <c r="MO164" s="27" t="s">
        <v>8</v>
      </c>
      <c r="MP164" s="27" t="s">
        <v>7</v>
      </c>
      <c r="MT164" s="27" t="s">
        <v>7</v>
      </c>
      <c r="MU164" s="27" t="s">
        <v>8</v>
      </c>
      <c r="MV164" s="27" t="s">
        <v>7</v>
      </c>
      <c r="MW164" s="27" t="s">
        <v>8</v>
      </c>
      <c r="MX164" s="27" t="s">
        <v>7</v>
      </c>
      <c r="MY164" s="27" t="s">
        <v>8</v>
      </c>
      <c r="MZ164" s="27" t="s">
        <v>7</v>
      </c>
      <c r="NA164" s="27" t="s">
        <v>8</v>
      </c>
      <c r="NB164" s="27" t="s">
        <v>7</v>
      </c>
    </row>
    <row r="165" spans="1:376" x14ac:dyDescent="0.25">
      <c r="A165" s="7">
        <v>4258.6552439206225</v>
      </c>
      <c r="E165"/>
      <c r="MI165" s="27" t="s">
        <v>8</v>
      </c>
      <c r="MJ165" s="27" t="s">
        <v>7</v>
      </c>
      <c r="MK165" s="27" t="s">
        <v>8</v>
      </c>
      <c r="MM165" s="27" t="s">
        <v>8</v>
      </c>
      <c r="MN165" s="27" t="s">
        <v>7</v>
      </c>
      <c r="MO165" s="27" t="s">
        <v>8</v>
      </c>
      <c r="MT165" s="27" t="s">
        <v>7</v>
      </c>
      <c r="MU165" s="27" t="s">
        <v>8</v>
      </c>
      <c r="MV165" s="27" t="s">
        <v>7</v>
      </c>
      <c r="MW165" s="27" t="s">
        <v>8</v>
      </c>
      <c r="MX165" s="27" t="s">
        <v>7</v>
      </c>
      <c r="MY165" s="27" t="s">
        <v>8</v>
      </c>
      <c r="MZ165" s="27" t="s">
        <v>7</v>
      </c>
      <c r="NA165" s="27" t="s">
        <v>8</v>
      </c>
      <c r="NB165" s="27" t="s">
        <v>7</v>
      </c>
    </row>
    <row r="166" spans="1:376" x14ac:dyDescent="0.25">
      <c r="A166" s="7">
        <v>4175.1521999221786</v>
      </c>
      <c r="E166"/>
      <c r="JW166" s="27" t="s">
        <v>8</v>
      </c>
      <c r="MI166" s="27" t="s">
        <v>8</v>
      </c>
      <c r="MJ166" s="27" t="s">
        <v>7</v>
      </c>
      <c r="MK166" s="27" t="s">
        <v>8</v>
      </c>
      <c r="ML166" s="27" t="s">
        <v>7</v>
      </c>
      <c r="MM166" s="27" t="s">
        <v>8</v>
      </c>
      <c r="MN166" s="27" t="s">
        <v>7</v>
      </c>
      <c r="MT166" s="27" t="s">
        <v>7</v>
      </c>
      <c r="MU166" s="27" t="s">
        <v>8</v>
      </c>
      <c r="MV166" s="27" t="s">
        <v>7</v>
      </c>
      <c r="MW166" s="27" t="s">
        <v>8</v>
      </c>
      <c r="MX166" s="27" t="s">
        <v>7</v>
      </c>
      <c r="MY166" s="27" t="s">
        <v>8</v>
      </c>
      <c r="MZ166" s="27" t="s">
        <v>7</v>
      </c>
      <c r="NA166" s="27" t="s">
        <v>8</v>
      </c>
      <c r="NB166" s="27" t="s">
        <v>7</v>
      </c>
    </row>
    <row r="167" spans="1:376" x14ac:dyDescent="0.25">
      <c r="A167" s="7">
        <v>4093.2864705119396</v>
      </c>
      <c r="E167"/>
      <c r="JW167" s="27" t="s">
        <v>8</v>
      </c>
      <c r="JX167" s="27" t="s">
        <v>7</v>
      </c>
      <c r="JY167" s="27" t="s">
        <v>8</v>
      </c>
      <c r="MI167" s="27" t="s">
        <v>8</v>
      </c>
      <c r="MJ167" s="27" t="s">
        <v>7</v>
      </c>
      <c r="MK167" s="27" t="s">
        <v>8</v>
      </c>
      <c r="ML167" s="27" t="s">
        <v>7</v>
      </c>
      <c r="MM167" s="27" t="s">
        <v>8</v>
      </c>
      <c r="MT167" s="27" t="s">
        <v>7</v>
      </c>
      <c r="MU167" s="27" t="s">
        <v>8</v>
      </c>
      <c r="MV167" s="27" t="s">
        <v>7</v>
      </c>
      <c r="MX167" s="31" t="s">
        <v>7</v>
      </c>
      <c r="MY167" s="27" t="s">
        <v>8</v>
      </c>
      <c r="MZ167" s="27" t="s">
        <v>7</v>
      </c>
      <c r="NA167" s="27" t="s">
        <v>8</v>
      </c>
      <c r="NB167" s="27" t="s">
        <v>7</v>
      </c>
      <c r="NC167" s="27" t="s">
        <v>8</v>
      </c>
      <c r="NE167" s="27" t="s">
        <v>8</v>
      </c>
      <c r="NI167" s="27" t="s">
        <v>8</v>
      </c>
    </row>
    <row r="168" spans="1:376" x14ac:dyDescent="0.25">
      <c r="A168" s="7">
        <v>4013.0259514822937</v>
      </c>
      <c r="E168"/>
      <c r="JW168" s="27" t="s">
        <v>8</v>
      </c>
      <c r="JX168" s="27" t="s">
        <v>7</v>
      </c>
      <c r="JY168" s="27" t="s">
        <v>8</v>
      </c>
      <c r="JZ168" s="27" t="s">
        <v>7</v>
      </c>
      <c r="LS168" s="27" t="s">
        <v>8</v>
      </c>
      <c r="MI168" s="27" t="s">
        <v>8</v>
      </c>
      <c r="MJ168" s="27" t="s">
        <v>7</v>
      </c>
      <c r="MK168" s="27" t="s">
        <v>8</v>
      </c>
      <c r="ML168" s="27" t="s">
        <v>7</v>
      </c>
      <c r="MM168" s="27" t="s">
        <v>8</v>
      </c>
      <c r="MT168" s="27" t="s">
        <v>7</v>
      </c>
      <c r="MW168" s="31"/>
      <c r="MX168" s="27" t="s">
        <v>7</v>
      </c>
      <c r="MY168" s="27" t="s">
        <v>8</v>
      </c>
      <c r="MZ168" s="27" t="s">
        <v>7</v>
      </c>
      <c r="NA168" s="27" t="s">
        <v>8</v>
      </c>
      <c r="NB168" s="27" t="s">
        <v>7</v>
      </c>
      <c r="NC168" s="27" t="s">
        <v>8</v>
      </c>
      <c r="ND168" s="27" t="s">
        <v>7</v>
      </c>
      <c r="NE168" s="27" t="s">
        <v>8</v>
      </c>
      <c r="NF168" s="27" t="s">
        <v>7</v>
      </c>
      <c r="NG168" s="27" t="s">
        <v>8</v>
      </c>
      <c r="NI168" s="27" t="s">
        <v>8</v>
      </c>
      <c r="NJ168" s="27" t="s">
        <v>7</v>
      </c>
    </row>
    <row r="169" spans="1:376" x14ac:dyDescent="0.25">
      <c r="A169" s="7">
        <v>3934.3391681198959</v>
      </c>
      <c r="E169"/>
      <c r="JW169" s="27" t="s">
        <v>8</v>
      </c>
      <c r="JX169" s="27" t="s">
        <v>7</v>
      </c>
      <c r="JY169" s="27" t="s">
        <v>8</v>
      </c>
      <c r="JZ169" s="27" t="s">
        <v>7</v>
      </c>
      <c r="LS169" s="27" t="s">
        <v>8</v>
      </c>
      <c r="LT169" s="27" t="s">
        <v>7</v>
      </c>
      <c r="MG169" s="27" t="s">
        <v>8</v>
      </c>
      <c r="MI169" s="27" t="s">
        <v>8</v>
      </c>
      <c r="MJ169" s="27" t="s">
        <v>7</v>
      </c>
      <c r="ML169" s="27" t="s">
        <v>7</v>
      </c>
      <c r="MV169" s="31"/>
      <c r="MX169" s="27" t="s">
        <v>7</v>
      </c>
      <c r="MZ169" s="27" t="s">
        <v>7</v>
      </c>
      <c r="NA169" s="27" t="s">
        <v>8</v>
      </c>
      <c r="NB169" s="27" t="s">
        <v>7</v>
      </c>
      <c r="NC169" s="27" t="s">
        <v>8</v>
      </c>
      <c r="ND169" s="27" t="s">
        <v>7</v>
      </c>
      <c r="NE169" s="27" t="s">
        <v>8</v>
      </c>
      <c r="NF169" s="27" t="s">
        <v>7</v>
      </c>
      <c r="NG169" s="27" t="s">
        <v>8</v>
      </c>
      <c r="NH169" s="27" t="s">
        <v>7</v>
      </c>
      <c r="NI169" s="27" t="s">
        <v>8</v>
      </c>
      <c r="NJ169" s="27" t="s">
        <v>7</v>
      </c>
    </row>
    <row r="170" spans="1:376" x14ac:dyDescent="0.25">
      <c r="A170" s="7">
        <v>3857.1952628626432</v>
      </c>
      <c r="E170"/>
      <c r="JW170" s="27" t="s">
        <v>8</v>
      </c>
      <c r="JX170" s="27" t="s">
        <v>7</v>
      </c>
      <c r="JY170" s="27" t="s">
        <v>8</v>
      </c>
      <c r="JZ170" s="27" t="s">
        <v>7</v>
      </c>
      <c r="LS170" s="27" t="s">
        <v>8</v>
      </c>
      <c r="LT170" s="27" t="s">
        <v>7</v>
      </c>
      <c r="MG170" s="27" t="s">
        <v>8</v>
      </c>
      <c r="MH170" s="27" t="s">
        <v>7</v>
      </c>
      <c r="MI170" s="27" t="s">
        <v>8</v>
      </c>
      <c r="MU170" s="31"/>
      <c r="MZ170" s="27" t="s">
        <v>7</v>
      </c>
      <c r="NA170" s="27" t="s">
        <v>8</v>
      </c>
      <c r="NB170" s="27" t="s">
        <v>7</v>
      </c>
      <c r="ND170" s="27" t="s">
        <v>7</v>
      </c>
      <c r="NE170" s="27" t="s">
        <v>8</v>
      </c>
      <c r="NF170" s="27" t="s">
        <v>7</v>
      </c>
      <c r="NG170" s="27" t="s">
        <v>8</v>
      </c>
      <c r="NH170" s="27" t="s">
        <v>7</v>
      </c>
      <c r="NI170" s="27" t="s">
        <v>8</v>
      </c>
      <c r="NJ170" s="27" t="s">
        <v>7</v>
      </c>
      <c r="NK170" s="27" t="s">
        <v>8</v>
      </c>
    </row>
    <row r="171" spans="1:376" x14ac:dyDescent="0.25">
      <c r="A171" s="7">
        <v>3781.5639831986696</v>
      </c>
      <c r="E171"/>
      <c r="JW171" s="27" t="s">
        <v>8</v>
      </c>
      <c r="JX171" s="27" t="s">
        <v>7</v>
      </c>
      <c r="JY171" s="27" t="s">
        <v>8</v>
      </c>
      <c r="JZ171" s="27" t="s">
        <v>7</v>
      </c>
      <c r="LS171" s="27" t="s">
        <v>8</v>
      </c>
      <c r="LT171" s="27" t="s">
        <v>7</v>
      </c>
      <c r="MG171" s="27" t="s">
        <v>8</v>
      </c>
      <c r="MH171" s="27" t="s">
        <v>7</v>
      </c>
      <c r="MI171" s="27" t="s">
        <v>8</v>
      </c>
      <c r="MT171" s="31"/>
      <c r="MZ171" s="27" t="s">
        <v>7</v>
      </c>
      <c r="NA171" s="27" t="s">
        <v>8</v>
      </c>
      <c r="ND171" s="27" t="s">
        <v>7</v>
      </c>
      <c r="NE171" s="27" t="s">
        <v>8</v>
      </c>
      <c r="NF171" s="27" t="s">
        <v>7</v>
      </c>
      <c r="NG171" s="27" t="s">
        <v>8</v>
      </c>
      <c r="NH171" s="27" t="s">
        <v>7</v>
      </c>
      <c r="NJ171" s="27" t="s">
        <v>7</v>
      </c>
      <c r="NK171" s="27" t="s">
        <v>8</v>
      </c>
      <c r="NL171" s="27" t="s">
        <v>7</v>
      </c>
    </row>
    <row r="172" spans="1:376" x14ac:dyDescent="0.25">
      <c r="A172" s="7">
        <v>3707.4156698026172</v>
      </c>
      <c r="E172"/>
      <c r="JW172" s="27" t="s">
        <v>8</v>
      </c>
      <c r="JX172" s="27" t="s">
        <v>7</v>
      </c>
      <c r="JY172" s="27" t="s">
        <v>8</v>
      </c>
      <c r="JZ172" s="27" t="s">
        <v>7</v>
      </c>
      <c r="LS172" s="27" t="s">
        <v>8</v>
      </c>
      <c r="LT172" s="27" t="s">
        <v>7</v>
      </c>
      <c r="MG172" s="27" t="s">
        <v>8</v>
      </c>
      <c r="MH172" s="27" t="s">
        <v>7</v>
      </c>
      <c r="MS172" s="31"/>
      <c r="MZ172" s="27" t="s">
        <v>7</v>
      </c>
      <c r="NA172" s="27" t="s">
        <v>8</v>
      </c>
      <c r="ND172" s="27" t="s">
        <v>7</v>
      </c>
      <c r="NF172" s="27" t="s">
        <v>7</v>
      </c>
      <c r="NJ172" s="27" t="s">
        <v>7</v>
      </c>
      <c r="NK172" s="27" t="s">
        <v>8</v>
      </c>
      <c r="NL172" s="27" t="s">
        <v>7</v>
      </c>
    </row>
    <row r="173" spans="1:376" x14ac:dyDescent="0.25">
      <c r="A173" s="7">
        <v>3634.7212449045264</v>
      </c>
      <c r="E173"/>
      <c r="JW173" s="27" t="s">
        <v>8</v>
      </c>
      <c r="JX173" s="27" t="s">
        <v>7</v>
      </c>
      <c r="JY173" s="27" t="s">
        <v>8</v>
      </c>
      <c r="JZ173" s="27" t="s">
        <v>7</v>
      </c>
      <c r="LS173" s="27" t="s">
        <v>8</v>
      </c>
      <c r="LT173" s="27" t="s">
        <v>7</v>
      </c>
      <c r="LY173" s="27" t="s">
        <v>8</v>
      </c>
      <c r="ME173" s="27" t="s">
        <v>8</v>
      </c>
      <c r="MG173" s="27" t="s">
        <v>8</v>
      </c>
      <c r="MR173" s="31"/>
      <c r="MZ173" s="27" t="s">
        <v>7</v>
      </c>
      <c r="NA173" s="27" t="s">
        <v>8</v>
      </c>
      <c r="NJ173" s="27" t="s">
        <v>7</v>
      </c>
      <c r="NL173" s="27" t="s">
        <v>7</v>
      </c>
    </row>
    <row r="174" spans="1:376" x14ac:dyDescent="0.25">
      <c r="A174" s="7">
        <v>3563.4522008867907</v>
      </c>
      <c r="E174"/>
      <c r="JU174" s="27" t="s">
        <v>8</v>
      </c>
      <c r="JW174" s="27" t="s">
        <v>8</v>
      </c>
      <c r="JX174" s="27" t="s">
        <v>7</v>
      </c>
      <c r="JZ174" s="27" t="s">
        <v>7</v>
      </c>
      <c r="KA174" s="27" t="s">
        <v>8</v>
      </c>
      <c r="LS174" s="27" t="s">
        <v>8</v>
      </c>
      <c r="LT174" s="27" t="s">
        <v>7</v>
      </c>
      <c r="LU174" s="27" t="s">
        <v>8</v>
      </c>
      <c r="LY174" s="27" t="s">
        <v>8</v>
      </c>
      <c r="LZ174" s="27" t="s">
        <v>7</v>
      </c>
      <c r="ME174" s="27" t="s">
        <v>8</v>
      </c>
      <c r="MF174" s="27" t="s">
        <v>7</v>
      </c>
      <c r="MG174" s="27" t="s">
        <v>8</v>
      </c>
      <c r="MQ174" s="31"/>
      <c r="MZ174" s="27" t="s">
        <v>7</v>
      </c>
      <c r="NL174" s="27" t="s">
        <v>7</v>
      </c>
    </row>
    <row r="175" spans="1:376" x14ac:dyDescent="0.25">
      <c r="A175" s="7">
        <v>3493.5805891046966</v>
      </c>
      <c r="E175"/>
      <c r="JS175" s="27" t="s">
        <v>8</v>
      </c>
      <c r="JU175" s="27" t="s">
        <v>8</v>
      </c>
      <c r="JV175" s="27" t="s">
        <v>7</v>
      </c>
      <c r="JW175" s="27" t="s">
        <v>8</v>
      </c>
      <c r="JZ175" s="27" t="s">
        <v>7</v>
      </c>
      <c r="KA175" s="27" t="s">
        <v>8</v>
      </c>
      <c r="KB175" s="27" t="s">
        <v>7</v>
      </c>
      <c r="LS175" s="27" t="s">
        <v>8</v>
      </c>
      <c r="LT175" s="27" t="s">
        <v>7</v>
      </c>
      <c r="LU175" s="27" t="s">
        <v>8</v>
      </c>
      <c r="LV175" s="27" t="s">
        <v>7</v>
      </c>
      <c r="LY175" s="27" t="s">
        <v>8</v>
      </c>
      <c r="LZ175" s="27" t="s">
        <v>7</v>
      </c>
      <c r="ME175" s="27" t="s">
        <v>8</v>
      </c>
      <c r="MF175" s="27" t="s">
        <v>7</v>
      </c>
      <c r="MG175" s="27" t="s">
        <v>8</v>
      </c>
      <c r="MP175" s="31"/>
      <c r="NL175" s="27" t="s">
        <v>7</v>
      </c>
    </row>
    <row r="176" spans="1:376" x14ac:dyDescent="0.25">
      <c r="A176" s="7">
        <v>3425.0790089261732</v>
      </c>
      <c r="E176"/>
      <c r="JS176" s="27" t="s">
        <v>8</v>
      </c>
      <c r="JT176" s="27" t="s">
        <v>7</v>
      </c>
      <c r="JU176" s="27" t="s">
        <v>8</v>
      </c>
      <c r="JV176" s="27" t="s">
        <v>7</v>
      </c>
      <c r="JW176" s="27" t="s">
        <v>8</v>
      </c>
      <c r="JZ176" s="27" t="s">
        <v>7</v>
      </c>
      <c r="KA176" s="27" t="s">
        <v>8</v>
      </c>
      <c r="KB176" s="27" t="s">
        <v>7</v>
      </c>
      <c r="LS176" s="27" t="s">
        <v>8</v>
      </c>
      <c r="LT176" s="27" t="s">
        <v>7</v>
      </c>
      <c r="LU176" s="27" t="s">
        <v>8</v>
      </c>
      <c r="LV176" s="27" t="s">
        <v>7</v>
      </c>
      <c r="LW176" s="27" t="s">
        <v>8</v>
      </c>
      <c r="LY176" s="27" t="s">
        <v>8</v>
      </c>
      <c r="LZ176" s="27" t="s">
        <v>7</v>
      </c>
      <c r="ME176" s="27" t="s">
        <v>8</v>
      </c>
      <c r="MF176" s="27" t="s">
        <v>7</v>
      </c>
      <c r="MO176" s="31"/>
      <c r="NL176" s="27" t="s">
        <v>7</v>
      </c>
    </row>
    <row r="177" spans="1:384" x14ac:dyDescent="0.25">
      <c r="A177" s="7">
        <v>3357.9205969864443</v>
      </c>
      <c r="B177"/>
      <c r="C177"/>
      <c r="D177"/>
      <c r="E177"/>
      <c r="JS177" s="27" t="s">
        <v>8</v>
      </c>
      <c r="JT177" s="27" t="s">
        <v>7</v>
      </c>
      <c r="JU177" s="27" t="s">
        <v>8</v>
      </c>
      <c r="JV177" s="27" t="s">
        <v>7</v>
      </c>
      <c r="JZ177" s="27" t="s">
        <v>7</v>
      </c>
      <c r="KA177" s="27" t="s">
        <v>8</v>
      </c>
      <c r="KB177" s="27" t="s">
        <v>7</v>
      </c>
      <c r="LQ177" s="27" t="s">
        <v>8</v>
      </c>
      <c r="LS177" s="27" t="s">
        <v>8</v>
      </c>
      <c r="LT177" s="27" t="s">
        <v>7</v>
      </c>
      <c r="LU177" s="27" t="s">
        <v>8</v>
      </c>
      <c r="LV177" s="27" t="s">
        <v>7</v>
      </c>
      <c r="LW177" s="27" t="s">
        <v>8</v>
      </c>
      <c r="LX177" s="27" t="s">
        <v>7</v>
      </c>
      <c r="LY177" s="27" t="s">
        <v>8</v>
      </c>
      <c r="LZ177" s="27" t="s">
        <v>7</v>
      </c>
      <c r="ME177" s="27" t="s">
        <v>8</v>
      </c>
      <c r="NL177" s="27" t="s">
        <v>7</v>
      </c>
      <c r="NM177" s="27" t="s">
        <v>8</v>
      </c>
    </row>
    <row r="178" spans="1:384" x14ac:dyDescent="0.25">
      <c r="A178" s="7">
        <v>3292.0790166533766</v>
      </c>
      <c r="B178"/>
      <c r="C178"/>
      <c r="D178"/>
      <c r="E178"/>
      <c r="JS178" s="27" t="s">
        <v>8</v>
      </c>
      <c r="JT178" s="27" t="s">
        <v>7</v>
      </c>
      <c r="JU178" s="27" t="s">
        <v>8</v>
      </c>
      <c r="JZ178" s="27" t="s">
        <v>7</v>
      </c>
      <c r="KA178" s="27" t="s">
        <v>8</v>
      </c>
      <c r="KB178" s="27" t="s">
        <v>7</v>
      </c>
      <c r="LO178" s="27" t="s">
        <v>8</v>
      </c>
      <c r="LQ178" s="27" t="s">
        <v>8</v>
      </c>
      <c r="LR178" s="27" t="s">
        <v>7</v>
      </c>
      <c r="LS178" s="27" t="s">
        <v>8</v>
      </c>
      <c r="LT178" s="27" t="s">
        <v>7</v>
      </c>
      <c r="LU178" s="27" t="s">
        <v>8</v>
      </c>
      <c r="LV178" s="27" t="s">
        <v>7</v>
      </c>
      <c r="LW178" s="27" t="s">
        <v>8</v>
      </c>
      <c r="LX178" s="27" t="s">
        <v>7</v>
      </c>
      <c r="LY178" s="27" t="s">
        <v>8</v>
      </c>
      <c r="LZ178" s="27" t="s">
        <v>7</v>
      </c>
      <c r="ME178" s="27" t="s">
        <v>8</v>
      </c>
      <c r="MM178" s="31"/>
      <c r="NL178" s="27" t="s">
        <v>7</v>
      </c>
      <c r="NM178" s="27" t="s">
        <v>8</v>
      </c>
      <c r="NN178" s="27" t="s">
        <v>7</v>
      </c>
    </row>
    <row r="179" spans="1:384" x14ac:dyDescent="0.25">
      <c r="A179" s="7">
        <v>3227.5284476993888</v>
      </c>
      <c r="B179"/>
      <c r="C179"/>
      <c r="D179"/>
      <c r="E179"/>
      <c r="JS179" s="27" t="s">
        <v>8</v>
      </c>
      <c r="JT179" s="27" t="s">
        <v>7</v>
      </c>
      <c r="JZ179" s="27" t="s">
        <v>7</v>
      </c>
      <c r="KA179" s="27" t="s">
        <v>8</v>
      </c>
      <c r="KB179" s="27" t="s">
        <v>7</v>
      </c>
      <c r="LM179" s="27" t="s">
        <v>8</v>
      </c>
      <c r="LO179" s="27" t="s">
        <v>8</v>
      </c>
      <c r="LP179" s="27" t="s">
        <v>7</v>
      </c>
      <c r="LQ179" s="27" t="s">
        <v>8</v>
      </c>
      <c r="LR179" s="27" t="s">
        <v>7</v>
      </c>
      <c r="LS179" s="27" t="s">
        <v>8</v>
      </c>
      <c r="LT179" s="27" t="s">
        <v>7</v>
      </c>
      <c r="LU179" s="27" t="s">
        <v>8</v>
      </c>
      <c r="LV179" s="27" t="s">
        <v>7</v>
      </c>
      <c r="LW179" s="27" t="s">
        <v>8</v>
      </c>
      <c r="LX179" s="27" t="s">
        <v>7</v>
      </c>
      <c r="LY179" s="27" t="s">
        <v>8</v>
      </c>
      <c r="LZ179" s="27" t="s">
        <v>7</v>
      </c>
      <c r="ME179" s="27" t="s">
        <v>8</v>
      </c>
      <c r="ML179" s="31"/>
      <c r="NL179" s="27" t="s">
        <v>7</v>
      </c>
      <c r="NM179" s="27" t="s">
        <v>8</v>
      </c>
      <c r="NN179" s="27" t="s">
        <v>7</v>
      </c>
      <c r="NO179" s="27" t="s">
        <v>8</v>
      </c>
    </row>
    <row r="180" spans="1:384" x14ac:dyDescent="0.25">
      <c r="A180" s="7">
        <v>3164.2435761758716</v>
      </c>
      <c r="B180"/>
      <c r="C180"/>
      <c r="D180"/>
      <c r="E180"/>
      <c r="JS180" s="27" t="s">
        <v>8</v>
      </c>
      <c r="JZ180" s="27" t="s">
        <v>7</v>
      </c>
      <c r="KA180" s="27" t="s">
        <v>8</v>
      </c>
      <c r="KB180" s="27" t="s">
        <v>7</v>
      </c>
      <c r="LK180" s="27" t="s">
        <v>8</v>
      </c>
      <c r="LM180" s="27" t="s">
        <v>8</v>
      </c>
      <c r="LN180" s="27" t="s">
        <v>7</v>
      </c>
      <c r="LO180" s="27" t="s">
        <v>8</v>
      </c>
      <c r="LP180" s="27" t="s">
        <v>7</v>
      </c>
      <c r="LQ180" s="27" t="s">
        <v>8</v>
      </c>
      <c r="LR180" s="27" t="s">
        <v>7</v>
      </c>
      <c r="LS180" s="27" t="s">
        <v>8</v>
      </c>
      <c r="LT180" s="27" t="s">
        <v>7</v>
      </c>
      <c r="LU180" s="27" t="s">
        <v>8</v>
      </c>
      <c r="LV180" s="27" t="s">
        <v>7</v>
      </c>
      <c r="LX180" s="27" t="s">
        <v>7</v>
      </c>
      <c r="LZ180" s="27" t="s">
        <v>7</v>
      </c>
      <c r="MA180" s="27" t="s">
        <v>8</v>
      </c>
      <c r="MC180" s="27" t="s">
        <v>8</v>
      </c>
      <c r="ME180" s="27" t="s">
        <v>8</v>
      </c>
      <c r="NL180" s="27" t="s">
        <v>7</v>
      </c>
      <c r="NM180" s="27" t="s">
        <v>8</v>
      </c>
      <c r="NN180" s="27" t="s">
        <v>7</v>
      </c>
      <c r="NO180" s="27" t="s">
        <v>8</v>
      </c>
      <c r="NP180" s="27" t="s">
        <v>7</v>
      </c>
    </row>
    <row r="181" spans="1:384" x14ac:dyDescent="0.25">
      <c r="A181" s="7">
        <v>3102.1995844861485</v>
      </c>
      <c r="B181"/>
      <c r="C181"/>
      <c r="D181"/>
      <c r="E181"/>
      <c r="JS181" s="27" t="s">
        <v>8</v>
      </c>
      <c r="JZ181" s="27" t="s">
        <v>7</v>
      </c>
      <c r="KB181" s="27" t="s">
        <v>7</v>
      </c>
      <c r="LK181" s="27" t="s">
        <v>8</v>
      </c>
      <c r="LL181" s="27" t="s">
        <v>7</v>
      </c>
      <c r="LM181" s="27" t="s">
        <v>8</v>
      </c>
      <c r="LN181" s="27" t="s">
        <v>7</v>
      </c>
      <c r="LO181" s="27" t="s">
        <v>8</v>
      </c>
      <c r="LP181" s="27" t="s">
        <v>7</v>
      </c>
      <c r="LQ181" s="27" t="s">
        <v>8</v>
      </c>
      <c r="LR181" s="27" t="s">
        <v>7</v>
      </c>
      <c r="LT181" s="27" t="s">
        <v>7</v>
      </c>
      <c r="LU181" s="27" t="s">
        <v>8</v>
      </c>
      <c r="LZ181" s="27" t="s">
        <v>7</v>
      </c>
      <c r="MA181" s="27" t="s">
        <v>8</v>
      </c>
      <c r="MB181" s="27" t="s">
        <v>7</v>
      </c>
      <c r="MC181" s="27" t="s">
        <v>8</v>
      </c>
      <c r="MD181" s="27" t="s">
        <v>7</v>
      </c>
      <c r="ME181" s="27" t="s">
        <v>8</v>
      </c>
      <c r="MJ181" s="31"/>
      <c r="NL181" s="27" t="s">
        <v>7</v>
      </c>
      <c r="NM181" s="27" t="s">
        <v>8</v>
      </c>
      <c r="NN181" s="27" t="s">
        <v>7</v>
      </c>
      <c r="NO181" s="27" t="s">
        <v>8</v>
      </c>
      <c r="NP181" s="27" t="s">
        <v>7</v>
      </c>
    </row>
    <row r="182" spans="1:384" x14ac:dyDescent="0.25">
      <c r="A182" s="7">
        <v>3041.3721416530866</v>
      </c>
      <c r="B182"/>
      <c r="C182"/>
      <c r="D182"/>
      <c r="E182"/>
      <c r="JS182" s="27" t="s">
        <v>8</v>
      </c>
      <c r="KB182" s="27" t="s">
        <v>7</v>
      </c>
      <c r="LK182" s="27" t="s">
        <v>8</v>
      </c>
      <c r="LL182" s="27" t="s">
        <v>7</v>
      </c>
      <c r="LM182" s="27" t="s">
        <v>8</v>
      </c>
      <c r="LN182" s="27" t="s">
        <v>7</v>
      </c>
      <c r="LO182" s="27" t="s">
        <v>8</v>
      </c>
      <c r="LP182" s="27" t="s">
        <v>7</v>
      </c>
      <c r="LQ182" s="27" t="s">
        <v>8</v>
      </c>
      <c r="LT182" s="27" t="s">
        <v>7</v>
      </c>
      <c r="LZ182" s="27" t="s">
        <v>7</v>
      </c>
      <c r="MA182" s="27" t="s">
        <v>8</v>
      </c>
      <c r="MB182" s="27" t="s">
        <v>7</v>
      </c>
      <c r="MC182" s="27" t="s">
        <v>8</v>
      </c>
      <c r="MD182" s="27" t="s">
        <v>7</v>
      </c>
      <c r="ME182" s="27" t="s">
        <v>8</v>
      </c>
      <c r="NL182" s="27" t="s">
        <v>7</v>
      </c>
      <c r="NM182" s="27" t="s">
        <v>8</v>
      </c>
      <c r="NN182" s="27" t="s">
        <v>7</v>
      </c>
      <c r="NP182" s="27" t="s">
        <v>7</v>
      </c>
    </row>
    <row r="183" spans="1:384" x14ac:dyDescent="0.25">
      <c r="A183" s="7">
        <v>2981.737393777536</v>
      </c>
      <c r="B183"/>
      <c r="C183"/>
      <c r="D183"/>
      <c r="E183"/>
      <c r="JS183" s="27" t="s">
        <v>8</v>
      </c>
      <c r="KB183" s="27" t="s">
        <v>7</v>
      </c>
      <c r="KC183" s="27" t="s">
        <v>8</v>
      </c>
      <c r="LK183" s="27" t="s">
        <v>8</v>
      </c>
      <c r="LL183" s="27" t="s">
        <v>7</v>
      </c>
      <c r="LM183" s="27" t="s">
        <v>8</v>
      </c>
      <c r="LN183" s="27" t="s">
        <v>7</v>
      </c>
      <c r="LP183" s="27" t="s">
        <v>7</v>
      </c>
      <c r="LZ183" s="27" t="s">
        <v>7</v>
      </c>
      <c r="MA183" s="27" t="s">
        <v>8</v>
      </c>
      <c r="MB183" s="27" t="s">
        <v>7</v>
      </c>
      <c r="MC183" s="27" t="s">
        <v>8</v>
      </c>
      <c r="MD183" s="27" t="s">
        <v>7</v>
      </c>
      <c r="ME183" s="27" t="s">
        <v>8</v>
      </c>
      <c r="MH183" s="31"/>
      <c r="NL183" s="27" t="s">
        <v>7</v>
      </c>
      <c r="NP183" s="27" t="s">
        <v>7</v>
      </c>
    </row>
    <row r="184" spans="1:384" x14ac:dyDescent="0.25">
      <c r="A184" s="7">
        <v>2923.2719546838589</v>
      </c>
      <c r="B184"/>
      <c r="C184"/>
      <c r="D184"/>
      <c r="E184"/>
      <c r="JS184" s="27" t="s">
        <v>8</v>
      </c>
      <c r="KB184" s="27" t="s">
        <v>7</v>
      </c>
      <c r="KC184" s="27" t="s">
        <v>8</v>
      </c>
      <c r="KD184" s="27" t="s">
        <v>7</v>
      </c>
      <c r="LK184" s="27" t="s">
        <v>8</v>
      </c>
      <c r="LL184" s="27" t="s">
        <v>7</v>
      </c>
      <c r="LZ184" s="27" t="s">
        <v>7</v>
      </c>
      <c r="MA184" s="27" t="s">
        <v>8</v>
      </c>
      <c r="MB184" s="27" t="s">
        <v>7</v>
      </c>
      <c r="MC184" s="27" t="s">
        <v>8</v>
      </c>
      <c r="MD184" s="27" t="s">
        <v>7</v>
      </c>
      <c r="ME184" s="27" t="s">
        <v>8</v>
      </c>
      <c r="MG184" s="31"/>
      <c r="NP184" s="27" t="s">
        <v>7</v>
      </c>
    </row>
    <row r="185" spans="1:384" x14ac:dyDescent="0.25">
      <c r="A185" s="7">
        <v>2865.9528967488814</v>
      </c>
      <c r="B185"/>
      <c r="C185"/>
      <c r="D185"/>
      <c r="E185"/>
      <c r="JS185" s="27" t="s">
        <v>8</v>
      </c>
      <c r="KB185" s="27" t="s">
        <v>7</v>
      </c>
      <c r="KC185" s="27" t="s">
        <v>8</v>
      </c>
      <c r="KD185" s="27" t="s">
        <v>7</v>
      </c>
      <c r="KG185" s="27" t="s">
        <v>8</v>
      </c>
      <c r="KK185" s="27" t="s">
        <v>8</v>
      </c>
      <c r="LK185" s="27" t="s">
        <v>8</v>
      </c>
      <c r="LZ185" s="27" t="s">
        <v>7</v>
      </c>
      <c r="MA185" s="27" t="s">
        <v>8</v>
      </c>
      <c r="MB185" s="27" t="s">
        <v>7</v>
      </c>
      <c r="MC185" s="27" t="s">
        <v>8</v>
      </c>
      <c r="MD185" s="27" t="s">
        <v>7</v>
      </c>
      <c r="ME185" s="27" t="s">
        <v>8</v>
      </c>
      <c r="MF185" s="31"/>
      <c r="NP185" s="27" t="s">
        <v>7</v>
      </c>
    </row>
    <row r="186" spans="1:384" x14ac:dyDescent="0.25">
      <c r="A186" s="7">
        <v>2809.7577419106678</v>
      </c>
      <c r="B186"/>
      <c r="C186"/>
      <c r="D186"/>
      <c r="E186"/>
      <c r="JS186" s="27" t="s">
        <v>8</v>
      </c>
      <c r="KB186" s="27" t="s">
        <v>7</v>
      </c>
      <c r="KC186" s="27" t="s">
        <v>8</v>
      </c>
      <c r="KD186" s="27" t="s">
        <v>7</v>
      </c>
      <c r="KG186" s="27" t="s">
        <v>8</v>
      </c>
      <c r="KH186" s="27" t="s">
        <v>7</v>
      </c>
      <c r="KK186" s="27" t="s">
        <v>8</v>
      </c>
      <c r="KL186" s="27" t="s">
        <v>7</v>
      </c>
      <c r="KM186" s="27" t="s">
        <v>8</v>
      </c>
      <c r="LK186" s="27" t="s">
        <v>8</v>
      </c>
      <c r="LZ186" s="27" t="s">
        <v>7</v>
      </c>
      <c r="MA186" s="27" t="s">
        <v>8</v>
      </c>
      <c r="MB186" s="27" t="s">
        <v>7</v>
      </c>
      <c r="MC186" s="27" t="s">
        <v>8</v>
      </c>
      <c r="MD186" s="27" t="s">
        <v>7</v>
      </c>
      <c r="ME186" s="31"/>
      <c r="NP186" s="27" t="s">
        <v>7</v>
      </c>
    </row>
    <row r="187" spans="1:384" x14ac:dyDescent="0.25">
      <c r="A187" s="7">
        <v>2754.6644528535958</v>
      </c>
      <c r="B187"/>
      <c r="C187"/>
      <c r="D187"/>
      <c r="E187"/>
      <c r="JS187" s="27" t="s">
        <v>8</v>
      </c>
      <c r="KB187" s="27" t="s">
        <v>7</v>
      </c>
      <c r="KC187" s="27" t="s">
        <v>8</v>
      </c>
      <c r="KD187" s="27" t="s">
        <v>7</v>
      </c>
      <c r="KG187" s="27" t="s">
        <v>8</v>
      </c>
      <c r="KH187" s="27" t="s">
        <v>7</v>
      </c>
      <c r="KK187" s="27" t="s">
        <v>8</v>
      </c>
      <c r="KL187" s="27" t="s">
        <v>7</v>
      </c>
      <c r="KM187" s="27" t="s">
        <v>8</v>
      </c>
      <c r="KN187" s="27" t="s">
        <v>7</v>
      </c>
      <c r="LK187" s="27" t="s">
        <v>8</v>
      </c>
      <c r="LZ187" s="27" t="s">
        <v>7</v>
      </c>
      <c r="MA187" s="27" t="s">
        <v>8</v>
      </c>
      <c r="MB187" s="27" t="s">
        <v>7</v>
      </c>
      <c r="MD187" s="31"/>
      <c r="NP187" s="27" t="s">
        <v>7</v>
      </c>
    </row>
    <row r="188" spans="1:384" x14ac:dyDescent="0.25">
      <c r="A188" s="7">
        <v>2700.6514243662705</v>
      </c>
      <c r="B188"/>
      <c r="C188"/>
      <c r="D188"/>
      <c r="E188"/>
      <c r="JS188" s="27" t="s">
        <v>8</v>
      </c>
      <c r="KB188" s="27" t="s">
        <v>7</v>
      </c>
      <c r="KC188" s="27" t="s">
        <v>8</v>
      </c>
      <c r="KD188" s="27" t="s">
        <v>7</v>
      </c>
      <c r="KG188" s="27" t="s">
        <v>8</v>
      </c>
      <c r="KH188" s="27" t="s">
        <v>7</v>
      </c>
      <c r="KI188" s="27" t="s">
        <v>8</v>
      </c>
      <c r="KK188" s="27" t="s">
        <v>8</v>
      </c>
      <c r="KL188" s="27" t="s">
        <v>7</v>
      </c>
      <c r="KM188" s="27" t="s">
        <v>8</v>
      </c>
      <c r="KN188" s="27" t="s">
        <v>7</v>
      </c>
      <c r="LK188" s="27" t="s">
        <v>8</v>
      </c>
      <c r="LZ188" s="27" t="s">
        <v>7</v>
      </c>
      <c r="MC188" s="31"/>
      <c r="NP188" s="27" t="s">
        <v>7</v>
      </c>
      <c r="NS188" s="27" t="s">
        <v>8</v>
      </c>
    </row>
    <row r="189" spans="1:384" x14ac:dyDescent="0.25">
      <c r="A189" s="7">
        <v>2647.6974748688926</v>
      </c>
      <c r="B189"/>
      <c r="C189"/>
      <c r="D189"/>
      <c r="E189"/>
      <c r="JS189" s="27" t="s">
        <v>8</v>
      </c>
      <c r="KB189" s="27" t="s">
        <v>7</v>
      </c>
      <c r="KC189" s="27" t="s">
        <v>8</v>
      </c>
      <c r="KD189" s="27" t="s">
        <v>7</v>
      </c>
      <c r="KG189" s="27" t="s">
        <v>8</v>
      </c>
      <c r="KH189" s="27" t="s">
        <v>7</v>
      </c>
      <c r="KI189" s="27" t="s">
        <v>8</v>
      </c>
      <c r="KJ189" s="27" t="s">
        <v>7</v>
      </c>
      <c r="KK189" s="27" t="s">
        <v>8</v>
      </c>
      <c r="KL189" s="27" t="s">
        <v>7</v>
      </c>
      <c r="KM189" s="27" t="s">
        <v>8</v>
      </c>
      <c r="KN189" s="27" t="s">
        <v>7</v>
      </c>
      <c r="LI189" s="27" t="s">
        <v>8</v>
      </c>
      <c r="LK189" s="27" t="s">
        <v>8</v>
      </c>
      <c r="MB189" s="31"/>
      <c r="NP189" s="27" t="s">
        <v>7</v>
      </c>
      <c r="NS189" s="27" t="s">
        <v>8</v>
      </c>
      <c r="NT189" s="27" t="s">
        <v>7</v>
      </c>
    </row>
    <row r="190" spans="1:384" x14ac:dyDescent="0.25">
      <c r="A190" s="7">
        <v>2595.7818381067573</v>
      </c>
      <c r="B190"/>
      <c r="C190"/>
      <c r="D190"/>
      <c r="E190"/>
      <c r="JO190" s="27" t="s">
        <v>8</v>
      </c>
      <c r="JS190" s="27" t="s">
        <v>8</v>
      </c>
      <c r="KB190" s="27" t="s">
        <v>7</v>
      </c>
      <c r="KC190" s="27" t="s">
        <v>8</v>
      </c>
      <c r="KD190" s="27" t="s">
        <v>7</v>
      </c>
      <c r="KG190" s="27" t="s">
        <v>8</v>
      </c>
      <c r="KH190" s="27" t="s">
        <v>7</v>
      </c>
      <c r="KI190" s="27" t="s">
        <v>8</v>
      </c>
      <c r="KJ190" s="27" t="s">
        <v>7</v>
      </c>
      <c r="KK190" s="27" t="s">
        <v>8</v>
      </c>
      <c r="KL190" s="27" t="s">
        <v>7</v>
      </c>
      <c r="KN190" s="27" t="s">
        <v>7</v>
      </c>
      <c r="KO190" s="27" t="s">
        <v>8</v>
      </c>
      <c r="KQ190" s="27" t="s">
        <v>8</v>
      </c>
      <c r="LI190" s="27" t="s">
        <v>8</v>
      </c>
      <c r="LJ190" s="27" t="s">
        <v>7</v>
      </c>
      <c r="LK190" s="27" t="s">
        <v>8</v>
      </c>
      <c r="MA190" s="31"/>
      <c r="NP190" s="27" t="s">
        <v>7</v>
      </c>
      <c r="NS190" s="27" t="s">
        <v>8</v>
      </c>
      <c r="NT190" s="27" t="s">
        <v>7</v>
      </c>
    </row>
    <row r="191" spans="1:384" x14ac:dyDescent="0.25">
      <c r="A191" s="7">
        <v>2544.884155006625</v>
      </c>
      <c r="B191"/>
      <c r="C191"/>
      <c r="D191"/>
      <c r="E191"/>
      <c r="JM191" s="27" t="s">
        <v>8</v>
      </c>
      <c r="JO191" s="27" t="s">
        <v>8</v>
      </c>
      <c r="JP191" s="27" t="s">
        <v>7</v>
      </c>
      <c r="JS191" s="27" t="s">
        <v>8</v>
      </c>
      <c r="KB191" s="27" t="s">
        <v>7</v>
      </c>
      <c r="KC191" s="27" t="s">
        <v>8</v>
      </c>
      <c r="KD191" s="27" t="s">
        <v>7</v>
      </c>
      <c r="KG191" s="27" t="s">
        <v>8</v>
      </c>
      <c r="KH191" s="27" t="s">
        <v>7</v>
      </c>
      <c r="KI191" s="27" t="s">
        <v>8</v>
      </c>
      <c r="KJ191" s="27" t="s">
        <v>7</v>
      </c>
      <c r="KN191" s="27" t="s">
        <v>7</v>
      </c>
      <c r="KO191" s="27" t="s">
        <v>8</v>
      </c>
      <c r="KP191" s="27" t="s">
        <v>7</v>
      </c>
      <c r="KQ191" s="27" t="s">
        <v>8</v>
      </c>
      <c r="KR191" s="27" t="s">
        <v>7</v>
      </c>
      <c r="LI191" s="27" t="s">
        <v>8</v>
      </c>
      <c r="LJ191" s="27" t="s">
        <v>7</v>
      </c>
      <c r="LK191" s="27" t="s">
        <v>8</v>
      </c>
      <c r="LZ191" s="31"/>
      <c r="NP191" s="27" t="s">
        <v>7</v>
      </c>
      <c r="NQ191" s="27" t="s">
        <v>8</v>
      </c>
      <c r="NS191" s="27" t="s">
        <v>8</v>
      </c>
      <c r="NT191" s="27" t="s">
        <v>7</v>
      </c>
    </row>
    <row r="192" spans="1:384" x14ac:dyDescent="0.25">
      <c r="A192" s="7">
        <v>2494.9844656927694</v>
      </c>
      <c r="B192"/>
      <c r="C192"/>
      <c r="D192"/>
      <c r="E192"/>
      <c r="JM192" s="27" t="s">
        <v>8</v>
      </c>
      <c r="JN192" s="27" t="s">
        <v>7</v>
      </c>
      <c r="JO192" s="27" t="s">
        <v>8</v>
      </c>
      <c r="JP192" s="27" t="s">
        <v>7</v>
      </c>
      <c r="JS192" s="27" t="s">
        <v>8</v>
      </c>
      <c r="KB192" s="27" t="s">
        <v>7</v>
      </c>
      <c r="KC192" s="27" t="s">
        <v>8</v>
      </c>
      <c r="KD192" s="27" t="s">
        <v>7</v>
      </c>
      <c r="KG192" s="27" t="s">
        <v>8</v>
      </c>
      <c r="KH192" s="27" t="s">
        <v>7</v>
      </c>
      <c r="KI192" s="27" t="s">
        <v>8</v>
      </c>
      <c r="KN192" s="27" t="s">
        <v>7</v>
      </c>
      <c r="KO192" s="27" t="s">
        <v>8</v>
      </c>
      <c r="KP192" s="27" t="s">
        <v>7</v>
      </c>
      <c r="KQ192" s="27" t="s">
        <v>8</v>
      </c>
      <c r="KR192" s="27" t="s">
        <v>7</v>
      </c>
      <c r="LI192" s="27" t="s">
        <v>8</v>
      </c>
      <c r="LJ192" s="27" t="s">
        <v>7</v>
      </c>
      <c r="LK192" s="27" t="s">
        <v>8</v>
      </c>
      <c r="NP192" s="27" t="s">
        <v>7</v>
      </c>
      <c r="NQ192" s="27" t="s">
        <v>8</v>
      </c>
      <c r="NR192" s="27" t="s">
        <v>7</v>
      </c>
      <c r="NS192" s="27" t="s">
        <v>8</v>
      </c>
      <c r="NT192" s="27" t="s">
        <v>7</v>
      </c>
    </row>
    <row r="193" spans="1:384" x14ac:dyDescent="0.25">
      <c r="A193" s="7">
        <v>2446.0632016595778</v>
      </c>
      <c r="B193"/>
      <c r="C193"/>
      <c r="D193"/>
      <c r="E193"/>
      <c r="JM193" s="27" t="s">
        <v>8</v>
      </c>
      <c r="JN193" s="27" t="s">
        <v>7</v>
      </c>
      <c r="JO193" s="27" t="s">
        <v>8</v>
      </c>
      <c r="JP193" s="27" t="s">
        <v>7</v>
      </c>
      <c r="JS193" s="27" t="s">
        <v>8</v>
      </c>
      <c r="KB193" s="27" t="s">
        <v>7</v>
      </c>
      <c r="KC193" s="27" t="s">
        <v>8</v>
      </c>
      <c r="KD193" s="27" t="s">
        <v>7</v>
      </c>
      <c r="KE193" s="27" t="s">
        <v>8</v>
      </c>
      <c r="KG193" s="27" t="s">
        <v>8</v>
      </c>
      <c r="KH193" s="27" t="s">
        <v>7</v>
      </c>
      <c r="KI193" s="27" t="s">
        <v>8</v>
      </c>
      <c r="KN193" s="27" t="s">
        <v>7</v>
      </c>
      <c r="KO193" s="27" t="s">
        <v>8</v>
      </c>
      <c r="KP193" s="27" t="s">
        <v>7</v>
      </c>
      <c r="KQ193" s="27" t="s">
        <v>8</v>
      </c>
      <c r="KR193" s="27" t="s">
        <v>7</v>
      </c>
      <c r="LI193" s="27" t="s">
        <v>8</v>
      </c>
      <c r="LJ193" s="27" t="s">
        <v>7</v>
      </c>
      <c r="NP193" s="27" t="s">
        <v>7</v>
      </c>
      <c r="NQ193" s="27" t="s">
        <v>8</v>
      </c>
      <c r="NR193" s="27" t="s">
        <v>7</v>
      </c>
      <c r="NS193" s="27" t="s">
        <v>8</v>
      </c>
      <c r="NT193" s="27" t="s">
        <v>7</v>
      </c>
    </row>
    <row r="194" spans="1:384" x14ac:dyDescent="0.25">
      <c r="A194" s="7">
        <v>2398.1011780976251</v>
      </c>
      <c r="B194"/>
      <c r="C194"/>
      <c r="D194"/>
      <c r="E194"/>
      <c r="JM194" s="27" t="s">
        <v>8</v>
      </c>
      <c r="JN194" s="27" t="s">
        <v>7</v>
      </c>
      <c r="JO194" s="27" t="s">
        <v>8</v>
      </c>
      <c r="JP194" s="27" t="s">
        <v>7</v>
      </c>
      <c r="JS194" s="27" t="s">
        <v>8</v>
      </c>
      <c r="KB194" s="27" t="s">
        <v>7</v>
      </c>
      <c r="KC194" s="27" t="s">
        <v>8</v>
      </c>
      <c r="KD194" s="27" t="s">
        <v>7</v>
      </c>
      <c r="KE194" s="27" t="s">
        <v>8</v>
      </c>
      <c r="KF194" s="27" t="s">
        <v>7</v>
      </c>
      <c r="KG194" s="27" t="s">
        <v>8</v>
      </c>
      <c r="KH194" s="27" t="s">
        <v>7</v>
      </c>
      <c r="KI194" s="27" t="s">
        <v>8</v>
      </c>
      <c r="KN194" s="27" t="s">
        <v>7</v>
      </c>
      <c r="KO194" s="27" t="s">
        <v>8</v>
      </c>
      <c r="KP194" s="27" t="s">
        <v>7</v>
      </c>
      <c r="KQ194" s="27" t="s">
        <v>8</v>
      </c>
      <c r="KR194" s="27" t="s">
        <v>7</v>
      </c>
      <c r="KY194" s="27" t="s">
        <v>8</v>
      </c>
      <c r="LG194" s="27" t="s">
        <v>8</v>
      </c>
      <c r="LI194" s="27" t="s">
        <v>8</v>
      </c>
      <c r="LW194" s="31"/>
      <c r="NP194" s="27" t="s">
        <v>7</v>
      </c>
      <c r="NQ194" s="27" t="s">
        <v>8</v>
      </c>
      <c r="NR194" s="27" t="s">
        <v>7</v>
      </c>
      <c r="NS194" s="27" t="s">
        <v>8</v>
      </c>
    </row>
    <row r="195" spans="1:384" x14ac:dyDescent="0.25">
      <c r="A195" s="7">
        <v>2351.0795863702206</v>
      </c>
      <c r="B195"/>
      <c r="C195"/>
      <c r="D195"/>
      <c r="E195"/>
      <c r="JM195" s="27" t="s">
        <v>8</v>
      </c>
      <c r="JN195" s="27" t="s">
        <v>7</v>
      </c>
      <c r="JO195" s="27" t="s">
        <v>8</v>
      </c>
      <c r="JP195" s="27" t="s">
        <v>7</v>
      </c>
      <c r="JQ195" s="27" t="s">
        <v>8</v>
      </c>
      <c r="JS195" s="27" t="s">
        <v>8</v>
      </c>
      <c r="KB195" s="27" t="s">
        <v>7</v>
      </c>
      <c r="KC195" s="27" t="s">
        <v>8</v>
      </c>
      <c r="KD195" s="27" t="s">
        <v>7</v>
      </c>
      <c r="KE195" s="27" t="s">
        <v>8</v>
      </c>
      <c r="KF195" s="27" t="s">
        <v>7</v>
      </c>
      <c r="KG195" s="27" t="s">
        <v>8</v>
      </c>
      <c r="KH195" s="27" t="s">
        <v>7</v>
      </c>
      <c r="KI195" s="27" t="s">
        <v>8</v>
      </c>
      <c r="KN195" s="27" t="s">
        <v>7</v>
      </c>
      <c r="KO195" s="27" t="s">
        <v>8</v>
      </c>
      <c r="KP195" s="27" t="s">
        <v>7</v>
      </c>
      <c r="KQ195" s="27" t="s">
        <v>8</v>
      </c>
      <c r="KR195" s="27" t="s">
        <v>7</v>
      </c>
      <c r="KW195" s="27" t="s">
        <v>8</v>
      </c>
      <c r="KY195" s="27" t="s">
        <v>8</v>
      </c>
      <c r="KZ195" s="27" t="s">
        <v>7</v>
      </c>
      <c r="LG195" s="27" t="s">
        <v>8</v>
      </c>
      <c r="LH195" s="27" t="s">
        <v>7</v>
      </c>
      <c r="LI195" s="27" t="s">
        <v>8</v>
      </c>
      <c r="NP195" s="27" t="s">
        <v>7</v>
      </c>
      <c r="NQ195" s="27" t="s">
        <v>8</v>
      </c>
      <c r="NR195" s="27" t="s">
        <v>7</v>
      </c>
      <c r="NS195" s="27" t="s">
        <v>8</v>
      </c>
    </row>
    <row r="196" spans="1:384" x14ac:dyDescent="0.25">
      <c r="A196" s="7">
        <v>2304.979986637471</v>
      </c>
      <c r="B196"/>
      <c r="C196"/>
      <c r="D196"/>
      <c r="E196"/>
      <c r="JM196" s="27" t="s">
        <v>8</v>
      </c>
      <c r="JN196" s="27" t="s">
        <v>7</v>
      </c>
      <c r="JO196" s="27" t="s">
        <v>8</v>
      </c>
      <c r="JP196" s="27" t="s">
        <v>7</v>
      </c>
      <c r="JQ196" s="27" t="s">
        <v>8</v>
      </c>
      <c r="JR196" s="27" t="s">
        <v>7</v>
      </c>
      <c r="JS196" s="27" t="s">
        <v>8</v>
      </c>
      <c r="KB196" s="27" t="s">
        <v>7</v>
      </c>
      <c r="KC196" s="27" t="s">
        <v>8</v>
      </c>
      <c r="KD196" s="27" t="s">
        <v>7</v>
      </c>
      <c r="KE196" s="27" t="s">
        <v>8</v>
      </c>
      <c r="KF196" s="27" t="s">
        <v>7</v>
      </c>
      <c r="KG196" s="27" t="s">
        <v>8</v>
      </c>
      <c r="KH196" s="27" t="s">
        <v>7</v>
      </c>
      <c r="KI196" s="27" t="s">
        <v>8</v>
      </c>
      <c r="KN196" s="27" t="s">
        <v>7</v>
      </c>
      <c r="KP196" s="27" t="s">
        <v>7</v>
      </c>
      <c r="KQ196" s="27" t="s">
        <v>8</v>
      </c>
      <c r="KR196" s="27" t="s">
        <v>7</v>
      </c>
      <c r="KW196" s="27" t="s">
        <v>8</v>
      </c>
      <c r="KX196" s="27" t="s">
        <v>7</v>
      </c>
      <c r="KY196" s="27" t="s">
        <v>8</v>
      </c>
      <c r="KZ196" s="27" t="s">
        <v>7</v>
      </c>
      <c r="LG196" s="27" t="s">
        <v>8</v>
      </c>
      <c r="LH196" s="27" t="s">
        <v>7</v>
      </c>
      <c r="LI196" s="27" t="s">
        <v>8</v>
      </c>
      <c r="LU196" s="31"/>
      <c r="NP196" s="27" t="s">
        <v>7</v>
      </c>
      <c r="NR196" s="27" t="s">
        <v>7</v>
      </c>
      <c r="NS196" s="27" t="s">
        <v>8</v>
      </c>
    </row>
    <row r="197" spans="1:384" x14ac:dyDescent="0.25">
      <c r="A197" s="7">
        <v>2259.7843006249714</v>
      </c>
      <c r="B197"/>
      <c r="C197"/>
      <c r="D197"/>
      <c r="E197"/>
      <c r="JM197" s="27" t="s">
        <v>8</v>
      </c>
      <c r="JN197" s="27" t="s">
        <v>7</v>
      </c>
      <c r="JO197" s="27" t="s">
        <v>8</v>
      </c>
      <c r="JP197" s="27" t="s">
        <v>7</v>
      </c>
      <c r="JQ197" s="27" t="s">
        <v>8</v>
      </c>
      <c r="JR197" s="27" t="s">
        <v>7</v>
      </c>
      <c r="JS197" s="27" t="s">
        <v>8</v>
      </c>
      <c r="KB197" s="27" t="s">
        <v>7</v>
      </c>
      <c r="KC197" s="27" t="s">
        <v>8</v>
      </c>
      <c r="KD197" s="27" t="s">
        <v>7</v>
      </c>
      <c r="KE197" s="27" t="s">
        <v>8</v>
      </c>
      <c r="KF197" s="27" t="s">
        <v>7</v>
      </c>
      <c r="KG197" s="27" t="s">
        <v>8</v>
      </c>
      <c r="KH197" s="27" t="s">
        <v>7</v>
      </c>
      <c r="KI197" s="27" t="s">
        <v>8</v>
      </c>
      <c r="KP197" s="27" t="s">
        <v>7</v>
      </c>
      <c r="KR197" s="27" t="s">
        <v>7</v>
      </c>
      <c r="KU197" s="27" t="s">
        <v>8</v>
      </c>
      <c r="KW197" s="27" t="s">
        <v>8</v>
      </c>
      <c r="KX197" s="27" t="s">
        <v>7</v>
      </c>
      <c r="KY197" s="27" t="s">
        <v>8</v>
      </c>
      <c r="KZ197" s="27" t="s">
        <v>7</v>
      </c>
      <c r="LG197" s="27" t="s">
        <v>8</v>
      </c>
      <c r="LH197" s="27" t="s">
        <v>7</v>
      </c>
      <c r="LI197" s="27" t="s">
        <v>8</v>
      </c>
      <c r="LT197" s="31"/>
      <c r="NR197" s="27" t="s">
        <v>7</v>
      </c>
      <c r="NS197" s="27" t="s">
        <v>8</v>
      </c>
    </row>
    <row r="198" spans="1:384" x14ac:dyDescent="0.25">
      <c r="A198" s="7">
        <v>2215.4748045342858</v>
      </c>
      <c r="B198"/>
      <c r="C198"/>
      <c r="D198"/>
      <c r="E198"/>
      <c r="JM198" s="27" t="s">
        <v>8</v>
      </c>
      <c r="JN198" s="27" t="s">
        <v>7</v>
      </c>
      <c r="JO198" s="27" t="s">
        <v>8</v>
      </c>
      <c r="JP198" s="27" t="s">
        <v>7</v>
      </c>
      <c r="JQ198" s="27" t="s">
        <v>8</v>
      </c>
      <c r="JR198" s="27" t="s">
        <v>7</v>
      </c>
      <c r="JS198" s="27" t="s">
        <v>8</v>
      </c>
      <c r="KB198" s="27" t="s">
        <v>7</v>
      </c>
      <c r="KC198" s="27" t="s">
        <v>8</v>
      </c>
      <c r="KD198" s="27" t="s">
        <v>7</v>
      </c>
      <c r="KE198" s="27" t="s">
        <v>8</v>
      </c>
      <c r="KF198" s="27" t="s">
        <v>7</v>
      </c>
      <c r="KG198" s="27" t="s">
        <v>8</v>
      </c>
      <c r="KH198" s="27" t="s">
        <v>7</v>
      </c>
      <c r="KR198" s="27" t="s">
        <v>7</v>
      </c>
      <c r="KU198" s="27" t="s">
        <v>8</v>
      </c>
      <c r="KV198" s="27" t="s">
        <v>7</v>
      </c>
      <c r="KW198" s="27" t="s">
        <v>8</v>
      </c>
      <c r="KX198" s="27" t="s">
        <v>7</v>
      </c>
      <c r="KY198" s="27" t="s">
        <v>8</v>
      </c>
      <c r="KZ198" s="27" t="s">
        <v>7</v>
      </c>
      <c r="LG198" s="27" t="s">
        <v>8</v>
      </c>
      <c r="LH198" s="27" t="s">
        <v>7</v>
      </c>
      <c r="LI198" s="27" t="s">
        <v>8</v>
      </c>
      <c r="NR198" s="27" t="s">
        <v>7</v>
      </c>
      <c r="NS198" s="27" t="s">
        <v>8</v>
      </c>
    </row>
    <row r="199" spans="1:384" x14ac:dyDescent="0.25">
      <c r="A199" s="7">
        <v>2172.034122092437</v>
      </c>
      <c r="B199"/>
      <c r="C199"/>
      <c r="D199"/>
      <c r="E199"/>
      <c r="JM199" s="27" t="s">
        <v>8</v>
      </c>
      <c r="JN199" s="27" t="s">
        <v>7</v>
      </c>
      <c r="JO199" s="27" t="s">
        <v>8</v>
      </c>
      <c r="JP199" s="27" t="s">
        <v>7</v>
      </c>
      <c r="JQ199" s="27" t="s">
        <v>8</v>
      </c>
      <c r="JR199" s="27" t="s">
        <v>7</v>
      </c>
      <c r="KB199" s="27" t="s">
        <v>7</v>
      </c>
      <c r="KC199" s="27" t="s">
        <v>8</v>
      </c>
      <c r="KD199" s="27" t="s">
        <v>7</v>
      </c>
      <c r="KE199" s="27" t="s">
        <v>8</v>
      </c>
      <c r="KF199" s="27" t="s">
        <v>7</v>
      </c>
      <c r="KG199" s="27" t="s">
        <v>8</v>
      </c>
      <c r="KR199" s="27" t="s">
        <v>7</v>
      </c>
      <c r="KU199" s="27" t="s">
        <v>8</v>
      </c>
      <c r="KV199" s="27" t="s">
        <v>7</v>
      </c>
      <c r="KW199" s="27" t="s">
        <v>8</v>
      </c>
      <c r="KX199" s="27" t="s">
        <v>7</v>
      </c>
      <c r="KZ199" s="27" t="s">
        <v>7</v>
      </c>
      <c r="LA199" s="27" t="s">
        <v>8</v>
      </c>
      <c r="LG199" s="27" t="s">
        <v>8</v>
      </c>
      <c r="LH199" s="27" t="s">
        <v>7</v>
      </c>
      <c r="LR199" s="31"/>
      <c r="NR199" s="27" t="s">
        <v>7</v>
      </c>
    </row>
    <row r="200" spans="1:384" x14ac:dyDescent="0.25">
      <c r="A200" s="7">
        <v>2129.4452177376834</v>
      </c>
      <c r="B200"/>
      <c r="C200"/>
      <c r="D200"/>
      <c r="E200"/>
      <c r="JI200" s="27" t="s">
        <v>8</v>
      </c>
      <c r="JK200" s="27" t="s">
        <v>8</v>
      </c>
      <c r="JM200" s="27" t="s">
        <v>8</v>
      </c>
      <c r="JN200" s="27" t="s">
        <v>7</v>
      </c>
      <c r="JO200" s="27" t="s">
        <v>8</v>
      </c>
      <c r="JP200" s="27" t="s">
        <v>7</v>
      </c>
      <c r="KB200" s="27" t="s">
        <v>7</v>
      </c>
      <c r="KC200" s="27" t="s">
        <v>8</v>
      </c>
      <c r="KD200" s="27" t="s">
        <v>7</v>
      </c>
      <c r="KF200" s="27" t="s">
        <v>7</v>
      </c>
      <c r="KG200" s="27" t="s">
        <v>8</v>
      </c>
      <c r="KR200" s="27" t="s">
        <v>7</v>
      </c>
      <c r="KU200" s="27" t="s">
        <v>8</v>
      </c>
      <c r="KV200" s="27" t="s">
        <v>7</v>
      </c>
      <c r="KW200" s="27" t="s">
        <v>8</v>
      </c>
      <c r="KZ200" s="27" t="s">
        <v>7</v>
      </c>
      <c r="LA200" s="27" t="s">
        <v>8</v>
      </c>
      <c r="LB200" s="27" t="s">
        <v>7</v>
      </c>
      <c r="LG200" s="27" t="s">
        <v>8</v>
      </c>
    </row>
    <row r="201" spans="1:384" x14ac:dyDescent="0.25">
      <c r="A201" s="7">
        <v>2087.6913899389051</v>
      </c>
      <c r="B201"/>
      <c r="C201"/>
      <c r="D201"/>
      <c r="E201"/>
      <c r="JI201" s="27" t="s">
        <v>8</v>
      </c>
      <c r="JJ201" s="27" t="s">
        <v>7</v>
      </c>
      <c r="JK201" s="27" t="s">
        <v>8</v>
      </c>
      <c r="JL201" s="27" t="s">
        <v>7</v>
      </c>
      <c r="JM201" s="27" t="s">
        <v>8</v>
      </c>
      <c r="JN201" s="27" t="s">
        <v>7</v>
      </c>
      <c r="JO201" s="27" t="s">
        <v>8</v>
      </c>
      <c r="KB201" s="27" t="s">
        <v>7</v>
      </c>
      <c r="KC201" s="27" t="s">
        <v>8</v>
      </c>
      <c r="KF201" s="27" t="s">
        <v>7</v>
      </c>
      <c r="KG201" s="27" t="s">
        <v>8</v>
      </c>
      <c r="KR201" s="27" t="s">
        <v>7</v>
      </c>
      <c r="KU201" s="27" t="s">
        <v>8</v>
      </c>
      <c r="KV201" s="27" t="s">
        <v>7</v>
      </c>
      <c r="KW201" s="27" t="s">
        <v>8</v>
      </c>
      <c r="KZ201" s="27" t="s">
        <v>7</v>
      </c>
      <c r="LA201" s="27" t="s">
        <v>8</v>
      </c>
      <c r="LB201" s="27" t="s">
        <v>7</v>
      </c>
      <c r="LG201" s="27" t="s">
        <v>8</v>
      </c>
    </row>
    <row r="202" spans="1:384" x14ac:dyDescent="0.25">
      <c r="A202" s="7">
        <v>2046.7562646459853</v>
      </c>
      <c r="B202"/>
      <c r="C202"/>
      <c r="D202"/>
      <c r="E202"/>
      <c r="JI202" s="27" t="s">
        <v>8</v>
      </c>
      <c r="JJ202" s="27" t="s">
        <v>7</v>
      </c>
      <c r="JK202" s="27" t="s">
        <v>8</v>
      </c>
      <c r="JL202" s="27" t="s">
        <v>7</v>
      </c>
      <c r="JM202" s="27" t="s">
        <v>8</v>
      </c>
      <c r="JN202" s="27" t="s">
        <v>7</v>
      </c>
      <c r="JO202" s="27" t="s">
        <v>8</v>
      </c>
      <c r="KB202" s="27" t="s">
        <v>7</v>
      </c>
      <c r="KC202" s="27" t="s">
        <v>8</v>
      </c>
      <c r="KF202" s="27" t="s">
        <v>7</v>
      </c>
      <c r="KG202" s="27" t="s">
        <v>8</v>
      </c>
      <c r="KR202" s="27" t="s">
        <v>7</v>
      </c>
      <c r="KU202" s="27" t="s">
        <v>8</v>
      </c>
      <c r="KV202" s="27" t="s">
        <v>7</v>
      </c>
      <c r="KZ202" s="27" t="s">
        <v>7</v>
      </c>
      <c r="LB202" s="27" t="s">
        <v>7</v>
      </c>
      <c r="LG202" s="27" t="s">
        <v>8</v>
      </c>
    </row>
    <row r="203" spans="1:384" x14ac:dyDescent="0.25">
      <c r="A203" s="7">
        <v>2006.623788868613</v>
      </c>
      <c r="B203"/>
      <c r="C203"/>
      <c r="D203"/>
      <c r="E203"/>
      <c r="IU203" s="27" t="s">
        <v>8</v>
      </c>
      <c r="JI203" s="27" t="s">
        <v>8</v>
      </c>
      <c r="JJ203" s="27" t="s">
        <v>7</v>
      </c>
      <c r="JL203" s="27" t="s">
        <v>7</v>
      </c>
      <c r="JM203" s="27" t="s">
        <v>8</v>
      </c>
      <c r="JN203" s="27" t="s">
        <v>7</v>
      </c>
      <c r="JO203" s="27" t="s">
        <v>8</v>
      </c>
      <c r="KB203" s="27" t="s">
        <v>7</v>
      </c>
      <c r="KC203" s="27" t="s">
        <v>8</v>
      </c>
      <c r="KF203" s="27" t="s">
        <v>7</v>
      </c>
      <c r="KG203" s="27" t="s">
        <v>8</v>
      </c>
      <c r="KR203" s="27" t="s">
        <v>7</v>
      </c>
      <c r="KS203" s="27" t="s">
        <v>8</v>
      </c>
      <c r="KU203" s="27" t="s">
        <v>8</v>
      </c>
      <c r="LB203" s="27" t="s">
        <v>7</v>
      </c>
      <c r="LC203" s="27" t="s">
        <v>8</v>
      </c>
      <c r="LG203" s="27" t="s">
        <v>8</v>
      </c>
      <c r="LN203" s="31"/>
    </row>
    <row r="204" spans="1:384" x14ac:dyDescent="0.25">
      <c r="A204" s="7">
        <v>1967.2782243809932</v>
      </c>
      <c r="B204"/>
      <c r="C204"/>
      <c r="D204"/>
      <c r="E204"/>
      <c r="IU204" s="27" t="s">
        <v>8</v>
      </c>
      <c r="IV204" s="27" t="s">
        <v>7</v>
      </c>
      <c r="JI204" s="27" t="s">
        <v>8</v>
      </c>
      <c r="JL204" s="27" t="s">
        <v>7</v>
      </c>
      <c r="JN204" s="27" t="s">
        <v>7</v>
      </c>
      <c r="KB204" s="27" t="s">
        <v>7</v>
      </c>
      <c r="KC204" s="27" t="s">
        <v>8</v>
      </c>
      <c r="KF204" s="27" t="s">
        <v>7</v>
      </c>
      <c r="KG204" s="27" t="s">
        <v>8</v>
      </c>
      <c r="KR204" s="27" t="s">
        <v>7</v>
      </c>
      <c r="KS204" s="27" t="s">
        <v>8</v>
      </c>
      <c r="KT204" s="27" t="s">
        <v>7</v>
      </c>
      <c r="KU204" s="27" t="s">
        <v>8</v>
      </c>
      <c r="LB204" s="27" t="s">
        <v>7</v>
      </c>
      <c r="LC204" s="27" t="s">
        <v>8</v>
      </c>
      <c r="LD204" s="27" t="s">
        <v>7</v>
      </c>
      <c r="LE204" s="27" t="s">
        <v>8</v>
      </c>
      <c r="LG204" s="27" t="s">
        <v>8</v>
      </c>
    </row>
    <row r="205" spans="1:384" x14ac:dyDescent="0.25">
      <c r="A205" s="7">
        <v>1928.7041415499932</v>
      </c>
      <c r="B205"/>
      <c r="C205"/>
      <c r="D205"/>
      <c r="E205"/>
      <c r="IU205" s="27" t="s">
        <v>8</v>
      </c>
      <c r="IV205" s="27" t="s">
        <v>7</v>
      </c>
      <c r="JE205" s="27" t="s">
        <v>8</v>
      </c>
      <c r="JI205" s="27" t="s">
        <v>8</v>
      </c>
      <c r="KB205" s="27" t="s">
        <v>7</v>
      </c>
      <c r="KC205" s="27" t="s">
        <v>8</v>
      </c>
      <c r="KF205" s="27" t="s">
        <v>7</v>
      </c>
      <c r="KG205" s="27" t="s">
        <v>8</v>
      </c>
      <c r="KR205" s="27" t="s">
        <v>7</v>
      </c>
      <c r="KS205" s="27" t="s">
        <v>8</v>
      </c>
      <c r="KT205" s="27" t="s">
        <v>7</v>
      </c>
      <c r="KU205" s="27" t="s">
        <v>8</v>
      </c>
      <c r="LB205" s="27" t="s">
        <v>7</v>
      </c>
      <c r="LC205" s="27" t="s">
        <v>8</v>
      </c>
      <c r="LD205" s="27" t="s">
        <v>7</v>
      </c>
      <c r="LE205" s="27" t="s">
        <v>8</v>
      </c>
      <c r="LF205" s="27" t="s">
        <v>7</v>
      </c>
      <c r="LG205" s="27" t="s">
        <v>8</v>
      </c>
    </row>
    <row r="206" spans="1:384" x14ac:dyDescent="0.25">
      <c r="A206" s="7">
        <v>1890.8864132843071</v>
      </c>
      <c r="B206"/>
      <c r="C206"/>
      <c r="D206"/>
      <c r="E206"/>
      <c r="IU206" s="27" t="s">
        <v>8</v>
      </c>
      <c r="IV206" s="27" t="s">
        <v>7</v>
      </c>
      <c r="JE206" s="27" t="s">
        <v>8</v>
      </c>
      <c r="JF206" s="27" t="s">
        <v>7</v>
      </c>
      <c r="JI206" s="27" t="s">
        <v>8</v>
      </c>
      <c r="KB206" s="27" t="s">
        <v>7</v>
      </c>
      <c r="KF206" s="27" t="s">
        <v>7</v>
      </c>
      <c r="KG206" s="27" t="s">
        <v>8</v>
      </c>
      <c r="KR206" s="31" t="s">
        <v>7</v>
      </c>
      <c r="KS206" s="27" t="s">
        <v>8</v>
      </c>
      <c r="KT206" s="27" t="s">
        <v>7</v>
      </c>
      <c r="KU206" s="27" t="s">
        <v>8</v>
      </c>
      <c r="LB206" s="27" t="s">
        <v>7</v>
      </c>
      <c r="LD206" s="27" t="s">
        <v>7</v>
      </c>
      <c r="LE206" s="27" t="s">
        <v>8</v>
      </c>
      <c r="LF206" s="27" t="s">
        <v>7</v>
      </c>
      <c r="LG206" s="27" t="s">
        <v>8</v>
      </c>
      <c r="LK206" s="31"/>
    </row>
    <row r="207" spans="1:384" x14ac:dyDescent="0.25">
      <c r="A207" s="7">
        <v>1853.8102091022618</v>
      </c>
      <c r="B207"/>
      <c r="C207"/>
      <c r="D207"/>
      <c r="E207"/>
      <c r="IS207" s="27" t="s">
        <v>8</v>
      </c>
      <c r="IU207" s="27" t="s">
        <v>8</v>
      </c>
      <c r="IV207" s="27" t="s">
        <v>7</v>
      </c>
      <c r="JC207" s="27" t="s">
        <v>8</v>
      </c>
      <c r="JE207" s="27" t="s">
        <v>8</v>
      </c>
      <c r="JF207" s="27" t="s">
        <v>7</v>
      </c>
      <c r="JG207" s="27" t="s">
        <v>8</v>
      </c>
      <c r="JI207" s="27" t="s">
        <v>8</v>
      </c>
      <c r="KF207" s="27" t="s">
        <v>7</v>
      </c>
      <c r="KG207" s="27" t="s">
        <v>8</v>
      </c>
      <c r="KQ207" s="31"/>
      <c r="KR207" s="27" t="s">
        <v>7</v>
      </c>
      <c r="KS207" s="27" t="s">
        <v>8</v>
      </c>
      <c r="KT207" s="27" t="s">
        <v>7</v>
      </c>
      <c r="KU207" s="27" t="s">
        <v>8</v>
      </c>
      <c r="LD207" s="27" t="s">
        <v>7</v>
      </c>
      <c r="LF207" s="27" t="s">
        <v>7</v>
      </c>
      <c r="LG207" s="27" t="s">
        <v>8</v>
      </c>
    </row>
    <row r="208" spans="1:384" x14ac:dyDescent="0.25">
      <c r="A208" s="7">
        <v>1817.4609893159429</v>
      </c>
      <c r="B208"/>
      <c r="C208"/>
      <c r="D208"/>
      <c r="E208"/>
      <c r="IQ208" s="27" t="s">
        <v>8</v>
      </c>
      <c r="IS208" s="27" t="s">
        <v>8</v>
      </c>
      <c r="IT208" s="27" t="s">
        <v>7</v>
      </c>
      <c r="IU208" s="27" t="s">
        <v>8</v>
      </c>
      <c r="IV208" s="27" t="s">
        <v>7</v>
      </c>
      <c r="JC208" s="27" t="s">
        <v>8</v>
      </c>
      <c r="JD208" s="27" t="s">
        <v>7</v>
      </c>
      <c r="JE208" s="27" t="s">
        <v>8</v>
      </c>
      <c r="JF208" s="27" t="s">
        <v>7</v>
      </c>
      <c r="JG208" s="27" t="s">
        <v>8</v>
      </c>
      <c r="JH208" s="27" t="s">
        <v>7</v>
      </c>
      <c r="JI208" s="27" t="s">
        <v>8</v>
      </c>
      <c r="KF208" s="27" t="s">
        <v>7</v>
      </c>
      <c r="KG208" s="27" t="s">
        <v>8</v>
      </c>
      <c r="KP208" s="31"/>
      <c r="KR208" s="27" t="s">
        <v>7</v>
      </c>
      <c r="KS208" s="27" t="s">
        <v>8</v>
      </c>
      <c r="KT208" s="27" t="s">
        <v>7</v>
      </c>
      <c r="KU208" s="27" t="s">
        <v>8</v>
      </c>
      <c r="LF208" s="18" t="s">
        <v>7</v>
      </c>
      <c r="LG208" s="27" t="s">
        <v>8</v>
      </c>
      <c r="LI208" s="31"/>
    </row>
    <row r="209" spans="1:319" x14ac:dyDescent="0.25">
      <c r="A209" s="7">
        <v>1781.8244993293558</v>
      </c>
      <c r="B209"/>
      <c r="C209"/>
      <c r="D209"/>
      <c r="E209"/>
      <c r="IQ209" s="27" t="s">
        <v>8</v>
      </c>
      <c r="IR209" s="27" t="s">
        <v>7</v>
      </c>
      <c r="IS209" s="27" t="s">
        <v>8</v>
      </c>
      <c r="IT209" s="27" t="s">
        <v>7</v>
      </c>
      <c r="IU209" s="27" t="s">
        <v>8</v>
      </c>
      <c r="IV209" s="27" t="s">
        <v>7</v>
      </c>
      <c r="JC209" s="27" t="s">
        <v>8</v>
      </c>
      <c r="JD209" s="27" t="s">
        <v>7</v>
      </c>
      <c r="JE209" s="27" t="s">
        <v>8</v>
      </c>
      <c r="JF209" s="27" t="s">
        <v>7</v>
      </c>
      <c r="JG209" s="27" t="s">
        <v>8</v>
      </c>
      <c r="JH209" s="27" t="s">
        <v>7</v>
      </c>
      <c r="JI209" s="27" t="s">
        <v>8</v>
      </c>
      <c r="KF209" s="27" t="s">
        <v>7</v>
      </c>
      <c r="KG209" s="27" t="s">
        <v>8</v>
      </c>
      <c r="KR209" s="27" t="s">
        <v>7</v>
      </c>
      <c r="KS209" s="27" t="s">
        <v>8</v>
      </c>
      <c r="KT209" s="27" t="s">
        <v>7</v>
      </c>
      <c r="KU209" s="27" t="s">
        <v>8</v>
      </c>
      <c r="LF209" s="27" t="s">
        <v>7</v>
      </c>
      <c r="LG209" s="27" t="s">
        <v>8</v>
      </c>
    </row>
    <row r="210" spans="1:319" x14ac:dyDescent="0.25">
      <c r="A210" s="7">
        <v>1746.8867640483879</v>
      </c>
      <c r="B210"/>
      <c r="C210"/>
      <c r="D210"/>
      <c r="E210"/>
      <c r="IO210" s="27" t="s">
        <v>8</v>
      </c>
      <c r="IQ210" s="27" t="s">
        <v>8</v>
      </c>
      <c r="IR210" s="27" t="s">
        <v>7</v>
      </c>
      <c r="IS210" s="27" t="s">
        <v>8</v>
      </c>
      <c r="IT210" s="27" t="s">
        <v>7</v>
      </c>
      <c r="IU210" s="27" t="s">
        <v>8</v>
      </c>
      <c r="IV210" s="27" t="s">
        <v>7</v>
      </c>
      <c r="JC210" s="27" t="s">
        <v>8</v>
      </c>
      <c r="JD210" s="27" t="s">
        <v>7</v>
      </c>
      <c r="JF210" s="27" t="s">
        <v>7</v>
      </c>
      <c r="JG210" s="27" t="s">
        <v>8</v>
      </c>
      <c r="JH210" s="27" t="s">
        <v>7</v>
      </c>
      <c r="JI210" s="27" t="s">
        <v>8</v>
      </c>
      <c r="KF210" s="27" t="s">
        <v>7</v>
      </c>
      <c r="KN210" s="31"/>
      <c r="KR210" s="27" t="s">
        <v>7</v>
      </c>
      <c r="KS210" s="27" t="s">
        <v>8</v>
      </c>
      <c r="KT210" s="27" t="s">
        <v>7</v>
      </c>
      <c r="LF210" s="27" t="s">
        <v>7</v>
      </c>
      <c r="LG210" s="31" t="s">
        <v>8</v>
      </c>
    </row>
    <row r="211" spans="1:319" x14ac:dyDescent="0.25">
      <c r="A211" s="7">
        <v>1712.6340824003803</v>
      </c>
      <c r="B211"/>
      <c r="C211"/>
      <c r="D211"/>
      <c r="E211"/>
      <c r="IO211" s="27" t="s">
        <v>8</v>
      </c>
      <c r="IP211" s="27" t="s">
        <v>7</v>
      </c>
      <c r="IQ211" s="27" t="s">
        <v>8</v>
      </c>
      <c r="IR211" s="27" t="s">
        <v>7</v>
      </c>
      <c r="IT211" s="27" t="s">
        <v>7</v>
      </c>
      <c r="IU211" s="27" t="s">
        <v>8</v>
      </c>
      <c r="IV211" s="27" t="s">
        <v>7</v>
      </c>
      <c r="IW211" s="27" t="s">
        <v>8</v>
      </c>
      <c r="JC211" s="27" t="s">
        <v>8</v>
      </c>
      <c r="JF211" s="27" t="s">
        <v>7</v>
      </c>
      <c r="JH211" s="27" t="s">
        <v>7</v>
      </c>
      <c r="JI211" s="27" t="s">
        <v>8</v>
      </c>
      <c r="KR211" s="27" t="s">
        <v>7</v>
      </c>
      <c r="LF211" s="31" t="s">
        <v>7</v>
      </c>
    </row>
    <row r="212" spans="1:319" x14ac:dyDescent="0.25">
      <c r="A212" s="7">
        <v>1679.0530219611571</v>
      </c>
      <c r="B212"/>
      <c r="C212"/>
      <c r="D212"/>
      <c r="E212"/>
      <c r="IO212" s="27" t="s">
        <v>8</v>
      </c>
      <c r="IP212" s="27" t="s">
        <v>7</v>
      </c>
      <c r="IQ212" s="27" t="s">
        <v>8</v>
      </c>
      <c r="IT212" s="27" t="s">
        <v>7</v>
      </c>
      <c r="IV212" s="27" t="s">
        <v>7</v>
      </c>
      <c r="IW212" s="27" t="s">
        <v>8</v>
      </c>
      <c r="IX212" s="27" t="s">
        <v>7</v>
      </c>
      <c r="JC212" s="27" t="s">
        <v>8</v>
      </c>
      <c r="JH212" s="27" t="s">
        <v>7</v>
      </c>
      <c r="JI212" s="27" t="s">
        <v>8</v>
      </c>
    </row>
    <row r="213" spans="1:319" x14ac:dyDescent="0.25">
      <c r="A213" s="7">
        <v>1646.1304136874089</v>
      </c>
      <c r="B213"/>
      <c r="C213"/>
      <c r="D213"/>
      <c r="E213"/>
      <c r="IO213" s="27" t="s">
        <v>8</v>
      </c>
      <c r="IP213" s="27" t="s">
        <v>7</v>
      </c>
      <c r="IQ213" s="27" t="s">
        <v>8</v>
      </c>
      <c r="IV213" s="27" t="s">
        <v>7</v>
      </c>
      <c r="IW213" s="27" t="s">
        <v>8</v>
      </c>
      <c r="IX213" s="27" t="s">
        <v>7</v>
      </c>
      <c r="JA213" s="27" t="s">
        <v>8</v>
      </c>
      <c r="JC213" s="27" t="s">
        <v>8</v>
      </c>
      <c r="JH213" s="27" t="s">
        <v>7</v>
      </c>
      <c r="JI213" s="27" t="s">
        <v>8</v>
      </c>
    </row>
    <row r="214" spans="1:319" x14ac:dyDescent="0.25">
      <c r="A214" s="7">
        <v>1613.8533467523616</v>
      </c>
      <c r="B214"/>
      <c r="C214"/>
      <c r="D214"/>
      <c r="E214"/>
      <c r="IO214" s="27" t="s">
        <v>8</v>
      </c>
      <c r="IP214" s="27" t="s">
        <v>7</v>
      </c>
      <c r="IQ214" s="27" t="s">
        <v>8</v>
      </c>
      <c r="IV214" s="27" t="s">
        <v>7</v>
      </c>
      <c r="IW214" s="27" t="s">
        <v>8</v>
      </c>
      <c r="IX214" s="27" t="s">
        <v>7</v>
      </c>
      <c r="JA214" s="27" t="s">
        <v>8</v>
      </c>
      <c r="JB214" s="27" t="s">
        <v>7</v>
      </c>
      <c r="JC214" s="27" t="s">
        <v>8</v>
      </c>
      <c r="JH214" s="27" t="s">
        <v>7</v>
      </c>
      <c r="JI214" s="27" t="s">
        <v>8</v>
      </c>
      <c r="KJ214" s="31"/>
    </row>
    <row r="215" spans="1:319" x14ac:dyDescent="0.25">
      <c r="A215" s="7">
        <v>1582.2091634827075</v>
      </c>
      <c r="B215"/>
      <c r="C215"/>
      <c r="D215"/>
      <c r="E215"/>
      <c r="IO215" s="27" t="s">
        <v>8</v>
      </c>
      <c r="IP215" s="27" t="s">
        <v>7</v>
      </c>
      <c r="IQ215" s="27" t="s">
        <v>8</v>
      </c>
      <c r="IV215" s="27" t="s">
        <v>7</v>
      </c>
      <c r="IW215" s="27" t="s">
        <v>8</v>
      </c>
      <c r="IX215" s="27" t="s">
        <v>7</v>
      </c>
      <c r="JA215" s="27" t="s">
        <v>8</v>
      </c>
      <c r="JB215" s="27" t="s">
        <v>7</v>
      </c>
      <c r="JC215" s="27" t="s">
        <v>8</v>
      </c>
      <c r="JH215" s="27" t="s">
        <v>7</v>
      </c>
      <c r="JI215" s="27" t="s">
        <v>8</v>
      </c>
    </row>
    <row r="216" spans="1:319" x14ac:dyDescent="0.25">
      <c r="A216" s="7">
        <v>1551.1854543948111</v>
      </c>
      <c r="B216"/>
      <c r="C216"/>
      <c r="D216"/>
      <c r="E216"/>
      <c r="IO216" s="27" t="s">
        <v>8</v>
      </c>
      <c r="IP216" s="27" t="s">
        <v>7</v>
      </c>
      <c r="IQ216" s="27" t="s">
        <v>8</v>
      </c>
      <c r="IV216" s="27" t="s">
        <v>7</v>
      </c>
      <c r="IW216" s="27" t="s">
        <v>8</v>
      </c>
      <c r="IX216" s="27" t="s">
        <v>7</v>
      </c>
      <c r="JA216" s="27" t="s">
        <v>8</v>
      </c>
      <c r="JB216" s="27" t="s">
        <v>7</v>
      </c>
      <c r="JC216" s="27" t="s">
        <v>8</v>
      </c>
      <c r="JH216" s="27" t="s">
        <v>7</v>
      </c>
    </row>
    <row r="217" spans="1:319" x14ac:dyDescent="0.25">
      <c r="A217" s="7">
        <v>1520.7700533282461</v>
      </c>
      <c r="B217"/>
      <c r="C217"/>
      <c r="D217"/>
      <c r="E217"/>
      <c r="IO217" s="27" t="s">
        <v>8</v>
      </c>
      <c r="IP217" s="27" t="s">
        <v>7</v>
      </c>
      <c r="IQ217" s="27" t="s">
        <v>8</v>
      </c>
      <c r="IV217" s="27" t="s">
        <v>7</v>
      </c>
      <c r="IW217" s="27" t="s">
        <v>8</v>
      </c>
      <c r="IX217" s="27" t="s">
        <v>7</v>
      </c>
      <c r="IY217" s="27" t="s">
        <v>8</v>
      </c>
      <c r="JA217" s="27" t="s">
        <v>8</v>
      </c>
      <c r="JB217" s="27" t="s">
        <v>7</v>
      </c>
      <c r="JC217" s="27" t="s">
        <v>8</v>
      </c>
    </row>
    <row r="218" spans="1:319" x14ac:dyDescent="0.25">
      <c r="A218" s="7">
        <v>1490.9510326747511</v>
      </c>
      <c r="B218"/>
      <c r="C218"/>
      <c r="D218"/>
      <c r="E218"/>
      <c r="IO218" s="27" t="s">
        <v>8</v>
      </c>
      <c r="IP218" s="27" t="s">
        <v>7</v>
      </c>
      <c r="IV218" s="27" t="s">
        <v>7</v>
      </c>
      <c r="IW218" s="27" t="s">
        <v>8</v>
      </c>
      <c r="IX218" s="27" t="s">
        <v>7</v>
      </c>
      <c r="IY218" s="27" t="s">
        <v>8</v>
      </c>
      <c r="IZ218" s="27" t="s">
        <v>7</v>
      </c>
      <c r="JA218" s="27" t="s">
        <v>8</v>
      </c>
      <c r="JB218" s="27" t="s">
        <v>7</v>
      </c>
      <c r="JC218" s="27" t="s">
        <v>8</v>
      </c>
      <c r="KF218" s="31"/>
    </row>
    <row r="219" spans="1:319" x14ac:dyDescent="0.25">
      <c r="A219" s="7">
        <v>1461.7166987007363</v>
      </c>
      <c r="B219"/>
      <c r="C219"/>
      <c r="D219"/>
      <c r="E219"/>
      <c r="IK219" s="27" t="s">
        <v>8</v>
      </c>
      <c r="IO219" s="27" t="s">
        <v>8</v>
      </c>
      <c r="IV219" s="27" t="s">
        <v>7</v>
      </c>
      <c r="IW219" s="27" t="s">
        <v>8</v>
      </c>
      <c r="IX219" s="27" t="s">
        <v>7</v>
      </c>
      <c r="IY219" s="27" t="s">
        <v>8</v>
      </c>
      <c r="IZ219" s="27" t="s">
        <v>7</v>
      </c>
      <c r="JA219" s="27" t="s">
        <v>8</v>
      </c>
      <c r="JB219" s="27" t="s">
        <v>7</v>
      </c>
    </row>
    <row r="220" spans="1:319" x14ac:dyDescent="0.25">
      <c r="A220" s="7">
        <v>1433.0555869615062</v>
      </c>
      <c r="B220"/>
      <c r="C220"/>
      <c r="D220"/>
      <c r="E220"/>
      <c r="II220" s="27" t="s">
        <v>8</v>
      </c>
      <c r="IK220" s="27" t="s">
        <v>8</v>
      </c>
      <c r="IL220" s="27" t="s">
        <v>7</v>
      </c>
      <c r="IM220" s="27" t="s">
        <v>8</v>
      </c>
      <c r="IO220" s="27" t="s">
        <v>8</v>
      </c>
      <c r="IV220" s="27" t="s">
        <v>7</v>
      </c>
      <c r="IW220" s="27" t="s">
        <v>8</v>
      </c>
      <c r="IX220" s="27" t="s">
        <v>7</v>
      </c>
      <c r="IY220" s="27" t="s">
        <v>8</v>
      </c>
      <c r="IZ220" s="27" t="s">
        <v>7</v>
      </c>
      <c r="JA220" s="27" t="s">
        <v>8</v>
      </c>
    </row>
    <row r="221" spans="1:319" x14ac:dyDescent="0.25">
      <c r="A221" s="7">
        <v>1404.9564578053983</v>
      </c>
      <c r="B221"/>
      <c r="C221"/>
      <c r="D221"/>
      <c r="E221"/>
      <c r="II221" s="27" t="s">
        <v>8</v>
      </c>
      <c r="IJ221" s="27" t="s">
        <v>7</v>
      </c>
      <c r="IK221" s="27" t="s">
        <v>8</v>
      </c>
      <c r="IL221" s="27" t="s">
        <v>7</v>
      </c>
      <c r="IM221" s="27" t="s">
        <v>8</v>
      </c>
      <c r="IN221" s="27" t="s">
        <v>7</v>
      </c>
      <c r="IO221" s="27" t="s">
        <v>8</v>
      </c>
      <c r="IV221" s="27" t="s">
        <v>7</v>
      </c>
      <c r="IW221" s="27" t="s">
        <v>8</v>
      </c>
      <c r="IX221" s="27" t="s">
        <v>7</v>
      </c>
      <c r="IZ221" s="27" t="s">
        <v>7</v>
      </c>
      <c r="JA221" s="27" t="s">
        <v>8</v>
      </c>
    </row>
    <row r="222" spans="1:319" x14ac:dyDescent="0.25">
      <c r="A222" s="7">
        <v>1377.4082919660766</v>
      </c>
      <c r="B222"/>
      <c r="C222"/>
      <c r="D222"/>
      <c r="E222"/>
      <c r="II222" s="27" t="s">
        <v>8</v>
      </c>
      <c r="IJ222" s="27" t="s">
        <v>7</v>
      </c>
      <c r="IK222" s="27" t="s">
        <v>8</v>
      </c>
      <c r="IL222" s="27" t="s">
        <v>7</v>
      </c>
      <c r="IM222" s="27" t="s">
        <v>8</v>
      </c>
      <c r="IN222" s="27" t="s">
        <v>7</v>
      </c>
      <c r="IO222" s="27" t="s">
        <v>8</v>
      </c>
      <c r="IV222" s="27" t="s">
        <v>7</v>
      </c>
      <c r="IZ222" s="27" t="s">
        <v>7</v>
      </c>
      <c r="JA222" s="27" t="s">
        <v>8</v>
      </c>
      <c r="KB222" s="31"/>
    </row>
    <row r="223" spans="1:319" x14ac:dyDescent="0.25">
      <c r="A223" s="7">
        <v>1350.4002862412515</v>
      </c>
      <c r="B223"/>
      <c r="C223"/>
      <c r="D223"/>
      <c r="E223"/>
      <c r="II223" s="27" t="s">
        <v>8</v>
      </c>
      <c r="IJ223" s="27" t="s">
        <v>7</v>
      </c>
      <c r="IK223" s="27" t="s">
        <v>8</v>
      </c>
      <c r="IL223" s="27" t="s">
        <v>7</v>
      </c>
      <c r="IM223" s="27" t="s">
        <v>8</v>
      </c>
      <c r="IN223" s="27" t="s">
        <v>7</v>
      </c>
      <c r="IO223" s="27" t="s">
        <v>8</v>
      </c>
      <c r="IZ223" s="27" t="s">
        <v>7</v>
      </c>
      <c r="JA223" s="27" t="s">
        <v>8</v>
      </c>
    </row>
    <row r="224" spans="1:319" x14ac:dyDescent="0.25">
      <c r="A224" s="7">
        <v>1323.9218492561288</v>
      </c>
      <c r="B224"/>
      <c r="C224"/>
      <c r="D224"/>
      <c r="E224"/>
      <c r="IC224" s="27" t="s">
        <v>8</v>
      </c>
      <c r="II224" s="27" t="s">
        <v>8</v>
      </c>
      <c r="IJ224" s="27" t="s">
        <v>7</v>
      </c>
      <c r="IK224" s="27" t="s">
        <v>8</v>
      </c>
      <c r="IL224" s="27" t="s">
        <v>7</v>
      </c>
      <c r="IM224" s="27" t="s">
        <v>8</v>
      </c>
      <c r="IN224" s="27" t="s">
        <v>7</v>
      </c>
      <c r="IO224" s="27" t="s">
        <v>8</v>
      </c>
      <c r="IZ224" s="27" t="s">
        <v>7</v>
      </c>
      <c r="JA224" s="27" t="s">
        <v>8</v>
      </c>
    </row>
    <row r="225" spans="1:284" x14ac:dyDescent="0.25">
      <c r="A225" s="7">
        <v>1297.9625973099301</v>
      </c>
      <c r="B225"/>
      <c r="C225"/>
      <c r="D225"/>
      <c r="E225"/>
      <c r="IC225" s="27" t="s">
        <v>8</v>
      </c>
      <c r="ID225" s="27" t="s">
        <v>7</v>
      </c>
      <c r="IG225" s="27" t="s">
        <v>8</v>
      </c>
      <c r="II225" s="27" t="s">
        <v>8</v>
      </c>
      <c r="IJ225" s="27" t="s">
        <v>7</v>
      </c>
      <c r="IK225" s="27" t="s">
        <v>8</v>
      </c>
      <c r="IL225" s="27" t="s">
        <v>7</v>
      </c>
      <c r="IM225" s="27" t="s">
        <v>8</v>
      </c>
      <c r="IN225" s="27" t="s">
        <v>7</v>
      </c>
      <c r="IO225" s="27" t="s">
        <v>8</v>
      </c>
      <c r="IZ225" s="27" t="s">
        <v>7</v>
      </c>
    </row>
    <row r="226" spans="1:284" x14ac:dyDescent="0.25">
      <c r="A226" s="7">
        <v>1272.5123503038531</v>
      </c>
      <c r="B226"/>
      <c r="C226"/>
      <c r="D226"/>
      <c r="E226"/>
      <c r="IA226" s="27" t="s">
        <v>8</v>
      </c>
      <c r="IC226" s="27" t="s">
        <v>8</v>
      </c>
      <c r="ID226" s="27" t="s">
        <v>7</v>
      </c>
      <c r="IG226" s="27" t="s">
        <v>8</v>
      </c>
      <c r="IH226" s="27" t="s">
        <v>7</v>
      </c>
      <c r="II226" s="27" t="s">
        <v>8</v>
      </c>
      <c r="IJ226" s="27" t="s">
        <v>7</v>
      </c>
      <c r="IK226" s="27" t="s">
        <v>8</v>
      </c>
      <c r="IL226" s="27" t="s">
        <v>7</v>
      </c>
      <c r="IM226" s="27" t="s">
        <v>8</v>
      </c>
      <c r="IN226" s="27" t="s">
        <v>7</v>
      </c>
      <c r="JX226" s="31"/>
    </row>
    <row r="227" spans="1:284" x14ac:dyDescent="0.25">
      <c r="A227" s="7">
        <v>1247.5611277488756</v>
      </c>
      <c r="B227"/>
      <c r="C227"/>
      <c r="D227"/>
      <c r="E227"/>
      <c r="IA227" s="27" t="s">
        <v>8</v>
      </c>
      <c r="IB227" s="27" t="s">
        <v>7</v>
      </c>
      <c r="IC227" s="27" t="s">
        <v>8</v>
      </c>
      <c r="ID227" s="27" t="s">
        <v>7</v>
      </c>
      <c r="IG227" s="27" t="s">
        <v>8</v>
      </c>
      <c r="IH227" s="27" t="s">
        <v>7</v>
      </c>
      <c r="II227" s="27" t="s">
        <v>8</v>
      </c>
      <c r="IJ227" s="27" t="s">
        <v>7</v>
      </c>
      <c r="IK227" s="27" t="s">
        <v>8</v>
      </c>
      <c r="IL227" s="27" t="s">
        <v>7</v>
      </c>
      <c r="IM227" s="27" t="s">
        <v>8</v>
      </c>
    </row>
    <row r="228" spans="1:284" x14ac:dyDescent="0.25">
      <c r="A228" s="7">
        <v>1223.0991448518389</v>
      </c>
      <c r="B228"/>
      <c r="C228"/>
      <c r="D228"/>
      <c r="E228"/>
      <c r="IA228" s="27" t="s">
        <v>8</v>
      </c>
      <c r="IB228" s="27" t="s">
        <v>7</v>
      </c>
      <c r="IC228" s="27" t="s">
        <v>8</v>
      </c>
      <c r="ID228" s="27" t="s">
        <v>7</v>
      </c>
      <c r="IG228" s="27" t="s">
        <v>8</v>
      </c>
      <c r="IH228" s="27" t="s">
        <v>7</v>
      </c>
      <c r="II228" s="27" t="s">
        <v>8</v>
      </c>
      <c r="IJ228" s="27" t="s">
        <v>7</v>
      </c>
      <c r="IK228" s="27" t="s">
        <v>8</v>
      </c>
      <c r="IL228" s="27" t="s">
        <v>7</v>
      </c>
    </row>
    <row r="229" spans="1:284" x14ac:dyDescent="0.25">
      <c r="A229" s="7">
        <v>1199.1168086782734</v>
      </c>
      <c r="B229"/>
      <c r="C229"/>
      <c r="D229"/>
      <c r="E229"/>
      <c r="IA229" s="27" t="s">
        <v>8</v>
      </c>
      <c r="IB229" s="27" t="s">
        <v>7</v>
      </c>
      <c r="IC229" s="27" t="s">
        <v>8</v>
      </c>
      <c r="ID229" s="27" t="s">
        <v>7</v>
      </c>
      <c r="IG229" s="27" t="s">
        <v>8</v>
      </c>
      <c r="IH229" s="27" t="s">
        <v>7</v>
      </c>
      <c r="II229" s="27" t="s">
        <v>8</v>
      </c>
      <c r="IJ229" s="27" t="s">
        <v>7</v>
      </c>
      <c r="IK229" s="27" t="s">
        <v>8</v>
      </c>
      <c r="JU229" s="31"/>
    </row>
    <row r="230" spans="1:284" x14ac:dyDescent="0.25">
      <c r="A230" s="7">
        <v>1175.6047143904641</v>
      </c>
      <c r="B230"/>
      <c r="C230"/>
      <c r="D230"/>
      <c r="E230"/>
      <c r="IA230" s="27" t="s">
        <v>8</v>
      </c>
      <c r="IB230" s="27" t="s">
        <v>7</v>
      </c>
      <c r="IC230" s="27" t="s">
        <v>8</v>
      </c>
      <c r="ID230" s="27" t="s">
        <v>7</v>
      </c>
      <c r="IG230" s="27" t="s">
        <v>8</v>
      </c>
      <c r="IH230" s="27" t="s">
        <v>7</v>
      </c>
      <c r="IJ230" s="27" t="s">
        <v>7</v>
      </c>
      <c r="IK230" s="27" t="s">
        <v>8</v>
      </c>
    </row>
    <row r="231" spans="1:284" x14ac:dyDescent="0.25">
      <c r="A231" s="7">
        <v>1152.5536415592785</v>
      </c>
      <c r="B231"/>
      <c r="C231"/>
      <c r="D231"/>
      <c r="E231"/>
      <c r="HY231" s="27" t="s">
        <v>8</v>
      </c>
      <c r="IA231" s="27" t="s">
        <v>8</v>
      </c>
      <c r="IB231" s="27" t="s">
        <v>7</v>
      </c>
      <c r="IC231" s="27" t="s">
        <v>8</v>
      </c>
      <c r="ID231" s="27" t="s">
        <v>7</v>
      </c>
      <c r="IG231" s="27" t="s">
        <v>8</v>
      </c>
      <c r="IJ231" s="27" t="s">
        <v>7</v>
      </c>
      <c r="IK231" s="27" t="s">
        <v>8</v>
      </c>
    </row>
    <row r="232" spans="1:284" x14ac:dyDescent="0.25">
      <c r="A232" s="7">
        <v>1129.9545505483122</v>
      </c>
      <c r="B232"/>
      <c r="C232"/>
      <c r="D232"/>
      <c r="E232"/>
      <c r="HY232" s="27" t="s">
        <v>8</v>
      </c>
      <c r="HZ232" s="27" t="s">
        <v>7</v>
      </c>
      <c r="IA232" s="27" t="s">
        <v>8</v>
      </c>
      <c r="IB232" s="27" t="s">
        <v>7</v>
      </c>
      <c r="IC232" s="27" t="s">
        <v>8</v>
      </c>
      <c r="ID232" s="27" t="s">
        <v>7</v>
      </c>
      <c r="IE232" s="27" t="s">
        <v>8</v>
      </c>
      <c r="IG232" s="27" t="s">
        <v>8</v>
      </c>
      <c r="IJ232" s="27" t="s">
        <v>7</v>
      </c>
      <c r="IK232" s="27" t="s">
        <v>8</v>
      </c>
    </row>
    <row r="233" spans="1:284" x14ac:dyDescent="0.25">
      <c r="A233" s="7">
        <v>1107.7985789689335</v>
      </c>
      <c r="B233"/>
      <c r="C233"/>
      <c r="D233"/>
      <c r="E233"/>
      <c r="HY233" s="27" t="s">
        <v>8</v>
      </c>
      <c r="HZ233" s="27" t="s">
        <v>7</v>
      </c>
      <c r="IA233" s="27" t="s">
        <v>8</v>
      </c>
      <c r="IB233" s="27" t="s">
        <v>7</v>
      </c>
      <c r="IC233" s="27" t="s">
        <v>8</v>
      </c>
      <c r="ID233" s="27" t="s">
        <v>7</v>
      </c>
      <c r="IE233" s="27" t="s">
        <v>8</v>
      </c>
      <c r="IF233" s="27" t="s">
        <v>7</v>
      </c>
      <c r="IG233" s="27" t="s">
        <v>8</v>
      </c>
      <c r="IJ233" s="27" t="s">
        <v>7</v>
      </c>
      <c r="IK233" s="27" t="s">
        <v>8</v>
      </c>
      <c r="JQ233" s="31"/>
    </row>
    <row r="234" spans="1:284" x14ac:dyDescent="0.25">
      <c r="A234" s="7">
        <v>1086.0770382048368</v>
      </c>
      <c r="B234"/>
      <c r="C234"/>
      <c r="D234"/>
      <c r="E234"/>
      <c r="HY234" s="27" t="s">
        <v>8</v>
      </c>
      <c r="HZ234" s="27" t="s">
        <v>7</v>
      </c>
      <c r="IA234" s="27" t="s">
        <v>8</v>
      </c>
      <c r="IB234" s="27" t="s">
        <v>7</v>
      </c>
      <c r="ID234" s="27" t="s">
        <v>7</v>
      </c>
      <c r="IE234" s="27" t="s">
        <v>8</v>
      </c>
      <c r="IF234" s="27" t="s">
        <v>7</v>
      </c>
      <c r="IG234" s="27" t="s">
        <v>8</v>
      </c>
      <c r="IJ234" s="27" t="s">
        <v>7</v>
      </c>
      <c r="IK234" s="27" t="s">
        <v>8</v>
      </c>
    </row>
    <row r="235" spans="1:284" x14ac:dyDescent="0.25">
      <c r="A235" s="7">
        <v>1064.7814100047419</v>
      </c>
      <c r="B235"/>
      <c r="C235"/>
      <c r="D235"/>
      <c r="E235"/>
      <c r="HY235" s="27" t="s">
        <v>8</v>
      </c>
      <c r="HZ235" s="27" t="s">
        <v>7</v>
      </c>
      <c r="IA235" s="27" t="s">
        <v>8</v>
      </c>
      <c r="ID235" s="27" t="s">
        <v>7</v>
      </c>
      <c r="IE235" s="27" t="s">
        <v>8</v>
      </c>
      <c r="IF235" s="27" t="s">
        <v>7</v>
      </c>
      <c r="IG235" s="27" t="s">
        <v>8</v>
      </c>
      <c r="IJ235" s="27" t="s">
        <v>7</v>
      </c>
      <c r="IK235" s="27" t="s">
        <v>8</v>
      </c>
    </row>
    <row r="236" spans="1:284" x14ac:dyDescent="0.25">
      <c r="A236" s="7">
        <v>1043.9033431419039</v>
      </c>
      <c r="B236"/>
      <c r="C236"/>
      <c r="D236"/>
      <c r="E236"/>
      <c r="HY236" s="27" t="s">
        <v>8</v>
      </c>
      <c r="HZ236" s="27" t="s">
        <v>7</v>
      </c>
      <c r="IA236" s="27" t="s">
        <v>8</v>
      </c>
      <c r="ID236" s="27" t="s">
        <v>7</v>
      </c>
      <c r="IE236" s="27" t="s">
        <v>8</v>
      </c>
      <c r="IF236" s="27" t="s">
        <v>7</v>
      </c>
      <c r="IG236" s="27" t="s">
        <v>8</v>
      </c>
      <c r="IJ236" s="27" t="s">
        <v>7</v>
      </c>
      <c r="JN236" s="31"/>
    </row>
    <row r="237" spans="1:284" x14ac:dyDescent="0.25">
      <c r="A237" s="7">
        <v>1023.4346501391215</v>
      </c>
      <c r="B237"/>
      <c r="C237"/>
      <c r="D237"/>
      <c r="E237"/>
      <c r="HY237" s="27" t="s">
        <v>8</v>
      </c>
      <c r="HZ237" s="27" t="s">
        <v>7</v>
      </c>
      <c r="IA237" s="27" t="s">
        <v>8</v>
      </c>
      <c r="ID237" s="27" t="s">
        <v>7</v>
      </c>
      <c r="IE237" s="27" t="s">
        <v>8</v>
      </c>
      <c r="IF237" s="27" t="s">
        <v>7</v>
      </c>
      <c r="IG237" s="27" t="s">
        <v>8</v>
      </c>
    </row>
    <row r="238" spans="1:284" x14ac:dyDescent="0.25">
      <c r="A238" s="7">
        <v>1003.3673040579622</v>
      </c>
      <c r="B238"/>
      <c r="C238"/>
      <c r="D238"/>
      <c r="E238"/>
      <c r="HY238" s="27" t="s">
        <v>8</v>
      </c>
      <c r="HZ238" s="27" t="s">
        <v>7</v>
      </c>
      <c r="IA238" s="27" t="s">
        <v>8</v>
      </c>
      <c r="ID238" s="27" t="s">
        <v>7</v>
      </c>
      <c r="IE238" s="27" t="s">
        <v>8</v>
      </c>
      <c r="IF238" s="27" t="s">
        <v>7</v>
      </c>
      <c r="JL238" s="31"/>
    </row>
    <row r="239" spans="1:284" x14ac:dyDescent="0.25">
      <c r="A239" s="7">
        <v>983.69343535094333</v>
      </c>
      <c r="B239"/>
      <c r="C239"/>
      <c r="D239"/>
      <c r="E239"/>
      <c r="HY239" s="27" t="s">
        <v>8</v>
      </c>
      <c r="HZ239" s="27" t="s">
        <v>7</v>
      </c>
      <c r="ID239" s="27" t="s">
        <v>7</v>
      </c>
      <c r="IE239" s="27" t="s">
        <v>8</v>
      </c>
      <c r="JK239" s="31"/>
    </row>
    <row r="240" spans="1:284" x14ac:dyDescent="0.25">
      <c r="A240" s="7">
        <v>964.40532877543467</v>
      </c>
      <c r="B240"/>
      <c r="C240"/>
      <c r="D240"/>
      <c r="E240"/>
      <c r="HY240" s="27" t="s">
        <v>8</v>
      </c>
      <c r="ID240" s="27" t="s">
        <v>7</v>
      </c>
      <c r="IE240" s="27" t="s">
        <v>8</v>
      </c>
    </row>
    <row r="241" spans="1:269" x14ac:dyDescent="0.25">
      <c r="A241" s="7">
        <v>945.49542036807316</v>
      </c>
      <c r="B241"/>
      <c r="C241"/>
      <c r="D241"/>
      <c r="E241"/>
      <c r="HY241" s="27" t="s">
        <v>8</v>
      </c>
      <c r="ID241" s="27" t="s">
        <v>7</v>
      </c>
      <c r="IE241" s="27" t="s">
        <v>8</v>
      </c>
      <c r="JI241" s="31"/>
    </row>
    <row r="242" spans="1:269" x14ac:dyDescent="0.25">
      <c r="A242" s="7">
        <v>926.95629447850308</v>
      </c>
      <c r="B242"/>
      <c r="C242"/>
      <c r="D242"/>
      <c r="E242"/>
      <c r="HY242" s="27" t="s">
        <v>8</v>
      </c>
      <c r="ID242" s="27" t="s">
        <v>7</v>
      </c>
    </row>
    <row r="243" spans="1:269" x14ac:dyDescent="0.25">
      <c r="A243" s="7">
        <v>908.78068086127746</v>
      </c>
      <c r="B243"/>
      <c r="C243"/>
      <c r="D243"/>
      <c r="E243"/>
      <c r="HY243" s="27" t="s">
        <v>8</v>
      </c>
    </row>
    <row r="244" spans="1:269" x14ac:dyDescent="0.25">
      <c r="A244" s="7">
        <v>890.96145182478176</v>
      </c>
      <c r="B244"/>
      <c r="C244"/>
      <c r="D244"/>
      <c r="E244"/>
      <c r="HY244" s="27" t="s">
        <v>8</v>
      </c>
      <c r="JF244" s="31"/>
    </row>
    <row r="245" spans="1:269" x14ac:dyDescent="0.25">
      <c r="A245" s="7">
        <v>873.49161943606055</v>
      </c>
      <c r="B245"/>
      <c r="C245"/>
      <c r="D245"/>
      <c r="E245"/>
      <c r="HY245" s="27" t="s">
        <v>8</v>
      </c>
    </row>
    <row r="246" spans="1:269" x14ac:dyDescent="0.25">
      <c r="A246" s="7">
        <v>856.36433278045149</v>
      </c>
      <c r="B246"/>
      <c r="C246"/>
      <c r="D246"/>
      <c r="E246"/>
      <c r="HY246" s="27" t="s">
        <v>8</v>
      </c>
      <c r="JD246" s="31"/>
    </row>
    <row r="247" spans="1:269" x14ac:dyDescent="0.25">
      <c r="A247" s="7">
        <v>839.57287527495248</v>
      </c>
      <c r="B247"/>
      <c r="C247"/>
      <c r="D247"/>
      <c r="E247"/>
      <c r="HY247" s="27" t="s">
        <v>8</v>
      </c>
      <c r="JC247" s="31"/>
    </row>
    <row r="248" spans="1:269" x14ac:dyDescent="0.25">
      <c r="A248" s="7">
        <v>823.11066203426708</v>
      </c>
      <c r="B248"/>
      <c r="C248"/>
      <c r="D248"/>
      <c r="E248"/>
      <c r="HY248" s="27" t="s">
        <v>8</v>
      </c>
    </row>
    <row r="249" spans="1:269" x14ac:dyDescent="0.25">
      <c r="A249" s="7">
        <v>806.97123728849715</v>
      </c>
      <c r="B249"/>
      <c r="C249"/>
      <c r="D249"/>
      <c r="E249"/>
      <c r="HY249" s="27" t="s">
        <v>8</v>
      </c>
      <c r="JA249" s="31"/>
    </row>
    <row r="250" spans="1:269" x14ac:dyDescent="0.25">
      <c r="A250" s="7">
        <v>791.14827185146783</v>
      </c>
      <c r="B250"/>
      <c r="C250"/>
      <c r="D250"/>
      <c r="E250"/>
      <c r="HY250" s="27" t="s">
        <v>8</v>
      </c>
    </row>
    <row r="251" spans="1:269" x14ac:dyDescent="0.25">
      <c r="A251" s="7">
        <v>775.63556063869396</v>
      </c>
      <c r="B251"/>
      <c r="C251"/>
      <c r="D251"/>
      <c r="E251"/>
      <c r="HY251" s="27" t="s">
        <v>8</v>
      </c>
    </row>
    <row r="252" spans="1:269" x14ac:dyDescent="0.25">
      <c r="A252" s="7">
        <v>760.42702023401364</v>
      </c>
      <c r="B252"/>
      <c r="C252"/>
      <c r="D252"/>
      <c r="E252"/>
      <c r="HY252" s="27" t="s">
        <v>8</v>
      </c>
    </row>
    <row r="253" spans="1:269" x14ac:dyDescent="0.25">
      <c r="A253" s="7">
        <v>745.51668650393492</v>
      </c>
      <c r="B253"/>
      <c r="C253"/>
      <c r="D253"/>
      <c r="E253"/>
      <c r="HW253" s="27" t="s">
        <v>8</v>
      </c>
      <c r="HY253" s="27" t="s">
        <v>8</v>
      </c>
      <c r="IW253" s="31"/>
    </row>
    <row r="254" spans="1:269" x14ac:dyDescent="0.25">
      <c r="A254" s="7">
        <v>730.8987122587597</v>
      </c>
      <c r="B254"/>
      <c r="C254"/>
      <c r="D254"/>
      <c r="E254"/>
      <c r="HW254" s="27" t="s">
        <v>8</v>
      </c>
      <c r="HX254" s="27" t="s">
        <v>7</v>
      </c>
      <c r="HY254" s="27" t="s">
        <v>8</v>
      </c>
    </row>
    <row r="255" spans="1:269" x14ac:dyDescent="0.25">
      <c r="A255" s="7">
        <v>716.56736495956829</v>
      </c>
      <c r="B255"/>
      <c r="C255"/>
      <c r="D255"/>
      <c r="E255"/>
      <c r="HW255" s="27" t="s">
        <v>8</v>
      </c>
      <c r="HX255" s="27" t="s">
        <v>7</v>
      </c>
      <c r="HY255" s="27" t="s">
        <v>8</v>
      </c>
    </row>
    <row r="256" spans="1:269" x14ac:dyDescent="0.25">
      <c r="A256" s="7">
        <v>702.51702447016498</v>
      </c>
      <c r="B256"/>
      <c r="C256"/>
      <c r="D256"/>
      <c r="E256"/>
      <c r="HW256" s="27" t="s">
        <v>8</v>
      </c>
      <c r="HX256" s="27" t="s">
        <v>7</v>
      </c>
    </row>
    <row r="257" spans="1:253" x14ac:dyDescent="0.25">
      <c r="A257" s="7">
        <v>688.74218085310292</v>
      </c>
      <c r="B257"/>
      <c r="C257"/>
      <c r="D257"/>
      <c r="E257"/>
      <c r="HW257" s="27" t="s">
        <v>8</v>
      </c>
      <c r="IS257" s="31"/>
    </row>
    <row r="258" spans="1:253" x14ac:dyDescent="0.25">
      <c r="A258" s="7">
        <v>675.23743220892447</v>
      </c>
      <c r="B258"/>
      <c r="C258"/>
      <c r="D258"/>
      <c r="E258"/>
      <c r="HS258" s="27" t="s">
        <v>8</v>
      </c>
      <c r="HW258" s="27" t="s">
        <v>8</v>
      </c>
    </row>
    <row r="259" spans="1:253" x14ac:dyDescent="0.25">
      <c r="A259" s="7">
        <v>661.9974825577691</v>
      </c>
      <c r="B259"/>
      <c r="C259"/>
      <c r="D259"/>
      <c r="E259"/>
      <c r="HS259" s="27" t="s">
        <v>8</v>
      </c>
      <c r="HT259" s="27" t="s">
        <v>7</v>
      </c>
      <c r="HW259" s="27" t="s">
        <v>8</v>
      </c>
    </row>
    <row r="260" spans="1:253" x14ac:dyDescent="0.25">
      <c r="A260" s="7">
        <v>649.0171397625187</v>
      </c>
      <c r="B260"/>
      <c r="C260"/>
      <c r="D260"/>
      <c r="E260"/>
      <c r="HS260" s="27" t="s">
        <v>8</v>
      </c>
      <c r="HT260" s="27" t="s">
        <v>7</v>
      </c>
      <c r="HW260" s="27" t="s">
        <v>8</v>
      </c>
    </row>
    <row r="261" spans="1:253" x14ac:dyDescent="0.25">
      <c r="A261" s="7">
        <v>636.29131349266538</v>
      </c>
      <c r="B261"/>
      <c r="C261"/>
      <c r="D261"/>
      <c r="E261"/>
      <c r="HS261" s="27" t="s">
        <v>8</v>
      </c>
      <c r="HT261" s="27" t="s">
        <v>7</v>
      </c>
      <c r="HU261" s="27" t="s">
        <v>8</v>
      </c>
      <c r="HW261" s="27" t="s">
        <v>8</v>
      </c>
      <c r="IO261" s="31"/>
    </row>
    <row r="262" spans="1:253" x14ac:dyDescent="0.25">
      <c r="A262" s="7">
        <v>623.81501322810334</v>
      </c>
      <c r="B262"/>
      <c r="C262"/>
      <c r="D262"/>
      <c r="E262"/>
      <c r="HM262" s="27" t="s">
        <v>8</v>
      </c>
      <c r="HS262" s="27" t="s">
        <v>8</v>
      </c>
      <c r="HT262" s="27" t="s">
        <v>7</v>
      </c>
      <c r="HU262" s="27" t="s">
        <v>8</v>
      </c>
      <c r="HV262" s="27" t="s">
        <v>7</v>
      </c>
      <c r="HW262" s="27" t="s">
        <v>8</v>
      </c>
    </row>
    <row r="263" spans="1:253" x14ac:dyDescent="0.25">
      <c r="A263" s="7">
        <v>611.58334630206207</v>
      </c>
      <c r="B263"/>
      <c r="C263"/>
      <c r="D263"/>
      <c r="E263"/>
      <c r="HK263" s="27" t="s">
        <v>8</v>
      </c>
      <c r="HM263" s="27" t="s">
        <v>8</v>
      </c>
      <c r="HN263" s="27" t="s">
        <v>7</v>
      </c>
      <c r="HO263" s="27" t="s">
        <v>8</v>
      </c>
      <c r="HS263" s="27" t="s">
        <v>8</v>
      </c>
      <c r="HT263" s="27" t="s">
        <v>7</v>
      </c>
      <c r="HU263" s="27" t="s">
        <v>8</v>
      </c>
      <c r="HV263" s="27" t="s">
        <v>7</v>
      </c>
      <c r="HW263" s="27" t="s">
        <v>8</v>
      </c>
    </row>
    <row r="264" spans="1:253" x14ac:dyDescent="0.25">
      <c r="A264" s="7">
        <v>599.59151598241374</v>
      </c>
      <c r="B264"/>
      <c r="C264"/>
      <c r="D264"/>
      <c r="E264"/>
      <c r="HK264" s="27" t="s">
        <v>8</v>
      </c>
      <c r="HL264" s="27" t="s">
        <v>7</v>
      </c>
      <c r="HM264" s="27" t="s">
        <v>8</v>
      </c>
      <c r="HN264" s="27" t="s">
        <v>7</v>
      </c>
      <c r="HO264" s="27" t="s">
        <v>8</v>
      </c>
      <c r="HP264" s="27" t="s">
        <v>7</v>
      </c>
      <c r="HQ264" s="27" t="s">
        <v>8</v>
      </c>
      <c r="HS264" s="27" t="s">
        <v>8</v>
      </c>
      <c r="HT264" s="27" t="s">
        <v>7</v>
      </c>
      <c r="HV264" s="27" t="s">
        <v>7</v>
      </c>
      <c r="HW264" s="27" t="s">
        <v>8</v>
      </c>
      <c r="IL264" s="31"/>
    </row>
    <row r="265" spans="1:253" x14ac:dyDescent="0.25">
      <c r="A265" s="7">
        <v>587.83481959060168</v>
      </c>
      <c r="B265"/>
      <c r="C265"/>
      <c r="D265"/>
      <c r="E265"/>
      <c r="HK265" s="27" t="s">
        <v>8</v>
      </c>
      <c r="HL265" s="27" t="s">
        <v>7</v>
      </c>
      <c r="HM265" s="27" t="s">
        <v>8</v>
      </c>
      <c r="HN265" s="27" t="s">
        <v>7</v>
      </c>
      <c r="HO265" s="27" t="s">
        <v>8</v>
      </c>
      <c r="HP265" s="27" t="s">
        <v>7</v>
      </c>
      <c r="HQ265" s="27" t="s">
        <v>8</v>
      </c>
      <c r="HR265" s="27" t="s">
        <v>7</v>
      </c>
      <c r="HS265" s="27" t="s">
        <v>8</v>
      </c>
      <c r="HV265" s="27" t="s">
        <v>7</v>
      </c>
      <c r="HW265" s="27" t="s">
        <v>8</v>
      </c>
    </row>
    <row r="266" spans="1:253" x14ac:dyDescent="0.25">
      <c r="A266" s="7">
        <v>576.30864665745264</v>
      </c>
      <c r="B266"/>
      <c r="C266"/>
      <c r="D266"/>
      <c r="E266"/>
      <c r="HK266" s="27" t="s">
        <v>8</v>
      </c>
      <c r="HL266" s="27" t="s">
        <v>7</v>
      </c>
      <c r="HM266" s="27" t="s">
        <v>8</v>
      </c>
      <c r="HN266" s="27" t="s">
        <v>7</v>
      </c>
      <c r="HP266" s="27" t="s">
        <v>7</v>
      </c>
      <c r="HQ266" s="27" t="s">
        <v>8</v>
      </c>
      <c r="HR266" s="27" t="s">
        <v>7</v>
      </c>
      <c r="HS266" s="27" t="s">
        <v>8</v>
      </c>
      <c r="HV266" s="27" t="s">
        <v>7</v>
      </c>
      <c r="HW266" s="27" t="s">
        <v>8</v>
      </c>
      <c r="IJ266" s="31"/>
    </row>
    <row r="267" spans="1:253" x14ac:dyDescent="0.25">
      <c r="A267" s="7">
        <v>565.00847711514962</v>
      </c>
      <c r="B267"/>
      <c r="C267"/>
      <c r="D267"/>
      <c r="E267"/>
      <c r="HK267" s="27" t="s">
        <v>8</v>
      </c>
      <c r="HL267" s="27" t="s">
        <v>7</v>
      </c>
      <c r="HM267" s="27" t="s">
        <v>8</v>
      </c>
      <c r="HP267" s="27" t="s">
        <v>7</v>
      </c>
      <c r="HR267" s="27" t="s">
        <v>7</v>
      </c>
      <c r="HS267" s="27" t="s">
        <v>8</v>
      </c>
      <c r="HV267" s="27" t="s">
        <v>7</v>
      </c>
      <c r="HW267" s="27" t="s">
        <v>8</v>
      </c>
    </row>
    <row r="268" spans="1:253" x14ac:dyDescent="0.25">
      <c r="A268" s="7">
        <v>553.92987952465649</v>
      </c>
      <c r="B268"/>
      <c r="C268"/>
      <c r="D268"/>
      <c r="E268"/>
      <c r="HK268" s="27" t="s">
        <v>8</v>
      </c>
      <c r="HL268" s="27" t="s">
        <v>7</v>
      </c>
      <c r="HM268" s="27" t="s">
        <v>8</v>
      </c>
      <c r="HR268" s="27" t="s">
        <v>7</v>
      </c>
      <c r="HS268" s="27" t="s">
        <v>8</v>
      </c>
      <c r="HV268" s="27" t="s">
        <v>7</v>
      </c>
    </row>
    <row r="269" spans="1:253" x14ac:dyDescent="0.25">
      <c r="A269" s="7">
        <v>543.06850933789849</v>
      </c>
      <c r="B269"/>
      <c r="C269"/>
      <c r="D269"/>
      <c r="E269"/>
      <c r="HK269" s="27" t="s">
        <v>8</v>
      </c>
      <c r="HL269" s="27" t="s">
        <v>7</v>
      </c>
      <c r="HM269" s="27" t="s">
        <v>8</v>
      </c>
      <c r="HR269" s="27" t="s">
        <v>7</v>
      </c>
      <c r="HS269" s="27" t="s">
        <v>8</v>
      </c>
      <c r="IG269" s="31"/>
    </row>
    <row r="270" spans="1:253" x14ac:dyDescent="0.25">
      <c r="A270" s="7">
        <v>532.4201071940181</v>
      </c>
      <c r="B270"/>
      <c r="C270"/>
      <c r="D270"/>
      <c r="E270"/>
      <c r="HK270" s="27" t="s">
        <v>8</v>
      </c>
      <c r="HL270" s="27" t="s">
        <v>7</v>
      </c>
      <c r="HM270" s="27" t="s">
        <v>8</v>
      </c>
      <c r="HR270" s="27" t="s">
        <v>7</v>
      </c>
    </row>
    <row r="271" spans="1:253" x14ac:dyDescent="0.25">
      <c r="A271" s="7">
        <v>521.9804972490374</v>
      </c>
      <c r="B271"/>
      <c r="C271"/>
      <c r="D271"/>
      <c r="E271"/>
      <c r="HK271" s="27" t="s">
        <v>8</v>
      </c>
      <c r="HL271" s="27" t="s">
        <v>7</v>
      </c>
      <c r="HM271" s="27" t="s">
        <v>8</v>
      </c>
    </row>
    <row r="272" spans="1:253" x14ac:dyDescent="0.25">
      <c r="A272" s="7">
        <v>511.74558553827194</v>
      </c>
      <c r="B272"/>
      <c r="C272"/>
      <c r="D272"/>
      <c r="E272"/>
      <c r="HK272" s="27" t="s">
        <v>8</v>
      </c>
      <c r="HL272" s="27" t="s">
        <v>7</v>
      </c>
      <c r="HM272" s="27" t="s">
        <v>8</v>
      </c>
      <c r="ID272" s="31"/>
    </row>
    <row r="273" spans="1:236" x14ac:dyDescent="0.25">
      <c r="A273" s="7">
        <v>501.71135837085484</v>
      </c>
      <c r="B273"/>
      <c r="C273"/>
      <c r="D273"/>
      <c r="E273"/>
      <c r="HK273" s="27" t="s">
        <v>8</v>
      </c>
      <c r="HL273" s="27" t="s">
        <v>7</v>
      </c>
      <c r="HM273" s="27" t="s">
        <v>8</v>
      </c>
    </row>
    <row r="274" spans="1:236" x14ac:dyDescent="0.25">
      <c r="A274" s="7">
        <v>491.87388075574</v>
      </c>
      <c r="B274"/>
      <c r="C274"/>
      <c r="D274"/>
      <c r="E274"/>
      <c r="HK274" s="27" t="s">
        <v>8</v>
      </c>
      <c r="HL274" s="27" t="s">
        <v>7</v>
      </c>
      <c r="HM274" s="27" t="s">
        <v>8</v>
      </c>
      <c r="IB274" s="31"/>
    </row>
    <row r="275" spans="1:236" x14ac:dyDescent="0.25">
      <c r="A275" s="7">
        <v>482.22929485856861</v>
      </c>
      <c r="B275"/>
      <c r="C275"/>
      <c r="D275"/>
      <c r="E275"/>
      <c r="GO275" s="27" t="s">
        <v>8</v>
      </c>
      <c r="HK275" s="27" t="s">
        <v>8</v>
      </c>
      <c r="HL275" s="27" t="s">
        <v>7</v>
      </c>
    </row>
    <row r="276" spans="1:236" x14ac:dyDescent="0.25">
      <c r="A276" s="7">
        <v>472.77381848879276</v>
      </c>
      <c r="B276"/>
      <c r="C276"/>
      <c r="D276"/>
      <c r="E276"/>
      <c r="GO276" s="27" t="s">
        <v>8</v>
      </c>
      <c r="GP276" s="27" t="s">
        <v>7</v>
      </c>
      <c r="HI276" s="27" t="s">
        <v>8</v>
      </c>
      <c r="HK276" s="27" t="s">
        <v>8</v>
      </c>
      <c r="HZ276" s="31"/>
    </row>
    <row r="277" spans="1:236" x14ac:dyDescent="0.25">
      <c r="A277" s="7">
        <v>463.50374361646345</v>
      </c>
      <c r="B277"/>
      <c r="C277"/>
      <c r="D277"/>
      <c r="E277"/>
      <c r="GO277" s="27" t="s">
        <v>8</v>
      </c>
      <c r="GP277" s="27" t="s">
        <v>7</v>
      </c>
      <c r="HG277" s="27" t="s">
        <v>8</v>
      </c>
      <c r="HI277" s="27" t="s">
        <v>8</v>
      </c>
      <c r="HJ277" s="27" t="s">
        <v>7</v>
      </c>
      <c r="HK277" s="27" t="s">
        <v>8</v>
      </c>
    </row>
    <row r="278" spans="1:236" x14ac:dyDescent="0.25">
      <c r="A278" s="7">
        <v>454.41543491810143</v>
      </c>
      <c r="B278"/>
      <c r="C278"/>
      <c r="D278"/>
      <c r="E278"/>
      <c r="GO278" s="27" t="s">
        <v>8</v>
      </c>
      <c r="GP278" s="27" t="s">
        <v>7</v>
      </c>
      <c r="HG278" s="27" t="s">
        <v>8</v>
      </c>
      <c r="HH278" s="27" t="s">
        <v>7</v>
      </c>
      <c r="HI278" s="27" t="s">
        <v>8</v>
      </c>
      <c r="HJ278" s="27" t="s">
        <v>7</v>
      </c>
      <c r="HK278" s="27" t="s">
        <v>8</v>
      </c>
      <c r="HX278" s="31"/>
    </row>
    <row r="279" spans="1:236" x14ac:dyDescent="0.25">
      <c r="A279" s="7">
        <v>445.50532835107981</v>
      </c>
      <c r="B279"/>
      <c r="C279"/>
      <c r="D279"/>
      <c r="E279"/>
      <c r="GK279" s="27" t="s">
        <v>8</v>
      </c>
      <c r="GO279" s="27" t="s">
        <v>8</v>
      </c>
      <c r="GP279" s="27" t="s">
        <v>7</v>
      </c>
      <c r="HG279" s="27" t="s">
        <v>8</v>
      </c>
      <c r="HH279" s="27" t="s">
        <v>7</v>
      </c>
      <c r="HI279" s="27" t="s">
        <v>8</v>
      </c>
      <c r="HJ279" s="27" t="s">
        <v>7</v>
      </c>
    </row>
    <row r="280" spans="1:236" x14ac:dyDescent="0.25">
      <c r="A280" s="7">
        <v>436.76992975596062</v>
      </c>
      <c r="B280"/>
      <c r="C280"/>
      <c r="D280"/>
      <c r="E280"/>
      <c r="GK280" s="27" t="s">
        <v>8</v>
      </c>
      <c r="GL280" s="27" t="s">
        <v>7</v>
      </c>
      <c r="GO280" s="27" t="s">
        <v>8</v>
      </c>
      <c r="GP280" s="27" t="s">
        <v>7</v>
      </c>
      <c r="HG280" s="27" t="s">
        <v>8</v>
      </c>
      <c r="HH280" s="27" t="s">
        <v>7</v>
      </c>
      <c r="HV280" s="31"/>
    </row>
    <row r="281" spans="1:236" x14ac:dyDescent="0.25">
      <c r="A281" s="7">
        <v>428.20581348623591</v>
      </c>
      <c r="B281"/>
      <c r="C281"/>
      <c r="D281"/>
      <c r="E281"/>
      <c r="GK281" s="27" t="s">
        <v>8</v>
      </c>
      <c r="GL281" s="27" t="s">
        <v>7</v>
      </c>
      <c r="GO281" s="27" t="s">
        <v>8</v>
      </c>
      <c r="GP281" s="27" t="s">
        <v>7</v>
      </c>
      <c r="HG281" s="27" t="s">
        <v>8</v>
      </c>
    </row>
    <row r="282" spans="1:236" x14ac:dyDescent="0.25">
      <c r="A282" s="7">
        <v>419.80962106493718</v>
      </c>
      <c r="B282"/>
      <c r="C282"/>
      <c r="D282"/>
      <c r="E282"/>
      <c r="GK282" s="27" t="s">
        <v>8</v>
      </c>
      <c r="GL282" s="27" t="s">
        <v>7</v>
      </c>
      <c r="GO282" s="27" t="s">
        <v>8</v>
      </c>
      <c r="GP282" s="27" t="s">
        <v>7</v>
      </c>
      <c r="HC282" s="27" t="s">
        <v>8</v>
      </c>
      <c r="HG282" s="27" t="s">
        <v>8</v>
      </c>
    </row>
    <row r="283" spans="1:236" x14ac:dyDescent="0.25">
      <c r="A283" s="7">
        <v>411.57805986758547</v>
      </c>
      <c r="B283"/>
      <c r="C283"/>
      <c r="D283"/>
      <c r="E283"/>
      <c r="GE283" s="27" t="s">
        <v>8</v>
      </c>
      <c r="GK283" s="27" t="s">
        <v>8</v>
      </c>
      <c r="GL283" s="27" t="s">
        <v>7</v>
      </c>
      <c r="GO283" s="27" t="s">
        <v>8</v>
      </c>
      <c r="GP283" s="27" t="s">
        <v>7</v>
      </c>
      <c r="HC283" s="27" t="s">
        <v>8</v>
      </c>
      <c r="HD283" s="27" t="s">
        <v>7</v>
      </c>
      <c r="HG283" s="27" t="s">
        <v>8</v>
      </c>
      <c r="HS283" s="31"/>
    </row>
    <row r="284" spans="1:236" x14ac:dyDescent="0.25">
      <c r="A284" s="7">
        <v>403.50790183096615</v>
      </c>
      <c r="B284"/>
      <c r="C284"/>
      <c r="D284"/>
      <c r="E284"/>
      <c r="GE284" s="27" t="s">
        <v>8</v>
      </c>
      <c r="GF284" s="27" t="s">
        <v>7</v>
      </c>
      <c r="GG284" s="27" t="s">
        <v>8</v>
      </c>
      <c r="GK284" s="27" t="s">
        <v>8</v>
      </c>
      <c r="GL284" s="27" t="s">
        <v>7</v>
      </c>
      <c r="GM284" s="27" t="s">
        <v>8</v>
      </c>
      <c r="GO284" s="27" t="s">
        <v>8</v>
      </c>
      <c r="GP284" s="27" t="s">
        <v>7</v>
      </c>
      <c r="HC284" s="27" t="s">
        <v>8</v>
      </c>
      <c r="HD284" s="27" t="s">
        <v>7</v>
      </c>
      <c r="HE284" s="27" t="s">
        <v>8</v>
      </c>
      <c r="HG284" s="27" t="s">
        <v>8</v>
      </c>
    </row>
    <row r="285" spans="1:236" x14ac:dyDescent="0.25">
      <c r="A285" s="7">
        <v>395.59598218722169</v>
      </c>
      <c r="B285"/>
      <c r="C285"/>
      <c r="D285"/>
      <c r="E285"/>
      <c r="GE285" s="27" t="s">
        <v>8</v>
      </c>
      <c r="GF285" s="27" t="s">
        <v>7</v>
      </c>
      <c r="GG285" s="27" t="s">
        <v>8</v>
      </c>
      <c r="GH285" s="27" t="s">
        <v>7</v>
      </c>
      <c r="GI285" s="27" t="s">
        <v>8</v>
      </c>
      <c r="GK285" s="27" t="s">
        <v>8</v>
      </c>
      <c r="GL285" s="27" t="s">
        <v>7</v>
      </c>
      <c r="GM285" s="27" t="s">
        <v>8</v>
      </c>
      <c r="GN285" s="27" t="s">
        <v>7</v>
      </c>
      <c r="GO285" s="27" t="s">
        <v>8</v>
      </c>
      <c r="GP285" s="27" t="s">
        <v>7</v>
      </c>
      <c r="HC285" s="27" t="s">
        <v>8</v>
      </c>
      <c r="HD285" s="27" t="s">
        <v>7</v>
      </c>
      <c r="HE285" s="27" t="s">
        <v>8</v>
      </c>
      <c r="HF285" s="27" t="s">
        <v>7</v>
      </c>
      <c r="HG285" s="27" t="s">
        <v>8</v>
      </c>
    </row>
    <row r="286" spans="1:236" x14ac:dyDescent="0.25">
      <c r="A286" s="7">
        <v>387.83919822276636</v>
      </c>
      <c r="B286"/>
      <c r="C286"/>
      <c r="D286"/>
      <c r="E286"/>
      <c r="GE286" s="27" t="s">
        <v>8</v>
      </c>
      <c r="GF286" s="27" t="s">
        <v>7</v>
      </c>
      <c r="GG286" s="27" t="s">
        <v>8</v>
      </c>
      <c r="GH286" s="27" t="s">
        <v>7</v>
      </c>
      <c r="GI286" s="27" t="s">
        <v>8</v>
      </c>
      <c r="GJ286" s="27" t="s">
        <v>7</v>
      </c>
      <c r="GK286" s="27" t="s">
        <v>8</v>
      </c>
      <c r="GL286" s="27" t="s">
        <v>7</v>
      </c>
      <c r="GM286" s="27" t="s">
        <v>8</v>
      </c>
      <c r="GN286" s="27" t="s">
        <v>7</v>
      </c>
      <c r="GO286" s="27" t="s">
        <v>8</v>
      </c>
      <c r="GP286" s="27" t="s">
        <v>7</v>
      </c>
      <c r="GS286" s="27" t="s">
        <v>8</v>
      </c>
      <c r="GW286" s="27" t="s">
        <v>8</v>
      </c>
      <c r="HA286" s="27" t="s">
        <v>8</v>
      </c>
      <c r="HC286" s="27" t="s">
        <v>8</v>
      </c>
      <c r="HD286" s="27" t="s">
        <v>7</v>
      </c>
      <c r="HE286" s="27" t="s">
        <v>8</v>
      </c>
      <c r="HF286" s="27" t="s">
        <v>7</v>
      </c>
      <c r="HG286" s="27" t="s">
        <v>8</v>
      </c>
      <c r="HP286" s="31"/>
    </row>
    <row r="287" spans="1:236" x14ac:dyDescent="0.25">
      <c r="A287" s="7">
        <v>380.23450806153562</v>
      </c>
      <c r="B287"/>
      <c r="C287"/>
      <c r="D287"/>
      <c r="E287"/>
      <c r="GE287" s="27" t="s">
        <v>8</v>
      </c>
      <c r="GF287" s="27" t="s">
        <v>7</v>
      </c>
      <c r="GG287" s="27" t="s">
        <v>8</v>
      </c>
      <c r="GH287" s="27" t="s">
        <v>7</v>
      </c>
      <c r="GI287" s="27" t="s">
        <v>8</v>
      </c>
      <c r="GJ287" s="27" t="s">
        <v>7</v>
      </c>
      <c r="GK287" s="27" t="s">
        <v>8</v>
      </c>
      <c r="GL287" s="27" t="s">
        <v>7</v>
      </c>
      <c r="GN287" s="27" t="s">
        <v>7</v>
      </c>
      <c r="GO287" s="27" t="s">
        <v>8</v>
      </c>
      <c r="GP287" s="27" t="s">
        <v>7</v>
      </c>
      <c r="GS287" s="27" t="s">
        <v>8</v>
      </c>
      <c r="GT287" s="27" t="s">
        <v>7</v>
      </c>
      <c r="GU287" s="27" t="s">
        <v>8</v>
      </c>
      <c r="GW287" s="27" t="s">
        <v>8</v>
      </c>
      <c r="GX287" s="27" t="s">
        <v>7</v>
      </c>
      <c r="HA287" s="27" t="s">
        <v>8</v>
      </c>
      <c r="HB287" s="27" t="s">
        <v>7</v>
      </c>
      <c r="HC287" s="27" t="s">
        <v>8</v>
      </c>
      <c r="HD287" s="27" t="s">
        <v>7</v>
      </c>
      <c r="HF287" s="27" t="s">
        <v>7</v>
      </c>
      <c r="HG287" s="27" t="s">
        <v>8</v>
      </c>
    </row>
    <row r="288" spans="1:236" x14ac:dyDescent="0.25">
      <c r="A288" s="7">
        <v>372.77892947209375</v>
      </c>
      <c r="B288"/>
      <c r="C288"/>
      <c r="D288"/>
      <c r="E288"/>
      <c r="GE288" s="27" t="s">
        <v>8</v>
      </c>
      <c r="GF288" s="27" t="s">
        <v>7</v>
      </c>
      <c r="GH288" s="27" t="s">
        <v>7</v>
      </c>
      <c r="GI288" s="27" t="s">
        <v>8</v>
      </c>
      <c r="GJ288" s="27" t="s">
        <v>7</v>
      </c>
      <c r="GN288" s="27" t="s">
        <v>7</v>
      </c>
      <c r="GP288" s="27" t="s">
        <v>7</v>
      </c>
      <c r="GS288" s="27" t="s">
        <v>8</v>
      </c>
      <c r="GT288" s="27" t="s">
        <v>7</v>
      </c>
      <c r="GU288" s="27" t="s">
        <v>8</v>
      </c>
      <c r="GV288" s="27" t="s">
        <v>7</v>
      </c>
      <c r="GW288" s="27" t="s">
        <v>8</v>
      </c>
      <c r="GX288" s="27" t="s">
        <v>7</v>
      </c>
      <c r="HA288" s="27" t="s">
        <v>8</v>
      </c>
      <c r="HB288" s="27" t="s">
        <v>7</v>
      </c>
      <c r="HC288" s="27" t="s">
        <v>8</v>
      </c>
      <c r="HF288" s="27" t="s">
        <v>7</v>
      </c>
      <c r="HN288" s="31"/>
    </row>
    <row r="289" spans="1:220" x14ac:dyDescent="0.25">
      <c r="A289" s="7">
        <v>365.46953869813115</v>
      </c>
      <c r="B289"/>
      <c r="C289"/>
      <c r="D289"/>
      <c r="E289"/>
      <c r="CE289" s="27" t="s">
        <v>8</v>
      </c>
      <c r="GE289" s="27" t="s">
        <v>8</v>
      </c>
      <c r="GH289" s="27" t="s">
        <v>7</v>
      </c>
      <c r="GP289" s="27" t="s">
        <v>7</v>
      </c>
      <c r="GS289" s="27" t="s">
        <v>8</v>
      </c>
      <c r="GT289" s="27" t="s">
        <v>7</v>
      </c>
      <c r="GU289" s="27" t="s">
        <v>8</v>
      </c>
      <c r="GV289" s="27" t="s">
        <v>7</v>
      </c>
      <c r="GW289" s="27" t="s">
        <v>8</v>
      </c>
      <c r="GX289" s="27" t="s">
        <v>7</v>
      </c>
      <c r="GY289" s="27" t="s">
        <v>8</v>
      </c>
      <c r="HA289" s="27" t="s">
        <v>8</v>
      </c>
      <c r="HB289" s="27" t="s">
        <v>7</v>
      </c>
    </row>
    <row r="290" spans="1:220" x14ac:dyDescent="0.25">
      <c r="A290" s="7">
        <v>358.30346931189325</v>
      </c>
      <c r="B290"/>
      <c r="C290"/>
      <c r="D290"/>
      <c r="E290"/>
      <c r="CE290" s="27" t="s">
        <v>8</v>
      </c>
      <c r="CF290" s="27" t="s">
        <v>7</v>
      </c>
      <c r="GE290" s="27" t="s">
        <v>8</v>
      </c>
      <c r="GP290" s="27" t="s">
        <v>7</v>
      </c>
      <c r="GQ290" s="27" t="s">
        <v>8</v>
      </c>
      <c r="GS290" s="27" t="s">
        <v>8</v>
      </c>
      <c r="GT290" s="27" t="s">
        <v>7</v>
      </c>
      <c r="GU290" s="27" t="s">
        <v>8</v>
      </c>
      <c r="GV290" s="27" t="s">
        <v>7</v>
      </c>
      <c r="GX290" s="27" t="s">
        <v>7</v>
      </c>
      <c r="GY290" s="27" t="s">
        <v>8</v>
      </c>
      <c r="GZ290" s="27" t="s">
        <v>7</v>
      </c>
      <c r="HA290" s="27" t="s">
        <v>8</v>
      </c>
      <c r="HL290" s="31"/>
    </row>
    <row r="291" spans="1:220" x14ac:dyDescent="0.25">
      <c r="A291" s="7">
        <v>351.27791109009144</v>
      </c>
      <c r="B291"/>
      <c r="C291"/>
      <c r="D291"/>
      <c r="E291"/>
      <c r="CE291" s="27" t="s">
        <v>8</v>
      </c>
      <c r="CF291" s="27" t="s">
        <v>7</v>
      </c>
      <c r="GE291" s="27" t="s">
        <v>8</v>
      </c>
      <c r="GP291" s="27" t="s">
        <v>7</v>
      </c>
      <c r="GQ291" s="27" t="s">
        <v>8</v>
      </c>
      <c r="GR291" s="27" t="s">
        <v>7</v>
      </c>
      <c r="GS291" s="27" t="s">
        <v>8</v>
      </c>
      <c r="GT291" s="27" t="s">
        <v>7</v>
      </c>
      <c r="GX291" s="27" t="s">
        <v>7</v>
      </c>
      <c r="GY291" s="27" t="s">
        <v>8</v>
      </c>
      <c r="GZ291" s="27" t="s">
        <v>7</v>
      </c>
      <c r="HA291" s="27" t="s">
        <v>8</v>
      </c>
    </row>
    <row r="292" spans="1:220" x14ac:dyDescent="0.25">
      <c r="A292" s="7">
        <v>344.39010891185433</v>
      </c>
      <c r="B292"/>
      <c r="C292"/>
      <c r="D292"/>
      <c r="E292"/>
      <c r="CE292" s="27" t="s">
        <v>8</v>
      </c>
      <c r="CF292" s="27" t="s">
        <v>7</v>
      </c>
      <c r="GE292" s="27" t="s">
        <v>8</v>
      </c>
      <c r="GP292" s="27" t="s">
        <v>7</v>
      </c>
      <c r="GQ292" s="27" t="s">
        <v>8</v>
      </c>
      <c r="GR292" s="27" t="s">
        <v>7</v>
      </c>
      <c r="GS292" s="27" t="s">
        <v>8</v>
      </c>
      <c r="GX292" s="27" t="s">
        <v>7</v>
      </c>
      <c r="GY292" s="27" t="s">
        <v>8</v>
      </c>
      <c r="GZ292" s="27" t="s">
        <v>7</v>
      </c>
      <c r="HA292" s="27" t="s">
        <v>8</v>
      </c>
      <c r="HJ292" s="31"/>
    </row>
    <row r="293" spans="1:220" x14ac:dyDescent="0.25">
      <c r="A293" s="7">
        <v>337.63736167828853</v>
      </c>
      <c r="B293"/>
      <c r="C293"/>
      <c r="D293"/>
      <c r="E293"/>
      <c r="CE293" s="27" t="s">
        <v>8</v>
      </c>
      <c r="CF293" s="27" t="s">
        <v>7</v>
      </c>
      <c r="GE293" s="27" t="s">
        <v>8</v>
      </c>
      <c r="GP293" s="27" t="s">
        <v>7</v>
      </c>
      <c r="GQ293" s="27" t="s">
        <v>8</v>
      </c>
      <c r="GR293" s="27" t="s">
        <v>7</v>
      </c>
      <c r="GS293" s="27" t="s">
        <v>8</v>
      </c>
      <c r="GX293" s="27" t="s">
        <v>7</v>
      </c>
      <c r="GY293" s="27" t="s">
        <v>8</v>
      </c>
      <c r="GZ293" s="27" t="s">
        <v>7</v>
      </c>
      <c r="HI293" s="31"/>
    </row>
    <row r="294" spans="1:220" x14ac:dyDescent="0.25">
      <c r="A294" s="7">
        <v>331.01702125322402</v>
      </c>
      <c r="B294"/>
      <c r="C294"/>
      <c r="D294"/>
      <c r="E294"/>
      <c r="CE294" s="27" t="s">
        <v>8</v>
      </c>
      <c r="CF294" s="27" t="s">
        <v>7</v>
      </c>
      <c r="GC294" s="27" t="s">
        <v>8</v>
      </c>
      <c r="GE294" s="27" t="s">
        <v>8</v>
      </c>
      <c r="GP294" s="27" t="s">
        <v>7</v>
      </c>
      <c r="GQ294" s="27" t="s">
        <v>8</v>
      </c>
      <c r="GR294" s="27" t="s">
        <v>7</v>
      </c>
      <c r="GS294" s="27" t="s">
        <v>8</v>
      </c>
      <c r="GX294" s="27" t="s">
        <v>7</v>
      </c>
      <c r="GY294" s="27" t="s">
        <v>8</v>
      </c>
    </row>
    <row r="295" spans="1:220" x14ac:dyDescent="0.25">
      <c r="A295" s="7">
        <v>324.52649142472944</v>
      </c>
      <c r="B295"/>
      <c r="C295"/>
      <c r="D295"/>
      <c r="E295"/>
      <c r="CE295" s="27" t="s">
        <v>8</v>
      </c>
      <c r="CF295" s="27" t="s">
        <v>7</v>
      </c>
      <c r="CG295" s="27" t="s">
        <v>8</v>
      </c>
      <c r="GC295" s="27" t="s">
        <v>8</v>
      </c>
      <c r="GD295" s="27" t="s">
        <v>7</v>
      </c>
      <c r="GE295" s="27" t="s">
        <v>8</v>
      </c>
      <c r="GP295" s="27" t="s">
        <v>7</v>
      </c>
      <c r="GQ295" s="27" t="s">
        <v>8</v>
      </c>
      <c r="GR295" s="27" t="s">
        <v>7</v>
      </c>
      <c r="GX295" s="27" t="s">
        <v>7</v>
      </c>
      <c r="GY295" s="27" t="s">
        <v>8</v>
      </c>
      <c r="HG295" s="31"/>
    </row>
    <row r="296" spans="1:220" x14ac:dyDescent="0.25">
      <c r="A296" s="7">
        <v>318.16322688698966</v>
      </c>
      <c r="B296"/>
      <c r="C296"/>
      <c r="D296"/>
      <c r="E296"/>
      <c r="CC296" s="27" t="s">
        <v>8</v>
      </c>
      <c r="CE296" s="27" t="s">
        <v>8</v>
      </c>
      <c r="CF296" s="27" t="s">
        <v>7</v>
      </c>
      <c r="CG296" s="27" t="s">
        <v>8</v>
      </c>
      <c r="CH296" s="27" t="s">
        <v>7</v>
      </c>
      <c r="CK296" s="27" t="s">
        <v>8</v>
      </c>
      <c r="GC296" s="27" t="s">
        <v>8</v>
      </c>
      <c r="GD296" s="27" t="s">
        <v>7</v>
      </c>
      <c r="GE296" s="27" t="s">
        <v>8</v>
      </c>
      <c r="GP296" s="27" t="s">
        <v>7</v>
      </c>
      <c r="GQ296" s="27" t="s">
        <v>8</v>
      </c>
      <c r="GX296" s="27" t="s">
        <v>7</v>
      </c>
    </row>
    <row r="297" spans="1:220" x14ac:dyDescent="0.25">
      <c r="A297" s="7">
        <v>311.92473224214672</v>
      </c>
      <c r="B297"/>
      <c r="C297"/>
      <c r="D297"/>
      <c r="E297"/>
      <c r="CC297" s="27" t="s">
        <v>8</v>
      </c>
      <c r="CD297" s="27" t="s">
        <v>7</v>
      </c>
      <c r="CE297" s="27" t="s">
        <v>8</v>
      </c>
      <c r="CF297" s="27" t="s">
        <v>7</v>
      </c>
      <c r="CG297" s="27" t="s">
        <v>8</v>
      </c>
      <c r="CH297" s="27" t="s">
        <v>7</v>
      </c>
      <c r="CK297" s="27" t="s">
        <v>8</v>
      </c>
      <c r="CL297" s="27" t="s">
        <v>7</v>
      </c>
      <c r="GC297" s="27" t="s">
        <v>8</v>
      </c>
      <c r="GD297" s="27" t="s">
        <v>7</v>
      </c>
      <c r="GP297" s="27" t="s">
        <v>7</v>
      </c>
      <c r="HE297" s="31"/>
    </row>
    <row r="298" spans="1:220" x14ac:dyDescent="0.25">
      <c r="A298" s="7">
        <v>305.80856102171248</v>
      </c>
      <c r="B298"/>
      <c r="C298"/>
      <c r="D298"/>
      <c r="E298"/>
      <c r="CC298" s="27" t="s">
        <v>8</v>
      </c>
      <c r="CD298" s="27" t="s">
        <v>7</v>
      </c>
      <c r="CE298" s="27" t="s">
        <v>8</v>
      </c>
      <c r="CF298" s="27" t="s">
        <v>7</v>
      </c>
      <c r="CG298" s="27" t="s">
        <v>8</v>
      </c>
      <c r="CH298" s="27" t="s">
        <v>7</v>
      </c>
      <c r="CK298" s="27" t="s">
        <v>8</v>
      </c>
      <c r="CL298" s="27" t="s">
        <v>7</v>
      </c>
      <c r="GC298" s="27" t="s">
        <v>8</v>
      </c>
    </row>
    <row r="299" spans="1:220" x14ac:dyDescent="0.25">
      <c r="A299" s="7">
        <v>299.81231472716911</v>
      </c>
      <c r="B299"/>
      <c r="C299"/>
      <c r="D299"/>
      <c r="E299"/>
      <c r="CC299" s="27" t="s">
        <v>8</v>
      </c>
      <c r="CD299" s="27" t="s">
        <v>7</v>
      </c>
      <c r="CF299" s="27" t="s">
        <v>7</v>
      </c>
      <c r="CG299" s="27" t="s">
        <v>8</v>
      </c>
      <c r="CH299" s="27" t="s">
        <v>7</v>
      </c>
      <c r="CI299" s="27" t="s">
        <v>8</v>
      </c>
      <c r="CK299" s="27" t="s">
        <v>8</v>
      </c>
      <c r="CL299" s="27" t="s">
        <v>7</v>
      </c>
      <c r="GC299" s="27" t="s">
        <v>8</v>
      </c>
      <c r="HC299" s="31"/>
    </row>
    <row r="300" spans="1:220" x14ac:dyDescent="0.25">
      <c r="A300" s="7">
        <v>293.93364188938148</v>
      </c>
      <c r="B300"/>
      <c r="C300"/>
      <c r="D300"/>
      <c r="E300"/>
      <c r="CC300" s="27" t="s">
        <v>8</v>
      </c>
      <c r="CF300" s="27" t="s">
        <v>7</v>
      </c>
      <c r="CG300" s="27" t="s">
        <v>8</v>
      </c>
      <c r="CH300" s="27" t="s">
        <v>7</v>
      </c>
      <c r="CI300" s="27" t="s">
        <v>8</v>
      </c>
      <c r="CJ300" s="27" t="s">
        <v>7</v>
      </c>
      <c r="CK300" s="27" t="s">
        <v>8</v>
      </c>
      <c r="CL300" s="27" t="s">
        <v>7</v>
      </c>
      <c r="GC300" s="27" t="s">
        <v>8</v>
      </c>
    </row>
    <row r="301" spans="1:220" x14ac:dyDescent="0.25">
      <c r="A301" s="7">
        <v>288.17023714645245</v>
      </c>
      <c r="B301"/>
      <c r="C301"/>
      <c r="D301"/>
      <c r="E301"/>
      <c r="CC301" s="27" t="s">
        <v>8</v>
      </c>
      <c r="CF301" s="27" t="s">
        <v>7</v>
      </c>
      <c r="CG301" s="27" t="s">
        <v>8</v>
      </c>
      <c r="CH301" s="27" t="s">
        <v>7</v>
      </c>
      <c r="CI301" s="27" t="s">
        <v>8</v>
      </c>
      <c r="CJ301" s="27" t="s">
        <v>7</v>
      </c>
      <c r="CK301" s="27" t="s">
        <v>8</v>
      </c>
      <c r="CL301" s="27" t="s">
        <v>7</v>
      </c>
      <c r="EG301" s="27" t="s">
        <v>8</v>
      </c>
      <c r="GC301" s="27" t="s">
        <v>8</v>
      </c>
    </row>
    <row r="302" spans="1:220" x14ac:dyDescent="0.25">
      <c r="A302" s="7">
        <v>282.51984033965925</v>
      </c>
      <c r="B302"/>
      <c r="C302"/>
      <c r="D302"/>
      <c r="E302"/>
      <c r="CC302" s="27" t="s">
        <v>8</v>
      </c>
      <c r="CF302" s="27" t="s">
        <v>7</v>
      </c>
      <c r="CH302" s="27" t="s">
        <v>7</v>
      </c>
      <c r="CI302" s="27" t="s">
        <v>8</v>
      </c>
      <c r="CJ302" s="27" t="s">
        <v>7</v>
      </c>
      <c r="CL302" s="27" t="s">
        <v>7</v>
      </c>
      <c r="EG302" s="27" t="s">
        <v>8</v>
      </c>
      <c r="EH302" s="27" t="s">
        <v>7</v>
      </c>
      <c r="EI302" s="27" t="s">
        <v>8</v>
      </c>
      <c r="GC302" s="27" t="s">
        <v>8</v>
      </c>
      <c r="GZ302" s="31"/>
    </row>
    <row r="303" spans="1:220" x14ac:dyDescent="0.25">
      <c r="A303" s="7">
        <v>276.98023562711688</v>
      </c>
      <c r="B303"/>
      <c r="C303"/>
      <c r="D303"/>
      <c r="E303"/>
      <c r="BQ303" s="27" t="s">
        <v>8</v>
      </c>
      <c r="BW303" s="27" t="s">
        <v>8</v>
      </c>
      <c r="CC303" s="27" t="s">
        <v>8</v>
      </c>
      <c r="CH303" s="27" t="s">
        <v>7</v>
      </c>
      <c r="CL303" s="27" t="s">
        <v>7</v>
      </c>
      <c r="EG303" s="27" t="s">
        <v>8</v>
      </c>
      <c r="EH303" s="27" t="s">
        <v>7</v>
      </c>
      <c r="EI303" s="27" t="s">
        <v>8</v>
      </c>
      <c r="EJ303" s="27" t="s">
        <v>7</v>
      </c>
      <c r="EK303" s="27" t="s">
        <v>8</v>
      </c>
      <c r="GC303" s="27" t="s">
        <v>8</v>
      </c>
    </row>
    <row r="304" spans="1:220" x14ac:dyDescent="0.25">
      <c r="A304" s="7">
        <v>271.54925061482049</v>
      </c>
      <c r="B304"/>
      <c r="C304"/>
      <c r="D304"/>
      <c r="E304"/>
      <c r="BQ304" s="27" t="s">
        <v>8</v>
      </c>
      <c r="BR304" s="27" t="s">
        <v>7</v>
      </c>
      <c r="BW304" s="27" t="s">
        <v>8</v>
      </c>
      <c r="BX304" s="27" t="s">
        <v>7</v>
      </c>
      <c r="BY304" s="27" t="s">
        <v>8</v>
      </c>
      <c r="CC304" s="27" t="s">
        <v>8</v>
      </c>
      <c r="CL304" s="27" t="s">
        <v>7</v>
      </c>
      <c r="EG304" s="27" t="s">
        <v>8</v>
      </c>
      <c r="EH304" s="27" t="s">
        <v>7</v>
      </c>
      <c r="EI304" s="27" t="s">
        <v>8</v>
      </c>
      <c r="EJ304" s="27" t="s">
        <v>7</v>
      </c>
      <c r="EK304" s="27" t="s">
        <v>8</v>
      </c>
      <c r="EL304" s="27" t="s">
        <v>7</v>
      </c>
      <c r="GC304" s="27" t="s">
        <v>8</v>
      </c>
      <c r="GX304" s="31"/>
    </row>
    <row r="305" spans="1:203" x14ac:dyDescent="0.25">
      <c r="A305" s="7">
        <v>266.22475550472598</v>
      </c>
      <c r="B305"/>
      <c r="C305"/>
      <c r="D305"/>
      <c r="E305"/>
      <c r="BQ305" s="27" t="s">
        <v>8</v>
      </c>
      <c r="BR305" s="27" t="s">
        <v>7</v>
      </c>
      <c r="BW305" s="27" t="s">
        <v>8</v>
      </c>
      <c r="BX305" s="27" t="s">
        <v>7</v>
      </c>
      <c r="BY305" s="27" t="s">
        <v>8</v>
      </c>
      <c r="BZ305" s="27" t="s">
        <v>7</v>
      </c>
      <c r="CC305" s="27" t="s">
        <v>8</v>
      </c>
      <c r="CL305" s="27" t="s">
        <v>7</v>
      </c>
      <c r="EG305" s="27" t="s">
        <v>8</v>
      </c>
      <c r="EH305" s="27" t="s">
        <v>7</v>
      </c>
      <c r="EI305" s="27" t="s">
        <v>8</v>
      </c>
      <c r="EJ305" s="27" t="s">
        <v>7</v>
      </c>
      <c r="EK305" s="27" t="s">
        <v>8</v>
      </c>
      <c r="EL305" s="27" t="s">
        <v>7</v>
      </c>
      <c r="GC305" s="27" t="s">
        <v>8</v>
      </c>
    </row>
    <row r="306" spans="1:203" x14ac:dyDescent="0.25">
      <c r="A306" s="7">
        <v>261.00466225953528</v>
      </c>
      <c r="B306"/>
      <c r="C306"/>
      <c r="D306"/>
      <c r="E306"/>
      <c r="BQ306" s="27" t="s">
        <v>8</v>
      </c>
      <c r="BR306" s="27" t="s">
        <v>7</v>
      </c>
      <c r="BS306" s="27" t="s">
        <v>8</v>
      </c>
      <c r="BU306" s="27" t="s">
        <v>8</v>
      </c>
      <c r="BW306" s="27" t="s">
        <v>8</v>
      </c>
      <c r="BX306" s="27" t="s">
        <v>7</v>
      </c>
      <c r="BY306" s="27" t="s">
        <v>8</v>
      </c>
      <c r="BZ306" s="27" t="s">
        <v>7</v>
      </c>
      <c r="CC306" s="27" t="s">
        <v>8</v>
      </c>
      <c r="CL306" s="27" t="s">
        <v>7</v>
      </c>
      <c r="EG306" s="27" t="s">
        <v>8</v>
      </c>
      <c r="EH306" s="27" t="s">
        <v>7</v>
      </c>
      <c r="EI306" s="27" t="s">
        <v>8</v>
      </c>
      <c r="EJ306" s="27" t="s">
        <v>7</v>
      </c>
      <c r="EK306" s="27" t="s">
        <v>8</v>
      </c>
      <c r="EL306" s="27" t="s">
        <v>7</v>
      </c>
      <c r="GC306" s="27" t="s">
        <v>8</v>
      </c>
    </row>
    <row r="307" spans="1:203" x14ac:dyDescent="0.25">
      <c r="A307" s="7">
        <v>255.88692378385809</v>
      </c>
      <c r="B307"/>
      <c r="C307"/>
      <c r="D307"/>
      <c r="E307"/>
      <c r="BQ307" s="27" t="s">
        <v>8</v>
      </c>
      <c r="BR307" s="27" t="s">
        <v>7</v>
      </c>
      <c r="BS307" s="27" t="s">
        <v>8</v>
      </c>
      <c r="BT307" s="27" t="s">
        <v>7</v>
      </c>
      <c r="BU307" s="27" t="s">
        <v>8</v>
      </c>
      <c r="BV307" s="27" t="s">
        <v>7</v>
      </c>
      <c r="BW307" s="27" t="s">
        <v>8</v>
      </c>
      <c r="BX307" s="27" t="s">
        <v>7</v>
      </c>
      <c r="BY307" s="27" t="s">
        <v>8</v>
      </c>
      <c r="BZ307" s="27" t="s">
        <v>7</v>
      </c>
      <c r="CC307" s="27" t="s">
        <v>8</v>
      </c>
      <c r="CL307" s="27" t="s">
        <v>7</v>
      </c>
      <c r="EG307" s="27" t="s">
        <v>8</v>
      </c>
      <c r="EH307" s="27" t="s">
        <v>7</v>
      </c>
      <c r="EI307" s="27" t="s">
        <v>8</v>
      </c>
      <c r="EJ307" s="27" t="s">
        <v>7</v>
      </c>
      <c r="EK307" s="27" t="s">
        <v>8</v>
      </c>
      <c r="EL307" s="27" t="s">
        <v>7</v>
      </c>
      <c r="GC307" s="27" t="s">
        <v>8</v>
      </c>
      <c r="GU307" s="31"/>
    </row>
    <row r="308" spans="1:203" x14ac:dyDescent="0.25">
      <c r="A308" s="7">
        <v>250.8695331214295</v>
      </c>
      <c r="B308"/>
      <c r="C308"/>
      <c r="D308"/>
      <c r="E308"/>
      <c r="BQ308" s="27" t="s">
        <v>8</v>
      </c>
      <c r="BR308" s="27" t="s">
        <v>7</v>
      </c>
      <c r="BS308" s="27" t="s">
        <v>8</v>
      </c>
      <c r="BT308" s="27" t="s">
        <v>7</v>
      </c>
      <c r="BU308" s="27" t="s">
        <v>8</v>
      </c>
      <c r="BV308" s="27" t="s">
        <v>7</v>
      </c>
      <c r="BW308" s="27" t="s">
        <v>8</v>
      </c>
      <c r="BX308" s="27" t="s">
        <v>7</v>
      </c>
      <c r="BY308" s="27" t="s">
        <v>8</v>
      </c>
      <c r="BZ308" s="27" t="s">
        <v>7</v>
      </c>
      <c r="CA308" s="27" t="s">
        <v>8</v>
      </c>
      <c r="CC308" s="27" t="s">
        <v>8</v>
      </c>
      <c r="CL308" s="27" t="s">
        <v>7</v>
      </c>
      <c r="EG308" s="27" t="s">
        <v>8</v>
      </c>
      <c r="EH308" s="27" t="s">
        <v>7</v>
      </c>
      <c r="EI308" s="27" t="s">
        <v>8</v>
      </c>
      <c r="EJ308" s="27" t="s">
        <v>7</v>
      </c>
      <c r="EK308" s="27" t="s">
        <v>8</v>
      </c>
      <c r="EL308" s="27" t="s">
        <v>7</v>
      </c>
      <c r="EO308" s="27" t="s">
        <v>8</v>
      </c>
      <c r="FW308" s="27" t="s">
        <v>8</v>
      </c>
      <c r="GC308" s="27" t="s">
        <v>8</v>
      </c>
    </row>
    <row r="309" spans="1:203" x14ac:dyDescent="0.25">
      <c r="A309" s="7">
        <v>245.95052266806812</v>
      </c>
      <c r="B309"/>
      <c r="C309"/>
      <c r="D309"/>
      <c r="E309"/>
      <c r="BQ309" s="27" t="s">
        <v>8</v>
      </c>
      <c r="BR309" s="27" t="s">
        <v>7</v>
      </c>
      <c r="BS309" s="27" t="s">
        <v>8</v>
      </c>
      <c r="BT309" s="27" t="s">
        <v>7</v>
      </c>
      <c r="BU309" s="27" t="s">
        <v>8</v>
      </c>
      <c r="BV309" s="27" t="s">
        <v>7</v>
      </c>
      <c r="BW309" s="27" t="s">
        <v>8</v>
      </c>
      <c r="BX309" s="27" t="s">
        <v>7</v>
      </c>
      <c r="BY309" s="27" t="s">
        <v>8</v>
      </c>
      <c r="BZ309" s="27" t="s">
        <v>7</v>
      </c>
      <c r="CA309" s="27" t="s">
        <v>8</v>
      </c>
      <c r="CB309" s="27" t="s">
        <v>7</v>
      </c>
      <c r="CC309" s="27" t="s">
        <v>8</v>
      </c>
      <c r="CL309" s="27" t="s">
        <v>7</v>
      </c>
      <c r="EG309" s="27" t="s">
        <v>8</v>
      </c>
      <c r="EH309" s="27" t="s">
        <v>7</v>
      </c>
      <c r="EI309" s="27" t="s">
        <v>8</v>
      </c>
      <c r="EJ309" s="27" t="s">
        <v>7</v>
      </c>
      <c r="EL309" s="27" t="s">
        <v>7</v>
      </c>
      <c r="EO309" s="27" t="s">
        <v>8</v>
      </c>
      <c r="EP309" s="27" t="s">
        <v>7</v>
      </c>
      <c r="FU309" s="27" t="s">
        <v>8</v>
      </c>
      <c r="FW309" s="27" t="s">
        <v>8</v>
      </c>
      <c r="FX309" s="27" t="s">
        <v>7</v>
      </c>
      <c r="FY309" s="27" t="s">
        <v>8</v>
      </c>
      <c r="GA309" s="27" t="s">
        <v>8</v>
      </c>
      <c r="GC309" s="27" t="s">
        <v>8</v>
      </c>
    </row>
    <row r="310" spans="1:203" x14ac:dyDescent="0.25">
      <c r="A310" s="7">
        <v>241.12796340006679</v>
      </c>
      <c r="B310"/>
      <c r="C310"/>
      <c r="D310"/>
      <c r="E310"/>
      <c r="BQ310" s="27" t="s">
        <v>8</v>
      </c>
      <c r="BR310" s="27" t="s">
        <v>7</v>
      </c>
      <c r="BS310" s="27" t="s">
        <v>8</v>
      </c>
      <c r="BT310" s="27" t="s">
        <v>7</v>
      </c>
      <c r="BV310" s="27" t="s">
        <v>7</v>
      </c>
      <c r="BW310" s="27" t="s">
        <v>8</v>
      </c>
      <c r="BX310" s="27" t="s">
        <v>7</v>
      </c>
      <c r="BZ310" s="27" t="s">
        <v>7</v>
      </c>
      <c r="CA310" s="27" t="s">
        <v>8</v>
      </c>
      <c r="CB310" s="27" t="s">
        <v>7</v>
      </c>
      <c r="CC310" s="27" t="s">
        <v>8</v>
      </c>
      <c r="CL310" s="27" t="s">
        <v>7</v>
      </c>
      <c r="EG310" s="27" t="s">
        <v>8</v>
      </c>
      <c r="EH310" s="27" t="s">
        <v>7</v>
      </c>
      <c r="EL310" s="27" t="s">
        <v>7</v>
      </c>
      <c r="EO310" s="27" t="s">
        <v>8</v>
      </c>
      <c r="EP310" s="27" t="s">
        <v>7</v>
      </c>
      <c r="FU310" s="27" t="s">
        <v>8</v>
      </c>
      <c r="FV310" s="27" t="s">
        <v>7</v>
      </c>
      <c r="FW310" s="27" t="s">
        <v>8</v>
      </c>
      <c r="FX310" s="27" t="s">
        <v>7</v>
      </c>
      <c r="FY310" s="27" t="s">
        <v>8</v>
      </c>
      <c r="FZ310" s="27" t="s">
        <v>7</v>
      </c>
      <c r="GA310" s="27" t="s">
        <v>8</v>
      </c>
      <c r="GB310" s="27" t="s">
        <v>7</v>
      </c>
      <c r="GC310" s="27" t="s">
        <v>8</v>
      </c>
    </row>
    <row r="311" spans="1:203" x14ac:dyDescent="0.25">
      <c r="A311" s="7">
        <v>236.39996411771253</v>
      </c>
      <c r="B311"/>
      <c r="C311"/>
      <c r="D311"/>
      <c r="E311"/>
      <c r="BQ311" s="27" t="s">
        <v>8</v>
      </c>
      <c r="BR311" s="27" t="s">
        <v>7</v>
      </c>
      <c r="BS311" s="27" t="s">
        <v>8</v>
      </c>
      <c r="BV311" s="27" t="s">
        <v>7</v>
      </c>
      <c r="BW311" s="27" t="s">
        <v>8</v>
      </c>
      <c r="BZ311" s="27" t="s">
        <v>7</v>
      </c>
      <c r="CB311" s="27" t="s">
        <v>7</v>
      </c>
      <c r="CC311" s="27" t="s">
        <v>8</v>
      </c>
      <c r="CL311" s="27" t="s">
        <v>7</v>
      </c>
      <c r="CS311" s="27" t="s">
        <v>8</v>
      </c>
      <c r="EG311" s="27" t="s">
        <v>8</v>
      </c>
      <c r="EL311" s="27" t="s">
        <v>7</v>
      </c>
      <c r="EO311" s="27" t="s">
        <v>8</v>
      </c>
      <c r="EP311" s="27" t="s">
        <v>7</v>
      </c>
      <c r="FU311" s="27" t="s">
        <v>8</v>
      </c>
      <c r="FV311" s="27" t="s">
        <v>7</v>
      </c>
      <c r="FW311" s="27" t="s">
        <v>8</v>
      </c>
      <c r="FX311" s="27" t="s">
        <v>7</v>
      </c>
      <c r="FY311" s="27" t="s">
        <v>8</v>
      </c>
      <c r="FZ311" s="27" t="s">
        <v>7</v>
      </c>
      <c r="GA311" s="27" t="s">
        <v>8</v>
      </c>
      <c r="GB311" s="27" t="s">
        <v>7</v>
      </c>
      <c r="GC311" s="27" t="s">
        <v>8</v>
      </c>
      <c r="GQ311" s="31"/>
    </row>
    <row r="312" spans="1:203" x14ac:dyDescent="0.25">
      <c r="A312" s="7">
        <v>231.76467070363972</v>
      </c>
      <c r="B312"/>
      <c r="C312"/>
      <c r="D312"/>
      <c r="E312"/>
      <c r="BQ312" s="27" t="s">
        <v>8</v>
      </c>
      <c r="BR312" s="27" t="s">
        <v>7</v>
      </c>
      <c r="BS312" s="27" t="s">
        <v>8</v>
      </c>
      <c r="BV312" s="27" t="s">
        <v>7</v>
      </c>
      <c r="CB312" s="27" t="s">
        <v>7</v>
      </c>
      <c r="CC312" s="27" t="s">
        <v>8</v>
      </c>
      <c r="CL312" s="27" t="s">
        <v>7</v>
      </c>
      <c r="CO312" s="27" t="s">
        <v>8</v>
      </c>
      <c r="CS312" s="27" t="s">
        <v>8</v>
      </c>
      <c r="CT312" s="27" t="s">
        <v>7</v>
      </c>
      <c r="EG312" s="27" t="s">
        <v>8</v>
      </c>
      <c r="EL312" s="27" t="s">
        <v>7</v>
      </c>
      <c r="EM312" s="27" t="s">
        <v>8</v>
      </c>
      <c r="EO312" s="27" t="s">
        <v>8</v>
      </c>
      <c r="EP312" s="27" t="s">
        <v>7</v>
      </c>
      <c r="FU312" s="27" t="s">
        <v>8</v>
      </c>
      <c r="FV312" s="27" t="s">
        <v>7</v>
      </c>
      <c r="FX312" s="27" t="s">
        <v>7</v>
      </c>
      <c r="FY312" s="27" t="s">
        <v>8</v>
      </c>
      <c r="FZ312" s="27" t="s">
        <v>7</v>
      </c>
      <c r="GA312" s="27" t="s">
        <v>8</v>
      </c>
      <c r="GB312" s="27" t="s">
        <v>7</v>
      </c>
    </row>
    <row r="313" spans="1:203" x14ac:dyDescent="0.25">
      <c r="A313" s="7">
        <v>227.22026539572522</v>
      </c>
      <c r="B313"/>
      <c r="C313"/>
      <c r="D313"/>
      <c r="E313"/>
      <c r="BQ313" s="27" t="s">
        <v>8</v>
      </c>
      <c r="BR313" s="27" t="s">
        <v>7</v>
      </c>
      <c r="CB313" s="27" t="s">
        <v>7</v>
      </c>
      <c r="CL313" s="27" t="s">
        <v>7</v>
      </c>
      <c r="CM313" s="27" t="s">
        <v>8</v>
      </c>
      <c r="CO313" s="27" t="s">
        <v>8</v>
      </c>
      <c r="CP313" s="27" t="s">
        <v>7</v>
      </c>
      <c r="CS313" s="27" t="s">
        <v>8</v>
      </c>
      <c r="CT313" s="27" t="s">
        <v>7</v>
      </c>
      <c r="EG313" s="27" t="s">
        <v>8</v>
      </c>
      <c r="EL313" s="27" t="s">
        <v>7</v>
      </c>
      <c r="EM313" s="27" t="s">
        <v>8</v>
      </c>
      <c r="EN313" s="27" t="s">
        <v>7</v>
      </c>
      <c r="EO313" s="27" t="s">
        <v>8</v>
      </c>
      <c r="EP313" s="27" t="s">
        <v>7</v>
      </c>
      <c r="FI313" s="27" t="s">
        <v>8</v>
      </c>
      <c r="FU313" s="27" t="s">
        <v>8</v>
      </c>
      <c r="FX313" s="27" t="s">
        <v>7</v>
      </c>
      <c r="FY313" s="27" t="s">
        <v>8</v>
      </c>
      <c r="FZ313" s="27" t="s">
        <v>7</v>
      </c>
      <c r="GA313" s="27" t="s">
        <v>8</v>
      </c>
    </row>
    <row r="314" spans="1:203" x14ac:dyDescent="0.25">
      <c r="A314" s="7">
        <v>222.76496607424042</v>
      </c>
      <c r="B314"/>
      <c r="C314"/>
      <c r="D314"/>
      <c r="E314"/>
      <c r="G314" s="27" t="s">
        <v>8</v>
      </c>
      <c r="BQ314" s="27" t="s">
        <v>8</v>
      </c>
      <c r="CL314" s="27" t="s">
        <v>7</v>
      </c>
      <c r="CM314" s="27" t="s">
        <v>8</v>
      </c>
      <c r="CN314" s="27" t="s">
        <v>7</v>
      </c>
      <c r="CO314" s="27" t="s">
        <v>8</v>
      </c>
      <c r="CP314" s="27" t="s">
        <v>7</v>
      </c>
      <c r="CQ314" s="27" t="s">
        <v>8</v>
      </c>
      <c r="CS314" s="27" t="s">
        <v>8</v>
      </c>
      <c r="CT314" s="27" t="s">
        <v>7</v>
      </c>
      <c r="DA314" s="27" t="s">
        <v>8</v>
      </c>
      <c r="EG314" s="27" t="s">
        <v>8</v>
      </c>
      <c r="EL314" s="27" t="s">
        <v>7</v>
      </c>
      <c r="EM314" s="27" t="s">
        <v>8</v>
      </c>
      <c r="EN314" s="27" t="s">
        <v>7</v>
      </c>
      <c r="EO314" s="27" t="s">
        <v>8</v>
      </c>
      <c r="EP314" s="27" t="s">
        <v>7</v>
      </c>
      <c r="FI314" s="27" t="s">
        <v>8</v>
      </c>
      <c r="FJ314" s="27" t="s">
        <v>7</v>
      </c>
      <c r="FU314" s="27" t="s">
        <v>8</v>
      </c>
      <c r="FX314" s="27" t="s">
        <v>7</v>
      </c>
      <c r="FY314" s="27" t="s">
        <v>8</v>
      </c>
      <c r="FZ314" s="27" t="s">
        <v>7</v>
      </c>
      <c r="GA314" s="27" t="s">
        <v>8</v>
      </c>
      <c r="GN314" s="31"/>
    </row>
    <row r="315" spans="1:203" x14ac:dyDescent="0.25">
      <c r="A315" s="7">
        <v>218.39702556298079</v>
      </c>
      <c r="B315"/>
      <c r="C315"/>
      <c r="D315"/>
      <c r="E315"/>
      <c r="G315" s="27" t="s">
        <v>8</v>
      </c>
      <c r="H315" s="27" t="s">
        <v>7</v>
      </c>
      <c r="BQ315" s="27" t="s">
        <v>8</v>
      </c>
      <c r="CL315" s="27" t="s">
        <v>7</v>
      </c>
      <c r="CM315" s="27" t="s">
        <v>8</v>
      </c>
      <c r="CN315" s="27" t="s">
        <v>7</v>
      </c>
      <c r="CO315" s="27" t="s">
        <v>8</v>
      </c>
      <c r="CP315" s="27" t="s">
        <v>7</v>
      </c>
      <c r="CQ315" s="27" t="s">
        <v>8</v>
      </c>
      <c r="CR315" s="27" t="s">
        <v>7</v>
      </c>
      <c r="CS315" s="27" t="s">
        <v>8</v>
      </c>
      <c r="CT315" s="27" t="s">
        <v>7</v>
      </c>
      <c r="DA315" s="27" t="s">
        <v>8</v>
      </c>
      <c r="DB315" s="27" t="s">
        <v>7</v>
      </c>
      <c r="EG315" s="27" t="s">
        <v>8</v>
      </c>
      <c r="EL315" s="27" t="s">
        <v>7</v>
      </c>
      <c r="EM315" s="27" t="s">
        <v>8</v>
      </c>
      <c r="EN315" s="27" t="s">
        <v>7</v>
      </c>
      <c r="EO315" s="27" t="s">
        <v>8</v>
      </c>
      <c r="EP315" s="27" t="s">
        <v>7</v>
      </c>
      <c r="FI315" s="27" t="s">
        <v>8</v>
      </c>
      <c r="FJ315" s="27" t="s">
        <v>7</v>
      </c>
      <c r="FU315" s="27" t="s">
        <v>8</v>
      </c>
      <c r="FX315" s="27" t="s">
        <v>7</v>
      </c>
      <c r="FZ315" s="27" t="s">
        <v>7</v>
      </c>
    </row>
    <row r="316" spans="1:203" x14ac:dyDescent="0.25">
      <c r="A316" s="7">
        <v>214.1147309440988</v>
      </c>
      <c r="B316"/>
      <c r="C316"/>
      <c r="D316"/>
      <c r="E316"/>
      <c r="G316" s="27" t="s">
        <v>8</v>
      </c>
      <c r="H316" s="27" t="s">
        <v>7</v>
      </c>
      <c r="BQ316" s="27" t="s">
        <v>8</v>
      </c>
      <c r="CL316" s="27" t="s">
        <v>7</v>
      </c>
      <c r="CM316" s="27" t="s">
        <v>8</v>
      </c>
      <c r="CN316" s="27" t="s">
        <v>7</v>
      </c>
      <c r="CP316" s="27" t="s">
        <v>7</v>
      </c>
      <c r="CQ316" s="27" t="s">
        <v>8</v>
      </c>
      <c r="CR316" s="27" t="s">
        <v>7</v>
      </c>
      <c r="CS316" s="27" t="s">
        <v>8</v>
      </c>
      <c r="CT316" s="27" t="s">
        <v>7</v>
      </c>
      <c r="DA316" s="27" t="s">
        <v>8</v>
      </c>
      <c r="DB316" s="27" t="s">
        <v>7</v>
      </c>
      <c r="EG316" s="27" t="s">
        <v>8</v>
      </c>
      <c r="EL316" s="27" t="s">
        <v>7</v>
      </c>
      <c r="EN316" s="27" t="s">
        <v>7</v>
      </c>
      <c r="EP316" s="27" t="s">
        <v>7</v>
      </c>
      <c r="FI316" s="27" t="s">
        <v>8</v>
      </c>
      <c r="FJ316" s="27" t="s">
        <v>7</v>
      </c>
      <c r="FM316" s="27" t="s">
        <v>8</v>
      </c>
      <c r="FQ316" s="27" t="s">
        <v>8</v>
      </c>
      <c r="FU316" s="27" t="s">
        <v>8</v>
      </c>
    </row>
    <row r="317" spans="1:203" x14ac:dyDescent="0.25">
      <c r="A317" s="7">
        <v>209.91640288637137</v>
      </c>
      <c r="B317"/>
      <c r="C317"/>
      <c r="D317"/>
      <c r="E317"/>
      <c r="G317" s="27" t="s">
        <v>8</v>
      </c>
      <c r="H317" s="27" t="s">
        <v>7</v>
      </c>
      <c r="BQ317" s="27" t="s">
        <v>8</v>
      </c>
      <c r="CL317" s="27" t="s">
        <v>7</v>
      </c>
      <c r="CM317" s="27" t="s">
        <v>8</v>
      </c>
      <c r="CP317" s="27" t="s">
        <v>7</v>
      </c>
      <c r="CQ317" s="27" t="s">
        <v>8</v>
      </c>
      <c r="CR317" s="27" t="s">
        <v>7</v>
      </c>
      <c r="CS317" s="27" t="s">
        <v>8</v>
      </c>
      <c r="CT317" s="27" t="s">
        <v>7</v>
      </c>
      <c r="DA317" s="27" t="s">
        <v>8</v>
      </c>
      <c r="DB317" s="27" t="s">
        <v>7</v>
      </c>
      <c r="EG317" s="27" t="s">
        <v>8</v>
      </c>
      <c r="EP317" s="27" t="s">
        <v>7</v>
      </c>
      <c r="FI317" s="27" t="s">
        <v>8</v>
      </c>
      <c r="FJ317" s="27" t="s">
        <v>7</v>
      </c>
      <c r="FK317" s="27" t="s">
        <v>8</v>
      </c>
      <c r="FM317" s="27" t="s">
        <v>8</v>
      </c>
      <c r="FN317" s="27" t="s">
        <v>7</v>
      </c>
      <c r="FQ317" s="27" t="s">
        <v>8</v>
      </c>
      <c r="FR317" s="27" t="s">
        <v>7</v>
      </c>
      <c r="FS317" s="27" t="s">
        <v>8</v>
      </c>
      <c r="FU317" s="27" t="s">
        <v>8</v>
      </c>
    </row>
    <row r="318" spans="1:203" x14ac:dyDescent="0.25">
      <c r="A318" s="7">
        <v>205.80039498663859</v>
      </c>
      <c r="B318"/>
      <c r="C318"/>
      <c r="D318"/>
      <c r="E318" t="s">
        <v>8</v>
      </c>
      <c r="G318" s="27" t="s">
        <v>8</v>
      </c>
      <c r="H318" s="27" t="s">
        <v>7</v>
      </c>
      <c r="BQ318" s="27" t="s">
        <v>8</v>
      </c>
      <c r="CL318" s="27" t="s">
        <v>7</v>
      </c>
      <c r="CM318" s="27" t="s">
        <v>8</v>
      </c>
      <c r="CP318" s="27" t="s">
        <v>7</v>
      </c>
      <c r="CR318" s="27" t="s">
        <v>7</v>
      </c>
      <c r="CS318" s="27" t="s">
        <v>8</v>
      </c>
      <c r="CT318" s="27" t="s">
        <v>7</v>
      </c>
      <c r="DA318" s="27" t="s">
        <v>8</v>
      </c>
      <c r="DB318" s="27" t="s">
        <v>7</v>
      </c>
      <c r="EG318" s="27" t="s">
        <v>8</v>
      </c>
      <c r="EP318" s="27" t="s">
        <v>7</v>
      </c>
      <c r="EQ318" s="27" t="s">
        <v>8</v>
      </c>
      <c r="FI318" s="27" t="s">
        <v>8</v>
      </c>
      <c r="FJ318" s="27" t="s">
        <v>7</v>
      </c>
      <c r="FK318" s="27" t="s">
        <v>8</v>
      </c>
      <c r="FL318" s="27" t="s">
        <v>7</v>
      </c>
      <c r="FM318" s="27" t="s">
        <v>8</v>
      </c>
      <c r="FN318" s="27" t="s">
        <v>7</v>
      </c>
      <c r="FO318" s="27" t="s">
        <v>8</v>
      </c>
      <c r="FQ318" s="27" t="s">
        <v>8</v>
      </c>
      <c r="FR318" s="27" t="s">
        <v>7</v>
      </c>
      <c r="FS318" s="27" t="s">
        <v>8</v>
      </c>
      <c r="FT318" s="27" t="s">
        <v>7</v>
      </c>
      <c r="FU318" s="27" t="s">
        <v>8</v>
      </c>
    </row>
    <row r="319" spans="1:203" x14ac:dyDescent="0.25">
      <c r="A319" s="7">
        <v>201.76509312415547</v>
      </c>
      <c r="B319"/>
      <c r="C319"/>
      <c r="D319"/>
      <c r="E319" t="s">
        <v>8</v>
      </c>
      <c r="F319" s="27" t="s">
        <v>7</v>
      </c>
      <c r="G319" s="27" t="s">
        <v>8</v>
      </c>
      <c r="H319" s="27" t="s">
        <v>7</v>
      </c>
      <c r="BO319" s="27" t="s">
        <v>8</v>
      </c>
      <c r="BQ319" s="27" t="s">
        <v>8</v>
      </c>
      <c r="CL319" s="27" t="s">
        <v>7</v>
      </c>
      <c r="CM319" s="27" t="s">
        <v>8</v>
      </c>
      <c r="CR319" s="27" t="s">
        <v>7</v>
      </c>
      <c r="CT319" s="27" t="s">
        <v>7</v>
      </c>
      <c r="CU319" s="27" t="s">
        <v>8</v>
      </c>
      <c r="DA319" s="27" t="s">
        <v>8</v>
      </c>
      <c r="DB319" s="27" t="s">
        <v>7</v>
      </c>
      <c r="EG319" s="27" t="s">
        <v>8</v>
      </c>
      <c r="EP319" s="27" t="s">
        <v>7</v>
      </c>
      <c r="EQ319" s="27" t="s">
        <v>8</v>
      </c>
      <c r="ER319" s="27" t="s">
        <v>7</v>
      </c>
      <c r="FI319" s="27" t="s">
        <v>8</v>
      </c>
      <c r="FJ319" s="27" t="s">
        <v>7</v>
      </c>
      <c r="FK319" s="27" t="s">
        <v>8</v>
      </c>
      <c r="FL319" s="27" t="s">
        <v>7</v>
      </c>
      <c r="FM319" s="27" t="s">
        <v>8</v>
      </c>
      <c r="FN319" s="27" t="s">
        <v>7</v>
      </c>
      <c r="FO319" s="27" t="s">
        <v>8</v>
      </c>
      <c r="FP319" s="27" t="s">
        <v>7</v>
      </c>
      <c r="FQ319" s="27" t="s">
        <v>8</v>
      </c>
      <c r="FR319" s="27" t="s">
        <v>7</v>
      </c>
      <c r="FS319" s="27" t="s">
        <v>8</v>
      </c>
      <c r="FT319" s="27" t="s">
        <v>7</v>
      </c>
      <c r="FU319" s="27" t="s">
        <v>8</v>
      </c>
      <c r="GI319" s="31"/>
    </row>
    <row r="320" spans="1:203" x14ac:dyDescent="0.25">
      <c r="A320" s="7">
        <v>197.80891482760339</v>
      </c>
      <c r="B320"/>
      <c r="C320"/>
      <c r="D320"/>
      <c r="E320" t="s">
        <v>8</v>
      </c>
      <c r="F320" s="27" t="s">
        <v>7</v>
      </c>
      <c r="G320" s="27" t="s">
        <v>8</v>
      </c>
      <c r="H320" s="27" t="s">
        <v>7</v>
      </c>
      <c r="BO320" s="27" t="s">
        <v>8</v>
      </c>
      <c r="BP320" s="27" t="s">
        <v>7</v>
      </c>
      <c r="BQ320" s="27" t="s">
        <v>8</v>
      </c>
      <c r="CL320" s="27" t="s">
        <v>7</v>
      </c>
      <c r="CM320" s="27" t="s">
        <v>8</v>
      </c>
      <c r="CT320" s="27" t="s">
        <v>7</v>
      </c>
      <c r="CU320" s="27" t="s">
        <v>8</v>
      </c>
      <c r="CV320" s="27" t="s">
        <v>7</v>
      </c>
      <c r="DA320" s="27" t="s">
        <v>8</v>
      </c>
      <c r="DB320" s="27" t="s">
        <v>7</v>
      </c>
      <c r="EG320" s="27" t="s">
        <v>8</v>
      </c>
      <c r="EP320" s="27" t="s">
        <v>7</v>
      </c>
      <c r="EQ320" s="27" t="s">
        <v>8</v>
      </c>
      <c r="ER320" s="27" t="s">
        <v>7</v>
      </c>
      <c r="FI320" s="27" t="s">
        <v>8</v>
      </c>
      <c r="FJ320" s="27" t="s">
        <v>7</v>
      </c>
      <c r="FL320" s="27" t="s">
        <v>7</v>
      </c>
      <c r="FN320" s="27" t="s">
        <v>7</v>
      </c>
      <c r="FO320" s="27" t="s">
        <v>8</v>
      </c>
      <c r="FP320" s="27" t="s">
        <v>7</v>
      </c>
      <c r="FQ320" s="27" t="s">
        <v>8</v>
      </c>
      <c r="FR320" s="27" t="s">
        <v>7</v>
      </c>
      <c r="FS320" s="27" t="s">
        <v>8</v>
      </c>
      <c r="FT320" s="27" t="s">
        <v>7</v>
      </c>
    </row>
    <row r="321" spans="1:187" x14ac:dyDescent="0.25">
      <c r="A321" s="7">
        <v>193.93030865451311</v>
      </c>
      <c r="B321"/>
      <c r="C321"/>
      <c r="D321"/>
      <c r="E321" t="s">
        <v>8</v>
      </c>
      <c r="F321" s="27" t="s">
        <v>7</v>
      </c>
      <c r="H321" s="27" t="s">
        <v>7</v>
      </c>
      <c r="BO321" s="27" t="s">
        <v>8</v>
      </c>
      <c r="BP321" s="27" t="s">
        <v>7</v>
      </c>
      <c r="BQ321" s="27" t="s">
        <v>8</v>
      </c>
      <c r="CL321" s="27" t="s">
        <v>7</v>
      </c>
      <c r="CT321" s="27" t="s">
        <v>7</v>
      </c>
      <c r="CU321" s="27" t="s">
        <v>8</v>
      </c>
      <c r="CV321" s="27" t="s">
        <v>7</v>
      </c>
      <c r="CW321" s="27" t="s">
        <v>8</v>
      </c>
      <c r="DA321" s="27" t="s">
        <v>8</v>
      </c>
      <c r="DB321" s="27" t="s">
        <v>7</v>
      </c>
      <c r="DI321" s="27" t="s">
        <v>8</v>
      </c>
      <c r="DK321" s="27" t="s">
        <v>8</v>
      </c>
      <c r="DO321" s="27" t="s">
        <v>8</v>
      </c>
      <c r="EG321" s="27" t="s">
        <v>8</v>
      </c>
      <c r="EP321" s="27" t="s">
        <v>7</v>
      </c>
      <c r="EQ321" s="27" t="s">
        <v>8</v>
      </c>
      <c r="ER321" s="27" t="s">
        <v>7</v>
      </c>
      <c r="FI321" s="27" t="s">
        <v>8</v>
      </c>
      <c r="FN321" s="27" t="s">
        <v>7</v>
      </c>
      <c r="FO321" s="27" t="s">
        <v>8</v>
      </c>
      <c r="FP321" s="27" t="s">
        <v>7</v>
      </c>
      <c r="FR321" s="27" t="s">
        <v>7</v>
      </c>
    </row>
    <row r="322" spans="1:187" x14ac:dyDescent="0.25">
      <c r="A322" s="7">
        <v>190.127753582856</v>
      </c>
      <c r="B322"/>
      <c r="C322"/>
      <c r="D322"/>
      <c r="E322" t="s">
        <v>8</v>
      </c>
      <c r="H322" s="27" t="s">
        <v>7</v>
      </c>
      <c r="BO322" s="27" t="s">
        <v>8</v>
      </c>
      <c r="BP322" s="27" t="s">
        <v>7</v>
      </c>
      <c r="BQ322" s="27" t="s">
        <v>8</v>
      </c>
      <c r="CT322" s="27" t="s">
        <v>7</v>
      </c>
      <c r="CU322" s="27" t="s">
        <v>8</v>
      </c>
      <c r="CV322" s="27" t="s">
        <v>7</v>
      </c>
      <c r="CW322" s="27" t="s">
        <v>8</v>
      </c>
      <c r="CX322" s="27" t="s">
        <v>7</v>
      </c>
      <c r="DA322" s="27" t="s">
        <v>8</v>
      </c>
      <c r="DB322" s="27" t="s">
        <v>7</v>
      </c>
      <c r="DI322" s="27" t="s">
        <v>8</v>
      </c>
      <c r="DJ322" s="27" t="s">
        <v>7</v>
      </c>
      <c r="DK322" s="27" t="s">
        <v>8</v>
      </c>
      <c r="DL322" s="27" t="s">
        <v>7</v>
      </c>
      <c r="DM322" s="27" t="s">
        <v>8</v>
      </c>
      <c r="DO322" s="27" t="s">
        <v>8</v>
      </c>
      <c r="DP322" s="27" t="s">
        <v>7</v>
      </c>
      <c r="EG322" s="27" t="s">
        <v>8</v>
      </c>
      <c r="EP322" s="27" t="s">
        <v>7</v>
      </c>
      <c r="ER322" s="27" t="s">
        <v>7</v>
      </c>
      <c r="FI322" s="27" t="s">
        <v>8</v>
      </c>
      <c r="FN322" s="27" t="s">
        <v>7</v>
      </c>
      <c r="FO322" s="27" t="s">
        <v>8</v>
      </c>
    </row>
    <row r="323" spans="1:187" x14ac:dyDescent="0.25">
      <c r="A323" s="7">
        <v>186.3997584145647</v>
      </c>
      <c r="B323"/>
      <c r="C323"/>
      <c r="D323"/>
      <c r="E323" t="s">
        <v>8</v>
      </c>
      <c r="H323" s="27" t="s">
        <v>7</v>
      </c>
      <c r="BO323" s="27" t="s">
        <v>8</v>
      </c>
      <c r="BP323" s="27" t="s">
        <v>7</v>
      </c>
      <c r="BQ323" s="27" t="s">
        <v>8</v>
      </c>
      <c r="CT323" s="27" t="s">
        <v>7</v>
      </c>
      <c r="CU323" s="27" t="s">
        <v>8</v>
      </c>
      <c r="CV323" s="27" t="s">
        <v>7</v>
      </c>
      <c r="CW323" s="27" t="s">
        <v>8</v>
      </c>
      <c r="CX323" s="27" t="s">
        <v>7</v>
      </c>
      <c r="DA323" s="27" t="s">
        <v>8</v>
      </c>
      <c r="DB323" s="27" t="s">
        <v>7</v>
      </c>
      <c r="DI323" s="27" t="s">
        <v>8</v>
      </c>
      <c r="DJ323" s="27" t="s">
        <v>7</v>
      </c>
      <c r="DK323" s="27" t="s">
        <v>8</v>
      </c>
      <c r="DL323" s="27" t="s">
        <v>7</v>
      </c>
      <c r="DM323" s="27" t="s">
        <v>8</v>
      </c>
      <c r="DN323" s="27" t="s">
        <v>7</v>
      </c>
      <c r="DO323" s="27" t="s">
        <v>8</v>
      </c>
      <c r="DP323" s="27" t="s">
        <v>7</v>
      </c>
      <c r="EE323" s="27" t="s">
        <v>8</v>
      </c>
      <c r="EG323" s="27" t="s">
        <v>8</v>
      </c>
      <c r="ER323" s="27" t="s">
        <v>7</v>
      </c>
      <c r="FG323" s="27" t="s">
        <v>8</v>
      </c>
      <c r="FI323" s="27" t="s">
        <v>8</v>
      </c>
      <c r="FN323" s="27" t="s">
        <v>7</v>
      </c>
      <c r="FO323" s="27" t="s">
        <v>8</v>
      </c>
      <c r="GE323" s="31"/>
    </row>
    <row r="324" spans="1:187" x14ac:dyDescent="0.25">
      <c r="A324" s="7">
        <v>182.7448611907497</v>
      </c>
      <c r="B324"/>
      <c r="C324"/>
      <c r="D324"/>
      <c r="E324" t="s">
        <v>8</v>
      </c>
      <c r="H324" s="27" t="s">
        <v>7</v>
      </c>
      <c r="I324" s="27" t="s">
        <v>8</v>
      </c>
      <c r="BE324" s="27" t="s">
        <v>8</v>
      </c>
      <c r="BM324" s="27" t="s">
        <v>8</v>
      </c>
      <c r="BO324" s="27" t="s">
        <v>8</v>
      </c>
      <c r="BP324" s="27" t="s">
        <v>7</v>
      </c>
      <c r="CT324" s="27" t="s">
        <v>7</v>
      </c>
      <c r="CU324" s="27" t="s">
        <v>8</v>
      </c>
      <c r="CV324" s="27" t="s">
        <v>7</v>
      </c>
      <c r="CX324" s="27" t="s">
        <v>7</v>
      </c>
      <c r="CY324" s="27" t="s">
        <v>8</v>
      </c>
      <c r="DA324" s="27" t="s">
        <v>8</v>
      </c>
      <c r="DB324" s="27" t="s">
        <v>7</v>
      </c>
      <c r="DG324" s="27" t="s">
        <v>8</v>
      </c>
      <c r="DI324" s="27" t="s">
        <v>8</v>
      </c>
      <c r="DJ324" s="27" t="s">
        <v>7</v>
      </c>
      <c r="DK324" s="27" t="s">
        <v>8</v>
      </c>
      <c r="DL324" s="27" t="s">
        <v>7</v>
      </c>
      <c r="DM324" s="27" t="s">
        <v>8</v>
      </c>
      <c r="DN324" s="27" t="s">
        <v>7</v>
      </c>
      <c r="DO324" s="27" t="s">
        <v>8</v>
      </c>
      <c r="DP324" s="27" t="s">
        <v>7</v>
      </c>
      <c r="EE324" s="27" t="s">
        <v>8</v>
      </c>
      <c r="EF324" s="27" t="s">
        <v>7</v>
      </c>
      <c r="EG324" s="27" t="s">
        <v>8</v>
      </c>
      <c r="ER324" s="27" t="s">
        <v>7</v>
      </c>
      <c r="FG324" s="27" t="s">
        <v>8</v>
      </c>
      <c r="FH324" s="27" t="s">
        <v>7</v>
      </c>
      <c r="FI324" s="27" t="s">
        <v>8</v>
      </c>
      <c r="FN324" s="27" t="s">
        <v>7</v>
      </c>
      <c r="FO324" s="27" t="s">
        <v>8</v>
      </c>
    </row>
    <row r="325" spans="1:187" x14ac:dyDescent="0.25">
      <c r="A325" s="7">
        <v>179.16162861838205</v>
      </c>
      <c r="B325"/>
      <c r="C325"/>
      <c r="D325"/>
      <c r="E325" t="s">
        <v>8</v>
      </c>
      <c r="H325" s="27" t="s">
        <v>7</v>
      </c>
      <c r="I325" s="27" t="s">
        <v>8</v>
      </c>
      <c r="J325" s="27" t="s">
        <v>7</v>
      </c>
      <c r="BE325" s="27" t="s">
        <v>8</v>
      </c>
      <c r="BF325" s="27" t="s">
        <v>7</v>
      </c>
      <c r="BM325" s="27" t="s">
        <v>8</v>
      </c>
      <c r="BN325" s="27" t="s">
        <v>7</v>
      </c>
      <c r="BO325" s="27" t="s">
        <v>8</v>
      </c>
      <c r="CT325" s="27" t="s">
        <v>7</v>
      </c>
      <c r="CX325" s="27" t="s">
        <v>7</v>
      </c>
      <c r="CY325" s="27" t="s">
        <v>8</v>
      </c>
      <c r="CZ325" s="27" t="s">
        <v>7</v>
      </c>
      <c r="DA325" s="27" t="s">
        <v>8</v>
      </c>
      <c r="DB325" s="27" t="s">
        <v>7</v>
      </c>
      <c r="DG325" s="27" t="s">
        <v>8</v>
      </c>
      <c r="DH325" s="27" t="s">
        <v>7</v>
      </c>
      <c r="DI325" s="27" t="s">
        <v>8</v>
      </c>
      <c r="DJ325" s="27" t="s">
        <v>7</v>
      </c>
      <c r="DK325" s="27" t="s">
        <v>8</v>
      </c>
      <c r="DL325" s="27" t="s">
        <v>7</v>
      </c>
      <c r="DN325" s="27" t="s">
        <v>7</v>
      </c>
      <c r="DP325" s="27" t="s">
        <v>7</v>
      </c>
      <c r="EC325" s="27" t="s">
        <v>8</v>
      </c>
      <c r="EE325" s="27" t="s">
        <v>8</v>
      </c>
      <c r="EF325" s="27" t="s">
        <v>7</v>
      </c>
      <c r="EG325" s="27" t="s">
        <v>8</v>
      </c>
      <c r="ER325" s="27" t="s">
        <v>7</v>
      </c>
      <c r="FG325" s="27" t="s">
        <v>8</v>
      </c>
      <c r="FH325" s="27" t="s">
        <v>7</v>
      </c>
      <c r="FI325" s="27" t="s">
        <v>8</v>
      </c>
      <c r="FN325" s="27" t="s">
        <v>7</v>
      </c>
    </row>
    <row r="326" spans="1:187" x14ac:dyDescent="0.25">
      <c r="A326" s="7">
        <v>175.6486555082177</v>
      </c>
      <c r="B326"/>
      <c r="C326"/>
      <c r="D326"/>
      <c r="E326" t="s">
        <v>8</v>
      </c>
      <c r="H326" s="27" t="s">
        <v>7</v>
      </c>
      <c r="I326" s="27" t="s">
        <v>8</v>
      </c>
      <c r="J326" s="27" t="s">
        <v>7</v>
      </c>
      <c r="BC326" s="27" t="s">
        <v>8</v>
      </c>
      <c r="BE326" s="27" t="s">
        <v>8</v>
      </c>
      <c r="BF326" s="27" t="s">
        <v>7</v>
      </c>
      <c r="BG326" s="27" t="s">
        <v>8</v>
      </c>
      <c r="BI326" s="27" t="s">
        <v>8</v>
      </c>
      <c r="BM326" s="27" t="s">
        <v>8</v>
      </c>
      <c r="BN326" s="27" t="s">
        <v>7</v>
      </c>
      <c r="BO326" s="27" t="s">
        <v>8</v>
      </c>
      <c r="CX326" s="27" t="s">
        <v>7</v>
      </c>
      <c r="CY326" s="27" t="s">
        <v>8</v>
      </c>
      <c r="CZ326" s="27" t="s">
        <v>7</v>
      </c>
      <c r="DA326" s="27" t="s">
        <v>8</v>
      </c>
      <c r="DB326" s="27" t="s">
        <v>7</v>
      </c>
      <c r="DE326" s="27" t="s">
        <v>8</v>
      </c>
      <c r="DG326" s="27" t="s">
        <v>8</v>
      </c>
      <c r="DH326" s="27" t="s">
        <v>7</v>
      </c>
      <c r="DI326" s="27" t="s">
        <v>8</v>
      </c>
      <c r="DJ326" s="27" t="s">
        <v>7</v>
      </c>
      <c r="DK326" s="27" t="s">
        <v>8</v>
      </c>
      <c r="DP326" s="27" t="s">
        <v>7</v>
      </c>
      <c r="EC326" s="27" t="s">
        <v>8</v>
      </c>
      <c r="ED326" s="27" t="s">
        <v>7</v>
      </c>
      <c r="EE326" s="27" t="s">
        <v>8</v>
      </c>
      <c r="EF326" s="27" t="s">
        <v>7</v>
      </c>
      <c r="ER326" s="27" t="s">
        <v>7</v>
      </c>
      <c r="FC326" s="27" t="s">
        <v>8</v>
      </c>
      <c r="FG326" s="27" t="s">
        <v>8</v>
      </c>
      <c r="FH326" s="27" t="s">
        <v>7</v>
      </c>
      <c r="FI326" s="27" t="s">
        <v>8</v>
      </c>
    </row>
    <row r="327" spans="1:187" x14ac:dyDescent="0.25">
      <c r="A327" s="7">
        <v>172.20456422374284</v>
      </c>
      <c r="B327"/>
      <c r="C327"/>
      <c r="D327"/>
      <c r="E327" t="s">
        <v>8</v>
      </c>
      <c r="H327" s="27" t="s">
        <v>7</v>
      </c>
      <c r="J327" s="27" t="s">
        <v>7</v>
      </c>
      <c r="BC327" s="27" t="s">
        <v>8</v>
      </c>
      <c r="BD327" s="27" t="s">
        <v>7</v>
      </c>
      <c r="BE327" s="27" t="s">
        <v>8</v>
      </c>
      <c r="BF327" s="27" t="s">
        <v>7</v>
      </c>
      <c r="BG327" s="27" t="s">
        <v>8</v>
      </c>
      <c r="BH327" s="27" t="s">
        <v>7</v>
      </c>
      <c r="BI327" s="27" t="s">
        <v>8</v>
      </c>
      <c r="BJ327" s="27" t="s">
        <v>7</v>
      </c>
      <c r="BM327" s="27" t="s">
        <v>8</v>
      </c>
      <c r="BN327" s="27" t="s">
        <v>7</v>
      </c>
      <c r="BO327" s="27" t="s">
        <v>8</v>
      </c>
      <c r="CX327" s="27" t="s">
        <v>7</v>
      </c>
      <c r="CY327" s="27" t="s">
        <v>8</v>
      </c>
      <c r="CZ327" s="27" t="s">
        <v>7</v>
      </c>
      <c r="DA327" s="27" t="s">
        <v>8</v>
      </c>
      <c r="DB327" s="27" t="s">
        <v>7</v>
      </c>
      <c r="DC327" s="27" t="s">
        <v>8</v>
      </c>
      <c r="DE327" s="27" t="s">
        <v>8</v>
      </c>
      <c r="DF327" s="27" t="s">
        <v>7</v>
      </c>
      <c r="DG327" s="27" t="s">
        <v>8</v>
      </c>
      <c r="DH327" s="27" t="s">
        <v>7</v>
      </c>
      <c r="DI327" s="27" t="s">
        <v>8</v>
      </c>
      <c r="DJ327" s="27" t="s">
        <v>7</v>
      </c>
      <c r="DK327" s="27" t="s">
        <v>8</v>
      </c>
      <c r="DP327" s="27" t="s">
        <v>7</v>
      </c>
      <c r="EC327" s="27" t="s">
        <v>8</v>
      </c>
      <c r="ED327" s="27" t="s">
        <v>7</v>
      </c>
      <c r="EE327" s="27" t="s">
        <v>8</v>
      </c>
      <c r="ER327" s="27" t="s">
        <v>7</v>
      </c>
      <c r="FC327" s="27" t="s">
        <v>8</v>
      </c>
      <c r="FD327" s="27" t="s">
        <v>7</v>
      </c>
      <c r="FG327" s="27" t="s">
        <v>8</v>
      </c>
      <c r="FH327" s="27" t="s">
        <v>7</v>
      </c>
      <c r="FI327" s="27" t="s">
        <v>8</v>
      </c>
      <c r="GA327" s="31"/>
    </row>
    <row r="328" spans="1:187" x14ac:dyDescent="0.25">
      <c r="A328" s="7">
        <v>168.82800414092435</v>
      </c>
      <c r="B328"/>
      <c r="C328"/>
      <c r="D328"/>
      <c r="E328" t="s">
        <v>8</v>
      </c>
      <c r="J328" s="27" t="s">
        <v>7</v>
      </c>
      <c r="BC328" s="27" t="s">
        <v>8</v>
      </c>
      <c r="BD328" s="27" t="s">
        <v>7</v>
      </c>
      <c r="BE328" s="27" t="s">
        <v>8</v>
      </c>
      <c r="BF328" s="27" t="s">
        <v>7</v>
      </c>
      <c r="BG328" s="27" t="s">
        <v>8</v>
      </c>
      <c r="BH328" s="27" t="s">
        <v>7</v>
      </c>
      <c r="BI328" s="27" t="s">
        <v>8</v>
      </c>
      <c r="BJ328" s="27" t="s">
        <v>7</v>
      </c>
      <c r="BM328" s="27" t="s">
        <v>8</v>
      </c>
      <c r="BN328" s="27" t="s">
        <v>7</v>
      </c>
      <c r="BO328" s="27" t="s">
        <v>8</v>
      </c>
      <c r="CX328" s="27" t="s">
        <v>7</v>
      </c>
      <c r="CY328" s="27" t="s">
        <v>8</v>
      </c>
      <c r="CZ328" s="27" t="s">
        <v>7</v>
      </c>
      <c r="DA328" s="27" t="s">
        <v>8</v>
      </c>
      <c r="DB328" s="27" t="s">
        <v>7</v>
      </c>
      <c r="DC328" s="27" t="s">
        <v>8</v>
      </c>
      <c r="DD328" s="27" t="s">
        <v>7</v>
      </c>
      <c r="DE328" s="27" t="s">
        <v>8</v>
      </c>
      <c r="DF328" s="27" t="s">
        <v>7</v>
      </c>
      <c r="DG328" s="27" t="s">
        <v>8</v>
      </c>
      <c r="DH328" s="27" t="s">
        <v>7</v>
      </c>
      <c r="DJ328" s="27" t="s">
        <v>7</v>
      </c>
      <c r="DK328" s="27" t="s">
        <v>8</v>
      </c>
      <c r="DP328" s="27" t="s">
        <v>7</v>
      </c>
      <c r="EA328" s="27" t="s">
        <v>8</v>
      </c>
      <c r="EC328" s="27" t="s">
        <v>8</v>
      </c>
      <c r="ED328" s="27" t="s">
        <v>7</v>
      </c>
      <c r="EE328" s="27" t="s">
        <v>8</v>
      </c>
      <c r="ER328" s="27" t="s">
        <v>7</v>
      </c>
      <c r="FC328" s="27" t="s">
        <v>8</v>
      </c>
      <c r="FD328" s="27" t="s">
        <v>7</v>
      </c>
      <c r="FG328" s="27" t="s">
        <v>8</v>
      </c>
      <c r="FH328" s="27" t="s">
        <v>7</v>
      </c>
    </row>
    <row r="329" spans="1:187" x14ac:dyDescent="0.25">
      <c r="A329" s="7">
        <v>165.51765111855329</v>
      </c>
      <c r="B329"/>
      <c r="C329"/>
      <c r="D329"/>
      <c r="E329" t="s">
        <v>8</v>
      </c>
      <c r="J329" s="27" t="s">
        <v>7</v>
      </c>
      <c r="AU329" s="27" t="s">
        <v>8</v>
      </c>
      <c r="BC329" s="27" t="s">
        <v>8</v>
      </c>
      <c r="BD329" s="27" t="s">
        <v>7</v>
      </c>
      <c r="BE329" s="27" t="s">
        <v>8</v>
      </c>
      <c r="BF329" s="27" t="s">
        <v>7</v>
      </c>
      <c r="BG329" s="27" t="s">
        <v>8</v>
      </c>
      <c r="BH329" s="27" t="s">
        <v>7</v>
      </c>
      <c r="BJ329" s="27" t="s">
        <v>7</v>
      </c>
      <c r="BK329" s="27" t="s">
        <v>8</v>
      </c>
      <c r="BM329" s="27" t="s">
        <v>8</v>
      </c>
      <c r="BN329" s="27" t="s">
        <v>7</v>
      </c>
      <c r="CX329" s="27" t="s">
        <v>7</v>
      </c>
      <c r="CZ329" s="27" t="s">
        <v>7</v>
      </c>
      <c r="DB329" s="27" t="s">
        <v>7</v>
      </c>
      <c r="DC329" s="27" t="s">
        <v>8</v>
      </c>
      <c r="DD329" s="27" t="s">
        <v>7</v>
      </c>
      <c r="DE329" s="27" t="s">
        <v>8</v>
      </c>
      <c r="DF329" s="27" t="s">
        <v>7</v>
      </c>
      <c r="DJ329" s="27" t="s">
        <v>7</v>
      </c>
      <c r="DK329" s="27" t="s">
        <v>8</v>
      </c>
      <c r="DP329" s="27" t="s">
        <v>7</v>
      </c>
      <c r="EA329" s="27" t="s">
        <v>8</v>
      </c>
      <c r="EB329" s="27" t="s">
        <v>7</v>
      </c>
      <c r="EC329" s="27" t="s">
        <v>8</v>
      </c>
      <c r="ED329" s="27" t="s">
        <v>7</v>
      </c>
      <c r="EE329" s="27" t="s">
        <v>8</v>
      </c>
      <c r="ER329" s="27" t="s">
        <v>7</v>
      </c>
      <c r="FC329" s="27" t="s">
        <v>8</v>
      </c>
      <c r="FD329" s="27" t="s">
        <v>7</v>
      </c>
      <c r="FG329" s="27" t="s">
        <v>8</v>
      </c>
      <c r="FY329" s="31"/>
    </row>
    <row r="330" spans="1:187" x14ac:dyDescent="0.25">
      <c r="A330" s="7">
        <v>162.2722069789738</v>
      </c>
      <c r="B330"/>
      <c r="C330"/>
      <c r="D330"/>
      <c r="E330" t="s">
        <v>8</v>
      </c>
      <c r="J330" s="27" t="s">
        <v>7</v>
      </c>
      <c r="AU330" s="27" t="s">
        <v>8</v>
      </c>
      <c r="AV330" s="27" t="s">
        <v>7</v>
      </c>
      <c r="BC330" s="27" t="s">
        <v>8</v>
      </c>
      <c r="BD330" s="27" t="s">
        <v>7</v>
      </c>
      <c r="BE330" s="27" t="s">
        <v>8</v>
      </c>
      <c r="BF330" s="27" t="s">
        <v>7</v>
      </c>
      <c r="BG330" s="27" t="s">
        <v>8</v>
      </c>
      <c r="BJ330" s="27" t="s">
        <v>7</v>
      </c>
      <c r="BK330" s="27" t="s">
        <v>8</v>
      </c>
      <c r="BL330" s="27" t="s">
        <v>7</v>
      </c>
      <c r="BM330" s="27" t="s">
        <v>8</v>
      </c>
      <c r="DB330" s="27" t="s">
        <v>7</v>
      </c>
      <c r="DC330" s="27" t="s">
        <v>8</v>
      </c>
      <c r="DD330" s="27" t="s">
        <v>7</v>
      </c>
      <c r="DE330" s="27" t="s">
        <v>8</v>
      </c>
      <c r="DJ330" s="27" t="s">
        <v>7</v>
      </c>
      <c r="DK330" s="27" t="s">
        <v>8</v>
      </c>
      <c r="DP330" s="27" t="s">
        <v>7</v>
      </c>
      <c r="EA330" s="27" t="s">
        <v>8</v>
      </c>
      <c r="EB330" s="27" t="s">
        <v>7</v>
      </c>
      <c r="EC330" s="27" t="s">
        <v>8</v>
      </c>
      <c r="ED330" s="27" t="s">
        <v>7</v>
      </c>
      <c r="EE330" s="27" t="s">
        <v>8</v>
      </c>
      <c r="ER330" s="27" t="s">
        <v>7</v>
      </c>
      <c r="FC330" s="27" t="s">
        <v>8</v>
      </c>
      <c r="FD330" s="27" t="s">
        <v>7</v>
      </c>
      <c r="FE330" s="27" t="s">
        <v>8</v>
      </c>
      <c r="FG330" s="27" t="s">
        <v>8</v>
      </c>
    </row>
    <row r="331" spans="1:187" x14ac:dyDescent="0.25">
      <c r="A331" s="7">
        <v>159.09039899899392</v>
      </c>
      <c r="B331"/>
      <c r="C331"/>
      <c r="D331"/>
      <c r="E331" t="s">
        <v>8</v>
      </c>
      <c r="J331" s="27" t="s">
        <v>7</v>
      </c>
      <c r="AI331" s="27" t="s">
        <v>8</v>
      </c>
      <c r="AU331" s="27" t="s">
        <v>8</v>
      </c>
      <c r="AV331" s="27" t="s">
        <v>7</v>
      </c>
      <c r="BC331" s="27" t="s">
        <v>8</v>
      </c>
      <c r="BD331" s="27" t="s">
        <v>7</v>
      </c>
      <c r="BE331" s="27" t="s">
        <v>8</v>
      </c>
      <c r="BF331" s="27" t="s">
        <v>7</v>
      </c>
      <c r="BG331" s="27" t="s">
        <v>8</v>
      </c>
      <c r="BJ331" s="27" t="s">
        <v>7</v>
      </c>
      <c r="BK331" s="27" t="s">
        <v>8</v>
      </c>
      <c r="BL331" s="27" t="s">
        <v>7</v>
      </c>
      <c r="BM331" s="27" t="s">
        <v>8</v>
      </c>
      <c r="DB331" s="27" t="s">
        <v>7</v>
      </c>
      <c r="DC331" s="27" t="s">
        <v>8</v>
      </c>
      <c r="DD331" s="27" t="s">
        <v>7</v>
      </c>
      <c r="DE331" s="27" t="s">
        <v>8</v>
      </c>
      <c r="DJ331" s="27" t="s">
        <v>7</v>
      </c>
      <c r="DK331" s="27" t="s">
        <v>8</v>
      </c>
      <c r="DP331" s="27" t="s">
        <v>7</v>
      </c>
      <c r="EA331" s="27" t="s">
        <v>8</v>
      </c>
      <c r="EB331" s="27" t="s">
        <v>7</v>
      </c>
      <c r="ED331" s="27" t="s">
        <v>7</v>
      </c>
      <c r="EE331" s="27" t="s">
        <v>8</v>
      </c>
      <c r="ER331" s="27" t="s">
        <v>7</v>
      </c>
      <c r="FC331" s="27" t="s">
        <v>8</v>
      </c>
      <c r="FD331" s="27" t="s">
        <v>7</v>
      </c>
      <c r="FE331" s="27" t="s">
        <v>8</v>
      </c>
      <c r="FF331" s="27" t="s">
        <v>7</v>
      </c>
      <c r="FG331" s="27" t="s">
        <v>8</v>
      </c>
      <c r="FW331" s="31"/>
    </row>
    <row r="332" spans="1:187" x14ac:dyDescent="0.25">
      <c r="A332" s="7">
        <v>155.97097941077834</v>
      </c>
      <c r="B332"/>
      <c r="C332"/>
      <c r="D332"/>
      <c r="E332" t="s">
        <v>8</v>
      </c>
      <c r="J332" s="27" t="s">
        <v>7</v>
      </c>
      <c r="Y332" s="27" t="s">
        <v>8</v>
      </c>
      <c r="AI332" s="27" t="s">
        <v>8</v>
      </c>
      <c r="AJ332" s="27" t="s">
        <v>7</v>
      </c>
      <c r="AU332" s="27" t="s">
        <v>8</v>
      </c>
      <c r="AV332" s="27" t="s">
        <v>7</v>
      </c>
      <c r="BC332" s="27" t="s">
        <v>8</v>
      </c>
      <c r="BD332" s="27" t="s">
        <v>7</v>
      </c>
      <c r="BE332" s="27" t="s">
        <v>8</v>
      </c>
      <c r="BF332" s="27" t="s">
        <v>7</v>
      </c>
      <c r="BJ332" s="27" t="s">
        <v>7</v>
      </c>
      <c r="BK332" s="27" t="s">
        <v>8</v>
      </c>
      <c r="BL332" s="27" t="s">
        <v>7</v>
      </c>
      <c r="BM332" s="27" t="s">
        <v>8</v>
      </c>
      <c r="DB332" s="27" t="s">
        <v>7</v>
      </c>
      <c r="DC332" s="27" t="s">
        <v>8</v>
      </c>
      <c r="DD332" s="27" t="s">
        <v>7</v>
      </c>
      <c r="DE332" s="27" t="s">
        <v>8</v>
      </c>
      <c r="DJ332" s="27" t="s">
        <v>7</v>
      </c>
      <c r="DP332" s="27" t="s">
        <v>7</v>
      </c>
      <c r="DS332" s="27" t="s">
        <v>8</v>
      </c>
      <c r="EA332" s="27" t="s">
        <v>8</v>
      </c>
      <c r="ED332" s="27" t="s">
        <v>7</v>
      </c>
      <c r="ER332" s="27" t="s">
        <v>7</v>
      </c>
      <c r="FC332" s="27" t="s">
        <v>8</v>
      </c>
      <c r="FD332" s="27" t="s">
        <v>7</v>
      </c>
      <c r="FE332" s="27" t="s">
        <v>8</v>
      </c>
      <c r="FF332" s="27" t="s">
        <v>7</v>
      </c>
      <c r="FG332" s="27" t="s">
        <v>8</v>
      </c>
      <c r="FV332" s="31"/>
    </row>
    <row r="333" spans="1:187" x14ac:dyDescent="0.25">
      <c r="A333" s="7">
        <v>152.91272491252778</v>
      </c>
      <c r="B333"/>
      <c r="C333"/>
      <c r="D333"/>
      <c r="E333" t="s">
        <v>8</v>
      </c>
      <c r="J333" s="27" t="s">
        <v>7</v>
      </c>
      <c r="Y333" s="27" t="s">
        <v>8</v>
      </c>
      <c r="Z333" s="27" t="s">
        <v>7</v>
      </c>
      <c r="AG333" s="27" t="s">
        <v>8</v>
      </c>
      <c r="AI333" s="27" t="s">
        <v>8</v>
      </c>
      <c r="AJ333" s="27" t="s">
        <v>7</v>
      </c>
      <c r="AU333" s="27" t="s">
        <v>8</v>
      </c>
      <c r="AV333" s="27" t="s">
        <v>7</v>
      </c>
      <c r="BC333" s="27" t="s">
        <v>8</v>
      </c>
      <c r="BD333" s="27" t="s">
        <v>7</v>
      </c>
      <c r="BJ333" s="27" t="s">
        <v>7</v>
      </c>
      <c r="BL333" s="27" t="s">
        <v>7</v>
      </c>
      <c r="DB333" s="27" t="s">
        <v>7</v>
      </c>
      <c r="DD333" s="27" t="s">
        <v>7</v>
      </c>
      <c r="DP333" s="27" t="s">
        <v>7</v>
      </c>
      <c r="DQ333" s="27" t="s">
        <v>8</v>
      </c>
      <c r="DS333" s="27" t="s">
        <v>8</v>
      </c>
      <c r="DT333" s="27" t="s">
        <v>7</v>
      </c>
      <c r="EA333" s="27" t="s">
        <v>8</v>
      </c>
      <c r="ER333" s="27" t="s">
        <v>7</v>
      </c>
      <c r="FC333" s="27" t="s">
        <v>8</v>
      </c>
      <c r="FD333" s="27" t="s">
        <v>7</v>
      </c>
      <c r="FF333" s="27" t="s">
        <v>7</v>
      </c>
      <c r="FG333" s="27" t="s">
        <v>8</v>
      </c>
      <c r="FU333" s="31"/>
    </row>
    <row r="334" spans="1:187" x14ac:dyDescent="0.25">
      <c r="A334" s="7">
        <v>149.91443618875272</v>
      </c>
      <c r="B334"/>
      <c r="C334"/>
      <c r="D334"/>
      <c r="E334" t="s">
        <v>8</v>
      </c>
      <c r="J334" s="27" t="s">
        <v>7</v>
      </c>
      <c r="Y334" s="27" t="s">
        <v>8</v>
      </c>
      <c r="Z334" s="27" t="s">
        <v>7</v>
      </c>
      <c r="AG334" s="27" t="s">
        <v>8</v>
      </c>
      <c r="AH334" s="27" t="s">
        <v>7</v>
      </c>
      <c r="AI334" s="27" t="s">
        <v>8</v>
      </c>
      <c r="AJ334" s="27" t="s">
        <v>7</v>
      </c>
      <c r="AS334" s="27" t="s">
        <v>8</v>
      </c>
      <c r="AU334" s="27" t="s">
        <v>8</v>
      </c>
      <c r="AV334" s="27" t="s">
        <v>7</v>
      </c>
      <c r="BC334" s="27" t="s">
        <v>8</v>
      </c>
      <c r="DP334" s="27" t="s">
        <v>7</v>
      </c>
      <c r="DQ334" s="27" t="s">
        <v>8</v>
      </c>
      <c r="DR334" s="27" t="s">
        <v>7</v>
      </c>
      <c r="DS334" s="27" t="s">
        <v>8</v>
      </c>
      <c r="DT334" s="27" t="s">
        <v>7</v>
      </c>
      <c r="EA334" s="27" t="s">
        <v>8</v>
      </c>
      <c r="ER334" s="27" t="s">
        <v>7</v>
      </c>
      <c r="EW334" s="27" t="s">
        <v>8</v>
      </c>
      <c r="FC334" s="27" t="s">
        <v>8</v>
      </c>
      <c r="FF334" s="27" t="s">
        <v>7</v>
      </c>
    </row>
    <row r="335" spans="1:187" x14ac:dyDescent="0.25">
      <c r="A335" s="7">
        <v>146.97493743995364</v>
      </c>
      <c r="B335"/>
      <c r="C335"/>
      <c r="D335"/>
      <c r="E335" t="s">
        <v>8</v>
      </c>
      <c r="J335" s="27" t="s">
        <v>7</v>
      </c>
      <c r="Y335" s="27" t="s">
        <v>8</v>
      </c>
      <c r="Z335" s="27" t="s">
        <v>7</v>
      </c>
      <c r="AG335" s="27" t="s">
        <v>8</v>
      </c>
      <c r="AH335" s="27" t="s">
        <v>7</v>
      </c>
      <c r="AI335" s="27" t="s">
        <v>8</v>
      </c>
      <c r="AJ335" s="27" t="s">
        <v>7</v>
      </c>
      <c r="AS335" s="27" t="s">
        <v>8</v>
      </c>
      <c r="AT335" s="27" t="s">
        <v>7</v>
      </c>
      <c r="AU335" s="27" t="s">
        <v>8</v>
      </c>
      <c r="AV335" s="27" t="s">
        <v>7</v>
      </c>
      <c r="BC335" s="27" t="s">
        <v>8</v>
      </c>
      <c r="DP335" s="27" t="s">
        <v>7</v>
      </c>
      <c r="DQ335" s="27" t="s">
        <v>8</v>
      </c>
      <c r="DR335" s="27" t="s">
        <v>7</v>
      </c>
      <c r="DS335" s="27" t="s">
        <v>8</v>
      </c>
      <c r="DT335" s="27" t="s">
        <v>7</v>
      </c>
      <c r="DY335" s="27" t="s">
        <v>8</v>
      </c>
      <c r="EA335" s="27" t="s">
        <v>8</v>
      </c>
      <c r="ER335" s="27" t="s">
        <v>7</v>
      </c>
      <c r="EW335" s="27" t="s">
        <v>8</v>
      </c>
      <c r="EX335" s="27" t="s">
        <v>7</v>
      </c>
      <c r="FA335" s="27" t="s">
        <v>8</v>
      </c>
      <c r="FC335" s="27" t="s">
        <v>8</v>
      </c>
    </row>
    <row r="336" spans="1:187" x14ac:dyDescent="0.25">
      <c r="A336" s="7">
        <v>144.09307592152317</v>
      </c>
      <c r="B336"/>
      <c r="C336"/>
      <c r="D336"/>
      <c r="E336" t="s">
        <v>8</v>
      </c>
      <c r="J336" s="27" t="s">
        <v>7</v>
      </c>
      <c r="Y336" s="27" t="s">
        <v>8</v>
      </c>
      <c r="Z336" s="27" t="s">
        <v>7</v>
      </c>
      <c r="AC336" s="27" t="s">
        <v>8</v>
      </c>
      <c r="AG336" s="27" t="s">
        <v>8</v>
      </c>
      <c r="AH336" s="27" t="s">
        <v>7</v>
      </c>
      <c r="AJ336" s="27" t="s">
        <v>7</v>
      </c>
      <c r="AS336" s="27" t="s">
        <v>8</v>
      </c>
      <c r="AT336" s="27" t="s">
        <v>7</v>
      </c>
      <c r="AU336" s="27" t="s">
        <v>8</v>
      </c>
      <c r="AV336" s="27" t="s">
        <v>7</v>
      </c>
      <c r="BA336" s="27" t="s">
        <v>8</v>
      </c>
      <c r="BC336" s="27" t="s">
        <v>8</v>
      </c>
      <c r="DP336" s="27" t="s">
        <v>7</v>
      </c>
      <c r="DQ336" s="27" t="s">
        <v>8</v>
      </c>
      <c r="DR336" s="27" t="s">
        <v>7</v>
      </c>
      <c r="DS336" s="27" t="s">
        <v>8</v>
      </c>
      <c r="DT336" s="27" t="s">
        <v>7</v>
      </c>
      <c r="DY336" s="27" t="s">
        <v>8</v>
      </c>
      <c r="DZ336" s="27" t="s">
        <v>7</v>
      </c>
      <c r="EA336" s="27" t="s">
        <v>8</v>
      </c>
      <c r="ER336" s="27" t="s">
        <v>7</v>
      </c>
      <c r="EW336" s="27" t="s">
        <v>8</v>
      </c>
      <c r="EX336" s="27" t="s">
        <v>7</v>
      </c>
      <c r="FA336" s="27" t="s">
        <v>8</v>
      </c>
      <c r="FB336" s="27" t="s">
        <v>7</v>
      </c>
      <c r="FC336" s="27" t="s">
        <v>8</v>
      </c>
    </row>
    <row r="337" spans="1:173" x14ac:dyDescent="0.25">
      <c r="A337" s="7">
        <v>141.26772149168937</v>
      </c>
      <c r="B337"/>
      <c r="C337"/>
      <c r="D337"/>
      <c r="E337" t="s">
        <v>8</v>
      </c>
      <c r="J337" s="27" t="s">
        <v>7</v>
      </c>
      <c r="K337" s="27" t="s">
        <v>8</v>
      </c>
      <c r="Y337" s="27" t="s">
        <v>8</v>
      </c>
      <c r="Z337" s="27" t="s">
        <v>7</v>
      </c>
      <c r="AC337" s="27" t="s">
        <v>8</v>
      </c>
      <c r="AD337" s="27" t="s">
        <v>7</v>
      </c>
      <c r="AG337" s="27" t="s">
        <v>8</v>
      </c>
      <c r="AJ337" s="27" t="s">
        <v>7</v>
      </c>
      <c r="AS337" s="27" t="s">
        <v>8</v>
      </c>
      <c r="AT337" s="27" t="s">
        <v>7</v>
      </c>
      <c r="AV337" s="27" t="s">
        <v>7</v>
      </c>
      <c r="BA337" s="27" t="s">
        <v>8</v>
      </c>
      <c r="BB337" s="27" t="s">
        <v>7</v>
      </c>
      <c r="BC337" s="27" t="s">
        <v>8</v>
      </c>
      <c r="DP337" s="27" t="s">
        <v>7</v>
      </c>
      <c r="DQ337" s="27" t="s">
        <v>8</v>
      </c>
      <c r="DR337" s="27" t="s">
        <v>7</v>
      </c>
      <c r="DS337" s="27" t="s">
        <v>8</v>
      </c>
      <c r="DT337" s="27" t="s">
        <v>7</v>
      </c>
      <c r="DY337" s="27" t="s">
        <v>8</v>
      </c>
      <c r="DZ337" s="27" t="s">
        <v>7</v>
      </c>
      <c r="EA337" s="27" t="s">
        <v>8</v>
      </c>
      <c r="ER337" s="27" t="s">
        <v>7</v>
      </c>
      <c r="EW337" s="27" t="s">
        <v>8</v>
      </c>
      <c r="EX337" s="27" t="s">
        <v>7</v>
      </c>
      <c r="EY337" s="27" t="s">
        <v>8</v>
      </c>
      <c r="FA337" s="27" t="s">
        <v>8</v>
      </c>
      <c r="FB337" s="27" t="s">
        <v>7</v>
      </c>
      <c r="FC337" s="27" t="s">
        <v>8</v>
      </c>
      <c r="FQ337" s="31"/>
    </row>
    <row r="338" spans="1:173" x14ac:dyDescent="0.25">
      <c r="A338" s="7">
        <v>138.4977661683229</v>
      </c>
      <c r="B338"/>
      <c r="C338"/>
      <c r="D338"/>
      <c r="E338" t="s">
        <v>8</v>
      </c>
      <c r="J338" s="27" t="s">
        <v>7</v>
      </c>
      <c r="K338" s="27" t="s">
        <v>8</v>
      </c>
      <c r="L338" s="27" t="s">
        <v>7</v>
      </c>
      <c r="Y338" s="27" t="s">
        <v>8</v>
      </c>
      <c r="Z338" s="27" t="s">
        <v>7</v>
      </c>
      <c r="AC338" s="27" t="s">
        <v>8</v>
      </c>
      <c r="AD338" s="27" t="s">
        <v>7</v>
      </c>
      <c r="AE338" s="27" t="s">
        <v>8</v>
      </c>
      <c r="AG338" s="27" t="s">
        <v>8</v>
      </c>
      <c r="AJ338" s="27" t="s">
        <v>7</v>
      </c>
      <c r="AS338" s="27" t="s">
        <v>8</v>
      </c>
      <c r="AV338" s="27" t="s">
        <v>7</v>
      </c>
      <c r="AW338" s="27" t="s">
        <v>8</v>
      </c>
      <c r="AY338" s="27" t="s">
        <v>8</v>
      </c>
      <c r="BA338" s="27" t="s">
        <v>8</v>
      </c>
      <c r="BB338" s="27" t="s">
        <v>7</v>
      </c>
      <c r="BC338" s="27" t="s">
        <v>8</v>
      </c>
      <c r="DP338" s="27" t="s">
        <v>7</v>
      </c>
      <c r="DR338" s="27" t="s">
        <v>7</v>
      </c>
      <c r="DS338" s="27" t="s">
        <v>8</v>
      </c>
      <c r="DT338" s="27" t="s">
        <v>7</v>
      </c>
      <c r="DY338" s="27" t="s">
        <v>8</v>
      </c>
      <c r="DZ338" s="27" t="s">
        <v>7</v>
      </c>
      <c r="EA338" s="27" t="s">
        <v>8</v>
      </c>
      <c r="ER338" s="27" t="s">
        <v>7</v>
      </c>
      <c r="EW338" s="27" t="s">
        <v>8</v>
      </c>
      <c r="EX338" s="27" t="s">
        <v>7</v>
      </c>
      <c r="EY338" s="27" t="s">
        <v>8</v>
      </c>
      <c r="EZ338" s="27" t="s">
        <v>7</v>
      </c>
      <c r="FA338" s="27" t="s">
        <v>8</v>
      </c>
      <c r="FB338" s="27" t="s">
        <v>7</v>
      </c>
    </row>
    <row r="339" spans="1:173" x14ac:dyDescent="0.25">
      <c r="A339" s="7">
        <v>135.7821236944342</v>
      </c>
      <c r="B339"/>
      <c r="C339"/>
      <c r="D339"/>
      <c r="E339" t="s">
        <v>8</v>
      </c>
      <c r="J339" s="27" t="s">
        <v>7</v>
      </c>
      <c r="K339" s="27" t="s">
        <v>8</v>
      </c>
      <c r="L339" s="27" t="s">
        <v>7</v>
      </c>
      <c r="Y339" s="27" t="s">
        <v>8</v>
      </c>
      <c r="Z339" s="27" t="s">
        <v>7</v>
      </c>
      <c r="AC339" s="27" t="s">
        <v>8</v>
      </c>
      <c r="AD339" s="27" t="s">
        <v>7</v>
      </c>
      <c r="AE339" s="27" t="s">
        <v>8</v>
      </c>
      <c r="AF339" s="27" t="s">
        <v>7</v>
      </c>
      <c r="AG339" s="27" t="s">
        <v>8</v>
      </c>
      <c r="AJ339" s="27" t="s">
        <v>7</v>
      </c>
      <c r="AS339" s="27" t="s">
        <v>8</v>
      </c>
      <c r="AV339" s="27" t="s">
        <v>7</v>
      </c>
      <c r="AW339" s="27" t="s">
        <v>8</v>
      </c>
      <c r="AX339" s="27" t="s">
        <v>7</v>
      </c>
      <c r="AY339" s="27" t="s">
        <v>8</v>
      </c>
      <c r="AZ339" s="27" t="s">
        <v>7</v>
      </c>
      <c r="BA339" s="27" t="s">
        <v>8</v>
      </c>
      <c r="BB339" s="27" t="s">
        <v>7</v>
      </c>
      <c r="BC339" s="27" t="s">
        <v>8</v>
      </c>
      <c r="DR339" s="27" t="s">
        <v>7</v>
      </c>
      <c r="DS339" s="27" t="s">
        <v>8</v>
      </c>
      <c r="DT339" s="27" t="s">
        <v>7</v>
      </c>
      <c r="DW339" s="27" t="s">
        <v>8</v>
      </c>
      <c r="DY339" s="27" t="s">
        <v>8</v>
      </c>
      <c r="DZ339" s="27" t="s">
        <v>7</v>
      </c>
      <c r="ER339" s="27" t="s">
        <v>7</v>
      </c>
      <c r="EW339" s="27" t="s">
        <v>8</v>
      </c>
      <c r="EX339" s="27" t="s">
        <v>7</v>
      </c>
      <c r="EY339" s="27" t="s">
        <v>8</v>
      </c>
      <c r="EZ339" s="27" t="s">
        <v>7</v>
      </c>
      <c r="FA339" s="27" t="s">
        <v>8</v>
      </c>
    </row>
    <row r="340" spans="1:173" x14ac:dyDescent="0.25">
      <c r="A340" s="7">
        <v>133.11972911219038</v>
      </c>
      <c r="B340"/>
      <c r="C340"/>
      <c r="D340"/>
      <c r="E340" t="s">
        <v>8</v>
      </c>
      <c r="J340" s="27" t="s">
        <v>7</v>
      </c>
      <c r="K340" s="27" t="s">
        <v>8</v>
      </c>
      <c r="L340" s="27" t="s">
        <v>7</v>
      </c>
      <c r="Y340" s="27" t="s">
        <v>8</v>
      </c>
      <c r="Z340" s="27" t="s">
        <v>7</v>
      </c>
      <c r="AA340" s="27" t="s">
        <v>8</v>
      </c>
      <c r="AC340" s="27" t="s">
        <v>8</v>
      </c>
      <c r="AD340" s="27" t="s">
        <v>7</v>
      </c>
      <c r="AE340" s="27" t="s">
        <v>8</v>
      </c>
      <c r="AF340" s="27" t="s">
        <v>7</v>
      </c>
      <c r="AG340" s="27" t="s">
        <v>8</v>
      </c>
      <c r="AJ340" s="27" t="s">
        <v>7</v>
      </c>
      <c r="AS340" s="27" t="s">
        <v>8</v>
      </c>
      <c r="AV340" s="27" t="s">
        <v>7</v>
      </c>
      <c r="AW340" s="27" t="s">
        <v>8</v>
      </c>
      <c r="AX340" s="27" t="s">
        <v>7</v>
      </c>
      <c r="AY340" s="27" t="s">
        <v>8</v>
      </c>
      <c r="AZ340" s="27" t="s">
        <v>7</v>
      </c>
      <c r="BA340" s="27" t="s">
        <v>8</v>
      </c>
      <c r="BB340" s="27" t="s">
        <v>7</v>
      </c>
      <c r="DR340" s="27" t="s">
        <v>7</v>
      </c>
      <c r="DT340" s="27" t="s">
        <v>7</v>
      </c>
      <c r="DU340" s="27" t="s">
        <v>8</v>
      </c>
      <c r="DW340" s="27" t="s">
        <v>8</v>
      </c>
      <c r="DX340" s="27" t="s">
        <v>7</v>
      </c>
      <c r="DY340" s="27" t="s">
        <v>8</v>
      </c>
      <c r="ER340" s="27" t="s">
        <v>7</v>
      </c>
      <c r="ES340" s="27" t="s">
        <v>8</v>
      </c>
      <c r="EW340" s="27" t="s">
        <v>8</v>
      </c>
      <c r="EX340" s="27" t="s">
        <v>7</v>
      </c>
      <c r="EY340" s="27" t="s">
        <v>8</v>
      </c>
      <c r="EZ340" s="27" t="s">
        <v>7</v>
      </c>
      <c r="FA340" s="27" t="s">
        <v>8</v>
      </c>
      <c r="FN340" s="31"/>
    </row>
    <row r="341" spans="1:173" x14ac:dyDescent="0.25">
      <c r="A341" s="7">
        <v>130.50953834528468</v>
      </c>
      <c r="B341"/>
      <c r="C341"/>
      <c r="D341"/>
      <c r="E341" t="s">
        <v>8</v>
      </c>
      <c r="J341" s="27" t="s">
        <v>7</v>
      </c>
      <c r="K341" s="27" t="s">
        <v>8</v>
      </c>
      <c r="L341" s="27" t="s">
        <v>7</v>
      </c>
      <c r="Y341" s="27" t="s">
        <v>8</v>
      </c>
      <c r="Z341" s="27" t="s">
        <v>7</v>
      </c>
      <c r="AA341" s="27" t="s">
        <v>8</v>
      </c>
      <c r="AB341" s="27" t="s">
        <v>7</v>
      </c>
      <c r="AC341" s="27" t="s">
        <v>8</v>
      </c>
      <c r="AD341" s="27" t="s">
        <v>7</v>
      </c>
      <c r="AE341" s="27" t="s">
        <v>8</v>
      </c>
      <c r="AF341" s="27" t="s">
        <v>7</v>
      </c>
      <c r="AJ341" s="27" t="s">
        <v>7</v>
      </c>
      <c r="AS341" s="27" t="s">
        <v>8</v>
      </c>
      <c r="AV341" s="27" t="s">
        <v>7</v>
      </c>
      <c r="AW341" s="27" t="s">
        <v>8</v>
      </c>
      <c r="AX341" s="27" t="s">
        <v>7</v>
      </c>
      <c r="AY341" s="27" t="s">
        <v>8</v>
      </c>
      <c r="AZ341" s="27" t="s">
        <v>7</v>
      </c>
      <c r="DT341" s="27" t="s">
        <v>7</v>
      </c>
      <c r="DU341" s="27" t="s">
        <v>8</v>
      </c>
      <c r="DV341" s="27" t="s">
        <v>7</v>
      </c>
      <c r="DW341" s="27" t="s">
        <v>8</v>
      </c>
      <c r="DX341" s="27" t="s">
        <v>7</v>
      </c>
      <c r="DY341" s="27" t="s">
        <v>8</v>
      </c>
      <c r="ER341" s="27" t="s">
        <v>7</v>
      </c>
      <c r="ES341" s="27" t="s">
        <v>8</v>
      </c>
      <c r="ET341" s="27" t="s">
        <v>7</v>
      </c>
      <c r="EW341" s="27" t="s">
        <v>8</v>
      </c>
      <c r="EX341" s="27" t="s">
        <v>7</v>
      </c>
      <c r="EY341" s="27" t="s">
        <v>8</v>
      </c>
      <c r="EZ341" s="27" t="s">
        <v>7</v>
      </c>
      <c r="FA341" s="27" t="s">
        <v>8</v>
      </c>
    </row>
    <row r="342" spans="1:173" x14ac:dyDescent="0.25">
      <c r="A342" s="7">
        <v>127.95052778949477</v>
      </c>
      <c r="B342"/>
      <c r="C342"/>
      <c r="D342"/>
      <c r="E342" t="s">
        <v>8</v>
      </c>
      <c r="J342" s="27" t="s">
        <v>7</v>
      </c>
      <c r="L342" s="27" t="s">
        <v>7</v>
      </c>
      <c r="Y342" s="27" t="s">
        <v>8</v>
      </c>
      <c r="Z342" s="27" t="s">
        <v>7</v>
      </c>
      <c r="AA342" s="27" t="s">
        <v>8</v>
      </c>
      <c r="AB342" s="27" t="s">
        <v>7</v>
      </c>
      <c r="AC342" s="27" t="s">
        <v>8</v>
      </c>
      <c r="AD342" s="27" t="s">
        <v>7</v>
      </c>
      <c r="AJ342" s="27" t="s">
        <v>7</v>
      </c>
      <c r="AK342" s="27" t="s">
        <v>8</v>
      </c>
      <c r="AS342" s="27" t="s">
        <v>8</v>
      </c>
      <c r="AV342" s="27" t="s">
        <v>7</v>
      </c>
      <c r="AX342" s="27" t="s">
        <v>7</v>
      </c>
      <c r="AY342" s="27" t="s">
        <v>8</v>
      </c>
      <c r="DT342" s="27" t="s">
        <v>7</v>
      </c>
      <c r="DU342" s="27" t="s">
        <v>8</v>
      </c>
      <c r="DV342" s="27" t="s">
        <v>7</v>
      </c>
      <c r="DW342" s="27" t="s">
        <v>8</v>
      </c>
      <c r="DX342" s="27" t="s">
        <v>7</v>
      </c>
      <c r="ER342" s="27" t="s">
        <v>7</v>
      </c>
      <c r="ES342" s="27" t="s">
        <v>8</v>
      </c>
      <c r="ET342" s="27" t="s">
        <v>7</v>
      </c>
      <c r="EW342" s="27" t="s">
        <v>8</v>
      </c>
      <c r="EX342" s="27" t="s">
        <v>7</v>
      </c>
      <c r="EY342" s="27" t="s">
        <v>8</v>
      </c>
      <c r="EZ342" s="27" t="s">
        <v>7</v>
      </c>
      <c r="FA342" s="27" t="s">
        <v>8</v>
      </c>
      <c r="FL342" s="31"/>
    </row>
    <row r="343" spans="1:173" x14ac:dyDescent="0.25">
      <c r="A343" s="7">
        <v>125.44169391126938</v>
      </c>
      <c r="B343"/>
      <c r="C343"/>
      <c r="D343"/>
      <c r="E343" t="s">
        <v>8</v>
      </c>
      <c r="L343" s="27" t="s">
        <v>7</v>
      </c>
      <c r="O343" s="27" t="s">
        <v>8</v>
      </c>
      <c r="Y343" s="27" t="s">
        <v>8</v>
      </c>
      <c r="Z343" s="27" t="s">
        <v>7</v>
      </c>
      <c r="AA343" s="27" t="s">
        <v>8</v>
      </c>
      <c r="AB343" s="27" t="s">
        <v>7</v>
      </c>
      <c r="AC343" s="27" t="s">
        <v>8</v>
      </c>
      <c r="AJ343" s="27" t="s">
        <v>7</v>
      </c>
      <c r="AK343" s="27" t="s">
        <v>8</v>
      </c>
      <c r="AL343" s="27" t="s">
        <v>7</v>
      </c>
      <c r="AM343" s="27" t="s">
        <v>8</v>
      </c>
      <c r="AQ343" s="27" t="s">
        <v>8</v>
      </c>
      <c r="AS343" s="27" t="s">
        <v>8</v>
      </c>
      <c r="AX343" s="27" t="s">
        <v>7</v>
      </c>
      <c r="AY343" s="27" t="s">
        <v>8</v>
      </c>
      <c r="DT343" s="27" t="s">
        <v>7</v>
      </c>
      <c r="DU343" s="27" t="s">
        <v>8</v>
      </c>
      <c r="DV343" s="27" t="s">
        <v>7</v>
      </c>
      <c r="DW343" s="27" t="s">
        <v>8</v>
      </c>
      <c r="ER343" s="27" t="s">
        <v>7</v>
      </c>
      <c r="ES343" s="27" t="s">
        <v>8</v>
      </c>
      <c r="ET343" s="27" t="s">
        <v>7</v>
      </c>
      <c r="EW343" s="27" t="s">
        <v>8</v>
      </c>
      <c r="EX343" s="27" t="s">
        <v>7</v>
      </c>
      <c r="EY343" s="27" t="s">
        <v>8</v>
      </c>
      <c r="EZ343" s="27" t="s">
        <v>7</v>
      </c>
    </row>
    <row r="344" spans="1:173" x14ac:dyDescent="0.25">
      <c r="A344" s="7">
        <v>122.98205285418567</v>
      </c>
      <c r="B344"/>
      <c r="C344"/>
      <c r="D344"/>
      <c r="E344" t="s">
        <v>8</v>
      </c>
      <c r="L344" s="27" t="s">
        <v>7</v>
      </c>
      <c r="O344" s="27" t="s">
        <v>8</v>
      </c>
      <c r="P344" s="27" t="s">
        <v>7</v>
      </c>
      <c r="Y344" s="27" t="s">
        <v>8</v>
      </c>
      <c r="Z344" s="27" t="s">
        <v>7</v>
      </c>
      <c r="AA344" s="27" t="s">
        <v>8</v>
      </c>
      <c r="AB344" s="27" t="s">
        <v>7</v>
      </c>
      <c r="AC344" s="27" t="s">
        <v>8</v>
      </c>
      <c r="AJ344" s="27" t="s">
        <v>7</v>
      </c>
      <c r="AK344" s="27" t="s">
        <v>8</v>
      </c>
      <c r="AL344" s="27" t="s">
        <v>7</v>
      </c>
      <c r="AM344" s="27" t="s">
        <v>8</v>
      </c>
      <c r="AN344" s="27" t="s">
        <v>7</v>
      </c>
      <c r="AQ344" s="27" t="s">
        <v>8</v>
      </c>
      <c r="AR344" s="27" t="s">
        <v>7</v>
      </c>
      <c r="AS344" s="27" t="s">
        <v>8</v>
      </c>
      <c r="AX344" s="27" t="s">
        <v>7</v>
      </c>
      <c r="DT344" s="27" t="s">
        <v>7</v>
      </c>
      <c r="DU344" s="27" t="s">
        <v>8</v>
      </c>
      <c r="DV344" s="27" t="s">
        <v>7</v>
      </c>
      <c r="ER344" s="27" t="s">
        <v>7</v>
      </c>
      <c r="ES344" s="27" t="s">
        <v>8</v>
      </c>
      <c r="ET344" s="27" t="s">
        <v>7</v>
      </c>
      <c r="EW344" s="27" t="s">
        <v>8</v>
      </c>
      <c r="EX344" s="27" t="s">
        <v>7</v>
      </c>
      <c r="EY344" s="27" t="s">
        <v>8</v>
      </c>
      <c r="FJ344" s="31"/>
    </row>
    <row r="345" spans="1:173" x14ac:dyDescent="0.25">
      <c r="A345" s="7">
        <v>120.5706400531232</v>
      </c>
      <c r="B345"/>
      <c r="C345"/>
      <c r="D345"/>
      <c r="E345" t="s">
        <v>8</v>
      </c>
      <c r="L345" s="27" t="s">
        <v>7</v>
      </c>
      <c r="M345" s="27" t="s">
        <v>8</v>
      </c>
      <c r="O345" s="27" t="s">
        <v>8</v>
      </c>
      <c r="P345" s="27" t="s">
        <v>7</v>
      </c>
      <c r="Q345" s="27" t="s">
        <v>8</v>
      </c>
      <c r="Y345" s="27" t="s">
        <v>8</v>
      </c>
      <c r="Z345" s="27" t="s">
        <v>7</v>
      </c>
      <c r="AB345" s="27" t="s">
        <v>7</v>
      </c>
      <c r="AC345" s="27" t="s">
        <v>8</v>
      </c>
      <c r="AJ345" s="27" t="s">
        <v>7</v>
      </c>
      <c r="AK345" s="27" t="s">
        <v>8</v>
      </c>
      <c r="AL345" s="27" t="s">
        <v>7</v>
      </c>
      <c r="AM345" s="27" t="s">
        <v>8</v>
      </c>
      <c r="AN345" s="27" t="s">
        <v>7</v>
      </c>
      <c r="AQ345" s="27" t="s">
        <v>8</v>
      </c>
      <c r="AR345" s="27" t="s">
        <v>7</v>
      </c>
      <c r="AS345" s="27" t="s">
        <v>8</v>
      </c>
      <c r="DT345" s="27" t="s">
        <v>7</v>
      </c>
      <c r="DU345" s="27" t="s">
        <v>8</v>
      </c>
      <c r="ER345" s="27" t="s">
        <v>7</v>
      </c>
      <c r="ES345" s="27" t="s">
        <v>8</v>
      </c>
      <c r="ET345" s="27" t="s">
        <v>7</v>
      </c>
      <c r="EU345" s="27" t="s">
        <v>8</v>
      </c>
      <c r="EW345" s="27" t="s">
        <v>8</v>
      </c>
      <c r="EX345" s="27" t="s">
        <v>7</v>
      </c>
    </row>
    <row r="346" spans="1:173" x14ac:dyDescent="0.25">
      <c r="A346" s="7">
        <v>118.20650985600314</v>
      </c>
      <c r="B346"/>
      <c r="C346"/>
      <c r="D346"/>
      <c r="E346" t="s">
        <v>8</v>
      </c>
      <c r="L346" s="27" t="s">
        <v>7</v>
      </c>
      <c r="M346" s="27" t="s">
        <v>8</v>
      </c>
      <c r="N346" s="27" t="s">
        <v>7</v>
      </c>
      <c r="O346" s="27" t="s">
        <v>8</v>
      </c>
      <c r="P346" s="27" t="s">
        <v>7</v>
      </c>
      <c r="Q346" s="27" t="s">
        <v>8</v>
      </c>
      <c r="R346" s="27" t="s">
        <v>7</v>
      </c>
      <c r="Y346" s="27" t="s">
        <v>8</v>
      </c>
      <c r="AB346" s="27" t="s">
        <v>7</v>
      </c>
      <c r="AC346" s="27" t="s">
        <v>8</v>
      </c>
      <c r="AJ346" s="27" t="s">
        <v>7</v>
      </c>
      <c r="AK346" s="27" t="s">
        <v>8</v>
      </c>
      <c r="AL346" s="27" t="s">
        <v>7</v>
      </c>
      <c r="AN346" s="27" t="s">
        <v>7</v>
      </c>
      <c r="AQ346" s="27" t="s">
        <v>8</v>
      </c>
      <c r="AR346" s="27" t="s">
        <v>7</v>
      </c>
      <c r="DT346" s="27" t="s">
        <v>7</v>
      </c>
      <c r="ER346" s="27" t="s">
        <v>7</v>
      </c>
      <c r="ES346" s="27" t="s">
        <v>8</v>
      </c>
      <c r="ET346" s="27" t="s">
        <v>7</v>
      </c>
      <c r="EU346" s="27" t="s">
        <v>8</v>
      </c>
      <c r="EV346" s="27" t="s">
        <v>7</v>
      </c>
      <c r="EW346" s="27" t="s">
        <v>8</v>
      </c>
    </row>
    <row r="347" spans="1:173" x14ac:dyDescent="0.25">
      <c r="A347" s="7">
        <v>115.88873515294425</v>
      </c>
      <c r="B347"/>
      <c r="C347"/>
      <c r="D347"/>
      <c r="E347" t="s">
        <v>8</v>
      </c>
      <c r="L347" s="27" t="s">
        <v>7</v>
      </c>
      <c r="M347" s="27" t="s">
        <v>8</v>
      </c>
      <c r="N347" s="27" t="s">
        <v>7</v>
      </c>
      <c r="O347" s="27" t="s">
        <v>8</v>
      </c>
      <c r="P347" s="27" t="s">
        <v>7</v>
      </c>
      <c r="Q347" s="27" t="s">
        <v>8</v>
      </c>
      <c r="R347" s="27" t="s">
        <v>7</v>
      </c>
      <c r="W347" s="27" t="s">
        <v>8</v>
      </c>
      <c r="Y347" s="27" t="s">
        <v>8</v>
      </c>
      <c r="AB347" s="27" t="s">
        <v>7</v>
      </c>
      <c r="AC347" s="27" t="s">
        <v>8</v>
      </c>
      <c r="AJ347" s="27" t="s">
        <v>7</v>
      </c>
      <c r="AK347" s="27" t="s">
        <v>8</v>
      </c>
      <c r="AN347" s="27" t="s">
        <v>7</v>
      </c>
      <c r="AQ347" s="27" t="s">
        <v>8</v>
      </c>
      <c r="ER347" s="27" t="s">
        <v>7</v>
      </c>
      <c r="ES347" s="27" t="s">
        <v>8</v>
      </c>
      <c r="ET347" s="27" t="s">
        <v>7</v>
      </c>
      <c r="EU347" s="27" t="s">
        <v>8</v>
      </c>
      <c r="EV347" s="27" t="s">
        <v>7</v>
      </c>
      <c r="EW347" s="27" t="s">
        <v>8</v>
      </c>
    </row>
    <row r="348" spans="1:173" x14ac:dyDescent="0.25">
      <c r="A348" s="7">
        <v>113.61640701269044</v>
      </c>
      <c r="B348"/>
      <c r="C348"/>
      <c r="D348"/>
      <c r="E348" t="s">
        <v>8</v>
      </c>
      <c r="L348" s="27" t="s">
        <v>7</v>
      </c>
      <c r="M348" s="27" t="s">
        <v>8</v>
      </c>
      <c r="N348" s="27" t="s">
        <v>7</v>
      </c>
      <c r="O348" s="27" t="s">
        <v>8</v>
      </c>
      <c r="P348" s="27" t="s">
        <v>7</v>
      </c>
      <c r="Q348" s="27" t="s">
        <v>8</v>
      </c>
      <c r="R348" s="27" t="s">
        <v>7</v>
      </c>
      <c r="W348" s="27" t="s">
        <v>8</v>
      </c>
      <c r="X348" s="27" t="s">
        <v>7</v>
      </c>
      <c r="Y348" s="27" t="s">
        <v>8</v>
      </c>
      <c r="AB348" s="27" t="s">
        <v>7</v>
      </c>
      <c r="AC348" s="27" t="s">
        <v>8</v>
      </c>
      <c r="AJ348" s="27" t="s">
        <v>7</v>
      </c>
      <c r="AN348" s="27" t="s">
        <v>7</v>
      </c>
      <c r="AQ348" s="27" t="s">
        <v>8</v>
      </c>
      <c r="ER348" s="27" t="s">
        <v>7</v>
      </c>
      <c r="ES348" s="27" t="s">
        <v>8</v>
      </c>
      <c r="ET348" s="27" t="s">
        <v>7</v>
      </c>
      <c r="EU348" s="27" t="s">
        <v>8</v>
      </c>
      <c r="EV348" s="27" t="s">
        <v>7</v>
      </c>
      <c r="EW348" s="27" t="s">
        <v>8</v>
      </c>
    </row>
    <row r="349" spans="1:173" x14ac:dyDescent="0.25">
      <c r="A349" s="7">
        <v>111.38863432616711</v>
      </c>
      <c r="B349"/>
      <c r="C349"/>
      <c r="D349"/>
      <c r="E349" t="s">
        <v>8</v>
      </c>
      <c r="L349" s="27" t="s">
        <v>7</v>
      </c>
      <c r="M349" s="27" t="s">
        <v>8</v>
      </c>
      <c r="N349" s="27" t="s">
        <v>7</v>
      </c>
      <c r="O349" s="27" t="s">
        <v>8</v>
      </c>
      <c r="P349" s="27" t="s">
        <v>7</v>
      </c>
      <c r="R349" s="27" t="s">
        <v>7</v>
      </c>
      <c r="W349" s="27" t="s">
        <v>8</v>
      </c>
      <c r="X349" s="27" t="s">
        <v>7</v>
      </c>
      <c r="Y349" s="27" t="s">
        <v>8</v>
      </c>
      <c r="AB349" s="27" t="s">
        <v>7</v>
      </c>
      <c r="AN349" s="27" t="s">
        <v>7</v>
      </c>
      <c r="AQ349" s="27" t="s">
        <v>8</v>
      </c>
      <c r="ER349" s="27" t="s">
        <v>7</v>
      </c>
      <c r="ES349" s="27" t="s">
        <v>8</v>
      </c>
      <c r="ET349" s="27" t="s">
        <v>7</v>
      </c>
      <c r="EU349" s="27" t="s">
        <v>8</v>
      </c>
      <c r="EV349" s="27" t="s">
        <v>7</v>
      </c>
      <c r="FE349" s="31"/>
    </row>
    <row r="350" spans="1:173" x14ac:dyDescent="0.25">
      <c r="A350" s="7">
        <v>109.20454345702657</v>
      </c>
      <c r="B350"/>
      <c r="C350"/>
      <c r="D350"/>
      <c r="E350" t="s">
        <v>8</v>
      </c>
      <c r="L350" s="27" t="s">
        <v>7</v>
      </c>
      <c r="M350" s="27" t="s">
        <v>8</v>
      </c>
      <c r="N350" s="27" t="s">
        <v>7</v>
      </c>
      <c r="O350" s="27" t="s">
        <v>8</v>
      </c>
      <c r="R350" s="27" t="s">
        <v>7</v>
      </c>
      <c r="W350" s="27" t="s">
        <v>8</v>
      </c>
      <c r="X350" s="27" t="s">
        <v>7</v>
      </c>
      <c r="Y350" s="27" t="s">
        <v>8</v>
      </c>
      <c r="AN350" s="27" t="s">
        <v>7</v>
      </c>
      <c r="AO350" s="27" t="s">
        <v>8</v>
      </c>
      <c r="AQ350" s="27" t="s">
        <v>8</v>
      </c>
      <c r="ER350" s="27" t="s">
        <v>7</v>
      </c>
      <c r="ES350" s="27" t="s">
        <v>8</v>
      </c>
      <c r="ET350" s="27" t="s">
        <v>7</v>
      </c>
      <c r="EU350" s="27" t="s">
        <v>8</v>
      </c>
    </row>
    <row r="351" spans="1:173" x14ac:dyDescent="0.25">
      <c r="A351" s="7">
        <v>107.06327789904566</v>
      </c>
      <c r="B351"/>
      <c r="C351"/>
      <c r="D351"/>
      <c r="E351" t="s">
        <v>8</v>
      </c>
      <c r="L351" s="27" t="s">
        <v>7</v>
      </c>
      <c r="M351" s="27" t="s">
        <v>8</v>
      </c>
      <c r="N351" s="27" t="s">
        <v>7</v>
      </c>
      <c r="O351" s="27" t="s">
        <v>8</v>
      </c>
      <c r="R351" s="27" t="s">
        <v>7</v>
      </c>
      <c r="W351" s="27" t="s">
        <v>8</v>
      </c>
      <c r="X351" s="27" t="s">
        <v>7</v>
      </c>
      <c r="Y351" s="27" t="s">
        <v>8</v>
      </c>
      <c r="AN351" s="27" t="s">
        <v>7</v>
      </c>
      <c r="AO351" s="27" t="s">
        <v>8</v>
      </c>
      <c r="AP351" s="27" t="s">
        <v>7</v>
      </c>
      <c r="AQ351" s="27" t="s">
        <v>8</v>
      </c>
      <c r="ER351" s="27" t="s">
        <v>7</v>
      </c>
      <c r="ES351" s="27" t="s">
        <v>8</v>
      </c>
      <c r="ET351" s="27" t="s">
        <v>7</v>
      </c>
      <c r="EU351" s="27" t="s">
        <v>8</v>
      </c>
    </row>
    <row r="352" spans="1:173" x14ac:dyDescent="0.25">
      <c r="A352" s="7">
        <v>104.96399794024084</v>
      </c>
      <c r="B352"/>
      <c r="C352"/>
      <c r="D352"/>
      <c r="E352" t="s">
        <v>8</v>
      </c>
      <c r="L352" s="27" t="s">
        <v>7</v>
      </c>
      <c r="N352" s="27" t="s">
        <v>7</v>
      </c>
      <c r="O352" s="27" t="s">
        <v>8</v>
      </c>
      <c r="R352" s="27" t="s">
        <v>7</v>
      </c>
      <c r="W352" s="27" t="s">
        <v>8</v>
      </c>
      <c r="X352" s="27" t="s">
        <v>7</v>
      </c>
      <c r="AN352" s="27" t="s">
        <v>7</v>
      </c>
      <c r="AO352" s="27" t="s">
        <v>8</v>
      </c>
      <c r="AP352" s="27" t="s">
        <v>7</v>
      </c>
      <c r="AQ352" s="27" t="s">
        <v>8</v>
      </c>
      <c r="ER352" s="27" t="s">
        <v>7</v>
      </c>
      <c r="ES352" s="27" t="s">
        <v>8</v>
      </c>
      <c r="ET352" s="27" t="s">
        <v>7</v>
      </c>
      <c r="EU352" s="27" t="s">
        <v>8</v>
      </c>
    </row>
    <row r="353" spans="1:157" x14ac:dyDescent="0.25">
      <c r="A353" s="7">
        <v>102.90588033356946</v>
      </c>
      <c r="B353"/>
      <c r="C353"/>
      <c r="D353"/>
      <c r="E353" t="s">
        <v>8</v>
      </c>
      <c r="N353" s="27" t="s">
        <v>7</v>
      </c>
      <c r="R353" s="27" t="s">
        <v>7</v>
      </c>
      <c r="W353" s="27" t="s">
        <v>8</v>
      </c>
      <c r="AN353" s="27" t="s">
        <v>7</v>
      </c>
      <c r="AP353" s="27" t="s">
        <v>7</v>
      </c>
      <c r="ER353" s="27" t="s">
        <v>7</v>
      </c>
      <c r="ES353" s="27" t="s">
        <v>8</v>
      </c>
      <c r="ET353" s="27" t="s">
        <v>7</v>
      </c>
      <c r="FA353" s="31"/>
    </row>
    <row r="354" spans="1:157" x14ac:dyDescent="0.25">
      <c r="A354" s="7">
        <v>100.88811797408771</v>
      </c>
      <c r="B354"/>
      <c r="C354"/>
      <c r="D354"/>
      <c r="E354" t="s">
        <v>8</v>
      </c>
      <c r="R354" s="27" t="s">
        <v>7</v>
      </c>
      <c r="W354" s="27" t="s">
        <v>8</v>
      </c>
      <c r="ER354" s="27" t="s">
        <v>7</v>
      </c>
      <c r="ES354" s="27" t="s">
        <v>8</v>
      </c>
    </row>
    <row r="355" spans="1:157" x14ac:dyDescent="0.25">
      <c r="A355" s="7">
        <v>98.909919582438931</v>
      </c>
      <c r="B355"/>
      <c r="C355"/>
      <c r="D355"/>
      <c r="E355" t="s">
        <v>8</v>
      </c>
      <c r="R355" s="27" t="s">
        <v>7</v>
      </c>
      <c r="W355" s="27" t="s">
        <v>8</v>
      </c>
      <c r="ER355" s="27" t="s">
        <v>7</v>
      </c>
      <c r="ES355" s="27" t="s">
        <v>8</v>
      </c>
    </row>
    <row r="356" spans="1:157" x14ac:dyDescent="0.25">
      <c r="A356" s="7">
        <v>96.970509394547975</v>
      </c>
      <c r="B356"/>
      <c r="C356"/>
      <c r="D356"/>
      <c r="E356" t="s">
        <v>8</v>
      </c>
      <c r="R356" s="27" t="s">
        <v>7</v>
      </c>
      <c r="S356" s="27" t="s">
        <v>8</v>
      </c>
      <c r="W356" s="27" t="s">
        <v>8</v>
      </c>
      <c r="ER356" s="27" t="s">
        <v>7</v>
      </c>
      <c r="ES356" s="27" t="s">
        <v>8</v>
      </c>
      <c r="EX356" s="31"/>
    </row>
    <row r="357" spans="1:157" x14ac:dyDescent="0.25">
      <c r="A357" s="7">
        <v>95.069126857399979</v>
      </c>
      <c r="B357"/>
      <c r="C357"/>
      <c r="D357"/>
      <c r="E357" t="s">
        <v>8</v>
      </c>
      <c r="R357" s="27" t="s">
        <v>7</v>
      </c>
      <c r="S357" s="27" t="s">
        <v>8</v>
      </c>
      <c r="T357" s="27" t="s">
        <v>7</v>
      </c>
      <c r="U357" s="27" t="s">
        <v>8</v>
      </c>
      <c r="W357" s="27" t="s">
        <v>8</v>
      </c>
      <c r="ER357" s="27" t="s">
        <v>7</v>
      </c>
      <c r="ES357" s="27" t="s">
        <v>8</v>
      </c>
    </row>
    <row r="358" spans="1:157" x14ac:dyDescent="0.25">
      <c r="A358" s="7">
        <v>93.205026330784293</v>
      </c>
      <c r="B358"/>
      <c r="C358"/>
      <c r="D358"/>
      <c r="E358" t="s">
        <v>8</v>
      </c>
      <c r="R358" s="27" t="s">
        <v>7</v>
      </c>
      <c r="S358" s="27" t="s">
        <v>8</v>
      </c>
      <c r="T358" s="27" t="s">
        <v>7</v>
      </c>
      <c r="U358" s="27" t="s">
        <v>8</v>
      </c>
      <c r="V358" s="27" t="s">
        <v>7</v>
      </c>
      <c r="W358" s="27" t="s">
        <v>8</v>
      </c>
      <c r="ER358" s="27" t="s">
        <v>7</v>
      </c>
      <c r="ES358" s="27" t="s">
        <v>8</v>
      </c>
      <c r="EV358" s="31"/>
    </row>
    <row r="359" spans="1:157" x14ac:dyDescent="0.25">
      <c r="A359" s="7">
        <v>91.377476794886562</v>
      </c>
      <c r="B359"/>
      <c r="C359"/>
      <c r="D359"/>
      <c r="E359" t="s">
        <v>8</v>
      </c>
      <c r="R359" s="27" t="s">
        <v>7</v>
      </c>
      <c r="S359" s="27" t="s">
        <v>8</v>
      </c>
      <c r="T359" s="27" t="s">
        <v>7</v>
      </c>
      <c r="U359" s="27" t="s">
        <v>8</v>
      </c>
      <c r="V359" s="27" t="s">
        <v>7</v>
      </c>
      <c r="W359" s="27" t="s">
        <v>8</v>
      </c>
      <c r="ER359" s="27" t="s">
        <v>7</v>
      </c>
      <c r="ES359" s="27" t="s">
        <v>8</v>
      </c>
    </row>
    <row r="360" spans="1:157" x14ac:dyDescent="0.25">
      <c r="A360" s="7">
        <v>89.58576156361427</v>
      </c>
      <c r="B360"/>
      <c r="C360"/>
      <c r="D360"/>
      <c r="E360" t="s">
        <v>8</v>
      </c>
      <c r="R360" s="27" t="s">
        <v>7</v>
      </c>
      <c r="S360" s="27" t="s">
        <v>8</v>
      </c>
      <c r="T360" s="27" t="s">
        <v>7</v>
      </c>
      <c r="V360" s="27" t="s">
        <v>7</v>
      </c>
      <c r="W360" s="27" t="s">
        <v>8</v>
      </c>
      <c r="ER360" s="27" t="s">
        <v>7</v>
      </c>
      <c r="ES360" s="27" t="s">
        <v>8</v>
      </c>
      <c r="ET360" s="31"/>
    </row>
    <row r="361" spans="1:157" x14ac:dyDescent="0.25">
      <c r="A361" s="7">
        <v>87.829178003543404</v>
      </c>
      <c r="B361"/>
      <c r="C361"/>
      <c r="D361"/>
      <c r="E361" t="s">
        <v>8</v>
      </c>
      <c r="R361" s="27" t="s">
        <v>7</v>
      </c>
      <c r="S361" s="27" t="s">
        <v>8</v>
      </c>
      <c r="V361" s="27" t="s">
        <v>7</v>
      </c>
      <c r="W361" s="27" t="s">
        <v>8</v>
      </c>
      <c r="ER361" s="27" t="s">
        <v>7</v>
      </c>
      <c r="ES361" s="27" t="s">
        <v>8</v>
      </c>
    </row>
    <row r="362" spans="1:157" x14ac:dyDescent="0.25">
      <c r="A362" s="7">
        <v>86.107037258375883</v>
      </c>
      <c r="B362"/>
      <c r="C362"/>
      <c r="D362"/>
      <c r="E362" t="s">
        <v>8</v>
      </c>
      <c r="R362" s="27" t="s">
        <v>7</v>
      </c>
      <c r="S362" s="27" t="s">
        <v>8</v>
      </c>
      <c r="V362" s="27" t="s">
        <v>7</v>
      </c>
      <c r="W362" s="27" t="s">
        <v>8</v>
      </c>
      <c r="ER362" s="27" t="s">
        <v>7</v>
      </c>
    </row>
    <row r="363" spans="1:157" x14ac:dyDescent="0.25">
      <c r="A363" s="7">
        <v>84.418663978799884</v>
      </c>
      <c r="B363"/>
      <c r="C363"/>
      <c r="D363"/>
      <c r="E363" t="s">
        <v>8</v>
      </c>
      <c r="R363" s="27" t="s">
        <v>7</v>
      </c>
      <c r="S363" s="27" t="s">
        <v>8</v>
      </c>
      <c r="V363" s="27" t="s">
        <v>7</v>
      </c>
      <c r="W363" s="27" t="s">
        <v>8</v>
      </c>
    </row>
    <row r="364" spans="1:157" x14ac:dyDescent="0.25">
      <c r="A364" s="7">
        <v>82.763396057646943</v>
      </c>
      <c r="B364"/>
      <c r="C364"/>
      <c r="D364"/>
      <c r="E364" t="s">
        <v>8</v>
      </c>
      <c r="R364" s="27" t="s">
        <v>7</v>
      </c>
      <c r="V364" s="27" t="s">
        <v>7</v>
      </c>
    </row>
    <row r="365" spans="1:157" x14ac:dyDescent="0.25">
      <c r="A365" s="7">
        <v>81.140584370242095</v>
      </c>
      <c r="B365"/>
      <c r="C365"/>
      <c r="D365"/>
      <c r="E365" t="s">
        <v>8</v>
      </c>
    </row>
    <row r="366" spans="1:157" x14ac:dyDescent="0.25">
      <c r="A366" s="7">
        <v>79.549592519845191</v>
      </c>
      <c r="B366"/>
      <c r="C366"/>
      <c r="D366"/>
      <c r="E366" t="s">
        <v>8</v>
      </c>
    </row>
    <row r="367" spans="1:157" x14ac:dyDescent="0.25">
      <c r="A367" s="7">
        <v>77.989796588083522</v>
      </c>
      <c r="B367"/>
      <c r="C367"/>
      <c r="D367"/>
      <c r="E367" t="s">
        <v>8</v>
      </c>
    </row>
    <row r="368" spans="1:157" x14ac:dyDescent="0.25">
      <c r="A368" s="7">
        <v>76.460584890277957</v>
      </c>
      <c r="B368"/>
      <c r="C368"/>
      <c r="D368"/>
      <c r="E368" t="s">
        <v>8</v>
      </c>
    </row>
    <row r="369" spans="1:5" x14ac:dyDescent="0.25">
      <c r="A369" s="7">
        <v>74.961357735566622</v>
      </c>
      <c r="B369"/>
      <c r="C369"/>
      <c r="D369"/>
      <c r="E369" t="s">
        <v>8</v>
      </c>
    </row>
    <row r="370" spans="1:5" x14ac:dyDescent="0.25">
      <c r="A370" s="7">
        <v>73.491527191731976</v>
      </c>
      <c r="B370"/>
      <c r="C370"/>
      <c r="D370"/>
      <c r="E370" t="s">
        <v>8</v>
      </c>
    </row>
    <row r="371" spans="1:5" x14ac:dyDescent="0.25">
      <c r="A371" s="7">
        <v>72.050516854639184</v>
      </c>
      <c r="B371"/>
      <c r="C371"/>
      <c r="D371"/>
      <c r="E371" t="s">
        <v>8</v>
      </c>
    </row>
    <row r="372" spans="1:5" x14ac:dyDescent="0.25">
      <c r="A372" s="7">
        <v>70.637761622195271</v>
      </c>
      <c r="B372"/>
      <c r="C372"/>
      <c r="D372"/>
      <c r="E372" t="s">
        <v>8</v>
      </c>
    </row>
    <row r="373" spans="1:5" x14ac:dyDescent="0.25">
      <c r="A373" s="7">
        <v>69.252707472740454</v>
      </c>
      <c r="B373"/>
      <c r="C373"/>
      <c r="D373"/>
      <c r="E373" t="s">
        <v>8</v>
      </c>
    </row>
    <row r="374" spans="1:5" x14ac:dyDescent="0.25">
      <c r="A374" s="7">
        <v>67.894811247784759</v>
      </c>
      <c r="B374"/>
      <c r="C374"/>
      <c r="D374"/>
      <c r="E374" t="s">
        <v>8</v>
      </c>
    </row>
    <row r="375" spans="1:5" x14ac:dyDescent="0.25">
      <c r="A375" s="7">
        <v>66.563540439004669</v>
      </c>
      <c r="B375"/>
      <c r="C375"/>
      <c r="D375"/>
      <c r="E375" t="s">
        <v>8</v>
      </c>
    </row>
    <row r="376" spans="1:5" x14ac:dyDescent="0.25">
      <c r="A376" s="7">
        <v>65.258372979416336</v>
      </c>
      <c r="B376"/>
      <c r="C376"/>
      <c r="D376"/>
      <c r="E376" t="s">
        <v>8</v>
      </c>
    </row>
    <row r="377" spans="1:5" x14ac:dyDescent="0.25">
      <c r="A377" s="7">
        <v>63.978797038643471</v>
      </c>
      <c r="B377"/>
      <c r="C377"/>
      <c r="D377"/>
      <c r="E377" t="s">
        <v>8</v>
      </c>
    </row>
    <row r="378" spans="1:5" x14ac:dyDescent="0.25">
      <c r="A378" s="7">
        <v>62.724310822199477</v>
      </c>
      <c r="B378"/>
      <c r="C378"/>
      <c r="D378"/>
      <c r="E378" t="s">
        <v>8</v>
      </c>
    </row>
    <row r="379" spans="1:5" x14ac:dyDescent="0.25">
      <c r="A379" s="7">
        <v>61.494422374705366</v>
      </c>
      <c r="B379"/>
      <c r="C379"/>
      <c r="D379"/>
      <c r="E379" t="s">
        <v>8</v>
      </c>
    </row>
    <row r="380" spans="1:5" x14ac:dyDescent="0.25">
      <c r="A380" s="7">
        <v>60.288649386966043</v>
      </c>
      <c r="B380"/>
      <c r="C380"/>
      <c r="D380"/>
      <c r="E380" t="s">
        <v>8</v>
      </c>
    </row>
    <row r="381" spans="1:5" x14ac:dyDescent="0.25">
      <c r="A381" s="7">
        <v>59.106519006829451</v>
      </c>
      <c r="B381"/>
      <c r="C381"/>
      <c r="D381"/>
      <c r="E381" t="s">
        <v>8</v>
      </c>
    </row>
    <row r="382" spans="1:5" x14ac:dyDescent="0.25">
      <c r="A382" s="7">
        <v>57.947567653754362</v>
      </c>
      <c r="B382"/>
      <c r="C382"/>
      <c r="D382"/>
      <c r="E382" t="s">
        <v>8</v>
      </c>
    </row>
    <row r="383" spans="1:5" x14ac:dyDescent="0.25">
      <c r="A383" s="7">
        <v>56.811340837014079</v>
      </c>
      <c r="B383"/>
      <c r="C383"/>
      <c r="D383"/>
      <c r="E383" t="s">
        <v>8</v>
      </c>
    </row>
    <row r="384" spans="1:5" x14ac:dyDescent="0.25">
      <c r="A384" s="7">
        <v>55.69739297746478</v>
      </c>
      <c r="B384"/>
      <c r="C384"/>
      <c r="D384"/>
      <c r="E384" t="s">
        <v>8</v>
      </c>
    </row>
    <row r="385" spans="1:5" x14ac:dyDescent="0.25">
      <c r="A385" s="7">
        <v>54.605287232808607</v>
      </c>
      <c r="B385"/>
      <c r="C385"/>
      <c r="D385"/>
      <c r="E385" t="s">
        <v>8</v>
      </c>
    </row>
    <row r="386" spans="1:5" x14ac:dyDescent="0.25">
      <c r="A386" s="7">
        <v>53.534595326282947</v>
      </c>
      <c r="B386"/>
      <c r="C386"/>
      <c r="D386"/>
      <c r="E386" t="s">
        <v>8</v>
      </c>
    </row>
    <row r="387" spans="1:5" x14ac:dyDescent="0.25">
      <c r="A387" s="7">
        <v>52.484897378708773</v>
      </c>
      <c r="B387"/>
      <c r="C387"/>
      <c r="D387"/>
      <c r="E387" t="s">
        <v>8</v>
      </c>
    </row>
    <row r="388" spans="1:5" x14ac:dyDescent="0.25">
      <c r="A388" s="7">
        <v>51.455781743832127</v>
      </c>
      <c r="B388"/>
      <c r="C388"/>
      <c r="D388"/>
      <c r="E388" t="s">
        <v>8</v>
      </c>
    </row>
    <row r="389" spans="1:5" x14ac:dyDescent="0.25">
      <c r="A389" s="7">
        <v>50.446844846894244</v>
      </c>
      <c r="B389"/>
      <c r="C389"/>
      <c r="D389"/>
      <c r="E389" t="s">
        <v>8</v>
      </c>
    </row>
    <row r="390" spans="1:5" x14ac:dyDescent="0.25">
      <c r="A390" s="7">
        <v>49.457691026366902</v>
      </c>
      <c r="B390"/>
      <c r="C390"/>
      <c r="D390"/>
      <c r="E390" t="s">
        <v>8</v>
      </c>
    </row>
    <row r="391" spans="1:5" x14ac:dyDescent="0.25">
      <c r="A391" s="7">
        <v>48.487932378791079</v>
      </c>
      <c r="B391"/>
      <c r="C391"/>
      <c r="D391"/>
      <c r="E391" t="s">
        <v>8</v>
      </c>
    </row>
    <row r="392" spans="1:5" x14ac:dyDescent="0.25">
      <c r="A392" s="7">
        <v>47.537188606657921</v>
      </c>
      <c r="B392"/>
      <c r="C392"/>
      <c r="D392"/>
      <c r="E392" t="s">
        <v>8</v>
      </c>
    </row>
    <row r="393" spans="1:5" x14ac:dyDescent="0.25">
      <c r="A393" s="7">
        <v>46.605086869272469</v>
      </c>
      <c r="B393"/>
      <c r="C393"/>
      <c r="D393"/>
      <c r="E393" t="s">
        <v>8</v>
      </c>
    </row>
    <row r="394" spans="1:5" x14ac:dyDescent="0.25">
      <c r="A394" s="7">
        <v>45.691261636541633</v>
      </c>
      <c r="B394"/>
      <c r="C394"/>
      <c r="D394"/>
      <c r="E394" t="s">
        <v>8</v>
      </c>
    </row>
    <row r="395" spans="1:5" x14ac:dyDescent="0.25">
      <c r="A395" s="7">
        <v>44.795354545629053</v>
      </c>
      <c r="B395"/>
      <c r="C395"/>
      <c r="D395"/>
      <c r="E395" t="s">
        <v>8</v>
      </c>
    </row>
    <row r="396" spans="1:5" x14ac:dyDescent="0.25">
      <c r="A396" s="7">
        <v>43.917014260420636</v>
      </c>
      <c r="B396"/>
      <c r="C396"/>
      <c r="D396"/>
      <c r="E396" t="s">
        <v>8</v>
      </c>
    </row>
    <row r="397" spans="1:5" x14ac:dyDescent="0.25">
      <c r="A397" s="7">
        <v>43.055896333745721</v>
      </c>
      <c r="B397"/>
      <c r="C397"/>
      <c r="D397"/>
      <c r="E397" t="s">
        <v>8</v>
      </c>
    </row>
    <row r="398" spans="1:5" x14ac:dyDescent="0.25">
      <c r="A398" s="7">
        <v>42.211663072299729</v>
      </c>
      <c r="B398"/>
      <c r="C398"/>
      <c r="D398"/>
      <c r="E398" t="s">
        <v>8</v>
      </c>
    </row>
    <row r="399" spans="1:5" x14ac:dyDescent="0.25">
      <c r="A399" s="7">
        <v>41.383983404215421</v>
      </c>
      <c r="B399"/>
      <c r="C399"/>
      <c r="D399"/>
      <c r="E399" t="s">
        <v>8</v>
      </c>
    </row>
    <row r="400" spans="1:5" x14ac:dyDescent="0.25">
      <c r="A400" s="7">
        <v>40.572532749230803</v>
      </c>
      <c r="B400"/>
      <c r="C400"/>
      <c r="D400"/>
      <c r="E400" t="s">
        <v>8</v>
      </c>
    </row>
    <row r="401" spans="1:5" x14ac:dyDescent="0.25">
      <c r="A401" s="7">
        <v>39.776992891402749</v>
      </c>
      <c r="B401"/>
      <c r="C401"/>
      <c r="D401"/>
      <c r="E401" t="s">
        <v>8</v>
      </c>
    </row>
    <row r="402" spans="1:5" x14ac:dyDescent="0.25">
      <c r="A402" s="7">
        <v>38.997051854316418</v>
      </c>
      <c r="B402"/>
      <c r="C402"/>
      <c r="D402"/>
      <c r="E402" t="s">
        <v>8</v>
      </c>
    </row>
    <row r="403" spans="1:5" x14ac:dyDescent="0.25">
      <c r="A403" s="7">
        <v>38.232403778741585</v>
      </c>
      <c r="B403"/>
      <c r="C403"/>
      <c r="D403"/>
      <c r="E403" t="s">
        <v>8</v>
      </c>
    </row>
    <row r="404" spans="1:5" x14ac:dyDescent="0.25">
      <c r="A404" s="7">
        <v>37.48274880268783</v>
      </c>
      <c r="B404"/>
      <c r="C404"/>
      <c r="D404"/>
      <c r="E404" t="s">
        <v>8</v>
      </c>
    </row>
    <row r="405" spans="1:5" x14ac:dyDescent="0.25">
      <c r="A405" s="7">
        <v>36.747792943811596</v>
      </c>
      <c r="B405"/>
      <c r="C405"/>
      <c r="D405"/>
      <c r="E405" t="s">
        <v>8</v>
      </c>
    </row>
    <row r="406" spans="1:5" x14ac:dyDescent="0.25">
      <c r="A406" s="7">
        <v>36.027247984129012</v>
      </c>
      <c r="B406"/>
      <c r="C406"/>
      <c r="D406"/>
      <c r="E406" t="s">
        <v>8</v>
      </c>
    </row>
    <row r="407" spans="1:5" x14ac:dyDescent="0.25">
      <c r="A407" s="7">
        <v>35.320831356989224</v>
      </c>
      <c r="B407"/>
      <c r="C407"/>
      <c r="D407"/>
      <c r="E407" t="s">
        <v>8</v>
      </c>
    </row>
    <row r="408" spans="1:5" x14ac:dyDescent="0.25">
      <c r="A408" s="7">
        <v>34.628266036263945</v>
      </c>
      <c r="B408"/>
      <c r="C408"/>
      <c r="D408"/>
      <c r="E408" t="s">
        <v>8</v>
      </c>
    </row>
    <row r="409" spans="1:5" x14ac:dyDescent="0.25">
      <c r="A409" s="7">
        <v>33.949280427709752</v>
      </c>
      <c r="B409"/>
      <c r="C409"/>
      <c r="D409"/>
      <c r="E409" t="s">
        <v>8</v>
      </c>
    </row>
    <row r="410" spans="1:5" x14ac:dyDescent="0.25">
      <c r="A410" s="7">
        <v>33.28360826246054</v>
      </c>
      <c r="B410"/>
      <c r="C410"/>
      <c r="D410"/>
      <c r="E410" t="s">
        <v>8</v>
      </c>
    </row>
    <row r="411" spans="1:5" x14ac:dyDescent="0.25">
      <c r="A411" s="7">
        <v>32.630988492608374</v>
      </c>
      <c r="B411"/>
      <c r="C411"/>
      <c r="D411"/>
      <c r="E411" t="s">
        <v>8</v>
      </c>
    </row>
    <row r="412" spans="1:5" x14ac:dyDescent="0.25">
      <c r="A412" s="7">
        <v>31.99116518883174</v>
      </c>
      <c r="B412"/>
      <c r="C412"/>
      <c r="D412"/>
      <c r="E412" t="s">
        <v>8</v>
      </c>
    </row>
    <row r="413" spans="1:5" x14ac:dyDescent="0.25">
      <c r="A413" s="7">
        <v>31.363887440031117</v>
      </c>
      <c r="B413"/>
      <c r="C413"/>
      <c r="D413"/>
      <c r="E413" t="s">
        <v>8</v>
      </c>
    </row>
    <row r="414" spans="1:5" x14ac:dyDescent="0.25">
      <c r="A414" s="7">
        <v>30.748909254932467</v>
      </c>
      <c r="B414"/>
      <c r="C414"/>
      <c r="D414"/>
      <c r="E414" t="s">
        <v>8</v>
      </c>
    </row>
    <row r="415" spans="1:5" x14ac:dyDescent="0.25">
      <c r="A415" s="7">
        <v>30.145989465620065</v>
      </c>
      <c r="B415"/>
      <c r="C415"/>
      <c r="D415"/>
      <c r="E415" t="s">
        <v>8</v>
      </c>
    </row>
    <row r="416" spans="1:5" x14ac:dyDescent="0.25">
      <c r="A416" s="7">
        <v>29.55489163296085</v>
      </c>
      <c r="B416"/>
      <c r="C416"/>
      <c r="D416"/>
      <c r="E416" t="s">
        <v>8</v>
      </c>
    </row>
    <row r="417" spans="1:5" x14ac:dyDescent="0.25">
      <c r="A417" s="7">
        <v>28.975383953883185</v>
      </c>
      <c r="B417"/>
      <c r="C417"/>
      <c r="D417"/>
      <c r="E417" t="s">
        <v>8</v>
      </c>
    </row>
    <row r="418" spans="1:5" x14ac:dyDescent="0.25">
      <c r="A418" s="7">
        <v>28.407239170473709</v>
      </c>
      <c r="B418"/>
      <c r="C418"/>
      <c r="D418"/>
      <c r="E418" t="s">
        <v>8</v>
      </c>
    </row>
    <row r="419" spans="1:5" x14ac:dyDescent="0.25">
      <c r="A419" s="7">
        <v>27.850234480856578</v>
      </c>
      <c r="B419"/>
      <c r="C419"/>
      <c r="D419"/>
      <c r="E419" t="s">
        <v>8</v>
      </c>
    </row>
    <row r="420" spans="1:5" x14ac:dyDescent="0.25">
      <c r="A420" s="7">
        <v>27.304151451820175</v>
      </c>
      <c r="B420"/>
      <c r="C420"/>
      <c r="D420"/>
      <c r="E420" t="s">
        <v>8</v>
      </c>
    </row>
    <row r="421" spans="1:5" x14ac:dyDescent="0.25">
      <c r="A421" s="7">
        <v>26.768775933157034</v>
      </c>
      <c r="B421"/>
      <c r="C421"/>
      <c r="D421"/>
      <c r="E421" t="s">
        <v>8</v>
      </c>
    </row>
    <row r="422" spans="1:5" x14ac:dyDescent="0.25">
      <c r="A422" s="7">
        <v>26.243897973683367</v>
      </c>
      <c r="B422"/>
      <c r="C422"/>
      <c r="D422"/>
      <c r="E422" t="s">
        <v>8</v>
      </c>
    </row>
    <row r="423" spans="1:5" x14ac:dyDescent="0.25">
      <c r="A423" s="7">
        <v>25.729311738905263</v>
      </c>
      <c r="B423"/>
      <c r="C423"/>
      <c r="D423"/>
      <c r="E423" t="s">
        <v>8</v>
      </c>
    </row>
    <row r="424" spans="1:5" x14ac:dyDescent="0.25">
      <c r="A424" s="7">
        <v>25.224815430299277</v>
      </c>
      <c r="B424"/>
      <c r="C424"/>
      <c r="D424"/>
      <c r="E424" t="s">
        <v>8</v>
      </c>
    </row>
    <row r="425" spans="1:5" x14ac:dyDescent="0.25">
      <c r="A425" s="7">
        <v>24.73021120617576</v>
      </c>
      <c r="B425"/>
      <c r="C425"/>
      <c r="D425"/>
      <c r="E425" t="s">
        <v>8</v>
      </c>
    </row>
    <row r="426" spans="1:5" x14ac:dyDescent="0.25">
      <c r="A426" s="7">
        <v>24.24530510409388</v>
      </c>
      <c r="B426"/>
      <c r="C426"/>
      <c r="D426"/>
      <c r="E426" t="s">
        <v>8</v>
      </c>
    </row>
    <row r="427" spans="1:5" x14ac:dyDescent="0.25">
      <c r="A427" s="7">
        <v>23.769906964797922</v>
      </c>
      <c r="B427"/>
      <c r="C427"/>
      <c r="D427"/>
      <c r="E427" t="s">
        <v>8</v>
      </c>
    </row>
    <row r="428" spans="1:5" x14ac:dyDescent="0.25">
      <c r="A428" s="7">
        <v>23.303830357645023</v>
      </c>
      <c r="B428"/>
      <c r="C428"/>
      <c r="D428"/>
      <c r="E428" t="s">
        <v>8</v>
      </c>
    </row>
    <row r="429" spans="1:5" x14ac:dyDescent="0.25">
      <c r="A429" s="7">
        <v>22.84689250749512</v>
      </c>
      <c r="B429"/>
      <c r="C429"/>
      <c r="D429"/>
      <c r="E429" t="s">
        <v>8</v>
      </c>
    </row>
    <row r="430" spans="1:5" x14ac:dyDescent="0.25">
      <c r="A430" s="7">
        <v>22.398914223034431</v>
      </c>
      <c r="B430"/>
      <c r="C430"/>
      <c r="D430"/>
      <c r="E430" t="s">
        <v>8</v>
      </c>
    </row>
    <row r="431" spans="1:5" x14ac:dyDescent="0.25">
      <c r="A431" s="7">
        <v>21.959719826504344</v>
      </c>
      <c r="B431"/>
      <c r="C431"/>
      <c r="D431"/>
      <c r="E431" t="s">
        <v>8</v>
      </c>
    </row>
    <row r="432" spans="1:5" x14ac:dyDescent="0.25">
      <c r="A432" s="7">
        <v>21.52913708480818</v>
      </c>
      <c r="B432"/>
      <c r="C432"/>
      <c r="D432"/>
      <c r="E432" t="s">
        <v>8</v>
      </c>
    </row>
    <row r="433" spans="1:5" x14ac:dyDescent="0.25">
      <c r="A433" s="7">
        <v>21.106997141968804</v>
      </c>
      <c r="B433"/>
      <c r="C433"/>
      <c r="D433"/>
      <c r="E433" t="s">
        <v>8</v>
      </c>
    </row>
    <row r="434" spans="1:5" x14ac:dyDescent="0.25">
      <c r="A434" s="7">
        <v>20.693134452910591</v>
      </c>
      <c r="B434"/>
      <c r="C434"/>
      <c r="D434"/>
      <c r="E434" t="s">
        <v>8</v>
      </c>
    </row>
    <row r="435" spans="1:5" x14ac:dyDescent="0.25">
      <c r="A435" s="7">
        <v>20.287386718539796</v>
      </c>
      <c r="B435"/>
      <c r="C435"/>
      <c r="D435"/>
      <c r="E435" t="s">
        <v>8</v>
      </c>
    </row>
    <row r="436" spans="1:5" x14ac:dyDescent="0.25">
      <c r="A436" s="7">
        <v>19.889594822097838</v>
      </c>
      <c r="B436"/>
      <c r="C436"/>
      <c r="D436"/>
      <c r="E436" t="s">
        <v>8</v>
      </c>
    </row>
    <row r="437" spans="1:5" x14ac:dyDescent="0.25">
      <c r="A437" s="7">
        <v>19.499602766762585</v>
      </c>
      <c r="B437"/>
      <c r="C437"/>
      <c r="D437"/>
      <c r="E437" t="s">
        <v>8</v>
      </c>
    </row>
    <row r="438" spans="1:5" x14ac:dyDescent="0.25">
      <c r="A438" s="7">
        <v>19.117257614473122</v>
      </c>
      <c r="B438"/>
      <c r="C438"/>
      <c r="D438"/>
      <c r="E438" t="s">
        <v>8</v>
      </c>
    </row>
    <row r="439" spans="1:5" x14ac:dyDescent="0.25">
      <c r="A439" s="7">
        <v>18.74240942595404</v>
      </c>
      <c r="B439"/>
      <c r="C439"/>
      <c r="D439"/>
      <c r="E439" t="s">
        <v>8</v>
      </c>
    </row>
    <row r="440" spans="1:5" x14ac:dyDescent="0.25">
      <c r="A440" s="7">
        <v>18.374911201915726</v>
      </c>
      <c r="B440"/>
      <c r="C440"/>
      <c r="D440"/>
      <c r="E440" t="s">
        <v>8</v>
      </c>
    </row>
    <row r="441" spans="1:5" x14ac:dyDescent="0.25">
      <c r="A441" s="7">
        <v>18.014618825407574</v>
      </c>
      <c r="B441"/>
      <c r="C441"/>
      <c r="D441"/>
      <c r="E441" t="s">
        <v>8</v>
      </c>
    </row>
    <row r="442" spans="1:5" x14ac:dyDescent="0.25">
      <c r="A442" s="7">
        <v>17.661391005301542</v>
      </c>
      <c r="B442"/>
      <c r="C442"/>
      <c r="D442"/>
      <c r="E442" t="s">
        <v>8</v>
      </c>
    </row>
    <row r="443" spans="1:5" x14ac:dyDescent="0.25">
      <c r="A443" s="7">
        <v>17.315089220883866</v>
      </c>
      <c r="B443"/>
      <c r="C443"/>
      <c r="D443"/>
      <c r="E443" t="s">
        <v>8</v>
      </c>
    </row>
    <row r="444" spans="1:5" x14ac:dyDescent="0.25">
      <c r="A444" s="7">
        <v>16.975577667533202</v>
      </c>
      <c r="B444"/>
      <c r="C444"/>
      <c r="D444"/>
      <c r="E444" t="s">
        <v>8</v>
      </c>
    </row>
    <row r="445" spans="1:5" x14ac:dyDescent="0.25">
      <c r="A445" s="7">
        <v>16.642723203463923</v>
      </c>
      <c r="B445"/>
      <c r="C445"/>
      <c r="D445"/>
      <c r="E445" t="s">
        <v>8</v>
      </c>
    </row>
    <row r="446" spans="1:5" x14ac:dyDescent="0.25">
      <c r="A446" s="7">
        <v>16.316395297513651</v>
      </c>
      <c r="B446"/>
      <c r="C446"/>
      <c r="D446"/>
      <c r="E446" t="s">
        <v>8</v>
      </c>
    </row>
    <row r="447" spans="1:5" x14ac:dyDescent="0.25">
      <c r="A447" s="7">
        <v>15.996465977954561</v>
      </c>
      <c r="B447"/>
      <c r="C447"/>
      <c r="D447"/>
      <c r="E447" t="s">
        <v>8</v>
      </c>
    </row>
    <row r="448" spans="1:5" x14ac:dyDescent="0.25">
      <c r="A448" s="7">
        <v>15.682809782308393</v>
      </c>
      <c r="B448"/>
      <c r="C448"/>
      <c r="D448"/>
      <c r="E448" t="s">
        <v>8</v>
      </c>
    </row>
    <row r="449" spans="1:5" x14ac:dyDescent="0.25">
      <c r="A449" s="7">
        <v>15.375303708145482</v>
      </c>
      <c r="B449"/>
      <c r="C449"/>
      <c r="D449"/>
      <c r="E449" t="s">
        <v>8</v>
      </c>
    </row>
    <row r="450" spans="1:5" x14ac:dyDescent="0.25">
      <c r="A450" s="7">
        <v>15.073827164848511</v>
      </c>
      <c r="B450"/>
      <c r="C450"/>
      <c r="D450"/>
      <c r="E450" t="s">
        <v>8</v>
      </c>
    </row>
    <row r="451" spans="1:5" x14ac:dyDescent="0.25">
      <c r="A451" s="7">
        <v>14.77826192632207</v>
      </c>
      <c r="B451"/>
      <c r="C451"/>
      <c r="D451"/>
      <c r="E451" t="s">
        <v>8</v>
      </c>
    </row>
    <row r="452" spans="1:5" x14ac:dyDescent="0.25">
      <c r="A452" s="7">
        <v>14.488492084629481</v>
      </c>
      <c r="B452"/>
      <c r="C452"/>
      <c r="D452"/>
      <c r="E452" t="s">
        <v>8</v>
      </c>
    </row>
    <row r="453" spans="1:5" x14ac:dyDescent="0.25">
      <c r="A453" s="7">
        <v>14.204404004538707</v>
      </c>
      <c r="B453"/>
      <c r="C453"/>
      <c r="D453"/>
      <c r="E453" t="s">
        <v>8</v>
      </c>
    </row>
    <row r="454" spans="1:5" x14ac:dyDescent="0.25">
      <c r="A454" s="7">
        <v>13.925886278959517</v>
      </c>
      <c r="B454"/>
      <c r="C454"/>
      <c r="D454"/>
      <c r="E454" t="s">
        <v>8</v>
      </c>
    </row>
    <row r="455" spans="1:5" x14ac:dyDescent="0.25">
      <c r="A455" s="7">
        <v>13.652829685254428</v>
      </c>
      <c r="B455"/>
      <c r="C455"/>
      <c r="D455"/>
      <c r="E455" t="s">
        <v>8</v>
      </c>
    </row>
    <row r="456" spans="1:5" x14ac:dyDescent="0.25">
      <c r="A456" s="7">
        <v>13.385127142406303</v>
      </c>
      <c r="B456"/>
      <c r="C456"/>
      <c r="D456"/>
      <c r="E456" t="s">
        <v>8</v>
      </c>
    </row>
    <row r="457" spans="1:5" x14ac:dyDescent="0.25">
      <c r="A457" s="7">
        <v>13.122673669025787</v>
      </c>
      <c r="B457"/>
      <c r="C457"/>
      <c r="D457"/>
      <c r="E457" t="s">
        <v>8</v>
      </c>
    </row>
    <row r="458" spans="1:5" x14ac:dyDescent="0.25">
      <c r="A458" s="7">
        <v>12.865366342182144</v>
      </c>
      <c r="B458"/>
      <c r="C458"/>
      <c r="D458"/>
      <c r="E458" t="s">
        <v>8</v>
      </c>
    </row>
    <row r="459" spans="1:5" x14ac:dyDescent="0.25">
      <c r="A459" s="7">
        <v>12.613104257041318</v>
      </c>
      <c r="B459"/>
      <c r="C459"/>
      <c r="D459"/>
      <c r="E459" t="s">
        <v>8</v>
      </c>
    </row>
    <row r="460" spans="1:5" x14ac:dyDescent="0.25">
      <c r="A460" s="7">
        <v>12.36578848729541</v>
      </c>
      <c r="B460"/>
      <c r="C460"/>
      <c r="D460"/>
      <c r="E460" t="s">
        <v>8</v>
      </c>
    </row>
    <row r="461" spans="1:5" x14ac:dyDescent="0.25">
      <c r="A461" s="7">
        <v>12.123322046368049</v>
      </c>
      <c r="B461"/>
      <c r="C461"/>
      <c r="D461"/>
      <c r="E461" t="s">
        <v>8</v>
      </c>
    </row>
    <row r="462" spans="1:5" x14ac:dyDescent="0.25">
      <c r="A462" s="7">
        <v>11.88560984938044</v>
      </c>
      <c r="B462"/>
      <c r="C462"/>
      <c r="D462"/>
      <c r="E462" t="s">
        <v>8</v>
      </c>
    </row>
    <row r="463" spans="1:5" x14ac:dyDescent="0.25">
      <c r="A463" s="7">
        <v>11.652558675863176</v>
      </c>
      <c r="B463"/>
      <c r="C463"/>
      <c r="D463"/>
      <c r="E463" t="s">
        <v>8</v>
      </c>
    </row>
    <row r="464" spans="1:5" x14ac:dyDescent="0.25">
      <c r="A464" s="7">
        <v>11.424077133199193</v>
      </c>
      <c r="B464"/>
      <c r="C464"/>
      <c r="D464"/>
      <c r="E464" t="s">
        <v>8</v>
      </c>
    </row>
    <row r="465" spans="1:5" x14ac:dyDescent="0.25">
      <c r="A465" s="7">
        <v>11.200075620783522</v>
      </c>
      <c r="B465"/>
      <c r="C465"/>
      <c r="D465"/>
      <c r="E465" t="s">
        <v>8</v>
      </c>
    </row>
    <row r="466" spans="1:5" x14ac:dyDescent="0.25">
      <c r="A466" s="7">
        <v>10.980466294885806</v>
      </c>
      <c r="B466"/>
      <c r="C466"/>
      <c r="D466"/>
      <c r="E466" t="s">
        <v>8</v>
      </c>
    </row>
    <row r="467" spans="1:5" x14ac:dyDescent="0.25">
      <c r="A467" s="7">
        <v>10.765163034201771</v>
      </c>
      <c r="B467"/>
      <c r="C467"/>
      <c r="D467"/>
      <c r="E467" t="s">
        <v>8</v>
      </c>
    </row>
    <row r="468" spans="1:5" x14ac:dyDescent="0.25">
      <c r="A468" s="7">
        <v>10.554081406080169</v>
      </c>
      <c r="B468"/>
      <c r="C468"/>
      <c r="D468"/>
      <c r="E468" t="s">
        <v>8</v>
      </c>
    </row>
    <row r="469" spans="1:5" x14ac:dyDescent="0.25">
      <c r="A469" s="7">
        <v>10.34713863341193</v>
      </c>
      <c r="B469"/>
      <c r="C469"/>
      <c r="D469"/>
      <c r="E469" t="s">
        <v>8</v>
      </c>
    </row>
    <row r="470" spans="1:5" x14ac:dyDescent="0.25">
      <c r="A470" s="7">
        <v>10.14425356216856</v>
      </c>
      <c r="B470"/>
      <c r="C470"/>
      <c r="D470"/>
      <c r="E470" t="s">
        <v>8</v>
      </c>
    </row>
    <row r="471" spans="1:5" x14ac:dyDescent="0.25">
      <c r="A471" s="7">
        <v>9.9453466295770188</v>
      </c>
      <c r="B471"/>
      <c r="C471"/>
      <c r="D471"/>
      <c r="E471" t="s">
        <v>8</v>
      </c>
    </row>
    <row r="472" spans="1:5" x14ac:dyDescent="0.25">
      <c r="A472" s="7">
        <v>9.7503398329186464</v>
      </c>
      <c r="B472"/>
      <c r="C472"/>
      <c r="D472"/>
      <c r="E472" t="s">
        <v>8</v>
      </c>
    </row>
    <row r="473" spans="1:5" x14ac:dyDescent="0.25">
      <c r="A473" s="7">
        <v>9.5591566989398498</v>
      </c>
      <c r="B473"/>
      <c r="C473"/>
      <c r="D473"/>
      <c r="E473" t="s">
        <v>8</v>
      </c>
    </row>
    <row r="474" spans="1:5" x14ac:dyDescent="0.25">
      <c r="A474" s="7">
        <v>9.3717222538625968</v>
      </c>
      <c r="B474"/>
      <c r="C474"/>
      <c r="D474"/>
      <c r="E474" t="s">
        <v>8</v>
      </c>
    </row>
    <row r="475" spans="1:5" x14ac:dyDescent="0.25">
      <c r="A475" s="7">
        <v>9.1879629939829375</v>
      </c>
      <c r="B475"/>
      <c r="C475"/>
      <c r="D475"/>
      <c r="E475" t="s">
        <v>8</v>
      </c>
    </row>
    <row r="476" spans="1:5" x14ac:dyDescent="0.25">
      <c r="A476" s="7">
        <v>9.0078068568460168</v>
      </c>
      <c r="B476"/>
      <c r="C476"/>
      <c r="D476"/>
      <c r="E476" t="s">
        <v>8</v>
      </c>
    </row>
    <row r="477" spans="1:5" x14ac:dyDescent="0.25">
      <c r="A477" s="7">
        <v>8.8311831929862912</v>
      </c>
      <c r="B477"/>
      <c r="C477"/>
      <c r="D477"/>
      <c r="E477" t="s">
        <v>8</v>
      </c>
    </row>
    <row r="478" spans="1:5" x14ac:dyDescent="0.25">
      <c r="A478" s="7">
        <v>8.6580227382218542</v>
      </c>
      <c r="B478"/>
      <c r="C478"/>
      <c r="D478"/>
      <c r="E478" t="s">
        <v>8</v>
      </c>
    </row>
    <row r="479" spans="1:5" x14ac:dyDescent="0.25">
      <c r="A479" s="7">
        <v>8.4882575864920131</v>
      </c>
      <c r="B479"/>
      <c r="C479"/>
      <c r="D479"/>
      <c r="E479" t="s">
        <v>8</v>
      </c>
    </row>
    <row r="480" spans="1:5" x14ac:dyDescent="0.25">
      <c r="A480" s="7">
        <v>8.3218211632274635</v>
      </c>
      <c r="B480"/>
      <c r="C480"/>
      <c r="D480"/>
      <c r="E480" t="s">
        <v>8</v>
      </c>
    </row>
    <row r="481" spans="1:5" x14ac:dyDescent="0.25">
      <c r="A481" s="7">
        <v>8.1586481992426112</v>
      </c>
      <c r="B481"/>
      <c r="C481"/>
      <c r="D481"/>
      <c r="E481" t="s">
        <v>8</v>
      </c>
    </row>
    <row r="482" spans="1:5" x14ac:dyDescent="0.25">
      <c r="A482" s="7">
        <v>7.9986747051398144</v>
      </c>
      <c r="B482"/>
      <c r="C482"/>
      <c r="D482"/>
      <c r="E482" t="s">
        <v>8</v>
      </c>
    </row>
    <row r="483" spans="1:5" x14ac:dyDescent="0.25">
      <c r="A483" s="7">
        <v>7.8418379462155041</v>
      </c>
      <c r="B483"/>
      <c r="C483"/>
      <c r="D483"/>
      <c r="E483" t="s">
        <v>8</v>
      </c>
    </row>
    <row r="484" spans="1:5" x14ac:dyDescent="0.25">
      <c r="A484" s="7">
        <v>7.688076417858337</v>
      </c>
      <c r="B484"/>
      <c r="C484"/>
      <c r="D484"/>
      <c r="E484" t="s">
        <v>8</v>
      </c>
    </row>
    <row r="485" spans="1:5" x14ac:dyDescent="0.25">
      <c r="A485" s="7">
        <v>7.5373298214297417</v>
      </c>
      <c r="B485"/>
      <c r="C485"/>
      <c r="D485"/>
      <c r="E485" t="s">
        <v>8</v>
      </c>
    </row>
    <row r="486" spans="1:5" x14ac:dyDescent="0.25">
      <c r="A486" s="7">
        <v>7.389539040617394</v>
      </c>
      <c r="B486"/>
      <c r="C486"/>
      <c r="D486"/>
      <c r="E486" t="s">
        <v>8</v>
      </c>
    </row>
    <row r="487" spans="1:5" x14ac:dyDescent="0.25">
      <c r="A487" s="7">
        <v>7.2446461182523469</v>
      </c>
      <c r="B487"/>
      <c r="C487"/>
      <c r="D487"/>
      <c r="E487" t="s">
        <v>8</v>
      </c>
    </row>
    <row r="488" spans="1:5" x14ac:dyDescent="0.25">
      <c r="A488" s="7">
        <v>7.1025942335807324</v>
      </c>
      <c r="B488"/>
      <c r="C488"/>
      <c r="D488"/>
      <c r="E488" t="s">
        <v>8</v>
      </c>
    </row>
    <row r="489" spans="1:5" x14ac:dyDescent="0.25">
      <c r="A489" s="7">
        <v>6.9633276799811101</v>
      </c>
      <c r="B489"/>
      <c r="C489"/>
      <c r="D489"/>
      <c r="E489" t="s">
        <v>8</v>
      </c>
    </row>
    <row r="490" spans="1:5" x14ac:dyDescent="0.25">
      <c r="A490" s="7">
        <v>6.8267918431187349</v>
      </c>
      <c r="B490"/>
      <c r="C490"/>
      <c r="D490"/>
      <c r="E490" t="s">
        <v>8</v>
      </c>
    </row>
    <row r="491" spans="1:5" x14ac:dyDescent="0.25">
      <c r="A491" s="7">
        <v>6.692933179528171</v>
      </c>
      <c r="B491"/>
      <c r="C491"/>
      <c r="D491"/>
      <c r="E491" t="s">
        <v>8</v>
      </c>
    </row>
    <row r="492" spans="1:5" x14ac:dyDescent="0.25">
      <c r="A492" s="7">
        <v>6.5616991956158541</v>
      </c>
      <c r="B492"/>
      <c r="C492"/>
      <c r="D492"/>
      <c r="E492" t="s">
        <v>8</v>
      </c>
    </row>
    <row r="493" spans="1:5" x14ac:dyDescent="0.25">
      <c r="A493" s="7">
        <v>6.4330384270743668</v>
      </c>
      <c r="B493"/>
      <c r="C493"/>
      <c r="D493"/>
      <c r="E493" t="s">
        <v>8</v>
      </c>
    </row>
    <row r="494" spans="1:5" x14ac:dyDescent="0.25">
      <c r="A494" s="7">
        <v>6.3069004187003594</v>
      </c>
      <c r="B494"/>
      <c r="C494"/>
      <c r="D494"/>
      <c r="E494" t="s">
        <v>8</v>
      </c>
    </row>
    <row r="495" spans="1:5" x14ac:dyDescent="0.25">
      <c r="A495" s="7">
        <v>6.1832357046081956</v>
      </c>
      <c r="B495"/>
      <c r="C495"/>
      <c r="D495"/>
      <c r="E495" t="s">
        <v>8</v>
      </c>
    </row>
    <row r="496" spans="1:5" x14ac:dyDescent="0.25">
      <c r="A496" s="7">
        <v>6.0619957888315641</v>
      </c>
      <c r="B496"/>
      <c r="C496"/>
      <c r="D496"/>
      <c r="E496" t="s">
        <v>8</v>
      </c>
    </row>
    <row r="497" spans="1:5" x14ac:dyDescent="0.25">
      <c r="A497" s="7">
        <v>5.9431331263054545</v>
      </c>
      <c r="B497"/>
      <c r="C497"/>
      <c r="D497"/>
      <c r="E497" t="s">
        <v>8</v>
      </c>
    </row>
    <row r="498" spans="1:5" x14ac:dyDescent="0.25">
      <c r="A498" s="7">
        <v>5.8266011042210337</v>
      </c>
      <c r="B498"/>
      <c r="C498"/>
      <c r="D498"/>
      <c r="E498" t="s">
        <v>8</v>
      </c>
    </row>
    <row r="499" spans="1:5" x14ac:dyDescent="0.25">
      <c r="A499" s="7">
        <v>5.7123540237461112</v>
      </c>
      <c r="B499"/>
      <c r="C499"/>
      <c r="D499"/>
      <c r="E499" t="s">
        <v>8</v>
      </c>
    </row>
    <row r="500" spans="1:5" x14ac:dyDescent="0.25">
      <c r="A500" s="7">
        <v>5.6003470821040304</v>
      </c>
      <c r="B500"/>
      <c r="C500"/>
      <c r="D500"/>
      <c r="E500" t="s">
        <v>8</v>
      </c>
    </row>
    <row r="501" spans="1:5" x14ac:dyDescent="0.25">
      <c r="A501" s="7">
        <v>5.4905363550039512</v>
      </c>
      <c r="B501"/>
      <c r="C501"/>
      <c r="D501"/>
      <c r="E501" t="s">
        <v>8</v>
      </c>
    </row>
    <row r="502" spans="1:5" x14ac:dyDescent="0.25">
      <c r="A502" s="7">
        <v>5.3828787794156385</v>
      </c>
      <c r="B502"/>
      <c r="C502"/>
      <c r="D502"/>
      <c r="E502" t="s">
        <v>8</v>
      </c>
    </row>
    <row r="503" spans="1:5" x14ac:dyDescent="0.25">
      <c r="A503" s="7">
        <v>5.2773321366819985</v>
      </c>
      <c r="B503"/>
      <c r="C503"/>
      <c r="D503"/>
      <c r="E503" t="s">
        <v>8</v>
      </c>
    </row>
    <row r="504" spans="1:5" x14ac:dyDescent="0.25">
      <c r="A504" s="7">
        <v>5.1738550359627435</v>
      </c>
      <c r="B504"/>
      <c r="C504"/>
      <c r="D504"/>
      <c r="E504" t="s">
        <v>8</v>
      </c>
    </row>
    <row r="505" spans="1:5" x14ac:dyDescent="0.25">
      <c r="A505" s="7">
        <v>5.07240689800269</v>
      </c>
      <c r="B505"/>
      <c r="C505"/>
      <c r="D505"/>
      <c r="E505" t="s">
        <v>8</v>
      </c>
    </row>
    <row r="506" spans="1:5" x14ac:dyDescent="0.25">
      <c r="A506" s="7">
        <v>4.9729479392183231</v>
      </c>
      <c r="B506"/>
      <c r="C506"/>
      <c r="D506"/>
      <c r="E506" t="s">
        <v>8</v>
      </c>
    </row>
    <row r="507" spans="1:5" x14ac:dyDescent="0.25">
      <c r="A507" s="7">
        <v>4.8754391560963954</v>
      </c>
      <c r="B507"/>
      <c r="C507"/>
      <c r="D507"/>
      <c r="E507" t="s">
        <v>8</v>
      </c>
    </row>
    <row r="508" spans="1:5" x14ac:dyDescent="0.25">
      <c r="A508" s="7">
        <v>4.7798423098984264</v>
      </c>
      <c r="B508"/>
      <c r="C508"/>
      <c r="D508"/>
      <c r="E508" t="s">
        <v>8</v>
      </c>
    </row>
    <row r="509" spans="1:5" x14ac:dyDescent="0.25">
      <c r="A509" s="7">
        <v>4.6861199116651235</v>
      </c>
      <c r="B509"/>
      <c r="C509"/>
      <c r="D509"/>
      <c r="E509" t="s">
        <v>8</v>
      </c>
    </row>
    <row r="510" spans="1:5" x14ac:dyDescent="0.25">
      <c r="A510" s="7">
        <v>4.5942352075148269</v>
      </c>
      <c r="B510"/>
      <c r="C510"/>
      <c r="D510"/>
      <c r="E510" t="s">
        <v>8</v>
      </c>
    </row>
    <row r="511" spans="1:5" x14ac:dyDescent="0.25">
      <c r="A511" s="7">
        <v>4.5041521642302227</v>
      </c>
      <c r="B511"/>
      <c r="C511"/>
      <c r="D511"/>
      <c r="E511" t="s">
        <v>8</v>
      </c>
    </row>
    <row r="512" spans="1:5" x14ac:dyDescent="0.25">
      <c r="A512" s="7">
        <v>4.4158354551276693</v>
      </c>
      <c r="B512"/>
      <c r="C512"/>
      <c r="D512"/>
      <c r="E512" t="s">
        <v>8</v>
      </c>
    </row>
    <row r="513" spans="1:5" x14ac:dyDescent="0.25">
      <c r="A513" s="7">
        <v>4.3292504462035977</v>
      </c>
      <c r="B513"/>
      <c r="C513"/>
      <c r="D513"/>
      <c r="E513" t="s">
        <v>8</v>
      </c>
    </row>
    <row r="514" spans="1:5" x14ac:dyDescent="0.25">
      <c r="A514" s="7">
        <v>4.2443631825525463</v>
      </c>
      <c r="B514"/>
      <c r="C514"/>
      <c r="D514"/>
      <c r="E514" t="s">
        <v>8</v>
      </c>
    </row>
    <row r="515" spans="1:5" x14ac:dyDescent="0.25">
      <c r="A515" s="7">
        <v>4.1611403750515157</v>
      </c>
      <c r="B515"/>
      <c r="C515"/>
      <c r="D515"/>
      <c r="E515" t="s">
        <v>8</v>
      </c>
    </row>
    <row r="516" spans="1:5" x14ac:dyDescent="0.25">
      <c r="A516" s="7">
        <v>4.0795493873054074</v>
      </c>
      <c r="B516"/>
      <c r="C516"/>
      <c r="D516"/>
      <c r="E516" t="s">
        <v>8</v>
      </c>
    </row>
    <row r="517" spans="1:5" x14ac:dyDescent="0.25">
      <c r="A517" s="7">
        <v>3.9995582228484383</v>
      </c>
      <c r="B517"/>
      <c r="C517"/>
      <c r="D517"/>
      <c r="E517" t="s">
        <v>8</v>
      </c>
    </row>
    <row r="518" spans="1:5" x14ac:dyDescent="0.25">
      <c r="A518" s="7">
        <v>3.9211355125965079</v>
      </c>
      <c r="B518"/>
      <c r="C518"/>
      <c r="D518"/>
      <c r="E518" t="s">
        <v>8</v>
      </c>
    </row>
    <row r="519" spans="1:5" x14ac:dyDescent="0.25">
      <c r="A519" s="7">
        <v>3.844250502545596</v>
      </c>
      <c r="B519"/>
      <c r="C519"/>
      <c r="D519"/>
      <c r="E519" t="s">
        <v>8</v>
      </c>
    </row>
    <row r="520" spans="1:5" x14ac:dyDescent="0.25">
      <c r="A520" s="7">
        <v>3.7688730417113687</v>
      </c>
      <c r="B520"/>
      <c r="C520"/>
      <c r="D520"/>
      <c r="E520" t="s">
        <v>8</v>
      </c>
    </row>
    <row r="521" spans="1:5" x14ac:dyDescent="0.25">
      <c r="A521" s="7">
        <v>3.6949735703052635</v>
      </c>
      <c r="B521"/>
      <c r="C521"/>
      <c r="D521"/>
      <c r="E521" t="s">
        <v>8</v>
      </c>
    </row>
    <row r="522" spans="1:5" x14ac:dyDescent="0.25">
      <c r="A522" s="7">
        <v>3.6225231081424152</v>
      </c>
      <c r="B522"/>
      <c r="C522"/>
      <c r="D522"/>
      <c r="E522" t="s">
        <v>8</v>
      </c>
    </row>
    <row r="523" spans="1:5" x14ac:dyDescent="0.25">
      <c r="A523" s="7">
        <v>3.5514932432768775</v>
      </c>
      <c r="B523"/>
      <c r="C523"/>
      <c r="D523"/>
      <c r="E523" t="s">
        <v>8</v>
      </c>
    </row>
    <row r="524" spans="1:5" x14ac:dyDescent="0.25">
      <c r="A524" s="7">
        <v>3.4818561208596837</v>
      </c>
      <c r="B524"/>
      <c r="C524"/>
      <c r="D524"/>
      <c r="E524" t="s">
        <v>8</v>
      </c>
    </row>
    <row r="525" spans="1:5" x14ac:dyDescent="0.25">
      <c r="A525" s="7">
        <v>3.4135844322153761</v>
      </c>
      <c r="B525"/>
      <c r="C525"/>
      <c r="D525"/>
      <c r="E525" t="s">
        <v>8</v>
      </c>
    </row>
    <row r="526" spans="1:5" x14ac:dyDescent="0.25">
      <c r="A526" s="7">
        <v>3.3466514041327216</v>
      </c>
      <c r="B526"/>
      <c r="C526"/>
      <c r="D526"/>
      <c r="E526" t="s">
        <v>8</v>
      </c>
    </row>
    <row r="527" spans="1:5" x14ac:dyDescent="0.25">
      <c r="A527" s="7">
        <v>3.2810307883654133</v>
      </c>
      <c r="B527"/>
      <c r="C527"/>
      <c r="D527"/>
      <c r="E527" t="s">
        <v>8</v>
      </c>
    </row>
    <row r="528" spans="1:5" x14ac:dyDescent="0.25">
      <c r="A528" s="7">
        <v>3.2166968513386403</v>
      </c>
      <c r="B528"/>
      <c r="C528"/>
      <c r="D528"/>
      <c r="E528" t="s">
        <v>8</v>
      </c>
    </row>
    <row r="529" spans="1:5" x14ac:dyDescent="0.25">
      <c r="A529" s="7">
        <v>3.1536243640574906</v>
      </c>
      <c r="B529"/>
      <c r="C529"/>
      <c r="D529"/>
      <c r="E529" t="s">
        <v>8</v>
      </c>
    </row>
    <row r="530" spans="1:5" x14ac:dyDescent="0.25">
      <c r="A530" s="7">
        <v>3.0917885922132262</v>
      </c>
      <c r="B530"/>
      <c r="C530"/>
      <c r="D530"/>
      <c r="E530" t="s">
        <v>8</v>
      </c>
    </row>
    <row r="531" spans="1:5" x14ac:dyDescent="0.25">
      <c r="A531" s="7">
        <v>3.0311652864835552</v>
      </c>
      <c r="B531"/>
      <c r="C531"/>
      <c r="D531"/>
      <c r="E531" t="s">
        <v>8</v>
      </c>
    </row>
    <row r="532" spans="1:5" x14ac:dyDescent="0.25">
      <c r="A532" s="7">
        <v>2.9717306730230932</v>
      </c>
      <c r="B532"/>
      <c r="C532"/>
      <c r="D532"/>
      <c r="E532" t="s">
        <v>8</v>
      </c>
    </row>
    <row r="533" spans="1:5" x14ac:dyDescent="0.25">
      <c r="A533" s="7">
        <v>2.9134614441402875</v>
      </c>
      <c r="B533"/>
      <c r="C533"/>
      <c r="D533"/>
      <c r="E533" t="s">
        <v>8</v>
      </c>
    </row>
    <row r="534" spans="1:5" x14ac:dyDescent="0.25">
      <c r="A534" s="7">
        <v>2.8563347491571447</v>
      </c>
      <c r="B534"/>
      <c r="C534"/>
      <c r="D534"/>
      <c r="E534" t="s">
        <v>8</v>
      </c>
    </row>
    <row r="535" spans="1:5" x14ac:dyDescent="0.25">
      <c r="A535" s="7">
        <v>2.8003281854481812</v>
      </c>
      <c r="B535"/>
      <c r="C535"/>
      <c r="D535"/>
      <c r="E535" t="s">
        <v>8</v>
      </c>
    </row>
    <row r="536" spans="1:5" x14ac:dyDescent="0.25">
      <c r="A536" s="7">
        <v>2.7454197896550796</v>
      </c>
      <c r="B536"/>
      <c r="C536"/>
      <c r="D536"/>
      <c r="E536" t="s">
        <v>8</v>
      </c>
    </row>
    <row r="537" spans="1:5" x14ac:dyDescent="0.25">
      <c r="A537" s="7">
        <v>2.6915880290736074</v>
      </c>
      <c r="B537"/>
      <c r="C537"/>
      <c r="D537"/>
      <c r="E537" t="s">
        <v>8</v>
      </c>
    </row>
    <row r="538" spans="1:5" x14ac:dyDescent="0.25">
      <c r="A538" s="7">
        <v>2.6388117932094191</v>
      </c>
      <c r="B538"/>
      <c r="C538"/>
      <c r="D538"/>
      <c r="E538" t="s">
        <v>8</v>
      </c>
    </row>
    <row r="539" spans="1:5" x14ac:dyDescent="0.25">
      <c r="A539" s="7">
        <v>2.5870703854994304</v>
      </c>
      <c r="B539"/>
      <c r="C539"/>
      <c r="D539"/>
      <c r="E539" t="s">
        <v>8</v>
      </c>
    </row>
    <row r="540" spans="1:5" x14ac:dyDescent="0.25">
      <c r="A540" s="7">
        <v>2.53634351519552</v>
      </c>
      <c r="B540"/>
      <c r="C540"/>
      <c r="D540"/>
      <c r="E540" t="s">
        <v>8</v>
      </c>
    </row>
    <row r="541" spans="1:5" x14ac:dyDescent="0.25">
      <c r="A541" s="7">
        <v>2.4866112894073726</v>
      </c>
      <c r="B541"/>
      <c r="C541"/>
      <c r="D541"/>
      <c r="E541" t="s">
        <v>8</v>
      </c>
    </row>
    <row r="542" spans="1:5" x14ac:dyDescent="0.25">
      <c r="A542" s="7">
        <v>2.4378542053013459</v>
      </c>
      <c r="B542"/>
      <c r="C542"/>
      <c r="D542"/>
      <c r="E542" t="s">
        <v>8</v>
      </c>
    </row>
    <row r="543" spans="1:5" x14ac:dyDescent="0.25">
      <c r="A543" s="7">
        <v>2.3900531424522997</v>
      </c>
      <c r="B543"/>
      <c r="C543"/>
      <c r="D543"/>
      <c r="E543" t="s">
        <v>8</v>
      </c>
    </row>
    <row r="544" spans="1:5" x14ac:dyDescent="0.25">
      <c r="A544" s="7">
        <v>2.343189355345392</v>
      </c>
      <c r="B544"/>
      <c r="C544"/>
      <c r="D544"/>
      <c r="E544" t="s">
        <v>8</v>
      </c>
    </row>
    <row r="545" spans="1:5" x14ac:dyDescent="0.25">
      <c r="A545" s="7">
        <v>2.2972444660248938</v>
      </c>
      <c r="B545"/>
      <c r="C545"/>
      <c r="D545"/>
      <c r="E545" t="s">
        <v>8</v>
      </c>
    </row>
    <row r="546" spans="1:5" x14ac:dyDescent="0.25">
      <c r="A546" s="7">
        <v>2.252200456887151</v>
      </c>
      <c r="B546"/>
      <c r="C546"/>
      <c r="D546"/>
      <c r="E546" t="s">
        <v>8</v>
      </c>
    </row>
    <row r="547" spans="1:5" x14ac:dyDescent="0.25">
      <c r="A547" s="7">
        <v>2.208039663614854</v>
      </c>
      <c r="B547"/>
      <c r="C547"/>
      <c r="D547"/>
      <c r="E547" t="s">
        <v>8</v>
      </c>
    </row>
    <row r="548" spans="1:5" x14ac:dyDescent="0.25">
      <c r="A548" s="7">
        <v>2.1647447682498568</v>
      </c>
      <c r="B548"/>
      <c r="C548"/>
      <c r="D548"/>
      <c r="E548" t="s">
        <v>8</v>
      </c>
    </row>
    <row r="549" spans="1:5" x14ac:dyDescent="0.25">
      <c r="A549" s="7">
        <v>2.1222987924018204</v>
      </c>
      <c r="B549"/>
      <c r="C549"/>
      <c r="D549"/>
      <c r="E549" t="s">
        <v>8</v>
      </c>
    </row>
    <row r="550" spans="1:5" x14ac:dyDescent="0.25">
      <c r="A550" s="7">
        <v>2.0806850905900198</v>
      </c>
      <c r="B550"/>
      <c r="C550"/>
      <c r="D550"/>
      <c r="E550" t="s">
        <v>8</v>
      </c>
    </row>
    <row r="551" spans="1:5" x14ac:dyDescent="0.25">
      <c r="A551" s="7">
        <v>2.0398873437157055</v>
      </c>
      <c r="B551"/>
      <c r="C551"/>
      <c r="D551"/>
      <c r="E551" t="s">
        <v>8</v>
      </c>
    </row>
    <row r="552" spans="1:5" x14ac:dyDescent="0.25">
      <c r="A552" s="7">
        <v>1.9998895526624565</v>
      </c>
      <c r="B552"/>
      <c r="C552"/>
      <c r="D552"/>
      <c r="E552" t="s">
        <v>8</v>
      </c>
    </row>
    <row r="553" spans="1:5" x14ac:dyDescent="0.25">
      <c r="A553" s="7">
        <v>1.9606760320220162</v>
      </c>
      <c r="B553"/>
      <c r="C553"/>
      <c r="D553"/>
      <c r="E553" t="s">
        <v>8</v>
      </c>
    </row>
    <row r="554" spans="1:5" x14ac:dyDescent="0.25">
      <c r="A554" s="7">
        <v>1.9222314039431532</v>
      </c>
      <c r="B554"/>
      <c r="C554"/>
      <c r="D554"/>
      <c r="E554" t="s">
        <v>8</v>
      </c>
    </row>
    <row r="555" spans="1:5" x14ac:dyDescent="0.25">
      <c r="A555" s="7">
        <v>1.8845405921011305</v>
      </c>
      <c r="B555"/>
      <c r="C555"/>
      <c r="D555"/>
      <c r="E555" t="s">
        <v>8</v>
      </c>
    </row>
    <row r="556" spans="1:5" x14ac:dyDescent="0.25">
      <c r="A556" s="7">
        <v>1.8475888157854219</v>
      </c>
      <c r="B556"/>
      <c r="C556"/>
      <c r="D556"/>
      <c r="E556" t="s">
        <v>8</v>
      </c>
    </row>
    <row r="557" spans="1:5" x14ac:dyDescent="0.25">
      <c r="A557" s="7">
        <v>1.8113615841033548</v>
      </c>
      <c r="B557"/>
      <c r="C557"/>
      <c r="D557"/>
      <c r="E557" t="s">
        <v>8</v>
      </c>
    </row>
    <row r="558" spans="1:5" x14ac:dyDescent="0.25">
      <c r="A558" s="7">
        <v>1.7758446902974065</v>
      </c>
      <c r="B558"/>
      <c r="C558"/>
      <c r="D558"/>
      <c r="E558" t="s">
        <v>8</v>
      </c>
    </row>
    <row r="559" spans="1:5" x14ac:dyDescent="0.25">
      <c r="A559" s="7">
        <v>1.7410242061739281</v>
      </c>
      <c r="B559"/>
      <c r="C559"/>
      <c r="D559"/>
      <c r="E559" t="s">
        <v>8</v>
      </c>
    </row>
    <row r="560" spans="1:5" x14ac:dyDescent="0.25">
      <c r="A560" s="7">
        <v>1.7068864766411058</v>
      </c>
      <c r="B560"/>
      <c r="C560"/>
      <c r="D560"/>
      <c r="E560" t="s">
        <v>8</v>
      </c>
    </row>
    <row r="561" spans="1:5" x14ac:dyDescent="0.25">
      <c r="A561" s="7">
        <v>1.6734181143540252</v>
      </c>
      <c r="B561"/>
      <c r="C561"/>
      <c r="D561"/>
      <c r="E561" t="s">
        <v>8</v>
      </c>
    </row>
    <row r="562" spans="1:5" x14ac:dyDescent="0.25">
      <c r="A562" s="7">
        <v>1.6406059944647307</v>
      </c>
      <c r="B562"/>
      <c r="C562"/>
      <c r="D562"/>
      <c r="E562" t="s">
        <v>8</v>
      </c>
    </row>
    <row r="563" spans="1:5" x14ac:dyDescent="0.25">
      <c r="A563" s="7">
        <v>1.6084372494752261</v>
      </c>
      <c r="B563"/>
      <c r="C563"/>
      <c r="D563"/>
      <c r="E563" t="s">
        <v>8</v>
      </c>
    </row>
    <row r="564" spans="1:5" x14ac:dyDescent="0.25">
      <c r="A564" s="7">
        <v>1.5768992641913981</v>
      </c>
      <c r="B564"/>
      <c r="C564"/>
      <c r="D564"/>
      <c r="E564" t="s">
        <v>8</v>
      </c>
    </row>
    <row r="565" spans="1:5" x14ac:dyDescent="0.25">
      <c r="A565" s="7">
        <v>1.5459796707758806</v>
      </c>
      <c r="B565"/>
      <c r="C565"/>
      <c r="D565"/>
      <c r="E565" t="s">
        <v>8</v>
      </c>
    </row>
    <row r="566" spans="1:5" x14ac:dyDescent="0.25">
      <c r="A566" s="7">
        <v>1.5156663438979221</v>
      </c>
      <c r="B566"/>
      <c r="C566"/>
      <c r="D566"/>
      <c r="E566" t="s">
        <v>8</v>
      </c>
    </row>
    <row r="567" spans="1:5" x14ac:dyDescent="0.25">
      <c r="A567" s="7">
        <v>1.4859473959783549</v>
      </c>
      <c r="B567"/>
      <c r="C567"/>
      <c r="D567"/>
      <c r="E567" t="s">
        <v>8</v>
      </c>
    </row>
    <row r="568" spans="1:5" x14ac:dyDescent="0.25">
      <c r="A568" s="7">
        <v>1.4568111725277988</v>
      </c>
      <c r="B568"/>
      <c r="C568"/>
      <c r="D568"/>
      <c r="E568" t="s">
        <v>8</v>
      </c>
    </row>
    <row r="569" spans="1:5" x14ac:dyDescent="0.25">
      <c r="A569" s="7">
        <v>1.4282462475762734</v>
      </c>
      <c r="B569"/>
      <c r="C569"/>
      <c r="D569"/>
      <c r="E569" t="s">
        <v>8</v>
      </c>
    </row>
    <row r="570" spans="1:5" x14ac:dyDescent="0.25">
      <c r="A570" s="7">
        <v>1.4002414191924248</v>
      </c>
      <c r="B570"/>
      <c r="C570"/>
      <c r="D570"/>
      <c r="E570" t="s">
        <v>8</v>
      </c>
    </row>
    <row r="571" spans="1:5" x14ac:dyDescent="0.25">
      <c r="A571" s="7">
        <v>1.3727857050906125</v>
      </c>
      <c r="B571"/>
      <c r="C571"/>
      <c r="D571"/>
      <c r="E571" t="s">
        <v>8</v>
      </c>
    </row>
    <row r="572" spans="1:5" x14ac:dyDescent="0.25">
      <c r="A572" s="7">
        <v>1.3458683383241299</v>
      </c>
      <c r="B572"/>
      <c r="C572"/>
      <c r="D572"/>
      <c r="E572" t="s">
        <v>8</v>
      </c>
    </row>
    <row r="573" spans="1:5" x14ac:dyDescent="0.25">
      <c r="A573" s="7">
        <v>1.3194787630628724</v>
      </c>
      <c r="B573"/>
      <c r="C573"/>
      <c r="D573"/>
      <c r="E573" t="s">
        <v>8</v>
      </c>
    </row>
    <row r="574" spans="1:5" x14ac:dyDescent="0.25">
      <c r="A574" s="7">
        <v>1.2936066304537963</v>
      </c>
      <c r="B574"/>
      <c r="C574"/>
      <c r="D574"/>
      <c r="E574" t="s">
        <v>8</v>
      </c>
    </row>
    <row r="575" spans="1:5" x14ac:dyDescent="0.25">
      <c r="A575" s="7">
        <v>1.2682417945625455</v>
      </c>
      <c r="B575"/>
      <c r="C575"/>
      <c r="D575"/>
      <c r="E575" t="s">
        <v>8</v>
      </c>
    </row>
    <row r="576" spans="1:5" x14ac:dyDescent="0.25">
      <c r="A576" s="7">
        <v>1.2433743083946525</v>
      </c>
      <c r="B576"/>
      <c r="C576"/>
      <c r="D576"/>
      <c r="E576" t="s">
        <v>8</v>
      </c>
    </row>
    <row r="577" spans="1:5" x14ac:dyDescent="0.25">
      <c r="A577" s="7">
        <v>1.2189944199947573</v>
      </c>
      <c r="B577"/>
      <c r="C577"/>
      <c r="D577"/>
      <c r="E577" t="s">
        <v>8</v>
      </c>
    </row>
    <row r="578" spans="1:5" x14ac:dyDescent="0.25">
      <c r="A578" s="7">
        <v>1.1950925686223111</v>
      </c>
      <c r="B578"/>
      <c r="C578"/>
      <c r="D578"/>
      <c r="E578" t="s">
        <v>8</v>
      </c>
    </row>
    <row r="579" spans="1:5" x14ac:dyDescent="0.25">
      <c r="A579" s="7">
        <v>1.1716593810022657</v>
      </c>
      <c r="B579"/>
      <c r="C579"/>
      <c r="D579"/>
      <c r="E579" t="s">
        <v>8</v>
      </c>
    </row>
    <row r="580" spans="1:5" x14ac:dyDescent="0.25">
      <c r="A580" s="7">
        <v>1.14868566764928</v>
      </c>
      <c r="B580"/>
      <c r="C580"/>
      <c r="D580"/>
      <c r="E580" t="s">
        <v>8</v>
      </c>
    </row>
    <row r="581" spans="1:5" x14ac:dyDescent="0.25">
      <c r="A581" s="7">
        <v>1.1261624192640001</v>
      </c>
      <c r="B581"/>
      <c r="C581"/>
      <c r="D581"/>
      <c r="E581" t="s">
        <v>8</v>
      </c>
    </row>
    <row r="582" spans="1:5" x14ac:dyDescent="0.25">
      <c r="A582" s="7">
        <v>1.1040808032</v>
      </c>
      <c r="B582"/>
      <c r="C582"/>
      <c r="D582"/>
      <c r="E582" t="s">
        <v>8</v>
      </c>
    </row>
    <row r="583" spans="1:5" x14ac:dyDescent="0.25">
      <c r="A583" s="7">
        <v>1.08243216</v>
      </c>
      <c r="B583"/>
      <c r="C583"/>
      <c r="D583"/>
      <c r="E583" t="s">
        <v>8</v>
      </c>
    </row>
    <row r="584" spans="1:5" x14ac:dyDescent="0.25">
      <c r="A584" s="7">
        <v>1.0612079999999999</v>
      </c>
      <c r="B584"/>
      <c r="C584"/>
      <c r="D584"/>
      <c r="E584" t="s">
        <v>8</v>
      </c>
    </row>
    <row r="585" spans="1:5" x14ac:dyDescent="0.25">
      <c r="A585" s="7">
        <v>1.0404</v>
      </c>
      <c r="B585"/>
      <c r="C585"/>
      <c r="D585"/>
      <c r="E585" t="s">
        <v>8</v>
      </c>
    </row>
    <row r="586" spans="1:5" x14ac:dyDescent="0.25">
      <c r="A586" s="7">
        <v>1.02</v>
      </c>
      <c r="B586"/>
      <c r="C586"/>
      <c r="D586"/>
      <c r="E586" t="s">
        <v>8</v>
      </c>
    </row>
    <row r="587" spans="1:5" x14ac:dyDescent="0.25">
      <c r="A587" s="7">
        <v>1</v>
      </c>
      <c r="B587"/>
      <c r="C587"/>
      <c r="D587"/>
      <c r="E587" s="29" t="s">
        <v>8</v>
      </c>
    </row>
    <row r="588" spans="1:5" x14ac:dyDescent="0.25">
      <c r="A588" s="7">
        <v>0.98039215686274506</v>
      </c>
      <c r="B588"/>
      <c r="C588"/>
      <c r="D588"/>
      <c r="E588"/>
    </row>
    <row r="589" spans="1:5" x14ac:dyDescent="0.25">
      <c r="A589" s="7">
        <v>0.96116878123798544</v>
      </c>
      <c r="B589"/>
      <c r="C589"/>
      <c r="D589"/>
      <c r="E589"/>
    </row>
    <row r="590" spans="1:5" x14ac:dyDescent="0.25">
      <c r="A590" s="7">
        <v>0.94232233454704462</v>
      </c>
      <c r="B590"/>
      <c r="C590"/>
      <c r="D590"/>
      <c r="E590"/>
    </row>
    <row r="591" spans="1:5" x14ac:dyDescent="0.25">
      <c r="A591" s="7">
        <v>0.92384542602651432</v>
      </c>
      <c r="B591"/>
      <c r="C591"/>
      <c r="D591"/>
      <c r="E591"/>
    </row>
    <row r="592" spans="1:5" x14ac:dyDescent="0.25">
      <c r="A592" s="7">
        <v>0.90573080982991594</v>
      </c>
      <c r="B592"/>
      <c r="C592"/>
      <c r="D592"/>
      <c r="E592"/>
    </row>
    <row r="593" spans="1:5" x14ac:dyDescent="0.25">
      <c r="A593" s="7">
        <v>0.8879713821861922</v>
      </c>
      <c r="B593"/>
      <c r="C593"/>
      <c r="D593"/>
      <c r="E593"/>
    </row>
    <row r="594" spans="1:5" x14ac:dyDescent="0.25">
      <c r="A594" s="7">
        <v>0.87056017861391399</v>
      </c>
      <c r="B594"/>
      <c r="C594"/>
      <c r="D594"/>
      <c r="E594"/>
    </row>
    <row r="595" spans="1:5" x14ac:dyDescent="0.25">
      <c r="A595" s="7">
        <v>0.85349037119011173</v>
      </c>
      <c r="B595"/>
      <c r="C595"/>
      <c r="D595"/>
      <c r="E595"/>
    </row>
    <row r="596" spans="1:5" x14ac:dyDescent="0.25">
      <c r="A596" s="7">
        <v>0.83675526587265858</v>
      </c>
      <c r="B596"/>
      <c r="C596"/>
      <c r="D596"/>
      <c r="E596"/>
    </row>
    <row r="597" spans="1:5" x14ac:dyDescent="0.25">
      <c r="A597" s="7">
        <v>0.82034829987515545</v>
      </c>
      <c r="B597"/>
      <c r="C597"/>
      <c r="D597"/>
      <c r="E597"/>
    </row>
    <row r="598" spans="1:5" x14ac:dyDescent="0.25">
      <c r="A598" s="7">
        <v>0.80426303909328967</v>
      </c>
      <c r="B598"/>
      <c r="C598"/>
      <c r="D598"/>
      <c r="E598"/>
    </row>
    <row r="599" spans="1:5" x14ac:dyDescent="0.25">
      <c r="A599" s="7">
        <v>0.78849317558165644</v>
      </c>
      <c r="B599"/>
      <c r="C599"/>
      <c r="D599"/>
      <c r="E599"/>
    </row>
    <row r="600" spans="1:5" x14ac:dyDescent="0.25">
      <c r="A600" s="7">
        <v>0.77303252508005538</v>
      </c>
      <c r="B600"/>
      <c r="C600"/>
      <c r="D600"/>
      <c r="E600"/>
    </row>
    <row r="601" spans="1:5" x14ac:dyDescent="0.25">
      <c r="A601" s="7">
        <v>0.75787502458828959</v>
      </c>
      <c r="B601"/>
      <c r="C601"/>
      <c r="D601"/>
      <c r="E601"/>
    </row>
    <row r="602" spans="1:5" x14ac:dyDescent="0.25">
      <c r="A602" s="7">
        <v>0.74301472998851925</v>
      </c>
      <c r="B602"/>
      <c r="C602"/>
      <c r="D602"/>
      <c r="E602"/>
    </row>
    <row r="603" spans="1:5" x14ac:dyDescent="0.25">
      <c r="A603" s="7">
        <v>0.72844581371423456</v>
      </c>
      <c r="B603"/>
      <c r="C603"/>
      <c r="D603"/>
      <c r="E603"/>
    </row>
    <row r="604" spans="1:5" x14ac:dyDescent="0.25">
      <c r="A604" s="7">
        <v>0.71416256246493581</v>
      </c>
      <c r="B604"/>
      <c r="C604"/>
      <c r="D604"/>
      <c r="E604"/>
    </row>
    <row r="605" spans="1:5" x14ac:dyDescent="0.25">
      <c r="A605" s="7">
        <v>0.7001593749656233</v>
      </c>
      <c r="B605"/>
      <c r="C605"/>
      <c r="D605"/>
      <c r="E605"/>
    </row>
    <row r="606" spans="1:5" x14ac:dyDescent="0.25">
      <c r="A606" s="7">
        <v>0.68643075977021883</v>
      </c>
      <c r="B606"/>
      <c r="C606"/>
      <c r="D606"/>
      <c r="E606"/>
    </row>
    <row r="607" spans="1:5" x14ac:dyDescent="0.25">
      <c r="A607" s="7">
        <v>0.67297133310805768</v>
      </c>
      <c r="B607"/>
      <c r="C607"/>
      <c r="D607"/>
      <c r="E607"/>
    </row>
    <row r="608" spans="1:5" x14ac:dyDescent="0.25">
      <c r="A608" s="7">
        <v>0.65977581677260566</v>
      </c>
      <c r="B608"/>
      <c r="C608"/>
      <c r="D608"/>
      <c r="E608"/>
    </row>
    <row r="609" spans="1:5" x14ac:dyDescent="0.25">
      <c r="A609" s="7">
        <v>0.64683903605157422</v>
      </c>
      <c r="B609"/>
      <c r="C609"/>
      <c r="D609"/>
      <c r="E609"/>
    </row>
    <row r="610" spans="1:5" x14ac:dyDescent="0.25">
      <c r="A610" s="7">
        <v>0.63415591769762181</v>
      </c>
      <c r="B610"/>
      <c r="C610"/>
      <c r="D610"/>
      <c r="E610"/>
    </row>
    <row r="611" spans="1:5" x14ac:dyDescent="0.25">
      <c r="A611" s="7">
        <v>0.62172148793884496</v>
      </c>
      <c r="B611"/>
      <c r="C611"/>
      <c r="D611"/>
      <c r="E611"/>
    </row>
    <row r="612" spans="1:5" x14ac:dyDescent="0.25">
      <c r="A612" s="7">
        <v>0.60953087052827937</v>
      </c>
      <c r="B612"/>
      <c r="C612"/>
      <c r="D612"/>
      <c r="E612"/>
    </row>
    <row r="613" spans="1:5" x14ac:dyDescent="0.25">
      <c r="A613" s="7">
        <v>0.59757928483164646</v>
      </c>
      <c r="B613"/>
      <c r="C613"/>
      <c r="D613"/>
      <c r="E613"/>
    </row>
    <row r="614" spans="1:5" x14ac:dyDescent="0.25">
      <c r="A614" s="7">
        <v>0.58586204395259456</v>
      </c>
      <c r="B614"/>
      <c r="C614"/>
      <c r="D614"/>
      <c r="E614"/>
    </row>
    <row r="615" spans="1:5" x14ac:dyDescent="0.25">
      <c r="A615" s="7">
        <v>0.57437455289470052</v>
      </c>
      <c r="B615"/>
      <c r="C615"/>
      <c r="D615"/>
      <c r="E615"/>
    </row>
    <row r="616" spans="1:5" x14ac:dyDescent="0.25">
      <c r="A616" s="7">
        <v>0.56311230675951029</v>
      </c>
      <c r="B616"/>
      <c r="C616"/>
      <c r="D616"/>
      <c r="E616"/>
    </row>
    <row r="617" spans="1:5" x14ac:dyDescent="0.25">
      <c r="A617" s="7">
        <v>0.55207088897991208</v>
      </c>
      <c r="B617"/>
      <c r="C617"/>
      <c r="D617"/>
      <c r="E617"/>
    </row>
    <row r="618" spans="1:5" x14ac:dyDescent="0.25">
      <c r="A618" s="7">
        <v>0.54124596958814908</v>
      </c>
      <c r="B618"/>
      <c r="C618"/>
      <c r="D618"/>
      <c r="E618"/>
    </row>
    <row r="619" spans="1:5" x14ac:dyDescent="0.25">
      <c r="A619" s="7">
        <v>0.53063330351779314</v>
      </c>
      <c r="B619"/>
      <c r="C619"/>
      <c r="D619"/>
      <c r="E619"/>
    </row>
    <row r="620" spans="1:5" x14ac:dyDescent="0.25">
      <c r="A620" s="7">
        <v>0.52022872893901284</v>
      </c>
      <c r="B620"/>
      <c r="C620"/>
      <c r="D620"/>
      <c r="E620"/>
    </row>
    <row r="621" spans="1:5" x14ac:dyDescent="0.25">
      <c r="A621" s="7">
        <v>0.51002816562648323</v>
      </c>
      <c r="B621"/>
      <c r="C621"/>
      <c r="D621"/>
      <c r="E621"/>
    </row>
    <row r="622" spans="1:5" x14ac:dyDescent="0.25">
      <c r="A622" s="7">
        <v>0.50002761335929735</v>
      </c>
      <c r="B622"/>
      <c r="C622"/>
      <c r="D622"/>
      <c r="E622"/>
    </row>
    <row r="623" spans="1:5" x14ac:dyDescent="0.25">
      <c r="A623" s="7">
        <v>0.49022315035225228</v>
      </c>
      <c r="B623"/>
      <c r="C623"/>
      <c r="D623"/>
      <c r="E623"/>
    </row>
    <row r="624" spans="1:5" x14ac:dyDescent="0.25">
      <c r="A624" s="7">
        <v>0.48061093171789437</v>
      </c>
      <c r="B624"/>
      <c r="C624"/>
      <c r="D624"/>
      <c r="E624"/>
    </row>
    <row r="625" spans="1:5" x14ac:dyDescent="0.25">
      <c r="A625" s="7">
        <v>0.47118718795871994</v>
      </c>
      <c r="B625"/>
      <c r="C625"/>
      <c r="D625"/>
      <c r="E625"/>
    </row>
    <row r="626" spans="1:5" x14ac:dyDescent="0.25">
      <c r="A626" s="7">
        <v>0.46194822348894116</v>
      </c>
      <c r="B626"/>
      <c r="C626"/>
      <c r="D626"/>
      <c r="E626"/>
    </row>
    <row r="627" spans="1:5" x14ac:dyDescent="0.25">
      <c r="A627" s="7">
        <v>0.45289041518523643</v>
      </c>
      <c r="B627"/>
      <c r="C627"/>
      <c r="D627"/>
      <c r="E627"/>
    </row>
    <row r="628" spans="1:5" x14ac:dyDescent="0.25">
      <c r="A628" s="7">
        <v>0.44401021096591808</v>
      </c>
      <c r="B628"/>
      <c r="C628"/>
      <c r="D628"/>
      <c r="E628"/>
    </row>
    <row r="629" spans="1:5" x14ac:dyDescent="0.25">
      <c r="A629" s="7">
        <v>0.4353041283979589</v>
      </c>
      <c r="B629"/>
      <c r="C629"/>
      <c r="D629"/>
      <c r="E629"/>
    </row>
    <row r="630" spans="1:5" x14ac:dyDescent="0.25">
      <c r="A630" s="7">
        <v>0.4267687533313323</v>
      </c>
      <c r="B630"/>
      <c r="C630"/>
      <c r="D630"/>
      <c r="E630"/>
    </row>
    <row r="631" spans="1:5" x14ac:dyDescent="0.25">
      <c r="A631" s="7">
        <v>0.41840073856012971</v>
      </c>
      <c r="B631"/>
      <c r="C631"/>
      <c r="D631"/>
      <c r="E631"/>
    </row>
    <row r="632" spans="1:5" x14ac:dyDescent="0.25">
      <c r="A632" s="7">
        <v>0.41019680250993112</v>
      </c>
      <c r="B632"/>
      <c r="C632"/>
      <c r="D632"/>
      <c r="E632"/>
    </row>
    <row r="633" spans="1:5" x14ac:dyDescent="0.25">
      <c r="A633" s="7">
        <v>0.40215372795091286</v>
      </c>
      <c r="B633"/>
      <c r="C633"/>
      <c r="D633"/>
      <c r="E633"/>
    </row>
    <row r="634" spans="1:5" x14ac:dyDescent="0.25">
      <c r="A634" s="7">
        <v>0.39426836073618904</v>
      </c>
      <c r="B634"/>
      <c r="C634"/>
      <c r="D634"/>
      <c r="E634"/>
    </row>
    <row r="635" spans="1:5" x14ac:dyDescent="0.25">
      <c r="A635" s="7">
        <v>0.38653760856489122</v>
      </c>
      <c r="B635"/>
      <c r="C635"/>
      <c r="D635"/>
      <c r="E635"/>
    </row>
    <row r="636" spans="1:5" x14ac:dyDescent="0.25">
      <c r="A636" s="7">
        <v>0.37895843976950117</v>
      </c>
      <c r="B636"/>
      <c r="C636"/>
      <c r="D636"/>
      <c r="E636"/>
    </row>
    <row r="637" spans="1:5" x14ac:dyDescent="0.25">
      <c r="A637" s="7">
        <v>0.37152788212696197</v>
      </c>
      <c r="B637"/>
      <c r="C637"/>
      <c r="D637"/>
      <c r="E637"/>
    </row>
    <row r="638" spans="1:5" x14ac:dyDescent="0.25">
      <c r="A638" s="7">
        <v>0.36424302169310002</v>
      </c>
      <c r="B638"/>
      <c r="C638"/>
      <c r="D638"/>
      <c r="E638"/>
    </row>
    <row r="639" spans="1:5" x14ac:dyDescent="0.25">
      <c r="A639" s="7">
        <v>0.35710100165990194</v>
      </c>
      <c r="B639"/>
      <c r="C639"/>
      <c r="D639"/>
      <c r="E639"/>
    </row>
    <row r="640" spans="1:5" x14ac:dyDescent="0.25">
      <c r="A640" s="7">
        <v>0.35009902123519804</v>
      </c>
      <c r="B640"/>
      <c r="C640"/>
      <c r="D640"/>
      <c r="E640"/>
    </row>
    <row r="641" spans="1:5" x14ac:dyDescent="0.25">
      <c r="A641" s="7">
        <v>0.34323433454431179</v>
      </c>
      <c r="B641"/>
      <c r="C641"/>
      <c r="D641"/>
      <c r="E641"/>
    </row>
    <row r="642" spans="1:5" x14ac:dyDescent="0.25">
      <c r="A642" s="7">
        <v>0.33650424955324681</v>
      </c>
      <c r="B642"/>
      <c r="C642"/>
      <c r="D642"/>
      <c r="E642"/>
    </row>
    <row r="643" spans="1:5" x14ac:dyDescent="0.25">
      <c r="A643" s="7">
        <v>0.3299061270129871</v>
      </c>
      <c r="B643"/>
      <c r="C643"/>
      <c r="D643"/>
      <c r="E643"/>
    </row>
    <row r="644" spans="1:5" x14ac:dyDescent="0.25">
      <c r="A644" s="7">
        <v>0.32343737942449713</v>
      </c>
      <c r="B644"/>
      <c r="C644"/>
      <c r="D644"/>
      <c r="E644"/>
    </row>
    <row r="645" spans="1:5" x14ac:dyDescent="0.25">
      <c r="A645" s="7">
        <v>0.31709547002401678</v>
      </c>
      <c r="B645"/>
      <c r="C645"/>
      <c r="D645"/>
      <c r="E645"/>
    </row>
    <row r="646" spans="1:5" x14ac:dyDescent="0.25">
      <c r="A646" s="7">
        <v>0.31087791178825175</v>
      </c>
      <c r="B646"/>
      <c r="C646"/>
      <c r="D646"/>
      <c r="E646"/>
    </row>
    <row r="647" spans="1:5" x14ac:dyDescent="0.25">
      <c r="A647" s="7">
        <v>0.30478226645907036</v>
      </c>
      <c r="B647"/>
      <c r="C647"/>
      <c r="D647"/>
      <c r="E647"/>
    </row>
    <row r="648" spans="1:5" x14ac:dyDescent="0.25">
      <c r="A648" s="7">
        <v>0.29880614358732388</v>
      </c>
      <c r="B648"/>
      <c r="C648"/>
      <c r="D648"/>
      <c r="E648"/>
    </row>
    <row r="649" spans="1:5" x14ac:dyDescent="0.25">
      <c r="A649" s="7">
        <v>0.2929471995954156</v>
      </c>
      <c r="B649"/>
      <c r="C649"/>
      <c r="D649"/>
      <c r="E649"/>
    </row>
    <row r="650" spans="1:5" x14ac:dyDescent="0.25">
      <c r="A650" s="7">
        <v>0.28720313685825055</v>
      </c>
      <c r="B650"/>
      <c r="C650"/>
      <c r="D650"/>
      <c r="E650"/>
    </row>
    <row r="651" spans="1:5" x14ac:dyDescent="0.25">
      <c r="A651" s="7">
        <v>0.28157170280220645</v>
      </c>
      <c r="B651"/>
      <c r="C651"/>
      <c r="D651"/>
      <c r="E651"/>
    </row>
    <row r="652" spans="1:5" x14ac:dyDescent="0.25">
      <c r="A652" s="7">
        <v>0.27605068902177105</v>
      </c>
      <c r="B652"/>
      <c r="C652"/>
      <c r="D652"/>
      <c r="E652"/>
    </row>
    <row r="653" spans="1:5" x14ac:dyDescent="0.25">
      <c r="A653" s="7">
        <v>0.27063793041350104</v>
      </c>
      <c r="B653"/>
      <c r="C653"/>
      <c r="D653"/>
      <c r="E653"/>
    </row>
    <row r="654" spans="1:5" x14ac:dyDescent="0.25">
      <c r="A654" s="7">
        <v>0.26533130432696184</v>
      </c>
      <c r="B654"/>
      <c r="C654"/>
      <c r="D654"/>
      <c r="E654"/>
    </row>
    <row r="655" spans="1:5" x14ac:dyDescent="0.25">
      <c r="A655" s="7">
        <v>0.26012872973231554</v>
      </c>
      <c r="B655"/>
      <c r="C655"/>
      <c r="D655"/>
      <c r="E655"/>
    </row>
    <row r="656" spans="1:5" x14ac:dyDescent="0.25">
      <c r="A656" s="7">
        <v>0.25502816640423093</v>
      </c>
      <c r="B656"/>
      <c r="C656"/>
      <c r="D656"/>
      <c r="E656"/>
    </row>
    <row r="657" spans="1:5" x14ac:dyDescent="0.25">
      <c r="A657" s="7">
        <v>0.25002761412179503</v>
      </c>
      <c r="B657"/>
      <c r="C657"/>
      <c r="D657"/>
      <c r="E657"/>
    </row>
    <row r="658" spans="1:5" x14ac:dyDescent="0.25">
      <c r="A658" s="7">
        <v>0.24512511188411276</v>
      </c>
      <c r="B658"/>
      <c r="C658"/>
      <c r="D658"/>
      <c r="E658"/>
    </row>
    <row r="659" spans="1:5" x14ac:dyDescent="0.25">
      <c r="A659" s="7">
        <v>0.24031873714128701</v>
      </c>
      <c r="B659"/>
      <c r="C659"/>
      <c r="D659"/>
      <c r="E659"/>
    </row>
    <row r="660" spans="1:5" x14ac:dyDescent="0.25">
      <c r="A660" s="7">
        <v>0.23560660504047748</v>
      </c>
      <c r="B660"/>
      <c r="C660"/>
      <c r="D660"/>
      <c r="E660"/>
    </row>
    <row r="661" spans="1:5" x14ac:dyDescent="0.25">
      <c r="A661" s="7">
        <v>0.23098686768674265</v>
      </c>
      <c r="B661"/>
      <c r="C661"/>
      <c r="D661"/>
      <c r="E661"/>
    </row>
    <row r="662" spans="1:5" x14ac:dyDescent="0.25">
      <c r="A662" s="7">
        <v>0.22645771341837515</v>
      </c>
      <c r="B662"/>
      <c r="C662"/>
      <c r="D662"/>
      <c r="E662"/>
    </row>
    <row r="663" spans="1:5" x14ac:dyDescent="0.25">
      <c r="A663" s="7">
        <v>0.22201736609644623</v>
      </c>
      <c r="B663"/>
      <c r="C663"/>
      <c r="D663"/>
      <c r="E663"/>
    </row>
    <row r="664" spans="1:5" x14ac:dyDescent="0.25">
      <c r="A664" s="7">
        <v>0.21766408440828061</v>
      </c>
      <c r="B664"/>
      <c r="C664"/>
      <c r="D664"/>
      <c r="E664"/>
    </row>
    <row r="665" spans="1:5" x14ac:dyDescent="0.25">
      <c r="A665" s="7">
        <v>0.21339616118458882</v>
      </c>
      <c r="B665"/>
      <c r="C665"/>
      <c r="D665"/>
      <c r="E665"/>
    </row>
    <row r="666" spans="1:5" x14ac:dyDescent="0.25">
      <c r="A666" s="7">
        <v>0.20921192272998904</v>
      </c>
      <c r="B666"/>
      <c r="C666"/>
      <c r="D666"/>
      <c r="E666"/>
    </row>
    <row r="667" spans="1:5" x14ac:dyDescent="0.25">
      <c r="A667" s="7">
        <v>0.20510972816665593</v>
      </c>
      <c r="B667"/>
      <c r="C667"/>
      <c r="D667"/>
      <c r="E667"/>
    </row>
    <row r="668" spans="1:5" x14ac:dyDescent="0.25">
      <c r="A668" s="7">
        <v>0.20108796879083912</v>
      </c>
      <c r="B668"/>
      <c r="C668"/>
      <c r="D668"/>
      <c r="E668"/>
    </row>
    <row r="669" spans="1:5" x14ac:dyDescent="0.25">
      <c r="A669" s="7">
        <v>0.19714506744199917</v>
      </c>
      <c r="B669"/>
      <c r="C669"/>
      <c r="D669"/>
      <c r="E669"/>
    </row>
    <row r="670" spans="1:5" x14ac:dyDescent="0.25">
      <c r="A670" s="7">
        <v>0.19327947788431293</v>
      </c>
      <c r="B670"/>
      <c r="C670"/>
      <c r="D670"/>
      <c r="E670"/>
    </row>
    <row r="671" spans="1:5" x14ac:dyDescent="0.25">
      <c r="A671" s="7">
        <v>0.18948968420030682</v>
      </c>
      <c r="B671"/>
      <c r="C671"/>
      <c r="D671"/>
      <c r="E671"/>
    </row>
    <row r="672" spans="1:5" x14ac:dyDescent="0.25">
      <c r="A672" s="7">
        <v>0.18577420019637925</v>
      </c>
      <c r="B672"/>
      <c r="C672"/>
      <c r="D672"/>
      <c r="E672"/>
    </row>
    <row r="673" spans="1:5" x14ac:dyDescent="0.25">
      <c r="A673" s="7">
        <v>0.18213156881997963</v>
      </c>
      <c r="B673"/>
      <c r="C673"/>
      <c r="D673"/>
      <c r="E673"/>
    </row>
    <row r="674" spans="1:5" x14ac:dyDescent="0.25">
      <c r="A674" s="7">
        <v>0.17856036158821534</v>
      </c>
      <c r="B674"/>
      <c r="C674"/>
      <c r="D674"/>
      <c r="E674"/>
    </row>
    <row r="675" spans="1:5" x14ac:dyDescent="0.25">
      <c r="A675" s="7">
        <v>0.17505917802766208</v>
      </c>
      <c r="B675"/>
      <c r="C675"/>
      <c r="D675"/>
      <c r="E675"/>
    </row>
    <row r="676" spans="1:5" x14ac:dyDescent="0.25">
      <c r="A676" s="7">
        <v>0.17162664512515888</v>
      </c>
      <c r="B676"/>
      <c r="C676"/>
      <c r="D676"/>
      <c r="E676"/>
    </row>
    <row r="677" spans="1:5" x14ac:dyDescent="0.25">
      <c r="A677" s="7">
        <v>0.16826141678937145</v>
      </c>
      <c r="B677"/>
      <c r="C677"/>
      <c r="D677"/>
      <c r="E677"/>
    </row>
    <row r="678" spans="1:5" x14ac:dyDescent="0.25">
      <c r="A678" s="7">
        <v>0.16496217332291319</v>
      </c>
      <c r="B678"/>
      <c r="C678"/>
      <c r="D678"/>
      <c r="E678"/>
    </row>
    <row r="679" spans="1:5" x14ac:dyDescent="0.25">
      <c r="A679" s="7">
        <v>0.16172762090481685</v>
      </c>
      <c r="B679"/>
      <c r="C679"/>
      <c r="D679"/>
      <c r="E679"/>
    </row>
    <row r="680" spans="1:5" x14ac:dyDescent="0.25">
      <c r="A680" s="7">
        <v>0.15855649108315376</v>
      </c>
      <c r="B680"/>
      <c r="C680"/>
      <c r="D680"/>
      <c r="E680"/>
    </row>
    <row r="681" spans="1:5" x14ac:dyDescent="0.25">
      <c r="A681" s="7">
        <v>0.15544754027760171</v>
      </c>
      <c r="B681"/>
      <c r="C681"/>
      <c r="D681"/>
      <c r="E681"/>
    </row>
    <row r="682" spans="1:5" x14ac:dyDescent="0.25">
      <c r="A682" s="7">
        <v>0.15239954929176638</v>
      </c>
      <c r="B682"/>
      <c r="C682"/>
      <c r="D682"/>
      <c r="E682"/>
    </row>
    <row r="683" spans="1:5" x14ac:dyDescent="0.25">
      <c r="A683" s="7">
        <v>0.14941132283506509</v>
      </c>
      <c r="B683"/>
      <c r="C683"/>
      <c r="D683"/>
      <c r="E683"/>
    </row>
    <row r="684" spans="1:5" x14ac:dyDescent="0.25">
      <c r="A684" s="7">
        <v>0.14648168905398537</v>
      </c>
      <c r="B684"/>
      <c r="C684"/>
      <c r="D684"/>
      <c r="E684"/>
    </row>
    <row r="685" spans="1:5" x14ac:dyDescent="0.25">
      <c r="A685" s="7">
        <v>0.14360949907253467</v>
      </c>
      <c r="B685"/>
      <c r="C685"/>
      <c r="D685"/>
      <c r="E685"/>
    </row>
    <row r="686" spans="1:5" x14ac:dyDescent="0.25">
      <c r="A686" s="7">
        <v>0.14079362654170066</v>
      </c>
      <c r="B686"/>
      <c r="C686"/>
      <c r="D686"/>
      <c r="E686"/>
    </row>
    <row r="687" spans="1:5" x14ac:dyDescent="0.25">
      <c r="A687" s="7">
        <v>0.13803296719774574</v>
      </c>
      <c r="B687"/>
      <c r="C687"/>
      <c r="D687"/>
      <c r="E687"/>
    </row>
    <row r="688" spans="1:5" x14ac:dyDescent="0.25">
      <c r="A688" s="7">
        <v>0.1353264384291625</v>
      </c>
      <c r="B688"/>
      <c r="C688"/>
      <c r="D688"/>
      <c r="E688"/>
    </row>
    <row r="689" spans="1:5" x14ac:dyDescent="0.25">
      <c r="A689" s="7">
        <v>0.13267297885212009</v>
      </c>
      <c r="B689"/>
      <c r="C689"/>
      <c r="D689"/>
      <c r="E689"/>
    </row>
    <row r="690" spans="1:5" x14ac:dyDescent="0.25">
      <c r="A690" s="7">
        <v>0.13007154789423539</v>
      </c>
      <c r="B690"/>
      <c r="C690"/>
      <c r="D690"/>
      <c r="E690"/>
    </row>
    <row r="691" spans="1:5" x14ac:dyDescent="0.25">
      <c r="A691" s="7">
        <v>0.12752112538650529</v>
      </c>
      <c r="B691"/>
      <c r="C691"/>
      <c r="D691"/>
      <c r="E691"/>
    </row>
    <row r="692" spans="1:5" x14ac:dyDescent="0.25">
      <c r="A692" s="7">
        <v>0.12502071116324048</v>
      </c>
      <c r="B692"/>
      <c r="C692"/>
      <c r="D692"/>
      <c r="E692"/>
    </row>
    <row r="693" spans="1:5" x14ac:dyDescent="0.25">
      <c r="A693" s="7">
        <v>0.1225693246698436</v>
      </c>
      <c r="B693"/>
      <c r="C693"/>
      <c r="D693"/>
      <c r="E693"/>
    </row>
    <row r="694" spans="1:5" x14ac:dyDescent="0.25">
      <c r="A694" s="7">
        <v>0.12016600457827803</v>
      </c>
      <c r="B694"/>
      <c r="C694"/>
      <c r="D694"/>
      <c r="E694"/>
    </row>
    <row r="695" spans="1:5" x14ac:dyDescent="0.25">
      <c r="A695" s="7">
        <v>0.1178098084100765</v>
      </c>
      <c r="B695"/>
      <c r="C695"/>
      <c r="D695"/>
      <c r="E695"/>
    </row>
    <row r="696" spans="1:5" x14ac:dyDescent="0.25">
      <c r="A696" s="7">
        <v>0.11549981216674166</v>
      </c>
      <c r="B696"/>
      <c r="C696"/>
      <c r="D696"/>
      <c r="E696"/>
    </row>
    <row r="697" spans="1:5" x14ac:dyDescent="0.25">
      <c r="A697" s="7">
        <v>0.11323510996739378</v>
      </c>
      <c r="B697"/>
      <c r="C697"/>
      <c r="D697"/>
      <c r="E697"/>
    </row>
    <row r="698" spans="1:5" x14ac:dyDescent="0.25">
      <c r="A698" s="7">
        <v>0.11101481369352331</v>
      </c>
      <c r="B698"/>
      <c r="C698"/>
      <c r="D698"/>
      <c r="E698"/>
    </row>
    <row r="699" spans="1:5" x14ac:dyDescent="0.25">
      <c r="A699" s="7">
        <v>0.10883805264070913</v>
      </c>
      <c r="B699"/>
      <c r="C699"/>
      <c r="D699"/>
      <c r="E699"/>
    </row>
    <row r="700" spans="1:5" x14ac:dyDescent="0.25">
      <c r="A700" s="7">
        <v>0.10670397317716582</v>
      </c>
      <c r="B700"/>
      <c r="C700"/>
      <c r="D700"/>
      <c r="E700"/>
    </row>
    <row r="701" spans="1:5" x14ac:dyDescent="0.25">
      <c r="A701" s="7">
        <v>0.1046117384089861</v>
      </c>
      <c r="B701"/>
      <c r="C701"/>
      <c r="D701"/>
      <c r="E701"/>
    </row>
    <row r="702" spans="1:5" x14ac:dyDescent="0.25">
      <c r="A702" s="7">
        <v>0.10256052785194716</v>
      </c>
      <c r="B702"/>
      <c r="C702"/>
      <c r="D702"/>
      <c r="E702"/>
    </row>
    <row r="703" spans="1:5" x14ac:dyDescent="0.25">
      <c r="A703" s="7">
        <v>0.10054953710975212</v>
      </c>
      <c r="B703"/>
      <c r="C703"/>
      <c r="D703"/>
      <c r="E703"/>
    </row>
    <row r="704" spans="1:5" x14ac:dyDescent="0.25">
      <c r="A704" s="7">
        <v>9.8577977558580512E-2</v>
      </c>
      <c r="B704"/>
      <c r="C704"/>
      <c r="D704"/>
      <c r="E704"/>
    </row>
    <row r="705" spans="1:5" x14ac:dyDescent="0.25">
      <c r="A705" s="7">
        <v>9.6645076037824032E-2</v>
      </c>
      <c r="B705"/>
      <c r="C705"/>
      <c r="D705"/>
      <c r="E705"/>
    </row>
    <row r="706" spans="1:5" x14ac:dyDescent="0.25">
      <c r="A706" s="7">
        <v>9.4750074546886304E-2</v>
      </c>
      <c r="B706"/>
      <c r="C706"/>
      <c r="D706"/>
      <c r="E706"/>
    </row>
    <row r="707" spans="1:5" x14ac:dyDescent="0.25">
      <c r="A707" s="7">
        <v>9.2892229947927743E-2</v>
      </c>
      <c r="B707"/>
      <c r="C707"/>
      <c r="D707"/>
      <c r="E707"/>
    </row>
    <row r="708" spans="1:5" x14ac:dyDescent="0.25">
      <c r="A708" s="7">
        <v>9.1070813674438963E-2</v>
      </c>
      <c r="B708"/>
      <c r="C708"/>
      <c r="D708"/>
      <c r="E708"/>
    </row>
    <row r="709" spans="1:5" x14ac:dyDescent="0.25">
      <c r="A709" s="7">
        <v>8.9285111445528392E-2</v>
      </c>
      <c r="B709"/>
      <c r="C709"/>
      <c r="D709"/>
      <c r="E709"/>
    </row>
    <row r="710" spans="1:5" x14ac:dyDescent="0.25">
      <c r="A710" s="7">
        <v>8.7534422985812155E-2</v>
      </c>
      <c r="B710"/>
      <c r="C710"/>
      <c r="D710"/>
      <c r="E710"/>
    </row>
    <row r="711" spans="1:5" x14ac:dyDescent="0.25">
      <c r="A711" s="7">
        <v>8.5818061750796232E-2</v>
      </c>
      <c r="B711"/>
      <c r="C711"/>
      <c r="D711"/>
      <c r="E711"/>
    </row>
    <row r="712" spans="1:5" x14ac:dyDescent="0.25">
      <c r="A712" s="7">
        <v>8.4135354657643366E-2</v>
      </c>
      <c r="B712"/>
      <c r="C712"/>
      <c r="D712"/>
      <c r="E712"/>
    </row>
    <row r="713" spans="1:5" x14ac:dyDescent="0.25">
      <c r="A713" s="7">
        <v>8.248564182121898E-2</v>
      </c>
      <c r="B713"/>
      <c r="C713"/>
      <c r="D713"/>
      <c r="E713"/>
    </row>
    <row r="714" spans="1:5" x14ac:dyDescent="0.25">
      <c r="A714" s="7">
        <v>8.0868276295312735E-2</v>
      </c>
      <c r="B714"/>
      <c r="C714"/>
      <c r="D714"/>
      <c r="E714"/>
    </row>
    <row r="715" spans="1:5" x14ac:dyDescent="0.25">
      <c r="A715" s="7">
        <v>7.9282623818934056E-2</v>
      </c>
      <c r="B715"/>
      <c r="C715"/>
      <c r="D715"/>
      <c r="E715"/>
    </row>
    <row r="716" spans="1:5" x14ac:dyDescent="0.25">
      <c r="A716" s="7">
        <v>7.7728062567582412E-2</v>
      </c>
      <c r="B716"/>
      <c r="C716"/>
      <c r="D716"/>
      <c r="E716"/>
    </row>
    <row r="717" spans="1:5" x14ac:dyDescent="0.25">
      <c r="A717" s="7">
        <v>7.6203982909394521E-2</v>
      </c>
      <c r="B717"/>
      <c r="C717"/>
      <c r="D717"/>
      <c r="E717"/>
    </row>
    <row r="718" spans="1:5" x14ac:dyDescent="0.25">
      <c r="A718" s="7">
        <v>7.4709787166073058E-2</v>
      </c>
      <c r="B718"/>
      <c r="C718"/>
      <c r="D718"/>
      <c r="E718"/>
    </row>
    <row r="719" spans="1:5" x14ac:dyDescent="0.25">
      <c r="A719" s="7">
        <v>7.3244889378503E-2</v>
      </c>
      <c r="B719"/>
      <c r="C719"/>
      <c r="D719"/>
      <c r="E719"/>
    </row>
    <row r="720" spans="1:5" x14ac:dyDescent="0.25">
      <c r="A720" s="7">
        <v>7.1808715076963722E-2</v>
      </c>
      <c r="B720"/>
      <c r="C720"/>
      <c r="D720"/>
      <c r="E720"/>
    </row>
    <row r="721" spans="1:5" x14ac:dyDescent="0.25">
      <c r="A721" s="7">
        <v>7.0400701055846782E-2</v>
      </c>
      <c r="B721"/>
      <c r="C721"/>
      <c r="D721"/>
      <c r="E721"/>
    </row>
    <row r="722" spans="1:5" x14ac:dyDescent="0.25">
      <c r="A722" s="7">
        <v>6.9020295152790956E-2</v>
      </c>
      <c r="B722"/>
      <c r="C722"/>
      <c r="D722"/>
      <c r="E722"/>
    </row>
    <row r="723" spans="1:5" x14ac:dyDescent="0.25">
      <c r="A723" s="7">
        <v>6.7666956032147993E-2</v>
      </c>
      <c r="B723"/>
      <c r="C723"/>
      <c r="D723"/>
      <c r="E723"/>
    </row>
    <row r="724" spans="1:5" x14ac:dyDescent="0.25">
      <c r="A724" s="7">
        <v>6.6340152972694105E-2</v>
      </c>
      <c r="B724"/>
      <c r="C724"/>
      <c r="D724"/>
      <c r="E724"/>
    </row>
    <row r="725" spans="1:5" x14ac:dyDescent="0.25">
      <c r="A725" s="7">
        <v>6.5039365659504023E-2</v>
      </c>
      <c r="B725"/>
      <c r="C725"/>
      <c r="D725"/>
      <c r="E725"/>
    </row>
    <row r="726" spans="1:5" x14ac:dyDescent="0.25">
      <c r="A726" s="7">
        <v>6.3764083979905906E-2</v>
      </c>
      <c r="B726"/>
      <c r="C726"/>
      <c r="D726"/>
      <c r="E726"/>
    </row>
    <row r="727" spans="1:5" x14ac:dyDescent="0.25">
      <c r="A727" s="7">
        <v>6.251380782343717E-2</v>
      </c>
      <c r="B727"/>
      <c r="C727"/>
      <c r="D727"/>
      <c r="E727"/>
    </row>
    <row r="728" spans="1:5" x14ac:dyDescent="0.25">
      <c r="A728" s="7">
        <v>6.1288046885722716E-2</v>
      </c>
      <c r="B728"/>
      <c r="C728"/>
      <c r="D728"/>
      <c r="E728"/>
    </row>
    <row r="729" spans="1:5" x14ac:dyDescent="0.25">
      <c r="A729" s="7">
        <v>6.0086320476198739E-2</v>
      </c>
      <c r="B729"/>
      <c r="C729"/>
      <c r="D729"/>
      <c r="E729"/>
    </row>
    <row r="730" spans="1:5" x14ac:dyDescent="0.25">
      <c r="A730" s="7">
        <v>5.8908157329606609E-2</v>
      </c>
      <c r="B730"/>
      <c r="C730"/>
      <c r="D730"/>
      <c r="E730"/>
    </row>
    <row r="731" spans="1:5" x14ac:dyDescent="0.25">
      <c r="A731" s="7">
        <v>5.7753095421182947E-2</v>
      </c>
      <c r="B731"/>
      <c r="C731"/>
      <c r="D731"/>
      <c r="E731"/>
    </row>
    <row r="732" spans="1:5" x14ac:dyDescent="0.25">
      <c r="A732" s="7">
        <v>5.6620681785473484E-2</v>
      </c>
      <c r="B732"/>
      <c r="C732"/>
      <c r="D732"/>
      <c r="E732"/>
    </row>
    <row r="733" spans="1:5" x14ac:dyDescent="0.25">
      <c r="A733" s="7">
        <v>5.5510472338699497E-2</v>
      </c>
      <c r="B733"/>
      <c r="C733"/>
      <c r="D733"/>
      <c r="E733"/>
    </row>
    <row r="734" spans="1:5" x14ac:dyDescent="0.25">
      <c r="A734" s="7">
        <v>5.4422031704607354E-2</v>
      </c>
      <c r="B734"/>
      <c r="C734"/>
      <c r="D734"/>
      <c r="E734"/>
    </row>
    <row r="735" spans="1:5" x14ac:dyDescent="0.25">
      <c r="A735" s="7">
        <v>5.3354933043732705E-2</v>
      </c>
      <c r="B735"/>
      <c r="C735"/>
      <c r="D735"/>
      <c r="E735"/>
    </row>
    <row r="736" spans="1:5" x14ac:dyDescent="0.25">
      <c r="A736" s="7">
        <v>5.2308757886012455E-2</v>
      </c>
      <c r="B736"/>
      <c r="C736"/>
      <c r="D736"/>
      <c r="E736"/>
    </row>
    <row r="737" spans="1:5" x14ac:dyDescent="0.25">
      <c r="A737" s="7">
        <v>5.1283095966678877E-2</v>
      </c>
      <c r="B737"/>
      <c r="C737"/>
      <c r="D737"/>
      <c r="E737"/>
    </row>
    <row r="738" spans="1:5" x14ac:dyDescent="0.25">
      <c r="A738" s="7">
        <v>5.0277545065371444E-2</v>
      </c>
      <c r="B738"/>
      <c r="C738"/>
      <c r="D738"/>
      <c r="E738"/>
    </row>
    <row r="739" spans="1:5" x14ac:dyDescent="0.25">
      <c r="A739" s="7">
        <v>4.9291710848403378E-2</v>
      </c>
      <c r="B739"/>
      <c r="C739"/>
      <c r="D739"/>
      <c r="E739"/>
    </row>
    <row r="740" spans="1:5" x14ac:dyDescent="0.25">
      <c r="A740" s="7">
        <v>4.8325206714120959E-2</v>
      </c>
      <c r="B740"/>
      <c r="C740"/>
      <c r="D740"/>
      <c r="E740"/>
    </row>
    <row r="741" spans="1:5" x14ac:dyDescent="0.25">
      <c r="A741" s="7">
        <v>4.7377653641295057E-2</v>
      </c>
      <c r="B741"/>
      <c r="C741"/>
      <c r="D741"/>
      <c r="E741"/>
    </row>
    <row r="742" spans="1:5" x14ac:dyDescent="0.25">
      <c r="A742" s="7">
        <v>4.644868004048535E-2</v>
      </c>
      <c r="B742"/>
      <c r="C742"/>
      <c r="D742"/>
      <c r="E742"/>
    </row>
    <row r="743" spans="1:5" x14ac:dyDescent="0.25">
      <c r="A743" s="7">
        <v>4.5537921608318974E-2</v>
      </c>
      <c r="B743"/>
      <c r="C743"/>
      <c r="D743"/>
      <c r="E743"/>
    </row>
    <row r="744" spans="1:5" x14ac:dyDescent="0.25">
      <c r="A744" s="7">
        <v>4.4645021184626446E-2</v>
      </c>
      <c r="B744"/>
      <c r="C744"/>
      <c r="D744"/>
      <c r="E744"/>
    </row>
    <row r="745" spans="1:5" x14ac:dyDescent="0.25">
      <c r="A745" s="7">
        <v>4.3769628612378868E-2</v>
      </c>
      <c r="B745"/>
      <c r="C745"/>
      <c r="D745"/>
      <c r="E745"/>
    </row>
    <row r="746" spans="1:5" x14ac:dyDescent="0.25">
      <c r="A746" s="7">
        <v>4.2911400600371442E-2</v>
      </c>
      <c r="B746"/>
      <c r="C746"/>
      <c r="D746"/>
      <c r="E746"/>
    </row>
    <row r="747" spans="1:5" x14ac:dyDescent="0.25">
      <c r="A747" s="7">
        <v>4.2070000588599457E-2</v>
      </c>
      <c r="B747"/>
      <c r="C747"/>
      <c r="D747"/>
      <c r="E747"/>
    </row>
    <row r="748" spans="1:5" x14ac:dyDescent="0.25">
      <c r="A748" s="7">
        <v>4.1245098616273977E-2</v>
      </c>
      <c r="B748"/>
      <c r="C748"/>
      <c r="D748"/>
      <c r="E748"/>
    </row>
    <row r="749" spans="1:5" x14ac:dyDescent="0.25">
      <c r="A749" s="7">
        <v>4.043637119242547E-2</v>
      </c>
      <c r="B749"/>
      <c r="C749"/>
      <c r="D749"/>
      <c r="E749"/>
    </row>
    <row r="750" spans="1:5" x14ac:dyDescent="0.25">
      <c r="A750" s="7">
        <v>3.9643501169044582E-2</v>
      </c>
      <c r="B750"/>
      <c r="C750"/>
      <c r="D750"/>
      <c r="E750"/>
    </row>
    <row r="751" spans="1:5" x14ac:dyDescent="0.25">
      <c r="A751" s="7">
        <v>3.8866177616710372E-2</v>
      </c>
      <c r="B751"/>
      <c r="C751"/>
      <c r="D751"/>
      <c r="E751"/>
    </row>
    <row r="752" spans="1:5" x14ac:dyDescent="0.25">
      <c r="A752" s="7">
        <v>3.8104095702657229E-2</v>
      </c>
      <c r="B752"/>
      <c r="C752"/>
      <c r="D752"/>
      <c r="E752"/>
    </row>
    <row r="753" spans="1:5" x14ac:dyDescent="0.25">
      <c r="A753" s="7">
        <v>3.7356956571232579E-2</v>
      </c>
      <c r="B753"/>
      <c r="C753"/>
      <c r="D753"/>
      <c r="E753"/>
    </row>
    <row r="754" spans="1:5" x14ac:dyDescent="0.25">
      <c r="A754" s="7">
        <v>3.6624467226698605E-2</v>
      </c>
      <c r="B754"/>
      <c r="C754"/>
      <c r="D754"/>
      <c r="E754"/>
    </row>
    <row r="755" spans="1:5" x14ac:dyDescent="0.25">
      <c r="A755" s="7">
        <v>3.5906340418331961E-2</v>
      </c>
      <c r="B755"/>
      <c r="C755"/>
      <c r="D755"/>
      <c r="E755"/>
    </row>
    <row r="756" spans="1:5" x14ac:dyDescent="0.25">
      <c r="A756" s="7">
        <v>3.5202294527776436E-2</v>
      </c>
      <c r="B756"/>
      <c r="C756"/>
      <c r="D756"/>
      <c r="E756"/>
    </row>
    <row r="757" spans="1:5" x14ac:dyDescent="0.25">
      <c r="A757" s="7">
        <v>3.451205345860435E-2</v>
      </c>
      <c r="B757"/>
      <c r="C757"/>
      <c r="D757"/>
      <c r="E757"/>
    </row>
    <row r="758" spans="1:5" x14ac:dyDescent="0.25">
      <c r="A758" s="7">
        <v>3.3835346528043479E-2</v>
      </c>
      <c r="B758"/>
      <c r="C758"/>
      <c r="D758"/>
      <c r="E758"/>
    </row>
    <row r="759" spans="1:5" x14ac:dyDescent="0.25">
      <c r="A759" s="7">
        <v>3.3171908360826938E-2</v>
      </c>
      <c r="B759"/>
      <c r="C759"/>
      <c r="D759"/>
      <c r="E759"/>
    </row>
    <row r="760" spans="1:5" x14ac:dyDescent="0.25">
      <c r="A760" s="7">
        <v>3.2521478785124451E-2</v>
      </c>
      <c r="B760"/>
      <c r="C760"/>
      <c r="D760"/>
      <c r="E760"/>
    </row>
    <row r="761" spans="1:5" x14ac:dyDescent="0.25">
      <c r="A761" s="7">
        <v>3.1883802730514173E-2</v>
      </c>
      <c r="B761"/>
      <c r="C761"/>
      <c r="D761"/>
      <c r="E761"/>
    </row>
    <row r="762" spans="1:5" x14ac:dyDescent="0.25">
      <c r="A762" s="7">
        <v>3.1258630127955073E-2</v>
      </c>
      <c r="B762"/>
      <c r="C762"/>
      <c r="D762"/>
      <c r="E762"/>
    </row>
    <row r="763" spans="1:5" x14ac:dyDescent="0.25">
      <c r="A763" s="7">
        <v>3.064571581172066E-2</v>
      </c>
      <c r="B763"/>
      <c r="C763"/>
      <c r="D763"/>
      <c r="E763"/>
    </row>
    <row r="764" spans="1:5" x14ac:dyDescent="0.25">
      <c r="A764" s="7">
        <v>3.0044819423255549E-2</v>
      </c>
      <c r="B764"/>
      <c r="C764"/>
      <c r="D764"/>
      <c r="E764"/>
    </row>
    <row r="765" spans="1:5" x14ac:dyDescent="0.25">
      <c r="A765" s="7">
        <v>2.9455705316917203E-2</v>
      </c>
      <c r="B765"/>
      <c r="C765"/>
      <c r="D765"/>
      <c r="E765"/>
    </row>
    <row r="766" spans="1:5" x14ac:dyDescent="0.25">
      <c r="A766" s="7">
        <v>2.8878142467565884E-2</v>
      </c>
      <c r="B766"/>
      <c r="C766"/>
      <c r="D766"/>
      <c r="E766"/>
    </row>
    <row r="767" spans="1:5" x14ac:dyDescent="0.25">
      <c r="A767" s="7">
        <v>2.8311904379966554E-2</v>
      </c>
      <c r="B767"/>
      <c r="C767"/>
      <c r="D767"/>
      <c r="E767"/>
    </row>
    <row r="768" spans="1:5" x14ac:dyDescent="0.25">
      <c r="A768" s="7">
        <v>2.7756768999967207E-2</v>
      </c>
      <c r="B768"/>
      <c r="C768"/>
      <c r="D768"/>
      <c r="E768"/>
    </row>
    <row r="769" spans="1:5" x14ac:dyDescent="0.25">
      <c r="A769" s="7">
        <v>2.7212518627418834E-2</v>
      </c>
      <c r="B769"/>
      <c r="C769"/>
      <c r="D769"/>
      <c r="E769"/>
    </row>
    <row r="770" spans="1:5" x14ac:dyDescent="0.25">
      <c r="A770" s="7">
        <v>2.6678939830802779E-2</v>
      </c>
      <c r="B770"/>
      <c r="C770"/>
      <c r="D770"/>
      <c r="E770"/>
    </row>
    <row r="771" spans="1:5" x14ac:dyDescent="0.25">
      <c r="A771" s="7">
        <v>2.615582336353214E-2</v>
      </c>
      <c r="B771"/>
      <c r="C771"/>
      <c r="D771"/>
      <c r="E771"/>
    </row>
    <row r="772" spans="1:5" x14ac:dyDescent="0.25">
      <c r="A772" s="7">
        <v>2.5642964081894253E-2</v>
      </c>
      <c r="B772"/>
      <c r="C772"/>
      <c r="D772"/>
      <c r="E772"/>
    </row>
    <row r="773" spans="1:5" x14ac:dyDescent="0.25">
      <c r="A773" s="7">
        <v>2.5140160864602207E-2</v>
      </c>
      <c r="B773"/>
      <c r="C773"/>
      <c r="D773"/>
      <c r="E773"/>
    </row>
    <row r="774" spans="1:5" x14ac:dyDescent="0.25">
      <c r="A774" s="7">
        <v>2.4647216533923735E-2</v>
      </c>
      <c r="B774"/>
      <c r="C774"/>
      <c r="D774"/>
      <c r="E774"/>
    </row>
    <row r="775" spans="1:5" x14ac:dyDescent="0.25">
      <c r="A775" s="7">
        <v>2.4163937778356601E-2</v>
      </c>
      <c r="B775"/>
      <c r="C775"/>
      <c r="D775"/>
      <c r="E775"/>
    </row>
    <row r="776" spans="1:5" x14ac:dyDescent="0.25">
      <c r="A776" s="7">
        <v>2.3690135076820197E-2</v>
      </c>
      <c r="B776"/>
      <c r="C776"/>
      <c r="D776"/>
      <c r="E776"/>
    </row>
    <row r="777" spans="1:5" x14ac:dyDescent="0.25">
      <c r="A777" s="7">
        <v>2.3225622624333527E-2</v>
      </c>
      <c r="B777"/>
      <c r="C777"/>
      <c r="D777"/>
      <c r="E777"/>
    </row>
    <row r="778" spans="1:5" x14ac:dyDescent="0.25">
      <c r="A778" s="7">
        <v>2.2770218259150519E-2</v>
      </c>
      <c r="B778"/>
      <c r="C778"/>
      <c r="D778"/>
      <c r="E778"/>
    </row>
    <row r="779" spans="1:5" x14ac:dyDescent="0.25">
      <c r="A779" s="7">
        <v>2.2323743391324039E-2</v>
      </c>
      <c r="B779"/>
      <c r="C779"/>
      <c r="D779"/>
      <c r="E779"/>
    </row>
    <row r="780" spans="1:5" x14ac:dyDescent="0.25">
      <c r="A780" s="7">
        <v>2.188602293267063E-2</v>
      </c>
      <c r="B780"/>
      <c r="C780"/>
      <c r="D780"/>
      <c r="E780"/>
    </row>
    <row r="781" spans="1:5" x14ac:dyDescent="0.25">
      <c r="A781" s="7">
        <v>2.1456885228108461E-2</v>
      </c>
      <c r="B781"/>
      <c r="C781"/>
      <c r="D781"/>
      <c r="E781"/>
    </row>
    <row r="782" spans="1:5" x14ac:dyDescent="0.25">
      <c r="A782" s="7">
        <v>2.1036161988341632E-2</v>
      </c>
      <c r="B782"/>
      <c r="C782"/>
      <c r="D782"/>
      <c r="E782"/>
    </row>
    <row r="783" spans="1:5" x14ac:dyDescent="0.25">
      <c r="A783" s="7">
        <v>2.0623688223864345E-2</v>
      </c>
      <c r="B783"/>
      <c r="C783"/>
      <c r="D783"/>
      <c r="E783"/>
    </row>
    <row r="784" spans="1:5" x14ac:dyDescent="0.25">
      <c r="A784" s="7">
        <v>2.021930218025916E-2</v>
      </c>
      <c r="B784"/>
      <c r="C784"/>
      <c r="D784"/>
      <c r="E784"/>
    </row>
    <row r="785" spans="1:5" x14ac:dyDescent="0.25">
      <c r="A785" s="7">
        <v>1.9822845274763884E-2</v>
      </c>
      <c r="B785"/>
      <c r="C785"/>
      <c r="D785"/>
      <c r="E785"/>
    </row>
    <row r="786" spans="1:5" x14ac:dyDescent="0.25">
      <c r="A786" s="7">
        <v>1.9434162034082238E-2</v>
      </c>
      <c r="B786"/>
      <c r="C786"/>
      <c r="D786"/>
      <c r="E786"/>
    </row>
    <row r="787" spans="1:5" x14ac:dyDescent="0.25">
      <c r="A787" s="7">
        <v>1.9053100033413959E-2</v>
      </c>
      <c r="B787"/>
      <c r="C787"/>
      <c r="D787"/>
      <c r="E787"/>
    </row>
    <row r="788" spans="1:5" x14ac:dyDescent="0.25">
      <c r="A788" s="7">
        <v>1.867950983668035E-2</v>
      </c>
      <c r="B788"/>
      <c r="C788"/>
      <c r="D788"/>
      <c r="E788"/>
    </row>
    <row r="789" spans="1:5" x14ac:dyDescent="0.25">
      <c r="A789" s="7">
        <v>1.8313244937921913E-2</v>
      </c>
      <c r="B789"/>
      <c r="C789"/>
      <c r="D789"/>
      <c r="E789"/>
    </row>
    <row r="790" spans="1:5" x14ac:dyDescent="0.25">
      <c r="A790" s="7">
        <v>1.7954161703845013E-2</v>
      </c>
      <c r="B790"/>
      <c r="C790"/>
      <c r="D790"/>
      <c r="E790"/>
    </row>
    <row r="791" spans="1:5" x14ac:dyDescent="0.25">
      <c r="A791" s="7">
        <v>1.7602119317495109E-2</v>
      </c>
      <c r="B791"/>
      <c r="C791"/>
      <c r="D791"/>
      <c r="E791"/>
    </row>
    <row r="792" spans="1:5" x14ac:dyDescent="0.25">
      <c r="A792" s="7">
        <v>1.7256979723034419E-2</v>
      </c>
      <c r="B792"/>
      <c r="C792"/>
      <c r="D792"/>
      <c r="E792"/>
    </row>
    <row r="793" spans="1:5" x14ac:dyDescent="0.25">
      <c r="A793" s="7">
        <v>1.6918607571602372E-2</v>
      </c>
      <c r="B793"/>
      <c r="C793"/>
      <c r="D793"/>
      <c r="E793"/>
    </row>
    <row r="794" spans="1:5" x14ac:dyDescent="0.25">
      <c r="A794" s="7">
        <v>1.6586870168237622E-2</v>
      </c>
      <c r="B794"/>
      <c r="C794"/>
      <c r="D794"/>
      <c r="E794"/>
    </row>
    <row r="795" spans="1:5" x14ac:dyDescent="0.25">
      <c r="A795" s="7">
        <v>1.6261637419840807E-2</v>
      </c>
      <c r="B795"/>
      <c r="C795"/>
      <c r="D795"/>
      <c r="E795"/>
    </row>
    <row r="796" spans="1:5" x14ac:dyDescent="0.25">
      <c r="A796" s="7">
        <v>1.5942781784157655E-2</v>
      </c>
      <c r="B796"/>
      <c r="C796"/>
      <c r="D796"/>
      <c r="E796"/>
    </row>
    <row r="797" spans="1:5" x14ac:dyDescent="0.25">
      <c r="A797" s="7">
        <v>1.5630178219762408E-2</v>
      </c>
      <c r="B797"/>
      <c r="C797"/>
      <c r="D797"/>
      <c r="E797"/>
    </row>
    <row r="798" spans="1:5" x14ac:dyDescent="0.25">
      <c r="A798" s="7">
        <v>1.5323704137021967E-2</v>
      </c>
      <c r="B798"/>
      <c r="C798"/>
      <c r="D798"/>
      <c r="E798"/>
    </row>
    <row r="799" spans="1:5" x14ac:dyDescent="0.25">
      <c r="A799" s="7">
        <v>1.5023239350021535E-2</v>
      </c>
      <c r="B799"/>
      <c r="C799"/>
      <c r="D799"/>
      <c r="E799"/>
    </row>
    <row r="800" spans="1:5" x14ac:dyDescent="0.25">
      <c r="A800" s="7">
        <v>1.4728666029432878E-2</v>
      </c>
      <c r="B800"/>
      <c r="C800"/>
      <c r="D800"/>
      <c r="E800"/>
    </row>
    <row r="801" spans="1:5" x14ac:dyDescent="0.25">
      <c r="A801" s="7">
        <v>1.4439868656306743E-2</v>
      </c>
      <c r="B801"/>
      <c r="C801"/>
      <c r="D801"/>
      <c r="E801"/>
    </row>
    <row r="802" spans="1:5" x14ac:dyDescent="0.25">
      <c r="A802" s="7">
        <v>1.4156733976771318E-2</v>
      </c>
      <c r="B802"/>
      <c r="C802"/>
      <c r="D802"/>
      <c r="E802"/>
    </row>
    <row r="803" spans="1:5" x14ac:dyDescent="0.25">
      <c r="A803" s="7">
        <v>1.3879150957618939E-2</v>
      </c>
      <c r="B803"/>
      <c r="C803"/>
      <c r="D803"/>
      <c r="E803"/>
    </row>
    <row r="804" spans="1:5" x14ac:dyDescent="0.25">
      <c r="A804" s="7">
        <v>1.3607010742763666E-2</v>
      </c>
      <c r="B804"/>
      <c r="C804"/>
      <c r="D804"/>
      <c r="E804"/>
    </row>
    <row r="805" spans="1:5" x14ac:dyDescent="0.25">
      <c r="A805" s="7">
        <v>1.3340206610552614E-2</v>
      </c>
      <c r="B805"/>
      <c r="C805"/>
      <c r="D805"/>
      <c r="E805"/>
    </row>
    <row r="806" spans="1:5" x14ac:dyDescent="0.25">
      <c r="A806" s="7">
        <v>1.3078633931914328E-2</v>
      </c>
      <c r="B806"/>
      <c r="C806"/>
      <c r="D806"/>
      <c r="E806"/>
    </row>
    <row r="807" spans="1:5" x14ac:dyDescent="0.25">
      <c r="A807" s="7">
        <v>1.2822190129327771E-2</v>
      </c>
      <c r="B807"/>
      <c r="C807"/>
      <c r="D807"/>
      <c r="E807"/>
    </row>
    <row r="808" spans="1:5" x14ac:dyDescent="0.25">
      <c r="A808" s="7">
        <v>1.2570774636595854E-2</v>
      </c>
      <c r="B808"/>
      <c r="C808"/>
      <c r="D808"/>
      <c r="E808"/>
    </row>
    <row r="809" spans="1:5" x14ac:dyDescent="0.25">
      <c r="A809" s="7">
        <v>1.23242888594077E-2</v>
      </c>
      <c r="B809"/>
      <c r="C809"/>
      <c r="D809"/>
      <c r="E809"/>
    </row>
    <row r="810" spans="1:5" x14ac:dyDescent="0.25">
      <c r="A810" s="7">
        <v>1.2082636136674216E-2</v>
      </c>
      <c r="B810"/>
      <c r="C810"/>
      <c r="D810"/>
      <c r="E810"/>
    </row>
    <row r="811" spans="1:5" x14ac:dyDescent="0.25">
      <c r="A811" s="7">
        <v>1.184572170262178E-2</v>
      </c>
      <c r="B811"/>
      <c r="C811"/>
      <c r="D811"/>
      <c r="E811"/>
    </row>
    <row r="812" spans="1:5" x14ac:dyDescent="0.25">
      <c r="A812" s="7">
        <v>1.1613452649629196E-2</v>
      </c>
      <c r="B812"/>
      <c r="C812"/>
      <c r="D812"/>
      <c r="E812"/>
    </row>
    <row r="813" spans="1:5" x14ac:dyDescent="0.25">
      <c r="A813" s="7">
        <v>1.138573789179333E-2</v>
      </c>
      <c r="B813"/>
      <c r="C813"/>
      <c r="D813"/>
      <c r="E813"/>
    </row>
    <row r="814" spans="1:5" x14ac:dyDescent="0.25">
      <c r="A814" s="7">
        <v>1.1162488129209149E-2</v>
      </c>
      <c r="B814"/>
      <c r="C814"/>
      <c r="D814"/>
      <c r="E814"/>
    </row>
    <row r="815" spans="1:5" x14ac:dyDescent="0.25">
      <c r="A815" s="7">
        <v>1.0943615812950145E-2</v>
      </c>
      <c r="B815"/>
      <c r="C815"/>
      <c r="D815"/>
      <c r="E815"/>
    </row>
    <row r="816" spans="1:5" x14ac:dyDescent="0.25">
      <c r="A816" s="7">
        <v>1.0729035110735436E-2</v>
      </c>
      <c r="B816"/>
      <c r="C816"/>
      <c r="D816"/>
      <c r="E816"/>
    </row>
    <row r="817" spans="1:5" x14ac:dyDescent="0.25">
      <c r="A817" s="7">
        <v>1.0518661873270036E-2</v>
      </c>
      <c r="B817"/>
      <c r="C817"/>
      <c r="D817"/>
      <c r="E817"/>
    </row>
    <row r="818" spans="1:5" x14ac:dyDescent="0.25">
      <c r="A818" s="7">
        <v>1.0312413601245135E-2</v>
      </c>
      <c r="B818"/>
      <c r="C818"/>
      <c r="D818"/>
      <c r="E818"/>
    </row>
    <row r="819" spans="1:5" x14ac:dyDescent="0.25">
      <c r="A819" s="7">
        <v>1.0110209412985426E-2</v>
      </c>
      <c r="B819"/>
      <c r="C819"/>
      <c r="D819"/>
      <c r="E819"/>
    </row>
    <row r="820" spans="1:5" x14ac:dyDescent="0.25">
      <c r="A820" s="7">
        <v>9.9119700127308103E-3</v>
      </c>
      <c r="B820"/>
      <c r="C820"/>
      <c r="D820"/>
      <c r="E820"/>
    </row>
    <row r="821" spans="1:5" x14ac:dyDescent="0.25">
      <c r="A821" s="7">
        <v>9.717617659540009E-3</v>
      </c>
      <c r="B821"/>
      <c r="C821"/>
      <c r="D821"/>
      <c r="E821"/>
    </row>
    <row r="822" spans="1:5" x14ac:dyDescent="0.25">
      <c r="A822" s="7">
        <v>9.5270761368039299E-3</v>
      </c>
      <c r="B822"/>
      <c r="C822"/>
      <c r="D822"/>
      <c r="E822"/>
    </row>
    <row r="823" spans="1:5" x14ac:dyDescent="0.25">
      <c r="A823" s="7">
        <v>9.3402707223567936E-3</v>
      </c>
      <c r="B823"/>
      <c r="C823"/>
      <c r="D823"/>
      <c r="E823"/>
    </row>
    <row r="824" spans="1:5" x14ac:dyDescent="0.25">
      <c r="A824" s="7">
        <v>9.1571281591733261E-3</v>
      </c>
      <c r="B824"/>
      <c r="C824"/>
      <c r="D824"/>
      <c r="E824"/>
    </row>
    <row r="825" spans="1:5" x14ac:dyDescent="0.25">
      <c r="A825" s="7">
        <v>8.9775766266405148E-3</v>
      </c>
      <c r="B825"/>
      <c r="C825"/>
      <c r="D825"/>
      <c r="E825"/>
    </row>
    <row r="826" spans="1:5" x14ac:dyDescent="0.25">
      <c r="A826" s="7">
        <v>8.8015457123926614E-3</v>
      </c>
      <c r="B826"/>
      <c r="C826"/>
      <c r="D826"/>
      <c r="E826"/>
    </row>
    <row r="827" spans="1:5" x14ac:dyDescent="0.25">
      <c r="A827" s="7">
        <v>8.6289663846986879E-3</v>
      </c>
      <c r="B827"/>
      <c r="C827"/>
      <c r="D827"/>
      <c r="E827"/>
    </row>
    <row r="828" spans="1:5" x14ac:dyDescent="0.25">
      <c r="A828" s="7">
        <v>8.4597709653908715E-3</v>
      </c>
      <c r="B828"/>
      <c r="C828"/>
      <c r="D828"/>
      <c r="E828"/>
    </row>
    <row r="829" spans="1:5" x14ac:dyDescent="0.25">
      <c r="A829" s="7">
        <v>8.2938931033243839E-3</v>
      </c>
      <c r="B829"/>
      <c r="C829"/>
      <c r="D829"/>
      <c r="E829"/>
    </row>
    <row r="830" spans="1:5" x14ac:dyDescent="0.25">
      <c r="A830" s="7">
        <v>8.1312677483572383E-3</v>
      </c>
      <c r="B830"/>
      <c r="C830"/>
      <c r="D830"/>
      <c r="E830"/>
    </row>
    <row r="831" spans="1:5" x14ac:dyDescent="0.25">
      <c r="A831" s="7">
        <v>7.9718311258404305E-3</v>
      </c>
      <c r="B831"/>
      <c r="C831"/>
      <c r="D831"/>
      <c r="E831"/>
    </row>
    <row r="832" spans="1:5" x14ac:dyDescent="0.25">
      <c r="A832" s="7">
        <v>7.8155207116082648E-3</v>
      </c>
      <c r="B832"/>
      <c r="C832"/>
      <c r="D832"/>
      <c r="E832"/>
    </row>
    <row r="833" spans="1:5" x14ac:dyDescent="0.25">
      <c r="A833" s="7">
        <v>7.6622752074590825E-3</v>
      </c>
      <c r="B833"/>
      <c r="C833"/>
      <c r="D833"/>
      <c r="E833"/>
    </row>
    <row r="834" spans="1:5" x14ac:dyDescent="0.25">
      <c r="A834" s="7">
        <v>7.5120345171167469E-3</v>
      </c>
      <c r="B834"/>
      <c r="C834"/>
      <c r="D834"/>
      <c r="E834"/>
    </row>
    <row r="835" spans="1:5" x14ac:dyDescent="0.25">
      <c r="A835" s="7">
        <v>7.3647397226634772E-3</v>
      </c>
      <c r="B835"/>
      <c r="C835"/>
      <c r="D835"/>
      <c r="E835"/>
    </row>
    <row r="836" spans="1:5" x14ac:dyDescent="0.25">
      <c r="A836" s="7">
        <v>7.2203330614347815E-3</v>
      </c>
      <c r="B836"/>
      <c r="C836"/>
      <c r="D836"/>
      <c r="E836"/>
    </row>
    <row r="837" spans="1:5" x14ac:dyDescent="0.25">
      <c r="A837" s="7">
        <v>7.0787579033674327E-3</v>
      </c>
      <c r="B837"/>
      <c r="C837"/>
      <c r="D837"/>
      <c r="E837"/>
    </row>
    <row r="838" spans="1:5" x14ac:dyDescent="0.25">
      <c r="A838" s="7">
        <v>6.9399587287916013E-3</v>
      </c>
      <c r="B838"/>
      <c r="C838"/>
      <c r="D838"/>
      <c r="E838"/>
    </row>
    <row r="839" spans="1:5" x14ac:dyDescent="0.25">
      <c r="A839" s="7">
        <v>6.8038811066584333E-3</v>
      </c>
      <c r="B839"/>
      <c r="C839"/>
      <c r="D839"/>
      <c r="E839"/>
    </row>
    <row r="840" spans="1:5" x14ac:dyDescent="0.25">
      <c r="A840" s="7">
        <v>6.6704716731945425E-3</v>
      </c>
      <c r="B840"/>
      <c r="C840"/>
      <c r="D840"/>
      <c r="E840"/>
    </row>
    <row r="841" spans="1:5" x14ac:dyDescent="0.25">
      <c r="A841" s="7">
        <v>6.5396781109750427E-3</v>
      </c>
      <c r="B841"/>
      <c r="C841"/>
      <c r="D841"/>
      <c r="E841"/>
    </row>
    <row r="842" spans="1:5" x14ac:dyDescent="0.25">
      <c r="A842" s="7">
        <v>6.4114491284069045E-3</v>
      </c>
      <c r="B842"/>
      <c r="C842"/>
      <c r="D842"/>
      <c r="E842"/>
    </row>
    <row r="843" spans="1:5" x14ac:dyDescent="0.25">
      <c r="A843" s="7">
        <v>6.2857344396146115E-3</v>
      </c>
      <c r="B843"/>
      <c r="C843"/>
      <c r="D843"/>
      <c r="E843"/>
    </row>
    <row r="844" spans="1:5" x14ac:dyDescent="0.25">
      <c r="A844" s="7">
        <v>6.1624847447202076E-3</v>
      </c>
      <c r="B844"/>
      <c r="C844"/>
      <c r="D844"/>
      <c r="E844"/>
    </row>
    <row r="845" spans="1:5" x14ac:dyDescent="0.25">
      <c r="A845" s="7">
        <v>6.0416517105100079E-3</v>
      </c>
      <c r="B845"/>
      <c r="C845"/>
      <c r="D845"/>
      <c r="E845"/>
    </row>
    <row r="846" spans="1:5" x14ac:dyDescent="0.25">
      <c r="A846" s="7">
        <v>5.9231879514803996E-3</v>
      </c>
      <c r="B846"/>
      <c r="C846"/>
      <c r="D846"/>
      <c r="E846"/>
    </row>
    <row r="847" spans="1:5" x14ac:dyDescent="0.25">
      <c r="A847" s="7">
        <v>5.8070470112552936E-3</v>
      </c>
      <c r="B847"/>
      <c r="C847"/>
      <c r="D847"/>
      <c r="E847"/>
    </row>
    <row r="848" spans="1:5" x14ac:dyDescent="0.25">
      <c r="A848" s="7">
        <v>5.6931833443679353E-3</v>
      </c>
      <c r="B848"/>
      <c r="C848"/>
      <c r="D848"/>
      <c r="E848"/>
    </row>
    <row r="849" spans="1:5" x14ac:dyDescent="0.25">
      <c r="A849" s="7">
        <v>5.5815522983999367E-3</v>
      </c>
      <c r="B849"/>
      <c r="C849"/>
      <c r="D849"/>
      <c r="E849"/>
    </row>
    <row r="850" spans="1:5" x14ac:dyDescent="0.25">
      <c r="A850" s="7">
        <v>5.4721100964705257E-3</v>
      </c>
      <c r="B850"/>
      <c r="C850"/>
      <c r="D850"/>
      <c r="E850"/>
    </row>
    <row r="851" spans="1:5" x14ac:dyDescent="0.25">
      <c r="A851" s="7">
        <v>5.3648138200691423E-3</v>
      </c>
      <c r="B851"/>
      <c r="C851"/>
      <c r="D851"/>
      <c r="E851"/>
    </row>
    <row r="852" spans="1:5" x14ac:dyDescent="0.25">
      <c r="A852" s="7">
        <v>5.2596213922246494E-3</v>
      </c>
      <c r="B852"/>
      <c r="C852"/>
      <c r="D852"/>
      <c r="E852"/>
    </row>
    <row r="853" spans="1:5" x14ac:dyDescent="0.25">
      <c r="A853" s="7">
        <v>5.1564915610045588E-3</v>
      </c>
      <c r="B853"/>
      <c r="C853"/>
      <c r="D853"/>
      <c r="E853"/>
    </row>
    <row r="854" spans="1:5" x14ac:dyDescent="0.25">
      <c r="A854" s="7">
        <v>5.0553838833378023E-3</v>
      </c>
      <c r="B854"/>
      <c r="C854"/>
      <c r="D854"/>
      <c r="E854"/>
    </row>
    <row r="855" spans="1:5" x14ac:dyDescent="0.25">
      <c r="A855" s="7">
        <v>4.9562587091547079E-3</v>
      </c>
      <c r="B855"/>
      <c r="C855"/>
      <c r="D855"/>
      <c r="E855"/>
    </row>
    <row r="856" spans="1:5" x14ac:dyDescent="0.25">
      <c r="A856" s="7">
        <v>4.8590771658379491E-3</v>
      </c>
      <c r="B856"/>
      <c r="C856"/>
      <c r="D856"/>
      <c r="E856"/>
    </row>
    <row r="857" spans="1:5" x14ac:dyDescent="0.25">
      <c r="A857" s="7">
        <v>4.7638011429783815E-3</v>
      </c>
      <c r="B857"/>
      <c r="C857"/>
      <c r="D857"/>
      <c r="E857"/>
    </row>
    <row r="858" spans="1:5" x14ac:dyDescent="0.25">
      <c r="A858" s="7">
        <v>4.6703932774297859E-3</v>
      </c>
      <c r="B858"/>
      <c r="C858"/>
      <c r="D858"/>
      <c r="E858"/>
    </row>
    <row r="859" spans="1:5" x14ac:dyDescent="0.25">
      <c r="A859" s="7">
        <v>4.5788169386566527E-3</v>
      </c>
      <c r="B859"/>
      <c r="C859"/>
      <c r="D859"/>
      <c r="E859"/>
    </row>
    <row r="860" spans="1:5" x14ac:dyDescent="0.25">
      <c r="A860" s="7">
        <v>4.4890362143692672E-3</v>
      </c>
      <c r="B860"/>
      <c r="C860"/>
      <c r="D860"/>
      <c r="E860"/>
    </row>
    <row r="861" spans="1:5" x14ac:dyDescent="0.25">
      <c r="A861" s="7">
        <v>4.4010158964404578E-3</v>
      </c>
      <c r="B861"/>
      <c r="C861"/>
      <c r="D861"/>
      <c r="E861"/>
    </row>
    <row r="862" spans="1:5" x14ac:dyDescent="0.25">
      <c r="A862" s="7">
        <v>4.314721467098488E-3</v>
      </c>
      <c r="B862"/>
      <c r="C862"/>
      <c r="D862"/>
      <c r="E862"/>
    </row>
    <row r="863" spans="1:5" x14ac:dyDescent="0.25">
      <c r="A863" s="7">
        <v>4.2301190853906746E-3</v>
      </c>
      <c r="B863"/>
      <c r="C863"/>
      <c r="D863"/>
      <c r="E863"/>
    </row>
    <row r="864" spans="1:5" x14ac:dyDescent="0.25">
      <c r="A864" s="7">
        <v>4.1471755739124266E-3</v>
      </c>
      <c r="B864"/>
      <c r="C864"/>
      <c r="D864"/>
      <c r="E864"/>
    </row>
    <row r="865" spans="1:5" x14ac:dyDescent="0.25">
      <c r="A865" s="7">
        <v>4.0658584057964966E-3</v>
      </c>
      <c r="B865"/>
      <c r="C865"/>
      <c r="D865"/>
      <c r="E865"/>
    </row>
    <row r="866" spans="1:5" x14ac:dyDescent="0.25">
      <c r="A866" s="7">
        <v>3.9861356919573491E-3</v>
      </c>
      <c r="B866"/>
      <c r="C866"/>
      <c r="D866"/>
      <c r="E866"/>
    </row>
    <row r="867" spans="1:5" x14ac:dyDescent="0.25">
      <c r="A867" s="7">
        <v>3.9079761685856364E-3</v>
      </c>
      <c r="B867"/>
      <c r="C867"/>
      <c r="D867"/>
      <c r="E867"/>
    </row>
    <row r="868" spans="1:5" x14ac:dyDescent="0.25">
      <c r="A868" s="7">
        <v>3.8313491848878793E-3</v>
      </c>
      <c r="B868"/>
      <c r="C868"/>
      <c r="D868"/>
      <c r="E868"/>
    </row>
    <row r="869" spans="1:5" x14ac:dyDescent="0.25">
      <c r="A869" s="7">
        <v>3.7562246910665485E-3</v>
      </c>
      <c r="B869"/>
      <c r="C869"/>
      <c r="D869"/>
      <c r="E869"/>
    </row>
    <row r="870" spans="1:5" x14ac:dyDescent="0.25">
      <c r="A870" s="7">
        <v>3.6825732265358315E-3</v>
      </c>
      <c r="B870"/>
      <c r="C870"/>
      <c r="D870"/>
      <c r="E870"/>
    </row>
    <row r="871" spans="1:5" x14ac:dyDescent="0.25">
      <c r="A871" s="7">
        <v>3.6103659083684624E-3</v>
      </c>
      <c r="B871"/>
      <c r="C871"/>
      <c r="D871"/>
      <c r="E871"/>
    </row>
    <row r="872" spans="1:5" x14ac:dyDescent="0.25">
      <c r="A872" s="7">
        <v>3.539574419969081E-3</v>
      </c>
      <c r="B872"/>
      <c r="C872"/>
      <c r="D872"/>
      <c r="E872"/>
    </row>
    <row r="873" spans="1:5" x14ac:dyDescent="0.25">
      <c r="A873" s="7">
        <v>3.4701709999696872E-3</v>
      </c>
      <c r="B873"/>
      <c r="C873"/>
      <c r="D873"/>
      <c r="E873"/>
    </row>
    <row r="874" spans="1:5" x14ac:dyDescent="0.25">
      <c r="A874" s="7">
        <v>3.4021284313428307E-3</v>
      </c>
      <c r="B874"/>
      <c r="C874"/>
      <c r="D874"/>
      <c r="E874"/>
    </row>
    <row r="875" spans="1:5" x14ac:dyDescent="0.25">
      <c r="A875" s="7">
        <v>3.3354200307282654E-3</v>
      </c>
      <c r="B875"/>
      <c r="C875"/>
      <c r="D875"/>
      <c r="E875"/>
    </row>
    <row r="876" spans="1:5" x14ac:dyDescent="0.25">
      <c r="A876" s="7">
        <v>3.2700196379688881E-3</v>
      </c>
      <c r="B876"/>
      <c r="C876"/>
      <c r="D876"/>
      <c r="E876"/>
    </row>
    <row r="877" spans="1:5" x14ac:dyDescent="0.25">
      <c r="A877" s="7">
        <v>3.205901605851851E-3</v>
      </c>
      <c r="B877"/>
      <c r="C877"/>
      <c r="D877"/>
      <c r="E877"/>
    </row>
    <row r="878" spans="1:5" x14ac:dyDescent="0.25">
      <c r="A878" s="7">
        <v>3.1430407900508344E-3</v>
      </c>
      <c r="B878"/>
      <c r="C878"/>
      <c r="D878"/>
      <c r="E878"/>
    </row>
    <row r="879" spans="1:5" x14ac:dyDescent="0.25">
      <c r="A879" s="7">
        <v>3.0814125392655241E-3</v>
      </c>
      <c r="B879"/>
      <c r="C879"/>
      <c r="D879"/>
      <c r="E879"/>
    </row>
    <row r="880" spans="1:5" x14ac:dyDescent="0.25">
      <c r="A880" s="7">
        <v>3.0209926855544354E-3</v>
      </c>
      <c r="B880"/>
      <c r="C880"/>
      <c r="D880"/>
      <c r="E880"/>
    </row>
    <row r="881" spans="1:5" x14ac:dyDescent="0.25">
      <c r="A881" s="7">
        <v>2.9617575348572897E-3</v>
      </c>
      <c r="B881"/>
      <c r="C881"/>
      <c r="D881"/>
      <c r="E881"/>
    </row>
    <row r="882" spans="1:5" x14ac:dyDescent="0.25">
      <c r="A882" s="7">
        <v>2.9036838577032251E-3</v>
      </c>
      <c r="B882"/>
      <c r="C882"/>
      <c r="D882"/>
      <c r="E882"/>
    </row>
    <row r="883" spans="1:5" x14ac:dyDescent="0.25">
      <c r="A883" s="7">
        <v>2.8467488801012012E-3</v>
      </c>
      <c r="B883"/>
      <c r="C883"/>
      <c r="D883"/>
      <c r="E883"/>
    </row>
    <row r="884" spans="1:5" x14ac:dyDescent="0.25">
      <c r="A884" s="7">
        <v>2.7909302746090209E-3</v>
      </c>
      <c r="B884"/>
      <c r="C884"/>
      <c r="D884"/>
      <c r="E884"/>
    </row>
    <row r="885" spans="1:5" x14ac:dyDescent="0.25">
      <c r="A885" s="7">
        <v>2.7362061515774716E-3</v>
      </c>
      <c r="B885"/>
      <c r="C885"/>
      <c r="D885"/>
      <c r="E885"/>
    </row>
    <row r="886" spans="1:5" x14ac:dyDescent="0.25">
      <c r="A886" s="7">
        <v>2.6825550505661486E-3</v>
      </c>
      <c r="B886"/>
      <c r="C886"/>
      <c r="D886"/>
      <c r="E886"/>
    </row>
    <row r="887" spans="1:5" x14ac:dyDescent="0.25">
      <c r="A887" s="7">
        <v>2.6299559319275965E-3</v>
      </c>
      <c r="B887"/>
      <c r="C887"/>
      <c r="D887"/>
      <c r="E887"/>
    </row>
    <row r="888" spans="1:5" x14ac:dyDescent="0.25">
      <c r="A888" s="7">
        <v>2.578388168556467E-3</v>
      </c>
      <c r="B888"/>
      <c r="C888"/>
      <c r="D888"/>
      <c r="E888"/>
    </row>
    <row r="889" spans="1:5" x14ac:dyDescent="0.25">
      <c r="A889" s="7">
        <v>2.5278315378004577E-3</v>
      </c>
      <c r="B889"/>
      <c r="C889"/>
      <c r="D889"/>
      <c r="E889"/>
    </row>
    <row r="890" spans="1:5" x14ac:dyDescent="0.25">
      <c r="A890" s="7">
        <v>2.4782662135298603E-3</v>
      </c>
      <c r="B890"/>
      <c r="C890"/>
      <c r="D890"/>
      <c r="E890"/>
    </row>
    <row r="891" spans="1:5" x14ac:dyDescent="0.25">
      <c r="A891" s="7">
        <v>2.4296727583626083E-3</v>
      </c>
      <c r="B891"/>
      <c r="C891"/>
      <c r="D891"/>
      <c r="E891"/>
    </row>
    <row r="892" spans="1:5" x14ac:dyDescent="0.25">
      <c r="A892" s="7">
        <v>2.3820321160417726E-3</v>
      </c>
      <c r="B892"/>
      <c r="C892"/>
      <c r="D892"/>
      <c r="E892"/>
    </row>
    <row r="893" spans="1:5" x14ac:dyDescent="0.25">
      <c r="A893" s="7">
        <v>2.3353256039625224E-3</v>
      </c>
      <c r="B893"/>
      <c r="C893"/>
      <c r="D893"/>
      <c r="E893"/>
    </row>
    <row r="894" spans="1:5" x14ac:dyDescent="0.25">
      <c r="A894" s="7">
        <v>2.2895349058456101E-3</v>
      </c>
      <c r="B894"/>
      <c r="C894"/>
      <c r="D894"/>
      <c r="E894"/>
    </row>
    <row r="895" spans="1:5" x14ac:dyDescent="0.25">
      <c r="A895" s="7">
        <v>2.24464206455452E-3</v>
      </c>
      <c r="B895"/>
      <c r="C895"/>
      <c r="D895"/>
      <c r="E895"/>
    </row>
    <row r="896" spans="1:5" x14ac:dyDescent="0.25">
      <c r="A896" s="7">
        <v>2.200629475053451E-3</v>
      </c>
      <c r="B896"/>
      <c r="C896"/>
      <c r="D896"/>
      <c r="E896"/>
    </row>
    <row r="897" spans="1:5" x14ac:dyDescent="0.25">
      <c r="A897" s="7">
        <v>2.1574798775033832E-3</v>
      </c>
      <c r="B897"/>
      <c r="C897"/>
      <c r="D897"/>
      <c r="E897"/>
    </row>
    <row r="898" spans="1:5" x14ac:dyDescent="0.25">
      <c r="A898" s="7">
        <v>2.115176350493513E-3</v>
      </c>
      <c r="B898"/>
      <c r="C898"/>
      <c r="D898"/>
      <c r="E898"/>
    </row>
    <row r="899" spans="1:5" x14ac:dyDescent="0.25">
      <c r="A899" s="7">
        <v>2.0737023044054047E-3</v>
      </c>
      <c r="B899"/>
      <c r="C899"/>
      <c r="D899"/>
      <c r="E899"/>
    </row>
    <row r="900" spans="1:5" x14ac:dyDescent="0.25">
      <c r="A900" s="7">
        <v>2.0330414749072595E-3</v>
      </c>
      <c r="B900"/>
      <c r="C900"/>
      <c r="D900"/>
      <c r="E900"/>
    </row>
    <row r="901" spans="1:5" x14ac:dyDescent="0.25">
      <c r="A901" s="7">
        <v>1.9931779165757446E-3</v>
      </c>
      <c r="B901"/>
      <c r="C901"/>
      <c r="D901"/>
      <c r="E901"/>
    </row>
    <row r="902" spans="1:5" x14ac:dyDescent="0.25">
      <c r="A902" s="7">
        <v>1.954095996642887E-3</v>
      </c>
      <c r="B902"/>
      <c r="C902"/>
      <c r="D902"/>
      <c r="E902"/>
    </row>
    <row r="903" spans="1:5" x14ac:dyDescent="0.25">
      <c r="A903" s="7">
        <v>1.9157803888655755E-3</v>
      </c>
      <c r="B903"/>
      <c r="C903"/>
      <c r="D903"/>
      <c r="E903"/>
    </row>
    <row r="904" spans="1:5" x14ac:dyDescent="0.25">
      <c r="A904" s="7">
        <v>1.8782160675152703E-3</v>
      </c>
      <c r="B904"/>
      <c r="C904"/>
      <c r="D904"/>
      <c r="E904"/>
    </row>
    <row r="905" spans="1:5" x14ac:dyDescent="0.25">
      <c r="A905" s="7">
        <v>1.8413883014855592E-3</v>
      </c>
      <c r="B905"/>
      <c r="C905"/>
      <c r="D905"/>
      <c r="E905"/>
    </row>
    <row r="906" spans="1:5" x14ac:dyDescent="0.25">
      <c r="A906" s="7">
        <v>1.8052826485152542E-3</v>
      </c>
      <c r="B906"/>
      <c r="C906"/>
      <c r="D906"/>
      <c r="E906"/>
    </row>
    <row r="907" spans="1:5" x14ac:dyDescent="0.25">
      <c r="A907" s="7">
        <v>1.7698849495247592E-3</v>
      </c>
      <c r="B907"/>
      <c r="C907"/>
      <c r="D907"/>
      <c r="E907"/>
    </row>
    <row r="908" spans="1:5" x14ac:dyDescent="0.25">
      <c r="A908" s="7">
        <v>1.7351813230634893E-3</v>
      </c>
      <c r="B908"/>
      <c r="C908"/>
      <c r="D908"/>
      <c r="E908"/>
    </row>
    <row r="909" spans="1:5" x14ac:dyDescent="0.25">
      <c r="A909" s="7">
        <v>1.701158159866166E-3</v>
      </c>
      <c r="B909"/>
      <c r="C909"/>
      <c r="D909"/>
      <c r="E909"/>
    </row>
    <row r="910" spans="1:5" x14ac:dyDescent="0.25">
      <c r="A910" s="7">
        <v>1.6678021175158492E-3</v>
      </c>
      <c r="B910"/>
      <c r="C910"/>
      <c r="D910"/>
      <c r="E910"/>
    </row>
    <row r="911" spans="1:5" x14ac:dyDescent="0.25">
      <c r="A911" s="7">
        <v>1.6351001152116167E-3</v>
      </c>
      <c r="B911"/>
      <c r="C911"/>
      <c r="D911"/>
      <c r="E911"/>
    </row>
    <row r="912" spans="1:5" x14ac:dyDescent="0.25">
      <c r="A912" s="7">
        <v>1.60303932863884E-3</v>
      </c>
      <c r="B912"/>
      <c r="C912"/>
      <c r="D912"/>
      <c r="E912"/>
    </row>
    <row r="913" spans="1:5" x14ac:dyDescent="0.25">
      <c r="A913" s="7">
        <v>1.5716071849400392E-3</v>
      </c>
      <c r="B913"/>
      <c r="C913"/>
      <c r="D913"/>
      <c r="E913"/>
    </row>
    <row r="914" spans="1:5" x14ac:dyDescent="0.25">
      <c r="A914" s="7">
        <v>1.5407913577843522E-3</v>
      </c>
      <c r="B914"/>
      <c r="C914"/>
      <c r="D914"/>
      <c r="E914"/>
    </row>
    <row r="915" spans="1:5" x14ac:dyDescent="0.25">
      <c r="A915" s="7">
        <v>1.5105797625336785E-3</v>
      </c>
      <c r="B915"/>
      <c r="C915"/>
      <c r="D915"/>
      <c r="E915"/>
    </row>
    <row r="916" spans="1:5" x14ac:dyDescent="0.25">
      <c r="A916" s="7">
        <v>1.4809605515036064E-3</v>
      </c>
      <c r="B916"/>
      <c r="C916"/>
      <c r="D916"/>
      <c r="E916"/>
    </row>
    <row r="917" spans="1:5" x14ac:dyDescent="0.25">
      <c r="A917" s="7">
        <v>1.4519221093172612E-3</v>
      </c>
      <c r="B917"/>
      <c r="C917"/>
      <c r="D917"/>
      <c r="E917"/>
    </row>
    <row r="918" spans="1:5" x14ac:dyDescent="0.25">
      <c r="A918" s="7">
        <v>1.423453048350256E-3</v>
      </c>
      <c r="B918"/>
      <c r="C918"/>
      <c r="D918"/>
      <c r="E918"/>
    </row>
    <row r="919" spans="1:5" x14ac:dyDescent="0.25">
      <c r="A919" s="7">
        <v>1.3955422042649568E-3</v>
      </c>
      <c r="B919"/>
      <c r="C919"/>
      <c r="D919"/>
      <c r="E919"/>
    </row>
    <row r="920" spans="1:5" x14ac:dyDescent="0.25">
      <c r="A920" s="7">
        <v>1.3681786316323105E-3</v>
      </c>
      <c r="B920"/>
      <c r="C920"/>
      <c r="D920"/>
      <c r="E920"/>
    </row>
    <row r="921" spans="1:5" x14ac:dyDescent="0.25">
      <c r="A921" s="7">
        <v>1.3413515996395203E-3</v>
      </c>
      <c r="B921"/>
      <c r="C921"/>
      <c r="D921"/>
      <c r="E921"/>
    </row>
    <row r="922" spans="1:5" x14ac:dyDescent="0.25">
      <c r="A922" s="7">
        <v>1.3150505878818826E-3</v>
      </c>
      <c r="B922"/>
      <c r="C922"/>
      <c r="D922"/>
      <c r="E922"/>
    </row>
    <row r="923" spans="1:5" x14ac:dyDescent="0.25">
      <c r="A923" s="7">
        <v>1.2892652822371396E-3</v>
      </c>
      <c r="B923"/>
      <c r="C923"/>
      <c r="D923"/>
      <c r="E923"/>
    </row>
    <row r="924" spans="1:5" x14ac:dyDescent="0.25">
      <c r="A924" s="7">
        <v>1.2639855708207251E-3</v>
      </c>
      <c r="B924"/>
      <c r="C924"/>
      <c r="D924"/>
      <c r="E924"/>
    </row>
    <row r="925" spans="1:5" x14ac:dyDescent="0.25">
      <c r="A925" s="7">
        <v>1.2392015400203187E-3</v>
      </c>
      <c r="B925"/>
      <c r="C925"/>
      <c r="D925"/>
      <c r="E925"/>
    </row>
    <row r="926" spans="1:5" x14ac:dyDescent="0.25">
      <c r="A926" s="7">
        <v>1.2149034706081556E-3</v>
      </c>
      <c r="B926"/>
      <c r="C926"/>
      <c r="D926"/>
      <c r="E926"/>
    </row>
    <row r="927" spans="1:5" x14ac:dyDescent="0.25">
      <c r="A927" s="7">
        <v>1.1910818339295644E-3</v>
      </c>
      <c r="B927"/>
      <c r="C927"/>
      <c r="D927"/>
      <c r="E927"/>
    </row>
    <row r="928" spans="1:5" x14ac:dyDescent="0.25">
      <c r="A928" s="7">
        <v>1.1677272881662395E-3</v>
      </c>
      <c r="B928"/>
      <c r="C928"/>
      <c r="D928"/>
      <c r="E928"/>
    </row>
    <row r="929" spans="1:5" x14ac:dyDescent="0.25">
      <c r="A929" s="7">
        <v>1.1448306746727837E-3</v>
      </c>
      <c r="B929"/>
      <c r="C929"/>
      <c r="D929"/>
      <c r="E929"/>
    </row>
    <row r="930" spans="1:5" x14ac:dyDescent="0.25">
      <c r="A930" s="7">
        <v>1.1223830143850821E-3</v>
      </c>
      <c r="B930"/>
      <c r="C930"/>
      <c r="D930"/>
      <c r="E930"/>
    </row>
    <row r="931" spans="1:5" x14ac:dyDescent="0.25">
      <c r="A931" s="7">
        <v>1.1003755042991001E-3</v>
      </c>
      <c r="B931"/>
      <c r="C931"/>
      <c r="D931"/>
      <c r="E931"/>
    </row>
    <row r="932" spans="1:5" x14ac:dyDescent="0.25">
      <c r="A932" s="7">
        <v>1.0787995140187257E-3</v>
      </c>
      <c r="B932"/>
      <c r="C932"/>
      <c r="D932"/>
      <c r="E932"/>
    </row>
    <row r="933" spans="1:5" x14ac:dyDescent="0.25">
      <c r="A933" s="7">
        <v>1.0576465823712996E-3</v>
      </c>
      <c r="B933"/>
      <c r="C933"/>
      <c r="D933"/>
      <c r="E933"/>
    </row>
    <row r="934" spans="1:5" x14ac:dyDescent="0.25">
      <c r="A934" s="7">
        <v>1.0369084140895094E-3</v>
      </c>
      <c r="B934"/>
      <c r="C934"/>
      <c r="D934"/>
      <c r="E934"/>
    </row>
    <row r="935" spans="1:5" x14ac:dyDescent="0.25">
      <c r="A935" s="7">
        <v>1.0165768765583426E-3</v>
      </c>
      <c r="B935"/>
      <c r="C935"/>
      <c r="D935"/>
      <c r="E935"/>
    </row>
    <row r="936" spans="1:5" x14ac:dyDescent="0.25">
      <c r="A936" s="7">
        <v>9.966439966258261E-4</v>
      </c>
      <c r="B936"/>
      <c r="C936"/>
      <c r="D936"/>
      <c r="E936"/>
    </row>
  </sheetData>
  <conditionalFormatting sqref="C27">
    <cfRule type="cellIs" dxfId="80" priority="1596" operator="equal">
      <formula>$U$1</formula>
    </cfRule>
    <cfRule type="cellIs" dxfId="79" priority="1597" operator="equal">
      <formula>$S$1</formula>
    </cfRule>
  </conditionalFormatting>
  <conditionalFormatting sqref="D27">
    <cfRule type="cellIs" dxfId="78" priority="1594" operator="equal">
      <formula>$S$1</formula>
    </cfRule>
    <cfRule type="cellIs" dxfId="77" priority="1595" operator="equal">
      <formula>$U$1</formula>
    </cfRule>
  </conditionalFormatting>
  <conditionalFormatting sqref="C164">
    <cfRule type="cellIs" dxfId="76" priority="1592" operator="equal">
      <formula>$U$1</formula>
    </cfRule>
    <cfRule type="cellIs" dxfId="75" priority="1593" operator="equal">
      <formula>$S$1</formula>
    </cfRule>
  </conditionalFormatting>
  <conditionalFormatting sqref="D164">
    <cfRule type="cellIs" dxfId="74" priority="1590" operator="equal">
      <formula>$S$1</formula>
    </cfRule>
    <cfRule type="cellIs" dxfId="73" priority="1591" operator="equal">
      <formula>$U$1</formula>
    </cfRule>
  </conditionalFormatting>
  <conditionalFormatting sqref="C55">
    <cfRule type="cellIs" dxfId="72" priority="1588" operator="equal">
      <formula>$U$1</formula>
    </cfRule>
    <cfRule type="cellIs" dxfId="71" priority="1589" operator="equal">
      <formula>$S$1</formula>
    </cfRule>
  </conditionalFormatting>
  <conditionalFormatting sqref="D55">
    <cfRule type="cellIs" dxfId="70" priority="1586" operator="equal">
      <formula>$S$1</formula>
    </cfRule>
    <cfRule type="cellIs" dxfId="69" priority="1587" operator="equal">
      <formula>$U$1</formula>
    </cfRule>
  </conditionalFormatting>
  <conditionalFormatting sqref="C89">
    <cfRule type="cellIs" dxfId="68" priority="1584" operator="equal">
      <formula>$U$1</formula>
    </cfRule>
    <cfRule type="cellIs" dxfId="67" priority="1585" operator="equal">
      <formula>$S$1</formula>
    </cfRule>
  </conditionalFormatting>
  <conditionalFormatting sqref="D89">
    <cfRule type="cellIs" dxfId="66" priority="1582" operator="equal">
      <formula>$S$1</formula>
    </cfRule>
    <cfRule type="cellIs" dxfId="65" priority="1583" operator="equal">
      <formula>$U$1</formula>
    </cfRule>
  </conditionalFormatting>
  <conditionalFormatting sqref="C136">
    <cfRule type="cellIs" dxfId="64" priority="1580" operator="equal">
      <formula>$U$1</formula>
    </cfRule>
    <cfRule type="cellIs" dxfId="63" priority="1581" operator="equal">
      <formula>$S$1</formula>
    </cfRule>
  </conditionalFormatting>
  <conditionalFormatting sqref="D136">
    <cfRule type="cellIs" dxfId="62" priority="1578" operator="equal">
      <formula>$S$1</formula>
    </cfRule>
    <cfRule type="cellIs" dxfId="61" priority="1579" operator="equal">
      <formula>$U$1</formula>
    </cfRule>
  </conditionalFormatting>
  <conditionalFormatting sqref="C1">
    <cfRule type="cellIs" dxfId="60" priority="1577" operator="lessThan">
      <formula>$A$2</formula>
    </cfRule>
  </conditionalFormatting>
  <conditionalFormatting sqref="D130">
    <cfRule type="cellIs" dxfId="59" priority="1" operator="lessThan">
      <formula>$A$2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0B0F0"/>
  </sheetPr>
  <dimension ref="A1:ZZ807"/>
  <sheetViews>
    <sheetView topLeftCell="A56" zoomScale="90" zoomScaleNormal="90" workbookViewId="0">
      <pane xSplit="4" topLeftCell="BC1" activePane="topRight" state="frozen"/>
      <selection activeCell="A109" sqref="A109"/>
      <selection pane="topRight" activeCell="DF73" sqref="DF73"/>
    </sheetView>
  </sheetViews>
  <sheetFormatPr defaultRowHeight="15" x14ac:dyDescent="0.25"/>
  <cols>
    <col min="1" max="1" width="10.7109375" style="30" customWidth="1"/>
    <col min="2" max="5" width="10.7109375" style="1" hidden="1" customWidth="1"/>
    <col min="6" max="6" width="10.7109375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4" spans="1:21" x14ac:dyDescent="0.25">
      <c r="A4" s="30">
        <v>100155.44859784204</v>
      </c>
    </row>
    <row r="5" spans="1:21" x14ac:dyDescent="0.25">
      <c r="A5" s="30">
        <v>95386.141521754325</v>
      </c>
    </row>
    <row r="6" spans="1:21" x14ac:dyDescent="0.25">
      <c r="A6" s="30">
        <v>90843.944306432692</v>
      </c>
    </row>
    <row r="7" spans="1:21" x14ac:dyDescent="0.25">
      <c r="A7" s="30">
        <v>86518.042196602561</v>
      </c>
    </row>
    <row r="8" spans="1:21" x14ac:dyDescent="0.25">
      <c r="A8" s="30">
        <v>82398.135425335771</v>
      </c>
    </row>
    <row r="9" spans="1:21" x14ac:dyDescent="0.25">
      <c r="A9" s="30">
        <v>78474.414690795966</v>
      </c>
    </row>
    <row r="10" spans="1:21" x14ac:dyDescent="0.25">
      <c r="A10" s="30">
        <v>74737.537800758058</v>
      </c>
    </row>
    <row r="11" spans="1:21" x14ac:dyDescent="0.25">
      <c r="A11" s="30">
        <v>71178.607429293392</v>
      </c>
    </row>
    <row r="12" spans="1:21" x14ac:dyDescent="0.25">
      <c r="A12" s="30">
        <v>67789.149932660366</v>
      </c>
    </row>
    <row r="13" spans="1:21" x14ac:dyDescent="0.25">
      <c r="A13" s="30">
        <v>64561.095173962254</v>
      </c>
    </row>
    <row r="14" spans="1:21" x14ac:dyDescent="0.25">
      <c r="A14" s="30">
        <v>61486.757308535474</v>
      </c>
    </row>
    <row r="15" spans="1:21" x14ac:dyDescent="0.25">
      <c r="A15" s="30">
        <v>58558.816484319497</v>
      </c>
    </row>
    <row r="16" spans="1:21" x14ac:dyDescent="0.25">
      <c r="A16" s="30">
        <v>55770.301413637615</v>
      </c>
    </row>
    <row r="17" spans="1:7" x14ac:dyDescent="0.25">
      <c r="A17" s="30">
        <v>53114.572774892964</v>
      </c>
    </row>
    <row r="18" spans="1:7" x14ac:dyDescent="0.25">
      <c r="A18" s="30">
        <v>50585.307404659965</v>
      </c>
    </row>
    <row r="19" spans="1:7" x14ac:dyDescent="0.25">
      <c r="A19" s="30">
        <v>48176.483242533301</v>
      </c>
    </row>
    <row r="20" spans="1:7" x14ac:dyDescent="0.25">
      <c r="A20" s="30">
        <v>45882.364992888855</v>
      </c>
    </row>
    <row r="21" spans="1:7" x14ac:dyDescent="0.25">
      <c r="A21" s="30">
        <v>43697.490469417957</v>
      </c>
      <c r="C21" s="1" t="s">
        <v>15</v>
      </c>
      <c r="G21" s="11"/>
    </row>
    <row r="22" spans="1:7" x14ac:dyDescent="0.25">
      <c r="A22" s="30">
        <v>41616.657589921859</v>
      </c>
      <c r="C22" s="7">
        <v>0.11686133436193799</v>
      </c>
      <c r="D22"/>
    </row>
    <row r="23" spans="1:7" x14ac:dyDescent="0.25">
      <c r="A23" s="30">
        <v>39634.911990401772</v>
      </c>
    </row>
    <row r="24" spans="1:7" x14ac:dyDescent="0.25">
      <c r="A24" s="30">
        <v>37747.535228954068</v>
      </c>
      <c r="C24" s="1" t="s">
        <v>11</v>
      </c>
      <c r="D24" s="1" t="s">
        <v>12</v>
      </c>
    </row>
    <row r="25" spans="1:7" x14ac:dyDescent="0.25">
      <c r="A25" s="30">
        <v>35950.033551384826</v>
      </c>
      <c r="C25"/>
      <c r="D25"/>
    </row>
    <row r="26" spans="1:7" x14ac:dyDescent="0.25">
      <c r="A26" s="30">
        <v>34238.127191795073</v>
      </c>
    </row>
    <row r="27" spans="1:7" x14ac:dyDescent="0.25">
      <c r="A27" s="30">
        <v>32607.740182661972</v>
      </c>
      <c r="C27" s="1" t="s">
        <v>13</v>
      </c>
    </row>
    <row r="28" spans="1:7" x14ac:dyDescent="0.25">
      <c r="A28" s="30">
        <v>31054.990650154257</v>
      </c>
      <c r="C28" s="1">
        <f>C17</f>
        <v>0</v>
      </c>
    </row>
    <row r="29" spans="1:7" x14ac:dyDescent="0.25">
      <c r="A29" s="30">
        <v>29576.181571575482</v>
      </c>
      <c r="C29"/>
    </row>
    <row r="30" spans="1:7" x14ac:dyDescent="0.25">
      <c r="A30" s="30">
        <v>28167.79197292903</v>
      </c>
      <c r="C30" s="1" t="s">
        <v>14</v>
      </c>
    </row>
    <row r="31" spans="1:7" x14ac:dyDescent="0.25">
      <c r="A31" s="30">
        <v>26826.468545646694</v>
      </c>
      <c r="C31" s="1" t="str">
        <f>IF(C28=$S$1,IF(D25&lt;(C22*0.952380952380952),$S$1,IF(C25&gt;(C22*1.157625),$U$1,"")),"")</f>
        <v/>
      </c>
      <c r="D31" s="1" t="str">
        <f>IF(C28=$U$1,IF(C25&gt;(C22*1.05),$U$1,IF(D25&lt;(C22*0.863837598531476),$S$1,"")),"")</f>
        <v/>
      </c>
    </row>
    <row r="32" spans="1:7" x14ac:dyDescent="0.25">
      <c r="A32" s="30">
        <v>25549.017662520659</v>
      </c>
    </row>
    <row r="33" spans="1:5" x14ac:dyDescent="0.25">
      <c r="A33" s="30">
        <v>24332.397773829198</v>
      </c>
      <c r="E33"/>
    </row>
    <row r="34" spans="1:5" x14ac:dyDescent="0.25">
      <c r="A34" s="30">
        <v>23173.712165551617</v>
      </c>
      <c r="E34"/>
    </row>
    <row r="35" spans="1:5" x14ac:dyDescent="0.25">
      <c r="A35" s="30">
        <v>22070.202062430111</v>
      </c>
      <c r="E35"/>
    </row>
    <row r="36" spans="1:5" x14ac:dyDescent="0.25">
      <c r="A36" s="30">
        <v>21019.240059457246</v>
      </c>
      <c r="E36"/>
    </row>
    <row r="37" spans="1:5" x14ac:dyDescent="0.25">
      <c r="A37" s="30">
        <v>20018.323866149756</v>
      </c>
      <c r="E37"/>
    </row>
    <row r="38" spans="1:5" x14ac:dyDescent="0.25">
      <c r="A38" s="30">
        <v>19065.070348714053</v>
      </c>
      <c r="E38"/>
    </row>
    <row r="39" spans="1:5" x14ac:dyDescent="0.25">
      <c r="A39" s="30">
        <v>18157.209855918143</v>
      </c>
      <c r="E39"/>
    </row>
    <row r="40" spans="1:5" x14ac:dyDescent="0.25">
      <c r="A40" s="30">
        <v>17292.580815160134</v>
      </c>
      <c r="E40"/>
    </row>
    <row r="41" spans="1:5" x14ac:dyDescent="0.25">
      <c r="A41" s="30">
        <v>16469.124585866793</v>
      </c>
      <c r="E41"/>
    </row>
    <row r="42" spans="1:5" x14ac:dyDescent="0.25">
      <c r="A42" s="30">
        <v>15684.880557968376</v>
      </c>
      <c r="E42"/>
    </row>
    <row r="43" spans="1:5" x14ac:dyDescent="0.25">
      <c r="A43" s="30">
        <v>14937.981483779406</v>
      </c>
      <c r="E43"/>
    </row>
    <row r="44" spans="1:5" x14ac:dyDescent="0.25">
      <c r="A44" s="30">
        <v>14226.649032170862</v>
      </c>
      <c r="E44"/>
    </row>
    <row r="45" spans="1:5" x14ac:dyDescent="0.25">
      <c r="A45" s="30">
        <v>13549.18955444844</v>
      </c>
      <c r="E45"/>
    </row>
    <row r="46" spans="1:5" x14ac:dyDescent="0.25">
      <c r="A46" s="30">
        <v>12903.990051855657</v>
      </c>
      <c r="C46" s="1" t="s">
        <v>15</v>
      </c>
      <c r="E46"/>
    </row>
    <row r="47" spans="1:5" x14ac:dyDescent="0.25">
      <c r="A47" s="30">
        <v>12289.514335100625</v>
      </c>
      <c r="C47" s="7">
        <v>0.11686133436193799</v>
      </c>
      <c r="D47"/>
      <c r="E47"/>
    </row>
    <row r="48" spans="1:5" x14ac:dyDescent="0.25">
      <c r="A48" s="30">
        <v>11704.2993667625</v>
      </c>
      <c r="E48"/>
    </row>
    <row r="49" spans="1:5" x14ac:dyDescent="0.25">
      <c r="A49" s="30">
        <v>11146.951777869046</v>
      </c>
      <c r="C49" s="1" t="s">
        <v>11</v>
      </c>
      <c r="D49" s="1" t="s">
        <v>12</v>
      </c>
      <c r="E49"/>
    </row>
    <row r="50" spans="1:5" x14ac:dyDescent="0.25">
      <c r="A50" s="30">
        <v>10616.144550351471</v>
      </c>
      <c r="C50"/>
      <c r="D50"/>
      <c r="E50"/>
    </row>
    <row r="51" spans="1:5" x14ac:dyDescent="0.25">
      <c r="A51" s="30">
        <v>10110.613857477592</v>
      </c>
      <c r="E51"/>
    </row>
    <row r="52" spans="1:5" x14ac:dyDescent="0.25">
      <c r="A52" s="30">
        <v>9629.1560547405643</v>
      </c>
      <c r="C52" s="1" t="s">
        <v>13</v>
      </c>
      <c r="E52"/>
    </row>
    <row r="53" spans="1:5" x14ac:dyDescent="0.25">
      <c r="A53" s="30">
        <v>9170.6248140386324</v>
      </c>
      <c r="C53" s="1">
        <f>C42</f>
        <v>0</v>
      </c>
      <c r="E53"/>
    </row>
    <row r="54" spans="1:5" x14ac:dyDescent="0.25">
      <c r="A54" s="30">
        <v>8733.9283943225073</v>
      </c>
      <c r="C54"/>
      <c r="E54"/>
    </row>
    <row r="55" spans="1:5" x14ac:dyDescent="0.25">
      <c r="A55" s="30">
        <v>8318.027042211912</v>
      </c>
      <c r="C55" s="1" t="s">
        <v>14</v>
      </c>
      <c r="E55"/>
    </row>
    <row r="56" spans="1:5" x14ac:dyDescent="0.25">
      <c r="A56" s="30">
        <v>7921.9305163922963</v>
      </c>
      <c r="C56" s="1" t="str">
        <f>IF(C53=$S$1,IF(D50&lt;(C47*0.952380952380952),$S$1,IF(C50&gt;(C47*1.157625),$U$1,"")),"")</f>
        <v/>
      </c>
      <c r="D56" s="1" t="str">
        <f>IF(C53=$U$1,IF(C50&gt;(C47*1.05),$U$1,IF(D50&lt;(C47*0.863837598531476),$S$1,"")),"")</f>
        <v/>
      </c>
      <c r="E56"/>
    </row>
    <row r="57" spans="1:5" x14ac:dyDescent="0.25">
      <c r="A57" s="30">
        <v>7544.6957298974248</v>
      </c>
      <c r="E57"/>
    </row>
    <row r="58" spans="1:5" x14ac:dyDescent="0.25">
      <c r="A58" s="30">
        <v>7185.4245046642136</v>
      </c>
      <c r="E58"/>
    </row>
    <row r="59" spans="1:5" x14ac:dyDescent="0.25">
      <c r="A59" s="30">
        <v>6843.2614330135366</v>
      </c>
      <c r="E59"/>
    </row>
    <row r="60" spans="1:5" x14ac:dyDescent="0.25">
      <c r="A60" s="30">
        <v>6517.3918409652724</v>
      </c>
      <c r="E60"/>
    </row>
    <row r="61" spans="1:5" x14ac:dyDescent="0.25">
      <c r="A61" s="30">
        <v>6207.0398485383548</v>
      </c>
      <c r="E61"/>
    </row>
    <row r="62" spans="1:5" x14ac:dyDescent="0.25">
      <c r="A62" s="30">
        <v>5911.4665224174805</v>
      </c>
      <c r="E62"/>
    </row>
    <row r="63" spans="1:5" x14ac:dyDescent="0.25">
      <c r="A63" s="30">
        <v>5629.9681165880766</v>
      </c>
      <c r="E63"/>
    </row>
    <row r="64" spans="1:5" x14ac:dyDescent="0.25">
      <c r="A64" s="30">
        <v>5361.8743967505488</v>
      </c>
      <c r="E64"/>
    </row>
    <row r="65" spans="1:107" x14ac:dyDescent="0.25">
      <c r="A65" s="30">
        <v>5106.5470445243318</v>
      </c>
      <c r="E65"/>
    </row>
    <row r="66" spans="1:107" x14ac:dyDescent="0.25">
      <c r="A66" s="30">
        <v>4863.3781376422203</v>
      </c>
      <c r="E66"/>
      <c r="CW66" s="27" t="s">
        <v>8</v>
      </c>
    </row>
    <row r="67" spans="1:107" x14ac:dyDescent="0.25">
      <c r="A67" s="30">
        <v>4631.7887025164</v>
      </c>
      <c r="E67"/>
      <c r="CW67" s="27" t="s">
        <v>8</v>
      </c>
      <c r="CX67" s="27" t="s">
        <v>7</v>
      </c>
      <c r="CY67" s="27" t="s">
        <v>8</v>
      </c>
    </row>
    <row r="68" spans="1:107" x14ac:dyDescent="0.25">
      <c r="A68" s="30">
        <v>4411.2273357299046</v>
      </c>
      <c r="E68"/>
      <c r="CW68" s="27" t="s">
        <v>8</v>
      </c>
      <c r="CX68" s="27" t="s">
        <v>7</v>
      </c>
      <c r="CY68" s="27" t="s">
        <v>8</v>
      </c>
      <c r="CZ68" s="27" t="s">
        <v>7</v>
      </c>
      <c r="DA68" s="31" t="s">
        <v>8</v>
      </c>
    </row>
    <row r="69" spans="1:107" x14ac:dyDescent="0.25">
      <c r="A69" s="30">
        <v>4201.1688911713372</v>
      </c>
      <c r="E69"/>
      <c r="CE69" s="31" t="s">
        <v>8</v>
      </c>
      <c r="CW69" s="27" t="s">
        <v>8</v>
      </c>
      <c r="CX69" s="27" t="s">
        <v>7</v>
      </c>
      <c r="CY69" s="27" t="s">
        <v>8</v>
      </c>
      <c r="CZ69" s="27" t="s">
        <v>7</v>
      </c>
      <c r="DA69" s="27" t="s">
        <v>8</v>
      </c>
      <c r="DB69" s="31" t="s">
        <v>7</v>
      </c>
    </row>
    <row r="70" spans="1:107" x14ac:dyDescent="0.25">
      <c r="A70" s="30">
        <v>4001.1132296869878</v>
      </c>
      <c r="E70"/>
      <c r="CE70" s="27" t="s">
        <v>8</v>
      </c>
      <c r="CF70" s="31" t="s">
        <v>7</v>
      </c>
      <c r="CS70" s="31" t="s">
        <v>8</v>
      </c>
      <c r="CW70" s="27" t="s">
        <v>8</v>
      </c>
      <c r="CX70" s="27" t="s">
        <v>7</v>
      </c>
      <c r="CZ70" s="27" t="s">
        <v>7</v>
      </c>
      <c r="DA70" s="27" t="s">
        <v>8</v>
      </c>
      <c r="DB70" s="27" t="s">
        <v>7</v>
      </c>
      <c r="DC70" s="31"/>
    </row>
    <row r="71" spans="1:107" x14ac:dyDescent="0.25">
      <c r="A71" s="30">
        <v>3810.5840282733216</v>
      </c>
      <c r="C71" s="1" t="s">
        <v>15</v>
      </c>
      <c r="E71"/>
      <c r="CE71" s="27" t="s">
        <v>8</v>
      </c>
      <c r="CF71" s="27" t="s">
        <v>7</v>
      </c>
      <c r="CG71" s="31"/>
      <c r="CS71" s="27" t="s">
        <v>8</v>
      </c>
      <c r="CT71" s="31" t="s">
        <v>7</v>
      </c>
      <c r="CW71" s="27" t="s">
        <v>8</v>
      </c>
      <c r="CZ71" s="27" t="s">
        <v>7</v>
      </c>
      <c r="DA71" s="27" t="s">
        <v>8</v>
      </c>
      <c r="DB71" s="27" t="s">
        <v>7</v>
      </c>
    </row>
    <row r="72" spans="1:107" x14ac:dyDescent="0.25">
      <c r="A72" s="30">
        <v>3629.1276459745918</v>
      </c>
      <c r="C72" s="7">
        <v>0.11686133436193799</v>
      </c>
      <c r="D72"/>
      <c r="E72"/>
      <c r="CE72" s="27" t="s">
        <v>8</v>
      </c>
      <c r="CF72" s="27" t="s">
        <v>7</v>
      </c>
      <c r="CH72" s="31"/>
      <c r="CS72" s="27" t="s">
        <v>8</v>
      </c>
      <c r="CT72" s="27" t="s">
        <v>7</v>
      </c>
      <c r="CU72" s="31" t="s">
        <v>8</v>
      </c>
      <c r="CW72" s="27" t="s">
        <v>8</v>
      </c>
      <c r="CZ72" s="27" t="s">
        <v>7</v>
      </c>
      <c r="DB72" s="27" t="s">
        <v>7</v>
      </c>
    </row>
    <row r="73" spans="1:107" x14ac:dyDescent="0.25">
      <c r="A73" s="30">
        <v>3456.3120437853254</v>
      </c>
      <c r="E73"/>
      <c r="CE73" s="27" t="s">
        <v>8</v>
      </c>
      <c r="CF73" s="27" t="s">
        <v>7</v>
      </c>
      <c r="CI73" s="31"/>
      <c r="CS73" s="27" t="s">
        <v>8</v>
      </c>
      <c r="CT73" s="27" t="s">
        <v>7</v>
      </c>
      <c r="CU73" s="27" t="s">
        <v>8</v>
      </c>
      <c r="CV73" s="31" t="s">
        <v>7</v>
      </c>
      <c r="CW73" s="27" t="s">
        <v>8</v>
      </c>
      <c r="DB73" s="27" t="s">
        <v>7</v>
      </c>
    </row>
    <row r="74" spans="1:107" x14ac:dyDescent="0.25">
      <c r="A74" s="30">
        <v>3291.7257559860241</v>
      </c>
      <c r="C74" s="1" t="s">
        <v>11</v>
      </c>
      <c r="D74" s="1" t="s">
        <v>12</v>
      </c>
      <c r="E74"/>
      <c r="CE74" s="27" t="s">
        <v>8</v>
      </c>
      <c r="CF74" s="27" t="s">
        <v>7</v>
      </c>
      <c r="CJ74" s="31"/>
      <c r="CS74" s="27" t="s">
        <v>8</v>
      </c>
      <c r="CT74" s="27" t="s">
        <v>7</v>
      </c>
      <c r="CU74" s="27" t="s">
        <v>8</v>
      </c>
      <c r="CV74" s="27" t="s">
        <v>7</v>
      </c>
      <c r="CW74" s="19" t="s">
        <v>8</v>
      </c>
      <c r="DB74" s="27" t="s">
        <v>7</v>
      </c>
    </row>
    <row r="75" spans="1:107" x14ac:dyDescent="0.25">
      <c r="A75" s="30">
        <v>3134.9769104628799</v>
      </c>
      <c r="C75"/>
      <c r="D75"/>
      <c r="E75"/>
      <c r="CE75" s="27" t="s">
        <v>8</v>
      </c>
      <c r="CF75" s="27" t="s">
        <v>7</v>
      </c>
      <c r="CK75" s="31"/>
      <c r="CS75" s="27" t="s">
        <v>8</v>
      </c>
      <c r="CT75" s="27" t="s">
        <v>7</v>
      </c>
      <c r="CV75" s="27" t="s">
        <v>7</v>
      </c>
      <c r="CW75" s="27" t="s">
        <v>8</v>
      </c>
      <c r="CX75" s="19"/>
      <c r="DB75" s="27" t="s">
        <v>7</v>
      </c>
    </row>
    <row r="76" spans="1:107" x14ac:dyDescent="0.25">
      <c r="A76" s="30">
        <v>2985.6922956789331</v>
      </c>
      <c r="E76"/>
      <c r="CE76" s="27" t="s">
        <v>8</v>
      </c>
      <c r="CF76" s="27" t="s">
        <v>7</v>
      </c>
      <c r="CG76" s="27" t="s">
        <v>8</v>
      </c>
      <c r="CL76" s="31"/>
      <c r="CS76" s="27" t="s">
        <v>8</v>
      </c>
      <c r="CV76" s="27" t="s">
        <v>7</v>
      </c>
      <c r="CW76" s="27" t="s">
        <v>8</v>
      </c>
      <c r="DB76" s="27" t="s">
        <v>7</v>
      </c>
    </row>
    <row r="77" spans="1:107" x14ac:dyDescent="0.25">
      <c r="A77" s="30">
        <v>2843.5164720751741</v>
      </c>
      <c r="C77" s="1" t="s">
        <v>13</v>
      </c>
      <c r="E77"/>
      <c r="CE77" s="27" t="s">
        <v>8</v>
      </c>
      <c r="CF77" s="27" t="s">
        <v>7</v>
      </c>
      <c r="CG77" s="27" t="s">
        <v>8</v>
      </c>
      <c r="CH77" s="27" t="s">
        <v>7</v>
      </c>
      <c r="CK77" s="32" t="s">
        <v>8</v>
      </c>
      <c r="CM77" s="32" t="s">
        <v>8</v>
      </c>
      <c r="CS77" s="27" t="s">
        <v>8</v>
      </c>
      <c r="CV77" s="27" t="s">
        <v>7</v>
      </c>
      <c r="CW77" s="27" t="s">
        <v>8</v>
      </c>
      <c r="DB77" s="27" t="s">
        <v>7</v>
      </c>
    </row>
    <row r="78" spans="1:107" x14ac:dyDescent="0.25">
      <c r="A78" s="30">
        <v>2708.1109257858798</v>
      </c>
      <c r="C78" s="1">
        <f>C67</f>
        <v>0</v>
      </c>
      <c r="E78"/>
      <c r="CE78" s="27" t="s">
        <v>8</v>
      </c>
      <c r="CF78" s="27" t="s">
        <v>7</v>
      </c>
      <c r="CG78" s="27" t="s">
        <v>8</v>
      </c>
      <c r="CH78" s="27" t="s">
        <v>7</v>
      </c>
      <c r="CK78" s="27" t="s">
        <v>8</v>
      </c>
      <c r="CL78" s="27" t="s">
        <v>7</v>
      </c>
      <c r="CM78" s="27" t="s">
        <v>8</v>
      </c>
      <c r="CN78" s="31" t="s">
        <v>7</v>
      </c>
      <c r="CS78" s="27" t="s">
        <v>8</v>
      </c>
      <c r="CV78" s="27" t="s">
        <v>7</v>
      </c>
      <c r="DB78" s="27" t="s">
        <v>7</v>
      </c>
      <c r="DC78" s="27" t="s">
        <v>8</v>
      </c>
    </row>
    <row r="79" spans="1:107" x14ac:dyDescent="0.25">
      <c r="A79" s="30">
        <v>2579.1532626532189</v>
      </c>
      <c r="C79"/>
      <c r="E79"/>
      <c r="CC79" s="27" t="s">
        <v>8</v>
      </c>
      <c r="CE79" s="27" t="s">
        <v>8</v>
      </c>
      <c r="CF79" s="27" t="s">
        <v>7</v>
      </c>
      <c r="CG79" s="27" t="s">
        <v>8</v>
      </c>
      <c r="CH79" s="27" t="s">
        <v>7</v>
      </c>
      <c r="CK79" s="33" t="s">
        <v>8</v>
      </c>
      <c r="CL79" s="27" t="s">
        <v>7</v>
      </c>
      <c r="CM79" s="27" t="s">
        <v>8</v>
      </c>
      <c r="CN79" s="27" t="s">
        <v>7</v>
      </c>
      <c r="CO79" s="31"/>
      <c r="CS79" s="27" t="s">
        <v>8</v>
      </c>
      <c r="DB79" s="27" t="s">
        <v>7</v>
      </c>
      <c r="DC79" s="27" t="s">
        <v>8</v>
      </c>
    </row>
    <row r="80" spans="1:107" x14ac:dyDescent="0.25">
      <c r="A80" s="30">
        <v>2456.3364406221131</v>
      </c>
      <c r="C80" s="1" t="s">
        <v>14</v>
      </c>
      <c r="E80"/>
      <c r="CA80" s="27" t="s">
        <v>8</v>
      </c>
      <c r="CC80" s="27" t="s">
        <v>8</v>
      </c>
      <c r="CD80" s="27" t="s">
        <v>7</v>
      </c>
      <c r="CE80" s="27" t="s">
        <v>8</v>
      </c>
      <c r="CF80" s="27" t="s">
        <v>7</v>
      </c>
      <c r="CG80" s="27" t="s">
        <v>8</v>
      </c>
      <c r="CH80" s="27" t="s">
        <v>7</v>
      </c>
      <c r="CI80" s="27" t="s">
        <v>8</v>
      </c>
      <c r="CK80" s="27" t="s">
        <v>8</v>
      </c>
      <c r="CL80" s="27" t="s">
        <v>7</v>
      </c>
      <c r="CM80" s="27" t="s">
        <v>8</v>
      </c>
      <c r="CN80" s="27" t="s">
        <v>7</v>
      </c>
      <c r="CP80" s="31"/>
      <c r="CS80" s="27" t="s">
        <v>8</v>
      </c>
      <c r="DB80" s="27" t="s">
        <v>7</v>
      </c>
      <c r="DC80" s="27" t="s">
        <v>8</v>
      </c>
    </row>
    <row r="81" spans="1:109" x14ac:dyDescent="0.25">
      <c r="A81" s="30">
        <v>2339.3680386877268</v>
      </c>
      <c r="C81" s="1" t="str">
        <f>IF(C78=$S$1,IF(D75&lt;(C72*0.952380952380952),$S$1,IF(C75&gt;(C72*1.157625),$U$1,"")),"")</f>
        <v/>
      </c>
      <c r="D81" s="1" t="str">
        <f>IF(C78=$U$1,IF(C75&gt;(C72*1.05),$U$1,IF(D75&lt;(C72*0.863837598531476),$S$1,"")),"")</f>
        <v/>
      </c>
      <c r="E81"/>
      <c r="CA81" s="27" t="s">
        <v>8</v>
      </c>
      <c r="CB81" s="27" t="s">
        <v>7</v>
      </c>
      <c r="CC81" s="27" t="s">
        <v>8</v>
      </c>
      <c r="CD81" s="27" t="s">
        <v>7</v>
      </c>
      <c r="CE81" s="27" t="s">
        <v>8</v>
      </c>
      <c r="CF81" s="27" t="s">
        <v>7</v>
      </c>
      <c r="CG81" s="27" t="s">
        <v>8</v>
      </c>
      <c r="CH81" s="27" t="s">
        <v>7</v>
      </c>
      <c r="CI81" s="27" t="s">
        <v>8</v>
      </c>
      <c r="CJ81" s="27" t="s">
        <v>7</v>
      </c>
      <c r="CK81" s="27" t="s">
        <v>8</v>
      </c>
      <c r="CL81" s="27" t="s">
        <v>7</v>
      </c>
      <c r="CM81" s="27" t="s">
        <v>8</v>
      </c>
      <c r="CN81" s="27" t="s">
        <v>7</v>
      </c>
      <c r="CQ81" s="31" t="s">
        <v>8</v>
      </c>
      <c r="CS81" s="27" t="s">
        <v>8</v>
      </c>
      <c r="DB81" s="27" t="s">
        <v>7</v>
      </c>
      <c r="DC81" s="27" t="s">
        <v>8</v>
      </c>
      <c r="DE81" s="31"/>
    </row>
    <row r="82" spans="1:109" x14ac:dyDescent="0.25">
      <c r="A82" s="30">
        <v>2227.9695606549776</v>
      </c>
      <c r="E82"/>
      <c r="CA82" s="27" t="s">
        <v>8</v>
      </c>
      <c r="CB82" s="27" t="s">
        <v>7</v>
      </c>
      <c r="CC82" s="27" t="s">
        <v>8</v>
      </c>
      <c r="CD82" s="27" t="s">
        <v>7</v>
      </c>
      <c r="CE82" s="27" t="s">
        <v>8</v>
      </c>
      <c r="CF82" s="27" t="s">
        <v>7</v>
      </c>
      <c r="CG82" s="27" t="s">
        <v>8</v>
      </c>
      <c r="CH82" s="27" t="s">
        <v>7</v>
      </c>
      <c r="CI82" s="27" t="s">
        <v>8</v>
      </c>
      <c r="CJ82" s="27" t="s">
        <v>7</v>
      </c>
      <c r="CK82" s="27" t="s">
        <v>8</v>
      </c>
      <c r="CL82" s="27" t="s">
        <v>7</v>
      </c>
      <c r="CN82" s="27" t="s">
        <v>7</v>
      </c>
      <c r="CQ82" s="27" t="s">
        <v>8</v>
      </c>
      <c r="CR82" s="31" t="s">
        <v>7</v>
      </c>
      <c r="CS82" s="27" t="s">
        <v>8</v>
      </c>
      <c r="DB82" s="27" t="s">
        <v>7</v>
      </c>
      <c r="DD82" s="31"/>
    </row>
    <row r="83" spans="1:109" x14ac:dyDescent="0.25">
      <c r="A83" s="30">
        <v>2121.8757720523595</v>
      </c>
      <c r="E83"/>
      <c r="CA83" s="27" t="s">
        <v>8</v>
      </c>
      <c r="CB83" s="27" t="s">
        <v>7</v>
      </c>
      <c r="CC83" s="27" t="s">
        <v>8</v>
      </c>
      <c r="CD83" s="27" t="s">
        <v>7</v>
      </c>
      <c r="CF83" s="27" t="s">
        <v>7</v>
      </c>
      <c r="CG83" s="27" t="s">
        <v>8</v>
      </c>
      <c r="CH83" s="27" t="s">
        <v>7</v>
      </c>
      <c r="CJ83" s="27" t="s">
        <v>7</v>
      </c>
      <c r="CK83" s="27" t="s">
        <v>8</v>
      </c>
      <c r="CN83" s="34" t="s">
        <v>7</v>
      </c>
      <c r="CQ83" s="33" t="s">
        <v>8</v>
      </c>
      <c r="CR83" s="27" t="s">
        <v>7</v>
      </c>
      <c r="CS83" s="27" t="s">
        <v>8</v>
      </c>
      <c r="DC83" s="31"/>
    </row>
    <row r="84" spans="1:109" x14ac:dyDescent="0.25">
      <c r="A84" s="30">
        <v>2020.8340686212948</v>
      </c>
      <c r="E84"/>
      <c r="BU84" s="27" t="s">
        <v>8</v>
      </c>
      <c r="CA84" s="27" t="s">
        <v>8</v>
      </c>
      <c r="CB84" s="27" t="s">
        <v>7</v>
      </c>
      <c r="CF84" s="34" t="s">
        <v>7</v>
      </c>
      <c r="CG84" s="27" t="s">
        <v>8</v>
      </c>
      <c r="CJ84" s="27" t="s">
        <v>7</v>
      </c>
      <c r="CK84" s="27" t="s">
        <v>8</v>
      </c>
      <c r="CN84" s="27" t="s">
        <v>7</v>
      </c>
      <c r="CO84" s="27" t="s">
        <v>8</v>
      </c>
      <c r="CQ84" s="27" t="s">
        <v>8</v>
      </c>
      <c r="CR84" s="27" t="s">
        <v>7</v>
      </c>
      <c r="CS84" s="27" t="s">
        <v>8</v>
      </c>
      <c r="DB84" s="31"/>
    </row>
    <row r="85" spans="1:109" x14ac:dyDescent="0.25">
      <c r="A85" s="30">
        <v>1924.6038748774236</v>
      </c>
      <c r="E85"/>
      <c r="BU85" s="27" t="s">
        <v>8</v>
      </c>
      <c r="BV85" s="27" t="s">
        <v>7</v>
      </c>
      <c r="BY85" s="27" t="s">
        <v>8</v>
      </c>
      <c r="CA85" s="27" t="s">
        <v>8</v>
      </c>
      <c r="CF85" s="27" t="s">
        <v>7</v>
      </c>
      <c r="CJ85" s="27" t="s">
        <v>7</v>
      </c>
      <c r="CK85" s="27" t="s">
        <v>8</v>
      </c>
      <c r="CN85" s="27" t="s">
        <v>7</v>
      </c>
      <c r="CO85" s="27" t="s">
        <v>8</v>
      </c>
      <c r="CP85" s="27" t="s">
        <v>7</v>
      </c>
      <c r="CQ85" s="27" t="s">
        <v>8</v>
      </c>
      <c r="CR85" s="27" t="s">
        <v>7</v>
      </c>
      <c r="CS85" s="27" t="s">
        <v>8</v>
      </c>
      <c r="DA85" s="31"/>
    </row>
    <row r="86" spans="1:109" x14ac:dyDescent="0.25">
      <c r="A86" s="30">
        <v>1832.9560713118319</v>
      </c>
      <c r="E86"/>
      <c r="BU86" s="27" t="s">
        <v>8</v>
      </c>
      <c r="BV86" s="27" t="s">
        <v>7</v>
      </c>
      <c r="BY86" s="27" t="s">
        <v>8</v>
      </c>
      <c r="BZ86" s="27" t="s">
        <v>7</v>
      </c>
      <c r="CA86" s="27" t="s">
        <v>8</v>
      </c>
      <c r="CJ86" s="27" t="s">
        <v>7</v>
      </c>
      <c r="CK86" s="27" t="s">
        <v>8</v>
      </c>
      <c r="CN86" s="27" t="s">
        <v>7</v>
      </c>
      <c r="CO86" s="27" t="s">
        <v>8</v>
      </c>
      <c r="CP86" s="27" t="s">
        <v>7</v>
      </c>
      <c r="CQ86" s="27" t="s">
        <v>8</v>
      </c>
      <c r="CR86" s="18" t="s">
        <v>7</v>
      </c>
      <c r="CS86" s="27" t="s">
        <v>8</v>
      </c>
      <c r="CZ86" s="31"/>
    </row>
    <row r="87" spans="1:109" x14ac:dyDescent="0.25">
      <c r="A87" s="30">
        <v>1745.6724488684113</v>
      </c>
      <c r="E87"/>
      <c r="BS87" s="27" t="s">
        <v>8</v>
      </c>
      <c r="BU87" s="27" t="s">
        <v>8</v>
      </c>
      <c r="BV87" s="27" t="s">
        <v>7</v>
      </c>
      <c r="BY87" s="33" t="s">
        <v>8</v>
      </c>
      <c r="BZ87" s="27" t="s">
        <v>7</v>
      </c>
      <c r="CA87" s="27" t="s">
        <v>8</v>
      </c>
      <c r="CJ87" s="27" t="s">
        <v>7</v>
      </c>
      <c r="CN87" s="32" t="s">
        <v>7</v>
      </c>
      <c r="CP87" s="32" t="s">
        <v>7</v>
      </c>
      <c r="CR87" s="32" t="s">
        <v>7</v>
      </c>
      <c r="CY87" s="31"/>
    </row>
    <row r="88" spans="1:109" x14ac:dyDescent="0.25">
      <c r="A88" s="30">
        <v>1662.5451893984869</v>
      </c>
      <c r="E88"/>
      <c r="BS88" s="27" t="s">
        <v>8</v>
      </c>
      <c r="BT88" s="27" t="s">
        <v>7</v>
      </c>
      <c r="BU88" s="27" t="s">
        <v>8</v>
      </c>
      <c r="BV88" s="27" t="s">
        <v>7</v>
      </c>
      <c r="BW88" s="27" t="s">
        <v>8</v>
      </c>
      <c r="BY88" s="27" t="s">
        <v>8</v>
      </c>
      <c r="BZ88" s="27" t="s">
        <v>7</v>
      </c>
      <c r="CA88" s="27" t="s">
        <v>8</v>
      </c>
      <c r="CX88" s="31"/>
    </row>
    <row r="89" spans="1:109" x14ac:dyDescent="0.25">
      <c r="A89" s="30">
        <v>1583.3763708557017</v>
      </c>
      <c r="E89"/>
      <c r="BS89" s="27" t="s">
        <v>8</v>
      </c>
      <c r="BT89" s="27" t="s">
        <v>7</v>
      </c>
      <c r="BU89" s="27" t="s">
        <v>8</v>
      </c>
      <c r="BV89" s="27" t="s">
        <v>7</v>
      </c>
      <c r="BW89" s="27" t="s">
        <v>8</v>
      </c>
      <c r="BX89" s="27" t="s">
        <v>7</v>
      </c>
      <c r="BY89" s="27" t="s">
        <v>8</v>
      </c>
      <c r="BZ89" s="27" t="s">
        <v>7</v>
      </c>
      <c r="CW89" s="31"/>
    </row>
    <row r="90" spans="1:109" x14ac:dyDescent="0.25">
      <c r="A90" s="30">
        <v>1507.9774960530492</v>
      </c>
      <c r="E90"/>
      <c r="BS90" s="27" t="s">
        <v>8</v>
      </c>
      <c r="BT90" s="27" t="s">
        <v>7</v>
      </c>
      <c r="BV90" s="27" t="s">
        <v>7</v>
      </c>
      <c r="BW90" s="27" t="s">
        <v>8</v>
      </c>
      <c r="BX90" s="27" t="s">
        <v>7</v>
      </c>
      <c r="BY90" s="27" t="s">
        <v>8</v>
      </c>
      <c r="CV90" s="31"/>
    </row>
    <row r="91" spans="1:109" x14ac:dyDescent="0.25">
      <c r="A91" s="30">
        <v>1436.1690438600467</v>
      </c>
      <c r="E91"/>
      <c r="BO91" s="32" t="s">
        <v>8</v>
      </c>
      <c r="BQ91" s="32" t="s">
        <v>8</v>
      </c>
      <c r="BS91" s="27" t="s">
        <v>8</v>
      </c>
      <c r="BV91" s="34" t="s">
        <v>7</v>
      </c>
      <c r="BW91" s="27" t="s">
        <v>8</v>
      </c>
      <c r="BX91" s="27" t="s">
        <v>7</v>
      </c>
      <c r="BY91" s="27" t="s">
        <v>8</v>
      </c>
      <c r="CU91" s="31"/>
    </row>
    <row r="92" spans="1:109" x14ac:dyDescent="0.25">
      <c r="A92" s="30">
        <v>1367.780041771473</v>
      </c>
      <c r="E92"/>
      <c r="BO92" s="27" t="s">
        <v>8</v>
      </c>
      <c r="BP92" s="27" t="s">
        <v>7</v>
      </c>
      <c r="BQ92" s="27" t="s">
        <v>8</v>
      </c>
      <c r="BR92" s="27" t="s">
        <v>7</v>
      </c>
      <c r="BS92" s="27" t="s">
        <v>8</v>
      </c>
      <c r="BV92" s="27" t="s">
        <v>7</v>
      </c>
      <c r="BX92" s="27" t="s">
        <v>7</v>
      </c>
      <c r="BY92" s="27" t="s">
        <v>8</v>
      </c>
      <c r="CT92" s="31"/>
    </row>
    <row r="93" spans="1:109" x14ac:dyDescent="0.25">
      <c r="A93" s="30">
        <v>1302.6476588299743</v>
      </c>
      <c r="E93"/>
      <c r="BK93" s="27" t="s">
        <v>8</v>
      </c>
      <c r="BO93" s="33" t="s">
        <v>8</v>
      </c>
      <c r="BP93" s="27" t="s">
        <v>7</v>
      </c>
      <c r="BQ93" s="27" t="s">
        <v>8</v>
      </c>
      <c r="BR93" s="27" t="s">
        <v>7</v>
      </c>
      <c r="BS93" s="27" t="s">
        <v>8</v>
      </c>
      <c r="BX93" s="27" t="s">
        <v>7</v>
      </c>
      <c r="CS93" s="31"/>
    </row>
    <row r="94" spans="1:109" x14ac:dyDescent="0.25">
      <c r="A94" s="30">
        <v>1240.6168179333088</v>
      </c>
      <c r="E94"/>
      <c r="BI94" s="27" t="s">
        <v>8</v>
      </c>
      <c r="BK94" s="27" t="s">
        <v>8</v>
      </c>
      <c r="BL94" s="27" t="s">
        <v>7</v>
      </c>
      <c r="BM94" s="27" t="s">
        <v>8</v>
      </c>
      <c r="BO94" s="27" t="s">
        <v>8</v>
      </c>
      <c r="BP94" s="27" t="s">
        <v>7</v>
      </c>
      <c r="BQ94" s="27" t="s">
        <v>8</v>
      </c>
      <c r="BR94" s="27" t="s">
        <v>7</v>
      </c>
      <c r="CR94" s="31"/>
    </row>
    <row r="95" spans="1:109" x14ac:dyDescent="0.25">
      <c r="A95" s="30">
        <v>1181.5398266031511</v>
      </c>
      <c r="E95"/>
      <c r="BI95" s="27" t="s">
        <v>8</v>
      </c>
      <c r="BJ95" s="27" t="s">
        <v>7</v>
      </c>
      <c r="BK95" s="27" t="s">
        <v>8</v>
      </c>
      <c r="BL95" s="27" t="s">
        <v>7</v>
      </c>
      <c r="BM95" s="27" t="s">
        <v>8</v>
      </c>
      <c r="BN95" s="27" t="s">
        <v>7</v>
      </c>
      <c r="BO95" s="27" t="s">
        <v>8</v>
      </c>
      <c r="BP95" s="27" t="s">
        <v>7</v>
      </c>
      <c r="BQ95" s="27" t="s">
        <v>8</v>
      </c>
      <c r="CQ95" s="31"/>
    </row>
    <row r="96" spans="1:109" x14ac:dyDescent="0.25">
      <c r="A96" s="30">
        <v>1125.2760253363344</v>
      </c>
      <c r="C96" s="1" t="s">
        <v>15</v>
      </c>
      <c r="E96"/>
      <c r="BI96" s="27" t="s">
        <v>8</v>
      </c>
      <c r="BJ96" s="27" t="s">
        <v>7</v>
      </c>
      <c r="BK96" s="27" t="s">
        <v>8</v>
      </c>
      <c r="BL96" s="27" t="s">
        <v>7</v>
      </c>
      <c r="BM96" s="27" t="s">
        <v>8</v>
      </c>
      <c r="BN96" s="27" t="s">
        <v>7</v>
      </c>
      <c r="BO96" s="27" t="s">
        <v>8</v>
      </c>
      <c r="BP96" s="27" t="s">
        <v>7</v>
      </c>
      <c r="BQ96" s="27" t="s">
        <v>8</v>
      </c>
      <c r="CP96" s="31"/>
    </row>
    <row r="97" spans="1:93" x14ac:dyDescent="0.25">
      <c r="A97" s="30">
        <v>1071.6914527012709</v>
      </c>
      <c r="C97" s="7">
        <v>0.11686133436193799</v>
      </c>
      <c r="D97"/>
      <c r="E97"/>
      <c r="BI97" s="27" t="s">
        <v>8</v>
      </c>
      <c r="BJ97" s="27" t="s">
        <v>7</v>
      </c>
      <c r="BL97" s="27" t="s">
        <v>7</v>
      </c>
      <c r="BM97" s="27" t="s">
        <v>8</v>
      </c>
      <c r="BN97" s="32" t="s">
        <v>7</v>
      </c>
      <c r="BP97" s="32" t="s">
        <v>7</v>
      </c>
      <c r="CO97" s="31"/>
    </row>
    <row r="98" spans="1:93" x14ac:dyDescent="0.25">
      <c r="A98" s="30">
        <v>1020.6585263821628</v>
      </c>
      <c r="E98"/>
      <c r="BI98" s="27" t="s">
        <v>8</v>
      </c>
      <c r="BL98" s="34" t="s">
        <v>7</v>
      </c>
      <c r="BM98" s="27" t="s">
        <v>8</v>
      </c>
      <c r="CN98" s="31"/>
    </row>
    <row r="99" spans="1:93" x14ac:dyDescent="0.25">
      <c r="A99" s="30">
        <v>972.05573941158355</v>
      </c>
      <c r="C99" s="1" t="s">
        <v>11</v>
      </c>
      <c r="D99" s="1" t="s">
        <v>12</v>
      </c>
      <c r="E99"/>
      <c r="BI99" s="27" t="s">
        <v>8</v>
      </c>
      <c r="BL99" s="27" t="s">
        <v>7</v>
      </c>
      <c r="BM99" s="27" t="s">
        <v>8</v>
      </c>
      <c r="CM99" s="31"/>
    </row>
    <row r="100" spans="1:93" x14ac:dyDescent="0.25">
      <c r="A100" s="30">
        <v>925.76737086817479</v>
      </c>
      <c r="C100"/>
      <c r="D100"/>
      <c r="E100"/>
      <c r="BI100" s="27" t="s">
        <v>8</v>
      </c>
      <c r="BL100" s="27" t="s">
        <v>7</v>
      </c>
      <c r="CL100" s="31"/>
    </row>
    <row r="101" spans="1:93" x14ac:dyDescent="0.25">
      <c r="A101" s="30">
        <v>881.68321035064264</v>
      </c>
      <c r="E101"/>
      <c r="BI101" s="27" t="s">
        <v>8</v>
      </c>
      <c r="CK101" s="31"/>
    </row>
    <row r="102" spans="1:93" x14ac:dyDescent="0.25">
      <c r="A102" s="30">
        <v>839.69829557204059</v>
      </c>
      <c r="C102" s="1" t="s">
        <v>13</v>
      </c>
      <c r="E102"/>
      <c r="BI102" s="27" t="s">
        <v>8</v>
      </c>
      <c r="CJ102" s="31"/>
    </row>
    <row r="103" spans="1:93" x14ac:dyDescent="0.25">
      <c r="A103" s="30">
        <v>799.71266244956246</v>
      </c>
      <c r="C103" s="1">
        <f>C92</f>
        <v>0</v>
      </c>
      <c r="E103"/>
      <c r="BI103" s="27" t="s">
        <v>8</v>
      </c>
      <c r="CI103" s="31"/>
    </row>
    <row r="104" spans="1:93" x14ac:dyDescent="0.25">
      <c r="A104" s="30">
        <v>761.63110709482135</v>
      </c>
      <c r="C104"/>
      <c r="E104"/>
      <c r="BI104" s="27" t="s">
        <v>8</v>
      </c>
      <c r="CH104" s="31"/>
    </row>
    <row r="105" spans="1:93" x14ac:dyDescent="0.25">
      <c r="A105" s="30">
        <v>725.36295913792503</v>
      </c>
      <c r="C105" s="1" t="s">
        <v>14</v>
      </c>
      <c r="E105"/>
      <c r="BI105" s="27" t="s">
        <v>8</v>
      </c>
      <c r="CG105" s="31"/>
    </row>
    <row r="106" spans="1:93" x14ac:dyDescent="0.25">
      <c r="A106" s="30">
        <v>690.82186584564283</v>
      </c>
      <c r="C106" s="1" t="str">
        <f>IF(C103=$S$1,IF(D100&lt;(C97*0.952380952380952),$S$1,IF(C100&gt;(C97*1.157625),$U$1,"")),"")</f>
        <v/>
      </c>
      <c r="D106" s="1" t="str">
        <f>IF(C103=$U$1,IF(C100&gt;(C97*1.05),$U$1,IF(D100&lt;(C97*0.863837598531476),$S$1,"")),"")</f>
        <v/>
      </c>
      <c r="E106"/>
      <c r="BI106" s="27" t="s">
        <v>8</v>
      </c>
      <c r="CF106" s="31"/>
    </row>
    <row r="107" spans="1:93" x14ac:dyDescent="0.25">
      <c r="A107" s="30">
        <v>657.92558651965976</v>
      </c>
      <c r="E107"/>
      <c r="BG107" s="27" t="s">
        <v>8</v>
      </c>
      <c r="BI107" s="27" t="s">
        <v>8</v>
      </c>
      <c r="CE107" s="31"/>
    </row>
    <row r="108" spans="1:93" x14ac:dyDescent="0.25">
      <c r="A108" s="30">
        <v>626.59579668539027</v>
      </c>
      <c r="E108"/>
      <c r="BE108" s="27" t="s">
        <v>8</v>
      </c>
      <c r="BG108" s="27" t="s">
        <v>8</v>
      </c>
      <c r="BH108" s="27" t="s">
        <v>7</v>
      </c>
      <c r="BI108" s="27" t="s">
        <v>8</v>
      </c>
      <c r="CD108" s="31"/>
    </row>
    <row r="109" spans="1:93" x14ac:dyDescent="0.25">
      <c r="A109" s="30">
        <v>596.75790160513361</v>
      </c>
      <c r="E109"/>
      <c r="BC109" s="27" t="s">
        <v>8</v>
      </c>
      <c r="BE109" s="27" t="s">
        <v>8</v>
      </c>
      <c r="BF109" s="27" t="s">
        <v>7</v>
      </c>
      <c r="BG109" s="27" t="s">
        <v>8</v>
      </c>
      <c r="BH109" s="27" t="s">
        <v>7</v>
      </c>
      <c r="BI109" s="27" t="s">
        <v>8</v>
      </c>
      <c r="CC109" s="31"/>
    </row>
    <row r="110" spans="1:93" x14ac:dyDescent="0.25">
      <c r="A110" s="30">
        <v>568.34085867155579</v>
      </c>
      <c r="E110"/>
      <c r="BC110" s="27" t="s">
        <v>8</v>
      </c>
      <c r="BD110" s="27" t="s">
        <v>7</v>
      </c>
      <c r="BE110" s="27" t="s">
        <v>8</v>
      </c>
      <c r="BF110" s="27" t="s">
        <v>7</v>
      </c>
      <c r="BG110" s="27" t="s">
        <v>8</v>
      </c>
      <c r="BH110" s="27" t="s">
        <v>7</v>
      </c>
      <c r="CB110" s="31"/>
    </row>
    <row r="111" spans="1:93" x14ac:dyDescent="0.25">
      <c r="A111" s="30">
        <v>541.27700825862451</v>
      </c>
      <c r="C111" s="1" t="str">
        <f>ADDRESS(C121-1,1,1,1)</f>
        <v>$A$77</v>
      </c>
      <c r="D111" s="1" t="str">
        <f>ADDRESS(C121-1,D121,1,1)</f>
        <v>$DC$77</v>
      </c>
      <c r="E111"/>
      <c r="BC111" s="27" t="s">
        <v>8</v>
      </c>
      <c r="BD111" s="27" t="s">
        <v>7</v>
      </c>
      <c r="BE111" s="27" t="s">
        <v>8</v>
      </c>
      <c r="BF111" s="27" t="s">
        <v>7</v>
      </c>
      <c r="CA111" s="31"/>
    </row>
    <row r="112" spans="1:93" x14ac:dyDescent="0.25">
      <c r="A112" s="30">
        <v>515.50191262726139</v>
      </c>
      <c r="C112" s="1" t="str">
        <f>ADDRESS(C121,1,1,1)</f>
        <v>$A$78</v>
      </c>
      <c r="D112" s="1" t="str">
        <f>ADDRESS(C121,D121-1,1,1)</f>
        <v>$DB$78</v>
      </c>
      <c r="E112"/>
      <c r="BC112" s="27" t="s">
        <v>8</v>
      </c>
      <c r="BD112" s="27" t="s">
        <v>7</v>
      </c>
      <c r="BE112" s="27" t="s">
        <v>8</v>
      </c>
      <c r="BZ112" s="31"/>
    </row>
    <row r="113" spans="1:77" x14ac:dyDescent="0.25">
      <c r="A113" s="30">
        <v>490.95420250215363</v>
      </c>
      <c r="C113" s="1" t="str">
        <f>ADDRESS(C121+1,1,1,1)</f>
        <v>$A$79</v>
      </c>
      <c r="D113" s="1" t="str">
        <f>ADDRESS(C121-1,D121+1,1,1)</f>
        <v>$DD$77</v>
      </c>
      <c r="BC113" s="27" t="s">
        <v>8</v>
      </c>
      <c r="BD113" s="27" t="s">
        <v>7</v>
      </c>
      <c r="BY113" s="31"/>
    </row>
    <row r="114" spans="1:77" x14ac:dyDescent="0.25">
      <c r="A114" s="30">
        <v>467.57543095443202</v>
      </c>
      <c r="C114" s="1" t="str">
        <f>ADDRESS(C121,D121,1,1)</f>
        <v>$DC$78</v>
      </c>
      <c r="D114" s="1" t="str">
        <f>ADDRESS(C121+1,D121+1,1,1)</f>
        <v>$DD$79</v>
      </c>
      <c r="AY114" s="27" t="s">
        <v>8</v>
      </c>
      <c r="BC114" s="27" t="s">
        <v>8</v>
      </c>
      <c r="BX114" s="31"/>
    </row>
    <row r="115" spans="1:77" x14ac:dyDescent="0.25">
      <c r="A115" s="30">
        <v>445.30993424231622</v>
      </c>
      <c r="C115" s="1" t="str">
        <f>ADDRESS(C121+1,D121,1,1)</f>
        <v>$DC$79</v>
      </c>
      <c r="AW115" s="27" t="s">
        <v>8</v>
      </c>
      <c r="AY115" s="27" t="s">
        <v>8</v>
      </c>
      <c r="AZ115" s="27" t="s">
        <v>7</v>
      </c>
      <c r="BC115" s="27" t="s">
        <v>8</v>
      </c>
      <c r="BW115" s="31"/>
    </row>
    <row r="116" spans="1:77" x14ac:dyDescent="0.25">
      <c r="A116" s="30">
        <v>424.10469927839637</v>
      </c>
      <c r="C116" s="1">
        <f>C117-1</f>
        <v>77</v>
      </c>
      <c r="AW116" s="27" t="s">
        <v>8</v>
      </c>
      <c r="AX116" s="27" t="s">
        <v>7</v>
      </c>
      <c r="AY116" s="27" t="s">
        <v>8</v>
      </c>
      <c r="AZ116" s="27" t="s">
        <v>7</v>
      </c>
      <c r="BC116" s="27" t="s">
        <v>8</v>
      </c>
      <c r="BV116" s="31"/>
    </row>
    <row r="117" spans="1:77" x14ac:dyDescent="0.25">
      <c r="A117" s="30">
        <v>403.9092374079965</v>
      </c>
      <c r="C117" s="1">
        <f>C121</f>
        <v>78</v>
      </c>
      <c r="D117" s="1">
        <f>D121</f>
        <v>107</v>
      </c>
      <c r="AW117" s="27" t="s">
        <v>8</v>
      </c>
      <c r="AX117" s="27" t="s">
        <v>7</v>
      </c>
      <c r="AY117" s="27" t="s">
        <v>8</v>
      </c>
      <c r="AZ117" s="27" t="s">
        <v>7</v>
      </c>
      <c r="BC117" s="33" t="s">
        <v>8</v>
      </c>
      <c r="BU117" s="31"/>
    </row>
    <row r="118" spans="1:77" x14ac:dyDescent="0.25">
      <c r="A118" s="30">
        <v>384.6754641980919</v>
      </c>
      <c r="C118" s="1">
        <f>C117+1</f>
        <v>79</v>
      </c>
      <c r="D118" s="1">
        <f>D117+1</f>
        <v>108</v>
      </c>
      <c r="AW118" s="27" t="s">
        <v>8</v>
      </c>
      <c r="AX118" s="27" t="s">
        <v>7</v>
      </c>
      <c r="AZ118" s="27" t="s">
        <v>7</v>
      </c>
      <c r="BA118" s="27" t="s">
        <v>8</v>
      </c>
      <c r="BC118" s="27" t="s">
        <v>8</v>
      </c>
      <c r="BT118" s="31"/>
    </row>
    <row r="119" spans="1:77" x14ac:dyDescent="0.25">
      <c r="A119" s="30">
        <v>366.35758495056371</v>
      </c>
      <c r="Y119" s="27" t="s">
        <v>8</v>
      </c>
      <c r="AW119" s="27" t="s">
        <v>8</v>
      </c>
      <c r="AZ119" s="27" t="s">
        <v>7</v>
      </c>
      <c r="BA119" s="27" t="s">
        <v>8</v>
      </c>
      <c r="BB119" s="27" t="s">
        <v>7</v>
      </c>
      <c r="BC119" s="27" t="s">
        <v>8</v>
      </c>
      <c r="BS119" s="31"/>
    </row>
    <row r="120" spans="1:77" x14ac:dyDescent="0.25">
      <c r="A120" s="30">
        <v>348.91198566720351</v>
      </c>
      <c r="C120" s="1" t="s">
        <v>9</v>
      </c>
      <c r="Y120" s="27" t="s">
        <v>8</v>
      </c>
      <c r="Z120" s="27" t="s">
        <v>7</v>
      </c>
      <c r="AW120" s="27" t="s">
        <v>8</v>
      </c>
      <c r="AZ120" s="27" t="s">
        <v>7</v>
      </c>
      <c r="BA120" s="27" t="s">
        <v>8</v>
      </c>
      <c r="BB120" s="27" t="s">
        <v>7</v>
      </c>
      <c r="BC120" s="27" t="s">
        <v>8</v>
      </c>
      <c r="BR120" s="31"/>
    </row>
    <row r="121" spans="1:77" x14ac:dyDescent="0.25">
      <c r="A121" s="30">
        <v>332.29712920686046</v>
      </c>
      <c r="C121" s="18">
        <v>78</v>
      </c>
      <c r="D121" s="19">
        <v>107</v>
      </c>
      <c r="E121" s="19"/>
      <c r="Y121" s="27" t="s">
        <v>8</v>
      </c>
      <c r="Z121" s="27" t="s">
        <v>7</v>
      </c>
      <c r="AW121" s="27" t="s">
        <v>8</v>
      </c>
      <c r="AZ121" s="27" t="s">
        <v>7</v>
      </c>
      <c r="BA121" s="27" t="s">
        <v>8</v>
      </c>
      <c r="BB121" s="27" t="s">
        <v>7</v>
      </c>
      <c r="BC121" s="27" t="s">
        <v>8</v>
      </c>
      <c r="BQ121" s="31"/>
    </row>
    <row r="122" spans="1:77" x14ac:dyDescent="0.25">
      <c r="A122" s="30">
        <v>316.47345638748612</v>
      </c>
      <c r="C122" s="1" t="str">
        <f>INDEX(1:1048576,C117,D117)</f>
        <v>X</v>
      </c>
      <c r="Y122" s="27" t="s">
        <v>8</v>
      </c>
      <c r="Z122" s="27" t="s">
        <v>7</v>
      </c>
      <c r="AA122" s="27" t="s">
        <v>8</v>
      </c>
      <c r="AW122" s="27" t="s">
        <v>8</v>
      </c>
      <c r="AZ122" s="32" t="s">
        <v>7</v>
      </c>
      <c r="BB122" s="32" t="s">
        <v>7</v>
      </c>
      <c r="BP122" s="31"/>
    </row>
    <row r="123" spans="1:77" x14ac:dyDescent="0.25">
      <c r="A123" s="30">
        <v>301.40329179760585</v>
      </c>
      <c r="C123" s="1" t="str">
        <f>"R"&amp;C121</f>
        <v>R78</v>
      </c>
      <c r="D123" s="1" t="str">
        <f>"C"&amp;D121</f>
        <v>C107</v>
      </c>
      <c r="Y123" s="27" t="s">
        <v>8</v>
      </c>
      <c r="Z123" s="27" t="s">
        <v>7</v>
      </c>
      <c r="AA123" s="27" t="s">
        <v>8</v>
      </c>
      <c r="AB123" s="27" t="s">
        <v>7</v>
      </c>
      <c r="AW123" s="27" t="s">
        <v>8</v>
      </c>
      <c r="BO123" s="31"/>
    </row>
    <row r="124" spans="1:77" x14ac:dyDescent="0.25">
      <c r="A124" s="30">
        <v>287.05075409295796</v>
      </c>
      <c r="C124" s="1">
        <f>SUM(C130:D130)</f>
        <v>0</v>
      </c>
      <c r="D124" s="1">
        <f>IF(C124=0,0,1)</f>
        <v>0</v>
      </c>
      <c r="W124" s="27" t="s">
        <v>8</v>
      </c>
      <c r="Y124" s="27" t="s">
        <v>8</v>
      </c>
      <c r="Z124" s="27" t="s">
        <v>7</v>
      </c>
      <c r="AA124" s="27" t="s">
        <v>8</v>
      </c>
      <c r="AB124" s="27" t="s">
        <v>7</v>
      </c>
      <c r="AM124" s="27" t="s">
        <v>8</v>
      </c>
      <c r="AW124" s="27" t="s">
        <v>8</v>
      </c>
      <c r="BN124" s="31"/>
    </row>
    <row r="125" spans="1:77" x14ac:dyDescent="0.25">
      <c r="A125" s="30">
        <v>273.38167056472184</v>
      </c>
      <c r="U125" s="27" t="s">
        <v>8</v>
      </c>
      <c r="W125" s="27" t="s">
        <v>8</v>
      </c>
      <c r="X125" s="27" t="s">
        <v>7</v>
      </c>
      <c r="Y125" s="27" t="s">
        <v>8</v>
      </c>
      <c r="Z125" s="27" t="s">
        <v>7</v>
      </c>
      <c r="AB125" s="27" t="s">
        <v>7</v>
      </c>
      <c r="AM125" s="27" t="s">
        <v>8</v>
      </c>
      <c r="AN125" s="27" t="s">
        <v>7</v>
      </c>
      <c r="AW125" s="27" t="s">
        <v>8</v>
      </c>
      <c r="BM125" s="31"/>
    </row>
    <row r="126" spans="1:77" x14ac:dyDescent="0.25">
      <c r="A126" s="30">
        <v>260.36349577592557</v>
      </c>
      <c r="C126" s="1" t="s">
        <v>10</v>
      </c>
      <c r="U126" s="27" t="s">
        <v>8</v>
      </c>
      <c r="V126" s="27" t="s">
        <v>7</v>
      </c>
      <c r="W126" s="27" t="s">
        <v>8</v>
      </c>
      <c r="X126" s="27" t="s">
        <v>7</v>
      </c>
      <c r="Y126" s="27" t="s">
        <v>8</v>
      </c>
      <c r="AB126" s="27" t="s">
        <v>7</v>
      </c>
      <c r="AM126" s="27" t="s">
        <v>8</v>
      </c>
      <c r="AN126" s="27" t="s">
        <v>7</v>
      </c>
      <c r="AW126" s="27" t="s">
        <v>8</v>
      </c>
      <c r="BL126" s="31"/>
    </row>
    <row r="127" spans="1:77" x14ac:dyDescent="0.25">
      <c r="A127" s="30">
        <v>247.96523407231004</v>
      </c>
      <c r="C127" s="30">
        <v>2708.1109257858798</v>
      </c>
      <c r="D127"/>
      <c r="U127" s="27" t="s">
        <v>8</v>
      </c>
      <c r="V127" s="27" t="s">
        <v>7</v>
      </c>
      <c r="W127" s="27" t="s">
        <v>8</v>
      </c>
      <c r="X127" s="27" t="s">
        <v>7</v>
      </c>
      <c r="Y127" s="27" t="s">
        <v>8</v>
      </c>
      <c r="AB127" s="27" t="s">
        <v>7</v>
      </c>
      <c r="AM127" s="27" t="s">
        <v>8</v>
      </c>
      <c r="AN127" s="27" t="s">
        <v>7</v>
      </c>
      <c r="AO127" s="27" t="s">
        <v>8</v>
      </c>
      <c r="AW127" s="27" t="s">
        <v>8</v>
      </c>
      <c r="BK127" s="31"/>
    </row>
    <row r="128" spans="1:77" x14ac:dyDescent="0.25">
      <c r="A128" s="30">
        <v>236.15736578315241</v>
      </c>
      <c r="U128" s="27" t="s">
        <v>8</v>
      </c>
      <c r="V128" s="27" t="s">
        <v>7</v>
      </c>
      <c r="W128" s="27" t="s">
        <v>8</v>
      </c>
      <c r="X128" s="27" t="s">
        <v>7</v>
      </c>
      <c r="AB128" s="27" t="s">
        <v>7</v>
      </c>
      <c r="AC128" s="27" t="s">
        <v>8</v>
      </c>
      <c r="AM128" s="27" t="s">
        <v>8</v>
      </c>
      <c r="AN128" s="27" t="s">
        <v>7</v>
      </c>
      <c r="AO128" s="27" t="s">
        <v>8</v>
      </c>
      <c r="AP128" s="27" t="s">
        <v>7</v>
      </c>
      <c r="AW128" s="27" t="s">
        <v>8</v>
      </c>
      <c r="BJ128" s="31"/>
    </row>
    <row r="129" spans="1:61" x14ac:dyDescent="0.25">
      <c r="A129" s="30">
        <v>224.91177693633563</v>
      </c>
      <c r="C129" s="1" t="s">
        <v>11</v>
      </c>
      <c r="D129" s="1" t="s">
        <v>12</v>
      </c>
      <c r="E129"/>
      <c r="U129" s="27" t="s">
        <v>8</v>
      </c>
      <c r="V129" s="27" t="s">
        <v>7</v>
      </c>
      <c r="AB129" s="27" t="s">
        <v>7</v>
      </c>
      <c r="AC129" s="27" t="s">
        <v>8</v>
      </c>
      <c r="AD129" s="27" t="s">
        <v>7</v>
      </c>
      <c r="AM129" s="27" t="s">
        <v>8</v>
      </c>
      <c r="AN129" s="27" t="s">
        <v>7</v>
      </c>
      <c r="AO129" s="27" t="s">
        <v>8</v>
      </c>
      <c r="AP129" s="27" t="s">
        <v>7</v>
      </c>
      <c r="AU129" s="27" t="s">
        <v>8</v>
      </c>
      <c r="AW129" s="27" t="s">
        <v>8</v>
      </c>
      <c r="BI129" s="31"/>
    </row>
    <row r="130" spans="1:61" x14ac:dyDescent="0.25">
      <c r="A130" s="30">
        <v>214.20169232031964</v>
      </c>
      <c r="C130" s="6"/>
      <c r="D130" s="6"/>
      <c r="E130" t="s">
        <v>8</v>
      </c>
      <c r="U130" s="27" t="s">
        <v>8</v>
      </c>
      <c r="AB130" s="27" t="s">
        <v>7</v>
      </c>
      <c r="AC130" s="27" t="s">
        <v>8</v>
      </c>
      <c r="AD130" s="27" t="s">
        <v>7</v>
      </c>
      <c r="AE130" s="27" t="s">
        <v>8</v>
      </c>
      <c r="AM130" s="27" t="s">
        <v>8</v>
      </c>
      <c r="AN130" s="27" t="s">
        <v>7</v>
      </c>
      <c r="AP130" s="27" t="s">
        <v>7</v>
      </c>
      <c r="AU130" s="27" t="s">
        <v>8</v>
      </c>
      <c r="AV130" s="27" t="s">
        <v>7</v>
      </c>
      <c r="AW130" s="27" t="s">
        <v>8</v>
      </c>
      <c r="BH130" s="31"/>
    </row>
    <row r="131" spans="1:61" x14ac:dyDescent="0.25">
      <c r="A131" s="30">
        <v>204.00161173363773</v>
      </c>
      <c r="E131" t="s">
        <v>8</v>
      </c>
      <c r="F131" s="27" t="s">
        <v>7</v>
      </c>
      <c r="U131" s="27" t="s">
        <v>8</v>
      </c>
      <c r="AB131" s="27" t="s">
        <v>7</v>
      </c>
      <c r="AC131" s="27" t="s">
        <v>8</v>
      </c>
      <c r="AD131" s="27" t="s">
        <v>7</v>
      </c>
      <c r="AE131" s="27" t="s">
        <v>8</v>
      </c>
      <c r="AF131" s="27" t="s">
        <v>7</v>
      </c>
      <c r="AM131" s="27" t="s">
        <v>8</v>
      </c>
      <c r="AP131" s="27" t="s">
        <v>7</v>
      </c>
      <c r="AU131" s="27" t="s">
        <v>8</v>
      </c>
      <c r="AV131" s="27" t="s">
        <v>7</v>
      </c>
      <c r="AW131" s="27" t="s">
        <v>8</v>
      </c>
      <c r="BG131" s="31"/>
    </row>
    <row r="132" spans="1:61" x14ac:dyDescent="0.25">
      <c r="A132" s="30">
        <v>194.28724927013116</v>
      </c>
      <c r="C132" s="1" t="s">
        <v>13</v>
      </c>
      <c r="E132" t="s">
        <v>8</v>
      </c>
      <c r="F132" s="27" t="s">
        <v>7</v>
      </c>
      <c r="U132" s="27" t="s">
        <v>8</v>
      </c>
      <c r="AB132" s="27" t="s">
        <v>7</v>
      </c>
      <c r="AD132" s="27" t="s">
        <v>7</v>
      </c>
      <c r="AE132" s="27" t="s">
        <v>8</v>
      </c>
      <c r="AF132" s="27" t="s">
        <v>7</v>
      </c>
      <c r="AG132" s="27" t="s">
        <v>8</v>
      </c>
      <c r="AI132" s="27" t="s">
        <v>8</v>
      </c>
      <c r="AM132" s="27" t="s">
        <v>8</v>
      </c>
      <c r="AP132" s="27" t="s">
        <v>7</v>
      </c>
      <c r="AU132" s="27" t="s">
        <v>8</v>
      </c>
      <c r="AV132" s="27" t="s">
        <v>7</v>
      </c>
      <c r="AW132" s="27" t="s">
        <v>8</v>
      </c>
      <c r="BF132" s="31"/>
    </row>
    <row r="133" spans="1:61" x14ac:dyDescent="0.25">
      <c r="A133" s="30">
        <v>185.03547549536299</v>
      </c>
      <c r="C133" s="1" t="str">
        <f>C122</f>
        <v>X</v>
      </c>
      <c r="E133" t="s">
        <v>8</v>
      </c>
      <c r="F133" s="27" t="s">
        <v>7</v>
      </c>
      <c r="S133" s="27" t="s">
        <v>8</v>
      </c>
      <c r="U133" s="27" t="s">
        <v>8</v>
      </c>
      <c r="AD133" s="27" t="s">
        <v>7</v>
      </c>
      <c r="AE133" s="27" t="s">
        <v>8</v>
      </c>
      <c r="AF133" s="27" t="s">
        <v>7</v>
      </c>
      <c r="AG133" s="27" t="s">
        <v>8</v>
      </c>
      <c r="AH133" s="27" t="s">
        <v>7</v>
      </c>
      <c r="AI133" s="27" t="s">
        <v>8</v>
      </c>
      <c r="AJ133" s="27" t="s">
        <v>7</v>
      </c>
      <c r="AM133" s="27" t="s">
        <v>8</v>
      </c>
      <c r="AP133" s="27" t="s">
        <v>7</v>
      </c>
      <c r="AU133" s="27" t="s">
        <v>8</v>
      </c>
      <c r="AV133" s="27" t="s">
        <v>7</v>
      </c>
      <c r="AW133" s="27" t="s">
        <v>8</v>
      </c>
      <c r="BE133" s="31"/>
    </row>
    <row r="134" spans="1:61" x14ac:dyDescent="0.25">
      <c r="A134" s="30">
        <v>176.22426237653616</v>
      </c>
      <c r="C134"/>
      <c r="E134" t="s">
        <v>8</v>
      </c>
      <c r="F134" s="27" t="s">
        <v>7</v>
      </c>
      <c r="S134" s="27" t="s">
        <v>8</v>
      </c>
      <c r="T134" s="27" t="s">
        <v>7</v>
      </c>
      <c r="U134" s="27" t="s">
        <v>8</v>
      </c>
      <c r="AD134" s="27" t="s">
        <v>7</v>
      </c>
      <c r="AE134" s="27" t="s">
        <v>8</v>
      </c>
      <c r="AF134" s="27" t="s">
        <v>7</v>
      </c>
      <c r="AG134" s="27" t="s">
        <v>8</v>
      </c>
      <c r="AH134" s="27" t="s">
        <v>7</v>
      </c>
      <c r="AI134" s="27" t="s">
        <v>8</v>
      </c>
      <c r="AJ134" s="27" t="s">
        <v>7</v>
      </c>
      <c r="AM134" s="27" t="s">
        <v>8</v>
      </c>
      <c r="AP134" s="27" t="s">
        <v>7</v>
      </c>
      <c r="AU134" s="27" t="s">
        <v>8</v>
      </c>
      <c r="AV134" s="27" t="s">
        <v>7</v>
      </c>
      <c r="BD134" s="31"/>
    </row>
    <row r="135" spans="1:61" x14ac:dyDescent="0.25">
      <c r="A135" s="30">
        <v>167.83263083479633</v>
      </c>
      <c r="C135" s="1" t="s">
        <v>14</v>
      </c>
      <c r="E135" t="s">
        <v>8</v>
      </c>
      <c r="F135" s="27" t="s">
        <v>7</v>
      </c>
      <c r="S135" s="27" t="s">
        <v>8</v>
      </c>
      <c r="T135" s="27" t="s">
        <v>7</v>
      </c>
      <c r="U135" s="27" t="s">
        <v>8</v>
      </c>
      <c r="AD135" s="27" t="s">
        <v>7</v>
      </c>
      <c r="AF135" s="27" t="s">
        <v>7</v>
      </c>
      <c r="AG135" s="27" t="s">
        <v>8</v>
      </c>
      <c r="AH135" s="27" t="s">
        <v>7</v>
      </c>
      <c r="AI135" s="27" t="s">
        <v>8</v>
      </c>
      <c r="AJ135" s="27" t="s">
        <v>7</v>
      </c>
      <c r="AM135" s="27" t="s">
        <v>8</v>
      </c>
      <c r="AP135" s="27" t="s">
        <v>7</v>
      </c>
      <c r="AU135" s="27" t="s">
        <v>8</v>
      </c>
      <c r="BC135" s="31"/>
    </row>
    <row r="136" spans="1:61" x14ac:dyDescent="0.25">
      <c r="A136" s="30">
        <v>159.84060079504411</v>
      </c>
      <c r="C136" s="1" t="str">
        <f>IF(C133=$S$1,IF(D130&lt;(C127*0.952380952380952),$S$1,IF(C130&gt;(C127*1.157625),$U$1,"")),"")</f>
        <v/>
      </c>
      <c r="D136" s="1" t="str">
        <f>IF(C133=$U$1,IF(C130&gt;(C127*1.05),$U$1,IF(D130&lt;(C127*0.863837598531476),$S$1,"")),"")</f>
        <v>O</v>
      </c>
      <c r="E136" t="s">
        <v>8</v>
      </c>
      <c r="F136" s="27" t="s">
        <v>7</v>
      </c>
      <c r="Q136" s="27" t="s">
        <v>8</v>
      </c>
      <c r="S136" s="27" t="s">
        <v>8</v>
      </c>
      <c r="T136" s="27" t="s">
        <v>7</v>
      </c>
      <c r="U136" s="27" t="s">
        <v>8</v>
      </c>
      <c r="AF136" s="27" t="s">
        <v>7</v>
      </c>
      <c r="AG136" s="27" t="s">
        <v>8</v>
      </c>
      <c r="AH136" s="27" t="s">
        <v>7</v>
      </c>
      <c r="AJ136" s="27" t="s">
        <v>7</v>
      </c>
      <c r="AM136" s="27" t="s">
        <v>8</v>
      </c>
      <c r="AP136" s="27" t="s">
        <v>7</v>
      </c>
      <c r="AU136" s="27" t="s">
        <v>8</v>
      </c>
      <c r="BB136" s="31"/>
    </row>
    <row r="137" spans="1:61" x14ac:dyDescent="0.25">
      <c r="A137" s="30">
        <v>152.22914361432771</v>
      </c>
      <c r="E137" t="s">
        <v>8</v>
      </c>
      <c r="F137" s="27" t="s">
        <v>7</v>
      </c>
      <c r="M137" s="27" t="s">
        <v>8</v>
      </c>
      <c r="O137" s="27" t="s">
        <v>8</v>
      </c>
      <c r="Q137" s="27" t="s">
        <v>8</v>
      </c>
      <c r="R137" s="27" t="s">
        <v>7</v>
      </c>
      <c r="S137" s="27" t="s">
        <v>8</v>
      </c>
      <c r="T137" s="27" t="s">
        <v>7</v>
      </c>
      <c r="AF137" s="27" t="s">
        <v>7</v>
      </c>
      <c r="AJ137" s="27" t="s">
        <v>7</v>
      </c>
      <c r="AK137" s="27" t="s">
        <v>8</v>
      </c>
      <c r="AM137" s="27" t="s">
        <v>8</v>
      </c>
      <c r="AP137" s="27" t="s">
        <v>7</v>
      </c>
      <c r="AS137" s="27" t="s">
        <v>8</v>
      </c>
      <c r="AU137" s="27" t="s">
        <v>8</v>
      </c>
      <c r="BA137" s="31"/>
    </row>
    <row r="138" spans="1:61" x14ac:dyDescent="0.25">
      <c r="A138" s="30">
        <v>144.98013677555019</v>
      </c>
      <c r="C138" s="1">
        <f>IF(AND(C136="",D136=""),0,IF(AND(C133="X",D136="X"),1,IF(AND(C133="O",C136="O"),2,(IF(AND(C133="X",D136="O"),3,4)))))</f>
        <v>3</v>
      </c>
      <c r="E138" t="s">
        <v>8</v>
      </c>
      <c r="F138" s="27" t="s">
        <v>7</v>
      </c>
      <c r="M138" s="27" t="s">
        <v>8</v>
      </c>
      <c r="N138" s="27" t="s">
        <v>7</v>
      </c>
      <c r="O138" s="27" t="s">
        <v>8</v>
      </c>
      <c r="P138" s="27" t="s">
        <v>7</v>
      </c>
      <c r="Q138" s="27" t="s">
        <v>8</v>
      </c>
      <c r="R138" s="27" t="s">
        <v>7</v>
      </c>
      <c r="S138" s="27" t="s">
        <v>8</v>
      </c>
      <c r="AJ138" s="27" t="s">
        <v>7</v>
      </c>
      <c r="AK138" s="27" t="s">
        <v>8</v>
      </c>
      <c r="AL138" s="27" t="s">
        <v>7</v>
      </c>
      <c r="AM138" s="27" t="s">
        <v>8</v>
      </c>
      <c r="AP138" s="27" t="s">
        <v>7</v>
      </c>
      <c r="AS138" s="27" t="s">
        <v>8</v>
      </c>
      <c r="AT138" s="27" t="s">
        <v>7</v>
      </c>
      <c r="AU138" s="27" t="s">
        <v>8</v>
      </c>
      <c r="AZ138" s="31"/>
    </row>
    <row r="139" spans="1:61" x14ac:dyDescent="0.25">
      <c r="A139" s="30">
        <v>138.07632073861922</v>
      </c>
      <c r="E139" t="s">
        <v>8</v>
      </c>
      <c r="F139" s="27" t="s">
        <v>7</v>
      </c>
      <c r="M139" s="27" t="s">
        <v>8</v>
      </c>
      <c r="N139" s="27" t="s">
        <v>7</v>
      </c>
      <c r="O139" s="27" t="s">
        <v>8</v>
      </c>
      <c r="P139" s="27" t="s">
        <v>7</v>
      </c>
      <c r="Q139" s="27" t="s">
        <v>8</v>
      </c>
      <c r="R139" s="27" t="s">
        <v>7</v>
      </c>
      <c r="S139" s="27" t="s">
        <v>8</v>
      </c>
      <c r="AJ139" s="27" t="s">
        <v>7</v>
      </c>
      <c r="AK139" s="27" t="s">
        <v>8</v>
      </c>
      <c r="AL139" s="27" t="s">
        <v>7</v>
      </c>
      <c r="AM139" s="27" t="s">
        <v>8</v>
      </c>
      <c r="AP139" s="27" t="s">
        <v>7</v>
      </c>
      <c r="AS139" s="27" t="s">
        <v>8</v>
      </c>
      <c r="AT139" s="27" t="s">
        <v>7</v>
      </c>
      <c r="AU139" s="27" t="s">
        <v>8</v>
      </c>
      <c r="AY139" s="31"/>
    </row>
    <row r="140" spans="1:61" x14ac:dyDescent="0.25">
      <c r="A140" s="30">
        <v>131.50125784630401</v>
      </c>
      <c r="C140" s="1">
        <v>0</v>
      </c>
      <c r="E140" t="s">
        <v>8</v>
      </c>
      <c r="F140" s="27" t="s">
        <v>7</v>
      </c>
      <c r="M140" s="27" t="s">
        <v>8</v>
      </c>
      <c r="N140" s="27" t="s">
        <v>7</v>
      </c>
      <c r="O140" s="27" t="s">
        <v>8</v>
      </c>
      <c r="P140" s="27" t="s">
        <v>7</v>
      </c>
      <c r="Q140" s="27" t="s">
        <v>8</v>
      </c>
      <c r="R140" s="27" t="s">
        <v>7</v>
      </c>
      <c r="S140" s="27" t="s">
        <v>8</v>
      </c>
      <c r="AJ140" s="27" t="s">
        <v>7</v>
      </c>
      <c r="AL140" s="27" t="s">
        <v>7</v>
      </c>
      <c r="AM140" s="27" t="s">
        <v>8</v>
      </c>
      <c r="AP140" s="27" t="s">
        <v>7</v>
      </c>
      <c r="AQ140" s="27" t="s">
        <v>8</v>
      </c>
      <c r="AS140" s="27" t="s">
        <v>8</v>
      </c>
      <c r="AT140" s="27" t="s">
        <v>7</v>
      </c>
      <c r="AU140" s="27" t="s">
        <v>8</v>
      </c>
      <c r="AX140" s="31"/>
    </row>
    <row r="141" spans="1:61" x14ac:dyDescent="0.25">
      <c r="A141" s="30">
        <v>125.23929318695619</v>
      </c>
      <c r="C141" s="1">
        <v>1</v>
      </c>
      <c r="E141" t="s">
        <v>8</v>
      </c>
      <c r="F141" s="27" t="s">
        <v>7</v>
      </c>
      <c r="I141" s="27" t="s">
        <v>8</v>
      </c>
      <c r="M141" s="27" t="s">
        <v>8</v>
      </c>
      <c r="N141" s="27" t="s">
        <v>7</v>
      </c>
      <c r="O141" s="27" t="s">
        <v>8</v>
      </c>
      <c r="P141" s="27" t="s">
        <v>7</v>
      </c>
      <c r="Q141" s="27" t="s">
        <v>8</v>
      </c>
      <c r="R141" s="27" t="s">
        <v>7</v>
      </c>
      <c r="AL141" s="27" t="s">
        <v>7</v>
      </c>
      <c r="AM141" s="27" t="s">
        <v>8</v>
      </c>
      <c r="AP141" s="27" t="s">
        <v>7</v>
      </c>
      <c r="AQ141" s="27" t="s">
        <v>8</v>
      </c>
      <c r="AR141" s="27" t="s">
        <v>7</v>
      </c>
      <c r="AS141" s="27" t="s">
        <v>8</v>
      </c>
      <c r="AT141" s="27" t="s">
        <v>7</v>
      </c>
      <c r="AW141" s="31"/>
    </row>
    <row r="142" spans="1:61" x14ac:dyDescent="0.25">
      <c r="A142" s="30">
        <v>119.27551732091065</v>
      </c>
      <c r="C142" s="1">
        <v>2</v>
      </c>
      <c r="E142" t="s">
        <v>8</v>
      </c>
      <c r="F142" s="27" t="s">
        <v>7</v>
      </c>
      <c r="G142" s="27" t="s">
        <v>8</v>
      </c>
      <c r="I142" s="27" t="s">
        <v>8</v>
      </c>
      <c r="J142" s="27" t="s">
        <v>7</v>
      </c>
      <c r="M142" s="27" t="s">
        <v>8</v>
      </c>
      <c r="N142" s="27" t="s">
        <v>7</v>
      </c>
      <c r="O142" s="27" t="s">
        <v>8</v>
      </c>
      <c r="P142" s="27" t="s">
        <v>7</v>
      </c>
      <c r="Q142" s="27" t="s">
        <v>8</v>
      </c>
      <c r="AL142" s="27" t="s">
        <v>7</v>
      </c>
      <c r="AP142" s="27" t="s">
        <v>7</v>
      </c>
      <c r="AQ142" s="27" t="s">
        <v>8</v>
      </c>
      <c r="AR142" s="27" t="s">
        <v>7</v>
      </c>
      <c r="AS142" s="27" t="s">
        <v>8</v>
      </c>
      <c r="AV142" s="31"/>
    </row>
    <row r="143" spans="1:61" x14ac:dyDescent="0.25">
      <c r="A143" s="30">
        <v>113.59573078181967</v>
      </c>
      <c r="C143" s="1">
        <v>3</v>
      </c>
      <c r="E143" t="s">
        <v>8</v>
      </c>
      <c r="F143" s="27" t="s">
        <v>7</v>
      </c>
      <c r="G143" s="27" t="s">
        <v>8</v>
      </c>
      <c r="H143" s="27" t="s">
        <v>7</v>
      </c>
      <c r="I143" s="27" t="s">
        <v>8</v>
      </c>
      <c r="J143" s="27" t="s">
        <v>7</v>
      </c>
      <c r="M143" s="27" t="s">
        <v>8</v>
      </c>
      <c r="N143" s="27" t="s">
        <v>7</v>
      </c>
      <c r="P143" s="27" t="s">
        <v>7</v>
      </c>
      <c r="Q143" s="27" t="s">
        <v>8</v>
      </c>
      <c r="AP143" s="27" t="s">
        <v>7</v>
      </c>
      <c r="AQ143" s="27" t="s">
        <v>8</v>
      </c>
      <c r="AR143" s="27" t="s">
        <v>7</v>
      </c>
      <c r="AS143" s="27" t="s">
        <v>8</v>
      </c>
      <c r="AU143" s="31"/>
    </row>
    <row r="144" spans="1:61" x14ac:dyDescent="0.25">
      <c r="A144" s="30">
        <v>108.18641026839968</v>
      </c>
      <c r="C144" s="1">
        <v>4</v>
      </c>
      <c r="E144" t="s">
        <v>8</v>
      </c>
      <c r="F144" s="27" t="s">
        <v>7</v>
      </c>
      <c r="G144" s="27" t="s">
        <v>8</v>
      </c>
      <c r="H144" s="27" t="s">
        <v>7</v>
      </c>
      <c r="I144" s="27" t="s">
        <v>8</v>
      </c>
      <c r="J144" s="27" t="s">
        <v>7</v>
      </c>
      <c r="M144" s="27" t="s">
        <v>8</v>
      </c>
      <c r="P144" s="27" t="s">
        <v>7</v>
      </c>
      <c r="Q144" s="27" t="s">
        <v>8</v>
      </c>
      <c r="AP144" s="27" t="s">
        <v>7</v>
      </c>
      <c r="AQ144" s="27" t="s">
        <v>8</v>
      </c>
      <c r="AR144" s="27" t="s">
        <v>7</v>
      </c>
      <c r="AS144" s="27" t="s">
        <v>8</v>
      </c>
      <c r="AT144" s="31"/>
    </row>
    <row r="145" spans="1:45" x14ac:dyDescent="0.25">
      <c r="A145" s="30">
        <v>103.03467644609493</v>
      </c>
      <c r="E145" t="s">
        <v>8</v>
      </c>
      <c r="F145" s="27" t="s">
        <v>7</v>
      </c>
      <c r="H145" s="27" t="s">
        <v>7</v>
      </c>
      <c r="J145" s="27" t="s">
        <v>7</v>
      </c>
      <c r="M145" s="27" t="s">
        <v>8</v>
      </c>
      <c r="P145" s="27" t="s">
        <v>7</v>
      </c>
      <c r="AP145" s="27" t="s">
        <v>7</v>
      </c>
      <c r="AQ145" s="27" t="s">
        <v>8</v>
      </c>
      <c r="AR145" s="27" t="s">
        <v>7</v>
      </c>
      <c r="AS145" s="31"/>
    </row>
    <row r="146" spans="1:45" x14ac:dyDescent="0.25">
      <c r="A146" s="30">
        <v>98.128263281995174</v>
      </c>
      <c r="E146" t="s">
        <v>8</v>
      </c>
      <c r="J146" s="27" t="s">
        <v>7</v>
      </c>
      <c r="K146" s="27" t="s">
        <v>8</v>
      </c>
      <c r="M146" s="27" t="s">
        <v>8</v>
      </c>
      <c r="AP146" s="27" t="s">
        <v>7</v>
      </c>
      <c r="AQ146" s="27" t="s">
        <v>8</v>
      </c>
      <c r="AR146" s="31"/>
    </row>
    <row r="147" spans="1:45" x14ac:dyDescent="0.25">
      <c r="A147" s="30">
        <v>93.455488839995397</v>
      </c>
      <c r="E147" t="s">
        <v>8</v>
      </c>
      <c r="J147" s="27" t="s">
        <v>7</v>
      </c>
      <c r="K147" s="27" t="s">
        <v>8</v>
      </c>
      <c r="L147" s="27" t="s">
        <v>7</v>
      </c>
      <c r="M147" s="27" t="s">
        <v>8</v>
      </c>
      <c r="AP147" s="27" t="s">
        <v>7</v>
      </c>
      <c r="AQ147" s="31" t="s">
        <v>8</v>
      </c>
    </row>
    <row r="148" spans="1:45" x14ac:dyDescent="0.25">
      <c r="A148" s="30">
        <v>89.005227466662276</v>
      </c>
      <c r="E148" t="s">
        <v>8</v>
      </c>
      <c r="J148" s="27" t="s">
        <v>7</v>
      </c>
      <c r="K148" s="27" t="s">
        <v>8</v>
      </c>
      <c r="L148" s="27" t="s">
        <v>7</v>
      </c>
      <c r="M148" s="27" t="s">
        <v>8</v>
      </c>
      <c r="AP148" s="31" t="s">
        <v>7</v>
      </c>
    </row>
    <row r="149" spans="1:45" x14ac:dyDescent="0.25">
      <c r="A149" s="30">
        <v>84.766883301583121</v>
      </c>
      <c r="E149" t="s">
        <v>8</v>
      </c>
      <c r="J149" s="27" t="s">
        <v>7</v>
      </c>
      <c r="L149" s="27" t="s">
        <v>7</v>
      </c>
    </row>
    <row r="150" spans="1:45" x14ac:dyDescent="0.25">
      <c r="A150" s="30">
        <v>80.730365049126775</v>
      </c>
      <c r="E150" t="s">
        <v>8</v>
      </c>
    </row>
    <row r="151" spans="1:45" x14ac:dyDescent="0.25">
      <c r="A151" s="30">
        <v>76.886061951549308</v>
      </c>
      <c r="E151" t="s">
        <v>8</v>
      </c>
    </row>
    <row r="152" spans="1:45" x14ac:dyDescent="0.25">
      <c r="A152" s="30">
        <v>73.22482090623744</v>
      </c>
      <c r="E152" t="s">
        <v>8</v>
      </c>
    </row>
    <row r="153" spans="1:45" x14ac:dyDescent="0.25">
      <c r="A153" s="30">
        <v>69.737924672607079</v>
      </c>
      <c r="C153" s="7"/>
      <c r="D153"/>
      <c r="E153" t="s">
        <v>8</v>
      </c>
    </row>
    <row r="154" spans="1:45" x14ac:dyDescent="0.25">
      <c r="A154" s="30">
        <v>66.417071116768639</v>
      </c>
      <c r="E154" t="s">
        <v>8</v>
      </c>
    </row>
    <row r="155" spans="1:45" x14ac:dyDescent="0.25">
      <c r="A155" s="30">
        <v>63.254353444541557</v>
      </c>
      <c r="E155" t="s">
        <v>8</v>
      </c>
    </row>
    <row r="156" spans="1:45" x14ac:dyDescent="0.25">
      <c r="A156" s="30">
        <v>60.242241375753864</v>
      </c>
      <c r="C156"/>
      <c r="D156"/>
      <c r="E156" t="s">
        <v>8</v>
      </c>
    </row>
    <row r="157" spans="1:45" x14ac:dyDescent="0.25">
      <c r="A157" s="30">
        <v>57.373563215003678</v>
      </c>
      <c r="E157" t="s">
        <v>8</v>
      </c>
    </row>
    <row r="158" spans="1:45" x14ac:dyDescent="0.25">
      <c r="A158" s="30">
        <v>54.641488776193974</v>
      </c>
      <c r="E158" t="s">
        <v>8</v>
      </c>
    </row>
    <row r="159" spans="1:45" x14ac:dyDescent="0.25">
      <c r="A159" s="30">
        <v>52.039513120184736</v>
      </c>
      <c r="E159" t="s">
        <v>8</v>
      </c>
    </row>
    <row r="160" spans="1:45" x14ac:dyDescent="0.25">
      <c r="A160" s="30">
        <v>49.561441066842605</v>
      </c>
      <c r="C160"/>
      <c r="E160" t="s">
        <v>8</v>
      </c>
    </row>
    <row r="161" spans="1:5" x14ac:dyDescent="0.25">
      <c r="A161" s="30">
        <v>47.201372444612005</v>
      </c>
      <c r="E161" t="s">
        <v>8</v>
      </c>
    </row>
    <row r="162" spans="1:5" x14ac:dyDescent="0.25">
      <c r="A162" s="30">
        <v>44.95368804248762</v>
      </c>
      <c r="E162" t="s">
        <v>8</v>
      </c>
    </row>
    <row r="163" spans="1:5" x14ac:dyDescent="0.25">
      <c r="A163" s="30">
        <v>42.81303623094059</v>
      </c>
      <c r="E163" t="s">
        <v>8</v>
      </c>
    </row>
    <row r="164" spans="1:5" x14ac:dyDescent="0.25">
      <c r="A164" s="30">
        <v>40.774320219943419</v>
      </c>
      <c r="E164" t="s">
        <v>8</v>
      </c>
    </row>
    <row r="165" spans="1:5" x14ac:dyDescent="0.25">
      <c r="A165" s="30">
        <v>38.832685923755633</v>
      </c>
      <c r="E165" t="s">
        <v>8</v>
      </c>
    </row>
    <row r="166" spans="1:5" x14ac:dyDescent="0.25">
      <c r="A166" s="30">
        <v>36.983510403576794</v>
      </c>
      <c r="E166" t="s">
        <v>8</v>
      </c>
    </row>
    <row r="167" spans="1:5" x14ac:dyDescent="0.25">
      <c r="A167" s="30">
        <v>35.222390860549325</v>
      </c>
      <c r="E167" t="s">
        <v>8</v>
      </c>
    </row>
    <row r="168" spans="1:5" x14ac:dyDescent="0.25">
      <c r="A168" s="30">
        <v>33.545134152904119</v>
      </c>
      <c r="E168" t="s">
        <v>8</v>
      </c>
    </row>
    <row r="169" spans="1:5" x14ac:dyDescent="0.25">
      <c r="A169" s="30">
        <v>31.947746812289637</v>
      </c>
      <c r="E169" t="s">
        <v>8</v>
      </c>
    </row>
    <row r="170" spans="1:5" x14ac:dyDescent="0.25">
      <c r="A170" s="30">
        <v>30.426425535513939</v>
      </c>
      <c r="E170" t="s">
        <v>8</v>
      </c>
    </row>
    <row r="171" spans="1:5" x14ac:dyDescent="0.25">
      <c r="A171" s="30">
        <v>28.977548129060892</v>
      </c>
      <c r="E171" t="s">
        <v>8</v>
      </c>
    </row>
    <row r="172" spans="1:5" x14ac:dyDescent="0.25">
      <c r="A172" s="30">
        <v>27.597664884819896</v>
      </c>
      <c r="E172" t="s">
        <v>8</v>
      </c>
    </row>
    <row r="173" spans="1:5" x14ac:dyDescent="0.25">
      <c r="A173" s="30">
        <v>26.283490366495137</v>
      </c>
      <c r="E173" t="s">
        <v>8</v>
      </c>
    </row>
    <row r="174" spans="1:5" x14ac:dyDescent="0.25">
      <c r="A174" s="30">
        <v>25.031895587138223</v>
      </c>
      <c r="E174" t="s">
        <v>8</v>
      </c>
    </row>
    <row r="175" spans="1:5" x14ac:dyDescent="0.25">
      <c r="A175" s="30">
        <v>23.839900559179259</v>
      </c>
      <c r="E175" t="s">
        <v>8</v>
      </c>
    </row>
    <row r="176" spans="1:5" x14ac:dyDescent="0.25">
      <c r="A176" s="30">
        <v>22.704667199218342</v>
      </c>
      <c r="E176" t="s">
        <v>8</v>
      </c>
    </row>
    <row r="177" spans="1:5" x14ac:dyDescent="0.25">
      <c r="A177" s="30">
        <v>21.623492570684135</v>
      </c>
      <c r="E177" t="s">
        <v>8</v>
      </c>
    </row>
    <row r="178" spans="1:5" x14ac:dyDescent="0.25">
      <c r="A178" s="30">
        <v>20.593802448270605</v>
      </c>
      <c r="C178" s="7"/>
      <c r="D178"/>
      <c r="E178" t="s">
        <v>8</v>
      </c>
    </row>
    <row r="179" spans="1:5" x14ac:dyDescent="0.25">
      <c r="A179" s="30">
        <v>19.613145188829147</v>
      </c>
      <c r="E179" t="s">
        <v>8</v>
      </c>
    </row>
    <row r="180" spans="1:5" x14ac:dyDescent="0.25">
      <c r="A180" s="30">
        <v>18.679185894122998</v>
      </c>
      <c r="E180" t="s">
        <v>8</v>
      </c>
    </row>
    <row r="181" spans="1:5" x14ac:dyDescent="0.25">
      <c r="A181" s="30">
        <v>17.78970085154571</v>
      </c>
      <c r="C181"/>
      <c r="D181"/>
      <c r="E181" t="s">
        <v>8</v>
      </c>
    </row>
    <row r="182" spans="1:5" x14ac:dyDescent="0.25">
      <c r="A182" s="30">
        <v>16.942572239567344</v>
      </c>
      <c r="E182" t="s">
        <v>8</v>
      </c>
    </row>
    <row r="183" spans="1:5" x14ac:dyDescent="0.25">
      <c r="A183" s="30">
        <v>16.135783085302233</v>
      </c>
      <c r="E183" t="s">
        <v>8</v>
      </c>
    </row>
    <row r="184" spans="1:5" x14ac:dyDescent="0.25">
      <c r="A184" s="30">
        <v>15.367412462192602</v>
      </c>
      <c r="E184" t="s">
        <v>8</v>
      </c>
    </row>
    <row r="185" spans="1:5" x14ac:dyDescent="0.25">
      <c r="A185" s="30">
        <v>14.635630916373906</v>
      </c>
      <c r="C185"/>
      <c r="E185" t="s">
        <v>8</v>
      </c>
    </row>
    <row r="186" spans="1:5" x14ac:dyDescent="0.25">
      <c r="A186" s="30">
        <v>13.938696110832291</v>
      </c>
      <c r="E186" t="s">
        <v>8</v>
      </c>
    </row>
    <row r="187" spans="1:5" x14ac:dyDescent="0.25">
      <c r="A187" s="30">
        <v>13.274948676983135</v>
      </c>
      <c r="C187" s="1" t="str">
        <f>IF(C184=$S$1,IF(D181&lt;(C178*0.952380952380952),$S$1,IF(C181&gt;(C178*1.157625),$U$1,"")),"")</f>
        <v/>
      </c>
      <c r="D187" s="1" t="str">
        <f>IF(C184=$U$1,IF(C181&gt;(C178*1.05),$U$1,IF(D181&lt;(C178*0.863837598531476),$S$1,"")),"")</f>
        <v/>
      </c>
      <c r="E187" t="s">
        <v>8</v>
      </c>
    </row>
    <row r="188" spans="1:5" x14ac:dyDescent="0.25">
      <c r="A188" s="30">
        <v>12.64280826379346</v>
      </c>
      <c r="E188" t="s">
        <v>8</v>
      </c>
    </row>
    <row r="189" spans="1:5" x14ac:dyDescent="0.25">
      <c r="A189" s="30">
        <v>12.04076977504139</v>
      </c>
      <c r="E189" t="s">
        <v>8</v>
      </c>
    </row>
    <row r="190" spans="1:5" x14ac:dyDescent="0.25">
      <c r="A190" s="30">
        <v>11.467399785753704</v>
      </c>
      <c r="E190" t="s">
        <v>8</v>
      </c>
    </row>
    <row r="191" spans="1:5" x14ac:dyDescent="0.25">
      <c r="A191" s="30">
        <v>10.921333129289241</v>
      </c>
      <c r="E191" t="s">
        <v>8</v>
      </c>
    </row>
    <row r="192" spans="1:5" x14ac:dyDescent="0.25">
      <c r="A192" s="30">
        <v>10.401269646942135</v>
      </c>
      <c r="E192" t="s">
        <v>8</v>
      </c>
    </row>
    <row r="193" spans="1:5" x14ac:dyDescent="0.25">
      <c r="A193" s="30">
        <v>9.9059710923258422</v>
      </c>
      <c r="E193" t="s">
        <v>8</v>
      </c>
    </row>
    <row r="194" spans="1:5" x14ac:dyDescent="0.25">
      <c r="A194" s="30">
        <v>9.4342581831674686</v>
      </c>
      <c r="E194" t="s">
        <v>8</v>
      </c>
    </row>
    <row r="195" spans="1:5" x14ac:dyDescent="0.25">
      <c r="A195" s="30">
        <v>8.9850077934928265</v>
      </c>
      <c r="E195" t="s">
        <v>8</v>
      </c>
    </row>
    <row r="196" spans="1:5" x14ac:dyDescent="0.25">
      <c r="A196" s="30">
        <v>8.5571502795169767</v>
      </c>
      <c r="E196" t="s">
        <v>8</v>
      </c>
    </row>
    <row r="197" spans="1:5" x14ac:dyDescent="0.25">
      <c r="A197" s="30">
        <v>8.1496669328733109</v>
      </c>
      <c r="E197" t="s">
        <v>8</v>
      </c>
    </row>
    <row r="198" spans="1:5" x14ac:dyDescent="0.25">
      <c r="A198" s="30">
        <v>7.7615875551174378</v>
      </c>
      <c r="E198" t="s">
        <v>8</v>
      </c>
    </row>
    <row r="199" spans="1:5" x14ac:dyDescent="0.25">
      <c r="A199" s="30">
        <v>7.3919881477308929</v>
      </c>
      <c r="E199" t="s">
        <v>8</v>
      </c>
    </row>
    <row r="200" spans="1:5" x14ac:dyDescent="0.25">
      <c r="A200" s="30">
        <v>7.0399887121246598</v>
      </c>
      <c r="E200" t="s">
        <v>8</v>
      </c>
    </row>
    <row r="201" spans="1:5" x14ac:dyDescent="0.25">
      <c r="A201" s="30">
        <v>6.7047511544044376</v>
      </c>
      <c r="E201" t="s">
        <v>8</v>
      </c>
    </row>
    <row r="202" spans="1:5" x14ac:dyDescent="0.25">
      <c r="A202" s="30">
        <v>6.3854772899089882</v>
      </c>
      <c r="E202" t="s">
        <v>8</v>
      </c>
    </row>
    <row r="203" spans="1:5" x14ac:dyDescent="0.25">
      <c r="A203" s="30">
        <v>6.0814069427704647</v>
      </c>
      <c r="C203" s="7"/>
      <c r="D203"/>
      <c r="E203" t="s">
        <v>8</v>
      </c>
    </row>
    <row r="204" spans="1:5" x14ac:dyDescent="0.25">
      <c r="A204" s="30">
        <v>5.7918161359718709</v>
      </c>
      <c r="E204" t="s">
        <v>8</v>
      </c>
    </row>
    <row r="205" spans="1:5" x14ac:dyDescent="0.25">
      <c r="A205" s="30">
        <v>5.5160153675922574</v>
      </c>
      <c r="E205" t="s">
        <v>8</v>
      </c>
    </row>
    <row r="206" spans="1:5" x14ac:dyDescent="0.25">
      <c r="A206" s="30">
        <v>5.2533479691354827</v>
      </c>
      <c r="C206"/>
      <c r="D206"/>
      <c r="E206" t="s">
        <v>8</v>
      </c>
    </row>
    <row r="207" spans="1:5" x14ac:dyDescent="0.25">
      <c r="A207" s="30">
        <v>5.0031885420337927</v>
      </c>
      <c r="E207" t="s">
        <v>8</v>
      </c>
    </row>
    <row r="208" spans="1:5" x14ac:dyDescent="0.25">
      <c r="A208" s="30">
        <v>4.7649414686036122</v>
      </c>
      <c r="E208" t="s">
        <v>8</v>
      </c>
    </row>
    <row r="209" spans="1:5" x14ac:dyDescent="0.25">
      <c r="A209" s="30">
        <v>4.5380394939082018</v>
      </c>
      <c r="E209" t="s">
        <v>8</v>
      </c>
    </row>
    <row r="210" spans="1:5" x14ac:dyDescent="0.25">
      <c r="A210" s="30">
        <v>4.3219423751506678</v>
      </c>
      <c r="C210"/>
      <c r="E210" t="s">
        <v>8</v>
      </c>
    </row>
    <row r="211" spans="1:5" x14ac:dyDescent="0.25">
      <c r="A211" s="30">
        <v>4.1161355953815884</v>
      </c>
      <c r="E211" t="s">
        <v>8</v>
      </c>
    </row>
    <row r="212" spans="1:5" x14ac:dyDescent="0.25">
      <c r="A212" s="30">
        <v>3.9201291384586554</v>
      </c>
      <c r="E212" t="s">
        <v>8</v>
      </c>
    </row>
    <row r="213" spans="1:5" x14ac:dyDescent="0.25">
      <c r="A213" s="30">
        <v>3.7334563223415764</v>
      </c>
      <c r="E213" t="s">
        <v>8</v>
      </c>
    </row>
    <row r="214" spans="1:5" x14ac:dyDescent="0.25">
      <c r="A214" s="30">
        <v>3.5556726879443583</v>
      </c>
      <c r="E214" t="s">
        <v>8</v>
      </c>
    </row>
    <row r="215" spans="1:5" x14ac:dyDescent="0.25">
      <c r="A215" s="30">
        <v>3.3863549408993889</v>
      </c>
      <c r="E215" t="s">
        <v>8</v>
      </c>
    </row>
    <row r="216" spans="1:5" x14ac:dyDescent="0.25">
      <c r="A216" s="30">
        <v>3.2250999437137038</v>
      </c>
      <c r="E216" t="s">
        <v>8</v>
      </c>
    </row>
    <row r="217" spans="1:5" x14ac:dyDescent="0.25">
      <c r="A217" s="30">
        <v>3.0715237559178128</v>
      </c>
      <c r="E217" t="s">
        <v>8</v>
      </c>
    </row>
    <row r="218" spans="1:5" x14ac:dyDescent="0.25">
      <c r="A218" s="30">
        <v>2.9252607199217264</v>
      </c>
      <c r="E218" t="s">
        <v>8</v>
      </c>
    </row>
    <row r="219" spans="1:5" x14ac:dyDescent="0.25">
      <c r="A219" s="30">
        <v>2.7859625904016441</v>
      </c>
      <c r="E219" t="s">
        <v>8</v>
      </c>
    </row>
    <row r="220" spans="1:5" x14ac:dyDescent="0.25">
      <c r="A220" s="30">
        <v>2.6532977051444226</v>
      </c>
      <c r="E220" t="s">
        <v>8</v>
      </c>
    </row>
    <row r="221" spans="1:5" x14ac:dyDescent="0.25">
      <c r="A221" s="30">
        <v>2.5269501953756404</v>
      </c>
      <c r="E221" t="s">
        <v>8</v>
      </c>
    </row>
    <row r="222" spans="1:5" x14ac:dyDescent="0.25">
      <c r="A222" s="30">
        <v>2.4066192336910861</v>
      </c>
      <c r="E222" t="s">
        <v>8</v>
      </c>
    </row>
    <row r="223" spans="1:5" x14ac:dyDescent="0.25">
      <c r="A223" s="30">
        <v>2.2920183178010345</v>
      </c>
      <c r="E223" t="s">
        <v>8</v>
      </c>
    </row>
    <row r="224" spans="1:5" x14ac:dyDescent="0.25">
      <c r="A224" s="30">
        <v>2.1828745883819374</v>
      </c>
      <c r="E224" t="s">
        <v>8</v>
      </c>
    </row>
    <row r="225" spans="1:5" x14ac:dyDescent="0.25">
      <c r="A225" s="30">
        <v>2.0789281794113688</v>
      </c>
      <c r="E225" t="s">
        <v>8</v>
      </c>
    </row>
    <row r="226" spans="1:5" x14ac:dyDescent="0.25">
      <c r="A226" s="30">
        <v>1.9799315994393987</v>
      </c>
      <c r="E226" t="s">
        <v>8</v>
      </c>
    </row>
    <row r="227" spans="1:5" x14ac:dyDescent="0.25">
      <c r="A227" s="30">
        <v>1.8856491423232367</v>
      </c>
      <c r="E227" t="s">
        <v>8</v>
      </c>
    </row>
    <row r="228" spans="1:5" x14ac:dyDescent="0.25">
      <c r="A228" s="30">
        <v>1.7958563260221301</v>
      </c>
      <c r="C228" s="7"/>
      <c r="D228"/>
      <c r="E228" t="s">
        <v>8</v>
      </c>
    </row>
    <row r="229" spans="1:5" x14ac:dyDescent="0.25">
      <c r="A229" s="30">
        <v>1.7103393581163142</v>
      </c>
      <c r="E229" t="s">
        <v>8</v>
      </c>
    </row>
    <row r="230" spans="1:5" x14ac:dyDescent="0.25">
      <c r="A230" s="30">
        <v>1.628894626777442</v>
      </c>
      <c r="E230" t="s">
        <v>8</v>
      </c>
    </row>
    <row r="231" spans="1:5" x14ac:dyDescent="0.25">
      <c r="A231" s="30">
        <v>1.5513282159785162</v>
      </c>
      <c r="C231"/>
      <c r="D231"/>
      <c r="E231" t="s">
        <v>8</v>
      </c>
    </row>
    <row r="232" spans="1:5" x14ac:dyDescent="0.25">
      <c r="A232" s="30">
        <v>1.477455443789063</v>
      </c>
      <c r="E232" t="s">
        <v>8</v>
      </c>
    </row>
    <row r="233" spans="1:5" x14ac:dyDescent="0.25">
      <c r="A233" s="30">
        <v>1.4071004226562505</v>
      </c>
      <c r="E233" t="s">
        <v>8</v>
      </c>
    </row>
    <row r="234" spans="1:5" x14ac:dyDescent="0.25">
      <c r="A234" s="30">
        <v>1.3400956406250004</v>
      </c>
      <c r="E234" t="s">
        <v>8</v>
      </c>
    </row>
    <row r="235" spans="1:5" x14ac:dyDescent="0.25">
      <c r="A235" s="30">
        <v>1.2762815625000004</v>
      </c>
      <c r="C235"/>
      <c r="E235" t="s">
        <v>8</v>
      </c>
    </row>
    <row r="236" spans="1:5" x14ac:dyDescent="0.25">
      <c r="A236" s="30">
        <v>1.2155062500000002</v>
      </c>
      <c r="E236" t="s">
        <v>8</v>
      </c>
    </row>
    <row r="237" spans="1:5" x14ac:dyDescent="0.25">
      <c r="A237" s="30">
        <v>1.1576249999999999</v>
      </c>
      <c r="C237" s="1" t="str">
        <f>IF(C234=$S$1,IF(D231&lt;(C228*0.952380952380952),$S$1,IF(C231&gt;(C228*1.157625),$U$1,"")),"")</f>
        <v/>
      </c>
      <c r="D237" s="1" t="str">
        <f>IF(C234=$U$1,IF(C231&gt;(C228*1.05),$U$1,IF(D231&lt;(C228*0.863837598531476),$S$1,"")),"")</f>
        <v/>
      </c>
      <c r="E237" t="s">
        <v>8</v>
      </c>
    </row>
    <row r="238" spans="1:5" x14ac:dyDescent="0.25">
      <c r="A238" s="30">
        <v>1.1025</v>
      </c>
      <c r="E238" t="s">
        <v>8</v>
      </c>
    </row>
    <row r="239" spans="1:5" x14ac:dyDescent="0.25">
      <c r="A239" s="30">
        <v>1.05</v>
      </c>
      <c r="E239" t="s">
        <v>8</v>
      </c>
    </row>
    <row r="240" spans="1:5" x14ac:dyDescent="0.25">
      <c r="A240" s="30">
        <v>1</v>
      </c>
      <c r="E240" s="29" t="s">
        <v>8</v>
      </c>
    </row>
    <row r="241" spans="1:5" x14ac:dyDescent="0.25">
      <c r="A241" s="30">
        <v>0.952380952380952</v>
      </c>
      <c r="B241"/>
      <c r="C241"/>
      <c r="D241"/>
      <c r="E241"/>
    </row>
    <row r="242" spans="1:5" x14ac:dyDescent="0.25">
      <c r="A242" s="30">
        <v>0.90702947845804915</v>
      </c>
      <c r="B242"/>
      <c r="C242"/>
      <c r="D242"/>
      <c r="E242"/>
    </row>
    <row r="243" spans="1:5" x14ac:dyDescent="0.25">
      <c r="A243" s="30">
        <v>0.86383759853147501</v>
      </c>
      <c r="B243"/>
      <c r="C243"/>
      <c r="D243"/>
      <c r="E243"/>
    </row>
    <row r="244" spans="1:5" x14ac:dyDescent="0.25">
      <c r="A244" s="30">
        <v>0.82270247479188063</v>
      </c>
      <c r="B244"/>
      <c r="C244"/>
      <c r="D244"/>
      <c r="E244"/>
    </row>
    <row r="245" spans="1:5" x14ac:dyDescent="0.25">
      <c r="A245" s="30">
        <v>0.78352616646845741</v>
      </c>
      <c r="B245"/>
      <c r="C245"/>
      <c r="D245"/>
      <c r="E245"/>
    </row>
    <row r="246" spans="1:5" x14ac:dyDescent="0.25">
      <c r="A246" s="30">
        <v>0.74621539663662584</v>
      </c>
      <c r="B246"/>
      <c r="C246"/>
      <c r="D246"/>
      <c r="E246"/>
    </row>
    <row r="247" spans="1:5" x14ac:dyDescent="0.25">
      <c r="A247" s="30">
        <v>0.71068133013011958</v>
      </c>
      <c r="B247"/>
      <c r="C247"/>
      <c r="D247"/>
      <c r="E247"/>
    </row>
    <row r="248" spans="1:5" x14ac:dyDescent="0.25">
      <c r="A248" s="30">
        <v>0.676839362028685</v>
      </c>
      <c r="B248"/>
      <c r="C248"/>
      <c r="D248"/>
      <c r="E248"/>
    </row>
    <row r="249" spans="1:5" x14ac:dyDescent="0.25">
      <c r="A249" s="30">
        <v>0.64460891621779492</v>
      </c>
      <c r="B249"/>
      <c r="C249"/>
      <c r="D249"/>
      <c r="E249"/>
    </row>
    <row r="250" spans="1:5" x14ac:dyDescent="0.25">
      <c r="A250" s="30">
        <v>0.61391325354075688</v>
      </c>
      <c r="B250"/>
      <c r="C250"/>
      <c r="D250"/>
      <c r="E250"/>
    </row>
    <row r="251" spans="1:5" x14ac:dyDescent="0.25">
      <c r="A251" s="30">
        <v>0.58467928908643485</v>
      </c>
      <c r="B251"/>
      <c r="C251"/>
      <c r="D251"/>
      <c r="E251"/>
    </row>
    <row r="252" spans="1:5" x14ac:dyDescent="0.25">
      <c r="A252" s="30">
        <v>0.55683741817755672</v>
      </c>
      <c r="B252"/>
      <c r="C252"/>
      <c r="D252"/>
      <c r="E252"/>
    </row>
    <row r="253" spans="1:5" x14ac:dyDescent="0.25">
      <c r="A253" s="30">
        <v>0.53032135064529184</v>
      </c>
      <c r="B253"/>
      <c r="C253"/>
      <c r="D253"/>
      <c r="E253"/>
    </row>
    <row r="254" spans="1:5" x14ac:dyDescent="0.25">
      <c r="A254" s="30">
        <v>0.50506795299551588</v>
      </c>
      <c r="B254"/>
      <c r="C254"/>
      <c r="D254"/>
      <c r="E254"/>
    </row>
    <row r="255" spans="1:5" x14ac:dyDescent="0.25">
      <c r="A255" s="30">
        <v>0.48101709809096732</v>
      </c>
      <c r="E255"/>
    </row>
    <row r="256" spans="1:5" x14ac:dyDescent="0.25">
      <c r="A256" s="30">
        <v>0.45811152199139726</v>
      </c>
      <c r="E256"/>
    </row>
    <row r="257" spans="1:5" x14ac:dyDescent="0.25">
      <c r="A257" s="30">
        <v>0.43629668761085438</v>
      </c>
      <c r="B257"/>
      <c r="C257"/>
      <c r="D257"/>
      <c r="E257"/>
    </row>
    <row r="258" spans="1:5" x14ac:dyDescent="0.25">
      <c r="A258" s="30">
        <v>0.41552065486748019</v>
      </c>
      <c r="B258"/>
      <c r="C258"/>
      <c r="D258"/>
      <c r="E258"/>
    </row>
    <row r="259" spans="1:5" x14ac:dyDescent="0.25">
      <c r="A259" s="30">
        <v>0.39573395701664765</v>
      </c>
      <c r="B259"/>
      <c r="C259"/>
      <c r="D259"/>
      <c r="E259"/>
    </row>
    <row r="260" spans="1:5" x14ac:dyDescent="0.25">
      <c r="A260" s="30">
        <v>0.37688948287299762</v>
      </c>
      <c r="B260"/>
      <c r="C260"/>
      <c r="D260"/>
      <c r="E260"/>
    </row>
    <row r="261" spans="1:5" x14ac:dyDescent="0.25">
      <c r="A261" s="30">
        <v>0.35894236464094997</v>
      </c>
      <c r="B261"/>
      <c r="C261"/>
      <c r="D261"/>
      <c r="E261"/>
    </row>
    <row r="262" spans="1:5" x14ac:dyDescent="0.25">
      <c r="A262" s="30">
        <v>0.34184987108661891</v>
      </c>
      <c r="B262"/>
      <c r="C262"/>
      <c r="D262"/>
      <c r="E262"/>
    </row>
    <row r="263" spans="1:5" x14ac:dyDescent="0.25">
      <c r="A263" s="30">
        <v>0.32557130579677979</v>
      </c>
      <c r="B263"/>
      <c r="C263"/>
      <c r="D263"/>
      <c r="E263"/>
    </row>
    <row r="264" spans="1:5" x14ac:dyDescent="0.25">
      <c r="A264" s="30">
        <v>0.3100679102826473</v>
      </c>
      <c r="B264"/>
      <c r="C264"/>
      <c r="D264"/>
      <c r="E264"/>
    </row>
    <row r="265" spans="1:5" x14ac:dyDescent="0.25">
      <c r="A265" s="30">
        <v>0.2953027716977592</v>
      </c>
      <c r="B265"/>
      <c r="C265"/>
      <c r="D265"/>
      <c r="E265"/>
    </row>
    <row r="266" spans="1:5" x14ac:dyDescent="0.25">
      <c r="A266" s="30">
        <v>0.28124073495024676</v>
      </c>
      <c r="B266"/>
      <c r="C266"/>
      <c r="D266"/>
      <c r="E266"/>
    </row>
    <row r="267" spans="1:5" x14ac:dyDescent="0.25">
      <c r="A267" s="30">
        <v>0.26784831900023492</v>
      </c>
      <c r="B267"/>
      <c r="C267"/>
      <c r="D267"/>
      <c r="E267"/>
    </row>
    <row r="268" spans="1:5" x14ac:dyDescent="0.25">
      <c r="A268" s="30">
        <v>0.25509363714308075</v>
      </c>
      <c r="B268"/>
      <c r="C268"/>
      <c r="D268"/>
      <c r="E268"/>
    </row>
    <row r="269" spans="1:5" x14ac:dyDescent="0.25">
      <c r="A269" s="30">
        <v>0.24294632108864825</v>
      </c>
      <c r="B269"/>
      <c r="C269"/>
      <c r="D269"/>
      <c r="E269"/>
    </row>
    <row r="270" spans="1:5" x14ac:dyDescent="0.25">
      <c r="A270" s="30">
        <v>0.23137744865585538</v>
      </c>
      <c r="B270"/>
      <c r="C270"/>
      <c r="D270"/>
      <c r="E270"/>
    </row>
    <row r="271" spans="1:5" x14ac:dyDescent="0.25">
      <c r="A271" s="30">
        <v>0.22035947491033836</v>
      </c>
      <c r="B271"/>
      <c r="C271"/>
      <c r="D271"/>
      <c r="E271"/>
    </row>
    <row r="272" spans="1:5" x14ac:dyDescent="0.25">
      <c r="A272" s="30">
        <v>0.20986616658127455</v>
      </c>
      <c r="B272"/>
      <c r="C272"/>
      <c r="D272"/>
      <c r="E272"/>
    </row>
    <row r="273" spans="1:5" x14ac:dyDescent="0.25">
      <c r="A273" s="30">
        <v>0.19987253960121379</v>
      </c>
      <c r="B273"/>
      <c r="C273"/>
      <c r="D273"/>
      <c r="E273"/>
    </row>
    <row r="274" spans="1:5" x14ac:dyDescent="0.25">
      <c r="A274" s="30">
        <v>0.19035479962020352</v>
      </c>
      <c r="B274"/>
      <c r="C274"/>
      <c r="D274"/>
      <c r="E274"/>
    </row>
    <row r="275" spans="1:5" x14ac:dyDescent="0.25">
      <c r="A275" s="30">
        <v>0.18129028535257471</v>
      </c>
      <c r="B275"/>
      <c r="C275"/>
      <c r="D275"/>
      <c r="E275"/>
    </row>
    <row r="276" spans="1:5" x14ac:dyDescent="0.25">
      <c r="A276" s="30">
        <v>0.17265741462149967</v>
      </c>
      <c r="B276"/>
      <c r="C276"/>
      <c r="D276"/>
      <c r="E276"/>
    </row>
    <row r="277" spans="1:5" x14ac:dyDescent="0.25">
      <c r="A277" s="30">
        <v>0.16443563297285677</v>
      </c>
      <c r="B277"/>
      <c r="C277"/>
      <c r="D277"/>
      <c r="E277"/>
    </row>
    <row r="278" spans="1:5" x14ac:dyDescent="0.25">
      <c r="A278" s="30">
        <v>0.15660536473605399</v>
      </c>
      <c r="B278"/>
      <c r="C278"/>
      <c r="D278"/>
      <c r="E278"/>
    </row>
    <row r="279" spans="1:5" x14ac:dyDescent="0.25">
      <c r="A279" s="30">
        <v>0.14914796641528946</v>
      </c>
      <c r="B279"/>
      <c r="C279"/>
      <c r="D279"/>
      <c r="E279"/>
    </row>
    <row r="280" spans="1:5" x14ac:dyDescent="0.25">
      <c r="A280" s="30">
        <v>0.14204568230027562</v>
      </c>
      <c r="B280"/>
      <c r="C280"/>
      <c r="D280"/>
      <c r="E280"/>
    </row>
    <row r="281" spans="1:5" x14ac:dyDescent="0.25">
      <c r="A281" s="30">
        <v>0.13528160219073862</v>
      </c>
      <c r="B281"/>
      <c r="C281"/>
      <c r="D281"/>
      <c r="E281"/>
    </row>
    <row r="282" spans="1:5" x14ac:dyDescent="0.25">
      <c r="A282" s="30">
        <v>0.12883962113403674</v>
      </c>
      <c r="B282"/>
      <c r="C282"/>
      <c r="D282"/>
      <c r="E282"/>
    </row>
    <row r="283" spans="1:5" x14ac:dyDescent="0.25">
      <c r="A283" s="30">
        <v>0.12270440108003494</v>
      </c>
      <c r="B283"/>
      <c r="C283"/>
      <c r="D283"/>
      <c r="E283"/>
    </row>
    <row r="284" spans="1:5" x14ac:dyDescent="0.25">
      <c r="A284" s="30">
        <v>0.11686133436193799</v>
      </c>
      <c r="B284"/>
      <c r="C284"/>
      <c r="D284"/>
      <c r="E284"/>
    </row>
    <row r="285" spans="1:5" x14ac:dyDescent="0.25">
      <c r="A285" s="30">
        <v>0.11129650891613138</v>
      </c>
      <c r="B285"/>
      <c r="C285"/>
      <c r="D285"/>
      <c r="E285"/>
    </row>
    <row r="286" spans="1:5" x14ac:dyDescent="0.25">
      <c r="A286" s="30">
        <v>0.10599667515822032</v>
      </c>
      <c r="B286"/>
      <c r="C286"/>
      <c r="D286"/>
      <c r="E286"/>
    </row>
    <row r="287" spans="1:5" x14ac:dyDescent="0.25">
      <c r="A287" s="30">
        <v>0.10094921443640027</v>
      </c>
      <c r="B287"/>
      <c r="C287"/>
      <c r="D287"/>
      <c r="E287"/>
    </row>
    <row r="288" spans="1:5" x14ac:dyDescent="0.25">
      <c r="A288" s="30">
        <v>9.6142108987047836E-2</v>
      </c>
      <c r="B288"/>
      <c r="C288"/>
      <c r="D288"/>
      <c r="E288"/>
    </row>
    <row r="289" spans="1:5" x14ac:dyDescent="0.25">
      <c r="A289" s="30">
        <v>9.1563913320997906E-2</v>
      </c>
      <c r="B289"/>
      <c r="C289"/>
      <c r="D289"/>
      <c r="E289"/>
    </row>
    <row r="290" spans="1:5" x14ac:dyDescent="0.25">
      <c r="A290" s="30">
        <v>8.7203726972378923E-2</v>
      </c>
      <c r="B290"/>
      <c r="C290"/>
      <c r="D290"/>
      <c r="E290"/>
    </row>
    <row r="291" spans="1:5" x14ac:dyDescent="0.25">
      <c r="A291" s="30">
        <v>8.3051168545122747E-2</v>
      </c>
      <c r="B291"/>
      <c r="C291"/>
      <c r="D291"/>
      <c r="E291"/>
    </row>
    <row r="292" spans="1:5" x14ac:dyDescent="0.25">
      <c r="A292" s="30">
        <v>7.9096350995354961E-2</v>
      </c>
      <c r="B292"/>
      <c r="C292"/>
      <c r="D292"/>
      <c r="E292"/>
    </row>
    <row r="293" spans="1:5" x14ac:dyDescent="0.25">
      <c r="A293" s="30">
        <v>7.5329858090814217E-2</v>
      </c>
      <c r="B293"/>
      <c r="C293"/>
      <c r="D293"/>
      <c r="E293"/>
    </row>
    <row r="294" spans="1:5" x14ac:dyDescent="0.25">
      <c r="A294" s="30">
        <v>7.1742721991251604E-2</v>
      </c>
      <c r="B294"/>
      <c r="C294"/>
      <c r="D294"/>
      <c r="E294"/>
    </row>
    <row r="295" spans="1:5" x14ac:dyDescent="0.25">
      <c r="A295" s="30">
        <v>6.8326401896430078E-2</v>
      </c>
      <c r="B295"/>
      <c r="C295"/>
      <c r="D295"/>
      <c r="E295"/>
    </row>
    <row r="296" spans="1:5" x14ac:dyDescent="0.25">
      <c r="A296" s="30">
        <v>6.5072763710885759E-2</v>
      </c>
      <c r="B296"/>
      <c r="C296"/>
      <c r="D296"/>
      <c r="E296"/>
    </row>
    <row r="297" spans="1:5" x14ac:dyDescent="0.25">
      <c r="A297" s="30">
        <v>6.197406067703403E-2</v>
      </c>
      <c r="B297"/>
      <c r="C297"/>
      <c r="D297"/>
      <c r="E297"/>
    </row>
    <row r="298" spans="1:5" x14ac:dyDescent="0.25">
      <c r="A298" s="30">
        <v>5.9022914930508576E-2</v>
      </c>
      <c r="B298"/>
      <c r="C298"/>
      <c r="D298"/>
      <c r="E298"/>
    </row>
    <row r="299" spans="1:5" x14ac:dyDescent="0.25">
      <c r="A299" s="30">
        <v>5.6212299933817669E-2</v>
      </c>
      <c r="B299"/>
      <c r="C299"/>
      <c r="D299"/>
      <c r="E299"/>
    </row>
    <row r="300" spans="1:5" x14ac:dyDescent="0.25">
      <c r="A300" s="30">
        <v>5.3535523746492994E-2</v>
      </c>
      <c r="B300"/>
      <c r="C300"/>
      <c r="D300"/>
      <c r="E300"/>
    </row>
    <row r="301" spans="1:5" x14ac:dyDescent="0.25">
      <c r="A301" s="30">
        <v>5.0986213091898068E-2</v>
      </c>
      <c r="B301"/>
      <c r="C301"/>
      <c r="D301"/>
      <c r="E301"/>
    </row>
    <row r="302" spans="1:5" x14ac:dyDescent="0.25">
      <c r="A302" s="30">
        <v>4.8558298182760043E-2</v>
      </c>
      <c r="B302"/>
      <c r="C302"/>
      <c r="D302"/>
      <c r="E302"/>
    </row>
    <row r="303" spans="1:5" x14ac:dyDescent="0.25">
      <c r="A303" s="30">
        <v>4.6245998269295263E-2</v>
      </c>
      <c r="B303"/>
      <c r="C303"/>
      <c r="D303"/>
      <c r="E303"/>
    </row>
    <row r="304" spans="1:5" x14ac:dyDescent="0.25">
      <c r="A304" s="30">
        <v>4.4043807875519279E-2</v>
      </c>
      <c r="B304"/>
      <c r="C304"/>
      <c r="D304"/>
      <c r="E304"/>
    </row>
    <row r="305" spans="1:5" x14ac:dyDescent="0.25">
      <c r="A305" s="30">
        <v>4.1946483690970725E-2</v>
      </c>
      <c r="B305"/>
      <c r="C305"/>
      <c r="D305"/>
      <c r="E305"/>
    </row>
    <row r="306" spans="1:5" x14ac:dyDescent="0.25">
      <c r="A306" s="30">
        <v>3.9949032086638768E-2</v>
      </c>
      <c r="B306"/>
      <c r="C306"/>
      <c r="D306"/>
      <c r="E306"/>
    </row>
    <row r="307" spans="1:5" x14ac:dyDescent="0.25">
      <c r="A307" s="30">
        <v>3.8046697225370241E-2</v>
      </c>
      <c r="B307"/>
      <c r="C307"/>
      <c r="D307"/>
      <c r="E307"/>
    </row>
    <row r="308" spans="1:5" x14ac:dyDescent="0.25">
      <c r="A308" s="30">
        <v>3.6234949738447833E-2</v>
      </c>
      <c r="B308"/>
      <c r="C308"/>
      <c r="D308"/>
      <c r="E308"/>
    </row>
    <row r="309" spans="1:5" x14ac:dyDescent="0.25">
      <c r="A309" s="30">
        <v>3.4509475941378875E-2</v>
      </c>
      <c r="B309"/>
      <c r="C309"/>
      <c r="D309"/>
      <c r="E309"/>
    </row>
    <row r="310" spans="1:5" x14ac:dyDescent="0.25">
      <c r="A310" s="30">
        <v>3.286616756321796E-2</v>
      </c>
      <c r="B310"/>
      <c r="C310"/>
      <c r="D310"/>
      <c r="E310"/>
    </row>
    <row r="311" spans="1:5" x14ac:dyDescent="0.25">
      <c r="A311" s="30">
        <v>3.1301111964969472E-2</v>
      </c>
      <c r="B311"/>
      <c r="C311"/>
      <c r="D311"/>
      <c r="E311"/>
    </row>
    <row r="312" spans="1:5" x14ac:dyDescent="0.25">
      <c r="A312" s="30">
        <v>2.9810582823780438E-2</v>
      </c>
      <c r="B312"/>
      <c r="C312"/>
      <c r="D312"/>
      <c r="E312"/>
    </row>
    <row r="313" spans="1:5" x14ac:dyDescent="0.25">
      <c r="A313" s="30">
        <v>2.8391031260743264E-2</v>
      </c>
      <c r="B313"/>
      <c r="C313"/>
      <c r="D313"/>
      <c r="E313"/>
    </row>
    <row r="314" spans="1:5" x14ac:dyDescent="0.25">
      <c r="A314" s="30">
        <v>2.7039077391184052E-2</v>
      </c>
      <c r="B314"/>
      <c r="C314"/>
      <c r="D314"/>
      <c r="E314"/>
    </row>
    <row r="315" spans="1:5" x14ac:dyDescent="0.25">
      <c r="A315" s="30">
        <v>2.5751502277318133E-2</v>
      </c>
      <c r="B315"/>
      <c r="C315"/>
      <c r="D315"/>
      <c r="E315"/>
    </row>
    <row r="316" spans="1:5" x14ac:dyDescent="0.25">
      <c r="A316" s="30">
        <v>2.4525240264112496E-2</v>
      </c>
      <c r="B316"/>
      <c r="C316"/>
      <c r="D316"/>
      <c r="E316"/>
    </row>
    <row r="317" spans="1:5" x14ac:dyDescent="0.25">
      <c r="A317" s="30">
        <v>2.3357371680107129E-2</v>
      </c>
      <c r="B317"/>
      <c r="C317"/>
      <c r="D317"/>
      <c r="E317"/>
    </row>
    <row r="318" spans="1:5" x14ac:dyDescent="0.25">
      <c r="A318" s="30">
        <v>2.2245115885816305E-2</v>
      </c>
      <c r="B318"/>
      <c r="C318"/>
      <c r="D318"/>
      <c r="E318"/>
    </row>
    <row r="319" spans="1:5" x14ac:dyDescent="0.25">
      <c r="A319" s="30">
        <v>2.1185824653158377E-2</v>
      </c>
      <c r="B319"/>
      <c r="C319"/>
      <c r="D319"/>
      <c r="E319"/>
    </row>
    <row r="320" spans="1:5" x14ac:dyDescent="0.25">
      <c r="A320" s="30">
        <v>2.0176975860150829E-2</v>
      </c>
      <c r="B320"/>
      <c r="C320"/>
      <c r="D320"/>
      <c r="E320"/>
    </row>
    <row r="321" spans="1:5" x14ac:dyDescent="0.25">
      <c r="A321" s="30">
        <v>1.9216167485857926E-2</v>
      </c>
      <c r="B321"/>
      <c r="C321"/>
      <c r="D321"/>
      <c r="E321"/>
    </row>
    <row r="322" spans="1:5" x14ac:dyDescent="0.25">
      <c r="A322" s="30">
        <v>1.8301111891293256E-2</v>
      </c>
      <c r="B322"/>
      <c r="C322"/>
      <c r="D322"/>
      <c r="E322"/>
    </row>
    <row r="323" spans="1:5" x14ac:dyDescent="0.25">
      <c r="A323" s="30">
        <v>1.7429630372660238E-2</v>
      </c>
      <c r="B323"/>
      <c r="C323"/>
      <c r="D323"/>
      <c r="E323"/>
    </row>
    <row r="324" spans="1:5" x14ac:dyDescent="0.25">
      <c r="A324" s="30">
        <v>1.6599647973962125E-2</v>
      </c>
      <c r="B324"/>
      <c r="C324"/>
      <c r="D324"/>
      <c r="E324"/>
    </row>
    <row r="325" spans="1:5" x14ac:dyDescent="0.25">
      <c r="A325" s="30">
        <v>1.580918854663059E-2</v>
      </c>
      <c r="B325"/>
      <c r="C325"/>
      <c r="D325"/>
      <c r="E325"/>
    </row>
    <row r="326" spans="1:5" x14ac:dyDescent="0.25">
      <c r="A326" s="30">
        <v>1.5056370044410079E-2</v>
      </c>
      <c r="B326"/>
      <c r="C326"/>
      <c r="D326"/>
      <c r="E326"/>
    </row>
    <row r="327" spans="1:5" x14ac:dyDescent="0.25">
      <c r="A327" s="30">
        <v>1.4339400042295308E-2</v>
      </c>
      <c r="B327"/>
      <c r="C327"/>
      <c r="D327"/>
      <c r="E327"/>
    </row>
    <row r="328" spans="1:5" x14ac:dyDescent="0.25">
      <c r="A328" s="30">
        <v>1.365657146885267E-2</v>
      </c>
      <c r="B328"/>
      <c r="C328"/>
      <c r="D328"/>
      <c r="E328"/>
    </row>
    <row r="329" spans="1:5" x14ac:dyDescent="0.25">
      <c r="A329" s="30">
        <v>1.3006258541764442E-2</v>
      </c>
      <c r="B329"/>
      <c r="C329"/>
      <c r="D329"/>
      <c r="E329"/>
    </row>
    <row r="330" spans="1:5" x14ac:dyDescent="0.25">
      <c r="A330" s="30">
        <v>1.2386912896918512E-2</v>
      </c>
      <c r="B330"/>
      <c r="C330"/>
      <c r="D330"/>
      <c r="E330"/>
    </row>
    <row r="331" spans="1:5" x14ac:dyDescent="0.25">
      <c r="A331" s="30">
        <v>1.179705990182715E-2</v>
      </c>
      <c r="B331"/>
      <c r="C331"/>
      <c r="D331"/>
      <c r="E331"/>
    </row>
    <row r="332" spans="1:5" x14ac:dyDescent="0.25">
      <c r="A332" s="30">
        <v>1.1235295144597281E-2</v>
      </c>
      <c r="B332"/>
      <c r="C332"/>
      <c r="D332"/>
      <c r="E332"/>
    </row>
    <row r="333" spans="1:5" x14ac:dyDescent="0.25">
      <c r="A333" s="30">
        <v>1.0700281090092644E-2</v>
      </c>
      <c r="B333"/>
      <c r="C333"/>
      <c r="D333"/>
      <c r="E333"/>
    </row>
    <row r="334" spans="1:5" x14ac:dyDescent="0.25">
      <c r="A334" s="30">
        <v>1.0190743895326324E-2</v>
      </c>
      <c r="B334"/>
      <c r="C334"/>
      <c r="D334"/>
      <c r="E334"/>
    </row>
    <row r="335" spans="1:5" x14ac:dyDescent="0.25">
      <c r="A335" s="30">
        <v>9.7054703765012563E-3</v>
      </c>
      <c r="B335"/>
      <c r="C335"/>
      <c r="D335"/>
      <c r="E335"/>
    </row>
    <row r="336" spans="1:5" x14ac:dyDescent="0.25">
      <c r="A336" s="30">
        <v>9.2433051204773835E-3</v>
      </c>
      <c r="B336"/>
      <c r="C336"/>
      <c r="D336"/>
      <c r="E336"/>
    </row>
    <row r="337" spans="1:5" x14ac:dyDescent="0.25">
      <c r="A337" s="30">
        <v>8.8031477337879808E-3</v>
      </c>
      <c r="B337"/>
      <c r="C337"/>
      <c r="D337"/>
      <c r="E337"/>
    </row>
    <row r="338" spans="1:5" x14ac:dyDescent="0.25">
      <c r="A338" s="30">
        <v>8.3839502226552166E-3</v>
      </c>
      <c r="B338"/>
      <c r="C338"/>
      <c r="D338"/>
      <c r="E338"/>
    </row>
    <row r="339" spans="1:5" x14ac:dyDescent="0.25">
      <c r="A339" s="30">
        <v>7.9847144977668698E-3</v>
      </c>
      <c r="B339"/>
      <c r="C339"/>
      <c r="D339"/>
      <c r="E339"/>
    </row>
    <row r="340" spans="1:5" x14ac:dyDescent="0.25">
      <c r="A340" s="30">
        <v>7.6044899978732058E-3</v>
      </c>
      <c r="B340"/>
      <c r="C340"/>
      <c r="D340"/>
      <c r="E340"/>
    </row>
    <row r="341" spans="1:5" x14ac:dyDescent="0.25">
      <c r="A341" s="30">
        <v>7.2423714265459072E-3</v>
      </c>
      <c r="B341"/>
      <c r="C341"/>
      <c r="D341"/>
      <c r="E341"/>
    </row>
    <row r="342" spans="1:5" x14ac:dyDescent="0.25">
      <c r="A342" s="30">
        <v>6.8974965967103846E-3</v>
      </c>
      <c r="B342"/>
      <c r="C342"/>
      <c r="D342"/>
      <c r="E342"/>
    </row>
    <row r="343" spans="1:5" x14ac:dyDescent="0.25">
      <c r="A343" s="30">
        <v>6.5690443778194116E-3</v>
      </c>
      <c r="B343"/>
      <c r="C343"/>
      <c r="D343"/>
      <c r="E343"/>
    </row>
    <row r="344" spans="1:5" x14ac:dyDescent="0.25">
      <c r="A344" s="30">
        <v>6.2562327407803897E-3</v>
      </c>
      <c r="B344"/>
      <c r="C344"/>
      <c r="D344"/>
      <c r="E344"/>
    </row>
    <row r="345" spans="1:5" x14ac:dyDescent="0.25">
      <c r="A345" s="30">
        <v>5.9583168959813212E-3</v>
      </c>
      <c r="B345"/>
      <c r="C345"/>
      <c r="D345"/>
      <c r="E345"/>
    </row>
    <row r="346" spans="1:5" x14ac:dyDescent="0.25">
      <c r="A346" s="30">
        <v>5.6745875199822084E-3</v>
      </c>
      <c r="B346"/>
      <c r="C346"/>
      <c r="D346"/>
      <c r="E346"/>
    </row>
    <row r="347" spans="1:5" x14ac:dyDescent="0.25">
      <c r="A347" s="30">
        <v>5.4043690666497205E-3</v>
      </c>
      <c r="B347"/>
      <c r="C347"/>
      <c r="D347"/>
      <c r="E347"/>
    </row>
    <row r="348" spans="1:5" x14ac:dyDescent="0.25">
      <c r="A348" s="30">
        <v>5.1470181587140174E-3</v>
      </c>
      <c r="B348"/>
      <c r="C348"/>
      <c r="D348"/>
      <c r="E348"/>
    </row>
    <row r="349" spans="1:5" x14ac:dyDescent="0.25">
      <c r="A349" s="30">
        <v>4.9019220559181099E-3</v>
      </c>
      <c r="B349"/>
      <c r="C349"/>
      <c r="D349"/>
      <c r="E349"/>
    </row>
    <row r="350" spans="1:5" x14ac:dyDescent="0.25">
      <c r="A350" s="30">
        <v>4.6684971961124836E-3</v>
      </c>
      <c r="B350"/>
      <c r="C350"/>
      <c r="D350"/>
      <c r="E350"/>
    </row>
    <row r="351" spans="1:5" x14ac:dyDescent="0.25">
      <c r="A351" s="30">
        <v>4.4461878058214112E-3</v>
      </c>
      <c r="B351"/>
      <c r="C351"/>
      <c r="D351"/>
      <c r="E351"/>
    </row>
    <row r="352" spans="1:5" x14ac:dyDescent="0.25">
      <c r="A352" s="30">
        <v>4.2344645769727711E-3</v>
      </c>
      <c r="B352"/>
      <c r="C352"/>
      <c r="D352"/>
      <c r="E352"/>
    </row>
    <row r="353" spans="1:5" x14ac:dyDescent="0.25">
      <c r="A353" s="30">
        <v>4.0328234066407329E-3</v>
      </c>
      <c r="B353"/>
      <c r="C353"/>
      <c r="D353"/>
      <c r="E353"/>
    </row>
    <row r="354" spans="1:5" x14ac:dyDescent="0.25">
      <c r="A354" s="30">
        <v>3.8407841968006963E-3</v>
      </c>
      <c r="B354"/>
      <c r="C354"/>
      <c r="D354"/>
      <c r="E354"/>
    </row>
    <row r="355" spans="1:5" x14ac:dyDescent="0.25">
      <c r="A355" s="30">
        <v>3.6578897112387568E-3</v>
      </c>
      <c r="B355"/>
      <c r="C355"/>
      <c r="D355"/>
      <c r="E355"/>
    </row>
    <row r="356" spans="1:5" x14ac:dyDescent="0.25">
      <c r="A356" s="30">
        <v>3.4837044868940526E-3</v>
      </c>
      <c r="B356"/>
      <c r="C356"/>
      <c r="D356"/>
      <c r="E356"/>
    </row>
    <row r="357" spans="1:5" x14ac:dyDescent="0.25">
      <c r="A357" s="30">
        <v>3.3178137970419535E-3</v>
      </c>
      <c r="B357"/>
      <c r="C357"/>
      <c r="D357"/>
      <c r="E357"/>
    </row>
    <row r="358" spans="1:5" x14ac:dyDescent="0.25">
      <c r="A358" s="30">
        <v>3.1598226638494781E-3</v>
      </c>
      <c r="B358"/>
      <c r="C358"/>
      <c r="D358"/>
      <c r="E358"/>
    </row>
    <row r="359" spans="1:5" x14ac:dyDescent="0.25">
      <c r="A359" s="30">
        <v>3.0093549179518826E-3</v>
      </c>
      <c r="B359"/>
      <c r="C359"/>
      <c r="D359"/>
      <c r="E359"/>
    </row>
    <row r="360" spans="1:5" x14ac:dyDescent="0.25">
      <c r="A360" s="30">
        <v>2.8660523028113155E-3</v>
      </c>
      <c r="B360"/>
      <c r="C360"/>
      <c r="D360"/>
      <c r="E360"/>
    </row>
    <row r="361" spans="1:5" x14ac:dyDescent="0.25">
      <c r="A361" s="30">
        <v>2.7295736217250611E-3</v>
      </c>
      <c r="B361"/>
      <c r="C361"/>
      <c r="D361"/>
      <c r="E361"/>
    </row>
    <row r="362" spans="1:5" x14ac:dyDescent="0.25">
      <c r="A362" s="30">
        <v>2.5995939254524381E-3</v>
      </c>
      <c r="B362"/>
      <c r="C362"/>
      <c r="D362"/>
      <c r="E362"/>
    </row>
    <row r="363" spans="1:5" x14ac:dyDescent="0.25">
      <c r="A363" s="30">
        <v>2.4758037385261304E-3</v>
      </c>
      <c r="B363"/>
      <c r="C363"/>
      <c r="D363"/>
      <c r="E363"/>
    </row>
    <row r="364" spans="1:5" x14ac:dyDescent="0.25">
      <c r="A364" s="30">
        <v>2.3579083224058374E-3</v>
      </c>
      <c r="B364"/>
      <c r="C364"/>
      <c r="D364"/>
      <c r="E364"/>
    </row>
    <row r="365" spans="1:5" x14ac:dyDescent="0.25">
      <c r="A365" s="30">
        <v>2.245626973719844E-3</v>
      </c>
      <c r="B365"/>
      <c r="C365"/>
      <c r="D365"/>
      <c r="E365"/>
    </row>
    <row r="366" spans="1:5" x14ac:dyDescent="0.25">
      <c r="A366" s="30">
        <v>2.1386923559236601E-3</v>
      </c>
      <c r="B366"/>
      <c r="C366"/>
      <c r="D366"/>
      <c r="E366"/>
    </row>
    <row r="367" spans="1:5" x14ac:dyDescent="0.25">
      <c r="A367" s="30">
        <v>2.0368498627844375E-3</v>
      </c>
      <c r="B367"/>
      <c r="C367"/>
      <c r="D367"/>
      <c r="E367"/>
    </row>
    <row r="368" spans="1:5" x14ac:dyDescent="0.25">
      <c r="A368" s="30">
        <v>1.9398570121756541E-3</v>
      </c>
      <c r="B368"/>
      <c r="C368"/>
      <c r="D368"/>
      <c r="E368"/>
    </row>
    <row r="369" spans="1:5" x14ac:dyDescent="0.25">
      <c r="A369" s="30">
        <v>1.8474828687387174E-3</v>
      </c>
      <c r="B369"/>
      <c r="C369"/>
      <c r="D369"/>
      <c r="E369"/>
    </row>
    <row r="370" spans="1:5" x14ac:dyDescent="0.25">
      <c r="A370" s="30">
        <v>1.759507494036873E-3</v>
      </c>
      <c r="B370"/>
      <c r="C370"/>
      <c r="D370"/>
      <c r="E370"/>
    </row>
    <row r="371" spans="1:5" x14ac:dyDescent="0.25">
      <c r="A371" s="30">
        <v>1.6757214228922594E-3</v>
      </c>
      <c r="B371"/>
      <c r="C371"/>
      <c r="D371"/>
      <c r="E371"/>
    </row>
    <row r="372" spans="1:5" x14ac:dyDescent="0.25">
      <c r="A372" s="30">
        <v>1.595925164659294E-3</v>
      </c>
      <c r="B372"/>
      <c r="C372"/>
      <c r="D372"/>
      <c r="E372"/>
    </row>
    <row r="373" spans="1:5" x14ac:dyDescent="0.25">
      <c r="A373" s="30">
        <v>1.5199287282469461E-3</v>
      </c>
      <c r="B373"/>
      <c r="C373"/>
      <c r="D373"/>
      <c r="E373"/>
    </row>
    <row r="374" spans="1:5" x14ac:dyDescent="0.25">
      <c r="A374" s="30">
        <v>1.4475511697589958E-3</v>
      </c>
      <c r="B374"/>
      <c r="C374"/>
      <c r="D374"/>
      <c r="E374"/>
    </row>
    <row r="375" spans="1:5" x14ac:dyDescent="0.25">
      <c r="A375" s="30">
        <v>1.3786201616752334E-3</v>
      </c>
      <c r="B375"/>
      <c r="C375"/>
      <c r="D375"/>
      <c r="E375"/>
    </row>
    <row r="376" spans="1:5" x14ac:dyDescent="0.25">
      <c r="A376" s="30">
        <v>1.3129715825478407E-3</v>
      </c>
      <c r="B376"/>
      <c r="C376"/>
      <c r="D376"/>
      <c r="E376"/>
    </row>
    <row r="377" spans="1:5" x14ac:dyDescent="0.25">
      <c r="A377" s="30">
        <v>1.2504491262360382E-3</v>
      </c>
      <c r="B377"/>
      <c r="C377"/>
      <c r="D377"/>
      <c r="E377"/>
    </row>
    <row r="378" spans="1:5" x14ac:dyDescent="0.25">
      <c r="A378" s="30">
        <v>1.1909039297486072E-3</v>
      </c>
      <c r="B378"/>
      <c r="C378"/>
      <c r="D378"/>
      <c r="E378"/>
    </row>
    <row r="379" spans="1:5" x14ac:dyDescent="0.25">
      <c r="A379" s="30">
        <v>1.1341942188081969E-3</v>
      </c>
      <c r="B379"/>
      <c r="C379"/>
      <c r="D379"/>
      <c r="E379"/>
    </row>
    <row r="380" spans="1:5" x14ac:dyDescent="0.25">
      <c r="A380" s="30">
        <v>1.0801849702935203E-3</v>
      </c>
      <c r="B380"/>
      <c r="C380"/>
      <c r="D380"/>
      <c r="E380"/>
    </row>
    <row r="381" spans="1:5" x14ac:dyDescent="0.25">
      <c r="A381" s="30">
        <v>1.0287475907557332E-3</v>
      </c>
      <c r="B381"/>
      <c r="C381"/>
      <c r="D381"/>
      <c r="E381"/>
    </row>
    <row r="382" spans="1:5" x14ac:dyDescent="0.25">
      <c r="A382" s="30">
        <v>9.7731021121794646E-4</v>
      </c>
    </row>
    <row r="383" spans="1:5" x14ac:dyDescent="0.25">
      <c r="A383" s="30">
        <v>9.2844470065704904E-4</v>
      </c>
    </row>
    <row r="384" spans="1:5" x14ac:dyDescent="0.25">
      <c r="A384" s="30">
        <v>8.8202246562419653E-4</v>
      </c>
    </row>
    <row r="385" spans="1:1" x14ac:dyDescent="0.25">
      <c r="A385" s="30">
        <v>8.3792134234298668E-4</v>
      </c>
    </row>
    <row r="386" spans="1:1" x14ac:dyDescent="0.25">
      <c r="A386" s="30">
        <v>7.9602527522583736E-4</v>
      </c>
    </row>
    <row r="387" spans="1:1" x14ac:dyDescent="0.25">
      <c r="A387" s="30">
        <v>7.5622401146454546E-4</v>
      </c>
    </row>
    <row r="388" spans="1:1" x14ac:dyDescent="0.25">
      <c r="A388" s="30">
        <v>7.1841281089131816E-4</v>
      </c>
    </row>
    <row r="389" spans="1:1" x14ac:dyDescent="0.25">
      <c r="A389" s="30">
        <v>6.8249217034675226E-4</v>
      </c>
    </row>
    <row r="390" spans="1:1" x14ac:dyDescent="0.25">
      <c r="A390" s="30">
        <v>6.4836756182941465E-4</v>
      </c>
    </row>
    <row r="391" spans="1:1" x14ac:dyDescent="0.25">
      <c r="A391" s="30">
        <v>6.1594918373794388E-4</v>
      </c>
    </row>
    <row r="392" spans="1:1" x14ac:dyDescent="0.25">
      <c r="A392" s="30">
        <v>5.8515172455104666E-4</v>
      </c>
    </row>
    <row r="393" spans="1:1" x14ac:dyDescent="0.25">
      <c r="A393" s="30">
        <v>5.5589413832349429E-4</v>
      </c>
    </row>
    <row r="394" spans="1:1" x14ac:dyDescent="0.25">
      <c r="A394" s="30">
        <v>5.2809943140731956E-4</v>
      </c>
    </row>
    <row r="395" spans="1:1" x14ac:dyDescent="0.25">
      <c r="A395" s="30">
        <v>5.0169445983695357E-4</v>
      </c>
    </row>
    <row r="396" spans="1:1" x14ac:dyDescent="0.25">
      <c r="A396" s="30">
        <v>4.7660973684510589E-4</v>
      </c>
    </row>
    <row r="397" spans="1:1" x14ac:dyDescent="0.25">
      <c r="A397" s="30">
        <v>4.5277925000285056E-4</v>
      </c>
    </row>
    <row r="398" spans="1:1" x14ac:dyDescent="0.25">
      <c r="A398" s="30">
        <v>4.3014028750270803E-4</v>
      </c>
    </row>
    <row r="399" spans="1:1" x14ac:dyDescent="0.25">
      <c r="A399" s="30">
        <v>4.0863327312757263E-4</v>
      </c>
    </row>
    <row r="400" spans="1:1" x14ac:dyDescent="0.25">
      <c r="A400" s="30">
        <v>3.8820160947119396E-4</v>
      </c>
    </row>
    <row r="401" spans="1:1" x14ac:dyDescent="0.25">
      <c r="A401" s="30">
        <v>3.6879152899763426E-4</v>
      </c>
    </row>
    <row r="402" spans="1:1" x14ac:dyDescent="0.25">
      <c r="A402" s="30">
        <v>3.5035195254775253E-4</v>
      </c>
    </row>
    <row r="403" spans="1:1" x14ac:dyDescent="0.25">
      <c r="A403" s="30">
        <v>3.3283435492036491E-4</v>
      </c>
    </row>
    <row r="404" spans="1:1" x14ac:dyDescent="0.25">
      <c r="A404" s="30">
        <v>3.1619263717434668E-4</v>
      </c>
    </row>
    <row r="405" spans="1:1" x14ac:dyDescent="0.25">
      <c r="A405" s="30">
        <v>3.0038300531562933E-4</v>
      </c>
    </row>
    <row r="406" spans="1:1" x14ac:dyDescent="0.25">
      <c r="A406" s="30">
        <v>2.8536385504984783E-4</v>
      </c>
    </row>
    <row r="407" spans="1:1" x14ac:dyDescent="0.25">
      <c r="A407" s="30">
        <v>2.7109566229735542E-4</v>
      </c>
    </row>
    <row r="408" spans="1:1" x14ac:dyDescent="0.25">
      <c r="A408" s="30">
        <v>2.5754087918248761E-4</v>
      </c>
    </row>
    <row r="409" spans="1:1" x14ac:dyDescent="0.25">
      <c r="A409" s="30">
        <v>2.4466383522336323E-4</v>
      </c>
    </row>
    <row r="410" spans="1:1" x14ac:dyDescent="0.25">
      <c r="A410" s="30">
        <v>2.3243064346219506E-4</v>
      </c>
    </row>
    <row r="411" spans="1:1" x14ac:dyDescent="0.25">
      <c r="A411" s="30">
        <v>2.2080911128908529E-4</v>
      </c>
    </row>
    <row r="412" spans="1:1" x14ac:dyDescent="0.25">
      <c r="A412" s="30">
        <v>2.0976865572463102E-4</v>
      </c>
    </row>
    <row r="413" spans="1:1" x14ac:dyDescent="0.25">
      <c r="A413" s="30">
        <v>1.9928022293839946E-4</v>
      </c>
    </row>
    <row r="414" spans="1:1" x14ac:dyDescent="0.25">
      <c r="A414" s="30">
        <v>1.8931621179147948E-4</v>
      </c>
    </row>
    <row r="415" spans="1:1" x14ac:dyDescent="0.25">
      <c r="A415" s="30">
        <v>1.798504012019055E-4</v>
      </c>
    </row>
    <row r="416" spans="1:1" x14ac:dyDescent="0.25">
      <c r="A416" s="30">
        <v>1.7085788114181021E-4</v>
      </c>
    </row>
    <row r="417" spans="1:1" x14ac:dyDescent="0.25">
      <c r="A417" s="30">
        <v>1.623149870847197E-4</v>
      </c>
    </row>
    <row r="418" spans="1:1" x14ac:dyDescent="0.25">
      <c r="A418" s="30">
        <v>1.541992377304837E-4</v>
      </c>
    </row>
    <row r="419" spans="1:1" x14ac:dyDescent="0.25">
      <c r="A419" s="30">
        <v>1.4648927584395952E-4</v>
      </c>
    </row>
    <row r="420" spans="1:1" x14ac:dyDescent="0.25">
      <c r="A420" s="30">
        <v>1.3916481205176153E-4</v>
      </c>
    </row>
    <row r="421" spans="1:1" x14ac:dyDescent="0.25">
      <c r="A421" s="30">
        <v>1.3220657144917344E-4</v>
      </c>
    </row>
    <row r="422" spans="1:1" x14ac:dyDescent="0.25">
      <c r="A422" s="30">
        <v>1.2559624287671476E-4</v>
      </c>
    </row>
    <row r="423" spans="1:1" x14ac:dyDescent="0.25">
      <c r="A423" s="30">
        <v>1.1931643073287902E-4</v>
      </c>
    </row>
    <row r="424" spans="1:1" x14ac:dyDescent="0.25">
      <c r="A424" s="30">
        <v>1.1335060919623506E-4</v>
      </c>
    </row>
    <row r="425" spans="1:1" x14ac:dyDescent="0.25">
      <c r="A425" s="30">
        <v>1.076830787364233E-4</v>
      </c>
    </row>
    <row r="426" spans="1:1" x14ac:dyDescent="0.25">
      <c r="A426" s="30">
        <v>1.0229892479960213E-4</v>
      </c>
    </row>
    <row r="427" spans="1:1" x14ac:dyDescent="0.25">
      <c r="A427" s="30">
        <v>9.7183978559622027E-5</v>
      </c>
    </row>
    <row r="428" spans="1:1" x14ac:dyDescent="0.25">
      <c r="A428" s="30">
        <v>9.2324779631640922E-5</v>
      </c>
    </row>
    <row r="429" spans="1:1" x14ac:dyDescent="0.25">
      <c r="A429" s="30">
        <v>8.7708540650058869E-5</v>
      </c>
    </row>
    <row r="430" spans="1:1" x14ac:dyDescent="0.25">
      <c r="A430" s="30">
        <v>8.3323113617555917E-5</v>
      </c>
    </row>
    <row r="431" spans="1:1" x14ac:dyDescent="0.25">
      <c r="A431" s="30">
        <v>7.9156957936678114E-5</v>
      </c>
    </row>
    <row r="432" spans="1:1" x14ac:dyDescent="0.25">
      <c r="A432" s="30">
        <v>7.5199110039844203E-5</v>
      </c>
    </row>
    <row r="433" spans="1:1" x14ac:dyDescent="0.25">
      <c r="A433" s="30">
        <v>7.1439154537851989E-5</v>
      </c>
    </row>
    <row r="434" spans="1:1" x14ac:dyDescent="0.25">
      <c r="A434" s="30">
        <v>6.7867196810959381E-5</v>
      </c>
    </row>
    <row r="435" spans="1:1" x14ac:dyDescent="0.25">
      <c r="A435" s="30">
        <v>6.4473836970411412E-5</v>
      </c>
    </row>
    <row r="436" spans="1:1" x14ac:dyDescent="0.25">
      <c r="A436" s="30">
        <v>6.1250145121890834E-5</v>
      </c>
    </row>
    <row r="437" spans="1:1" x14ac:dyDescent="0.25">
      <c r="A437" s="30">
        <v>5.8187637865796292E-5</v>
      </c>
    </row>
    <row r="438" spans="1:1" x14ac:dyDescent="0.25">
      <c r="A438" s="30">
        <v>5.5278255972506478E-5</v>
      </c>
    </row>
    <row r="439" spans="1:1" x14ac:dyDescent="0.25">
      <c r="A439" s="30">
        <v>5.251434317388115E-5</v>
      </c>
    </row>
    <row r="440" spans="1:1" x14ac:dyDescent="0.25">
      <c r="A440" s="30">
        <v>4.9888626015187091E-5</v>
      </c>
    </row>
    <row r="441" spans="1:1" x14ac:dyDescent="0.25">
      <c r="A441" s="30">
        <v>4.7394194714427735E-5</v>
      </c>
    </row>
    <row r="442" spans="1:1" x14ac:dyDescent="0.25">
      <c r="A442" s="30">
        <v>4.5024484978706345E-5</v>
      </c>
    </row>
    <row r="443" spans="1:1" x14ac:dyDescent="0.25">
      <c r="A443" s="30">
        <v>4.2773260729771024E-5</v>
      </c>
    </row>
    <row r="444" spans="1:1" x14ac:dyDescent="0.25">
      <c r="A444" s="30">
        <v>4.0634597693282472E-5</v>
      </c>
    </row>
    <row r="445" spans="1:1" x14ac:dyDescent="0.25">
      <c r="A445" s="30">
        <v>3.8602867808618349E-5</v>
      </c>
    </row>
    <row r="446" spans="1:1" x14ac:dyDescent="0.25">
      <c r="A446" s="30">
        <v>3.6672724418187428E-5</v>
      </c>
    </row>
    <row r="447" spans="1:1" x14ac:dyDescent="0.25">
      <c r="A447" s="30">
        <v>3.4839088197278057E-5</v>
      </c>
    </row>
    <row r="448" spans="1:1" x14ac:dyDescent="0.25">
      <c r="A448" s="30">
        <v>3.3097133787414149E-5</v>
      </c>
    </row>
    <row r="449" spans="1:1" x14ac:dyDescent="0.25">
      <c r="A449" s="30">
        <v>3.1442277098043439E-5</v>
      </c>
    </row>
    <row r="450" spans="1:1" x14ac:dyDescent="0.25">
      <c r="A450" s="30">
        <v>2.9870163243141264E-5</v>
      </c>
    </row>
    <row r="451" spans="1:1" x14ac:dyDescent="0.25">
      <c r="A451" s="30">
        <v>2.8376655080984199E-5</v>
      </c>
    </row>
    <row r="452" spans="1:1" x14ac:dyDescent="0.25">
      <c r="A452" s="30">
        <v>2.6957822326934987E-5</v>
      </c>
    </row>
    <row r="453" spans="1:1" x14ac:dyDescent="0.25">
      <c r="A453" s="30">
        <v>2.5609931210588235E-5</v>
      </c>
    </row>
    <row r="454" spans="1:1" x14ac:dyDescent="0.25">
      <c r="A454" s="30">
        <v>2.4329434650058821E-5</v>
      </c>
    </row>
    <row r="455" spans="1:1" x14ac:dyDescent="0.25">
      <c r="A455" s="30">
        <v>2.311296291755588E-5</v>
      </c>
    </row>
    <row r="456" spans="1:1" x14ac:dyDescent="0.25">
      <c r="A456" s="30">
        <v>2.1957314771678086E-5</v>
      </c>
    </row>
    <row r="457" spans="1:1" x14ac:dyDescent="0.25">
      <c r="A457" s="30">
        <v>2.085944903309418E-5</v>
      </c>
    </row>
    <row r="458" spans="1:1" x14ac:dyDescent="0.25">
      <c r="A458" s="30">
        <v>1.9816476581439472E-5</v>
      </c>
    </row>
    <row r="459" spans="1:1" x14ac:dyDescent="0.25">
      <c r="A459" s="30">
        <v>1.8825652752367499E-5</v>
      </c>
    </row>
    <row r="460" spans="1:1" x14ac:dyDescent="0.25">
      <c r="A460" s="30">
        <v>1.7884370114749124E-5</v>
      </c>
    </row>
    <row r="461" spans="1:1" x14ac:dyDescent="0.25">
      <c r="A461" s="30">
        <v>1.6990151609011666E-5</v>
      </c>
    </row>
    <row r="462" spans="1:1" x14ac:dyDescent="0.25">
      <c r="A462" s="30">
        <v>1.6140644028561083E-5</v>
      </c>
    </row>
    <row r="463" spans="1:1" x14ac:dyDescent="0.25">
      <c r="A463" s="30">
        <v>1.5333611827133028E-5</v>
      </c>
    </row>
    <row r="464" spans="1:1" x14ac:dyDescent="0.25">
      <c r="A464" s="30">
        <v>1.4566931235776375E-5</v>
      </c>
    </row>
    <row r="465" spans="1:1" x14ac:dyDescent="0.25">
      <c r="A465" s="30">
        <v>1.3838584673987556E-5</v>
      </c>
    </row>
    <row r="466" spans="1:1" x14ac:dyDescent="0.25">
      <c r="A466" s="30">
        <v>1.3146655440288178E-5</v>
      </c>
    </row>
    <row r="467" spans="1:1" x14ac:dyDescent="0.25">
      <c r="A467" s="30">
        <v>1.2489322668273768E-5</v>
      </c>
    </row>
    <row r="468" spans="1:1" x14ac:dyDescent="0.25">
      <c r="A468" s="30">
        <v>1.186485653486008E-5</v>
      </c>
    </row>
    <row r="469" spans="1:1" x14ac:dyDescent="0.25">
      <c r="A469" s="30">
        <v>1.1271613708117075E-5</v>
      </c>
    </row>
    <row r="470" spans="1:1" x14ac:dyDescent="0.25">
      <c r="A470" s="30">
        <v>1.0708033022711222E-5</v>
      </c>
    </row>
    <row r="471" spans="1:1" x14ac:dyDescent="0.25">
      <c r="A471" s="30">
        <v>1.0172631371575661E-5</v>
      </c>
    </row>
    <row r="472" spans="1:1" x14ac:dyDescent="0.25">
      <c r="A472" s="30">
        <v>9.6639998029968765E-6</v>
      </c>
    </row>
    <row r="473" spans="1:1" x14ac:dyDescent="0.25">
      <c r="A473" s="30">
        <v>9.1807998128470321E-6</v>
      </c>
    </row>
    <row r="474" spans="1:1" x14ac:dyDescent="0.25">
      <c r="A474" s="30">
        <v>8.7217598222046798E-6</v>
      </c>
    </row>
    <row r="475" spans="1:1" x14ac:dyDescent="0.25">
      <c r="A475" s="30">
        <v>8.2856718310944451E-6</v>
      </c>
    </row>
    <row r="476" spans="1:1" x14ac:dyDescent="0.25">
      <c r="A476" s="30">
        <v>7.8713882395397226E-6</v>
      </c>
    </row>
    <row r="477" spans="1:1" x14ac:dyDescent="0.25">
      <c r="A477" s="30">
        <v>7.4778188275627361E-6</v>
      </c>
    </row>
    <row r="478" spans="1:1" x14ac:dyDescent="0.25">
      <c r="A478" s="30">
        <v>7.1039278861845986E-6</v>
      </c>
    </row>
    <row r="479" spans="1:1" x14ac:dyDescent="0.25">
      <c r="A479" s="30">
        <v>6.7487314918753682E-6</v>
      </c>
    </row>
    <row r="480" spans="1:1" x14ac:dyDescent="0.25">
      <c r="A480" s="30">
        <v>6.4112949172815995E-6</v>
      </c>
    </row>
    <row r="481" spans="1:1" x14ac:dyDescent="0.25">
      <c r="A481" s="30">
        <v>6.0907301714175189E-6</v>
      </c>
    </row>
    <row r="482" spans="1:1" x14ac:dyDescent="0.25">
      <c r="A482" s="30">
        <v>5.7861936628466423E-6</v>
      </c>
    </row>
    <row r="483" spans="1:1" x14ac:dyDescent="0.25">
      <c r="A483" s="30">
        <v>5.4968839797043099E-6</v>
      </c>
    </row>
    <row r="484" spans="1:1" x14ac:dyDescent="0.25">
      <c r="A484" s="30">
        <v>5.2220397807190937E-6</v>
      </c>
    </row>
    <row r="485" spans="1:1" x14ac:dyDescent="0.25">
      <c r="A485" s="30">
        <v>4.9609377916831386E-6</v>
      </c>
    </row>
    <row r="486" spans="1:1" x14ac:dyDescent="0.25">
      <c r="A486" s="30">
        <v>4.7128909020989814E-6</v>
      </c>
    </row>
    <row r="487" spans="1:1" x14ac:dyDescent="0.25">
      <c r="A487" s="30">
        <v>4.4772463569940322E-6</v>
      </c>
    </row>
    <row r="488" spans="1:1" x14ac:dyDescent="0.25">
      <c r="A488" s="30">
        <v>4.2533840391443302E-6</v>
      </c>
    </row>
    <row r="489" spans="1:1" x14ac:dyDescent="0.25">
      <c r="A489" s="30">
        <v>4.0407148371871134E-6</v>
      </c>
    </row>
    <row r="490" spans="1:1" x14ac:dyDescent="0.25">
      <c r="A490" s="30">
        <v>3.838679095327758E-6</v>
      </c>
    </row>
    <row r="491" spans="1:1" x14ac:dyDescent="0.25">
      <c r="A491" s="30">
        <v>3.6467451405613698E-6</v>
      </c>
    </row>
    <row r="492" spans="1:1" x14ac:dyDescent="0.25">
      <c r="A492" s="30">
        <v>3.464407883533301E-6</v>
      </c>
    </row>
    <row r="493" spans="1:1" x14ac:dyDescent="0.25">
      <c r="A493" s="30">
        <v>3.2911874893566358E-6</v>
      </c>
    </row>
    <row r="494" spans="1:1" x14ac:dyDescent="0.25">
      <c r="A494" s="30">
        <v>3.1266281148888039E-6</v>
      </c>
    </row>
    <row r="495" spans="1:1" x14ac:dyDescent="0.25">
      <c r="A495" s="30">
        <v>2.9702967091443636E-6</v>
      </c>
    </row>
    <row r="496" spans="1:1" x14ac:dyDescent="0.25">
      <c r="A496" s="30">
        <v>2.8217818736871453E-6</v>
      </c>
    </row>
    <row r="497" spans="1:1" x14ac:dyDescent="0.25">
      <c r="A497" s="30">
        <v>2.6806927800027881E-6</v>
      </c>
    </row>
    <row r="498" spans="1:1" x14ac:dyDescent="0.25">
      <c r="A498" s="30">
        <v>2.5466581410026485E-6</v>
      </c>
    </row>
    <row r="499" spans="1:1" x14ac:dyDescent="0.25">
      <c r="A499" s="30">
        <v>2.4193252339525159E-6</v>
      </c>
    </row>
    <row r="500" spans="1:1" x14ac:dyDescent="0.25">
      <c r="A500" s="30">
        <v>2.2983589722548901E-6</v>
      </c>
    </row>
    <row r="501" spans="1:1" x14ac:dyDescent="0.25">
      <c r="A501" s="30">
        <v>2.1834410236421454E-6</v>
      </c>
    </row>
    <row r="502" spans="1:1" x14ac:dyDescent="0.25">
      <c r="A502" s="30">
        <v>2.0742689724600379E-6</v>
      </c>
    </row>
    <row r="503" spans="1:1" x14ac:dyDescent="0.25">
      <c r="A503" s="30">
        <v>1.9705555238370358E-6</v>
      </c>
    </row>
    <row r="504" spans="1:1" x14ac:dyDescent="0.25">
      <c r="A504" s="30">
        <v>1.8720277476451839E-6</v>
      </c>
    </row>
    <row r="505" spans="1:1" x14ac:dyDescent="0.25">
      <c r="A505" s="30">
        <v>1.7784263602629246E-6</v>
      </c>
    </row>
    <row r="506" spans="1:1" x14ac:dyDescent="0.25">
      <c r="A506" s="30">
        <v>1.6895050422497783E-6</v>
      </c>
    </row>
    <row r="507" spans="1:1" x14ac:dyDescent="0.25">
      <c r="A507" s="30">
        <v>1.6050297901372894E-6</v>
      </c>
    </row>
    <row r="508" spans="1:1" x14ac:dyDescent="0.25">
      <c r="A508" s="30">
        <v>1.5247783006304249E-6</v>
      </c>
    </row>
    <row r="509" spans="1:1" x14ac:dyDescent="0.25">
      <c r="A509" s="30">
        <v>1.4485393855989036E-6</v>
      </c>
    </row>
    <row r="510" spans="1:1" x14ac:dyDescent="0.25">
      <c r="A510" s="30">
        <v>1.3761124163189583E-6</v>
      </c>
    </row>
    <row r="511" spans="1:1" x14ac:dyDescent="0.25">
      <c r="A511" s="30">
        <v>1.3073067955030102E-6</v>
      </c>
    </row>
    <row r="512" spans="1:1" x14ac:dyDescent="0.25">
      <c r="A512" s="30">
        <v>1.2419414557278597E-6</v>
      </c>
    </row>
    <row r="513" spans="1:1" x14ac:dyDescent="0.25">
      <c r="A513" s="30">
        <v>1.1798443829414667E-6</v>
      </c>
    </row>
    <row r="514" spans="1:1" x14ac:dyDescent="0.25">
      <c r="A514" s="30">
        <v>1.1208521637943934E-6</v>
      </c>
    </row>
    <row r="515" spans="1:1" x14ac:dyDescent="0.25">
      <c r="A515" s="30">
        <v>1.0648095556046737E-6</v>
      </c>
    </row>
    <row r="516" spans="1:1" x14ac:dyDescent="0.25">
      <c r="A516" s="30">
        <v>1.01156907782444E-6</v>
      </c>
    </row>
    <row r="517" spans="1:1" x14ac:dyDescent="0.25">
      <c r="A517" s="30">
        <v>9.6099062393321788E-7</v>
      </c>
    </row>
    <row r="518" spans="1:1" x14ac:dyDescent="0.25">
      <c r="A518" s="30">
        <v>9.1294109273655694E-7</v>
      </c>
    </row>
    <row r="519" spans="1:1" x14ac:dyDescent="0.25">
      <c r="A519" s="30">
        <v>8.6729403809972904E-7</v>
      </c>
    </row>
    <row r="520" spans="1:1" x14ac:dyDescent="0.25">
      <c r="A520" s="30">
        <v>8.2392933619474258E-7</v>
      </c>
    </row>
    <row r="521" spans="1:1" x14ac:dyDescent="0.25">
      <c r="A521" s="30">
        <v>7.8273286938500543E-7</v>
      </c>
    </row>
    <row r="522" spans="1:1" x14ac:dyDescent="0.25">
      <c r="A522" s="30">
        <v>7.4359622591575509E-7</v>
      </c>
    </row>
    <row r="523" spans="1:1" x14ac:dyDescent="0.25">
      <c r="A523" s="30">
        <v>7.064164146199673E-7</v>
      </c>
    </row>
    <row r="524" spans="1:1" x14ac:dyDescent="0.25">
      <c r="A524" s="30">
        <v>6.7109559388896894E-7</v>
      </c>
    </row>
    <row r="525" spans="1:1" x14ac:dyDescent="0.25">
      <c r="A525" s="30">
        <v>6.3754081419452045E-7</v>
      </c>
    </row>
    <row r="526" spans="1:1" x14ac:dyDescent="0.25">
      <c r="A526" s="30">
        <v>6.056637734847944E-7</v>
      </c>
    </row>
    <row r="527" spans="1:1" x14ac:dyDescent="0.25">
      <c r="A527" s="30">
        <v>5.7538058481055464E-7</v>
      </c>
    </row>
    <row r="528" spans="1:1" x14ac:dyDescent="0.25">
      <c r="A528" s="30">
        <v>5.4661155557002689E-7</v>
      </c>
    </row>
    <row r="529" spans="1:1" x14ac:dyDescent="0.25">
      <c r="A529" s="30">
        <v>5.1928097779152547E-7</v>
      </c>
    </row>
    <row r="530" spans="1:1" x14ac:dyDescent="0.25">
      <c r="A530" s="30">
        <v>4.9331692890194916E-7</v>
      </c>
    </row>
    <row r="531" spans="1:1" x14ac:dyDescent="0.25">
      <c r="A531" s="30">
        <v>4.6865108245685168E-7</v>
      </c>
    </row>
    <row r="532" spans="1:1" x14ac:dyDescent="0.25">
      <c r="A532" s="30">
        <v>4.4521852833400909E-7</v>
      </c>
    </row>
    <row r="533" spans="1:1" x14ac:dyDescent="0.25">
      <c r="A533" s="30">
        <v>4.2295760191730863E-7</v>
      </c>
    </row>
    <row r="534" spans="1:1" x14ac:dyDescent="0.25">
      <c r="A534" s="30">
        <v>4.018097218214432E-7</v>
      </c>
    </row>
    <row r="535" spans="1:1" x14ac:dyDescent="0.25">
      <c r="A535" s="30">
        <v>3.8171923573037103E-7</v>
      </c>
    </row>
    <row r="536" spans="1:1" x14ac:dyDescent="0.25">
      <c r="A536" s="30">
        <v>3.6263327394385244E-7</v>
      </c>
    </row>
    <row r="537" spans="1:1" x14ac:dyDescent="0.25">
      <c r="A537" s="30">
        <v>3.4450161024665982E-7</v>
      </c>
    </row>
    <row r="538" spans="1:1" x14ac:dyDescent="0.25">
      <c r="A538" s="30">
        <v>3.2727652973432681E-7</v>
      </c>
    </row>
    <row r="539" spans="1:1" x14ac:dyDescent="0.25">
      <c r="A539" s="30">
        <v>3.1091270324761048E-7</v>
      </c>
    </row>
    <row r="540" spans="1:1" x14ac:dyDescent="0.25">
      <c r="A540" s="30">
        <v>2.9536706808522992E-7</v>
      </c>
    </row>
    <row r="541" spans="1:1" x14ac:dyDescent="0.25">
      <c r="A541" s="30">
        <v>2.8059871468096844E-7</v>
      </c>
    </row>
    <row r="542" spans="1:1" x14ac:dyDescent="0.25">
      <c r="A542" s="30">
        <v>2.6656877894691999E-7</v>
      </c>
    </row>
    <row r="543" spans="1:1" x14ac:dyDescent="0.25">
      <c r="A543" s="30">
        <v>2.5324033999957397E-7</v>
      </c>
    </row>
    <row r="544" spans="1:1" x14ac:dyDescent="0.25">
      <c r="A544" s="30">
        <v>2.4057832299959528E-7</v>
      </c>
    </row>
    <row r="545" spans="1:1" x14ac:dyDescent="0.25">
      <c r="A545" s="30">
        <v>2.2854940684961551E-7</v>
      </c>
    </row>
    <row r="546" spans="1:1" x14ac:dyDescent="0.25">
      <c r="A546" s="30">
        <v>2.1712193650713473E-7</v>
      </c>
    </row>
    <row r="547" spans="1:1" x14ac:dyDescent="0.25">
      <c r="A547" s="30">
        <v>2.0626583968177798E-7</v>
      </c>
    </row>
    <row r="548" spans="1:1" x14ac:dyDescent="0.25">
      <c r="A548" s="30">
        <v>1.9595254769768908E-7</v>
      </c>
    </row>
    <row r="549" spans="1:1" x14ac:dyDescent="0.25">
      <c r="A549" s="30">
        <v>1.8615492031280462E-7</v>
      </c>
    </row>
    <row r="550" spans="1:1" x14ac:dyDescent="0.25">
      <c r="A550" s="30">
        <v>1.7684717429716437E-7</v>
      </c>
    </row>
    <row r="551" spans="1:1" x14ac:dyDescent="0.25">
      <c r="A551" s="30">
        <v>1.6800481558230616E-7</v>
      </c>
    </row>
    <row r="552" spans="1:1" x14ac:dyDescent="0.25">
      <c r="A552" s="30">
        <v>1.5960457480319083E-7</v>
      </c>
    </row>
    <row r="553" spans="1:1" x14ac:dyDescent="0.25">
      <c r="A553" s="30">
        <v>1.5162434606303129E-7</v>
      </c>
    </row>
    <row r="554" spans="1:1" x14ac:dyDescent="0.25">
      <c r="A554" s="30">
        <v>1.4404312875987972E-7</v>
      </c>
    </row>
    <row r="555" spans="1:1" x14ac:dyDescent="0.25">
      <c r="A555" s="30">
        <v>1.3684097232188573E-7</v>
      </c>
    </row>
    <row r="556" spans="1:1" x14ac:dyDescent="0.25">
      <c r="A556" s="30">
        <v>1.2999892370579143E-7</v>
      </c>
    </row>
    <row r="557" spans="1:1" x14ac:dyDescent="0.25">
      <c r="A557" s="30">
        <v>1.2349897752050186E-7</v>
      </c>
    </row>
    <row r="558" spans="1:1" x14ac:dyDescent="0.25">
      <c r="A558" s="30">
        <v>1.1732402864447677E-7</v>
      </c>
    </row>
    <row r="559" spans="1:1" x14ac:dyDescent="0.25">
      <c r="A559" s="30">
        <v>1.1145782721225292E-7</v>
      </c>
    </row>
    <row r="560" spans="1:1" x14ac:dyDescent="0.25">
      <c r="A560" s="30">
        <v>1.0588493585164026E-7</v>
      </c>
    </row>
    <row r="561" spans="1:1" x14ac:dyDescent="0.25">
      <c r="A561" s="30">
        <v>1.0059068905905825E-7</v>
      </c>
    </row>
    <row r="562" spans="1:1" x14ac:dyDescent="0.25">
      <c r="A562" s="30">
        <v>9.5561154606105325E-8</v>
      </c>
    </row>
    <row r="563" spans="1:1" x14ac:dyDescent="0.25">
      <c r="A563" s="30">
        <v>9.0783096875800056E-8</v>
      </c>
    </row>
    <row r="564" spans="1:1" x14ac:dyDescent="0.25">
      <c r="A564" s="30">
        <v>8.6243942032010053E-8</v>
      </c>
    </row>
    <row r="565" spans="1:1" x14ac:dyDescent="0.25">
      <c r="A565" s="30">
        <v>8.1931744930409543E-8</v>
      </c>
    </row>
    <row r="566" spans="1:1" x14ac:dyDescent="0.25">
      <c r="A566" s="30">
        <v>7.7835157683889064E-8</v>
      </c>
    </row>
    <row r="567" spans="1:1" x14ac:dyDescent="0.25">
      <c r="A567" s="30">
        <v>7.3943399799694612E-8</v>
      </c>
    </row>
    <row r="568" spans="1:1" x14ac:dyDescent="0.25">
      <c r="A568" s="30">
        <v>7.0246229809709872E-8</v>
      </c>
    </row>
    <row r="569" spans="1:1" x14ac:dyDescent="0.25">
      <c r="A569" s="30">
        <v>6.6733918319224378E-8</v>
      </c>
    </row>
    <row r="570" spans="1:1" x14ac:dyDescent="0.25">
      <c r="A570" s="30">
        <v>6.3397222403263155E-8</v>
      </c>
    </row>
    <row r="571" spans="1:1" x14ac:dyDescent="0.25">
      <c r="A571" s="30">
        <v>6.0227361283099997E-8</v>
      </c>
    </row>
    <row r="572" spans="1:1" x14ac:dyDescent="0.25">
      <c r="A572" s="30">
        <v>5.7215993218944996E-8</v>
      </c>
    </row>
    <row r="573" spans="1:1" x14ac:dyDescent="0.25">
      <c r="A573" s="30">
        <v>5.4355193557997742E-8</v>
      </c>
    </row>
    <row r="574" spans="1:1" x14ac:dyDescent="0.25">
      <c r="A574" s="30">
        <v>5.1637433880097855E-8</v>
      </c>
    </row>
    <row r="575" spans="1:1" x14ac:dyDescent="0.25">
      <c r="A575" s="30">
        <v>4.9055562186092959E-8</v>
      </c>
    </row>
    <row r="576" spans="1:1" x14ac:dyDescent="0.25">
      <c r="A576" s="30">
        <v>4.6602784076788309E-8</v>
      </c>
    </row>
    <row r="577" spans="1:1" x14ac:dyDescent="0.25">
      <c r="A577" s="30">
        <v>4.4272644872948894E-8</v>
      </c>
    </row>
    <row r="578" spans="1:1" x14ac:dyDescent="0.25">
      <c r="A578" s="30">
        <v>4.2059012629301451E-8</v>
      </c>
    </row>
    <row r="579" spans="1:1" x14ac:dyDescent="0.25">
      <c r="A579" s="30">
        <v>3.9956061997836377E-8</v>
      </c>
    </row>
    <row r="580" spans="1:1" x14ac:dyDescent="0.25">
      <c r="A580" s="30">
        <v>3.7958258897944555E-8</v>
      </c>
    </row>
    <row r="581" spans="1:1" x14ac:dyDescent="0.25">
      <c r="A581" s="30">
        <v>3.6060345953047327E-8</v>
      </c>
    </row>
    <row r="582" spans="1:1" x14ac:dyDescent="0.25">
      <c r="A582" s="30">
        <v>3.4257328655394958E-8</v>
      </c>
    </row>
    <row r="583" spans="1:1" x14ac:dyDescent="0.25">
      <c r="A583" s="30">
        <v>3.2544462222625211E-8</v>
      </c>
    </row>
    <row r="584" spans="1:1" x14ac:dyDescent="0.25">
      <c r="A584" s="30">
        <v>3.0917239111493953E-8</v>
      </c>
    </row>
    <row r="585" spans="1:1" x14ac:dyDescent="0.25">
      <c r="A585" s="30">
        <v>2.9371377155919254E-8</v>
      </c>
    </row>
    <row r="586" spans="1:1" x14ac:dyDescent="0.25">
      <c r="A586" s="30">
        <v>2.7902808298123291E-8</v>
      </c>
    </row>
    <row r="587" spans="1:1" x14ac:dyDescent="0.25">
      <c r="A587" s="30">
        <v>2.6507667883217124E-8</v>
      </c>
    </row>
    <row r="588" spans="1:1" x14ac:dyDescent="0.25">
      <c r="A588" s="30">
        <v>2.5182284489056268E-8</v>
      </c>
    </row>
    <row r="589" spans="1:1" x14ac:dyDescent="0.25">
      <c r="A589" s="30">
        <v>2.3923170264603454E-8</v>
      </c>
    </row>
    <row r="590" spans="1:1" x14ac:dyDescent="0.25">
      <c r="A590" s="30">
        <v>2.2727011751373281E-8</v>
      </c>
    </row>
    <row r="591" spans="1:1" x14ac:dyDescent="0.25">
      <c r="A591" s="30">
        <v>2.1590661163804617E-8</v>
      </c>
    </row>
    <row r="592" spans="1:1" x14ac:dyDescent="0.25">
      <c r="A592" s="30">
        <v>2.0511128105614386E-8</v>
      </c>
    </row>
    <row r="593" spans="1:1" x14ac:dyDescent="0.25">
      <c r="A593" s="30">
        <v>1.9485571700333666E-8</v>
      </c>
    </row>
    <row r="594" spans="1:1" x14ac:dyDescent="0.25">
      <c r="A594" s="30">
        <v>1.8511293115316981E-8</v>
      </c>
    </row>
    <row r="595" spans="1:1" x14ac:dyDescent="0.25">
      <c r="A595" s="30">
        <v>1.758572845955113E-8</v>
      </c>
    </row>
    <row r="596" spans="1:1" x14ac:dyDescent="0.25">
      <c r="A596" s="30">
        <v>1.6706442036573572E-8</v>
      </c>
    </row>
    <row r="597" spans="1:1" x14ac:dyDescent="0.25">
      <c r="A597" s="30">
        <v>1.5871119934744892E-8</v>
      </c>
    </row>
    <row r="598" spans="1:1" x14ac:dyDescent="0.25">
      <c r="A598" s="30">
        <v>1.5077563938007645E-8</v>
      </c>
    </row>
    <row r="599" spans="1:1" x14ac:dyDescent="0.25">
      <c r="A599" s="30">
        <v>1.4323685741107262E-8</v>
      </c>
    </row>
    <row r="600" spans="1:1" x14ac:dyDescent="0.25">
      <c r="A600" s="30">
        <v>1.3607501454051899E-8</v>
      </c>
    </row>
    <row r="601" spans="1:1" x14ac:dyDescent="0.25">
      <c r="A601" s="30">
        <v>1.2927126381349303E-8</v>
      </c>
    </row>
    <row r="602" spans="1:1" x14ac:dyDescent="0.25">
      <c r="A602" s="30">
        <v>1.2280770062281838E-8</v>
      </c>
    </row>
    <row r="603" spans="1:1" x14ac:dyDescent="0.25">
      <c r="A603" s="30">
        <v>1.1666731559167746E-8</v>
      </c>
    </row>
    <row r="604" spans="1:1" x14ac:dyDescent="0.25">
      <c r="A604" s="30">
        <v>1.1083394981209357E-8</v>
      </c>
    </row>
    <row r="605" spans="1:1" x14ac:dyDescent="0.25">
      <c r="A605" s="30">
        <v>1.0529225232148889E-8</v>
      </c>
    </row>
    <row r="606" spans="1:1" x14ac:dyDescent="0.25">
      <c r="A606" s="30">
        <v>1.0002763970541444E-8</v>
      </c>
    </row>
    <row r="607" spans="1:1" x14ac:dyDescent="0.25">
      <c r="A607" s="30">
        <v>9.5026257720143712E-9</v>
      </c>
    </row>
    <row r="608" spans="1:1" x14ac:dyDescent="0.25">
      <c r="A608" s="30">
        <v>9.0274944834136515E-9</v>
      </c>
    </row>
    <row r="609" spans="1:1" x14ac:dyDescent="0.25">
      <c r="A609" s="30">
        <v>8.5761197592429686E-9</v>
      </c>
    </row>
    <row r="610" spans="1:1" x14ac:dyDescent="0.25">
      <c r="A610" s="30">
        <v>8.1473137712808194E-9</v>
      </c>
    </row>
    <row r="611" spans="1:1" x14ac:dyDescent="0.25">
      <c r="A611" s="30">
        <v>7.7399480827167776E-9</v>
      </c>
    </row>
    <row r="612" spans="1:1" x14ac:dyDescent="0.25">
      <c r="A612" s="30">
        <v>7.3529506785809386E-9</v>
      </c>
    </row>
    <row r="613" spans="1:1" x14ac:dyDescent="0.25">
      <c r="A613" s="30">
        <v>6.9853031446518911E-9</v>
      </c>
    </row>
    <row r="614" spans="1:1" x14ac:dyDescent="0.25">
      <c r="A614" s="30">
        <v>6.6360379874192963E-9</v>
      </c>
    </row>
    <row r="615" spans="1:1" x14ac:dyDescent="0.25">
      <c r="A615" s="30">
        <v>6.3042360880483309E-9</v>
      </c>
    </row>
    <row r="616" spans="1:1" x14ac:dyDescent="0.25">
      <c r="A616" s="30">
        <v>5.989024283645914E-9</v>
      </c>
    </row>
    <row r="617" spans="1:1" x14ac:dyDescent="0.25">
      <c r="A617" s="30">
        <v>5.6895730694636181E-9</v>
      </c>
    </row>
    <row r="618" spans="1:1" x14ac:dyDescent="0.25">
      <c r="A618" s="30">
        <v>5.4050944159904366E-9</v>
      </c>
    </row>
    <row r="619" spans="1:1" x14ac:dyDescent="0.25">
      <c r="A619" s="30">
        <v>5.1348396951909145E-9</v>
      </c>
    </row>
    <row r="620" spans="1:1" x14ac:dyDescent="0.25">
      <c r="A620" s="30">
        <v>4.8780977104313684E-9</v>
      </c>
    </row>
    <row r="621" spans="1:1" x14ac:dyDescent="0.25">
      <c r="A621" s="30">
        <v>4.6341928249097994E-9</v>
      </c>
    </row>
    <row r="622" spans="1:1" x14ac:dyDescent="0.25">
      <c r="A622" s="30">
        <v>4.4024831836643092E-9</v>
      </c>
    </row>
    <row r="623" spans="1:1" x14ac:dyDescent="0.25">
      <c r="A623" s="30">
        <v>4.1823590244810936E-9</v>
      </c>
    </row>
    <row r="624" spans="1:1" x14ac:dyDescent="0.25">
      <c r="A624" s="30">
        <v>3.9732410732570384E-9</v>
      </c>
    </row>
    <row r="625" spans="1:1" x14ac:dyDescent="0.25">
      <c r="A625" s="30">
        <v>3.7745790195941862E-9</v>
      </c>
    </row>
    <row r="626" spans="1:1" x14ac:dyDescent="0.25">
      <c r="A626" s="30">
        <v>3.5858500686144767E-9</v>
      </c>
    </row>
    <row r="627" spans="1:1" x14ac:dyDescent="0.25">
      <c r="A627" s="30">
        <v>3.4065575651837529E-9</v>
      </c>
    </row>
    <row r="628" spans="1:1" x14ac:dyDescent="0.25">
      <c r="A628" s="30">
        <v>3.236229686924565E-9</v>
      </c>
    </row>
    <row r="629" spans="1:1" x14ac:dyDescent="0.25">
      <c r="A629" s="30">
        <v>3.0744182025783365E-9</v>
      </c>
    </row>
    <row r="630" spans="1:1" x14ac:dyDescent="0.25">
      <c r="A630" s="30">
        <v>2.9206972924494197E-9</v>
      </c>
    </row>
    <row r="631" spans="1:1" x14ac:dyDescent="0.25">
      <c r="A631" s="30">
        <v>2.7746624278269484E-9</v>
      </c>
    </row>
    <row r="632" spans="1:1" x14ac:dyDescent="0.25">
      <c r="A632" s="30">
        <v>2.635929306435601E-9</v>
      </c>
    </row>
    <row r="633" spans="1:1" x14ac:dyDescent="0.25">
      <c r="A633" s="30">
        <v>2.504132841113821E-9</v>
      </c>
    </row>
    <row r="634" spans="1:1" x14ac:dyDescent="0.25">
      <c r="A634" s="30">
        <v>2.3789261990581298E-9</v>
      </c>
    </row>
    <row r="635" spans="1:1" x14ac:dyDescent="0.25">
      <c r="A635" s="30">
        <v>2.259979889105223E-9</v>
      </c>
    </row>
    <row r="636" spans="1:1" x14ac:dyDescent="0.25">
      <c r="A636" s="30">
        <v>2.1469808946499619E-9</v>
      </c>
    </row>
    <row r="637" spans="1:1" x14ac:dyDescent="0.25">
      <c r="A637" s="30">
        <v>2.0396318499174636E-9</v>
      </c>
    </row>
    <row r="638" spans="1:1" x14ac:dyDescent="0.25">
      <c r="A638" s="30">
        <v>1.9376502574215905E-9</v>
      </c>
    </row>
    <row r="639" spans="1:1" x14ac:dyDescent="0.25">
      <c r="A639" s="30">
        <v>1.8407677445505109E-9</v>
      </c>
    </row>
    <row r="640" spans="1:1" x14ac:dyDescent="0.25">
      <c r="A640" s="30">
        <v>1.7487293573229853E-9</v>
      </c>
    </row>
    <row r="641" spans="1:1" x14ac:dyDescent="0.25">
      <c r="A641" s="30">
        <v>1.661292889456836E-9</v>
      </c>
    </row>
    <row r="642" spans="1:1" x14ac:dyDescent="0.25">
      <c r="A642" s="30">
        <v>1.578228244983994E-9</v>
      </c>
    </row>
    <row r="643" spans="1:1" x14ac:dyDescent="0.25">
      <c r="A643" s="30">
        <v>1.4993168327347942E-9</v>
      </c>
    </row>
    <row r="644" spans="1:1" x14ac:dyDescent="0.25">
      <c r="A644" s="30">
        <v>1.4243509910980544E-9</v>
      </c>
    </row>
    <row r="645" spans="1:1" x14ac:dyDescent="0.25">
      <c r="A645" s="30">
        <v>1.3531334415431516E-9</v>
      </c>
    </row>
    <row r="646" spans="1:1" x14ac:dyDescent="0.25">
      <c r="A646" s="30">
        <v>1.285476769465994E-9</v>
      </c>
    </row>
    <row r="647" spans="1:1" x14ac:dyDescent="0.25">
      <c r="A647" s="30">
        <v>1.2212029309926942E-9</v>
      </c>
    </row>
    <row r="648" spans="1:1" x14ac:dyDescent="0.25">
      <c r="A648" s="30">
        <v>1.1601427844430595E-9</v>
      </c>
    </row>
    <row r="649" spans="1:1" x14ac:dyDescent="0.25">
      <c r="A649" s="30">
        <v>1.1021356452209065E-9</v>
      </c>
    </row>
    <row r="650" spans="1:1" x14ac:dyDescent="0.25">
      <c r="A650" s="30">
        <v>1.047028862959861E-9</v>
      </c>
    </row>
    <row r="651" spans="1:1" x14ac:dyDescent="0.25">
      <c r="A651" s="30">
        <v>9.9467741981186791E-10</v>
      </c>
    </row>
    <row r="652" spans="1:1" x14ac:dyDescent="0.25">
      <c r="A652" s="30">
        <v>9.4494354882127439E-10</v>
      </c>
    </row>
    <row r="653" spans="1:1" x14ac:dyDescent="0.25">
      <c r="A653" s="30">
        <v>8.9769637138021059E-10</v>
      </c>
    </row>
    <row r="654" spans="1:1" x14ac:dyDescent="0.25">
      <c r="A654" s="30">
        <v>8.5281155281120004E-10</v>
      </c>
    </row>
    <row r="655" spans="1:1" x14ac:dyDescent="0.25">
      <c r="A655" s="30">
        <v>8.1017097517064003E-10</v>
      </c>
    </row>
    <row r="656" spans="1:1" x14ac:dyDescent="0.25">
      <c r="A656" s="30">
        <v>7.69662426412108E-10</v>
      </c>
    </row>
    <row r="657" spans="1:1" x14ac:dyDescent="0.25">
      <c r="A657" s="30">
        <v>7.3117930509150257E-10</v>
      </c>
    </row>
    <row r="658" spans="1:1" x14ac:dyDescent="0.25">
      <c r="A658" s="30">
        <v>6.9462033983692743E-10</v>
      </c>
    </row>
    <row r="659" spans="1:1" x14ac:dyDescent="0.25">
      <c r="A659" s="30">
        <v>6.5988932284508105E-10</v>
      </c>
    </row>
    <row r="660" spans="1:1" x14ac:dyDescent="0.25">
      <c r="A660" s="30">
        <v>6.2689485670282699E-10</v>
      </c>
    </row>
    <row r="661" spans="1:1" x14ac:dyDescent="0.25">
      <c r="A661" s="30">
        <v>5.9555011386768556E-10</v>
      </c>
    </row>
    <row r="662" spans="1:1" x14ac:dyDescent="0.25">
      <c r="A662" s="30">
        <v>5.6577260817430128E-10</v>
      </c>
    </row>
    <row r="663" spans="1:1" x14ac:dyDescent="0.25">
      <c r="A663" s="30">
        <v>5.3748397776558616E-10</v>
      </c>
    </row>
    <row r="664" spans="1:1" x14ac:dyDescent="0.25">
      <c r="A664" s="30">
        <v>5.1060977887730685E-10</v>
      </c>
    </row>
    <row r="665" spans="1:1" x14ac:dyDescent="0.25">
      <c r="A665" s="30">
        <v>4.8507928993344152E-10</v>
      </c>
    </row>
    <row r="666" spans="1:1" x14ac:dyDescent="0.25">
      <c r="A666" s="30">
        <v>4.6082532543676942E-10</v>
      </c>
    </row>
    <row r="667" spans="1:1" x14ac:dyDescent="0.25">
      <c r="A667" s="30">
        <v>4.3778405916493093E-10</v>
      </c>
    </row>
    <row r="668" spans="1:1" x14ac:dyDescent="0.25">
      <c r="A668" s="30">
        <v>4.1589485620668437E-10</v>
      </c>
    </row>
    <row r="669" spans="1:1" x14ac:dyDescent="0.25">
      <c r="A669" s="30">
        <v>3.9510011339635012E-10</v>
      </c>
    </row>
    <row r="670" spans="1:1" x14ac:dyDescent="0.25">
      <c r="A670" s="30">
        <v>3.7534510772653259E-10</v>
      </c>
    </row>
    <row r="671" spans="1:1" x14ac:dyDescent="0.25">
      <c r="A671" s="30">
        <v>3.5657785234020594E-10</v>
      </c>
    </row>
    <row r="672" spans="1:1" x14ac:dyDescent="0.25">
      <c r="A672" s="30">
        <v>3.3874895972319565E-10</v>
      </c>
    </row>
    <row r="673" spans="1:1" x14ac:dyDescent="0.25">
      <c r="A673" s="30">
        <v>3.2181151173703586E-10</v>
      </c>
    </row>
    <row r="674" spans="1:1" x14ac:dyDescent="0.25">
      <c r="A674" s="30">
        <v>3.0572093615018408E-10</v>
      </c>
    </row>
    <row r="675" spans="1:1" x14ac:dyDescent="0.25">
      <c r="A675" s="30">
        <v>2.9043488934267484E-10</v>
      </c>
    </row>
    <row r="676" spans="1:1" x14ac:dyDescent="0.25">
      <c r="A676" s="30">
        <v>2.7591314487554109E-10</v>
      </c>
    </row>
    <row r="677" spans="1:1" x14ac:dyDescent="0.25">
      <c r="A677" s="30">
        <v>2.6211748763176403E-10</v>
      </c>
    </row>
    <row r="678" spans="1:1" x14ac:dyDescent="0.25">
      <c r="A678" s="30">
        <v>2.4901161325017583E-10</v>
      </c>
    </row>
    <row r="679" spans="1:1" x14ac:dyDescent="0.25">
      <c r="A679" s="30">
        <v>2.3656103258766704E-10</v>
      </c>
    </row>
    <row r="680" spans="1:1" x14ac:dyDescent="0.25">
      <c r="A680" s="30">
        <v>2.2473298095828367E-10</v>
      </c>
    </row>
    <row r="681" spans="1:1" x14ac:dyDescent="0.25">
      <c r="A681" s="30">
        <v>2.1349633191036949E-10</v>
      </c>
    </row>
    <row r="682" spans="1:1" x14ac:dyDescent="0.25">
      <c r="A682" s="30">
        <v>2.02821515314851E-10</v>
      </c>
    </row>
    <row r="683" spans="1:1" x14ac:dyDescent="0.25">
      <c r="A683" s="30">
        <v>1.9268043954910845E-10</v>
      </c>
    </row>
    <row r="684" spans="1:1" x14ac:dyDescent="0.25">
      <c r="A684" s="30">
        <v>1.8304641757165302E-10</v>
      </c>
    </row>
    <row r="685" spans="1:1" x14ac:dyDescent="0.25">
      <c r="A685" s="30">
        <v>1.7389409669307036E-10</v>
      </c>
    </row>
    <row r="686" spans="1:1" x14ac:dyDescent="0.25">
      <c r="A686" s="30">
        <v>1.6519939185841684E-10</v>
      </c>
    </row>
    <row r="687" spans="1:1" x14ac:dyDescent="0.25">
      <c r="A687" s="30">
        <v>1.5693942226549599E-10</v>
      </c>
    </row>
    <row r="688" spans="1:1" x14ac:dyDescent="0.25">
      <c r="A688" s="30">
        <v>1.4909245115222119E-10</v>
      </c>
    </row>
    <row r="689" spans="1:1" x14ac:dyDescent="0.25">
      <c r="A689" s="30">
        <v>1.4163782859461013E-10</v>
      </c>
    </row>
    <row r="690" spans="1:1" x14ac:dyDescent="0.25">
      <c r="A690" s="30">
        <v>1.3455593716487961E-10</v>
      </c>
    </row>
    <row r="691" spans="1:1" x14ac:dyDescent="0.25">
      <c r="A691" s="30">
        <v>1.2782814030663562E-10</v>
      </c>
    </row>
    <row r="692" spans="1:1" x14ac:dyDescent="0.25">
      <c r="A692" s="30">
        <v>1.2143673329130384E-10</v>
      </c>
    </row>
    <row r="693" spans="1:1" x14ac:dyDescent="0.25">
      <c r="A693" s="30">
        <v>1.1536489662673864E-10</v>
      </c>
    </row>
    <row r="694" spans="1:1" x14ac:dyDescent="0.25">
      <c r="A694" s="30">
        <v>1.095966517954017E-10</v>
      </c>
    </row>
    <row r="695" spans="1:1" x14ac:dyDescent="0.25">
      <c r="A695" s="30">
        <v>1.0411681920563161E-10</v>
      </c>
    </row>
    <row r="696" spans="1:1" x14ac:dyDescent="0.25">
      <c r="A696" s="30">
        <v>9.8910978245350022E-11</v>
      </c>
    </row>
    <row r="697" spans="1:1" x14ac:dyDescent="0.25">
      <c r="A697" s="30">
        <v>9.3965429333082514E-11</v>
      </c>
    </row>
    <row r="698" spans="1:1" x14ac:dyDescent="0.25">
      <c r="A698" s="30">
        <v>8.926715786642838E-11</v>
      </c>
    </row>
    <row r="699" spans="1:1" x14ac:dyDescent="0.25">
      <c r="A699" s="30">
        <v>8.4803799973106953E-11</v>
      </c>
    </row>
    <row r="700" spans="1:1" x14ac:dyDescent="0.25">
      <c r="A700" s="30">
        <v>8.0563609974451603E-11</v>
      </c>
    </row>
    <row r="701" spans="1:1" x14ac:dyDescent="0.25">
      <c r="A701" s="30">
        <v>7.6535429475729024E-11</v>
      </c>
    </row>
    <row r="702" spans="1:1" x14ac:dyDescent="0.25">
      <c r="A702" s="30">
        <v>7.270865800194257E-11</v>
      </c>
    </row>
    <row r="703" spans="1:1" x14ac:dyDescent="0.25">
      <c r="A703" s="30">
        <v>6.9073225101845444E-11</v>
      </c>
    </row>
    <row r="704" spans="1:1" x14ac:dyDescent="0.25">
      <c r="A704" s="30">
        <v>6.5619563846753168E-11</v>
      </c>
    </row>
    <row r="705" spans="1:1" x14ac:dyDescent="0.25">
      <c r="A705" s="30">
        <v>6.2338585654415507E-11</v>
      </c>
    </row>
    <row r="706" spans="1:1" x14ac:dyDescent="0.25">
      <c r="A706" s="30">
        <v>5.9221656371694723E-11</v>
      </c>
    </row>
    <row r="707" spans="1:1" x14ac:dyDescent="0.25">
      <c r="A707" s="30">
        <v>5.6260573553109984E-11</v>
      </c>
    </row>
    <row r="708" spans="1:1" x14ac:dyDescent="0.25">
      <c r="A708" s="30">
        <v>5.3447544875454483E-11</v>
      </c>
    </row>
    <row r="709" spans="1:1" x14ac:dyDescent="0.25">
      <c r="A709" s="30">
        <v>5.0775167631681754E-11</v>
      </c>
    </row>
    <row r="710" spans="1:1" x14ac:dyDescent="0.25">
      <c r="A710" s="30">
        <v>4.8236409250097665E-11</v>
      </c>
    </row>
    <row r="711" spans="1:1" x14ac:dyDescent="0.25">
      <c r="A711" s="30">
        <v>4.5824588787592778E-11</v>
      </c>
    </row>
    <row r="712" spans="1:1" x14ac:dyDescent="0.25">
      <c r="A712" s="30">
        <v>4.3533359348213134E-11</v>
      </c>
    </row>
    <row r="713" spans="1:1" x14ac:dyDescent="0.25">
      <c r="A713" s="30">
        <v>4.1356691380802478E-11</v>
      </c>
    </row>
    <row r="714" spans="1:1" x14ac:dyDescent="0.25">
      <c r="A714" s="30">
        <v>3.9288856811762353E-11</v>
      </c>
    </row>
    <row r="715" spans="1:1" x14ac:dyDescent="0.25">
      <c r="A715" s="30">
        <v>3.7324413971174231E-11</v>
      </c>
    </row>
    <row r="716" spans="1:1" x14ac:dyDescent="0.25">
      <c r="A716" s="30">
        <v>3.545819327261552E-11</v>
      </c>
    </row>
    <row r="717" spans="1:1" x14ac:dyDescent="0.25">
      <c r="A717" s="30">
        <v>3.3685283608984745E-11</v>
      </c>
    </row>
    <row r="718" spans="1:1" x14ac:dyDescent="0.25">
      <c r="A718" s="30">
        <v>3.2001019428535508E-11</v>
      </c>
    </row>
    <row r="719" spans="1:1" x14ac:dyDescent="0.25">
      <c r="A719" s="30">
        <v>3.0400968457108733E-11</v>
      </c>
    </row>
    <row r="720" spans="1:1" x14ac:dyDescent="0.25">
      <c r="A720" s="30">
        <v>2.8880920034253296E-11</v>
      </c>
    </row>
    <row r="721" spans="1:1" x14ac:dyDescent="0.25">
      <c r="A721" s="30">
        <v>2.7436874032540629E-11</v>
      </c>
    </row>
    <row r="722" spans="1:1" x14ac:dyDescent="0.25">
      <c r="A722" s="30">
        <v>2.6065030330913595E-11</v>
      </c>
    </row>
    <row r="723" spans="1:1" x14ac:dyDescent="0.25">
      <c r="A723" s="30">
        <v>2.4761778814367914E-11</v>
      </c>
    </row>
    <row r="724" spans="1:1" x14ac:dyDescent="0.25">
      <c r="A724" s="30">
        <v>2.3523689873649516E-11</v>
      </c>
    </row>
    <row r="725" spans="1:1" x14ac:dyDescent="0.25">
      <c r="A725" s="30">
        <v>2.234750537996704E-11</v>
      </c>
    </row>
    <row r="726" spans="1:1" x14ac:dyDescent="0.25">
      <c r="A726" s="30">
        <v>2.1230130110968688E-11</v>
      </c>
    </row>
    <row r="727" spans="1:1" x14ac:dyDescent="0.25">
      <c r="A727" s="30">
        <v>2.0168623605420253E-11</v>
      </c>
    </row>
    <row r="728" spans="1:1" x14ac:dyDescent="0.25">
      <c r="A728" s="30">
        <v>1.916019242514924E-11</v>
      </c>
    </row>
    <row r="729" spans="1:1" x14ac:dyDescent="0.25">
      <c r="A729" s="30">
        <v>1.8202182803891777E-11</v>
      </c>
    </row>
    <row r="730" spans="1:1" x14ac:dyDescent="0.25">
      <c r="A730" s="30">
        <v>1.7292073663697186E-11</v>
      </c>
    </row>
    <row r="731" spans="1:1" x14ac:dyDescent="0.25">
      <c r="A731" s="30">
        <v>1.6427469980512324E-11</v>
      </c>
    </row>
    <row r="732" spans="1:1" x14ac:dyDescent="0.25">
      <c r="A732" s="30">
        <v>1.5606096481486706E-11</v>
      </c>
    </row>
    <row r="733" spans="1:1" x14ac:dyDescent="0.25">
      <c r="A733" s="30">
        <v>1.482579165741237E-11</v>
      </c>
    </row>
    <row r="734" spans="1:1" x14ac:dyDescent="0.25">
      <c r="A734" s="30">
        <v>1.408450207454175E-11</v>
      </c>
    </row>
    <row r="735" spans="1:1" x14ac:dyDescent="0.25">
      <c r="A735" s="30">
        <v>1.3380276970814662E-11</v>
      </c>
    </row>
    <row r="736" spans="1:1" x14ac:dyDescent="0.25">
      <c r="A736" s="30">
        <v>1.2711263122273928E-11</v>
      </c>
    </row>
    <row r="737" spans="1:1" x14ac:dyDescent="0.25">
      <c r="A737" s="30">
        <v>1.2075699966160231E-11</v>
      </c>
    </row>
    <row r="738" spans="1:1" x14ac:dyDescent="0.25">
      <c r="A738" s="30">
        <v>1.1471914967852219E-11</v>
      </c>
    </row>
    <row r="739" spans="1:1" x14ac:dyDescent="0.25">
      <c r="A739" s="30">
        <v>1.0898319219459608E-11</v>
      </c>
    </row>
    <row r="740" spans="1:1" x14ac:dyDescent="0.25">
      <c r="A740" s="30">
        <v>1.0353403258486628E-11</v>
      </c>
    </row>
    <row r="741" spans="1:1" x14ac:dyDescent="0.25">
      <c r="A741" s="30">
        <v>9.8357330955622963E-12</v>
      </c>
    </row>
    <row r="742" spans="1:1" x14ac:dyDescent="0.25">
      <c r="A742" s="30">
        <v>9.3439464407841808E-12</v>
      </c>
    </row>
    <row r="743" spans="1:1" x14ac:dyDescent="0.25">
      <c r="A743" s="30">
        <v>8.8767491187449709E-12</v>
      </c>
    </row>
    <row r="744" spans="1:1" x14ac:dyDescent="0.25">
      <c r="A744" s="30">
        <v>8.4329116628077213E-12</v>
      </c>
    </row>
    <row r="745" spans="1:1" x14ac:dyDescent="0.25">
      <c r="A745" s="30">
        <v>8.0112660796673341E-12</v>
      </c>
    </row>
    <row r="746" spans="1:1" x14ac:dyDescent="0.25">
      <c r="A746" s="30">
        <v>7.6107027756839663E-12</v>
      </c>
    </row>
    <row r="747" spans="1:1" x14ac:dyDescent="0.25">
      <c r="A747" s="30">
        <v>7.2301676368997673E-12</v>
      </c>
    </row>
    <row r="748" spans="1:1" x14ac:dyDescent="0.25">
      <c r="A748" s="30">
        <v>6.8686592550547782E-12</v>
      </c>
    </row>
    <row r="749" spans="1:1" x14ac:dyDescent="0.25">
      <c r="A749" s="30">
        <v>6.5252262923020387E-12</v>
      </c>
    </row>
    <row r="750" spans="1:1" x14ac:dyDescent="0.25">
      <c r="A750" s="30">
        <v>6.1989649776869368E-12</v>
      </c>
    </row>
    <row r="751" spans="1:1" x14ac:dyDescent="0.25">
      <c r="A751" s="30">
        <v>5.8890167288025901E-12</v>
      </c>
    </row>
    <row r="752" spans="1:1" x14ac:dyDescent="0.25">
      <c r="A752" s="30">
        <v>5.5945658923624606E-12</v>
      </c>
    </row>
    <row r="753" spans="1:1" x14ac:dyDescent="0.25">
      <c r="A753" s="30">
        <v>5.3148375977443373E-12</v>
      </c>
    </row>
    <row r="754" spans="1:1" x14ac:dyDescent="0.25">
      <c r="A754" s="30">
        <v>5.0490957178571204E-12</v>
      </c>
    </row>
    <row r="755" spans="1:1" x14ac:dyDescent="0.25">
      <c r="A755" s="30">
        <v>4.796640931964264E-12</v>
      </c>
    </row>
    <row r="756" spans="1:1" x14ac:dyDescent="0.25">
      <c r="A756" s="30">
        <v>4.5568088853660509E-12</v>
      </c>
    </row>
    <row r="757" spans="1:1" x14ac:dyDescent="0.25">
      <c r="A757" s="30">
        <v>4.3289684410977484E-12</v>
      </c>
    </row>
    <row r="758" spans="1:1" x14ac:dyDescent="0.25">
      <c r="A758" s="30">
        <v>4.1125200190428609E-12</v>
      </c>
    </row>
    <row r="759" spans="1:1" x14ac:dyDescent="0.25">
      <c r="A759" s="30">
        <v>3.9068940180907175E-12</v>
      </c>
    </row>
    <row r="760" spans="1:1" x14ac:dyDescent="0.25">
      <c r="A760" s="30">
        <v>3.7115493171861816E-12</v>
      </c>
    </row>
    <row r="761" spans="1:1" x14ac:dyDescent="0.25">
      <c r="A761" s="30">
        <v>3.5259718513268725E-12</v>
      </c>
    </row>
    <row r="762" spans="1:1" x14ac:dyDescent="0.25">
      <c r="A762" s="30">
        <v>3.3496732587605286E-12</v>
      </c>
    </row>
    <row r="763" spans="1:1" x14ac:dyDescent="0.25">
      <c r="A763" s="30">
        <v>3.182189595822502E-12</v>
      </c>
    </row>
    <row r="764" spans="1:1" x14ac:dyDescent="0.25">
      <c r="A764" s="30">
        <v>3.0230801160313768E-12</v>
      </c>
    </row>
    <row r="765" spans="1:1" x14ac:dyDescent="0.25">
      <c r="A765" s="30">
        <v>2.8719261102298077E-12</v>
      </c>
    </row>
    <row r="766" spans="1:1" x14ac:dyDescent="0.25">
      <c r="A766" s="30">
        <v>2.7283298047183172E-12</v>
      </c>
    </row>
    <row r="767" spans="1:1" x14ac:dyDescent="0.25">
      <c r="A767" s="30">
        <v>2.5919133144824012E-12</v>
      </c>
    </row>
    <row r="768" spans="1:1" x14ac:dyDescent="0.25">
      <c r="A768" s="30">
        <v>2.4623176487582809E-12</v>
      </c>
    </row>
    <row r="769" spans="1:1" x14ac:dyDescent="0.25">
      <c r="A769" s="30">
        <v>2.339201766320367E-12</v>
      </c>
    </row>
    <row r="770" spans="1:1" x14ac:dyDescent="0.25">
      <c r="A770" s="30">
        <v>2.2222416780043484E-12</v>
      </c>
    </row>
    <row r="771" spans="1:1" x14ac:dyDescent="0.25">
      <c r="A771" s="30">
        <v>2.1111295941041311E-12</v>
      </c>
    </row>
    <row r="772" spans="1:1" x14ac:dyDescent="0.25">
      <c r="A772" s="30">
        <v>2.0055731143989244E-12</v>
      </c>
    </row>
    <row r="773" spans="1:1" x14ac:dyDescent="0.25">
      <c r="A773" s="30">
        <v>1.9052944586789781E-12</v>
      </c>
    </row>
    <row r="774" spans="1:1" x14ac:dyDescent="0.25">
      <c r="A774" s="30">
        <v>1.8100297357450291E-12</v>
      </c>
    </row>
    <row r="775" spans="1:1" x14ac:dyDescent="0.25">
      <c r="A775" s="30">
        <v>1.7195282489577775E-12</v>
      </c>
    </row>
    <row r="776" spans="1:1" x14ac:dyDescent="0.25">
      <c r="A776" s="30">
        <v>1.6335518365098885E-12</v>
      </c>
    </row>
    <row r="777" spans="1:1" x14ac:dyDescent="0.25">
      <c r="A777" s="30">
        <v>1.551874244684394E-12</v>
      </c>
    </row>
    <row r="778" spans="1:1" x14ac:dyDescent="0.25">
      <c r="A778" s="30">
        <v>1.4742805324501742E-12</v>
      </c>
    </row>
    <row r="779" spans="1:1" x14ac:dyDescent="0.25">
      <c r="A779" s="30">
        <v>1.4005665058276655E-12</v>
      </c>
    </row>
    <row r="780" spans="1:1" x14ac:dyDescent="0.25">
      <c r="A780" s="30">
        <v>1.3305381805362821E-12</v>
      </c>
    </row>
    <row r="781" spans="1:1" x14ac:dyDescent="0.25">
      <c r="A781" s="30">
        <v>1.264011271509468E-12</v>
      </c>
    </row>
    <row r="782" spans="1:1" x14ac:dyDescent="0.25">
      <c r="A782" s="30">
        <v>1.2008107079339945E-12</v>
      </c>
    </row>
    <row r="783" spans="1:1" x14ac:dyDescent="0.25">
      <c r="A783" s="30">
        <v>1.1407701725372948E-12</v>
      </c>
    </row>
    <row r="784" spans="1:1" x14ac:dyDescent="0.25">
      <c r="A784" s="30">
        <v>1.08373166391043E-12</v>
      </c>
    </row>
    <row r="785" spans="1:1" x14ac:dyDescent="0.25">
      <c r="A785" s="30">
        <v>1.0295450807149084E-12</v>
      </c>
    </row>
    <row r="786" spans="1:1" x14ac:dyDescent="0.25">
      <c r="A786" s="30">
        <v>9.7806782667916296E-13</v>
      </c>
    </row>
    <row r="787" spans="1:1" x14ac:dyDescent="0.25">
      <c r="A787" s="30">
        <v>9.2916443534520479E-13</v>
      </c>
    </row>
    <row r="788" spans="1:1" x14ac:dyDescent="0.25">
      <c r="A788" s="30">
        <v>8.8270621357794449E-13</v>
      </c>
    </row>
    <row r="789" spans="1:1" x14ac:dyDescent="0.25">
      <c r="A789" s="30">
        <v>8.3857090289904726E-13</v>
      </c>
    </row>
    <row r="790" spans="1:1" x14ac:dyDescent="0.25">
      <c r="A790" s="30">
        <v>7.9664235775409483E-13</v>
      </c>
    </row>
    <row r="791" spans="1:1" x14ac:dyDescent="0.25">
      <c r="A791" s="30">
        <v>7.5681023986639008E-13</v>
      </c>
    </row>
    <row r="792" spans="1:1" x14ac:dyDescent="0.25">
      <c r="A792" s="30">
        <v>7.1896972787307055E-13</v>
      </c>
    </row>
    <row r="793" spans="1:1" x14ac:dyDescent="0.25">
      <c r="A793" s="30">
        <v>6.8302124147941695E-13</v>
      </c>
    </row>
    <row r="794" spans="1:1" x14ac:dyDescent="0.25">
      <c r="A794" s="30">
        <v>6.4887017940544605E-13</v>
      </c>
    </row>
    <row r="795" spans="1:1" x14ac:dyDescent="0.25">
      <c r="A795" s="30">
        <v>6.1642667043517373E-13</v>
      </c>
    </row>
    <row r="796" spans="1:1" x14ac:dyDescent="0.25">
      <c r="A796" s="30">
        <v>5.8560533691341505E-13</v>
      </c>
    </row>
    <row r="797" spans="1:1" x14ac:dyDescent="0.25">
      <c r="A797" s="30">
        <v>5.5632507006774425E-13</v>
      </c>
    </row>
    <row r="798" spans="1:1" x14ac:dyDescent="0.25">
      <c r="A798" s="30">
        <v>5.2850881656435705E-13</v>
      </c>
    </row>
    <row r="799" spans="1:1" x14ac:dyDescent="0.25">
      <c r="A799" s="30">
        <v>5.0208337573613919E-13</v>
      </c>
    </row>
    <row r="800" spans="1:1" x14ac:dyDescent="0.25">
      <c r="A800" s="30">
        <v>4.7697920694933223E-13</v>
      </c>
    </row>
    <row r="801" spans="1:1" x14ac:dyDescent="0.25">
      <c r="A801" s="30">
        <v>4.5313024660186561E-13</v>
      </c>
    </row>
    <row r="802" spans="1:1" x14ac:dyDescent="0.25">
      <c r="A802" s="30">
        <v>4.3047373427177233E-13</v>
      </c>
    </row>
    <row r="803" spans="1:1" x14ac:dyDescent="0.25">
      <c r="A803" s="30">
        <v>4.089500475581837E-13</v>
      </c>
    </row>
    <row r="804" spans="1:1" x14ac:dyDescent="0.25">
      <c r="A804" s="30">
        <v>3.8850254518027451E-13</v>
      </c>
    </row>
    <row r="805" spans="1:1" x14ac:dyDescent="0.25">
      <c r="A805" s="30">
        <v>3.6907741792126075E-13</v>
      </c>
    </row>
    <row r="806" spans="1:1" x14ac:dyDescent="0.25">
      <c r="A806" s="30">
        <v>3.506235470251977E-13</v>
      </c>
    </row>
    <row r="807" spans="1:1" x14ac:dyDescent="0.25">
      <c r="A807" s="30">
        <v>3.3309236967393782E-13</v>
      </c>
    </row>
  </sheetData>
  <conditionalFormatting sqref="C136">
    <cfRule type="cellIs" dxfId="58" priority="1611" operator="equal">
      <formula>$U$1</formula>
    </cfRule>
    <cfRule type="cellIs" dxfId="57" priority="1612" operator="equal">
      <formula>$S$1</formula>
    </cfRule>
  </conditionalFormatting>
  <conditionalFormatting sqref="D136">
    <cfRule type="cellIs" dxfId="56" priority="1609" operator="equal">
      <formula>$S$1</formula>
    </cfRule>
    <cfRule type="cellIs" dxfId="55" priority="1610" operator="equal">
      <formula>$U$1</formula>
    </cfRule>
  </conditionalFormatting>
  <conditionalFormatting sqref="C162">
    <cfRule type="cellIs" dxfId="54" priority="1607" operator="equal">
      <formula>$U$1</formula>
    </cfRule>
    <cfRule type="cellIs" dxfId="53" priority="1608" operator="equal">
      <formula>$S$1</formula>
    </cfRule>
  </conditionalFormatting>
  <conditionalFormatting sqref="D162">
    <cfRule type="cellIs" dxfId="52" priority="1605" operator="equal">
      <formula>$S$1</formula>
    </cfRule>
    <cfRule type="cellIs" dxfId="51" priority="1606" operator="equal">
      <formula>$U$1</formula>
    </cfRule>
  </conditionalFormatting>
  <conditionalFormatting sqref="C187">
    <cfRule type="cellIs" dxfId="50" priority="1603" operator="equal">
      <formula>$U$1</formula>
    </cfRule>
    <cfRule type="cellIs" dxfId="49" priority="1604" operator="equal">
      <formula>$S$1</formula>
    </cfRule>
  </conditionalFormatting>
  <conditionalFormatting sqref="D187">
    <cfRule type="cellIs" dxfId="48" priority="1601" operator="equal">
      <formula>$S$1</formula>
    </cfRule>
    <cfRule type="cellIs" dxfId="47" priority="1602" operator="equal">
      <formula>$U$1</formula>
    </cfRule>
  </conditionalFormatting>
  <conditionalFormatting sqref="C212">
    <cfRule type="cellIs" dxfId="46" priority="1599" operator="equal">
      <formula>$U$1</formula>
    </cfRule>
    <cfRule type="cellIs" dxfId="45" priority="1600" operator="equal">
      <formula>$S$1</formula>
    </cfRule>
  </conditionalFormatting>
  <conditionalFormatting sqref="D212">
    <cfRule type="cellIs" dxfId="44" priority="1597" operator="equal">
      <formula>$S$1</formula>
    </cfRule>
    <cfRule type="cellIs" dxfId="43" priority="1598" operator="equal">
      <formula>$U$1</formula>
    </cfRule>
  </conditionalFormatting>
  <conditionalFormatting sqref="C237">
    <cfRule type="cellIs" dxfId="42" priority="1595" operator="equal">
      <formula>$U$1</formula>
    </cfRule>
    <cfRule type="cellIs" dxfId="41" priority="1596" operator="equal">
      <formula>$S$1</formula>
    </cfRule>
  </conditionalFormatting>
  <conditionalFormatting sqref="D237">
    <cfRule type="cellIs" dxfId="40" priority="1593" operator="equal">
      <formula>$S$1</formula>
    </cfRule>
    <cfRule type="cellIs" dxfId="39" priority="1594" operator="equal">
      <formula>$U$1</formula>
    </cfRule>
  </conditionalFormatting>
  <conditionalFormatting sqref="C106">
    <cfRule type="cellIs" dxfId="38" priority="1591" operator="equal">
      <formula>$U$1</formula>
    </cfRule>
    <cfRule type="cellIs" dxfId="37" priority="1592" operator="equal">
      <formula>$S$1</formula>
    </cfRule>
  </conditionalFormatting>
  <conditionalFormatting sqref="D106">
    <cfRule type="cellIs" dxfId="36" priority="1589" operator="equal">
      <formula>$S$1</formula>
    </cfRule>
    <cfRule type="cellIs" dxfId="35" priority="1590" operator="equal">
      <formula>$U$1</formula>
    </cfRule>
  </conditionalFormatting>
  <conditionalFormatting sqref="C81">
    <cfRule type="cellIs" dxfId="34" priority="1587" operator="equal">
      <formula>$U$1</formula>
    </cfRule>
    <cfRule type="cellIs" dxfId="33" priority="1588" operator="equal">
      <formula>$S$1</formula>
    </cfRule>
  </conditionalFormatting>
  <conditionalFormatting sqref="D81">
    <cfRule type="cellIs" dxfId="32" priority="1585" operator="equal">
      <formula>$S$1</formula>
    </cfRule>
    <cfRule type="cellIs" dxfId="31" priority="1586" operator="equal">
      <formula>$U$1</formula>
    </cfRule>
  </conditionalFormatting>
  <conditionalFormatting sqref="C56">
    <cfRule type="cellIs" dxfId="30" priority="1583" operator="equal">
      <formula>$U$1</formula>
    </cfRule>
    <cfRule type="cellIs" dxfId="29" priority="1584" operator="equal">
      <formula>$S$1</formula>
    </cfRule>
  </conditionalFormatting>
  <conditionalFormatting sqref="D56">
    <cfRule type="cellIs" dxfId="28" priority="1581" operator="equal">
      <formula>$S$1</formula>
    </cfRule>
    <cfRule type="cellIs" dxfId="27" priority="1582" operator="equal">
      <formula>$U$1</formula>
    </cfRule>
  </conditionalFormatting>
  <conditionalFormatting sqref="C31">
    <cfRule type="cellIs" dxfId="26" priority="1579" operator="equal">
      <formula>$U$1</formula>
    </cfRule>
    <cfRule type="cellIs" dxfId="25" priority="1580" operator="equal">
      <formula>$S$1</formula>
    </cfRule>
  </conditionalFormatting>
  <conditionalFormatting sqref="D31">
    <cfRule type="cellIs" dxfId="24" priority="1577" operator="equal">
      <formula>$S$1</formula>
    </cfRule>
    <cfRule type="cellIs" dxfId="23" priority="1578" operator="equal">
      <formula>$U$1</formula>
    </cfRule>
  </conditionalFormatting>
  <conditionalFormatting sqref="D130">
    <cfRule type="cellIs" dxfId="22" priority="1" operator="lessThan">
      <formula>$A$2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00B0F0"/>
  </sheetPr>
  <dimension ref="A1:ZZ489"/>
  <sheetViews>
    <sheetView tabSelected="1" topLeftCell="A27" zoomScale="90" zoomScaleNormal="90" workbookViewId="0">
      <pane xSplit="4" topLeftCell="G1" activePane="topRight" state="frozen"/>
      <selection activeCell="A109" sqref="A109"/>
      <selection pane="topRight" activeCell="AF40" sqref="AF40"/>
    </sheetView>
  </sheetViews>
  <sheetFormatPr defaultRowHeight="15" x14ac:dyDescent="0.25"/>
  <cols>
    <col min="1" max="1" width="11.85546875" style="30" customWidth="1"/>
    <col min="2" max="4" width="10.7109375" style="1" hidden="1" customWidth="1"/>
    <col min="5" max="5" width="3" style="1" hidden="1" customWidth="1"/>
    <col min="6" max="6" width="3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3" spans="1:21" x14ac:dyDescent="0.25">
      <c r="A3" s="30">
        <v>76619.065138703256</v>
      </c>
    </row>
    <row r="4" spans="1:21" x14ac:dyDescent="0.25">
      <c r="A4" s="30">
        <v>69653.695580639323</v>
      </c>
    </row>
    <row r="5" spans="1:21" x14ac:dyDescent="0.25">
      <c r="A5" s="30">
        <v>63321.541436944834</v>
      </c>
    </row>
    <row r="6" spans="1:21" x14ac:dyDescent="0.25">
      <c r="A6" s="30">
        <v>57565.037669949845</v>
      </c>
    </row>
    <row r="7" spans="1:21" x14ac:dyDescent="0.25">
      <c r="A7" s="30">
        <v>52331.852427227124</v>
      </c>
    </row>
    <row r="8" spans="1:21" x14ac:dyDescent="0.25">
      <c r="A8" s="30">
        <v>47574.411297479201</v>
      </c>
    </row>
    <row r="9" spans="1:21" x14ac:dyDescent="0.25">
      <c r="A9" s="30">
        <v>43249.464815890176</v>
      </c>
    </row>
    <row r="10" spans="1:21" x14ac:dyDescent="0.25">
      <c r="A10" s="30">
        <v>39317.695287172886</v>
      </c>
    </row>
    <row r="11" spans="1:21" x14ac:dyDescent="0.25">
      <c r="A11" s="30">
        <v>35743.359351975349</v>
      </c>
    </row>
    <row r="12" spans="1:21" x14ac:dyDescent="0.25">
      <c r="A12" s="30">
        <v>32493.963047250312</v>
      </c>
    </row>
    <row r="13" spans="1:21" x14ac:dyDescent="0.25">
      <c r="A13" s="30">
        <v>29539.966406591189</v>
      </c>
    </row>
    <row r="14" spans="1:21" x14ac:dyDescent="0.25">
      <c r="A14" s="30">
        <v>26854.514915082898</v>
      </c>
    </row>
    <row r="15" spans="1:21" x14ac:dyDescent="0.25">
      <c r="A15" s="30">
        <v>24413.195377348089</v>
      </c>
    </row>
    <row r="16" spans="1:21" x14ac:dyDescent="0.25">
      <c r="A16" s="30">
        <v>22193.81397940735</v>
      </c>
      <c r="C16" s="1" t="s">
        <v>15</v>
      </c>
    </row>
    <row r="17" spans="1:31" x14ac:dyDescent="0.25">
      <c r="A17" s="30">
        <v>20176.194526733954</v>
      </c>
      <c r="C17" s="7">
        <v>0.11167815779424731</v>
      </c>
      <c r="D17"/>
      <c r="E17"/>
    </row>
    <row r="18" spans="1:31" x14ac:dyDescent="0.25">
      <c r="A18" s="30">
        <v>18341.995024303593</v>
      </c>
      <c r="E18"/>
    </row>
    <row r="19" spans="1:31" x14ac:dyDescent="0.25">
      <c r="A19" s="30">
        <v>16674.540931185082</v>
      </c>
      <c r="C19" s="1" t="s">
        <v>11</v>
      </c>
      <c r="D19" s="1" t="s">
        <v>12</v>
      </c>
      <c r="E19"/>
    </row>
    <row r="20" spans="1:31" x14ac:dyDescent="0.25">
      <c r="A20" s="30">
        <v>15158.673573804617</v>
      </c>
      <c r="C20"/>
      <c r="D20"/>
      <c r="E20"/>
    </row>
    <row r="21" spans="1:31" x14ac:dyDescent="0.25">
      <c r="A21" s="30">
        <v>13780.612339822379</v>
      </c>
      <c r="E21"/>
    </row>
    <row r="22" spans="1:31" x14ac:dyDescent="0.25">
      <c r="A22" s="30">
        <v>12527.829399838525</v>
      </c>
      <c r="C22" s="1" t="s">
        <v>13</v>
      </c>
      <c r="E22"/>
    </row>
    <row r="23" spans="1:31" x14ac:dyDescent="0.25">
      <c r="A23" s="30">
        <v>11388.935818035023</v>
      </c>
      <c r="C23" s="1">
        <f>C12</f>
        <v>0</v>
      </c>
      <c r="E23"/>
    </row>
    <row r="24" spans="1:31" x14ac:dyDescent="0.25">
      <c r="A24" s="30">
        <v>10353.578016395475</v>
      </c>
      <c r="C24"/>
      <c r="D24"/>
      <c r="E24"/>
    </row>
    <row r="25" spans="1:31" x14ac:dyDescent="0.25">
      <c r="A25" s="30">
        <v>9412.343651268613</v>
      </c>
      <c r="C25" s="1" t="s">
        <v>14</v>
      </c>
      <c r="E25"/>
    </row>
    <row r="26" spans="1:31" x14ac:dyDescent="0.25">
      <c r="A26" s="30">
        <v>8556.6760466078285</v>
      </c>
      <c r="C26" s="1" t="str">
        <f>IF(C23=$S$1,IF(D20&lt;(C17*0.909090909090909),$S$1,IF(C20&gt;(C17*1.331),$U$1,"")),"")</f>
        <v/>
      </c>
      <c r="D26" s="1" t="str">
        <f>IF(C23=$U$1,IF(C20&gt;(C17*1.1),$U$1,IF(D20&lt;(C17*0.751314800901578),$S$1,"")),"")</f>
        <v/>
      </c>
      <c r="E26"/>
    </row>
    <row r="27" spans="1:31" x14ac:dyDescent="0.25">
      <c r="A27" s="30">
        <v>7778.7964060071163</v>
      </c>
      <c r="E27"/>
    </row>
    <row r="28" spans="1:31" x14ac:dyDescent="0.25">
      <c r="A28" s="30">
        <v>7071.6330963701048</v>
      </c>
      <c r="E28"/>
    </row>
    <row r="29" spans="1:31" x14ac:dyDescent="0.25">
      <c r="A29" s="30">
        <v>6428.7573603364581</v>
      </c>
      <c r="E29"/>
    </row>
    <row r="30" spans="1:31" x14ac:dyDescent="0.25">
      <c r="A30" s="30">
        <v>5844.3248730331434</v>
      </c>
      <c r="E30"/>
    </row>
    <row r="31" spans="1:31" x14ac:dyDescent="0.25">
      <c r="A31" s="30">
        <v>5313.0226118483115</v>
      </c>
      <c r="E31"/>
    </row>
    <row r="32" spans="1:31" x14ac:dyDescent="0.25">
      <c r="A32" s="30">
        <v>4830.020556225737</v>
      </c>
      <c r="E32"/>
      <c r="AE32" s="27" t="s">
        <v>8</v>
      </c>
    </row>
    <row r="33" spans="1:32" x14ac:dyDescent="0.25">
      <c r="A33" s="30">
        <v>4390.927778387033</v>
      </c>
      <c r="E33"/>
      <c r="AE33" s="27" t="s">
        <v>8</v>
      </c>
      <c r="AF33" s="27" t="s">
        <v>7</v>
      </c>
    </row>
    <row r="34" spans="1:32" x14ac:dyDescent="0.25">
      <c r="A34" s="30">
        <v>3991.7525258063934</v>
      </c>
      <c r="E34"/>
      <c r="W34" s="31" t="s">
        <v>8</v>
      </c>
      <c r="AC34" s="19" t="s">
        <v>8</v>
      </c>
      <c r="AE34" s="27" t="s">
        <v>8</v>
      </c>
      <c r="AF34" s="27" t="s">
        <v>7</v>
      </c>
    </row>
    <row r="35" spans="1:32" x14ac:dyDescent="0.25">
      <c r="A35" s="30">
        <v>3628.8659325512663</v>
      </c>
      <c r="E35"/>
      <c r="W35" s="27" t="s">
        <v>8</v>
      </c>
      <c r="X35" s="31" t="s">
        <v>7</v>
      </c>
      <c r="AC35" s="27" t="s">
        <v>8</v>
      </c>
      <c r="AD35" s="19" t="s">
        <v>7</v>
      </c>
      <c r="AE35" s="27" t="s">
        <v>8</v>
      </c>
      <c r="AF35" s="27" t="s">
        <v>7</v>
      </c>
    </row>
    <row r="36" spans="1:32" x14ac:dyDescent="0.25">
      <c r="A36" s="30">
        <v>3298.96902959206</v>
      </c>
      <c r="E36"/>
      <c r="W36" s="27" t="s">
        <v>8</v>
      </c>
      <c r="X36" s="27" t="s">
        <v>7</v>
      </c>
      <c r="Y36" s="31"/>
      <c r="AC36" s="27" t="s">
        <v>8</v>
      </c>
      <c r="AD36" s="27" t="s">
        <v>7</v>
      </c>
      <c r="AE36" s="19" t="s">
        <v>8</v>
      </c>
      <c r="AF36" s="27" t="s">
        <v>7</v>
      </c>
    </row>
    <row r="37" spans="1:32" x14ac:dyDescent="0.25">
      <c r="A37" s="30">
        <v>2999.0627541745998</v>
      </c>
      <c r="E37"/>
      <c r="W37" s="27" t="s">
        <v>8</v>
      </c>
      <c r="X37" s="27" t="s">
        <v>7</v>
      </c>
      <c r="Z37" s="31"/>
      <c r="AC37" s="33" t="s">
        <v>8</v>
      </c>
      <c r="AD37" s="27" t="s">
        <v>7</v>
      </c>
      <c r="AE37" s="27" t="s">
        <v>8</v>
      </c>
      <c r="AF37" s="19" t="s">
        <v>7</v>
      </c>
    </row>
    <row r="38" spans="1:32" x14ac:dyDescent="0.25">
      <c r="A38" s="30">
        <v>2726.4206856132723</v>
      </c>
      <c r="E38"/>
      <c r="W38" s="27" t="s">
        <v>8</v>
      </c>
      <c r="X38" s="27" t="s">
        <v>7</v>
      </c>
      <c r="Y38" s="32" t="s">
        <v>8</v>
      </c>
      <c r="AA38" s="32" t="s">
        <v>8</v>
      </c>
      <c r="AC38" s="27" t="s">
        <v>8</v>
      </c>
      <c r="AD38" s="27" t="s">
        <v>7</v>
      </c>
      <c r="AF38" s="27" t="s">
        <v>7</v>
      </c>
    </row>
    <row r="39" spans="1:32" x14ac:dyDescent="0.25">
      <c r="A39" s="30">
        <v>2478.564259648429</v>
      </c>
      <c r="E39"/>
      <c r="W39" s="27" t="s">
        <v>8</v>
      </c>
      <c r="X39" s="27" t="s">
        <v>7</v>
      </c>
      <c r="Y39" s="27" t="s">
        <v>8</v>
      </c>
      <c r="Z39" s="27" t="s">
        <v>7</v>
      </c>
      <c r="AA39" s="27" t="s">
        <v>8</v>
      </c>
      <c r="AB39" s="31" t="s">
        <v>7</v>
      </c>
      <c r="AC39" s="27" t="s">
        <v>8</v>
      </c>
      <c r="AF39" s="27" t="s">
        <v>7</v>
      </c>
    </row>
    <row r="40" spans="1:32" x14ac:dyDescent="0.25">
      <c r="A40" s="30">
        <v>2253.240236044026</v>
      </c>
      <c r="E40"/>
      <c r="W40" s="27" t="s">
        <v>8</v>
      </c>
      <c r="X40" s="27" t="s">
        <v>7</v>
      </c>
      <c r="Y40" s="27" t="s">
        <v>8</v>
      </c>
      <c r="Z40" s="27" t="s">
        <v>7</v>
      </c>
      <c r="AA40" s="27" t="s">
        <v>8</v>
      </c>
      <c r="AB40" s="27" t="s">
        <v>7</v>
      </c>
      <c r="AC40" s="31" t="s">
        <v>8</v>
      </c>
      <c r="AF40" s="27" t="s">
        <v>7</v>
      </c>
    </row>
    <row r="41" spans="1:32" x14ac:dyDescent="0.25">
      <c r="A41" s="30">
        <v>2048.4002145854779</v>
      </c>
      <c r="E41"/>
      <c r="W41" s="27" t="s">
        <v>8</v>
      </c>
      <c r="X41" s="27" t="s">
        <v>7</v>
      </c>
      <c r="Z41" s="27" t="s">
        <v>7</v>
      </c>
      <c r="AA41" s="27" t="s">
        <v>8</v>
      </c>
      <c r="AB41" s="27" t="s">
        <v>7</v>
      </c>
      <c r="AC41" s="27" t="s">
        <v>8</v>
      </c>
    </row>
    <row r="42" spans="1:32" x14ac:dyDescent="0.25">
      <c r="A42" s="30">
        <v>1862.1820132595253</v>
      </c>
      <c r="C42" s="1" t="s">
        <v>15</v>
      </c>
      <c r="E42"/>
      <c r="U42" s="27" t="s">
        <v>8</v>
      </c>
      <c r="W42" s="27" t="s">
        <v>8</v>
      </c>
      <c r="Z42" s="34" t="s">
        <v>7</v>
      </c>
      <c r="AB42" s="32" t="s">
        <v>7</v>
      </c>
    </row>
    <row r="43" spans="1:32" x14ac:dyDescent="0.25">
      <c r="A43" s="30">
        <v>1692.8927393268411</v>
      </c>
      <c r="C43" s="7">
        <v>0.11167815779424731</v>
      </c>
      <c r="D43"/>
      <c r="E43"/>
      <c r="U43" s="27" t="s">
        <v>8</v>
      </c>
      <c r="V43" s="27" t="s">
        <v>7</v>
      </c>
      <c r="W43" s="27" t="s">
        <v>8</v>
      </c>
    </row>
    <row r="44" spans="1:32" x14ac:dyDescent="0.25">
      <c r="A44" s="30">
        <v>1538.9933993880372</v>
      </c>
      <c r="E44"/>
      <c r="U44" s="27" t="s">
        <v>8</v>
      </c>
      <c r="V44" s="27" t="s">
        <v>7</v>
      </c>
      <c r="W44" s="27" t="s">
        <v>8</v>
      </c>
    </row>
    <row r="45" spans="1:32" x14ac:dyDescent="0.25">
      <c r="A45" s="30">
        <v>1399.0849085345792</v>
      </c>
      <c r="C45" s="1" t="s">
        <v>11</v>
      </c>
      <c r="D45" s="1" t="s">
        <v>12</v>
      </c>
      <c r="E45"/>
      <c r="S45" s="27" t="s">
        <v>8</v>
      </c>
      <c r="U45" s="27" t="s">
        <v>8</v>
      </c>
      <c r="V45" s="27" t="s">
        <v>7</v>
      </c>
    </row>
    <row r="46" spans="1:32" x14ac:dyDescent="0.25">
      <c r="A46" s="30">
        <v>1271.8953713950718</v>
      </c>
      <c r="C46"/>
      <c r="D46"/>
      <c r="E46"/>
      <c r="Q46" s="27" t="s">
        <v>8</v>
      </c>
      <c r="S46" s="27" t="s">
        <v>8</v>
      </c>
      <c r="T46" s="27" t="s">
        <v>7</v>
      </c>
      <c r="U46" s="27" t="s">
        <v>8</v>
      </c>
    </row>
    <row r="47" spans="1:32" x14ac:dyDescent="0.25">
      <c r="A47" s="30">
        <v>1156.2685194500652</v>
      </c>
      <c r="E47"/>
      <c r="Q47" s="27" t="s">
        <v>8</v>
      </c>
      <c r="R47" s="27" t="s">
        <v>7</v>
      </c>
      <c r="S47" s="27" t="s">
        <v>8</v>
      </c>
      <c r="T47" s="27" t="s">
        <v>7</v>
      </c>
      <c r="U47" s="27" t="s">
        <v>8</v>
      </c>
    </row>
    <row r="48" spans="1:32" x14ac:dyDescent="0.25">
      <c r="A48" s="30">
        <v>1051.1531995000591</v>
      </c>
      <c r="C48" s="1" t="s">
        <v>13</v>
      </c>
      <c r="E48"/>
      <c r="Q48" s="27" t="s">
        <v>8</v>
      </c>
      <c r="R48" s="27" t="s">
        <v>7</v>
      </c>
      <c r="S48" s="27" t="s">
        <v>8</v>
      </c>
      <c r="T48" s="27" t="s">
        <v>7</v>
      </c>
    </row>
    <row r="49" spans="1:36" x14ac:dyDescent="0.25">
      <c r="A49" s="30">
        <v>955.59381772732638</v>
      </c>
      <c r="C49" s="1">
        <f>C38</f>
        <v>0</v>
      </c>
      <c r="E49"/>
      <c r="Q49" s="27" t="s">
        <v>8</v>
      </c>
      <c r="R49" s="27" t="s">
        <v>7</v>
      </c>
    </row>
    <row r="50" spans="1:36" x14ac:dyDescent="0.25">
      <c r="A50" s="30">
        <v>868.72165247938756</v>
      </c>
      <c r="C50"/>
      <c r="D50"/>
      <c r="E50"/>
      <c r="Q50" s="27" t="s">
        <v>8</v>
      </c>
    </row>
    <row r="51" spans="1:36" x14ac:dyDescent="0.25">
      <c r="A51" s="30">
        <v>789.74695679944318</v>
      </c>
      <c r="C51" s="1" t="s">
        <v>14</v>
      </c>
      <c r="E51"/>
      <c r="Q51" s="27" t="s">
        <v>8</v>
      </c>
    </row>
    <row r="52" spans="1:36" x14ac:dyDescent="0.25">
      <c r="A52" s="30">
        <v>717.95177890858463</v>
      </c>
      <c r="C52" s="1" t="str">
        <f>IF(C49=$S$1,IF(D46&lt;(C43*0.909090909090909),$S$1,IF(C46&gt;(C43*1.331),$U$1,"")),"")</f>
        <v/>
      </c>
      <c r="D52" s="1" t="str">
        <f>IF(C49=$U$1,IF(C46&gt;(C43*1.1),$U$1,IF(D46&lt;(C43*0.751314800901578),$S$1,"")),"")</f>
        <v/>
      </c>
      <c r="E52"/>
      <c r="Q52" s="27" t="s">
        <v>8</v>
      </c>
      <c r="AJ52" s="31"/>
    </row>
    <row r="53" spans="1:36" x14ac:dyDescent="0.25">
      <c r="A53" s="30">
        <v>652.68343537144051</v>
      </c>
      <c r="E53"/>
      <c r="Q53" s="27" t="s">
        <v>8</v>
      </c>
      <c r="AI53" s="31"/>
    </row>
    <row r="54" spans="1:36" x14ac:dyDescent="0.25">
      <c r="A54" s="30">
        <v>593.34857761040041</v>
      </c>
      <c r="E54"/>
      <c r="Q54" s="27" t="s">
        <v>8</v>
      </c>
      <c r="AH54" s="31"/>
    </row>
    <row r="55" spans="1:36" x14ac:dyDescent="0.25">
      <c r="A55" s="30">
        <v>539.40779782763673</v>
      </c>
      <c r="E55"/>
      <c r="Q55" s="27" t="s">
        <v>8</v>
      </c>
      <c r="AG55" s="31"/>
    </row>
    <row r="56" spans="1:36" x14ac:dyDescent="0.25">
      <c r="A56" s="30">
        <v>490.37072529785149</v>
      </c>
      <c r="E56"/>
      <c r="Q56" s="27" t="s">
        <v>8</v>
      </c>
      <c r="AF56" s="31"/>
    </row>
    <row r="57" spans="1:36" x14ac:dyDescent="0.25">
      <c r="A57" s="30">
        <v>445.79156845259223</v>
      </c>
      <c r="E57"/>
      <c r="O57" s="27" t="s">
        <v>8</v>
      </c>
      <c r="Q57" s="27" t="s">
        <v>8</v>
      </c>
      <c r="AE57" s="31"/>
    </row>
    <row r="58" spans="1:36" x14ac:dyDescent="0.25">
      <c r="A58" s="30">
        <v>405.26506222962928</v>
      </c>
      <c r="E58"/>
      <c r="O58" s="27" t="s">
        <v>8</v>
      </c>
      <c r="P58" s="27" t="s">
        <v>7</v>
      </c>
      <c r="Q58" s="27" t="s">
        <v>8</v>
      </c>
      <c r="AD58" s="31"/>
    </row>
    <row r="59" spans="1:36" x14ac:dyDescent="0.25">
      <c r="A59" s="30">
        <v>368.42278384511752</v>
      </c>
      <c r="E59"/>
      <c r="O59" s="27" t="s">
        <v>8</v>
      </c>
      <c r="P59" s="27" t="s">
        <v>7</v>
      </c>
      <c r="Q59" s="27" t="s">
        <v>8</v>
      </c>
      <c r="AC59" s="31"/>
    </row>
    <row r="60" spans="1:36" x14ac:dyDescent="0.25">
      <c r="A60" s="30">
        <v>334.92980349556137</v>
      </c>
      <c r="E60"/>
      <c r="K60" s="27" t="s">
        <v>8</v>
      </c>
      <c r="O60" s="27" t="s">
        <v>8</v>
      </c>
      <c r="P60" s="27" t="s">
        <v>7</v>
      </c>
      <c r="AB60" s="31"/>
    </row>
    <row r="61" spans="1:36" x14ac:dyDescent="0.25">
      <c r="A61" s="30">
        <v>304.48163954141938</v>
      </c>
      <c r="E61"/>
      <c r="K61" s="27" t="s">
        <v>8</v>
      </c>
      <c r="L61" s="27" t="s">
        <v>7</v>
      </c>
      <c r="O61" s="33" t="s">
        <v>8</v>
      </c>
      <c r="AA61" s="31"/>
    </row>
    <row r="62" spans="1:36" x14ac:dyDescent="0.25">
      <c r="A62" s="30">
        <v>276.80149049219943</v>
      </c>
      <c r="E62"/>
      <c r="K62" s="27" t="s">
        <v>8</v>
      </c>
      <c r="L62" s="27" t="s">
        <v>7</v>
      </c>
      <c r="M62" s="27" t="s">
        <v>8</v>
      </c>
      <c r="O62" s="27" t="s">
        <v>8</v>
      </c>
      <c r="Z62" s="31"/>
    </row>
    <row r="63" spans="1:36" x14ac:dyDescent="0.25">
      <c r="A63" s="30">
        <v>251.63771862927217</v>
      </c>
      <c r="E63"/>
      <c r="K63" s="27" t="s">
        <v>8</v>
      </c>
      <c r="L63" s="27" t="s">
        <v>7</v>
      </c>
      <c r="M63" s="27" t="s">
        <v>8</v>
      </c>
      <c r="N63" s="27" t="s">
        <v>7</v>
      </c>
      <c r="O63" s="27" t="s">
        <v>8</v>
      </c>
      <c r="Y63" s="31"/>
    </row>
    <row r="64" spans="1:36" x14ac:dyDescent="0.25">
      <c r="A64" s="30">
        <v>228.76156239024741</v>
      </c>
      <c r="E64"/>
      <c r="K64" s="27" t="s">
        <v>8</v>
      </c>
      <c r="L64" s="27" t="s">
        <v>7</v>
      </c>
      <c r="M64" s="27" t="s">
        <v>8</v>
      </c>
      <c r="N64" s="27" t="s">
        <v>7</v>
      </c>
      <c r="O64" s="27" t="s">
        <v>8</v>
      </c>
      <c r="X64" s="31"/>
    </row>
    <row r="65" spans="1:23" x14ac:dyDescent="0.25">
      <c r="A65" s="30">
        <v>207.96505671840671</v>
      </c>
      <c r="E65" t="s">
        <v>8</v>
      </c>
      <c r="K65" s="27" t="s">
        <v>8</v>
      </c>
      <c r="L65" s="27" t="s">
        <v>7</v>
      </c>
      <c r="M65" s="27" t="s">
        <v>8</v>
      </c>
      <c r="N65" s="27" t="s">
        <v>7</v>
      </c>
      <c r="O65" s="27" t="s">
        <v>8</v>
      </c>
      <c r="W65" s="31"/>
    </row>
    <row r="66" spans="1:23" x14ac:dyDescent="0.25">
      <c r="A66" s="30">
        <v>189.05914247127882</v>
      </c>
      <c r="E66" t="s">
        <v>8</v>
      </c>
      <c r="F66" s="27" t="s">
        <v>7</v>
      </c>
      <c r="K66" s="27" t="s">
        <v>8</v>
      </c>
      <c r="L66" s="27" t="s">
        <v>7</v>
      </c>
      <c r="M66" s="27" t="s">
        <v>8</v>
      </c>
      <c r="N66" s="27" t="s">
        <v>7</v>
      </c>
      <c r="O66" s="27" t="s">
        <v>8</v>
      </c>
      <c r="V66" s="31"/>
    </row>
    <row r="67" spans="1:23" x14ac:dyDescent="0.25">
      <c r="A67" s="30">
        <v>171.87194770116255</v>
      </c>
      <c r="C67" s="1" t="s">
        <v>15</v>
      </c>
      <c r="E67" t="s">
        <v>8</v>
      </c>
      <c r="F67" s="27" t="s">
        <v>7</v>
      </c>
      <c r="K67" s="27" t="s">
        <v>8</v>
      </c>
      <c r="L67" s="27" t="s">
        <v>7</v>
      </c>
      <c r="M67" s="27" t="s">
        <v>8</v>
      </c>
      <c r="N67" s="27" t="s">
        <v>7</v>
      </c>
      <c r="O67" s="27" t="s">
        <v>8</v>
      </c>
      <c r="U67" s="31"/>
    </row>
    <row r="68" spans="1:23" x14ac:dyDescent="0.25">
      <c r="A68" s="30">
        <v>156.24722518287504</v>
      </c>
      <c r="C68" s="7">
        <v>0.11167815779424731</v>
      </c>
      <c r="D68"/>
      <c r="E68" t="s">
        <v>8</v>
      </c>
      <c r="F68" s="27" t="s">
        <v>7</v>
      </c>
      <c r="G68" s="27" t="s">
        <v>8</v>
      </c>
      <c r="I68" s="27" t="s">
        <v>8</v>
      </c>
      <c r="K68" s="27" t="s">
        <v>8</v>
      </c>
      <c r="L68" s="27" t="s">
        <v>7</v>
      </c>
      <c r="M68" s="27" t="s">
        <v>8</v>
      </c>
      <c r="N68" s="27" t="s">
        <v>7</v>
      </c>
      <c r="O68" s="27" t="s">
        <v>8</v>
      </c>
      <c r="T68" s="31"/>
    </row>
    <row r="69" spans="1:23" x14ac:dyDescent="0.25">
      <c r="A69" s="30">
        <v>142.04293198443185</v>
      </c>
      <c r="E69" t="s">
        <v>8</v>
      </c>
      <c r="F69" s="27" t="s">
        <v>7</v>
      </c>
      <c r="G69" s="27" t="s">
        <v>8</v>
      </c>
      <c r="H69" s="27" t="s">
        <v>7</v>
      </c>
      <c r="I69" s="27" t="s">
        <v>8</v>
      </c>
      <c r="J69" s="27" t="s">
        <v>7</v>
      </c>
      <c r="K69" s="27" t="s">
        <v>8</v>
      </c>
      <c r="L69" s="27" t="s">
        <v>7</v>
      </c>
      <c r="M69" s="27" t="s">
        <v>8</v>
      </c>
      <c r="N69" s="27" t="s">
        <v>7</v>
      </c>
      <c r="O69" s="27" t="s">
        <v>8</v>
      </c>
      <c r="S69" s="31"/>
    </row>
    <row r="70" spans="1:23" x14ac:dyDescent="0.25">
      <c r="A70" s="30">
        <v>129.1299381676653</v>
      </c>
      <c r="C70" s="1" t="s">
        <v>11</v>
      </c>
      <c r="D70" s="1" t="s">
        <v>12</v>
      </c>
      <c r="E70" t="s">
        <v>8</v>
      </c>
      <c r="F70" s="27" t="s">
        <v>7</v>
      </c>
      <c r="G70" s="27" t="s">
        <v>8</v>
      </c>
      <c r="H70" s="27" t="s">
        <v>7</v>
      </c>
      <c r="I70" s="27" t="s">
        <v>8</v>
      </c>
      <c r="J70" s="27" t="s">
        <v>7</v>
      </c>
      <c r="K70" s="27" t="s">
        <v>8</v>
      </c>
      <c r="L70" s="27" t="s">
        <v>7</v>
      </c>
      <c r="M70" s="27" t="s">
        <v>8</v>
      </c>
      <c r="N70" s="27" t="s">
        <v>7</v>
      </c>
      <c r="O70" s="27" t="s">
        <v>8</v>
      </c>
      <c r="R70" s="31"/>
    </row>
    <row r="71" spans="1:23" x14ac:dyDescent="0.25">
      <c r="A71" s="30">
        <v>117.39085287969573</v>
      </c>
      <c r="C71"/>
      <c r="D71"/>
      <c r="E71" t="s">
        <v>8</v>
      </c>
      <c r="F71" s="27" t="s">
        <v>7</v>
      </c>
      <c r="G71" s="27" t="s">
        <v>8</v>
      </c>
      <c r="H71" s="27" t="s">
        <v>7</v>
      </c>
      <c r="J71" s="27" t="s">
        <v>7</v>
      </c>
      <c r="K71" s="27" t="s">
        <v>8</v>
      </c>
      <c r="L71" s="27" t="s">
        <v>7</v>
      </c>
      <c r="N71" s="27" t="s">
        <v>7</v>
      </c>
      <c r="O71" s="27" t="s">
        <v>8</v>
      </c>
      <c r="Q71" s="31"/>
    </row>
    <row r="72" spans="1:23" x14ac:dyDescent="0.25">
      <c r="A72" s="30">
        <v>106.71895716335975</v>
      </c>
      <c r="E72" t="s">
        <v>8</v>
      </c>
      <c r="F72" s="27" t="s">
        <v>7</v>
      </c>
      <c r="G72" s="27" t="s">
        <v>8</v>
      </c>
      <c r="J72" s="27" t="s">
        <v>7</v>
      </c>
      <c r="N72" s="34" t="s">
        <v>7</v>
      </c>
      <c r="O72" s="27" t="s">
        <v>8</v>
      </c>
      <c r="P72" s="31"/>
    </row>
    <row r="73" spans="1:23" x14ac:dyDescent="0.25">
      <c r="A73" s="30">
        <v>97.017233784872488</v>
      </c>
      <c r="C73" s="1" t="s">
        <v>13</v>
      </c>
      <c r="E73" t="s">
        <v>8</v>
      </c>
      <c r="F73" s="27" t="s">
        <v>7</v>
      </c>
      <c r="G73" s="27" t="s">
        <v>8</v>
      </c>
      <c r="N73" s="27" t="s">
        <v>7</v>
      </c>
      <c r="O73" s="31" t="s">
        <v>8</v>
      </c>
    </row>
    <row r="74" spans="1:23" x14ac:dyDescent="0.25">
      <c r="A74" s="30">
        <v>88.197485258974979</v>
      </c>
      <c r="C74" s="1">
        <f>C63</f>
        <v>0</v>
      </c>
      <c r="E74" t="s">
        <v>8</v>
      </c>
      <c r="F74" s="27" t="s">
        <v>7</v>
      </c>
      <c r="N74" s="31" t="s">
        <v>7</v>
      </c>
    </row>
    <row r="75" spans="1:23" x14ac:dyDescent="0.25">
      <c r="A75" s="30">
        <v>80.179532053613613</v>
      </c>
      <c r="C75"/>
      <c r="D75"/>
      <c r="E75" t="s">
        <v>8</v>
      </c>
    </row>
    <row r="76" spans="1:23" x14ac:dyDescent="0.25">
      <c r="A76" s="30">
        <v>72.890483685103277</v>
      </c>
      <c r="C76" s="1" t="s">
        <v>14</v>
      </c>
      <c r="E76" t="s">
        <v>8</v>
      </c>
    </row>
    <row r="77" spans="1:23" x14ac:dyDescent="0.25">
      <c r="A77" s="30">
        <v>66.26407607736661</v>
      </c>
      <c r="C77" s="1" t="str">
        <f>IF(C74=$S$1,IF(D71&lt;(C68*0.909090909090909),$S$1,IF(C71&gt;(C68*1.331),$U$1,"")),"")</f>
        <v/>
      </c>
      <c r="D77" s="1" t="str">
        <f>IF(C74=$U$1,IF(C71&gt;(C68*1.1),$U$1,IF(D71&lt;(C68*0.751314800901578),$S$1,"")),"")</f>
        <v/>
      </c>
      <c r="E77" t="s">
        <v>8</v>
      </c>
    </row>
    <row r="78" spans="1:23" x14ac:dyDescent="0.25">
      <c r="A78" s="30">
        <v>60.240069161242367</v>
      </c>
      <c r="E78" t="s">
        <v>8</v>
      </c>
    </row>
    <row r="79" spans="1:23" x14ac:dyDescent="0.25">
      <c r="A79" s="30">
        <v>54.763699237493057</v>
      </c>
      <c r="E79" t="s">
        <v>8</v>
      </c>
    </row>
    <row r="80" spans="1:23" x14ac:dyDescent="0.25">
      <c r="A80" s="30">
        <v>49.785181124993684</v>
      </c>
      <c r="E80" t="s">
        <v>8</v>
      </c>
    </row>
    <row r="81" spans="1:5" x14ac:dyDescent="0.25">
      <c r="A81" s="30">
        <v>45.259255568176073</v>
      </c>
      <c r="E81" t="s">
        <v>8</v>
      </c>
    </row>
    <row r="82" spans="1:5" x14ac:dyDescent="0.25">
      <c r="A82" s="30">
        <v>41.144777789250973</v>
      </c>
      <c r="E82" t="s">
        <v>8</v>
      </c>
    </row>
    <row r="83" spans="1:5" x14ac:dyDescent="0.25">
      <c r="A83" s="30">
        <v>37.404343444773609</v>
      </c>
      <c r="E83" t="s">
        <v>8</v>
      </c>
    </row>
    <row r="84" spans="1:5" x14ac:dyDescent="0.25">
      <c r="A84" s="30">
        <v>34.003948586157826</v>
      </c>
      <c r="E84" t="s">
        <v>8</v>
      </c>
    </row>
    <row r="85" spans="1:5" x14ac:dyDescent="0.25">
      <c r="A85" s="30">
        <v>30.912680532870748</v>
      </c>
      <c r="E85" t="s">
        <v>8</v>
      </c>
    </row>
    <row r="86" spans="1:5" x14ac:dyDescent="0.25">
      <c r="A86" s="30">
        <v>28.102436848064315</v>
      </c>
      <c r="E86" t="s">
        <v>8</v>
      </c>
    </row>
    <row r="87" spans="1:5" x14ac:dyDescent="0.25">
      <c r="A87" s="30">
        <v>25.547669861876649</v>
      </c>
      <c r="E87" t="s">
        <v>8</v>
      </c>
    </row>
    <row r="88" spans="1:5" x14ac:dyDescent="0.25">
      <c r="A88" s="30">
        <v>23.225154419887861</v>
      </c>
      <c r="E88" t="s">
        <v>8</v>
      </c>
    </row>
    <row r="89" spans="1:5" x14ac:dyDescent="0.25">
      <c r="A89" s="30">
        <v>21.113776745352599</v>
      </c>
      <c r="E89" t="s">
        <v>8</v>
      </c>
    </row>
    <row r="90" spans="1:5" x14ac:dyDescent="0.25">
      <c r="A90" s="30">
        <v>19.194342495775089</v>
      </c>
      <c r="E90" t="s">
        <v>8</v>
      </c>
    </row>
    <row r="91" spans="1:5" x14ac:dyDescent="0.25">
      <c r="A91" s="30">
        <v>17.449402268886445</v>
      </c>
      <c r="E91" t="s">
        <v>8</v>
      </c>
    </row>
    <row r="92" spans="1:5" x14ac:dyDescent="0.25">
      <c r="A92" s="30">
        <v>15.863092971714948</v>
      </c>
      <c r="C92" s="1" t="s">
        <v>15</v>
      </c>
      <c r="E92" t="s">
        <v>8</v>
      </c>
    </row>
    <row r="93" spans="1:5" x14ac:dyDescent="0.25">
      <c r="A93" s="30">
        <v>14.420993610649951</v>
      </c>
      <c r="C93" s="7">
        <v>0.11167815779424731</v>
      </c>
      <c r="D93"/>
      <c r="E93" t="s">
        <v>8</v>
      </c>
    </row>
    <row r="94" spans="1:5" x14ac:dyDescent="0.25">
      <c r="A94" s="30">
        <v>13.109994191499954</v>
      </c>
      <c r="E94" t="s">
        <v>8</v>
      </c>
    </row>
    <row r="95" spans="1:5" x14ac:dyDescent="0.25">
      <c r="A95" s="30">
        <v>11.918176537727231</v>
      </c>
      <c r="C95" s="1" t="s">
        <v>11</v>
      </c>
      <c r="D95" s="1" t="s">
        <v>12</v>
      </c>
      <c r="E95" t="s">
        <v>8</v>
      </c>
    </row>
    <row r="96" spans="1:5" x14ac:dyDescent="0.25">
      <c r="A96" s="30">
        <v>10.834705943388391</v>
      </c>
      <c r="C96"/>
      <c r="D96"/>
      <c r="E96" t="s">
        <v>8</v>
      </c>
    </row>
    <row r="97" spans="1:5" x14ac:dyDescent="0.25">
      <c r="A97" s="30">
        <v>9.849732675807628</v>
      </c>
      <c r="E97" t="s">
        <v>8</v>
      </c>
    </row>
    <row r="98" spans="1:5" x14ac:dyDescent="0.25">
      <c r="A98" s="30">
        <v>8.9543024325523888</v>
      </c>
      <c r="C98" s="1" t="s">
        <v>13</v>
      </c>
      <c r="E98" t="s">
        <v>8</v>
      </c>
    </row>
    <row r="99" spans="1:5" x14ac:dyDescent="0.25">
      <c r="A99" s="30">
        <v>8.140274938683989</v>
      </c>
      <c r="C99" s="1">
        <f>C88</f>
        <v>0</v>
      </c>
      <c r="E99" t="s">
        <v>8</v>
      </c>
    </row>
    <row r="100" spans="1:5" x14ac:dyDescent="0.25">
      <c r="A100" s="30">
        <v>7.4002499442581717</v>
      </c>
      <c r="C100"/>
      <c r="D100"/>
      <c r="E100" t="s">
        <v>8</v>
      </c>
    </row>
    <row r="101" spans="1:5" x14ac:dyDescent="0.25">
      <c r="A101" s="30">
        <v>6.72749994932561</v>
      </c>
      <c r="C101" s="1" t="s">
        <v>14</v>
      </c>
      <c r="E101" t="s">
        <v>8</v>
      </c>
    </row>
    <row r="102" spans="1:5" x14ac:dyDescent="0.25">
      <c r="A102" s="30">
        <v>6.1159090448414632</v>
      </c>
      <c r="C102" s="1" t="str">
        <f>IF(C99=$S$1,IF(D96&lt;(C93*0.909090909090909),$S$1,IF(C96&gt;(C93*1.331),$U$1,"")),"")</f>
        <v/>
      </c>
      <c r="D102" s="1" t="str">
        <f>IF(C99=$U$1,IF(C96&gt;(C93*1.1),$U$1,IF(D96&lt;(C93*0.751314800901578),$S$1,"")),"")</f>
        <v/>
      </c>
      <c r="E102" t="s">
        <v>8</v>
      </c>
    </row>
    <row r="103" spans="1:5" x14ac:dyDescent="0.25">
      <c r="A103" s="30">
        <v>5.5599173134922388</v>
      </c>
      <c r="E103" t="s">
        <v>8</v>
      </c>
    </row>
    <row r="104" spans="1:5" x14ac:dyDescent="0.25">
      <c r="A104" s="30">
        <v>5.0544702849929442</v>
      </c>
      <c r="E104" t="s">
        <v>8</v>
      </c>
    </row>
    <row r="105" spans="1:5" x14ac:dyDescent="0.25">
      <c r="A105" s="30">
        <v>4.594972986357222</v>
      </c>
      <c r="E105" t="s">
        <v>8</v>
      </c>
    </row>
    <row r="106" spans="1:5" x14ac:dyDescent="0.25">
      <c r="A106" s="30">
        <v>4.1772481694156562</v>
      </c>
      <c r="E106" t="s">
        <v>8</v>
      </c>
    </row>
    <row r="107" spans="1:5" x14ac:dyDescent="0.25">
      <c r="A107" s="30">
        <v>3.7974983358324148</v>
      </c>
      <c r="E107" t="s">
        <v>8</v>
      </c>
    </row>
    <row r="108" spans="1:5" x14ac:dyDescent="0.25">
      <c r="A108" s="30">
        <v>3.4522712143931042</v>
      </c>
      <c r="E108" t="s">
        <v>8</v>
      </c>
    </row>
    <row r="109" spans="1:5" x14ac:dyDescent="0.25">
      <c r="A109" s="30">
        <v>3.1384283767210035</v>
      </c>
      <c r="E109" t="s">
        <v>8</v>
      </c>
    </row>
    <row r="110" spans="1:5" x14ac:dyDescent="0.25">
      <c r="A110" s="30">
        <v>2.8531167061100029</v>
      </c>
      <c r="E110" t="s">
        <v>8</v>
      </c>
    </row>
    <row r="111" spans="1:5" x14ac:dyDescent="0.25">
      <c r="A111" s="30">
        <v>2.5937424601000023</v>
      </c>
      <c r="C111" s="1" t="str">
        <f>ADDRESS(C121-1,1,1,1)</f>
        <v>$A$39</v>
      </c>
      <c r="D111" s="1" t="str">
        <f>ADDRESS(C121-1,D121,1,1)</f>
        <v>$AF$39</v>
      </c>
      <c r="E111" t="s">
        <v>8</v>
      </c>
    </row>
    <row r="112" spans="1:5" x14ac:dyDescent="0.25">
      <c r="A112" s="30">
        <v>2.3579476910000019</v>
      </c>
      <c r="C112" s="1" t="str">
        <f>ADDRESS(C121,1,1,1)</f>
        <v>$A$40</v>
      </c>
      <c r="D112" s="1" t="str">
        <f>ADDRESS(C121,D121-1,1,1)</f>
        <v>$AE$40</v>
      </c>
      <c r="E112" t="s">
        <v>8</v>
      </c>
    </row>
    <row r="113" spans="1:5" x14ac:dyDescent="0.25">
      <c r="A113" s="30">
        <v>2.1435888100000016</v>
      </c>
      <c r="C113" s="1" t="str">
        <f>ADDRESS(C121+1,1,1,1)</f>
        <v>$A$41</v>
      </c>
      <c r="D113" s="1" t="str">
        <f>ADDRESS(C121-1,D121+1,1,1)</f>
        <v>$AG$39</v>
      </c>
      <c r="E113" s="1" t="s">
        <v>8</v>
      </c>
    </row>
    <row r="114" spans="1:5" x14ac:dyDescent="0.25">
      <c r="A114" s="30">
        <v>1.9487171000000014</v>
      </c>
      <c r="C114" s="1" t="str">
        <f>ADDRESS(C121,D121,1,1)</f>
        <v>$AF$40</v>
      </c>
      <c r="D114" s="1" t="str">
        <f>ADDRESS(C121+1,D121+1,1,1)</f>
        <v>$AG$41</v>
      </c>
      <c r="E114" s="1" t="s">
        <v>8</v>
      </c>
    </row>
    <row r="115" spans="1:5" x14ac:dyDescent="0.25">
      <c r="A115" s="30">
        <v>1.7715610000000011</v>
      </c>
      <c r="C115" s="1" t="str">
        <f>ADDRESS(C121+1,D121,1,1)</f>
        <v>$AF$41</v>
      </c>
      <c r="E115" s="1" t="s">
        <v>8</v>
      </c>
    </row>
    <row r="116" spans="1:5" x14ac:dyDescent="0.25">
      <c r="A116" s="30">
        <v>1.6105100000000008</v>
      </c>
      <c r="C116" s="1">
        <f>C117-1</f>
        <v>39</v>
      </c>
      <c r="E116" s="1" t="s">
        <v>8</v>
      </c>
    </row>
    <row r="117" spans="1:5" x14ac:dyDescent="0.25">
      <c r="A117" s="30">
        <v>1.4641000000000006</v>
      </c>
      <c r="C117" s="1">
        <f>C121</f>
        <v>40</v>
      </c>
      <c r="D117" s="1">
        <f>D121</f>
        <v>32</v>
      </c>
      <c r="E117" s="1" t="s">
        <v>8</v>
      </c>
    </row>
    <row r="118" spans="1:5" x14ac:dyDescent="0.25">
      <c r="A118" s="30">
        <v>1.3310000000000004</v>
      </c>
      <c r="C118" s="1">
        <f>C117+1</f>
        <v>41</v>
      </c>
      <c r="D118" s="1">
        <f>D117+1</f>
        <v>33</v>
      </c>
      <c r="E118" s="1" t="s">
        <v>8</v>
      </c>
    </row>
    <row r="119" spans="1:5" x14ac:dyDescent="0.25">
      <c r="A119" s="30">
        <v>1.2100000000000002</v>
      </c>
      <c r="E119" s="1" t="s">
        <v>8</v>
      </c>
    </row>
    <row r="120" spans="1:5" x14ac:dyDescent="0.25">
      <c r="A120" s="30">
        <v>1.1000000000000001</v>
      </c>
      <c r="C120" s="1" t="s">
        <v>9</v>
      </c>
      <c r="E120" s="1" t="s">
        <v>8</v>
      </c>
    </row>
    <row r="121" spans="1:5" x14ac:dyDescent="0.25">
      <c r="A121" s="30">
        <v>1</v>
      </c>
      <c r="C121" s="18">
        <v>40</v>
      </c>
      <c r="D121" s="19">
        <v>32</v>
      </c>
      <c r="E121" s="18" t="s">
        <v>8</v>
      </c>
    </row>
    <row r="122" spans="1:5" x14ac:dyDescent="0.25">
      <c r="A122" s="30">
        <v>0.90909090909090895</v>
      </c>
      <c r="C122" s="1" t="str">
        <f>INDEX(1:1048576,C117,D117)</f>
        <v>O</v>
      </c>
    </row>
    <row r="123" spans="1:5" x14ac:dyDescent="0.25">
      <c r="A123" s="30">
        <v>0.82644628099173523</v>
      </c>
      <c r="C123" s="1" t="str">
        <f>"R"&amp;C121</f>
        <v>R40</v>
      </c>
      <c r="D123" s="1" t="str">
        <f>"C"&amp;D121</f>
        <v>C32</v>
      </c>
    </row>
    <row r="124" spans="1:5" x14ac:dyDescent="0.25">
      <c r="A124" s="30">
        <v>0.75131480090157732</v>
      </c>
      <c r="C124" s="1">
        <f>SUM(C130:D130)</f>
        <v>0</v>
      </c>
      <c r="D124" s="1">
        <f>IF(C124=0,0,1)</f>
        <v>0</v>
      </c>
    </row>
    <row r="125" spans="1:5" x14ac:dyDescent="0.25">
      <c r="A125" s="30">
        <v>0.68301345536507019</v>
      </c>
    </row>
    <row r="126" spans="1:5" x14ac:dyDescent="0.25">
      <c r="A126" s="30">
        <v>0.6209213230591546</v>
      </c>
      <c r="C126" s="1" t="s">
        <v>10</v>
      </c>
    </row>
    <row r="127" spans="1:5" x14ac:dyDescent="0.25">
      <c r="A127" s="30">
        <v>0.56447393005377677</v>
      </c>
      <c r="C127" s="30">
        <v>2253.240236044026</v>
      </c>
      <c r="D127"/>
    </row>
    <row r="128" spans="1:5" x14ac:dyDescent="0.25">
      <c r="A128" s="30">
        <v>0.51315811823070612</v>
      </c>
    </row>
    <row r="129" spans="1:5" x14ac:dyDescent="0.25">
      <c r="A129" s="30">
        <v>0.46650738020973276</v>
      </c>
      <c r="C129" s="1" t="s">
        <v>11</v>
      </c>
      <c r="D129" s="1" t="s">
        <v>12</v>
      </c>
      <c r="E129"/>
    </row>
    <row r="130" spans="1:5" x14ac:dyDescent="0.25">
      <c r="A130" s="30">
        <v>0.42409761837248428</v>
      </c>
      <c r="C130" s="6"/>
      <c r="D130" s="6"/>
      <c r="E130"/>
    </row>
    <row r="131" spans="1:5" x14ac:dyDescent="0.25">
      <c r="A131" s="30">
        <v>0.38554328942953109</v>
      </c>
      <c r="E131"/>
    </row>
    <row r="132" spans="1:5" x14ac:dyDescent="0.25">
      <c r="A132" s="30">
        <v>0.35049389948139187</v>
      </c>
      <c r="C132" s="1" t="s">
        <v>13</v>
      </c>
      <c r="E132"/>
    </row>
    <row r="133" spans="1:5" x14ac:dyDescent="0.25">
      <c r="A133" s="30">
        <v>0.31863081771035617</v>
      </c>
      <c r="C133" s="1" t="str">
        <f>C122</f>
        <v>O</v>
      </c>
      <c r="E133"/>
    </row>
    <row r="134" spans="1:5" x14ac:dyDescent="0.25">
      <c r="A134" s="30">
        <v>0.28966437973668741</v>
      </c>
      <c r="C134"/>
      <c r="D134"/>
      <c r="E134"/>
    </row>
    <row r="135" spans="1:5" x14ac:dyDescent="0.25">
      <c r="A135" s="30">
        <v>0.2633312543060794</v>
      </c>
      <c r="C135" s="1" t="s">
        <v>14</v>
      </c>
      <c r="E135"/>
    </row>
    <row r="136" spans="1:5" x14ac:dyDescent="0.25">
      <c r="A136" s="30">
        <v>0.23939204936916306</v>
      </c>
      <c r="C136" s="1" t="str">
        <f>IF(C133=$S$1,IF(D130&lt;(C127*0.909090909090909),$S$1,IF(C130&gt;(C127*1.331),$U$1,"")),"")</f>
        <v>O</v>
      </c>
      <c r="D136" s="1" t="str">
        <f>IF(C133=$U$1,IF(C130&gt;(C127*1.1),$U$1,IF(D130&lt;(C127*0.751314800901578),$S$1,"")),"")</f>
        <v/>
      </c>
      <c r="E136"/>
    </row>
    <row r="137" spans="1:5" x14ac:dyDescent="0.25">
      <c r="A137" s="30">
        <v>0.2176291357901482</v>
      </c>
      <c r="E137"/>
    </row>
    <row r="138" spans="1:5" x14ac:dyDescent="0.25">
      <c r="A138" s="30">
        <v>0.19784466890013469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30">
        <v>0.17985878990921333</v>
      </c>
      <c r="E139"/>
    </row>
    <row r="140" spans="1:5" x14ac:dyDescent="0.25">
      <c r="A140" s="30">
        <v>0.16350799082655756</v>
      </c>
      <c r="C140" s="1">
        <v>0</v>
      </c>
      <c r="E140"/>
    </row>
    <row r="141" spans="1:5" x14ac:dyDescent="0.25">
      <c r="A141" s="30">
        <v>0.14864362802414322</v>
      </c>
      <c r="C141" s="1">
        <v>1</v>
      </c>
      <c r="E141"/>
    </row>
    <row r="142" spans="1:5" x14ac:dyDescent="0.25">
      <c r="A142" s="30">
        <v>0.13513057093103928</v>
      </c>
      <c r="C142" s="1">
        <v>2</v>
      </c>
      <c r="E142"/>
    </row>
    <row r="143" spans="1:5" x14ac:dyDescent="0.25">
      <c r="A143" s="30">
        <v>0.12284597357367205</v>
      </c>
      <c r="C143" s="1">
        <v>3</v>
      </c>
      <c r="E143"/>
    </row>
    <row r="144" spans="1:5" x14ac:dyDescent="0.25">
      <c r="A144" s="30">
        <v>0.11167815779424731</v>
      </c>
      <c r="C144" s="1">
        <v>4</v>
      </c>
      <c r="E144"/>
    </row>
    <row r="145" spans="1:5" x14ac:dyDescent="0.25">
      <c r="A145" s="30">
        <v>0.10152559799477026</v>
      </c>
      <c r="B145"/>
      <c r="C145"/>
      <c r="D145"/>
      <c r="E145"/>
    </row>
    <row r="146" spans="1:5" x14ac:dyDescent="0.25">
      <c r="A146" s="30">
        <v>9.2295998177063854E-2</v>
      </c>
      <c r="B146"/>
      <c r="C146"/>
      <c r="D146"/>
      <c r="E146"/>
    </row>
    <row r="147" spans="1:5" x14ac:dyDescent="0.25">
      <c r="A147" s="30">
        <v>8.3905452888239848E-2</v>
      </c>
      <c r="B147"/>
      <c r="C147"/>
      <c r="D147"/>
      <c r="E147"/>
    </row>
    <row r="148" spans="1:5" x14ac:dyDescent="0.25">
      <c r="A148" s="30">
        <v>7.6277684443854396E-2</v>
      </c>
      <c r="B148"/>
      <c r="C148"/>
      <c r="D148"/>
      <c r="E148"/>
    </row>
    <row r="149" spans="1:5" x14ac:dyDescent="0.25">
      <c r="A149" s="30">
        <v>6.9343349494413078E-2</v>
      </c>
      <c r="B149"/>
      <c r="C149"/>
      <c r="D149"/>
      <c r="E149"/>
    </row>
    <row r="150" spans="1:5" x14ac:dyDescent="0.25">
      <c r="A150" s="30">
        <v>6.3039408631284613E-2</v>
      </c>
      <c r="B150"/>
      <c r="C150"/>
      <c r="D150"/>
      <c r="E150"/>
    </row>
    <row r="151" spans="1:5" x14ac:dyDescent="0.25">
      <c r="A151" s="30">
        <v>5.7308553301167818E-2</v>
      </c>
      <c r="B151"/>
      <c r="C151"/>
      <c r="D151"/>
      <c r="E151"/>
    </row>
    <row r="152" spans="1:5" x14ac:dyDescent="0.25">
      <c r="A152" s="30">
        <v>5.2098684819243464E-2</v>
      </c>
      <c r="B152"/>
      <c r="C152"/>
      <c r="D152"/>
      <c r="E152"/>
    </row>
    <row r="153" spans="1:5" x14ac:dyDescent="0.25">
      <c r="A153" s="30">
        <v>4.7362440744766775E-2</v>
      </c>
      <c r="B153"/>
      <c r="C153"/>
      <c r="D153"/>
      <c r="E153"/>
    </row>
    <row r="154" spans="1:5" x14ac:dyDescent="0.25">
      <c r="A154" s="30">
        <v>4.3056764313424332E-2</v>
      </c>
      <c r="B154"/>
      <c r="C154"/>
      <c r="D154"/>
      <c r="E154"/>
    </row>
    <row r="155" spans="1:5" x14ac:dyDescent="0.25">
      <c r="A155" s="30">
        <v>3.9142513012203929E-2</v>
      </c>
      <c r="B155"/>
      <c r="C155"/>
      <c r="D155"/>
      <c r="E155"/>
    </row>
    <row r="156" spans="1:5" x14ac:dyDescent="0.25">
      <c r="A156" s="30">
        <v>3.55841027383672E-2</v>
      </c>
      <c r="B156"/>
      <c r="C156"/>
      <c r="D156"/>
      <c r="E156"/>
    </row>
    <row r="157" spans="1:5" x14ac:dyDescent="0.25">
      <c r="A157" s="30">
        <v>3.2349184307606541E-2</v>
      </c>
      <c r="B157"/>
      <c r="C157"/>
      <c r="D157"/>
      <c r="E157"/>
    </row>
    <row r="158" spans="1:5" x14ac:dyDescent="0.25">
      <c r="A158" s="30">
        <v>2.9408349370551395E-2</v>
      </c>
      <c r="B158"/>
      <c r="C158"/>
      <c r="D158"/>
      <c r="E158"/>
    </row>
    <row r="159" spans="1:5" x14ac:dyDescent="0.25">
      <c r="A159" s="30">
        <v>2.6734863064137627E-2</v>
      </c>
      <c r="B159"/>
      <c r="C159"/>
      <c r="D159"/>
      <c r="E159"/>
    </row>
    <row r="160" spans="1:5" x14ac:dyDescent="0.25">
      <c r="A160" s="30">
        <v>2.4304420967397839E-2</v>
      </c>
      <c r="B160"/>
      <c r="C160"/>
      <c r="D160"/>
      <c r="E160"/>
    </row>
    <row r="161" spans="1:5" x14ac:dyDescent="0.25">
      <c r="A161" s="30">
        <v>2.2094928152179852E-2</v>
      </c>
      <c r="B161"/>
      <c r="C161"/>
      <c r="D161"/>
      <c r="E161"/>
    </row>
    <row r="162" spans="1:5" x14ac:dyDescent="0.25">
      <c r="A162" s="30">
        <v>2.0086298320163499E-2</v>
      </c>
      <c r="B162"/>
      <c r="C162"/>
      <c r="D162"/>
      <c r="E162"/>
    </row>
    <row r="163" spans="1:5" x14ac:dyDescent="0.25">
      <c r="A163" s="30">
        <v>1.8260271200148632E-2</v>
      </c>
      <c r="B163"/>
      <c r="C163"/>
      <c r="D163"/>
      <c r="E163"/>
    </row>
    <row r="164" spans="1:5" x14ac:dyDescent="0.25">
      <c r="A164" s="30">
        <v>1.6600246545589663E-2</v>
      </c>
      <c r="B164"/>
      <c r="C164"/>
      <c r="D164"/>
      <c r="E164"/>
    </row>
    <row r="165" spans="1:5" x14ac:dyDescent="0.25">
      <c r="A165" s="30">
        <v>1.5091133223263328E-2</v>
      </c>
      <c r="B165"/>
      <c r="C165"/>
      <c r="D165"/>
      <c r="E165"/>
    </row>
    <row r="166" spans="1:5" x14ac:dyDescent="0.25">
      <c r="A166" s="30">
        <v>1.3719212021148477E-2</v>
      </c>
      <c r="B166"/>
      <c r="C166"/>
      <c r="D166"/>
      <c r="E166"/>
    </row>
    <row r="167" spans="1:5" x14ac:dyDescent="0.25">
      <c r="A167" s="30">
        <v>1.2472010928316795E-2</v>
      </c>
      <c r="B167"/>
      <c r="C167"/>
      <c r="D167"/>
      <c r="E167"/>
    </row>
    <row r="168" spans="1:5" x14ac:dyDescent="0.25">
      <c r="A168" s="30">
        <v>1.1338191753015267E-2</v>
      </c>
      <c r="B168"/>
      <c r="C168"/>
      <c r="D168"/>
      <c r="E168"/>
    </row>
    <row r="169" spans="1:5" x14ac:dyDescent="0.25">
      <c r="A169" s="30">
        <v>1.0307447048195697E-2</v>
      </c>
      <c r="B169"/>
      <c r="C169"/>
      <c r="D169"/>
      <c r="E169"/>
    </row>
    <row r="170" spans="1:5" x14ac:dyDescent="0.25">
      <c r="A170" s="30">
        <v>9.3704064074506318E-3</v>
      </c>
      <c r="B170"/>
      <c r="C170"/>
      <c r="D170"/>
      <c r="E170"/>
    </row>
    <row r="171" spans="1:5" x14ac:dyDescent="0.25">
      <c r="A171" s="30">
        <v>8.5185512795005747E-3</v>
      </c>
    </row>
    <row r="172" spans="1:5" x14ac:dyDescent="0.25">
      <c r="A172" s="30">
        <v>7.744137526818704E-3</v>
      </c>
    </row>
    <row r="173" spans="1:5" x14ac:dyDescent="0.25">
      <c r="A173" s="30">
        <v>7.0401250243806394E-3</v>
      </c>
    </row>
    <row r="174" spans="1:5" x14ac:dyDescent="0.25">
      <c r="A174" s="30">
        <v>6.4001136585278536E-3</v>
      </c>
    </row>
    <row r="175" spans="1:5" x14ac:dyDescent="0.25">
      <c r="A175" s="30">
        <v>5.8182851441162305E-3</v>
      </c>
    </row>
    <row r="176" spans="1:5" x14ac:dyDescent="0.25">
      <c r="A176" s="30">
        <v>5.2893501310147546E-3</v>
      </c>
    </row>
    <row r="177" spans="1:1" x14ac:dyDescent="0.25">
      <c r="A177" s="30">
        <v>4.8085001191043222E-3</v>
      </c>
    </row>
    <row r="178" spans="1:1" x14ac:dyDescent="0.25">
      <c r="A178" s="30">
        <v>4.3713637446402926E-3</v>
      </c>
    </row>
    <row r="179" spans="1:1" x14ac:dyDescent="0.25">
      <c r="A179" s="30">
        <v>3.9739670405820838E-3</v>
      </c>
    </row>
    <row r="180" spans="1:1" x14ac:dyDescent="0.25">
      <c r="A180" s="30">
        <v>3.6126973096200759E-3</v>
      </c>
    </row>
    <row r="181" spans="1:1" x14ac:dyDescent="0.25">
      <c r="A181" s="30">
        <v>3.2842702814727962E-3</v>
      </c>
    </row>
    <row r="182" spans="1:1" x14ac:dyDescent="0.25">
      <c r="A182" s="30">
        <v>2.9857002558843601E-3</v>
      </c>
    </row>
    <row r="183" spans="1:1" x14ac:dyDescent="0.25">
      <c r="A183" s="30">
        <v>2.7142729598948726E-3</v>
      </c>
    </row>
    <row r="184" spans="1:1" x14ac:dyDescent="0.25">
      <c r="A184" s="30">
        <v>2.4675208726317021E-3</v>
      </c>
    </row>
    <row r="185" spans="1:1" x14ac:dyDescent="0.25">
      <c r="A185" s="30">
        <v>2.2432007933015472E-3</v>
      </c>
    </row>
    <row r="186" spans="1:1" x14ac:dyDescent="0.25">
      <c r="A186" s="30">
        <v>2.0392734484559519E-3</v>
      </c>
    </row>
    <row r="187" spans="1:1" x14ac:dyDescent="0.25">
      <c r="A187" s="30">
        <v>1.8538849531417744E-3</v>
      </c>
    </row>
    <row r="188" spans="1:1" x14ac:dyDescent="0.25">
      <c r="A188" s="30">
        <v>1.6853499574016129E-3</v>
      </c>
    </row>
    <row r="189" spans="1:1" x14ac:dyDescent="0.25">
      <c r="A189" s="30">
        <v>1.5321363249105571E-3</v>
      </c>
    </row>
    <row r="190" spans="1:1" x14ac:dyDescent="0.25">
      <c r="A190" s="30">
        <v>1.3928512044641427E-3</v>
      </c>
    </row>
    <row r="191" spans="1:1" x14ac:dyDescent="0.25">
      <c r="A191" s="30">
        <v>1.2662283676946752E-3</v>
      </c>
    </row>
    <row r="192" spans="1:1" x14ac:dyDescent="0.25">
      <c r="A192" s="30">
        <v>1.15111669790425E-3</v>
      </c>
    </row>
    <row r="193" spans="1:1" x14ac:dyDescent="0.25">
      <c r="A193" s="30">
        <v>1.0464697253675E-3</v>
      </c>
    </row>
    <row r="194" spans="1:1" x14ac:dyDescent="0.25">
      <c r="A194" s="30">
        <v>9.5133611397045449E-4</v>
      </c>
    </row>
    <row r="195" spans="1:1" x14ac:dyDescent="0.25">
      <c r="A195" s="30">
        <v>8.6485101270041313E-4</v>
      </c>
    </row>
    <row r="196" spans="1:1" x14ac:dyDescent="0.25">
      <c r="A196" s="30">
        <v>7.862281933640119E-4</v>
      </c>
    </row>
    <row r="197" spans="1:1" x14ac:dyDescent="0.25">
      <c r="A197" s="30">
        <v>7.0760537402761068E-4</v>
      </c>
    </row>
    <row r="198" spans="1:1" x14ac:dyDescent="0.25">
      <c r="A198" s="30">
        <v>6.368448366248496E-4</v>
      </c>
    </row>
    <row r="199" spans="1:1" x14ac:dyDescent="0.25">
      <c r="A199" s="30">
        <v>5.7316035296236471E-4</v>
      </c>
    </row>
    <row r="200" spans="1:1" x14ac:dyDescent="0.25">
      <c r="A200" s="30">
        <v>5.1584431766612821E-4</v>
      </c>
    </row>
    <row r="201" spans="1:1" x14ac:dyDescent="0.25">
      <c r="A201" s="30">
        <v>4.6425988589951538E-4</v>
      </c>
    </row>
    <row r="202" spans="1:1" x14ac:dyDescent="0.25">
      <c r="A202" s="30">
        <v>4.1783389730956383E-4</v>
      </c>
    </row>
    <row r="203" spans="1:1" x14ac:dyDescent="0.25">
      <c r="A203" s="30">
        <v>3.7605050757860746E-4</v>
      </c>
    </row>
    <row r="204" spans="1:1" x14ac:dyDescent="0.25">
      <c r="A204" s="30">
        <v>3.3844545682074675E-4</v>
      </c>
    </row>
    <row r="205" spans="1:1" x14ac:dyDescent="0.25">
      <c r="A205" s="30">
        <v>3.0460091113867208E-4</v>
      </c>
    </row>
    <row r="206" spans="1:1" x14ac:dyDescent="0.25">
      <c r="A206" s="30">
        <v>2.7414082002480487E-4</v>
      </c>
    </row>
    <row r="207" spans="1:1" x14ac:dyDescent="0.25">
      <c r="A207" s="30">
        <v>2.4672673802232442E-4</v>
      </c>
    </row>
    <row r="208" spans="1:1" x14ac:dyDescent="0.25">
      <c r="A208" s="30">
        <v>2.2205406422009198E-4</v>
      </c>
    </row>
    <row r="209" spans="1:1" x14ac:dyDescent="0.25">
      <c r="A209" s="30">
        <v>1.998486577980828E-4</v>
      </c>
    </row>
    <row r="210" spans="1:1" x14ac:dyDescent="0.25">
      <c r="A210" s="30">
        <v>1.7986379201827453E-4</v>
      </c>
    </row>
    <row r="211" spans="1:1" x14ac:dyDescent="0.25">
      <c r="A211" s="30">
        <v>1.6187741281644709E-4</v>
      </c>
    </row>
    <row r="212" spans="1:1" x14ac:dyDescent="0.25">
      <c r="A212" s="30">
        <v>1.4568967153480238E-4</v>
      </c>
    </row>
    <row r="213" spans="1:1" x14ac:dyDescent="0.25">
      <c r="A213" s="30">
        <v>1.3112070438132215E-4</v>
      </c>
    </row>
    <row r="214" spans="1:1" x14ac:dyDescent="0.25">
      <c r="A214" s="30">
        <v>1.1800863394318995E-4</v>
      </c>
    </row>
    <row r="215" spans="1:1" x14ac:dyDescent="0.25">
      <c r="A215" s="30">
        <v>1.0620777054887096E-4</v>
      </c>
    </row>
    <row r="216" spans="1:1" x14ac:dyDescent="0.25">
      <c r="A216" s="30">
        <v>9.5586993493983861E-5</v>
      </c>
    </row>
    <row r="217" spans="1:1" x14ac:dyDescent="0.25">
      <c r="A217" s="30">
        <v>8.6028294144585476E-5</v>
      </c>
    </row>
    <row r="218" spans="1:1" x14ac:dyDescent="0.25">
      <c r="A218" s="30">
        <v>7.7425464730126924E-5</v>
      </c>
    </row>
    <row r="219" spans="1:1" x14ac:dyDescent="0.25">
      <c r="A219" s="30">
        <v>6.9682918257114228E-5</v>
      </c>
    </row>
    <row r="220" spans="1:1" x14ac:dyDescent="0.25">
      <c r="A220" s="30">
        <v>6.2714626431402813E-5</v>
      </c>
    </row>
    <row r="221" spans="1:1" x14ac:dyDescent="0.25">
      <c r="A221" s="30">
        <v>5.6443163788262536E-5</v>
      </c>
    </row>
    <row r="222" spans="1:1" x14ac:dyDescent="0.25">
      <c r="A222" s="30">
        <v>5.0798847409436286E-5</v>
      </c>
    </row>
    <row r="223" spans="1:1" x14ac:dyDescent="0.25">
      <c r="A223" s="30">
        <v>4.5718962668492656E-5</v>
      </c>
    </row>
    <row r="224" spans="1:1" x14ac:dyDescent="0.25">
      <c r="A224" s="30">
        <v>4.1147066401643391E-5</v>
      </c>
    </row>
    <row r="225" spans="1:1" x14ac:dyDescent="0.25">
      <c r="A225" s="30">
        <v>3.7032359761479051E-5</v>
      </c>
    </row>
    <row r="226" spans="1:1" x14ac:dyDescent="0.25">
      <c r="A226" s="30">
        <v>3.3329123785331146E-5</v>
      </c>
    </row>
    <row r="227" spans="1:1" x14ac:dyDescent="0.25">
      <c r="A227" s="30">
        <v>2.9996211406798031E-5</v>
      </c>
    </row>
    <row r="228" spans="1:1" x14ac:dyDescent="0.25">
      <c r="A228" s="30">
        <v>2.6996590266118227E-5</v>
      </c>
    </row>
    <row r="229" spans="1:1" x14ac:dyDescent="0.25">
      <c r="A229" s="30">
        <v>2.4296931239506405E-5</v>
      </c>
    </row>
    <row r="230" spans="1:1" x14ac:dyDescent="0.25">
      <c r="A230" s="30">
        <v>2.1867238115555765E-5</v>
      </c>
    </row>
    <row r="231" spans="1:1" x14ac:dyDescent="0.25">
      <c r="A231" s="30">
        <v>1.968051430400019E-5</v>
      </c>
    </row>
    <row r="232" spans="1:1" x14ac:dyDescent="0.25">
      <c r="A232" s="30">
        <v>1.7712462873600173E-5</v>
      </c>
    </row>
    <row r="233" spans="1:1" x14ac:dyDescent="0.25">
      <c r="A233" s="30">
        <v>1.5941216586240156E-5</v>
      </c>
    </row>
    <row r="234" spans="1:1" x14ac:dyDescent="0.25">
      <c r="A234" s="30">
        <v>1.434709492761614E-5</v>
      </c>
    </row>
    <row r="235" spans="1:1" x14ac:dyDescent="0.25">
      <c r="A235" s="30">
        <v>1.2912385434854527E-5</v>
      </c>
    </row>
    <row r="236" spans="1:1" x14ac:dyDescent="0.25">
      <c r="A236" s="30">
        <v>1.1621146891369075E-5</v>
      </c>
    </row>
    <row r="237" spans="1:1" x14ac:dyDescent="0.25">
      <c r="A237" s="30">
        <v>1.0459032202232167E-5</v>
      </c>
    </row>
    <row r="238" spans="1:1" x14ac:dyDescent="0.25">
      <c r="A238" s="30">
        <v>9.4131289820089515E-6</v>
      </c>
    </row>
    <row r="239" spans="1:1" x14ac:dyDescent="0.25">
      <c r="A239" s="30">
        <v>8.4718160838080567E-6</v>
      </c>
    </row>
    <row r="240" spans="1:1" x14ac:dyDescent="0.25">
      <c r="A240" s="30">
        <v>7.6246344754272515E-6</v>
      </c>
    </row>
    <row r="241" spans="1:1" x14ac:dyDescent="0.25">
      <c r="A241" s="30">
        <v>6.8621710278845262E-6</v>
      </c>
    </row>
    <row r="242" spans="1:1" x14ac:dyDescent="0.25">
      <c r="A242" s="30">
        <v>6.1759539250960733E-6</v>
      </c>
    </row>
    <row r="243" spans="1:1" x14ac:dyDescent="0.25">
      <c r="A243" s="30">
        <v>5.5583585325864661E-6</v>
      </c>
    </row>
    <row r="244" spans="1:1" x14ac:dyDescent="0.25">
      <c r="A244" s="30">
        <v>5.0025226793278193E-6</v>
      </c>
    </row>
    <row r="245" spans="1:1" x14ac:dyDescent="0.25">
      <c r="A245" s="30">
        <v>4.5022704113950371E-6</v>
      </c>
    </row>
    <row r="246" spans="1:1" x14ac:dyDescent="0.25">
      <c r="A246" s="30">
        <v>4.0520433702555336E-6</v>
      </c>
    </row>
    <row r="247" spans="1:1" x14ac:dyDescent="0.25">
      <c r="A247" s="30">
        <v>3.6468390332299805E-6</v>
      </c>
    </row>
    <row r="248" spans="1:1" x14ac:dyDescent="0.25">
      <c r="A248" s="30">
        <v>3.2821551299069824E-6</v>
      </c>
    </row>
    <row r="249" spans="1:1" x14ac:dyDescent="0.25">
      <c r="A249" s="30">
        <v>2.9539396169162842E-6</v>
      </c>
    </row>
    <row r="250" spans="1:1" x14ac:dyDescent="0.25">
      <c r="A250" s="30">
        <v>2.6585456552246558E-6</v>
      </c>
    </row>
    <row r="251" spans="1:1" x14ac:dyDescent="0.25">
      <c r="A251" s="30">
        <v>2.39269108970219E-6</v>
      </c>
    </row>
    <row r="252" spans="1:1" x14ac:dyDescent="0.25">
      <c r="A252" s="30">
        <v>2.1534219807319713E-6</v>
      </c>
    </row>
    <row r="253" spans="1:1" x14ac:dyDescent="0.25">
      <c r="A253" s="30">
        <v>1.9380797826587742E-6</v>
      </c>
    </row>
    <row r="254" spans="1:1" x14ac:dyDescent="0.25">
      <c r="A254" s="30">
        <v>1.7442718043928968E-6</v>
      </c>
    </row>
    <row r="255" spans="1:1" x14ac:dyDescent="0.25">
      <c r="A255" s="30">
        <v>1.5698446239536072E-6</v>
      </c>
    </row>
    <row r="256" spans="1:1" x14ac:dyDescent="0.25">
      <c r="A256" s="30">
        <v>1.4128601615582464E-6</v>
      </c>
    </row>
    <row r="257" spans="1:1" x14ac:dyDescent="0.25">
      <c r="A257" s="30">
        <v>1.2715741454024219E-6</v>
      </c>
    </row>
    <row r="258" spans="1:1" x14ac:dyDescent="0.25">
      <c r="A258" s="30">
        <v>1.1444167308621797E-6</v>
      </c>
    </row>
    <row r="259" spans="1:1" x14ac:dyDescent="0.25">
      <c r="A259" s="30">
        <v>1.0299750577759617E-6</v>
      </c>
    </row>
    <row r="260" spans="1:1" x14ac:dyDescent="0.25">
      <c r="A260" s="30">
        <v>9.2697755199836562E-7</v>
      </c>
    </row>
    <row r="261" spans="1:1" x14ac:dyDescent="0.25">
      <c r="A261" s="30">
        <v>8.3427979679852907E-7</v>
      </c>
    </row>
    <row r="262" spans="1:1" x14ac:dyDescent="0.25">
      <c r="A262" s="30">
        <v>7.508518171186762E-7</v>
      </c>
    </row>
    <row r="263" spans="1:1" x14ac:dyDescent="0.25">
      <c r="A263" s="30">
        <v>6.7576663540680858E-7</v>
      </c>
    </row>
    <row r="264" spans="1:1" x14ac:dyDescent="0.25">
      <c r="A264" s="30">
        <v>6.0818997186612771E-7</v>
      </c>
    </row>
    <row r="265" spans="1:1" x14ac:dyDescent="0.25">
      <c r="A265" s="30">
        <v>5.4737097467951492E-7</v>
      </c>
    </row>
    <row r="266" spans="1:1" x14ac:dyDescent="0.25">
      <c r="A266" s="30">
        <v>4.9263387721156344E-7</v>
      </c>
    </row>
    <row r="267" spans="1:1" x14ac:dyDescent="0.25">
      <c r="A267" s="30">
        <v>4.4337048949040709E-7</v>
      </c>
    </row>
    <row r="268" spans="1:1" x14ac:dyDescent="0.25">
      <c r="A268" s="30">
        <v>3.9903344054136637E-7</v>
      </c>
    </row>
    <row r="269" spans="1:1" x14ac:dyDescent="0.25">
      <c r="A269" s="30">
        <v>3.5913009648722975E-7</v>
      </c>
    </row>
    <row r="270" spans="1:1" x14ac:dyDescent="0.25">
      <c r="A270" s="30">
        <v>3.2321708683850679E-7</v>
      </c>
    </row>
    <row r="271" spans="1:1" x14ac:dyDescent="0.25">
      <c r="A271" s="30">
        <v>2.908953781546561E-7</v>
      </c>
    </row>
    <row r="272" spans="1:1" x14ac:dyDescent="0.25">
      <c r="A272" s="30">
        <v>2.6180584033919052E-7</v>
      </c>
    </row>
    <row r="273" spans="1:1" x14ac:dyDescent="0.25">
      <c r="A273" s="30">
        <v>2.3562525630527146E-7</v>
      </c>
    </row>
    <row r="274" spans="1:1" x14ac:dyDescent="0.25">
      <c r="A274" s="30">
        <v>2.1206273067474431E-7</v>
      </c>
    </row>
    <row r="275" spans="1:1" x14ac:dyDescent="0.25">
      <c r="A275" s="30">
        <v>1.9085645760726988E-7</v>
      </c>
    </row>
    <row r="276" spans="1:1" x14ac:dyDescent="0.25">
      <c r="A276" s="30">
        <v>1.717708118465429E-7</v>
      </c>
    </row>
    <row r="277" spans="1:1" x14ac:dyDescent="0.25">
      <c r="A277" s="30">
        <v>1.5459373066188861E-7</v>
      </c>
    </row>
    <row r="278" spans="1:1" x14ac:dyDescent="0.25">
      <c r="A278" s="30">
        <v>1.3913435759569975E-7</v>
      </c>
    </row>
    <row r="279" spans="1:1" x14ac:dyDescent="0.25">
      <c r="A279" s="30">
        <v>1.2522092183612977E-7</v>
      </c>
    </row>
    <row r="280" spans="1:1" x14ac:dyDescent="0.25">
      <c r="A280" s="30">
        <v>1.1269882965251679E-7</v>
      </c>
    </row>
    <row r="281" spans="1:1" x14ac:dyDescent="0.25">
      <c r="A281" s="30">
        <v>1.0142894668726512E-7</v>
      </c>
    </row>
    <row r="282" spans="1:1" x14ac:dyDescent="0.25">
      <c r="A282" s="30">
        <v>9.1286052018538604E-8</v>
      </c>
    </row>
    <row r="283" spans="1:1" x14ac:dyDescent="0.25">
      <c r="A283" s="30">
        <v>8.2157446816684752E-8</v>
      </c>
    </row>
    <row r="284" spans="1:1" x14ac:dyDescent="0.25">
      <c r="A284" s="30">
        <v>7.3941702135016276E-8</v>
      </c>
    </row>
    <row r="285" spans="1:1" x14ac:dyDescent="0.25">
      <c r="A285" s="30">
        <v>6.6547531921514646E-8</v>
      </c>
    </row>
    <row r="286" spans="1:1" x14ac:dyDescent="0.25">
      <c r="A286" s="30">
        <v>5.9892778729363178E-8</v>
      </c>
    </row>
    <row r="287" spans="1:1" x14ac:dyDescent="0.25">
      <c r="A287" s="30">
        <v>5.3903500856426864E-8</v>
      </c>
    </row>
    <row r="288" spans="1:1" x14ac:dyDescent="0.25">
      <c r="A288" s="30">
        <v>4.851315077078418E-8</v>
      </c>
    </row>
    <row r="289" spans="1:1" x14ac:dyDescent="0.25">
      <c r="A289" s="30">
        <v>4.3661835693705764E-8</v>
      </c>
    </row>
    <row r="290" spans="1:1" x14ac:dyDescent="0.25">
      <c r="A290" s="30">
        <v>3.929565212433519E-8</v>
      </c>
    </row>
    <row r="291" spans="1:1" x14ac:dyDescent="0.25">
      <c r="A291" s="30">
        <v>3.536608691190167E-8</v>
      </c>
    </row>
    <row r="292" spans="1:1" x14ac:dyDescent="0.25">
      <c r="A292" s="30">
        <v>3.1829478220711501E-8</v>
      </c>
    </row>
    <row r="293" spans="1:1" x14ac:dyDescent="0.25">
      <c r="A293" s="30">
        <v>2.8646530398640351E-8</v>
      </c>
    </row>
    <row r="294" spans="1:1" x14ac:dyDescent="0.25">
      <c r="A294" s="30">
        <v>2.5781877358776315E-8</v>
      </c>
    </row>
    <row r="295" spans="1:1" x14ac:dyDescent="0.25">
      <c r="A295" s="30">
        <v>2.3203689622898683E-8</v>
      </c>
    </row>
    <row r="296" spans="1:1" x14ac:dyDescent="0.25">
      <c r="A296" s="30">
        <v>2.0883320660608816E-8</v>
      </c>
    </row>
    <row r="297" spans="1:1" x14ac:dyDescent="0.25">
      <c r="A297" s="30">
        <v>1.8794988594547934E-8</v>
      </c>
    </row>
    <row r="298" spans="1:1" x14ac:dyDescent="0.25">
      <c r="A298" s="30">
        <v>1.6915489735093139E-8</v>
      </c>
    </row>
    <row r="299" spans="1:1" x14ac:dyDescent="0.25">
      <c r="A299" s="30">
        <v>1.5223940761583825E-8</v>
      </c>
    </row>
    <row r="300" spans="1:1" x14ac:dyDescent="0.25">
      <c r="A300" s="30">
        <v>1.3701546685425444E-8</v>
      </c>
    </row>
    <row r="301" spans="1:1" x14ac:dyDescent="0.25">
      <c r="A301" s="30">
        <v>1.2331392016882899E-8</v>
      </c>
    </row>
    <row r="302" spans="1:1" x14ac:dyDescent="0.25">
      <c r="A302" s="30">
        <v>1.1098252815194609E-8</v>
      </c>
    </row>
    <row r="303" spans="1:1" x14ac:dyDescent="0.25">
      <c r="A303" s="30">
        <v>9.9884275336751485E-9</v>
      </c>
    </row>
    <row r="304" spans="1:1" x14ac:dyDescent="0.25">
      <c r="A304" s="30">
        <v>8.9895847803076335E-9</v>
      </c>
    </row>
    <row r="305" spans="1:1" x14ac:dyDescent="0.25">
      <c r="A305" s="30">
        <v>8.0906263022768703E-9</v>
      </c>
    </row>
    <row r="306" spans="1:1" x14ac:dyDescent="0.25">
      <c r="A306" s="30">
        <v>7.2815636720491835E-9</v>
      </c>
    </row>
    <row r="307" spans="1:1" x14ac:dyDescent="0.25">
      <c r="A307" s="30">
        <v>6.553407304844265E-9</v>
      </c>
    </row>
    <row r="308" spans="1:1" x14ac:dyDescent="0.25">
      <c r="A308" s="30">
        <v>5.8980665743598385E-9</v>
      </c>
    </row>
    <row r="309" spans="1:1" x14ac:dyDescent="0.25">
      <c r="A309" s="30">
        <v>5.3082599169238552E-9</v>
      </c>
    </row>
    <row r="310" spans="1:1" x14ac:dyDescent="0.25">
      <c r="A310" s="30">
        <v>4.7774339252314701E-9</v>
      </c>
    </row>
    <row r="311" spans="1:1" x14ac:dyDescent="0.25">
      <c r="A311" s="30">
        <v>4.2996905327083231E-9</v>
      </c>
    </row>
    <row r="312" spans="1:1" x14ac:dyDescent="0.25">
      <c r="A312" s="30">
        <v>3.8697214794374908E-9</v>
      </c>
    </row>
    <row r="313" spans="1:1" x14ac:dyDescent="0.25">
      <c r="A313" s="30">
        <v>3.4827493314937417E-9</v>
      </c>
    </row>
    <row r="314" spans="1:1" x14ac:dyDescent="0.25">
      <c r="A314" s="30">
        <v>3.1344743983443674E-9</v>
      </c>
    </row>
    <row r="315" spans="1:1" x14ac:dyDescent="0.25">
      <c r="A315" s="30">
        <v>2.8210269585099307E-9</v>
      </c>
    </row>
    <row r="316" spans="1:1" x14ac:dyDescent="0.25">
      <c r="A316" s="30">
        <v>2.5389242626589379E-9</v>
      </c>
    </row>
    <row r="317" spans="1:1" x14ac:dyDescent="0.25">
      <c r="A317" s="30">
        <v>2.285031836393044E-9</v>
      </c>
    </row>
    <row r="318" spans="1:1" x14ac:dyDescent="0.25">
      <c r="A318" s="30">
        <v>2.0565286527537398E-9</v>
      </c>
    </row>
    <row r="319" spans="1:1" x14ac:dyDescent="0.25">
      <c r="A319" s="30">
        <v>1.8508757874783659E-9</v>
      </c>
    </row>
    <row r="320" spans="1:1" x14ac:dyDescent="0.25">
      <c r="A320" s="30">
        <v>1.6657882087305294E-9</v>
      </c>
    </row>
    <row r="321" spans="1:1" x14ac:dyDescent="0.25">
      <c r="A321" s="30">
        <v>1.4992093878574765E-9</v>
      </c>
    </row>
    <row r="322" spans="1:1" x14ac:dyDescent="0.25">
      <c r="A322" s="30">
        <v>1.3492884490717289E-9</v>
      </c>
    </row>
    <row r="323" spans="1:1" x14ac:dyDescent="0.25">
      <c r="A323" s="30">
        <v>1.214359604164556E-9</v>
      </c>
    </row>
    <row r="324" spans="1:1" x14ac:dyDescent="0.25">
      <c r="A324" s="30">
        <v>1.0929236437481004E-9</v>
      </c>
    </row>
    <row r="325" spans="1:1" x14ac:dyDescent="0.25">
      <c r="A325" s="30">
        <v>9.8363127937329029E-10</v>
      </c>
    </row>
    <row r="326" spans="1:1" x14ac:dyDescent="0.25">
      <c r="A326" s="30">
        <v>8.8526815143596126E-10</v>
      </c>
    </row>
    <row r="327" spans="1:1" x14ac:dyDescent="0.25">
      <c r="A327" s="30">
        <v>7.967413362923651E-10</v>
      </c>
    </row>
    <row r="328" spans="1:1" x14ac:dyDescent="0.25">
      <c r="A328" s="30">
        <v>7.1706720266312858E-10</v>
      </c>
    </row>
    <row r="329" spans="1:1" x14ac:dyDescent="0.25">
      <c r="A329" s="30">
        <v>6.4536048239681569E-10</v>
      </c>
    </row>
    <row r="330" spans="1:1" x14ac:dyDescent="0.25">
      <c r="A330" s="30">
        <v>5.8082443415713415E-10</v>
      </c>
    </row>
    <row r="331" spans="1:1" x14ac:dyDescent="0.25">
      <c r="A331" s="30">
        <v>5.2274199074142077E-10</v>
      </c>
    </row>
    <row r="332" spans="1:1" x14ac:dyDescent="0.25">
      <c r="A332" s="30">
        <v>4.7046779166727869E-10</v>
      </c>
    </row>
    <row r="333" spans="1:1" x14ac:dyDescent="0.25">
      <c r="A333" s="30">
        <v>4.2342101250055083E-10</v>
      </c>
    </row>
    <row r="334" spans="1:1" x14ac:dyDescent="0.25">
      <c r="A334" s="30">
        <v>3.8107891125049577E-10</v>
      </c>
    </row>
    <row r="335" spans="1:1" x14ac:dyDescent="0.25">
      <c r="A335" s="30">
        <v>3.4297102012544618E-10</v>
      </c>
    </row>
    <row r="336" spans="1:1" x14ac:dyDescent="0.25">
      <c r="A336" s="30">
        <v>3.0867391811290155E-10</v>
      </c>
    </row>
    <row r="337" spans="1:1" x14ac:dyDescent="0.25">
      <c r="A337" s="30">
        <v>2.7780652630161142E-10</v>
      </c>
    </row>
    <row r="338" spans="1:1" x14ac:dyDescent="0.25">
      <c r="A338" s="30">
        <v>2.5002587367145027E-10</v>
      </c>
    </row>
    <row r="339" spans="1:1" x14ac:dyDescent="0.25">
      <c r="A339" s="30">
        <v>2.2502328630430526E-10</v>
      </c>
    </row>
    <row r="340" spans="1:1" x14ac:dyDescent="0.25">
      <c r="A340" s="30">
        <v>2.0252095767387472E-10</v>
      </c>
    </row>
    <row r="341" spans="1:1" x14ac:dyDescent="0.25">
      <c r="A341" s="30">
        <v>1.8226886190648727E-10</v>
      </c>
    </row>
    <row r="342" spans="1:1" x14ac:dyDescent="0.25">
      <c r="A342" s="30">
        <v>1.6404197571583855E-10</v>
      </c>
    </row>
    <row r="343" spans="1:1" x14ac:dyDescent="0.25">
      <c r="A343" s="30">
        <v>1.4763777814425471E-10</v>
      </c>
    </row>
    <row r="344" spans="1:1" x14ac:dyDescent="0.25">
      <c r="A344" s="30">
        <v>1.3287400032982923E-10</v>
      </c>
    </row>
    <row r="345" spans="1:1" x14ac:dyDescent="0.25">
      <c r="A345" s="30">
        <v>1.1958660029684632E-10</v>
      </c>
    </row>
    <row r="346" spans="1:1" x14ac:dyDescent="0.25">
      <c r="A346" s="30">
        <v>1.0762794026716169E-10</v>
      </c>
    </row>
    <row r="347" spans="1:1" x14ac:dyDescent="0.25">
      <c r="A347" s="30">
        <v>9.686514624044552E-11</v>
      </c>
    </row>
    <row r="348" spans="1:1" x14ac:dyDescent="0.25">
      <c r="A348" s="30">
        <v>8.7178631616400964E-11</v>
      </c>
    </row>
    <row r="349" spans="1:1" x14ac:dyDescent="0.25">
      <c r="A349" s="30">
        <v>7.8460768454760866E-11</v>
      </c>
    </row>
    <row r="350" spans="1:1" x14ac:dyDescent="0.25">
      <c r="A350" s="30">
        <v>7.0614691609284776E-11</v>
      </c>
    </row>
    <row r="351" spans="1:1" x14ac:dyDescent="0.25">
      <c r="A351" s="30">
        <v>6.3553222448356295E-11</v>
      </c>
    </row>
    <row r="352" spans="1:1" x14ac:dyDescent="0.25">
      <c r="A352" s="30">
        <v>5.7197900203520665E-11</v>
      </c>
    </row>
    <row r="353" spans="1:1" x14ac:dyDescent="0.25">
      <c r="A353" s="30">
        <v>5.1478110183168601E-11</v>
      </c>
    </row>
    <row r="354" spans="1:1" x14ac:dyDescent="0.25">
      <c r="A354" s="30">
        <v>4.633029916485174E-11</v>
      </c>
    </row>
    <row r="355" spans="1:1" x14ac:dyDescent="0.25">
      <c r="A355" s="30">
        <v>4.1697269248366565E-11</v>
      </c>
    </row>
    <row r="356" spans="1:1" x14ac:dyDescent="0.25">
      <c r="A356" s="30">
        <v>3.7527542323529907E-11</v>
      </c>
    </row>
    <row r="357" spans="1:1" x14ac:dyDescent="0.25">
      <c r="A357" s="30">
        <v>3.3774788091176915E-11</v>
      </c>
    </row>
    <row r="358" spans="1:1" x14ac:dyDescent="0.25">
      <c r="A358" s="30">
        <v>3.0397309282059222E-11</v>
      </c>
    </row>
    <row r="359" spans="1:1" x14ac:dyDescent="0.25">
      <c r="A359" s="30">
        <v>2.7357578353853301E-11</v>
      </c>
    </row>
    <row r="360" spans="1:1" x14ac:dyDescent="0.25">
      <c r="A360" s="30">
        <v>2.4621820518467972E-11</v>
      </c>
    </row>
    <row r="361" spans="1:1" x14ac:dyDescent="0.25">
      <c r="A361" s="30">
        <v>2.2159638466621177E-11</v>
      </c>
    </row>
    <row r="362" spans="1:1" x14ac:dyDescent="0.25">
      <c r="A362" s="30">
        <v>1.994367461995906E-11</v>
      </c>
    </row>
    <row r="363" spans="1:1" x14ac:dyDescent="0.25">
      <c r="A363" s="30">
        <v>1.7949307157963154E-11</v>
      </c>
    </row>
    <row r="364" spans="1:1" x14ac:dyDescent="0.25">
      <c r="A364" s="30">
        <v>1.615437644216684E-11</v>
      </c>
    </row>
    <row r="365" spans="1:1" x14ac:dyDescent="0.25">
      <c r="A365" s="30">
        <v>1.4538938797950156E-11</v>
      </c>
    </row>
    <row r="366" spans="1:1" x14ac:dyDescent="0.25">
      <c r="A366" s="30">
        <v>1.308504491815514E-11</v>
      </c>
    </row>
    <row r="367" spans="1:1" x14ac:dyDescent="0.25">
      <c r="A367" s="30">
        <v>1.1776540426339626E-11</v>
      </c>
    </row>
    <row r="368" spans="1:1" x14ac:dyDescent="0.25">
      <c r="A368" s="30">
        <v>1.0598886383705664E-11</v>
      </c>
    </row>
    <row r="369" spans="1:1" x14ac:dyDescent="0.25">
      <c r="A369" s="30">
        <v>9.5389977453350987E-12</v>
      </c>
    </row>
    <row r="370" spans="1:1" x14ac:dyDescent="0.25">
      <c r="A370" s="30">
        <v>8.5850979708015893E-12</v>
      </c>
    </row>
    <row r="371" spans="1:1" x14ac:dyDescent="0.25">
      <c r="A371" s="30">
        <v>7.7265881737214303E-12</v>
      </c>
    </row>
    <row r="372" spans="1:1" x14ac:dyDescent="0.25">
      <c r="A372" s="30">
        <v>6.9539293563492874E-12</v>
      </c>
    </row>
    <row r="373" spans="1:1" x14ac:dyDescent="0.25">
      <c r="A373" s="30">
        <v>6.2585364207143591E-12</v>
      </c>
    </row>
    <row r="374" spans="1:1" x14ac:dyDescent="0.25">
      <c r="A374" s="30">
        <v>5.632682778642923E-12</v>
      </c>
    </row>
    <row r="375" spans="1:1" x14ac:dyDescent="0.25">
      <c r="A375" s="30">
        <v>5.0694145007786311E-12</v>
      </c>
    </row>
    <row r="376" spans="1:1" x14ac:dyDescent="0.25">
      <c r="A376" s="30">
        <v>4.5624730507007684E-12</v>
      </c>
    </row>
    <row r="377" spans="1:1" x14ac:dyDescent="0.25">
      <c r="A377" s="30">
        <v>4.1062257456306914E-12</v>
      </c>
    </row>
    <row r="378" spans="1:1" x14ac:dyDescent="0.25">
      <c r="A378" s="30">
        <v>3.6956031710676221E-12</v>
      </c>
    </row>
    <row r="379" spans="1:1" x14ac:dyDescent="0.25">
      <c r="A379" s="30">
        <v>3.3260428539608601E-12</v>
      </c>
    </row>
    <row r="380" spans="1:1" x14ac:dyDescent="0.25">
      <c r="A380" s="30">
        <v>2.9934385685647741E-12</v>
      </c>
    </row>
    <row r="381" spans="1:1" x14ac:dyDescent="0.25">
      <c r="A381" s="30">
        <v>2.6940947117082966E-12</v>
      </c>
    </row>
    <row r="382" spans="1:1" x14ac:dyDescent="0.25">
      <c r="A382" s="30">
        <v>2.4246852405374669E-12</v>
      </c>
    </row>
    <row r="383" spans="1:1" x14ac:dyDescent="0.25">
      <c r="A383" s="30">
        <v>2.1822167164837201E-12</v>
      </c>
    </row>
    <row r="384" spans="1:1" x14ac:dyDescent="0.25">
      <c r="A384" s="30">
        <v>1.9639950448353481E-12</v>
      </c>
    </row>
    <row r="385" spans="1:1" x14ac:dyDescent="0.25">
      <c r="A385" s="30">
        <v>1.7675955403518133E-12</v>
      </c>
    </row>
    <row r="386" spans="1:1" x14ac:dyDescent="0.25">
      <c r="A386" s="30">
        <v>1.5908359863166319E-12</v>
      </c>
    </row>
    <row r="387" spans="1:1" x14ac:dyDescent="0.25">
      <c r="A387" s="30">
        <v>1.4317523876849688E-12</v>
      </c>
    </row>
    <row r="388" spans="1:1" x14ac:dyDescent="0.25">
      <c r="A388" s="30">
        <v>1.2885771489164719E-12</v>
      </c>
    </row>
    <row r="389" spans="1:1" x14ac:dyDescent="0.25">
      <c r="A389" s="30">
        <v>1.1597194340248247E-12</v>
      </c>
    </row>
    <row r="390" spans="1:1" x14ac:dyDescent="0.25">
      <c r="A390" s="30">
        <v>1.0437474906223423E-12</v>
      </c>
    </row>
    <row r="391" spans="1:1" x14ac:dyDescent="0.25">
      <c r="A391" s="30">
        <v>9.3937274156010802E-13</v>
      </c>
    </row>
    <row r="392" spans="1:1" x14ac:dyDescent="0.25">
      <c r="A392" s="30">
        <v>8.4543546740409726E-13</v>
      </c>
    </row>
    <row r="393" spans="1:1" x14ac:dyDescent="0.25">
      <c r="A393" s="30">
        <v>7.608919206636876E-13</v>
      </c>
    </row>
    <row r="394" spans="1:1" x14ac:dyDescent="0.25">
      <c r="A394" s="30">
        <v>6.8480272859731885E-13</v>
      </c>
    </row>
    <row r="395" spans="1:1" x14ac:dyDescent="0.25">
      <c r="A395" s="30">
        <v>6.16322455737587E-13</v>
      </c>
    </row>
    <row r="396" spans="1:1" x14ac:dyDescent="0.25">
      <c r="A396" s="30">
        <v>5.5469021016382834E-13</v>
      </c>
    </row>
    <row r="397" spans="1:1" x14ac:dyDescent="0.25">
      <c r="A397" s="30">
        <v>4.9922118914744555E-13</v>
      </c>
    </row>
    <row r="398" spans="1:1" x14ac:dyDescent="0.25">
      <c r="A398" s="30">
        <v>4.4929907023270098E-13</v>
      </c>
    </row>
    <row r="399" spans="1:1" x14ac:dyDescent="0.25">
      <c r="A399" s="30">
        <v>4.0436916320943091E-13</v>
      </c>
    </row>
    <row r="400" spans="1:1" x14ac:dyDescent="0.25">
      <c r="A400" s="30">
        <v>3.6393224688848781E-13</v>
      </c>
    </row>
    <row r="401" spans="1:1" x14ac:dyDescent="0.25">
      <c r="A401" s="30">
        <v>3.2753902219963903E-13</v>
      </c>
    </row>
    <row r="402" spans="1:1" x14ac:dyDescent="0.25">
      <c r="A402" s="30">
        <v>2.9478511997967513E-13</v>
      </c>
    </row>
    <row r="403" spans="1:1" x14ac:dyDescent="0.25">
      <c r="A403" s="30">
        <v>2.6530660798170763E-13</v>
      </c>
    </row>
    <row r="404" spans="1:1" x14ac:dyDescent="0.25">
      <c r="A404" s="30">
        <v>2.3877594718353686E-13</v>
      </c>
    </row>
    <row r="405" spans="1:1" x14ac:dyDescent="0.25">
      <c r="A405" s="30">
        <v>2.1489835246518316E-13</v>
      </c>
    </row>
    <row r="406" spans="1:1" x14ac:dyDescent="0.25">
      <c r="A406" s="30">
        <v>1.9340851721866486E-13</v>
      </c>
    </row>
    <row r="407" spans="1:1" x14ac:dyDescent="0.25">
      <c r="A407" s="30">
        <v>1.7406766549679839E-13</v>
      </c>
    </row>
    <row r="408" spans="1:1" x14ac:dyDescent="0.25">
      <c r="A408" s="30">
        <v>1.5666089894711856E-13</v>
      </c>
    </row>
    <row r="409" spans="1:1" x14ac:dyDescent="0.25">
      <c r="A409" s="30">
        <v>1.4099480905240672E-13</v>
      </c>
    </row>
    <row r="410" spans="1:1" x14ac:dyDescent="0.25">
      <c r="A410" s="30">
        <v>1.2689532814716606E-13</v>
      </c>
    </row>
    <row r="411" spans="1:1" x14ac:dyDescent="0.25">
      <c r="A411" s="30">
        <v>1.1420579533244944E-13</v>
      </c>
    </row>
    <row r="412" spans="1:1" x14ac:dyDescent="0.25">
      <c r="A412" s="30">
        <v>1.0278521579920451E-13</v>
      </c>
    </row>
    <row r="413" spans="1:1" x14ac:dyDescent="0.25">
      <c r="A413" s="30">
        <v>9.2506694219284062E-14</v>
      </c>
    </row>
    <row r="414" spans="1:1" x14ac:dyDescent="0.25">
      <c r="A414" s="30">
        <v>8.3256024797355662E-14</v>
      </c>
    </row>
    <row r="415" spans="1:1" x14ac:dyDescent="0.25">
      <c r="A415" s="30">
        <v>7.4930422317620103E-14</v>
      </c>
    </row>
    <row r="416" spans="1:1" x14ac:dyDescent="0.25">
      <c r="A416" s="30">
        <v>6.7437380085858099E-14</v>
      </c>
    </row>
    <row r="417" spans="1:1" x14ac:dyDescent="0.25">
      <c r="A417" s="30">
        <v>6.0693642077272288E-14</v>
      </c>
    </row>
    <row r="418" spans="1:1" x14ac:dyDescent="0.25">
      <c r="A418" s="30">
        <v>5.4624277869545061E-14</v>
      </c>
    </row>
    <row r="419" spans="1:1" x14ac:dyDescent="0.25">
      <c r="A419" s="30">
        <v>4.9161850082590553E-14</v>
      </c>
    </row>
    <row r="420" spans="1:1" x14ac:dyDescent="0.25">
      <c r="A420" s="30">
        <v>4.4245665074331497E-14</v>
      </c>
    </row>
    <row r="421" spans="1:1" x14ac:dyDescent="0.25">
      <c r="A421" s="30">
        <v>3.9821098566898348E-14</v>
      </c>
    </row>
    <row r="422" spans="1:1" x14ac:dyDescent="0.25">
      <c r="A422" s="30">
        <v>3.5838988710208514E-14</v>
      </c>
    </row>
    <row r="423" spans="1:1" x14ac:dyDescent="0.25">
      <c r="A423" s="30">
        <v>3.2255089839187663E-14</v>
      </c>
    </row>
    <row r="424" spans="1:1" x14ac:dyDescent="0.25">
      <c r="A424" s="30">
        <v>2.9029580855268898E-14</v>
      </c>
    </row>
    <row r="425" spans="1:1" x14ac:dyDescent="0.25">
      <c r="A425" s="30">
        <v>2.612662276974201E-14</v>
      </c>
    </row>
    <row r="426" spans="1:1" x14ac:dyDescent="0.25">
      <c r="A426" s="30">
        <v>2.3513960492767811E-14</v>
      </c>
    </row>
    <row r="427" spans="1:1" x14ac:dyDescent="0.25">
      <c r="A427" s="30">
        <v>2.1162564443491029E-14</v>
      </c>
    </row>
    <row r="428" spans="1:1" x14ac:dyDescent="0.25">
      <c r="A428" s="30">
        <v>1.9046307999141925E-14</v>
      </c>
    </row>
    <row r="429" spans="1:1" x14ac:dyDescent="0.25">
      <c r="A429" s="30">
        <v>1.7141677199227731E-14</v>
      </c>
    </row>
    <row r="430" spans="1:1" x14ac:dyDescent="0.25">
      <c r="A430" s="30">
        <v>1.5427509479304957E-14</v>
      </c>
    </row>
    <row r="431" spans="1:1" x14ac:dyDescent="0.25">
      <c r="A431" s="30">
        <v>1.3884758531374462E-14</v>
      </c>
    </row>
    <row r="432" spans="1:1" x14ac:dyDescent="0.25">
      <c r="A432" s="30">
        <v>1.2496282678237016E-14</v>
      </c>
    </row>
    <row r="433" spans="1:1" x14ac:dyDescent="0.25">
      <c r="A433" s="30">
        <v>1.1246654410413315E-14</v>
      </c>
    </row>
    <row r="434" spans="1:1" x14ac:dyDescent="0.25">
      <c r="A434" s="30">
        <v>1.0121988969371984E-14</v>
      </c>
    </row>
    <row r="435" spans="1:1" x14ac:dyDescent="0.25">
      <c r="A435" s="30">
        <v>9.1097900724347861E-15</v>
      </c>
    </row>
    <row r="436" spans="1:1" x14ac:dyDescent="0.25">
      <c r="A436" s="30">
        <v>8.1988110651913077E-15</v>
      </c>
    </row>
    <row r="437" spans="1:1" x14ac:dyDescent="0.25">
      <c r="A437" s="30">
        <v>7.3789299586721777E-15</v>
      </c>
    </row>
    <row r="438" spans="1:1" x14ac:dyDescent="0.25">
      <c r="A438" s="30">
        <v>6.6410369628049599E-15</v>
      </c>
    </row>
    <row r="439" spans="1:1" x14ac:dyDescent="0.25">
      <c r="A439" s="30">
        <v>5.9769332665244643E-15</v>
      </c>
    </row>
    <row r="440" spans="1:1" x14ac:dyDescent="0.25">
      <c r="A440" s="30">
        <v>5.3792399398720178E-15</v>
      </c>
    </row>
    <row r="441" spans="1:1" x14ac:dyDescent="0.25">
      <c r="A441" s="30">
        <v>4.8413159458848159E-15</v>
      </c>
    </row>
    <row r="442" spans="1:1" x14ac:dyDescent="0.25">
      <c r="A442" s="30">
        <v>4.3571843512963347E-15</v>
      </c>
    </row>
    <row r="443" spans="1:1" x14ac:dyDescent="0.25">
      <c r="A443" s="30">
        <v>3.921465916166701E-15</v>
      </c>
    </row>
    <row r="444" spans="1:1" x14ac:dyDescent="0.25">
      <c r="A444" s="30">
        <v>3.529319324550031E-15</v>
      </c>
    </row>
    <row r="445" spans="1:1" x14ac:dyDescent="0.25">
      <c r="A445" s="30">
        <v>3.176387392095028E-15</v>
      </c>
    </row>
    <row r="446" spans="1:1" x14ac:dyDescent="0.25">
      <c r="A446" s="30">
        <v>2.8587486528855254E-15</v>
      </c>
    </row>
    <row r="447" spans="1:1" x14ac:dyDescent="0.25">
      <c r="A447" s="30">
        <v>2.5728737875969727E-15</v>
      </c>
    </row>
    <row r="448" spans="1:1" x14ac:dyDescent="0.25">
      <c r="A448" s="30">
        <v>2.3155864088372755E-15</v>
      </c>
    </row>
    <row r="449" spans="1:1" x14ac:dyDescent="0.25">
      <c r="A449" s="30">
        <v>2.0840277679535482E-15</v>
      </c>
    </row>
    <row r="450" spans="1:1" x14ac:dyDescent="0.25">
      <c r="A450" s="30">
        <v>1.8756249911581935E-15</v>
      </c>
    </row>
    <row r="451" spans="1:1" x14ac:dyDescent="0.25">
      <c r="A451" s="30">
        <v>1.6880624920423743E-15</v>
      </c>
    </row>
    <row r="452" spans="1:1" x14ac:dyDescent="0.25">
      <c r="A452" s="30">
        <v>1.519256242838137E-15</v>
      </c>
    </row>
    <row r="453" spans="1:1" x14ac:dyDescent="0.25">
      <c r="A453" s="30">
        <v>1.3673306185543234E-15</v>
      </c>
    </row>
    <row r="454" spans="1:1" x14ac:dyDescent="0.25">
      <c r="A454" s="30">
        <v>1.230597556698891E-15</v>
      </c>
    </row>
    <row r="455" spans="1:1" x14ac:dyDescent="0.25">
      <c r="A455" s="30">
        <v>1.1075378010290018E-15</v>
      </c>
    </row>
    <row r="456" spans="1:1" x14ac:dyDescent="0.25">
      <c r="A456" s="30">
        <v>9.9678402092610166E-16</v>
      </c>
    </row>
    <row r="457" spans="1:1" x14ac:dyDescent="0.25">
      <c r="A457" s="30">
        <v>8.9710561883349156E-16</v>
      </c>
    </row>
    <row r="458" spans="1:1" x14ac:dyDescent="0.25">
      <c r="A458" s="30">
        <v>8.0739505695014242E-16</v>
      </c>
    </row>
    <row r="459" spans="1:1" x14ac:dyDescent="0.25">
      <c r="A459" s="30">
        <v>7.2665555125512816E-16</v>
      </c>
    </row>
    <row r="460" spans="1:1" x14ac:dyDescent="0.25">
      <c r="A460" s="30">
        <v>6.5398999612961539E-16</v>
      </c>
    </row>
    <row r="461" spans="1:1" x14ac:dyDescent="0.25">
      <c r="A461" s="30">
        <v>5.885909965166539E-16</v>
      </c>
    </row>
    <row r="462" spans="1:1" x14ac:dyDescent="0.25">
      <c r="A462" s="30">
        <v>5.2973189686498855E-16</v>
      </c>
    </row>
    <row r="463" spans="1:1" x14ac:dyDescent="0.25">
      <c r="A463" s="30">
        <v>4.767587071784897E-16</v>
      </c>
    </row>
    <row r="464" spans="1:1" x14ac:dyDescent="0.25">
      <c r="A464" s="30">
        <v>4.2908283646064075E-16</v>
      </c>
    </row>
    <row r="465" spans="1:1" x14ac:dyDescent="0.25">
      <c r="A465" s="30">
        <v>3.8617455281457667E-16</v>
      </c>
    </row>
    <row r="466" spans="1:1" x14ac:dyDescent="0.25">
      <c r="A466" s="30">
        <v>3.47557097533119E-16</v>
      </c>
    </row>
    <row r="467" spans="1:1" x14ac:dyDescent="0.25">
      <c r="A467" s="30">
        <v>3.1280138777980711E-16</v>
      </c>
    </row>
    <row r="468" spans="1:1" x14ac:dyDescent="0.25">
      <c r="A468" s="30">
        <v>2.815212490018264E-16</v>
      </c>
    </row>
    <row r="469" spans="1:1" x14ac:dyDescent="0.25">
      <c r="A469" s="30">
        <v>2.5336912410164374E-16</v>
      </c>
    </row>
    <row r="470" spans="1:1" x14ac:dyDescent="0.25">
      <c r="A470" s="30">
        <v>2.2803221169147938E-16</v>
      </c>
    </row>
    <row r="471" spans="1:1" x14ac:dyDescent="0.25">
      <c r="A471" s="30">
        <v>2.0522899052233145E-16</v>
      </c>
    </row>
    <row r="472" spans="1:1" x14ac:dyDescent="0.25">
      <c r="A472" s="30">
        <v>1.8470609147009832E-16</v>
      </c>
    </row>
    <row r="473" spans="1:1" x14ac:dyDescent="0.25">
      <c r="A473" s="30">
        <v>1.6623548232308849E-16</v>
      </c>
    </row>
    <row r="474" spans="1:1" x14ac:dyDescent="0.25">
      <c r="A474" s="30">
        <v>1.4961193409077965E-16</v>
      </c>
    </row>
    <row r="475" spans="1:1" x14ac:dyDescent="0.25">
      <c r="A475" s="30">
        <v>1.3465074068170169E-16</v>
      </c>
    </row>
    <row r="476" spans="1:1" x14ac:dyDescent="0.25">
      <c r="A476" s="30">
        <v>1.2118566661353153E-16</v>
      </c>
    </row>
    <row r="477" spans="1:1" x14ac:dyDescent="0.25">
      <c r="A477" s="30">
        <v>1.0906709995217838E-16</v>
      </c>
    </row>
    <row r="478" spans="1:1" x14ac:dyDescent="0.25">
      <c r="A478" s="30">
        <v>9.8160389956960543E-17</v>
      </c>
    </row>
    <row r="479" spans="1:1" x14ac:dyDescent="0.25">
      <c r="A479" s="30">
        <v>8.8344350961264486E-17</v>
      </c>
    </row>
    <row r="480" spans="1:1" x14ac:dyDescent="0.25">
      <c r="A480" s="30">
        <v>7.9509915865138035E-17</v>
      </c>
    </row>
    <row r="481" spans="1:1" x14ac:dyDescent="0.25">
      <c r="A481" s="30">
        <v>7.1558924278624229E-17</v>
      </c>
    </row>
    <row r="482" spans="1:1" x14ac:dyDescent="0.25">
      <c r="A482" s="30">
        <v>6.440303185076181E-17</v>
      </c>
    </row>
    <row r="483" spans="1:1" x14ac:dyDescent="0.25">
      <c r="A483" s="30">
        <v>5.7962728665685633E-17</v>
      </c>
    </row>
    <row r="484" spans="1:1" x14ac:dyDescent="0.25">
      <c r="A484" s="30">
        <v>5.2166455799117073E-17</v>
      </c>
    </row>
    <row r="485" spans="1:1" x14ac:dyDescent="0.25">
      <c r="A485" s="30">
        <v>4.6949810219205366E-17</v>
      </c>
    </row>
    <row r="486" spans="1:1" x14ac:dyDescent="0.25">
      <c r="A486" s="30">
        <v>4.2254829197284832E-17</v>
      </c>
    </row>
    <row r="487" spans="1:1" x14ac:dyDescent="0.25">
      <c r="A487" s="30">
        <v>3.8029346277556347E-17</v>
      </c>
    </row>
    <row r="488" spans="1:1" x14ac:dyDescent="0.25">
      <c r="A488" s="30">
        <v>3.4226411649800712E-17</v>
      </c>
    </row>
    <row r="489" spans="1:1" x14ac:dyDescent="0.25">
      <c r="A489" s="30">
        <v>3.0803770484820639E-17</v>
      </c>
    </row>
  </sheetData>
  <conditionalFormatting sqref="C136">
    <cfRule type="cellIs" dxfId="21" priority="1595" operator="equal">
      <formula>$U$1</formula>
    </cfRule>
    <cfRule type="cellIs" dxfId="20" priority="1596" operator="equal">
      <formula>$S$1</formula>
    </cfRule>
  </conditionalFormatting>
  <conditionalFormatting sqref="D136">
    <cfRule type="cellIs" dxfId="19" priority="1593" operator="equal">
      <formula>$S$1</formula>
    </cfRule>
    <cfRule type="cellIs" dxfId="18" priority="1594" operator="equal">
      <formula>$U$1</formula>
    </cfRule>
  </conditionalFormatting>
  <conditionalFormatting sqref="C102">
    <cfRule type="cellIs" dxfId="17" priority="1591" operator="equal">
      <formula>$U$1</formula>
    </cfRule>
    <cfRule type="cellIs" dxfId="16" priority="1592" operator="equal">
      <formula>$S$1</formula>
    </cfRule>
  </conditionalFormatting>
  <conditionalFormatting sqref="D102">
    <cfRule type="cellIs" dxfId="15" priority="1589" operator="equal">
      <formula>$S$1</formula>
    </cfRule>
    <cfRule type="cellIs" dxfId="14" priority="1590" operator="equal">
      <formula>$U$1</formula>
    </cfRule>
  </conditionalFormatting>
  <conditionalFormatting sqref="C77">
    <cfRule type="cellIs" dxfId="13" priority="1587" operator="equal">
      <formula>$U$1</formula>
    </cfRule>
    <cfRule type="cellIs" dxfId="12" priority="1588" operator="equal">
      <formula>$S$1</formula>
    </cfRule>
  </conditionalFormatting>
  <conditionalFormatting sqref="D77">
    <cfRule type="cellIs" dxfId="11" priority="1585" operator="equal">
      <formula>$S$1</formula>
    </cfRule>
    <cfRule type="cellIs" dxfId="10" priority="1586" operator="equal">
      <formula>$U$1</formula>
    </cfRule>
  </conditionalFormatting>
  <conditionalFormatting sqref="C52">
    <cfRule type="cellIs" dxfId="9" priority="1583" operator="equal">
      <formula>$U$1</formula>
    </cfRule>
    <cfRule type="cellIs" dxfId="8" priority="1584" operator="equal">
      <formula>$S$1</formula>
    </cfRule>
  </conditionalFormatting>
  <conditionalFormatting sqref="D52">
    <cfRule type="cellIs" dxfId="7" priority="1581" operator="equal">
      <formula>$S$1</formula>
    </cfRule>
    <cfRule type="cellIs" dxfId="6" priority="1582" operator="equal">
      <formula>$U$1</formula>
    </cfRule>
  </conditionalFormatting>
  <conditionalFormatting sqref="C26">
    <cfRule type="cellIs" dxfId="5" priority="1579" operator="equal">
      <formula>$U$1</formula>
    </cfRule>
    <cfRule type="cellIs" dxfId="4" priority="1580" operator="equal">
      <formula>$S$1</formula>
    </cfRule>
  </conditionalFormatting>
  <conditionalFormatting sqref="D26">
    <cfRule type="cellIs" dxfId="3" priority="1577" operator="equal">
      <formula>$S$1</formula>
    </cfRule>
    <cfRule type="cellIs" dxfId="2" priority="1578" operator="equal">
      <formula>$U$1</formula>
    </cfRule>
  </conditionalFormatting>
  <conditionalFormatting sqref="D130">
    <cfRule type="cellIs" dxfId="1" priority="1" operator="lessThan">
      <formula>$A$2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I64"/>
  <sheetViews>
    <sheetView workbookViewId="0">
      <selection activeCell="G4" sqref="G4"/>
    </sheetView>
  </sheetViews>
  <sheetFormatPr defaultRowHeight="15" x14ac:dyDescent="0.25"/>
  <cols>
    <col min="1" max="1" width="7.5703125" style="1" customWidth="1"/>
    <col min="2" max="2" width="11" style="1" customWidth="1"/>
    <col min="3" max="3" width="11.5703125" style="1" customWidth="1"/>
    <col min="4" max="4" width="8.7109375" style="1" customWidth="1"/>
    <col min="5" max="5" width="11.42578125" style="1" customWidth="1"/>
    <col min="6" max="6" width="11.85546875" style="1" customWidth="1"/>
    <col min="7" max="7" width="12" style="1" customWidth="1"/>
    <col min="8" max="35" width="8.7109375" style="1" customWidth="1"/>
  </cols>
  <sheetData>
    <row r="1" spans="1:35" x14ac:dyDescent="0.25">
      <c r="A1" s="1" t="s">
        <v>16</v>
      </c>
      <c r="B1" s="37" t="s">
        <v>17</v>
      </c>
      <c r="C1" s="37"/>
      <c r="D1" s="20" t="s">
        <v>18</v>
      </c>
      <c r="E1" s="1" t="s">
        <v>19</v>
      </c>
      <c r="F1" s="1" t="s">
        <v>20</v>
      </c>
      <c r="G1" s="1" t="s">
        <v>21</v>
      </c>
      <c r="H1" s="21" t="s">
        <v>22</v>
      </c>
      <c r="I1" s="1" t="s">
        <v>23</v>
      </c>
      <c r="J1" s="22" t="s">
        <v>24</v>
      </c>
      <c r="K1" s="22" t="s">
        <v>25</v>
      </c>
      <c r="L1" s="22"/>
      <c r="M1" s="21" t="s">
        <v>22</v>
      </c>
      <c r="N1" s="21" t="s">
        <v>26</v>
      </c>
      <c r="O1" s="23" t="s">
        <v>27</v>
      </c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</row>
    <row r="2" spans="1:35" x14ac:dyDescent="0.25">
      <c r="B2" s="1" t="s">
        <v>28</v>
      </c>
      <c r="C2" s="1" t="s">
        <v>29</v>
      </c>
      <c r="D2" s="20" t="s">
        <v>30</v>
      </c>
      <c r="H2" s="21"/>
      <c r="J2" s="1" t="s">
        <v>28</v>
      </c>
      <c r="K2" s="1" t="s">
        <v>28</v>
      </c>
      <c r="L2" s="1" t="s">
        <v>31</v>
      </c>
      <c r="M2" s="21" t="s">
        <v>32</v>
      </c>
      <c r="N2" s="21" t="s">
        <v>33</v>
      </c>
      <c r="O2" s="23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</row>
    <row r="3" spans="1:35" x14ac:dyDescent="0.25">
      <c r="B3" s="24"/>
      <c r="C3" s="24"/>
      <c r="D3" s="20"/>
      <c r="E3" s="35">
        <v>1745.6724488684113</v>
      </c>
      <c r="F3" s="35">
        <v>1832.9560713118319</v>
      </c>
      <c r="G3" s="35">
        <v>2339.3680386877268</v>
      </c>
      <c r="H3" s="36">
        <f>IF(G3="","",(3*(G3-F3))+E3)</f>
        <v>3264.9083509960956</v>
      </c>
      <c r="I3" s="7"/>
      <c r="J3" s="7">
        <f>(E3+G3)/2</f>
        <v>2042.520243778069</v>
      </c>
      <c r="K3" s="7">
        <f>H3/2</f>
        <v>1632.4541754980478</v>
      </c>
      <c r="M3" s="26">
        <f>IF(OR(J3="",H3=""),"",H3/J3)</f>
        <v>1.5984704978771538</v>
      </c>
      <c r="N3" s="26" t="str">
        <f>IF(L3="","",L3/J3)</f>
        <v/>
      </c>
      <c r="O3" s="23" t="str">
        <f>IF(C3="","",(C3-B3)/7)</f>
        <v/>
      </c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</row>
    <row r="4" spans="1:35" x14ac:dyDescent="0.25">
      <c r="B4" s="24"/>
      <c r="C4" s="24"/>
      <c r="D4" s="20"/>
      <c r="E4" s="30">
        <v>1745.6724488684113</v>
      </c>
      <c r="F4" s="30">
        <v>1832.9560713118319</v>
      </c>
      <c r="G4" s="30">
        <v>3291.7257559860241</v>
      </c>
      <c r="H4" s="25">
        <f t="shared" ref="H4:H25" si="0">IF(G4="","",(3*(G4-F4))+E4)</f>
        <v>6121.9815028909879</v>
      </c>
      <c r="I4" s="7"/>
      <c r="J4" s="7"/>
      <c r="K4" s="7"/>
      <c r="M4" s="26" t="str">
        <f t="shared" ref="M4:M25" si="1">IF(OR(J4="",H4=""),"",H4/J4)</f>
        <v/>
      </c>
      <c r="N4" s="26" t="str">
        <f t="shared" ref="N4:N25" si="2">IF(L4="","",L4/J4)</f>
        <v/>
      </c>
      <c r="O4" s="23" t="str">
        <f t="shared" ref="O4:O25" si="3">IF(C4="","",(C4-B4)/7)</f>
        <v/>
      </c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</row>
    <row r="5" spans="1:35" x14ac:dyDescent="0.25">
      <c r="B5" s="24"/>
      <c r="C5" s="24"/>
      <c r="D5" s="20"/>
      <c r="E5" s="35"/>
      <c r="F5" s="35"/>
      <c r="G5" s="35"/>
      <c r="H5" s="25" t="str">
        <f t="shared" si="0"/>
        <v/>
      </c>
      <c r="I5" s="7"/>
      <c r="J5" s="7"/>
      <c r="K5" s="7"/>
      <c r="M5" s="26" t="str">
        <f t="shared" si="1"/>
        <v/>
      </c>
      <c r="N5" s="26" t="str">
        <f t="shared" si="2"/>
        <v/>
      </c>
      <c r="O5" s="23" t="str">
        <f t="shared" si="3"/>
        <v/>
      </c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</row>
    <row r="6" spans="1:35" x14ac:dyDescent="0.25">
      <c r="B6" s="24"/>
      <c r="C6" s="24"/>
      <c r="D6" s="20"/>
      <c r="E6" s="35"/>
      <c r="F6" s="35"/>
      <c r="G6" s="35"/>
      <c r="H6" s="25" t="str">
        <f t="shared" si="0"/>
        <v/>
      </c>
      <c r="I6" s="7"/>
      <c r="J6" s="7"/>
      <c r="K6" s="7"/>
      <c r="L6" s="7"/>
      <c r="M6" s="26" t="str">
        <f t="shared" si="1"/>
        <v/>
      </c>
      <c r="N6" s="26" t="str">
        <f t="shared" si="2"/>
        <v/>
      </c>
      <c r="O6" s="23" t="str">
        <f t="shared" si="3"/>
        <v/>
      </c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</row>
    <row r="7" spans="1:35" x14ac:dyDescent="0.25">
      <c r="B7" s="24"/>
      <c r="C7" s="24"/>
      <c r="D7" s="20"/>
      <c r="E7" s="35"/>
      <c r="F7" s="35"/>
      <c r="G7" s="35"/>
      <c r="H7" s="25" t="str">
        <f t="shared" si="0"/>
        <v/>
      </c>
      <c r="I7" s="7"/>
      <c r="J7" s="7"/>
      <c r="K7" s="7"/>
      <c r="L7" s="7"/>
      <c r="M7" s="26" t="str">
        <f t="shared" si="1"/>
        <v/>
      </c>
      <c r="N7" s="26" t="str">
        <f t="shared" si="2"/>
        <v/>
      </c>
      <c r="O7" s="23" t="str">
        <f t="shared" si="3"/>
        <v/>
      </c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</row>
    <row r="8" spans="1:35" x14ac:dyDescent="0.25">
      <c r="B8" s="24"/>
      <c r="C8" s="24"/>
      <c r="D8" s="20"/>
      <c r="E8" s="35"/>
      <c r="F8" s="35"/>
      <c r="G8" s="35"/>
      <c r="H8" s="25" t="str">
        <f t="shared" si="0"/>
        <v/>
      </c>
      <c r="I8" s="7"/>
      <c r="J8" s="7"/>
      <c r="K8" s="7"/>
      <c r="L8" s="7"/>
      <c r="M8" s="26" t="str">
        <f t="shared" si="1"/>
        <v/>
      </c>
      <c r="N8" s="26" t="str">
        <f t="shared" si="2"/>
        <v/>
      </c>
      <c r="O8" s="23" t="str">
        <f t="shared" si="3"/>
        <v/>
      </c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</row>
    <row r="9" spans="1:35" x14ac:dyDescent="0.25">
      <c r="B9" s="24"/>
      <c r="C9" s="24"/>
      <c r="D9" s="20"/>
      <c r="E9" s="35"/>
      <c r="F9" s="35"/>
      <c r="G9" s="35"/>
      <c r="H9" s="25" t="str">
        <f t="shared" si="0"/>
        <v/>
      </c>
      <c r="I9" s="7"/>
      <c r="J9" s="7"/>
      <c r="K9" s="7"/>
      <c r="L9" s="7"/>
      <c r="M9" s="26" t="str">
        <f t="shared" si="1"/>
        <v/>
      </c>
      <c r="N9" s="26" t="str">
        <f t="shared" si="2"/>
        <v/>
      </c>
      <c r="O9" s="23" t="str">
        <f t="shared" si="3"/>
        <v/>
      </c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</row>
    <row r="10" spans="1:35" x14ac:dyDescent="0.25">
      <c r="B10" s="24"/>
      <c r="D10" s="20"/>
      <c r="E10" s="35"/>
      <c r="F10" s="35"/>
      <c r="G10" s="35"/>
      <c r="H10" s="25" t="str">
        <f t="shared" si="0"/>
        <v/>
      </c>
      <c r="I10" s="7"/>
      <c r="J10" s="7"/>
      <c r="K10" s="7"/>
      <c r="M10" s="26" t="str">
        <f t="shared" si="1"/>
        <v/>
      </c>
      <c r="N10" s="26" t="str">
        <f t="shared" si="2"/>
        <v/>
      </c>
      <c r="O10" s="23" t="str">
        <f t="shared" si="3"/>
        <v/>
      </c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</row>
    <row r="11" spans="1:35" x14ac:dyDescent="0.25">
      <c r="B11" s="24"/>
      <c r="D11" s="20"/>
      <c r="E11" s="35"/>
      <c r="F11" s="35"/>
      <c r="G11" s="35"/>
      <c r="H11" s="25" t="str">
        <f t="shared" si="0"/>
        <v/>
      </c>
      <c r="I11" s="7"/>
      <c r="J11" s="7"/>
      <c r="K11" s="7"/>
      <c r="M11" s="26" t="str">
        <f t="shared" si="1"/>
        <v/>
      </c>
      <c r="N11" s="26" t="str">
        <f t="shared" si="2"/>
        <v/>
      </c>
      <c r="O11" s="23" t="str">
        <f t="shared" si="3"/>
        <v/>
      </c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</row>
    <row r="12" spans="1:35" x14ac:dyDescent="0.25">
      <c r="B12" s="24"/>
      <c r="D12" s="20"/>
      <c r="E12" s="35"/>
      <c r="F12" s="35"/>
      <c r="G12" s="35"/>
      <c r="H12" s="25" t="str">
        <f t="shared" si="0"/>
        <v/>
      </c>
      <c r="I12" s="7"/>
      <c r="J12" s="7"/>
      <c r="K12" s="7"/>
      <c r="M12" s="26" t="str">
        <f t="shared" si="1"/>
        <v/>
      </c>
      <c r="N12" s="26" t="str">
        <f t="shared" si="2"/>
        <v/>
      </c>
      <c r="O12" s="23" t="str">
        <f t="shared" si="3"/>
        <v/>
      </c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</row>
    <row r="13" spans="1:35" x14ac:dyDescent="0.25">
      <c r="B13" s="24"/>
      <c r="D13" s="20"/>
      <c r="E13" s="35"/>
      <c r="F13" s="35"/>
      <c r="G13" s="35"/>
      <c r="H13" s="25" t="str">
        <f t="shared" si="0"/>
        <v/>
      </c>
      <c r="I13" s="7"/>
      <c r="J13" s="7"/>
      <c r="K13" s="7"/>
      <c r="M13" s="26" t="str">
        <f t="shared" si="1"/>
        <v/>
      </c>
      <c r="N13" s="26" t="str">
        <f t="shared" si="2"/>
        <v/>
      </c>
      <c r="O13" s="23" t="str">
        <f t="shared" si="3"/>
        <v/>
      </c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</row>
    <row r="14" spans="1:35" x14ac:dyDescent="0.25">
      <c r="B14" s="24"/>
      <c r="D14" s="20"/>
      <c r="E14" s="35"/>
      <c r="F14" s="35"/>
      <c r="G14" s="35"/>
      <c r="H14" s="25" t="str">
        <f t="shared" si="0"/>
        <v/>
      </c>
      <c r="I14" s="7"/>
      <c r="J14" s="7"/>
      <c r="K14" s="7"/>
      <c r="M14" s="26" t="str">
        <f t="shared" si="1"/>
        <v/>
      </c>
      <c r="N14" s="26" t="str">
        <f t="shared" si="2"/>
        <v/>
      </c>
      <c r="O14" s="23" t="str">
        <f t="shared" si="3"/>
        <v/>
      </c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</row>
    <row r="15" spans="1:35" x14ac:dyDescent="0.25">
      <c r="B15" s="24"/>
      <c r="D15" s="20"/>
      <c r="E15" s="35"/>
      <c r="F15" s="35"/>
      <c r="G15" s="35"/>
      <c r="H15" s="25" t="str">
        <f t="shared" si="0"/>
        <v/>
      </c>
      <c r="I15" s="7"/>
      <c r="J15" s="7"/>
      <c r="K15" s="7"/>
      <c r="M15" s="26" t="str">
        <f t="shared" si="1"/>
        <v/>
      </c>
      <c r="N15" s="26" t="str">
        <f t="shared" si="2"/>
        <v/>
      </c>
      <c r="O15" s="23" t="str">
        <f t="shared" si="3"/>
        <v/>
      </c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</row>
    <row r="16" spans="1:35" x14ac:dyDescent="0.25">
      <c r="B16" s="24"/>
      <c r="D16" s="20"/>
      <c r="E16" s="35"/>
      <c r="F16" s="35"/>
      <c r="G16" s="35"/>
      <c r="H16" s="25" t="str">
        <f t="shared" si="0"/>
        <v/>
      </c>
      <c r="I16" s="7"/>
      <c r="J16" s="7"/>
      <c r="K16" s="7"/>
      <c r="M16" s="26" t="str">
        <f t="shared" si="1"/>
        <v/>
      </c>
      <c r="N16" s="26" t="str">
        <f t="shared" si="2"/>
        <v/>
      </c>
      <c r="O16" s="23" t="str">
        <f t="shared" si="3"/>
        <v/>
      </c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</row>
    <row r="17" spans="1:35" x14ac:dyDescent="0.25">
      <c r="B17" s="24"/>
      <c r="D17" s="20"/>
      <c r="E17" s="35"/>
      <c r="F17" s="35"/>
      <c r="G17" s="35"/>
      <c r="H17" s="25" t="str">
        <f t="shared" si="0"/>
        <v/>
      </c>
      <c r="I17" s="7"/>
      <c r="J17" s="7"/>
      <c r="K17" s="7"/>
      <c r="M17" s="26" t="str">
        <f t="shared" si="1"/>
        <v/>
      </c>
      <c r="N17" s="26" t="str">
        <f t="shared" si="2"/>
        <v/>
      </c>
      <c r="O17" s="23" t="str">
        <f t="shared" si="3"/>
        <v/>
      </c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</row>
    <row r="18" spans="1:35" x14ac:dyDescent="0.25">
      <c r="B18" s="24"/>
      <c r="D18" s="20"/>
      <c r="E18" s="35"/>
      <c r="F18" s="35"/>
      <c r="G18" s="35"/>
      <c r="H18" s="25" t="str">
        <f t="shared" si="0"/>
        <v/>
      </c>
      <c r="I18" s="7"/>
      <c r="J18" s="7"/>
      <c r="K18" s="7"/>
      <c r="M18" s="26" t="str">
        <f t="shared" si="1"/>
        <v/>
      </c>
      <c r="N18" s="26" t="str">
        <f t="shared" si="2"/>
        <v/>
      </c>
      <c r="O18" s="23" t="str">
        <f t="shared" si="3"/>
        <v/>
      </c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</row>
    <row r="19" spans="1:35" x14ac:dyDescent="0.25">
      <c r="B19" s="24"/>
      <c r="D19" s="20"/>
      <c r="E19" s="35"/>
      <c r="F19" s="35"/>
      <c r="G19" s="35"/>
      <c r="H19" s="25" t="str">
        <f t="shared" si="0"/>
        <v/>
      </c>
      <c r="I19" s="7"/>
      <c r="J19" s="7"/>
      <c r="K19" s="7"/>
      <c r="M19" s="26" t="str">
        <f t="shared" si="1"/>
        <v/>
      </c>
      <c r="N19" s="26" t="str">
        <f t="shared" si="2"/>
        <v/>
      </c>
      <c r="O19" s="23" t="str">
        <f t="shared" si="3"/>
        <v/>
      </c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</row>
    <row r="20" spans="1:35" x14ac:dyDescent="0.25">
      <c r="B20" s="24"/>
      <c r="D20" s="20"/>
      <c r="E20" s="35"/>
      <c r="F20" s="35"/>
      <c r="G20" s="35"/>
      <c r="H20" s="25" t="str">
        <f t="shared" si="0"/>
        <v/>
      </c>
      <c r="I20" s="7"/>
      <c r="J20" s="7"/>
      <c r="K20" s="7"/>
      <c r="M20" s="26" t="str">
        <f t="shared" si="1"/>
        <v/>
      </c>
      <c r="N20" s="26" t="str">
        <f t="shared" si="2"/>
        <v/>
      </c>
      <c r="O20" s="23" t="str">
        <f t="shared" si="3"/>
        <v/>
      </c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</row>
    <row r="21" spans="1:35" x14ac:dyDescent="0.25">
      <c r="B21" s="24"/>
      <c r="D21" s="20"/>
      <c r="E21" s="35"/>
      <c r="F21" s="35"/>
      <c r="G21" s="35"/>
      <c r="H21" s="25" t="str">
        <f t="shared" si="0"/>
        <v/>
      </c>
      <c r="I21" s="7"/>
      <c r="J21" s="7"/>
      <c r="K21" s="7"/>
      <c r="M21" s="26" t="str">
        <f t="shared" si="1"/>
        <v/>
      </c>
      <c r="N21" s="26" t="str">
        <f t="shared" si="2"/>
        <v/>
      </c>
      <c r="O21" s="23" t="str">
        <f t="shared" si="3"/>
        <v/>
      </c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</row>
    <row r="22" spans="1:35" x14ac:dyDescent="0.25">
      <c r="B22" s="24"/>
      <c r="D22" s="20"/>
      <c r="E22" s="35"/>
      <c r="F22" s="35"/>
      <c r="G22" s="35"/>
      <c r="H22" s="25" t="str">
        <f t="shared" si="0"/>
        <v/>
      </c>
      <c r="I22" s="7"/>
      <c r="J22" s="7"/>
      <c r="K22" s="7"/>
      <c r="M22" s="26" t="str">
        <f t="shared" si="1"/>
        <v/>
      </c>
      <c r="N22" s="26" t="str">
        <f t="shared" si="2"/>
        <v/>
      </c>
      <c r="O22" s="23" t="str">
        <f t="shared" si="3"/>
        <v/>
      </c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</row>
    <row r="23" spans="1:35" x14ac:dyDescent="0.25">
      <c r="B23" s="24"/>
      <c r="D23" s="20"/>
      <c r="E23" s="35"/>
      <c r="F23" s="35"/>
      <c r="G23" s="35"/>
      <c r="H23" s="25" t="str">
        <f t="shared" si="0"/>
        <v/>
      </c>
      <c r="I23" s="7"/>
      <c r="J23" s="7"/>
      <c r="K23" s="7"/>
      <c r="M23" s="26" t="str">
        <f t="shared" si="1"/>
        <v/>
      </c>
      <c r="N23" s="26" t="str">
        <f t="shared" si="2"/>
        <v/>
      </c>
      <c r="O23" s="23" t="str">
        <f t="shared" si="3"/>
        <v/>
      </c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</row>
    <row r="24" spans="1:35" x14ac:dyDescent="0.25">
      <c r="B24" s="24"/>
      <c r="D24" s="20"/>
      <c r="E24" s="35"/>
      <c r="F24" s="35"/>
      <c r="G24" s="35"/>
      <c r="H24" s="25" t="str">
        <f t="shared" si="0"/>
        <v/>
      </c>
      <c r="I24" s="7"/>
      <c r="J24" s="7"/>
      <c r="K24" s="7"/>
      <c r="M24" s="26" t="str">
        <f t="shared" si="1"/>
        <v/>
      </c>
      <c r="N24" s="26" t="str">
        <f t="shared" si="2"/>
        <v/>
      </c>
      <c r="O24" s="23" t="str">
        <f t="shared" si="3"/>
        <v/>
      </c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</row>
    <row r="25" spans="1:35" x14ac:dyDescent="0.25">
      <c r="B25" s="24"/>
      <c r="D25" s="20"/>
      <c r="E25" s="35"/>
      <c r="F25" s="35"/>
      <c r="G25" s="35"/>
      <c r="H25" s="25" t="str">
        <f t="shared" si="0"/>
        <v/>
      </c>
      <c r="I25" s="7"/>
      <c r="J25" s="7"/>
      <c r="K25" s="7"/>
      <c r="M25" s="26" t="str">
        <f t="shared" si="1"/>
        <v/>
      </c>
      <c r="N25" s="26" t="str">
        <f t="shared" si="2"/>
        <v/>
      </c>
      <c r="O25" s="23" t="str">
        <f t="shared" si="3"/>
        <v/>
      </c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</row>
    <row r="26" spans="1:35" x14ac:dyDescent="0.25">
      <c r="A26" s="7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</row>
    <row r="27" spans="1:35" x14ac:dyDescent="0.25">
      <c r="A27" s="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</row>
    <row r="28" spans="1:35" x14ac:dyDescent="0.25">
      <c r="A28" s="7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</row>
    <row r="29" spans="1:35" x14ac:dyDescent="0.25">
      <c r="A29" s="7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</row>
    <row r="30" spans="1:35" x14ac:dyDescent="0.25">
      <c r="A30" s="7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</row>
    <row r="31" spans="1:35" x14ac:dyDescent="0.25">
      <c r="A31" s="7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</row>
    <row r="32" spans="1:35" x14ac:dyDescent="0.25">
      <c r="A32" s="7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</row>
    <row r="33" spans="1:35" x14ac:dyDescent="0.25">
      <c r="A33" s="7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</row>
    <row r="34" spans="1:35" x14ac:dyDescent="0.25">
      <c r="A34" s="7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</row>
    <row r="35" spans="1:35" x14ac:dyDescent="0.25">
      <c r="A35" s="7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</row>
    <row r="36" spans="1:35" x14ac:dyDescent="0.25">
      <c r="A36" s="7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</row>
    <row r="37" spans="1:35" x14ac:dyDescent="0.25">
      <c r="A37" s="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</row>
    <row r="38" spans="1:35" x14ac:dyDescent="0.25">
      <c r="A38" s="7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</row>
    <row r="39" spans="1:35" x14ac:dyDescent="0.25">
      <c r="A39" s="7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</row>
    <row r="40" spans="1:35" x14ac:dyDescent="0.25">
      <c r="A40" s="7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</row>
    <row r="41" spans="1:35" x14ac:dyDescent="0.25">
      <c r="A41" s="7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</row>
    <row r="42" spans="1:35" x14ac:dyDescent="0.25">
      <c r="A42" s="7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</row>
    <row r="43" spans="1:35" x14ac:dyDescent="0.25">
      <c r="A43" s="7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</row>
    <row r="44" spans="1:35" x14ac:dyDescent="0.25">
      <c r="A44" s="7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</row>
    <row r="45" spans="1:35" x14ac:dyDescent="0.25">
      <c r="A45" s="7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</row>
    <row r="46" spans="1:35" x14ac:dyDescent="0.25">
      <c r="A46" s="7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</row>
    <row r="47" spans="1:35" x14ac:dyDescent="0.25">
      <c r="A47" s="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</row>
    <row r="48" spans="1:35" x14ac:dyDescent="0.25">
      <c r="A48" s="7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</row>
    <row r="49" spans="1:35" x14ac:dyDescent="0.25">
      <c r="A49" s="7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</row>
    <row r="50" spans="1:35" x14ac:dyDescent="0.25">
      <c r="A50" s="7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</row>
    <row r="51" spans="1:35" x14ac:dyDescent="0.25">
      <c r="A51" s="7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</row>
    <row r="52" spans="1:35" x14ac:dyDescent="0.25">
      <c r="A52" s="7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</row>
    <row r="53" spans="1:35" x14ac:dyDescent="0.25">
      <c r="A53" s="7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</row>
    <row r="54" spans="1:35" x14ac:dyDescent="0.25">
      <c r="A54" s="7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</row>
    <row r="55" spans="1:35" x14ac:dyDescent="0.25">
      <c r="A55" s="7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</row>
    <row r="56" spans="1:35" x14ac:dyDescent="0.25">
      <c r="A56" s="7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</row>
    <row r="57" spans="1:35" x14ac:dyDescent="0.25">
      <c r="A57" s="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</row>
    <row r="58" spans="1:35" x14ac:dyDescent="0.25">
      <c r="A58" s="7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</row>
    <row r="59" spans="1:35" x14ac:dyDescent="0.25">
      <c r="A59" s="7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</row>
    <row r="60" spans="1:35" x14ac:dyDescent="0.25">
      <c r="A60" s="7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</row>
    <row r="61" spans="1:35" x14ac:dyDescent="0.25">
      <c r="A61" s="7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</row>
    <row r="62" spans="1:35" x14ac:dyDescent="0.25">
      <c r="A62" s="7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</row>
    <row r="63" spans="1:35" x14ac:dyDescent="0.25">
      <c r="A63" s="7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</row>
    <row r="64" spans="1:35" x14ac:dyDescent="0.25">
      <c r="A64" s="7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</row>
  </sheetData>
  <mergeCells count="1">
    <mergeCell ref="B1:C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CZ1503"/>
  <sheetViews>
    <sheetView zoomScale="90" zoomScaleNormal="90" workbookViewId="0">
      <selection activeCell="A5" sqref="A5"/>
    </sheetView>
  </sheetViews>
  <sheetFormatPr defaultRowHeight="15" x14ac:dyDescent="0.25"/>
  <cols>
    <col min="1" max="1" width="11" customWidth="1"/>
    <col min="2" max="2" width="6" customWidth="1"/>
    <col min="3" max="4" width="9.140625" style="6"/>
    <col min="5" max="5" width="7" customWidth="1"/>
  </cols>
  <sheetData>
    <row r="1" spans="1:14" x14ac:dyDescent="0.25">
      <c r="A1" s="28" t="s">
        <v>0</v>
      </c>
      <c r="B1" s="28" t="s">
        <v>1</v>
      </c>
      <c r="C1" s="2" t="s">
        <v>2</v>
      </c>
      <c r="D1" s="2" t="s">
        <v>3</v>
      </c>
      <c r="E1" s="28" t="s">
        <v>4</v>
      </c>
      <c r="F1" s="28" t="s">
        <v>5</v>
      </c>
      <c r="G1" s="28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14" x14ac:dyDescent="0.25">
      <c r="A2" s="28"/>
      <c r="B2" s="28"/>
      <c r="C2" s="4">
        <f>MAX(C3:C1700)</f>
        <v>0</v>
      </c>
      <c r="D2" s="4">
        <f>MIN(D3:D1700)</f>
        <v>0</v>
      </c>
      <c r="E2" s="28"/>
      <c r="F2" s="28"/>
      <c r="G2" s="28"/>
    </row>
    <row r="5" spans="1:14" x14ac:dyDescent="0.25">
      <c r="A5" s="5"/>
    </row>
    <row r="6" spans="1:14" x14ac:dyDescent="0.25">
      <c r="A6" s="5"/>
    </row>
    <row r="7" spans="1:14" x14ac:dyDescent="0.25">
      <c r="A7" s="5"/>
    </row>
    <row r="8" spans="1:14" x14ac:dyDescent="0.25">
      <c r="A8" s="5"/>
    </row>
    <row r="9" spans="1:14" x14ac:dyDescent="0.25">
      <c r="A9" s="5"/>
    </row>
    <row r="10" spans="1:14" x14ac:dyDescent="0.25">
      <c r="A10" s="5"/>
    </row>
    <row r="11" spans="1:14" x14ac:dyDescent="0.25">
      <c r="A11" s="5"/>
    </row>
    <row r="12" spans="1:14" x14ac:dyDescent="0.25">
      <c r="A12" s="5"/>
    </row>
    <row r="13" spans="1:14" x14ac:dyDescent="0.25">
      <c r="A13" s="5"/>
    </row>
    <row r="14" spans="1:14" x14ac:dyDescent="0.25">
      <c r="A14" s="5"/>
    </row>
    <row r="15" spans="1:14" x14ac:dyDescent="0.25">
      <c r="A15" s="5"/>
      <c r="B15" s="28"/>
      <c r="C15" s="2"/>
      <c r="D15" s="2"/>
      <c r="E15" s="28"/>
      <c r="F15" s="28"/>
    </row>
    <row r="16" spans="1:14" x14ac:dyDescent="0.25">
      <c r="A16" s="5"/>
      <c r="B16" s="28"/>
      <c r="C16" s="2"/>
      <c r="D16" s="2"/>
      <c r="E16" s="28"/>
      <c r="F16" s="28"/>
    </row>
    <row r="17" spans="1:6" x14ac:dyDescent="0.25">
      <c r="A17" s="5"/>
      <c r="B17" s="28"/>
      <c r="C17" s="2"/>
      <c r="D17" s="2"/>
      <c r="E17" s="28"/>
      <c r="F17" s="28"/>
    </row>
    <row r="18" spans="1:6" x14ac:dyDescent="0.25">
      <c r="A18" s="5"/>
      <c r="B18" s="28"/>
      <c r="C18" s="2"/>
      <c r="D18" s="2"/>
      <c r="E18" s="28"/>
      <c r="F18" s="28"/>
    </row>
    <row r="19" spans="1:6" x14ac:dyDescent="0.25">
      <c r="A19" s="5"/>
      <c r="B19" s="28"/>
      <c r="C19" s="2"/>
      <c r="D19" s="2"/>
      <c r="E19" s="28"/>
      <c r="F19" s="28"/>
    </row>
    <row r="20" spans="1:6" x14ac:dyDescent="0.25">
      <c r="A20" s="5"/>
      <c r="B20" s="28"/>
      <c r="C20" s="2"/>
      <c r="D20" s="2"/>
      <c r="E20" s="28"/>
      <c r="F20" s="28"/>
    </row>
    <row r="21" spans="1:6" x14ac:dyDescent="0.25">
      <c r="A21" s="5"/>
      <c r="B21" s="28"/>
      <c r="C21" s="2"/>
      <c r="D21" s="2"/>
      <c r="E21" s="28"/>
      <c r="F21" s="28"/>
    </row>
    <row r="22" spans="1:6" x14ac:dyDescent="0.25">
      <c r="A22" s="5"/>
      <c r="B22" s="28"/>
      <c r="C22" s="2"/>
      <c r="D22" s="2"/>
      <c r="E22" s="28"/>
      <c r="F22" s="28"/>
    </row>
    <row r="23" spans="1:6" x14ac:dyDescent="0.25">
      <c r="A23" s="5"/>
      <c r="B23" s="28"/>
      <c r="C23" s="2"/>
      <c r="D23" s="2"/>
      <c r="E23" s="28"/>
      <c r="F23" s="28"/>
    </row>
    <row r="24" spans="1:6" x14ac:dyDescent="0.25">
      <c r="A24" s="5"/>
      <c r="B24" s="28"/>
      <c r="C24" s="2"/>
      <c r="D24" s="2"/>
      <c r="E24" s="28"/>
      <c r="F24" s="28"/>
    </row>
    <row r="25" spans="1:6" x14ac:dyDescent="0.25">
      <c r="A25" s="5"/>
      <c r="B25" s="28"/>
      <c r="C25" s="2"/>
      <c r="D25" s="2"/>
      <c r="E25" s="28"/>
      <c r="F25" s="28"/>
    </row>
    <row r="26" spans="1:6" x14ac:dyDescent="0.25">
      <c r="A26" s="5"/>
      <c r="B26" s="28"/>
      <c r="C26" s="2"/>
      <c r="D26" s="2"/>
      <c r="E26" s="28"/>
      <c r="F26" s="28"/>
    </row>
    <row r="27" spans="1:6" x14ac:dyDescent="0.25">
      <c r="A27" s="5"/>
      <c r="B27" s="28"/>
      <c r="C27" s="2"/>
      <c r="D27" s="2"/>
      <c r="E27" s="28"/>
      <c r="F27" s="28"/>
    </row>
    <row r="28" spans="1:6" x14ac:dyDescent="0.25">
      <c r="A28" s="5"/>
      <c r="B28" s="28"/>
      <c r="C28" s="2"/>
      <c r="D28" s="2"/>
      <c r="E28" s="28"/>
      <c r="F28" s="28"/>
    </row>
    <row r="29" spans="1:6" x14ac:dyDescent="0.25">
      <c r="A29" s="5"/>
      <c r="B29" s="28"/>
      <c r="C29" s="2"/>
      <c r="D29" s="2"/>
      <c r="E29" s="28"/>
      <c r="F29" s="28"/>
    </row>
    <row r="30" spans="1:6" x14ac:dyDescent="0.25">
      <c r="A30" s="5"/>
      <c r="B30" s="28"/>
      <c r="C30" s="2"/>
      <c r="D30" s="2"/>
      <c r="E30" s="28"/>
      <c r="F30" s="28"/>
    </row>
    <row r="31" spans="1:6" x14ac:dyDescent="0.25">
      <c r="A31" s="5"/>
      <c r="B31" s="28"/>
      <c r="C31" s="2"/>
      <c r="D31" s="2"/>
      <c r="E31" s="28"/>
      <c r="F31" s="28"/>
    </row>
    <row r="32" spans="1:6" x14ac:dyDescent="0.25">
      <c r="A32" s="5"/>
      <c r="B32" s="28"/>
      <c r="C32" s="2"/>
      <c r="D32" s="2"/>
      <c r="E32" s="28"/>
      <c r="F32" s="28"/>
    </row>
    <row r="33" spans="1:6" x14ac:dyDescent="0.25">
      <c r="A33" s="5"/>
      <c r="B33" s="28"/>
      <c r="C33" s="2"/>
      <c r="D33" s="2"/>
      <c r="E33" s="28"/>
      <c r="F33" s="28"/>
    </row>
    <row r="34" spans="1:6" x14ac:dyDescent="0.25">
      <c r="A34" s="5"/>
      <c r="B34" s="28"/>
      <c r="C34" s="2"/>
      <c r="D34" s="2"/>
      <c r="E34" s="28"/>
      <c r="F34" s="28"/>
    </row>
    <row r="35" spans="1:6" x14ac:dyDescent="0.25">
      <c r="A35" s="5"/>
      <c r="B35" s="28"/>
      <c r="C35" s="2"/>
      <c r="D35" s="2"/>
      <c r="E35" s="28"/>
      <c r="F35" s="28"/>
    </row>
    <row r="36" spans="1:6" x14ac:dyDescent="0.25">
      <c r="A36" s="5"/>
      <c r="B36" s="28"/>
      <c r="C36" s="2"/>
      <c r="D36" s="2"/>
      <c r="E36" s="28"/>
      <c r="F36" s="28"/>
    </row>
    <row r="37" spans="1:6" x14ac:dyDescent="0.25">
      <c r="A37" s="5"/>
      <c r="B37" s="28"/>
      <c r="C37" s="2"/>
      <c r="D37" s="2"/>
      <c r="E37" s="28"/>
      <c r="F37" s="28"/>
    </row>
    <row r="38" spans="1:6" x14ac:dyDescent="0.25">
      <c r="A38" s="5"/>
      <c r="B38" s="28"/>
      <c r="C38" s="2"/>
      <c r="D38" s="2"/>
      <c r="E38" s="28"/>
      <c r="F38" s="28"/>
    </row>
    <row r="39" spans="1:6" x14ac:dyDescent="0.25">
      <c r="A39" s="5"/>
      <c r="B39" s="28"/>
      <c r="C39" s="2"/>
      <c r="D39" s="2"/>
      <c r="E39" s="28"/>
      <c r="F39" s="28"/>
    </row>
    <row r="40" spans="1:6" x14ac:dyDescent="0.25">
      <c r="A40" s="5"/>
      <c r="B40" s="28"/>
      <c r="C40" s="2"/>
      <c r="D40" s="2"/>
      <c r="E40" s="28"/>
      <c r="F40" s="28"/>
    </row>
    <row r="41" spans="1:6" x14ac:dyDescent="0.25">
      <c r="A41" s="5"/>
      <c r="B41" s="28"/>
      <c r="C41" s="2"/>
      <c r="D41" s="2"/>
      <c r="E41" s="28"/>
      <c r="F41" s="28"/>
    </row>
    <row r="42" spans="1:6" x14ac:dyDescent="0.25">
      <c r="A42" s="5"/>
      <c r="B42" s="28"/>
      <c r="C42" s="2"/>
      <c r="D42" s="2"/>
      <c r="E42" s="28"/>
      <c r="F42" s="28"/>
    </row>
    <row r="43" spans="1:6" x14ac:dyDescent="0.25">
      <c r="A43" s="5"/>
      <c r="B43" s="28"/>
      <c r="C43" s="2"/>
      <c r="D43" s="2"/>
      <c r="E43" s="28"/>
      <c r="F43" s="28"/>
    </row>
    <row r="44" spans="1:6" x14ac:dyDescent="0.25">
      <c r="A44" s="5"/>
      <c r="B44" s="28"/>
      <c r="C44" s="2"/>
      <c r="D44" s="2"/>
      <c r="E44" s="28"/>
      <c r="F44" s="28"/>
    </row>
    <row r="45" spans="1:6" x14ac:dyDescent="0.25">
      <c r="A45" s="5"/>
      <c r="B45" s="28"/>
      <c r="C45" s="2"/>
      <c r="D45" s="2"/>
      <c r="E45" s="28"/>
      <c r="F45" s="28"/>
    </row>
    <row r="46" spans="1:6" x14ac:dyDescent="0.25">
      <c r="A46" s="5"/>
      <c r="B46" s="28"/>
      <c r="C46" s="2"/>
      <c r="D46" s="2"/>
      <c r="E46" s="28"/>
      <c r="F46" s="28"/>
    </row>
    <row r="47" spans="1:6" x14ac:dyDescent="0.25">
      <c r="A47" s="5"/>
      <c r="B47" s="28"/>
      <c r="C47" s="2"/>
      <c r="D47" s="2"/>
      <c r="E47" s="28"/>
      <c r="F47" s="28"/>
    </row>
    <row r="48" spans="1:6" x14ac:dyDescent="0.25">
      <c r="A48" s="5"/>
      <c r="B48" s="28"/>
      <c r="C48" s="2"/>
      <c r="D48" s="2"/>
      <c r="E48" s="28"/>
      <c r="F48" s="28"/>
    </row>
    <row r="49" spans="1:6" x14ac:dyDescent="0.25">
      <c r="A49" s="5"/>
      <c r="B49" s="28"/>
      <c r="C49" s="2"/>
      <c r="D49" s="2"/>
      <c r="E49" s="28"/>
      <c r="F49" s="28"/>
    </row>
    <row r="50" spans="1:6" x14ac:dyDescent="0.25">
      <c r="A50" s="5"/>
      <c r="B50" s="28"/>
      <c r="C50" s="2"/>
      <c r="D50" s="2"/>
      <c r="E50" s="28"/>
      <c r="F50" s="28"/>
    </row>
    <row r="51" spans="1:6" x14ac:dyDescent="0.25">
      <c r="A51" s="5"/>
      <c r="B51" s="28"/>
      <c r="C51" s="2"/>
      <c r="D51" s="2"/>
      <c r="E51" s="28"/>
      <c r="F51" s="28"/>
    </row>
    <row r="52" spans="1:6" x14ac:dyDescent="0.25">
      <c r="A52" s="5"/>
      <c r="B52" s="28"/>
      <c r="C52" s="2"/>
      <c r="D52" s="2"/>
      <c r="E52" s="28"/>
      <c r="F52" s="28"/>
    </row>
    <row r="53" spans="1:6" x14ac:dyDescent="0.25">
      <c r="A53" s="5"/>
      <c r="B53" s="28"/>
      <c r="C53" s="2"/>
      <c r="D53" s="2"/>
      <c r="E53" s="28"/>
      <c r="F53" s="28"/>
    </row>
    <row r="54" spans="1:6" x14ac:dyDescent="0.25">
      <c r="A54" s="5"/>
      <c r="B54" s="28"/>
      <c r="C54" s="2"/>
      <c r="D54" s="2"/>
      <c r="E54" s="28"/>
      <c r="F54" s="28"/>
    </row>
    <row r="55" spans="1:6" x14ac:dyDescent="0.25">
      <c r="A55" s="5"/>
      <c r="B55" s="28"/>
      <c r="C55" s="2"/>
      <c r="D55" s="2"/>
      <c r="E55" s="28"/>
      <c r="F55" s="28"/>
    </row>
    <row r="56" spans="1:6" x14ac:dyDescent="0.25">
      <c r="A56" s="5"/>
      <c r="B56" s="28"/>
      <c r="C56" s="2"/>
      <c r="D56" s="2"/>
      <c r="E56" s="28"/>
      <c r="F56" s="28"/>
    </row>
    <row r="57" spans="1:6" x14ac:dyDescent="0.25">
      <c r="A57" s="5"/>
      <c r="B57" s="28"/>
      <c r="C57" s="2"/>
      <c r="D57" s="2"/>
      <c r="E57" s="28"/>
      <c r="F57" s="28"/>
    </row>
    <row r="58" spans="1:6" x14ac:dyDescent="0.25">
      <c r="A58" s="5"/>
      <c r="B58" s="28"/>
      <c r="C58" s="2"/>
      <c r="D58" s="2"/>
      <c r="E58" s="28"/>
      <c r="F58" s="28"/>
    </row>
    <row r="59" spans="1:6" x14ac:dyDescent="0.25">
      <c r="A59" s="5"/>
      <c r="B59" s="28"/>
      <c r="C59" s="2"/>
      <c r="D59" s="2"/>
      <c r="E59" s="28"/>
      <c r="F59" s="28"/>
    </row>
    <row r="60" spans="1:6" x14ac:dyDescent="0.25">
      <c r="A60" s="5"/>
      <c r="B60" s="28"/>
      <c r="C60" s="2"/>
      <c r="D60" s="2"/>
      <c r="E60" s="28"/>
      <c r="F60" s="28"/>
    </row>
    <row r="61" spans="1:6" x14ac:dyDescent="0.25">
      <c r="A61" s="5"/>
      <c r="B61" s="28"/>
      <c r="C61" s="2"/>
      <c r="D61" s="2"/>
      <c r="E61" s="28"/>
      <c r="F61" s="28"/>
    </row>
    <row r="62" spans="1:6" x14ac:dyDescent="0.25">
      <c r="A62" s="5"/>
      <c r="B62" s="28"/>
      <c r="C62" s="2"/>
      <c r="D62" s="2"/>
      <c r="E62" s="28"/>
      <c r="F62" s="28"/>
    </row>
    <row r="63" spans="1:6" x14ac:dyDescent="0.25">
      <c r="A63" s="5"/>
      <c r="B63" s="28"/>
      <c r="C63" s="2"/>
      <c r="D63" s="2"/>
      <c r="E63" s="28"/>
      <c r="F63" s="28"/>
    </row>
    <row r="64" spans="1:6" x14ac:dyDescent="0.25">
      <c r="A64" s="5"/>
      <c r="B64" s="28"/>
      <c r="C64" s="2"/>
      <c r="D64" s="2"/>
      <c r="E64" s="28"/>
      <c r="F64" s="28"/>
    </row>
    <row r="65" spans="1:6" x14ac:dyDescent="0.25">
      <c r="A65" s="5"/>
      <c r="B65" s="28"/>
      <c r="C65" s="2"/>
      <c r="D65" s="2"/>
      <c r="E65" s="28"/>
      <c r="F65" s="28"/>
    </row>
    <row r="66" spans="1:6" x14ac:dyDescent="0.25">
      <c r="A66" s="5"/>
      <c r="B66" s="28"/>
      <c r="C66" s="2"/>
      <c r="D66" s="2"/>
      <c r="E66" s="28"/>
      <c r="F66" s="28"/>
    </row>
    <row r="67" spans="1:6" x14ac:dyDescent="0.25">
      <c r="A67" s="5"/>
      <c r="B67" s="28"/>
      <c r="C67" s="2"/>
      <c r="D67" s="2"/>
      <c r="E67" s="28"/>
      <c r="F67" s="28"/>
    </row>
    <row r="68" spans="1:6" x14ac:dyDescent="0.25">
      <c r="A68" s="5"/>
      <c r="B68" s="28"/>
      <c r="C68" s="2"/>
      <c r="D68" s="2"/>
      <c r="E68" s="28"/>
      <c r="F68" s="28"/>
    </row>
    <row r="69" spans="1:6" x14ac:dyDescent="0.25">
      <c r="A69" s="5"/>
      <c r="B69" s="28"/>
      <c r="C69" s="2"/>
      <c r="D69" s="2"/>
      <c r="E69" s="28"/>
      <c r="F69" s="28"/>
    </row>
    <row r="70" spans="1:6" x14ac:dyDescent="0.25">
      <c r="A70" s="5"/>
      <c r="B70" s="28"/>
      <c r="C70" s="2"/>
      <c r="D70" s="2"/>
      <c r="E70" s="28"/>
      <c r="F70" s="28"/>
    </row>
    <row r="71" spans="1:6" x14ac:dyDescent="0.25">
      <c r="A71" s="5"/>
      <c r="B71" s="28"/>
      <c r="C71" s="2"/>
      <c r="D71" s="2"/>
      <c r="E71" s="28"/>
      <c r="F71" s="28"/>
    </row>
    <row r="72" spans="1:6" x14ac:dyDescent="0.25">
      <c r="A72" s="5"/>
      <c r="B72" s="28"/>
      <c r="C72" s="2"/>
      <c r="D72" s="2"/>
      <c r="E72" s="28"/>
      <c r="F72" s="28"/>
    </row>
    <row r="73" spans="1:6" x14ac:dyDescent="0.25">
      <c r="A73" s="5"/>
      <c r="B73" s="28"/>
      <c r="C73" s="2"/>
      <c r="D73" s="2"/>
      <c r="E73" s="28"/>
      <c r="F73" s="28"/>
    </row>
    <row r="74" spans="1:6" x14ac:dyDescent="0.25">
      <c r="A74" s="5"/>
      <c r="B74" s="28"/>
      <c r="C74" s="2"/>
      <c r="D74" s="2"/>
      <c r="E74" s="28"/>
      <c r="F74" s="28"/>
    </row>
    <row r="75" spans="1:6" x14ac:dyDescent="0.25">
      <c r="A75" s="5"/>
      <c r="B75" s="28"/>
      <c r="C75" s="2"/>
      <c r="D75" s="2"/>
      <c r="E75" s="28"/>
      <c r="F75" s="28"/>
    </row>
    <row r="76" spans="1:6" x14ac:dyDescent="0.25">
      <c r="A76" s="5"/>
      <c r="B76" s="28"/>
      <c r="C76" s="2"/>
      <c r="D76" s="2"/>
      <c r="E76" s="28"/>
      <c r="F76" s="28"/>
    </row>
    <row r="77" spans="1:6" x14ac:dyDescent="0.25">
      <c r="A77" s="5"/>
      <c r="B77" s="28"/>
      <c r="C77" s="2"/>
      <c r="D77" s="2"/>
      <c r="E77" s="28"/>
      <c r="F77" s="28"/>
    </row>
    <row r="78" spans="1:6" x14ac:dyDescent="0.25">
      <c r="A78" s="5"/>
      <c r="B78" s="28"/>
      <c r="C78" s="2"/>
      <c r="D78" s="2"/>
      <c r="E78" s="28"/>
      <c r="F78" s="28"/>
    </row>
    <row r="79" spans="1:6" x14ac:dyDescent="0.25">
      <c r="A79" s="5"/>
      <c r="B79" s="28"/>
      <c r="C79" s="2"/>
      <c r="D79" s="2"/>
      <c r="E79" s="28"/>
      <c r="F79" s="28"/>
    </row>
    <row r="80" spans="1:6" x14ac:dyDescent="0.25">
      <c r="A80" s="5"/>
      <c r="B80" s="28"/>
      <c r="C80" s="2"/>
      <c r="D80" s="2"/>
      <c r="E80" s="28"/>
      <c r="F80" s="28"/>
    </row>
    <row r="81" spans="1:6" x14ac:dyDescent="0.25">
      <c r="A81" s="5"/>
      <c r="B81" s="28"/>
      <c r="C81" s="2"/>
      <c r="D81" s="2"/>
      <c r="E81" s="28"/>
      <c r="F81" s="28"/>
    </row>
    <row r="82" spans="1:6" x14ac:dyDescent="0.25">
      <c r="A82" s="5"/>
      <c r="B82" s="28"/>
      <c r="C82" s="2"/>
      <c r="D82" s="2"/>
      <c r="E82" s="28"/>
      <c r="F82" s="28"/>
    </row>
    <row r="83" spans="1:6" x14ac:dyDescent="0.25">
      <c r="A83" s="5"/>
      <c r="B83" s="28"/>
      <c r="C83" s="2"/>
      <c r="D83" s="2"/>
      <c r="E83" s="28"/>
      <c r="F83" s="28"/>
    </row>
    <row r="84" spans="1:6" x14ac:dyDescent="0.25">
      <c r="A84" s="5"/>
      <c r="B84" s="28"/>
      <c r="C84" s="2"/>
      <c r="D84" s="2"/>
      <c r="E84" s="28"/>
      <c r="F84" s="28"/>
    </row>
    <row r="85" spans="1:6" x14ac:dyDescent="0.25">
      <c r="A85" s="5"/>
      <c r="B85" s="28"/>
      <c r="C85" s="2"/>
      <c r="D85" s="2"/>
      <c r="E85" s="28"/>
      <c r="F85" s="28"/>
    </row>
    <row r="86" spans="1:6" x14ac:dyDescent="0.25">
      <c r="A86" s="5"/>
      <c r="B86" s="28"/>
      <c r="C86" s="2"/>
      <c r="D86" s="2"/>
      <c r="E86" s="28"/>
      <c r="F86" s="28"/>
    </row>
    <row r="87" spans="1:6" x14ac:dyDescent="0.25">
      <c r="A87" s="5"/>
      <c r="B87" s="28"/>
      <c r="C87" s="2"/>
      <c r="D87" s="2"/>
      <c r="E87" s="28"/>
      <c r="F87" s="28"/>
    </row>
    <row r="88" spans="1:6" x14ac:dyDescent="0.25">
      <c r="A88" s="5"/>
      <c r="B88" s="28"/>
      <c r="C88" s="2"/>
      <c r="D88" s="2"/>
      <c r="E88" s="28"/>
      <c r="F88" s="28"/>
    </row>
    <row r="89" spans="1:6" x14ac:dyDescent="0.25">
      <c r="A89" s="5"/>
      <c r="B89" s="28"/>
      <c r="C89" s="2"/>
      <c r="D89" s="2"/>
      <c r="E89" s="28"/>
      <c r="F89" s="28"/>
    </row>
    <row r="90" spans="1:6" x14ac:dyDescent="0.25">
      <c r="A90" s="5"/>
      <c r="B90" s="28"/>
      <c r="C90" s="2"/>
      <c r="D90" s="2"/>
      <c r="E90" s="28"/>
      <c r="F90" s="28"/>
    </row>
    <row r="91" spans="1:6" x14ac:dyDescent="0.25">
      <c r="A91" s="5"/>
      <c r="B91" s="28"/>
      <c r="C91" s="2"/>
      <c r="D91" s="2"/>
      <c r="E91" s="28"/>
      <c r="F91" s="28"/>
    </row>
    <row r="92" spans="1:6" x14ac:dyDescent="0.25">
      <c r="A92" s="5"/>
      <c r="B92" s="28"/>
      <c r="C92" s="2"/>
      <c r="D92" s="2"/>
      <c r="E92" s="28"/>
      <c r="F92" s="28"/>
    </row>
    <row r="93" spans="1:6" x14ac:dyDescent="0.25">
      <c r="A93" s="5"/>
      <c r="B93" s="28"/>
      <c r="C93" s="2"/>
      <c r="D93" s="2"/>
      <c r="E93" s="28"/>
      <c r="F93" s="28"/>
    </row>
    <row r="94" spans="1:6" x14ac:dyDescent="0.25">
      <c r="A94" s="5"/>
      <c r="B94" s="28"/>
      <c r="C94" s="2"/>
      <c r="D94" s="2"/>
      <c r="E94" s="28"/>
      <c r="F94" s="28"/>
    </row>
    <row r="95" spans="1:6" x14ac:dyDescent="0.25">
      <c r="A95" s="5"/>
      <c r="B95" s="28"/>
      <c r="C95" s="2"/>
      <c r="D95" s="2"/>
      <c r="E95" s="28"/>
      <c r="F95" s="28"/>
    </row>
    <row r="96" spans="1:6" x14ac:dyDescent="0.25">
      <c r="A96" s="5"/>
      <c r="B96" s="28"/>
      <c r="C96" s="2"/>
      <c r="D96" s="2"/>
      <c r="E96" s="28"/>
      <c r="F96" s="28"/>
    </row>
    <row r="97" spans="1:6" x14ac:dyDescent="0.25">
      <c r="A97" s="5"/>
      <c r="B97" s="28"/>
      <c r="C97" s="2"/>
      <c r="D97" s="2"/>
      <c r="E97" s="28"/>
      <c r="F97" s="28"/>
    </row>
    <row r="98" spans="1:6" x14ac:dyDescent="0.25">
      <c r="A98" s="5"/>
      <c r="B98" s="28"/>
      <c r="C98" s="2"/>
      <c r="D98" s="2"/>
      <c r="E98" s="28"/>
      <c r="F98" s="28"/>
    </row>
    <row r="99" spans="1:6" x14ac:dyDescent="0.25">
      <c r="A99" s="5"/>
      <c r="B99" s="28"/>
      <c r="C99" s="2"/>
      <c r="D99" s="2"/>
      <c r="E99" s="28"/>
      <c r="F99" s="28"/>
    </row>
    <row r="100" spans="1:6" x14ac:dyDescent="0.25">
      <c r="A100" s="5"/>
      <c r="B100" s="28"/>
      <c r="C100" s="2"/>
      <c r="D100" s="2"/>
      <c r="E100" s="28"/>
      <c r="F100" s="28"/>
    </row>
    <row r="101" spans="1:6" x14ac:dyDescent="0.25">
      <c r="A101" s="5"/>
      <c r="B101" s="28"/>
      <c r="C101" s="2"/>
      <c r="D101" s="2"/>
      <c r="E101" s="28"/>
      <c r="F101" s="28"/>
    </row>
    <row r="102" spans="1:6" x14ac:dyDescent="0.25">
      <c r="A102" s="5"/>
    </row>
    <row r="103" spans="1:6" x14ac:dyDescent="0.25">
      <c r="A103" s="5"/>
    </row>
    <row r="104" spans="1:6" x14ac:dyDescent="0.25">
      <c r="A104" s="5"/>
    </row>
    <row r="105" spans="1:6" x14ac:dyDescent="0.25">
      <c r="A105" s="5"/>
    </row>
    <row r="106" spans="1:6" x14ac:dyDescent="0.25">
      <c r="A106" s="5"/>
    </row>
    <row r="107" spans="1:6" x14ac:dyDescent="0.25">
      <c r="A107" s="5"/>
    </row>
    <row r="108" spans="1:6" x14ac:dyDescent="0.25">
      <c r="A108" s="5"/>
    </row>
    <row r="109" spans="1:6" x14ac:dyDescent="0.25">
      <c r="A109" s="5"/>
    </row>
    <row r="110" spans="1:6" x14ac:dyDescent="0.25">
      <c r="A110" s="5"/>
    </row>
    <row r="111" spans="1:6" x14ac:dyDescent="0.25">
      <c r="A111" s="5"/>
    </row>
    <row r="112" spans="1:6" x14ac:dyDescent="0.25">
      <c r="A112" s="5"/>
    </row>
    <row r="113" spans="1:1" customFormat="1" x14ac:dyDescent="0.25">
      <c r="A113" s="5"/>
    </row>
    <row r="114" spans="1:1" customFormat="1" x14ac:dyDescent="0.25">
      <c r="A114" s="5"/>
    </row>
    <row r="115" spans="1:1" customFormat="1" x14ac:dyDescent="0.25">
      <c r="A115" s="5"/>
    </row>
    <row r="116" spans="1:1" customFormat="1" x14ac:dyDescent="0.25">
      <c r="A116" s="5"/>
    </row>
    <row r="117" spans="1:1" customFormat="1" x14ac:dyDescent="0.25">
      <c r="A117" s="5"/>
    </row>
    <row r="118" spans="1:1" customFormat="1" x14ac:dyDescent="0.25">
      <c r="A118" s="5"/>
    </row>
    <row r="119" spans="1:1" customFormat="1" x14ac:dyDescent="0.25">
      <c r="A119" s="5"/>
    </row>
    <row r="120" spans="1:1" customFormat="1" x14ac:dyDescent="0.25">
      <c r="A120" s="5"/>
    </row>
    <row r="121" spans="1:1" customFormat="1" x14ac:dyDescent="0.25">
      <c r="A121" s="5"/>
    </row>
    <row r="122" spans="1:1" customFormat="1" x14ac:dyDescent="0.25">
      <c r="A122" s="5"/>
    </row>
    <row r="123" spans="1:1" customFormat="1" x14ac:dyDescent="0.25">
      <c r="A123" s="5"/>
    </row>
    <row r="124" spans="1:1" customFormat="1" x14ac:dyDescent="0.25">
      <c r="A124" s="5"/>
    </row>
    <row r="125" spans="1:1" customFormat="1" x14ac:dyDescent="0.25">
      <c r="A125" s="5"/>
    </row>
    <row r="126" spans="1:1" customFormat="1" x14ac:dyDescent="0.25">
      <c r="A126" s="5"/>
    </row>
    <row r="127" spans="1:1" customFormat="1" x14ac:dyDescent="0.25">
      <c r="A127" s="5"/>
    </row>
    <row r="128" spans="1:1" customFormat="1" x14ac:dyDescent="0.25">
      <c r="A128" s="5"/>
    </row>
    <row r="129" spans="1:1" customFormat="1" x14ac:dyDescent="0.25">
      <c r="A129" s="5"/>
    </row>
    <row r="130" spans="1:1" customFormat="1" x14ac:dyDescent="0.25">
      <c r="A130" s="5"/>
    </row>
    <row r="131" spans="1:1" customFormat="1" x14ac:dyDescent="0.25">
      <c r="A131" s="5"/>
    </row>
    <row r="132" spans="1:1" customFormat="1" x14ac:dyDescent="0.25">
      <c r="A132" s="5"/>
    </row>
    <row r="133" spans="1:1" customFormat="1" x14ac:dyDescent="0.25">
      <c r="A133" s="5"/>
    </row>
    <row r="134" spans="1:1" customFormat="1" x14ac:dyDescent="0.25">
      <c r="A134" s="5"/>
    </row>
    <row r="135" spans="1:1" customFormat="1" x14ac:dyDescent="0.25">
      <c r="A135" s="5"/>
    </row>
    <row r="136" spans="1:1" customFormat="1" x14ac:dyDescent="0.25">
      <c r="A136" s="5"/>
    </row>
    <row r="137" spans="1:1" customFormat="1" x14ac:dyDescent="0.25">
      <c r="A137" s="5"/>
    </row>
    <row r="138" spans="1:1" customFormat="1" x14ac:dyDescent="0.25">
      <c r="A138" s="5"/>
    </row>
    <row r="139" spans="1:1" customFormat="1" x14ac:dyDescent="0.25">
      <c r="A139" s="5"/>
    </row>
    <row r="140" spans="1:1" customFormat="1" x14ac:dyDescent="0.25">
      <c r="A140" s="5"/>
    </row>
    <row r="141" spans="1:1" customFormat="1" x14ac:dyDescent="0.25">
      <c r="A141" s="5"/>
    </row>
    <row r="142" spans="1:1" customFormat="1" x14ac:dyDescent="0.25">
      <c r="A142" s="5"/>
    </row>
    <row r="143" spans="1:1" customFormat="1" x14ac:dyDescent="0.25">
      <c r="A143" s="5"/>
    </row>
    <row r="144" spans="1:1" customFormat="1" x14ac:dyDescent="0.25">
      <c r="A144" s="5"/>
    </row>
    <row r="145" spans="1:1" customFormat="1" x14ac:dyDescent="0.25">
      <c r="A145" s="5"/>
    </row>
    <row r="146" spans="1:1" customFormat="1" x14ac:dyDescent="0.25">
      <c r="A146" s="5"/>
    </row>
    <row r="147" spans="1:1" customFormat="1" x14ac:dyDescent="0.25">
      <c r="A147" s="5"/>
    </row>
    <row r="148" spans="1:1" customFormat="1" x14ac:dyDescent="0.25">
      <c r="A148" s="5"/>
    </row>
    <row r="149" spans="1:1" customFormat="1" x14ac:dyDescent="0.25">
      <c r="A149" s="5"/>
    </row>
    <row r="150" spans="1:1" customFormat="1" x14ac:dyDescent="0.25">
      <c r="A150" s="5"/>
    </row>
    <row r="151" spans="1:1" customFormat="1" x14ac:dyDescent="0.25">
      <c r="A151" s="5"/>
    </row>
    <row r="152" spans="1:1" customFormat="1" x14ac:dyDescent="0.25">
      <c r="A152" s="5"/>
    </row>
    <row r="153" spans="1:1" customFormat="1" x14ac:dyDescent="0.25">
      <c r="A153" s="5"/>
    </row>
    <row r="154" spans="1:1" customFormat="1" x14ac:dyDescent="0.25">
      <c r="A154" s="5"/>
    </row>
    <row r="155" spans="1:1" customFormat="1" x14ac:dyDescent="0.25">
      <c r="A155" s="5"/>
    </row>
    <row r="156" spans="1:1" customFormat="1" x14ac:dyDescent="0.25">
      <c r="A156" s="5"/>
    </row>
    <row r="157" spans="1:1" customFormat="1" x14ac:dyDescent="0.25">
      <c r="A157" s="5"/>
    </row>
    <row r="158" spans="1:1" customFormat="1" x14ac:dyDescent="0.25">
      <c r="A158" s="5"/>
    </row>
    <row r="159" spans="1:1" customFormat="1" x14ac:dyDescent="0.25">
      <c r="A159" s="5"/>
    </row>
    <row r="160" spans="1:1" customFormat="1" x14ac:dyDescent="0.25">
      <c r="A160" s="5"/>
    </row>
    <row r="161" spans="1:1" customFormat="1" x14ac:dyDescent="0.25">
      <c r="A161" s="5"/>
    </row>
    <row r="162" spans="1:1" customFormat="1" x14ac:dyDescent="0.25">
      <c r="A162" s="5"/>
    </row>
    <row r="163" spans="1:1" customFormat="1" x14ac:dyDescent="0.25">
      <c r="A163" s="5"/>
    </row>
    <row r="164" spans="1:1" customFormat="1" x14ac:dyDescent="0.25">
      <c r="A164" s="5"/>
    </row>
    <row r="165" spans="1:1" customFormat="1" x14ac:dyDescent="0.25">
      <c r="A165" s="5"/>
    </row>
    <row r="166" spans="1:1" customFormat="1" x14ac:dyDescent="0.25">
      <c r="A166" s="5"/>
    </row>
    <row r="167" spans="1:1" customFormat="1" x14ac:dyDescent="0.25">
      <c r="A167" s="5"/>
    </row>
    <row r="168" spans="1:1" customFormat="1" x14ac:dyDescent="0.25">
      <c r="A168" s="5"/>
    </row>
    <row r="169" spans="1:1" customFormat="1" x14ac:dyDescent="0.25">
      <c r="A169" s="5"/>
    </row>
    <row r="170" spans="1:1" customFormat="1" x14ac:dyDescent="0.25">
      <c r="A170" s="5"/>
    </row>
    <row r="171" spans="1:1" customFormat="1" x14ac:dyDescent="0.25">
      <c r="A171" s="5"/>
    </row>
    <row r="172" spans="1:1" customFormat="1" x14ac:dyDescent="0.25">
      <c r="A172" s="5"/>
    </row>
    <row r="173" spans="1:1" customFormat="1" x14ac:dyDescent="0.25">
      <c r="A173" s="5"/>
    </row>
    <row r="174" spans="1:1" customFormat="1" x14ac:dyDescent="0.25">
      <c r="A174" s="5"/>
    </row>
    <row r="175" spans="1:1" customFormat="1" x14ac:dyDescent="0.25">
      <c r="A175" s="5"/>
    </row>
    <row r="176" spans="1:1" customFormat="1" x14ac:dyDescent="0.25">
      <c r="A176" s="5"/>
    </row>
    <row r="177" spans="1:1" customFormat="1" x14ac:dyDescent="0.25">
      <c r="A177" s="5"/>
    </row>
    <row r="178" spans="1:1" customFormat="1" x14ac:dyDescent="0.25">
      <c r="A178" s="5"/>
    </row>
    <row r="179" spans="1:1" customFormat="1" x14ac:dyDescent="0.25">
      <c r="A179" s="5"/>
    </row>
    <row r="180" spans="1:1" customFormat="1" x14ac:dyDescent="0.25">
      <c r="A180" s="5"/>
    </row>
    <row r="181" spans="1:1" customFormat="1" x14ac:dyDescent="0.25">
      <c r="A181" s="5"/>
    </row>
    <row r="182" spans="1:1" customFormat="1" x14ac:dyDescent="0.25">
      <c r="A182" s="5"/>
    </row>
    <row r="183" spans="1:1" customFormat="1" x14ac:dyDescent="0.25">
      <c r="A183" s="5"/>
    </row>
    <row r="184" spans="1:1" customFormat="1" x14ac:dyDescent="0.25">
      <c r="A184" s="5"/>
    </row>
    <row r="185" spans="1:1" customFormat="1" x14ac:dyDescent="0.25">
      <c r="A185" s="5"/>
    </row>
    <row r="186" spans="1:1" customFormat="1" x14ac:dyDescent="0.25">
      <c r="A186" s="5"/>
    </row>
    <row r="187" spans="1:1" customFormat="1" x14ac:dyDescent="0.25">
      <c r="A187" s="5"/>
    </row>
    <row r="188" spans="1:1" customFormat="1" x14ac:dyDescent="0.25">
      <c r="A188" s="5"/>
    </row>
    <row r="189" spans="1:1" customFormat="1" x14ac:dyDescent="0.25">
      <c r="A189" s="5"/>
    </row>
    <row r="190" spans="1:1" customFormat="1" x14ac:dyDescent="0.25">
      <c r="A190" s="5"/>
    </row>
    <row r="191" spans="1:1" customFormat="1" x14ac:dyDescent="0.25">
      <c r="A191" s="5"/>
    </row>
    <row r="192" spans="1:1" customFormat="1" x14ac:dyDescent="0.25">
      <c r="A192" s="5"/>
    </row>
    <row r="193" spans="1:1" customFormat="1" x14ac:dyDescent="0.25">
      <c r="A193" s="5"/>
    </row>
    <row r="194" spans="1:1" customFormat="1" x14ac:dyDescent="0.25">
      <c r="A194" s="5"/>
    </row>
    <row r="195" spans="1:1" customFormat="1" x14ac:dyDescent="0.25">
      <c r="A195" s="5"/>
    </row>
    <row r="196" spans="1:1" customFormat="1" x14ac:dyDescent="0.25">
      <c r="A196" s="5"/>
    </row>
    <row r="197" spans="1:1" customFormat="1" x14ac:dyDescent="0.25">
      <c r="A197" s="5"/>
    </row>
    <row r="198" spans="1:1" customFormat="1" x14ac:dyDescent="0.25">
      <c r="A198" s="5"/>
    </row>
    <row r="199" spans="1:1" customFormat="1" x14ac:dyDescent="0.25">
      <c r="A199" s="5"/>
    </row>
    <row r="200" spans="1:1" customFormat="1" x14ac:dyDescent="0.25">
      <c r="A200" s="5"/>
    </row>
    <row r="201" spans="1:1" customFormat="1" x14ac:dyDescent="0.25">
      <c r="A201" s="5"/>
    </row>
    <row r="202" spans="1:1" customFormat="1" x14ac:dyDescent="0.25">
      <c r="A202" s="5"/>
    </row>
    <row r="203" spans="1:1" customFormat="1" x14ac:dyDescent="0.25">
      <c r="A203" s="5"/>
    </row>
    <row r="204" spans="1:1" customFormat="1" x14ac:dyDescent="0.25">
      <c r="A204" s="5"/>
    </row>
    <row r="205" spans="1:1" customFormat="1" x14ac:dyDescent="0.25">
      <c r="A205" s="5"/>
    </row>
    <row r="206" spans="1:1" customFormat="1" x14ac:dyDescent="0.25">
      <c r="A206" s="5"/>
    </row>
    <row r="207" spans="1:1" customFormat="1" x14ac:dyDescent="0.25">
      <c r="A207" s="5"/>
    </row>
    <row r="208" spans="1:1" customFormat="1" x14ac:dyDescent="0.25">
      <c r="A208" s="5"/>
    </row>
    <row r="209" spans="1:1" customFormat="1" x14ac:dyDescent="0.25">
      <c r="A209" s="5"/>
    </row>
    <row r="210" spans="1:1" customFormat="1" x14ac:dyDescent="0.25">
      <c r="A210" s="5"/>
    </row>
    <row r="211" spans="1:1" customFormat="1" x14ac:dyDescent="0.25">
      <c r="A211" s="5"/>
    </row>
    <row r="212" spans="1:1" customFormat="1" x14ac:dyDescent="0.25">
      <c r="A212" s="5"/>
    </row>
    <row r="213" spans="1:1" customFormat="1" x14ac:dyDescent="0.25">
      <c r="A213" s="5"/>
    </row>
    <row r="214" spans="1:1" customFormat="1" x14ac:dyDescent="0.25">
      <c r="A214" s="5"/>
    </row>
    <row r="215" spans="1:1" customFormat="1" x14ac:dyDescent="0.25">
      <c r="A215" s="5"/>
    </row>
    <row r="216" spans="1:1" customFormat="1" x14ac:dyDescent="0.25">
      <c r="A216" s="5"/>
    </row>
    <row r="217" spans="1:1" customFormat="1" x14ac:dyDescent="0.25">
      <c r="A217" s="5"/>
    </row>
    <row r="218" spans="1:1" customFormat="1" x14ac:dyDescent="0.25">
      <c r="A218" s="5"/>
    </row>
    <row r="219" spans="1:1" customFormat="1" x14ac:dyDescent="0.25">
      <c r="A219" s="5"/>
    </row>
    <row r="220" spans="1:1" customFormat="1" x14ac:dyDescent="0.25">
      <c r="A220" s="5"/>
    </row>
    <row r="221" spans="1:1" customFormat="1" x14ac:dyDescent="0.25">
      <c r="A221" s="5"/>
    </row>
    <row r="222" spans="1:1" customFormat="1" x14ac:dyDescent="0.25">
      <c r="A222" s="5"/>
    </row>
    <row r="223" spans="1:1" customFormat="1" x14ac:dyDescent="0.25">
      <c r="A223" s="5"/>
    </row>
    <row r="224" spans="1:1" customFormat="1" x14ac:dyDescent="0.25">
      <c r="A224" s="5"/>
    </row>
    <row r="225" spans="1:1" customFormat="1" x14ac:dyDescent="0.25">
      <c r="A225" s="5"/>
    </row>
    <row r="226" spans="1:1" customFormat="1" x14ac:dyDescent="0.25">
      <c r="A226" s="5"/>
    </row>
    <row r="227" spans="1:1" customFormat="1" x14ac:dyDescent="0.25">
      <c r="A227" s="5"/>
    </row>
    <row r="228" spans="1:1" customFormat="1" x14ac:dyDescent="0.25">
      <c r="A228" s="5"/>
    </row>
    <row r="229" spans="1:1" customFormat="1" x14ac:dyDescent="0.25">
      <c r="A229" s="5"/>
    </row>
    <row r="230" spans="1:1" customFormat="1" x14ac:dyDescent="0.25">
      <c r="A230" s="5"/>
    </row>
    <row r="231" spans="1:1" customFormat="1" x14ac:dyDescent="0.25">
      <c r="A231" s="5"/>
    </row>
    <row r="232" spans="1:1" customFormat="1" x14ac:dyDescent="0.25">
      <c r="A232" s="5"/>
    </row>
    <row r="233" spans="1:1" customFormat="1" x14ac:dyDescent="0.25">
      <c r="A233" s="5"/>
    </row>
    <row r="234" spans="1:1" customFormat="1" x14ac:dyDescent="0.25">
      <c r="A234" s="5"/>
    </row>
    <row r="235" spans="1:1" customFormat="1" x14ac:dyDescent="0.25">
      <c r="A235" s="5"/>
    </row>
    <row r="236" spans="1:1" customFormat="1" x14ac:dyDescent="0.25">
      <c r="A236" s="5"/>
    </row>
    <row r="237" spans="1:1" customFormat="1" x14ac:dyDescent="0.25">
      <c r="A237" s="5"/>
    </row>
    <row r="238" spans="1:1" customFormat="1" x14ac:dyDescent="0.25">
      <c r="A238" s="5"/>
    </row>
    <row r="239" spans="1:1" customFormat="1" x14ac:dyDescent="0.25">
      <c r="A239" s="5"/>
    </row>
    <row r="240" spans="1:1" customFormat="1" x14ac:dyDescent="0.25">
      <c r="A240" s="5"/>
    </row>
    <row r="241" spans="1:1" customFormat="1" x14ac:dyDescent="0.25">
      <c r="A241" s="5"/>
    </row>
    <row r="242" spans="1:1" customFormat="1" x14ac:dyDescent="0.25">
      <c r="A242" s="5"/>
    </row>
    <row r="243" spans="1:1" customFormat="1" x14ac:dyDescent="0.25">
      <c r="A243" s="5"/>
    </row>
    <row r="244" spans="1:1" customFormat="1" x14ac:dyDescent="0.25">
      <c r="A244" s="5"/>
    </row>
    <row r="245" spans="1:1" customFormat="1" x14ac:dyDescent="0.25">
      <c r="A245" s="5"/>
    </row>
    <row r="246" spans="1:1" customFormat="1" x14ac:dyDescent="0.25">
      <c r="A246" s="5"/>
    </row>
    <row r="247" spans="1:1" customFormat="1" x14ac:dyDescent="0.25">
      <c r="A247" s="5"/>
    </row>
    <row r="248" spans="1:1" customFormat="1" x14ac:dyDescent="0.25">
      <c r="A248" s="5"/>
    </row>
    <row r="249" spans="1:1" customFormat="1" x14ac:dyDescent="0.25">
      <c r="A249" s="5"/>
    </row>
    <row r="250" spans="1:1" customFormat="1" x14ac:dyDescent="0.25">
      <c r="A250" s="5"/>
    </row>
    <row r="251" spans="1:1" customFormat="1" x14ac:dyDescent="0.25">
      <c r="A251" s="5"/>
    </row>
    <row r="252" spans="1:1" customFormat="1" x14ac:dyDescent="0.25">
      <c r="A252" s="5"/>
    </row>
    <row r="253" spans="1:1" customFormat="1" x14ac:dyDescent="0.25">
      <c r="A253" s="5"/>
    </row>
    <row r="254" spans="1:1" customFormat="1" x14ac:dyDescent="0.25">
      <c r="A254" s="5"/>
    </row>
    <row r="255" spans="1:1" customFormat="1" x14ac:dyDescent="0.25">
      <c r="A255" s="5"/>
    </row>
    <row r="256" spans="1:1" customFormat="1" x14ac:dyDescent="0.25">
      <c r="A256" s="5"/>
    </row>
    <row r="257" spans="1:1" customFormat="1" x14ac:dyDescent="0.25">
      <c r="A257" s="5"/>
    </row>
    <row r="258" spans="1:1" customFormat="1" x14ac:dyDescent="0.25">
      <c r="A258" s="5"/>
    </row>
    <row r="259" spans="1:1" customFormat="1" x14ac:dyDescent="0.25">
      <c r="A259" s="5"/>
    </row>
    <row r="260" spans="1:1" customFormat="1" x14ac:dyDescent="0.25">
      <c r="A260" s="5"/>
    </row>
    <row r="261" spans="1:1" customFormat="1" x14ac:dyDescent="0.25">
      <c r="A261" s="5"/>
    </row>
    <row r="262" spans="1:1" customFormat="1" x14ac:dyDescent="0.25">
      <c r="A262" s="5"/>
    </row>
    <row r="263" spans="1:1" customFormat="1" x14ac:dyDescent="0.25">
      <c r="A263" s="5"/>
    </row>
    <row r="264" spans="1:1" customFormat="1" x14ac:dyDescent="0.25">
      <c r="A264" s="5"/>
    </row>
    <row r="265" spans="1:1" customFormat="1" x14ac:dyDescent="0.25">
      <c r="A265" s="5"/>
    </row>
    <row r="266" spans="1:1" customFormat="1" x14ac:dyDescent="0.25">
      <c r="A266" s="5"/>
    </row>
    <row r="267" spans="1:1" customFormat="1" x14ac:dyDescent="0.25">
      <c r="A267" s="5"/>
    </row>
    <row r="268" spans="1:1" customFormat="1" x14ac:dyDescent="0.25">
      <c r="A268" s="5"/>
    </row>
    <row r="269" spans="1:1" customFormat="1" x14ac:dyDescent="0.25">
      <c r="A269" s="5"/>
    </row>
    <row r="270" spans="1:1" customFormat="1" x14ac:dyDescent="0.25">
      <c r="A270" s="5"/>
    </row>
    <row r="271" spans="1:1" customFormat="1" x14ac:dyDescent="0.25">
      <c r="A271" s="5"/>
    </row>
    <row r="272" spans="1:1" customFormat="1" x14ac:dyDescent="0.25">
      <c r="A272" s="5"/>
    </row>
    <row r="273" spans="1:1" customFormat="1" x14ac:dyDescent="0.25">
      <c r="A273" s="5"/>
    </row>
    <row r="274" spans="1:1" customFormat="1" x14ac:dyDescent="0.25">
      <c r="A274" s="5"/>
    </row>
    <row r="275" spans="1:1" customFormat="1" x14ac:dyDescent="0.25">
      <c r="A275" s="5"/>
    </row>
    <row r="276" spans="1:1" customFormat="1" x14ac:dyDescent="0.25">
      <c r="A276" s="5"/>
    </row>
    <row r="277" spans="1:1" customFormat="1" x14ac:dyDescent="0.25">
      <c r="A277" s="5"/>
    </row>
    <row r="278" spans="1:1" customFormat="1" x14ac:dyDescent="0.25">
      <c r="A278" s="5"/>
    </row>
    <row r="279" spans="1:1" customFormat="1" x14ac:dyDescent="0.25">
      <c r="A279" s="5"/>
    </row>
    <row r="280" spans="1:1" customFormat="1" x14ac:dyDescent="0.25">
      <c r="A280" s="5"/>
    </row>
    <row r="281" spans="1:1" customFormat="1" x14ac:dyDescent="0.25">
      <c r="A281" s="5"/>
    </row>
    <row r="282" spans="1:1" customFormat="1" x14ac:dyDescent="0.25">
      <c r="A282" s="5"/>
    </row>
    <row r="283" spans="1:1" customFormat="1" x14ac:dyDescent="0.25">
      <c r="A283" s="5"/>
    </row>
    <row r="284" spans="1:1" customFormat="1" x14ac:dyDescent="0.25">
      <c r="A284" s="5"/>
    </row>
    <row r="285" spans="1:1" customFormat="1" x14ac:dyDescent="0.25">
      <c r="A285" s="5"/>
    </row>
    <row r="286" spans="1:1" customFormat="1" x14ac:dyDescent="0.25">
      <c r="A286" s="5"/>
    </row>
    <row r="287" spans="1:1" customFormat="1" x14ac:dyDescent="0.25">
      <c r="A287" s="5"/>
    </row>
    <row r="288" spans="1:1" customFormat="1" x14ac:dyDescent="0.25">
      <c r="A288" s="5"/>
    </row>
    <row r="289" spans="1:1" customFormat="1" x14ac:dyDescent="0.25">
      <c r="A289" s="5"/>
    </row>
    <row r="290" spans="1:1" customFormat="1" x14ac:dyDescent="0.25">
      <c r="A290" s="5"/>
    </row>
    <row r="291" spans="1:1" customFormat="1" x14ac:dyDescent="0.25">
      <c r="A291" s="5"/>
    </row>
    <row r="292" spans="1:1" customFormat="1" x14ac:dyDescent="0.25">
      <c r="A292" s="5"/>
    </row>
    <row r="293" spans="1:1" customFormat="1" x14ac:dyDescent="0.25">
      <c r="A293" s="5"/>
    </row>
    <row r="294" spans="1:1" customFormat="1" x14ac:dyDescent="0.25">
      <c r="A294" s="5"/>
    </row>
    <row r="295" spans="1:1" customFormat="1" x14ac:dyDescent="0.25">
      <c r="A295" s="5"/>
    </row>
    <row r="296" spans="1:1" customFormat="1" x14ac:dyDescent="0.25">
      <c r="A296" s="5"/>
    </row>
    <row r="297" spans="1:1" customFormat="1" x14ac:dyDescent="0.25">
      <c r="A297" s="5"/>
    </row>
    <row r="298" spans="1:1" customFormat="1" x14ac:dyDescent="0.25">
      <c r="A298" s="5"/>
    </row>
    <row r="299" spans="1:1" customFormat="1" x14ac:dyDescent="0.25">
      <c r="A299" s="5"/>
    </row>
    <row r="300" spans="1:1" customFormat="1" x14ac:dyDescent="0.25">
      <c r="A300" s="5"/>
    </row>
    <row r="301" spans="1:1" customFormat="1" x14ac:dyDescent="0.25">
      <c r="A301" s="5"/>
    </row>
    <row r="302" spans="1:1" customFormat="1" x14ac:dyDescent="0.25">
      <c r="A302" s="5"/>
    </row>
    <row r="303" spans="1:1" customFormat="1" x14ac:dyDescent="0.25">
      <c r="A303" s="5"/>
    </row>
    <row r="304" spans="1:1" customFormat="1" x14ac:dyDescent="0.25">
      <c r="A304" s="5"/>
    </row>
    <row r="305" spans="1:1" customFormat="1" x14ac:dyDescent="0.25">
      <c r="A305" s="5"/>
    </row>
    <row r="306" spans="1:1" customFormat="1" x14ac:dyDescent="0.25">
      <c r="A306" s="5"/>
    </row>
    <row r="307" spans="1:1" customFormat="1" x14ac:dyDescent="0.25">
      <c r="A307" s="5"/>
    </row>
    <row r="308" spans="1:1" customFormat="1" x14ac:dyDescent="0.25">
      <c r="A308" s="5"/>
    </row>
    <row r="309" spans="1:1" customFormat="1" x14ac:dyDescent="0.25">
      <c r="A309" s="5"/>
    </row>
    <row r="310" spans="1:1" customFormat="1" x14ac:dyDescent="0.25">
      <c r="A310" s="5"/>
    </row>
    <row r="311" spans="1:1" customFormat="1" x14ac:dyDescent="0.25">
      <c r="A311" s="5"/>
    </row>
    <row r="312" spans="1:1" customFormat="1" x14ac:dyDescent="0.25">
      <c r="A312" s="5"/>
    </row>
    <row r="313" spans="1:1" customFormat="1" x14ac:dyDescent="0.25">
      <c r="A313" s="5"/>
    </row>
    <row r="314" spans="1:1" customFormat="1" x14ac:dyDescent="0.25">
      <c r="A314" s="5"/>
    </row>
    <row r="315" spans="1:1" customFormat="1" x14ac:dyDescent="0.25">
      <c r="A315" s="5"/>
    </row>
    <row r="316" spans="1:1" customFormat="1" x14ac:dyDescent="0.25">
      <c r="A316" s="5"/>
    </row>
    <row r="317" spans="1:1" customFormat="1" x14ac:dyDescent="0.25">
      <c r="A317" s="5"/>
    </row>
    <row r="318" spans="1:1" customFormat="1" x14ac:dyDescent="0.25">
      <c r="A318" s="5"/>
    </row>
    <row r="319" spans="1:1" customFormat="1" x14ac:dyDescent="0.25">
      <c r="A319" s="5"/>
    </row>
    <row r="320" spans="1:1" customFormat="1" x14ac:dyDescent="0.25">
      <c r="A320" s="5"/>
    </row>
    <row r="321" spans="1:1" customFormat="1" x14ac:dyDescent="0.25">
      <c r="A321" s="5"/>
    </row>
    <row r="322" spans="1:1" customFormat="1" x14ac:dyDescent="0.25">
      <c r="A322" s="5"/>
    </row>
    <row r="323" spans="1:1" customFormat="1" x14ac:dyDescent="0.25">
      <c r="A323" s="5"/>
    </row>
    <row r="324" spans="1:1" customFormat="1" x14ac:dyDescent="0.25">
      <c r="A324" s="5"/>
    </row>
    <row r="325" spans="1:1" customFormat="1" x14ac:dyDescent="0.25">
      <c r="A325" s="5"/>
    </row>
    <row r="326" spans="1:1" customFormat="1" x14ac:dyDescent="0.25">
      <c r="A326" s="5"/>
    </row>
    <row r="327" spans="1:1" customFormat="1" x14ac:dyDescent="0.25">
      <c r="A327" s="5"/>
    </row>
    <row r="328" spans="1:1" customFormat="1" x14ac:dyDescent="0.25">
      <c r="A328" s="5"/>
    </row>
    <row r="329" spans="1:1" customFormat="1" x14ac:dyDescent="0.25">
      <c r="A329" s="5"/>
    </row>
    <row r="330" spans="1:1" customFormat="1" x14ac:dyDescent="0.25">
      <c r="A330" s="5"/>
    </row>
    <row r="331" spans="1:1" customFormat="1" x14ac:dyDescent="0.25">
      <c r="A331" s="5"/>
    </row>
    <row r="332" spans="1:1" customFormat="1" x14ac:dyDescent="0.25">
      <c r="A332" s="5"/>
    </row>
    <row r="333" spans="1:1" customFormat="1" x14ac:dyDescent="0.25">
      <c r="A333" s="5"/>
    </row>
    <row r="334" spans="1:1" customFormat="1" x14ac:dyDescent="0.25">
      <c r="A334" s="5"/>
    </row>
    <row r="335" spans="1:1" customFormat="1" x14ac:dyDescent="0.25">
      <c r="A335" s="5"/>
    </row>
    <row r="336" spans="1:1" customFormat="1" x14ac:dyDescent="0.25">
      <c r="A336" s="5"/>
    </row>
    <row r="337" spans="1:104" x14ac:dyDescent="0.25">
      <c r="A337" s="5"/>
    </row>
    <row r="338" spans="1:104" x14ac:dyDescent="0.25">
      <c r="A338" s="5"/>
    </row>
    <row r="339" spans="1:104" x14ac:dyDescent="0.25">
      <c r="A339" s="5"/>
    </row>
    <row r="340" spans="1:104" x14ac:dyDescent="0.25">
      <c r="A340" s="5"/>
    </row>
    <row r="341" spans="1:104" x14ac:dyDescent="0.25">
      <c r="A341" s="5"/>
    </row>
    <row r="342" spans="1:104" x14ac:dyDescent="0.25">
      <c r="A342" s="5"/>
    </row>
    <row r="343" spans="1:104" x14ac:dyDescent="0.25">
      <c r="A343" s="5"/>
    </row>
    <row r="344" spans="1:104" x14ac:dyDescent="0.25">
      <c r="A344" s="5"/>
    </row>
    <row r="345" spans="1:104" x14ac:dyDescent="0.25">
      <c r="A345" s="5"/>
    </row>
    <row r="346" spans="1:104" x14ac:dyDescent="0.25">
      <c r="A346" s="5"/>
    </row>
    <row r="347" spans="1:104" x14ac:dyDescent="0.25">
      <c r="A347" s="5"/>
    </row>
    <row r="348" spans="1:104" x14ac:dyDescent="0.25">
      <c r="A348" s="5"/>
    </row>
    <row r="349" spans="1:104" x14ac:dyDescent="0.25">
      <c r="A349" s="5"/>
      <c r="CZ349" t="s">
        <v>7</v>
      </c>
    </row>
    <row r="350" spans="1:104" x14ac:dyDescent="0.25">
      <c r="A350" s="5"/>
      <c r="CZ350" t="s">
        <v>7</v>
      </c>
    </row>
    <row r="351" spans="1:104" x14ac:dyDescent="0.25">
      <c r="A351" s="5"/>
      <c r="CZ351" t="s">
        <v>7</v>
      </c>
    </row>
    <row r="352" spans="1:104" x14ac:dyDescent="0.25">
      <c r="A352" s="5"/>
    </row>
    <row r="353" spans="1:1" customFormat="1" x14ac:dyDescent="0.25">
      <c r="A353" s="5"/>
    </row>
    <row r="354" spans="1:1" customFormat="1" x14ac:dyDescent="0.25">
      <c r="A354" s="5"/>
    </row>
    <row r="355" spans="1:1" customFormat="1" x14ac:dyDescent="0.25">
      <c r="A355" s="5"/>
    </row>
    <row r="356" spans="1:1" customFormat="1" x14ac:dyDescent="0.25">
      <c r="A356" s="5"/>
    </row>
    <row r="357" spans="1:1" customFormat="1" x14ac:dyDescent="0.25">
      <c r="A357" s="5"/>
    </row>
    <row r="358" spans="1:1" customFormat="1" x14ac:dyDescent="0.25">
      <c r="A358" s="5"/>
    </row>
    <row r="359" spans="1:1" customFormat="1" x14ac:dyDescent="0.25">
      <c r="A359" s="5"/>
    </row>
    <row r="360" spans="1:1" customFormat="1" x14ac:dyDescent="0.25">
      <c r="A360" s="5"/>
    </row>
    <row r="361" spans="1:1" customFormat="1" x14ac:dyDescent="0.25">
      <c r="A361" s="5"/>
    </row>
    <row r="362" spans="1:1" customFormat="1" x14ac:dyDescent="0.25">
      <c r="A362" s="5"/>
    </row>
    <row r="363" spans="1:1" customFormat="1" x14ac:dyDescent="0.25">
      <c r="A363" s="5"/>
    </row>
    <row r="364" spans="1:1" customFormat="1" x14ac:dyDescent="0.25">
      <c r="A364" s="5"/>
    </row>
    <row r="365" spans="1:1" customFormat="1" x14ac:dyDescent="0.25">
      <c r="A365" s="5"/>
    </row>
    <row r="366" spans="1:1" customFormat="1" x14ac:dyDescent="0.25">
      <c r="A366" s="5"/>
    </row>
    <row r="367" spans="1:1" customFormat="1" x14ac:dyDescent="0.25">
      <c r="A367" s="5"/>
    </row>
    <row r="368" spans="1:1" customFormat="1" x14ac:dyDescent="0.25">
      <c r="A368" s="5"/>
    </row>
    <row r="369" spans="1:1" customFormat="1" x14ac:dyDescent="0.25">
      <c r="A369" s="5"/>
    </row>
    <row r="370" spans="1:1" customFormat="1" x14ac:dyDescent="0.25">
      <c r="A370" s="5"/>
    </row>
    <row r="371" spans="1:1" customFormat="1" x14ac:dyDescent="0.25">
      <c r="A371" s="5"/>
    </row>
    <row r="372" spans="1:1" customFormat="1" x14ac:dyDescent="0.25">
      <c r="A372" s="5"/>
    </row>
    <row r="373" spans="1:1" customFormat="1" x14ac:dyDescent="0.25">
      <c r="A373" s="5"/>
    </row>
    <row r="374" spans="1:1" customFormat="1" x14ac:dyDescent="0.25">
      <c r="A374" s="5"/>
    </row>
    <row r="375" spans="1:1" customFormat="1" x14ac:dyDescent="0.25">
      <c r="A375" s="5"/>
    </row>
    <row r="376" spans="1:1" customFormat="1" x14ac:dyDescent="0.25">
      <c r="A376" s="5"/>
    </row>
    <row r="377" spans="1:1" customFormat="1" x14ac:dyDescent="0.25">
      <c r="A377" s="5"/>
    </row>
    <row r="378" spans="1:1" customFormat="1" x14ac:dyDescent="0.25">
      <c r="A378" s="5"/>
    </row>
    <row r="379" spans="1:1" customFormat="1" x14ac:dyDescent="0.25">
      <c r="A379" s="5"/>
    </row>
    <row r="380" spans="1:1" customFormat="1" x14ac:dyDescent="0.25">
      <c r="A380" s="5"/>
    </row>
    <row r="381" spans="1:1" customFormat="1" x14ac:dyDescent="0.25">
      <c r="A381" s="5"/>
    </row>
    <row r="382" spans="1:1" customFormat="1" x14ac:dyDescent="0.25">
      <c r="A382" s="5"/>
    </row>
    <row r="383" spans="1:1" customFormat="1" x14ac:dyDescent="0.25">
      <c r="A383" s="5"/>
    </row>
    <row r="384" spans="1:1" customFormat="1" x14ac:dyDescent="0.25">
      <c r="A384" s="5"/>
    </row>
    <row r="385" spans="1:1" customFormat="1" x14ac:dyDescent="0.25">
      <c r="A385" s="5"/>
    </row>
    <row r="386" spans="1:1" customFormat="1" x14ac:dyDescent="0.25">
      <c r="A386" s="5"/>
    </row>
    <row r="387" spans="1:1" customFormat="1" x14ac:dyDescent="0.25">
      <c r="A387" s="5"/>
    </row>
    <row r="388" spans="1:1" customFormat="1" x14ac:dyDescent="0.25">
      <c r="A388" s="5"/>
    </row>
    <row r="389" spans="1:1" customFormat="1" x14ac:dyDescent="0.25">
      <c r="A389" s="5"/>
    </row>
    <row r="390" spans="1:1" customFormat="1" x14ac:dyDescent="0.25">
      <c r="A390" s="5"/>
    </row>
    <row r="391" spans="1:1" customFormat="1" x14ac:dyDescent="0.25">
      <c r="A391" s="5"/>
    </row>
    <row r="392" spans="1:1" customFormat="1" x14ac:dyDescent="0.25">
      <c r="A392" s="5"/>
    </row>
    <row r="393" spans="1:1" customFormat="1" x14ac:dyDescent="0.25">
      <c r="A393" s="5"/>
    </row>
    <row r="394" spans="1:1" customFormat="1" x14ac:dyDescent="0.25">
      <c r="A394" s="5"/>
    </row>
    <row r="395" spans="1:1" customFormat="1" x14ac:dyDescent="0.25">
      <c r="A395" s="5"/>
    </row>
    <row r="396" spans="1:1" customFormat="1" x14ac:dyDescent="0.25">
      <c r="A396" s="5"/>
    </row>
    <row r="397" spans="1:1" customFormat="1" x14ac:dyDescent="0.25">
      <c r="A397" s="5"/>
    </row>
    <row r="398" spans="1:1" customFormat="1" x14ac:dyDescent="0.25">
      <c r="A398" s="5"/>
    </row>
    <row r="399" spans="1:1" customFormat="1" x14ac:dyDescent="0.25">
      <c r="A399" s="5"/>
    </row>
    <row r="400" spans="1:1" customFormat="1" x14ac:dyDescent="0.25">
      <c r="A400" s="5"/>
    </row>
    <row r="401" spans="1:1" customFormat="1" x14ac:dyDescent="0.25">
      <c r="A401" s="5"/>
    </row>
    <row r="402" spans="1:1" customFormat="1" x14ac:dyDescent="0.25">
      <c r="A402" s="5"/>
    </row>
    <row r="403" spans="1:1" customFormat="1" x14ac:dyDescent="0.25">
      <c r="A403" s="5"/>
    </row>
    <row r="404" spans="1:1" customFormat="1" x14ac:dyDescent="0.25">
      <c r="A404" s="5"/>
    </row>
    <row r="405" spans="1:1" customFormat="1" x14ac:dyDescent="0.25">
      <c r="A405" s="5"/>
    </row>
    <row r="406" spans="1:1" customFormat="1" x14ac:dyDescent="0.25">
      <c r="A406" s="5"/>
    </row>
    <row r="407" spans="1:1" customFormat="1" x14ac:dyDescent="0.25">
      <c r="A407" s="5"/>
    </row>
    <row r="408" spans="1:1" customFormat="1" x14ac:dyDescent="0.25">
      <c r="A408" s="5"/>
    </row>
    <row r="409" spans="1:1" customFormat="1" x14ac:dyDescent="0.25">
      <c r="A409" s="5"/>
    </row>
    <row r="410" spans="1:1" customFormat="1" x14ac:dyDescent="0.25">
      <c r="A410" s="5"/>
    </row>
    <row r="411" spans="1:1" customFormat="1" x14ac:dyDescent="0.25">
      <c r="A411" s="5"/>
    </row>
    <row r="412" spans="1:1" customFormat="1" x14ac:dyDescent="0.25">
      <c r="A412" s="5"/>
    </row>
    <row r="413" spans="1:1" customFormat="1" x14ac:dyDescent="0.25">
      <c r="A413" s="5"/>
    </row>
    <row r="414" spans="1:1" customFormat="1" x14ac:dyDescent="0.25">
      <c r="A414" s="5"/>
    </row>
    <row r="415" spans="1:1" customFormat="1" x14ac:dyDescent="0.25">
      <c r="A415" s="5"/>
    </row>
    <row r="416" spans="1:1" customFormat="1" x14ac:dyDescent="0.25">
      <c r="A416" s="5"/>
    </row>
    <row r="417" spans="1:1" customFormat="1" x14ac:dyDescent="0.25">
      <c r="A417" s="5"/>
    </row>
    <row r="418" spans="1:1" customFormat="1" x14ac:dyDescent="0.25">
      <c r="A418" s="5"/>
    </row>
    <row r="419" spans="1:1" customFormat="1" x14ac:dyDescent="0.25">
      <c r="A419" s="5"/>
    </row>
    <row r="420" spans="1:1" customFormat="1" x14ac:dyDescent="0.25">
      <c r="A420" s="5"/>
    </row>
    <row r="421" spans="1:1" customFormat="1" x14ac:dyDescent="0.25">
      <c r="A421" s="5"/>
    </row>
    <row r="422" spans="1:1" customFormat="1" x14ac:dyDescent="0.25">
      <c r="A422" s="5"/>
    </row>
    <row r="423" spans="1:1" customFormat="1" x14ac:dyDescent="0.25">
      <c r="A423" s="5"/>
    </row>
    <row r="424" spans="1:1" customFormat="1" x14ac:dyDescent="0.25">
      <c r="A424" s="5"/>
    </row>
    <row r="425" spans="1:1" customFormat="1" x14ac:dyDescent="0.25">
      <c r="A425" s="5"/>
    </row>
    <row r="426" spans="1:1" customFormat="1" x14ac:dyDescent="0.25">
      <c r="A426" s="5"/>
    </row>
    <row r="427" spans="1:1" customFormat="1" x14ac:dyDescent="0.25">
      <c r="A427" s="5"/>
    </row>
    <row r="428" spans="1:1" customFormat="1" x14ac:dyDescent="0.25">
      <c r="A428" s="5"/>
    </row>
    <row r="429" spans="1:1" customFormat="1" x14ac:dyDescent="0.25">
      <c r="A429" s="5"/>
    </row>
    <row r="430" spans="1:1" customFormat="1" x14ac:dyDescent="0.25">
      <c r="A430" s="5"/>
    </row>
    <row r="431" spans="1:1" customFormat="1" x14ac:dyDescent="0.25">
      <c r="A431" s="5"/>
    </row>
    <row r="432" spans="1:1" customFormat="1" x14ac:dyDescent="0.25">
      <c r="A432" s="5"/>
    </row>
    <row r="433" spans="1:1" customFormat="1" x14ac:dyDescent="0.25">
      <c r="A433" s="5"/>
    </row>
    <row r="434" spans="1:1" customFormat="1" x14ac:dyDescent="0.25">
      <c r="A434" s="5"/>
    </row>
    <row r="435" spans="1:1" customFormat="1" x14ac:dyDescent="0.25">
      <c r="A435" s="5"/>
    </row>
    <row r="436" spans="1:1" customFormat="1" x14ac:dyDescent="0.25">
      <c r="A436" s="5"/>
    </row>
    <row r="437" spans="1:1" customFormat="1" x14ac:dyDescent="0.25">
      <c r="A437" s="5"/>
    </row>
    <row r="438" spans="1:1" customFormat="1" x14ac:dyDescent="0.25">
      <c r="A438" s="5"/>
    </row>
    <row r="439" spans="1:1" customFormat="1" x14ac:dyDescent="0.25">
      <c r="A439" s="5"/>
    </row>
    <row r="440" spans="1:1" customFormat="1" x14ac:dyDescent="0.25">
      <c r="A440" s="5"/>
    </row>
    <row r="441" spans="1:1" customFormat="1" x14ac:dyDescent="0.25">
      <c r="A441" s="5"/>
    </row>
    <row r="442" spans="1:1" customFormat="1" x14ac:dyDescent="0.25">
      <c r="A442" s="5"/>
    </row>
    <row r="443" spans="1:1" customFormat="1" x14ac:dyDescent="0.25">
      <c r="A443" s="5"/>
    </row>
    <row r="444" spans="1:1" customFormat="1" x14ac:dyDescent="0.25">
      <c r="A444" s="5"/>
    </row>
    <row r="445" spans="1:1" customFormat="1" x14ac:dyDescent="0.25">
      <c r="A445" s="5"/>
    </row>
    <row r="446" spans="1:1" customFormat="1" x14ac:dyDescent="0.25">
      <c r="A446" s="5"/>
    </row>
    <row r="447" spans="1:1" customFormat="1" x14ac:dyDescent="0.25">
      <c r="A447" s="5"/>
    </row>
    <row r="448" spans="1:1" customFormat="1" x14ac:dyDescent="0.25">
      <c r="A448" s="5"/>
    </row>
    <row r="449" spans="1:4" x14ac:dyDescent="0.25">
      <c r="A449" s="5"/>
    </row>
    <row r="450" spans="1:4" x14ac:dyDescent="0.25">
      <c r="A450" s="5"/>
    </row>
    <row r="451" spans="1:4" x14ac:dyDescent="0.25">
      <c r="A451" s="5"/>
    </row>
    <row r="452" spans="1:4" x14ac:dyDescent="0.25">
      <c r="A452" s="5"/>
      <c r="C452" s="4"/>
      <c r="D452" s="4"/>
    </row>
    <row r="453" spans="1:4" x14ac:dyDescent="0.25">
      <c r="A453" s="5"/>
      <c r="C453" s="4"/>
      <c r="D453" s="4"/>
    </row>
    <row r="454" spans="1:4" x14ac:dyDescent="0.25">
      <c r="A454" s="5"/>
      <c r="C454" s="4"/>
      <c r="D454" s="4"/>
    </row>
    <row r="455" spans="1:4" x14ac:dyDescent="0.25">
      <c r="A455" s="5"/>
      <c r="C455" s="4"/>
      <c r="D455" s="4"/>
    </row>
    <row r="456" spans="1:4" x14ac:dyDescent="0.25">
      <c r="A456" s="5"/>
      <c r="C456" s="4"/>
      <c r="D456" s="4"/>
    </row>
    <row r="457" spans="1:4" x14ac:dyDescent="0.25">
      <c r="A457" s="5"/>
      <c r="C457" s="4"/>
      <c r="D457" s="4"/>
    </row>
    <row r="458" spans="1:4" x14ac:dyDescent="0.25">
      <c r="A458" s="5"/>
      <c r="C458" s="4"/>
      <c r="D458" s="4"/>
    </row>
    <row r="459" spans="1:4" x14ac:dyDescent="0.25">
      <c r="A459" s="5"/>
      <c r="C459" s="4"/>
      <c r="D459" s="4"/>
    </row>
    <row r="460" spans="1:4" x14ac:dyDescent="0.25">
      <c r="A460" s="5"/>
      <c r="C460" s="4"/>
      <c r="D460" s="4"/>
    </row>
    <row r="461" spans="1:4" x14ac:dyDescent="0.25">
      <c r="A461" s="5"/>
      <c r="C461" s="4"/>
      <c r="D461" s="4"/>
    </row>
    <row r="462" spans="1:4" x14ac:dyDescent="0.25">
      <c r="A462" s="5"/>
      <c r="C462" s="4"/>
      <c r="D462" s="4"/>
    </row>
    <row r="463" spans="1:4" x14ac:dyDescent="0.25">
      <c r="A463" s="5"/>
      <c r="C463" s="4"/>
      <c r="D463" s="4"/>
    </row>
    <row r="464" spans="1:4" x14ac:dyDescent="0.25">
      <c r="A464" s="5"/>
      <c r="C464" s="4"/>
      <c r="D464" s="4"/>
    </row>
    <row r="465" spans="1:4" x14ac:dyDescent="0.25">
      <c r="A465" s="5"/>
      <c r="C465" s="4"/>
      <c r="D465" s="4"/>
    </row>
    <row r="466" spans="1:4" x14ac:dyDescent="0.25">
      <c r="A466" s="5"/>
      <c r="C466" s="4"/>
      <c r="D466" s="4"/>
    </row>
    <row r="467" spans="1:4" x14ac:dyDescent="0.25">
      <c r="A467" s="5"/>
      <c r="C467" s="4"/>
      <c r="D467" s="4"/>
    </row>
    <row r="468" spans="1:4" x14ac:dyDescent="0.25">
      <c r="A468" s="5"/>
      <c r="C468" s="4"/>
      <c r="D468" s="4"/>
    </row>
    <row r="469" spans="1:4" x14ac:dyDescent="0.25">
      <c r="A469" s="5"/>
      <c r="C469" s="4"/>
      <c r="D469" s="4"/>
    </row>
    <row r="470" spans="1:4" x14ac:dyDescent="0.25">
      <c r="A470" s="5"/>
      <c r="C470" s="4"/>
      <c r="D470" s="4"/>
    </row>
    <row r="471" spans="1:4" x14ac:dyDescent="0.25">
      <c r="A471" s="5"/>
      <c r="C471" s="4"/>
      <c r="D471" s="4"/>
    </row>
    <row r="472" spans="1:4" x14ac:dyDescent="0.25">
      <c r="A472" s="5"/>
      <c r="C472" s="4"/>
      <c r="D472" s="4"/>
    </row>
    <row r="473" spans="1:4" x14ac:dyDescent="0.25">
      <c r="A473" s="5"/>
      <c r="C473" s="4"/>
      <c r="D473" s="4"/>
    </row>
    <row r="474" spans="1:4" x14ac:dyDescent="0.25">
      <c r="A474" s="5"/>
      <c r="C474" s="4"/>
      <c r="D474" s="4"/>
    </row>
    <row r="475" spans="1:4" x14ac:dyDescent="0.25">
      <c r="A475" s="5"/>
      <c r="C475" s="4"/>
      <c r="D475" s="4"/>
    </row>
    <row r="476" spans="1:4" x14ac:dyDescent="0.25">
      <c r="A476" s="5"/>
      <c r="C476" s="4"/>
      <c r="D476" s="4"/>
    </row>
    <row r="477" spans="1:4" x14ac:dyDescent="0.25">
      <c r="A477" s="5"/>
      <c r="C477" s="4"/>
      <c r="D477" s="4"/>
    </row>
    <row r="478" spans="1:4" x14ac:dyDescent="0.25">
      <c r="A478" s="5"/>
      <c r="C478" s="4"/>
      <c r="D478" s="4"/>
    </row>
    <row r="479" spans="1:4" x14ac:dyDescent="0.25">
      <c r="A479" s="5"/>
      <c r="C479" s="4"/>
      <c r="D479" s="4"/>
    </row>
    <row r="480" spans="1:4" x14ac:dyDescent="0.25">
      <c r="A480" s="5"/>
      <c r="C480" s="4"/>
      <c r="D480" s="4"/>
    </row>
    <row r="481" spans="1:4" x14ac:dyDescent="0.25">
      <c r="A481" s="5"/>
      <c r="C481" s="4"/>
      <c r="D481" s="4"/>
    </row>
    <row r="482" spans="1:4" x14ac:dyDescent="0.25">
      <c r="A482" s="5"/>
      <c r="C482" s="4"/>
      <c r="D482" s="4"/>
    </row>
    <row r="483" spans="1:4" x14ac:dyDescent="0.25">
      <c r="A483" s="5"/>
      <c r="C483" s="4"/>
      <c r="D483" s="4"/>
    </row>
    <row r="484" spans="1:4" x14ac:dyDescent="0.25">
      <c r="A484" s="5"/>
      <c r="C484" s="4"/>
      <c r="D484" s="4"/>
    </row>
    <row r="485" spans="1:4" x14ac:dyDescent="0.25">
      <c r="A485" s="5"/>
      <c r="C485" s="4"/>
      <c r="D485" s="4"/>
    </row>
    <row r="486" spans="1:4" x14ac:dyDescent="0.25">
      <c r="A486" s="5"/>
      <c r="C486" s="4"/>
      <c r="D486" s="4"/>
    </row>
    <row r="487" spans="1:4" x14ac:dyDescent="0.25">
      <c r="A487" s="5"/>
      <c r="C487" s="4"/>
      <c r="D487" s="4"/>
    </row>
    <row r="488" spans="1:4" x14ac:dyDescent="0.25">
      <c r="A488" s="5"/>
      <c r="C488" s="4"/>
      <c r="D488" s="4"/>
    </row>
    <row r="489" spans="1:4" x14ac:dyDescent="0.25">
      <c r="A489" s="5"/>
      <c r="C489" s="4"/>
      <c r="D489" s="4"/>
    </row>
    <row r="490" spans="1:4" x14ac:dyDescent="0.25">
      <c r="A490" s="5"/>
      <c r="C490" s="4"/>
      <c r="D490" s="4"/>
    </row>
    <row r="491" spans="1:4" x14ac:dyDescent="0.25">
      <c r="A491" s="5"/>
      <c r="C491" s="4"/>
      <c r="D491" s="4"/>
    </row>
    <row r="492" spans="1:4" x14ac:dyDescent="0.25">
      <c r="A492" s="5"/>
      <c r="C492" s="4"/>
      <c r="D492" s="4"/>
    </row>
    <row r="493" spans="1:4" x14ac:dyDescent="0.25">
      <c r="A493" s="5"/>
      <c r="C493" s="4"/>
      <c r="D493" s="4"/>
    </row>
    <row r="494" spans="1:4" x14ac:dyDescent="0.25">
      <c r="A494" s="5"/>
      <c r="C494" s="4"/>
      <c r="D494" s="4"/>
    </row>
    <row r="495" spans="1:4" x14ac:dyDescent="0.25">
      <c r="A495" s="5"/>
      <c r="C495" s="4"/>
      <c r="D495" s="4"/>
    </row>
    <row r="496" spans="1:4" x14ac:dyDescent="0.25">
      <c r="A496" s="5"/>
      <c r="C496" s="4"/>
      <c r="D496" s="4"/>
    </row>
    <row r="497" spans="1:4" x14ac:dyDescent="0.25">
      <c r="A497" s="5"/>
      <c r="C497" s="4"/>
      <c r="D497" s="4"/>
    </row>
    <row r="498" spans="1:4" x14ac:dyDescent="0.25">
      <c r="A498" s="5"/>
      <c r="C498" s="4"/>
      <c r="D498" s="4"/>
    </row>
    <row r="499" spans="1:4" x14ac:dyDescent="0.25">
      <c r="A499" s="5"/>
      <c r="C499" s="4"/>
      <c r="D499" s="4"/>
    </row>
    <row r="500" spans="1:4" x14ac:dyDescent="0.25">
      <c r="A500" s="5"/>
      <c r="C500" s="4"/>
      <c r="D500" s="4"/>
    </row>
    <row r="501" spans="1:4" x14ac:dyDescent="0.25">
      <c r="A501" s="5"/>
      <c r="C501" s="4"/>
      <c r="D501" s="4"/>
    </row>
    <row r="502" spans="1:4" x14ac:dyDescent="0.25">
      <c r="A502" s="5"/>
      <c r="C502" s="4"/>
      <c r="D502" s="4"/>
    </row>
    <row r="503" spans="1:4" x14ac:dyDescent="0.25">
      <c r="A503" s="5"/>
      <c r="C503" s="4"/>
      <c r="D503" s="4"/>
    </row>
    <row r="504" spans="1:4" x14ac:dyDescent="0.25">
      <c r="A504" s="5"/>
      <c r="C504" s="4"/>
      <c r="D504" s="4"/>
    </row>
    <row r="505" spans="1:4" x14ac:dyDescent="0.25">
      <c r="A505" s="5"/>
      <c r="C505" s="4"/>
      <c r="D505" s="4"/>
    </row>
    <row r="506" spans="1:4" x14ac:dyDescent="0.25">
      <c r="A506" s="5"/>
      <c r="C506" s="4"/>
      <c r="D506" s="4"/>
    </row>
    <row r="507" spans="1:4" x14ac:dyDescent="0.25">
      <c r="A507" s="5"/>
      <c r="C507" s="4"/>
      <c r="D507" s="4"/>
    </row>
    <row r="508" spans="1:4" x14ac:dyDescent="0.25">
      <c r="A508" s="5"/>
      <c r="C508" s="4"/>
      <c r="D508" s="4"/>
    </row>
    <row r="509" spans="1:4" x14ac:dyDescent="0.25">
      <c r="A509" s="5"/>
      <c r="C509" s="4"/>
      <c r="D509" s="4"/>
    </row>
    <row r="510" spans="1:4" x14ac:dyDescent="0.25">
      <c r="A510" s="5"/>
      <c r="C510" s="4"/>
      <c r="D510" s="4"/>
    </row>
    <row r="511" spans="1:4" x14ac:dyDescent="0.25">
      <c r="A511" s="5"/>
      <c r="C511" s="4"/>
      <c r="D511" s="4"/>
    </row>
    <row r="512" spans="1:4" x14ac:dyDescent="0.25">
      <c r="A512" s="5"/>
      <c r="C512" s="4"/>
      <c r="D512" s="4"/>
    </row>
    <row r="513" spans="1:4" x14ac:dyDescent="0.25">
      <c r="A513" s="5"/>
      <c r="C513" s="4"/>
      <c r="D513" s="4"/>
    </row>
    <row r="514" spans="1:4" x14ac:dyDescent="0.25">
      <c r="A514" s="5"/>
      <c r="C514" s="4"/>
      <c r="D514" s="4"/>
    </row>
    <row r="515" spans="1:4" x14ac:dyDescent="0.25">
      <c r="A515" s="5"/>
      <c r="C515" s="4"/>
      <c r="D515" s="4"/>
    </row>
    <row r="516" spans="1:4" x14ac:dyDescent="0.25">
      <c r="A516" s="5"/>
      <c r="C516" s="4"/>
      <c r="D516" s="4"/>
    </row>
    <row r="517" spans="1:4" x14ac:dyDescent="0.25">
      <c r="A517" s="5"/>
      <c r="C517" s="4"/>
      <c r="D517" s="4"/>
    </row>
    <row r="518" spans="1:4" x14ac:dyDescent="0.25">
      <c r="A518" s="5"/>
      <c r="C518" s="4"/>
      <c r="D518" s="4"/>
    </row>
    <row r="519" spans="1:4" x14ac:dyDescent="0.25">
      <c r="A519" s="5"/>
      <c r="C519" s="4"/>
      <c r="D519" s="4"/>
    </row>
    <row r="520" spans="1:4" x14ac:dyDescent="0.25">
      <c r="A520" s="5"/>
      <c r="C520" s="4"/>
      <c r="D520" s="4"/>
    </row>
    <row r="521" spans="1:4" x14ac:dyDescent="0.25">
      <c r="A521" s="5"/>
      <c r="C521" s="4"/>
      <c r="D521" s="4"/>
    </row>
    <row r="522" spans="1:4" x14ac:dyDescent="0.25">
      <c r="A522" s="5"/>
      <c r="C522" s="4"/>
      <c r="D522" s="4"/>
    </row>
    <row r="523" spans="1:4" x14ac:dyDescent="0.25">
      <c r="A523" s="5"/>
      <c r="C523" s="4"/>
      <c r="D523" s="4"/>
    </row>
    <row r="524" spans="1:4" x14ac:dyDescent="0.25">
      <c r="A524" s="5"/>
      <c r="C524" s="4"/>
      <c r="D524" s="4"/>
    </row>
    <row r="525" spans="1:4" x14ac:dyDescent="0.25">
      <c r="A525" s="5"/>
      <c r="C525" s="4"/>
      <c r="D525" s="4"/>
    </row>
    <row r="526" spans="1:4" x14ac:dyDescent="0.25">
      <c r="A526" s="5"/>
      <c r="C526" s="4"/>
      <c r="D526" s="4"/>
    </row>
    <row r="527" spans="1:4" x14ac:dyDescent="0.25">
      <c r="A527" s="5"/>
      <c r="C527" s="4"/>
      <c r="D527" s="4"/>
    </row>
    <row r="528" spans="1:4" x14ac:dyDescent="0.25">
      <c r="A528" s="5"/>
      <c r="C528" s="4"/>
      <c r="D528" s="4"/>
    </row>
    <row r="529" spans="1:4" x14ac:dyDescent="0.25">
      <c r="A529" s="5"/>
      <c r="C529" s="4"/>
      <c r="D529" s="4"/>
    </row>
    <row r="530" spans="1:4" x14ac:dyDescent="0.25">
      <c r="A530" s="5"/>
      <c r="C530" s="4"/>
      <c r="D530" s="4"/>
    </row>
    <row r="531" spans="1:4" x14ac:dyDescent="0.25">
      <c r="A531" s="5"/>
      <c r="C531" s="4"/>
      <c r="D531" s="4"/>
    </row>
    <row r="532" spans="1:4" x14ac:dyDescent="0.25">
      <c r="A532" s="5"/>
      <c r="C532" s="4"/>
      <c r="D532" s="4"/>
    </row>
    <row r="533" spans="1:4" x14ac:dyDescent="0.25">
      <c r="A533" s="5"/>
      <c r="C533" s="4"/>
      <c r="D533" s="4"/>
    </row>
    <row r="534" spans="1:4" x14ac:dyDescent="0.25">
      <c r="A534" s="5"/>
      <c r="C534" s="4"/>
      <c r="D534" s="4"/>
    </row>
    <row r="535" spans="1:4" x14ac:dyDescent="0.25">
      <c r="A535" s="5"/>
      <c r="C535" s="4"/>
      <c r="D535" s="4"/>
    </row>
    <row r="536" spans="1:4" x14ac:dyDescent="0.25">
      <c r="A536" s="5"/>
      <c r="C536" s="4"/>
      <c r="D536" s="4"/>
    </row>
    <row r="537" spans="1:4" x14ac:dyDescent="0.25">
      <c r="A537" s="5"/>
      <c r="C537" s="4"/>
      <c r="D537" s="4"/>
    </row>
    <row r="538" spans="1:4" x14ac:dyDescent="0.25">
      <c r="A538" s="5"/>
      <c r="C538" s="4"/>
      <c r="D538" s="4"/>
    </row>
    <row r="539" spans="1:4" x14ac:dyDescent="0.25">
      <c r="A539" s="5"/>
      <c r="C539" s="4"/>
      <c r="D539" s="4"/>
    </row>
    <row r="540" spans="1:4" x14ac:dyDescent="0.25">
      <c r="A540" s="5"/>
      <c r="C540" s="4"/>
      <c r="D540" s="4"/>
    </row>
    <row r="541" spans="1:4" x14ac:dyDescent="0.25">
      <c r="A541" s="5"/>
      <c r="C541" s="4"/>
      <c r="D541" s="4"/>
    </row>
    <row r="542" spans="1:4" x14ac:dyDescent="0.25">
      <c r="A542" s="5"/>
      <c r="C542" s="4"/>
      <c r="D542" s="4"/>
    </row>
    <row r="543" spans="1:4" x14ac:dyDescent="0.25">
      <c r="A543" s="5"/>
      <c r="C543" s="4"/>
      <c r="D543" s="4"/>
    </row>
    <row r="544" spans="1:4" x14ac:dyDescent="0.25">
      <c r="A544" s="5"/>
      <c r="C544" s="4"/>
      <c r="D544" s="4"/>
    </row>
    <row r="545" spans="1:4" x14ac:dyDescent="0.25">
      <c r="A545" s="5"/>
      <c r="C545" s="4"/>
      <c r="D545" s="4"/>
    </row>
    <row r="546" spans="1:4" x14ac:dyDescent="0.25">
      <c r="A546" s="5"/>
      <c r="C546" s="4"/>
      <c r="D546" s="4"/>
    </row>
    <row r="547" spans="1:4" x14ac:dyDescent="0.25">
      <c r="A547" s="5"/>
      <c r="C547" s="4"/>
      <c r="D547" s="4"/>
    </row>
    <row r="548" spans="1:4" x14ac:dyDescent="0.25">
      <c r="A548" s="5"/>
      <c r="C548" s="4"/>
      <c r="D548" s="4"/>
    </row>
    <row r="549" spans="1:4" x14ac:dyDescent="0.25">
      <c r="A549" s="5"/>
      <c r="C549" s="4"/>
      <c r="D549" s="4"/>
    </row>
    <row r="550" spans="1:4" x14ac:dyDescent="0.25">
      <c r="A550" s="5"/>
      <c r="C550" s="4"/>
      <c r="D550" s="4"/>
    </row>
    <row r="551" spans="1:4" x14ac:dyDescent="0.25">
      <c r="A551" s="5"/>
      <c r="C551" s="4"/>
      <c r="D551" s="4"/>
    </row>
    <row r="552" spans="1:4" x14ac:dyDescent="0.25">
      <c r="A552" s="5"/>
      <c r="C552" s="4"/>
      <c r="D552" s="4"/>
    </row>
    <row r="553" spans="1:4" x14ac:dyDescent="0.25">
      <c r="A553" s="5"/>
      <c r="C553" s="4"/>
      <c r="D553" s="4"/>
    </row>
    <row r="554" spans="1:4" x14ac:dyDescent="0.25">
      <c r="A554" s="5"/>
      <c r="C554" s="4"/>
      <c r="D554" s="4"/>
    </row>
    <row r="555" spans="1:4" x14ac:dyDescent="0.25">
      <c r="A555" s="5"/>
      <c r="C555" s="4"/>
      <c r="D555" s="4"/>
    </row>
    <row r="556" spans="1:4" x14ac:dyDescent="0.25">
      <c r="A556" s="5"/>
      <c r="C556" s="4"/>
      <c r="D556" s="4"/>
    </row>
    <row r="557" spans="1:4" x14ac:dyDescent="0.25">
      <c r="A557" s="5"/>
      <c r="C557" s="4"/>
      <c r="D557" s="4"/>
    </row>
    <row r="558" spans="1:4" x14ac:dyDescent="0.25">
      <c r="A558" s="5"/>
      <c r="C558" s="4"/>
      <c r="D558" s="4"/>
    </row>
    <row r="559" spans="1:4" x14ac:dyDescent="0.25">
      <c r="A559" s="5"/>
      <c r="C559" s="4"/>
      <c r="D559" s="4"/>
    </row>
    <row r="560" spans="1:4" x14ac:dyDescent="0.25">
      <c r="A560" s="5"/>
      <c r="C560" s="4"/>
      <c r="D560" s="4"/>
    </row>
    <row r="561" spans="1:4" x14ac:dyDescent="0.25">
      <c r="A561" s="5"/>
      <c r="C561" s="4"/>
      <c r="D561" s="4"/>
    </row>
    <row r="562" spans="1:4" x14ac:dyDescent="0.25">
      <c r="A562" s="5"/>
      <c r="C562" s="4"/>
      <c r="D562" s="4"/>
    </row>
    <row r="563" spans="1:4" x14ac:dyDescent="0.25">
      <c r="A563" s="5"/>
      <c r="C563" s="4"/>
      <c r="D563" s="4"/>
    </row>
    <row r="564" spans="1:4" x14ac:dyDescent="0.25">
      <c r="A564" s="5"/>
      <c r="C564" s="4"/>
      <c r="D564" s="4"/>
    </row>
    <row r="565" spans="1:4" x14ac:dyDescent="0.25">
      <c r="A565" s="5"/>
      <c r="C565" s="4"/>
      <c r="D565" s="4"/>
    </row>
    <row r="566" spans="1:4" x14ac:dyDescent="0.25">
      <c r="A566" s="5"/>
      <c r="C566" s="4"/>
      <c r="D566" s="4"/>
    </row>
    <row r="567" spans="1:4" x14ac:dyDescent="0.25">
      <c r="A567" s="5"/>
      <c r="C567" s="4"/>
      <c r="D567" s="4"/>
    </row>
    <row r="568" spans="1:4" x14ac:dyDescent="0.25">
      <c r="A568" s="5"/>
      <c r="C568" s="4"/>
      <c r="D568" s="4"/>
    </row>
    <row r="569" spans="1:4" x14ac:dyDescent="0.25">
      <c r="A569" s="5"/>
      <c r="C569" s="4"/>
      <c r="D569" s="4"/>
    </row>
    <row r="570" spans="1:4" x14ac:dyDescent="0.25">
      <c r="A570" s="5"/>
      <c r="C570" s="4"/>
      <c r="D570" s="4"/>
    </row>
    <row r="571" spans="1:4" x14ac:dyDescent="0.25">
      <c r="A571" s="5"/>
      <c r="C571" s="4"/>
      <c r="D571" s="4"/>
    </row>
    <row r="572" spans="1:4" x14ac:dyDescent="0.25">
      <c r="A572" s="5"/>
      <c r="C572" s="4"/>
      <c r="D572" s="4"/>
    </row>
    <row r="573" spans="1:4" x14ac:dyDescent="0.25">
      <c r="A573" s="5"/>
      <c r="C573" s="4"/>
      <c r="D573" s="4"/>
    </row>
    <row r="574" spans="1:4" x14ac:dyDescent="0.25">
      <c r="A574" s="5"/>
      <c r="C574" s="4"/>
      <c r="D574" s="4"/>
    </row>
    <row r="575" spans="1:4" x14ac:dyDescent="0.25">
      <c r="A575" s="5"/>
      <c r="C575" s="4"/>
      <c r="D575" s="4"/>
    </row>
    <row r="576" spans="1:4" x14ac:dyDescent="0.25">
      <c r="A576" s="5"/>
      <c r="C576" s="4"/>
      <c r="D576" s="4"/>
    </row>
    <row r="577" spans="1:4" x14ac:dyDescent="0.25">
      <c r="A577" s="5"/>
      <c r="C577" s="4"/>
      <c r="D577" s="4"/>
    </row>
    <row r="578" spans="1:4" x14ac:dyDescent="0.25">
      <c r="A578" s="5"/>
      <c r="C578" s="4"/>
      <c r="D578" s="4"/>
    </row>
    <row r="579" spans="1:4" x14ac:dyDescent="0.25">
      <c r="A579" s="5"/>
      <c r="C579" s="4"/>
      <c r="D579" s="4"/>
    </row>
    <row r="580" spans="1:4" x14ac:dyDescent="0.25">
      <c r="A580" s="5"/>
      <c r="C580" s="4"/>
      <c r="D580" s="4"/>
    </row>
    <row r="581" spans="1:4" x14ac:dyDescent="0.25">
      <c r="A581" s="5"/>
      <c r="C581" s="4"/>
      <c r="D581" s="4"/>
    </row>
    <row r="582" spans="1:4" x14ac:dyDescent="0.25">
      <c r="A582" s="5"/>
      <c r="C582" s="4"/>
      <c r="D582" s="4"/>
    </row>
    <row r="583" spans="1:4" x14ac:dyDescent="0.25">
      <c r="A583" s="5"/>
      <c r="C583" s="4"/>
      <c r="D583" s="4"/>
    </row>
    <row r="584" spans="1:4" x14ac:dyDescent="0.25">
      <c r="A584" s="5"/>
      <c r="C584" s="4"/>
      <c r="D584" s="4"/>
    </row>
    <row r="585" spans="1:4" x14ac:dyDescent="0.25">
      <c r="A585" s="5"/>
      <c r="C585" s="4"/>
      <c r="D585" s="4"/>
    </row>
    <row r="586" spans="1:4" x14ac:dyDescent="0.25">
      <c r="A586" s="5"/>
      <c r="C586" s="4"/>
      <c r="D586" s="4"/>
    </row>
    <row r="587" spans="1:4" x14ac:dyDescent="0.25">
      <c r="A587" s="5"/>
      <c r="C587" s="4"/>
      <c r="D587" s="4"/>
    </row>
    <row r="588" spans="1:4" x14ac:dyDescent="0.25">
      <c r="A588" s="5"/>
      <c r="C588" s="4"/>
      <c r="D588" s="4"/>
    </row>
    <row r="589" spans="1:4" x14ac:dyDescent="0.25">
      <c r="A589" s="5"/>
      <c r="C589" s="4"/>
      <c r="D589" s="4"/>
    </row>
    <row r="590" spans="1:4" x14ac:dyDescent="0.25">
      <c r="A590" s="5"/>
      <c r="C590" s="4"/>
      <c r="D590" s="4"/>
    </row>
    <row r="591" spans="1:4" x14ac:dyDescent="0.25">
      <c r="A591" s="5"/>
      <c r="C591" s="4"/>
      <c r="D591" s="4"/>
    </row>
    <row r="592" spans="1:4" x14ac:dyDescent="0.25">
      <c r="A592" s="5"/>
      <c r="C592" s="4"/>
      <c r="D592" s="4"/>
    </row>
    <row r="593" spans="1:4" x14ac:dyDescent="0.25">
      <c r="A593" s="5"/>
      <c r="C593" s="4"/>
      <c r="D593" s="4"/>
    </row>
    <row r="594" spans="1:4" x14ac:dyDescent="0.25">
      <c r="A594" s="5"/>
      <c r="C594" s="4"/>
      <c r="D594" s="4"/>
    </row>
    <row r="595" spans="1:4" x14ac:dyDescent="0.25">
      <c r="A595" s="5"/>
      <c r="C595" s="4"/>
      <c r="D595" s="4"/>
    </row>
    <row r="596" spans="1:4" x14ac:dyDescent="0.25">
      <c r="A596" s="5"/>
      <c r="C596" s="4"/>
      <c r="D596" s="4"/>
    </row>
    <row r="597" spans="1:4" x14ac:dyDescent="0.25">
      <c r="A597" s="5"/>
      <c r="C597" s="4"/>
      <c r="D597" s="4"/>
    </row>
    <row r="598" spans="1:4" x14ac:dyDescent="0.25">
      <c r="A598" s="5"/>
      <c r="C598" s="4"/>
      <c r="D598" s="4"/>
    </row>
    <row r="599" spans="1:4" x14ac:dyDescent="0.25">
      <c r="A599" s="5"/>
      <c r="C599" s="4"/>
      <c r="D599" s="4"/>
    </row>
    <row r="600" spans="1:4" x14ac:dyDescent="0.25">
      <c r="A600" s="5"/>
      <c r="C600" s="4"/>
      <c r="D600" s="4"/>
    </row>
    <row r="601" spans="1:4" x14ac:dyDescent="0.25">
      <c r="A601" s="5"/>
      <c r="C601" s="4"/>
      <c r="D601" s="4"/>
    </row>
    <row r="602" spans="1:4" x14ac:dyDescent="0.25">
      <c r="A602" s="5"/>
      <c r="C602" s="4"/>
      <c r="D602" s="4"/>
    </row>
    <row r="603" spans="1:4" x14ac:dyDescent="0.25">
      <c r="A603" s="5"/>
      <c r="C603" s="4"/>
      <c r="D603" s="4"/>
    </row>
    <row r="604" spans="1:4" x14ac:dyDescent="0.25">
      <c r="A604" s="5"/>
      <c r="C604" s="4"/>
      <c r="D604" s="4"/>
    </row>
    <row r="605" spans="1:4" x14ac:dyDescent="0.25">
      <c r="A605" s="5"/>
      <c r="C605" s="4"/>
      <c r="D605" s="4"/>
    </row>
    <row r="606" spans="1:4" x14ac:dyDescent="0.25">
      <c r="A606" s="5"/>
      <c r="C606" s="4"/>
      <c r="D606" s="4"/>
    </row>
    <row r="607" spans="1:4" x14ac:dyDescent="0.25">
      <c r="A607" s="5"/>
      <c r="C607" s="4"/>
      <c r="D607" s="4"/>
    </row>
    <row r="608" spans="1:4" x14ac:dyDescent="0.25">
      <c r="A608" s="8"/>
      <c r="C608" s="4"/>
      <c r="D608" s="4"/>
    </row>
    <row r="609" spans="1:4" x14ac:dyDescent="0.25">
      <c r="A609" s="5"/>
      <c r="C609" s="4"/>
      <c r="D609" s="4"/>
    </row>
    <row r="610" spans="1:4" x14ac:dyDescent="0.25">
      <c r="A610" s="5"/>
      <c r="C610" s="4"/>
      <c r="D610" s="4"/>
    </row>
    <row r="611" spans="1:4" x14ac:dyDescent="0.25">
      <c r="A611" s="5"/>
      <c r="C611" s="4"/>
      <c r="D611" s="4"/>
    </row>
    <row r="612" spans="1:4" x14ac:dyDescent="0.25">
      <c r="A612" s="9"/>
      <c r="C612" s="4"/>
      <c r="D612" s="4"/>
    </row>
    <row r="613" spans="1:4" x14ac:dyDescent="0.25">
      <c r="A613" s="5"/>
      <c r="C613" s="4"/>
      <c r="D613" s="4"/>
    </row>
    <row r="614" spans="1:4" x14ac:dyDescent="0.25">
      <c r="A614" s="9"/>
      <c r="C614" s="4"/>
      <c r="D614" s="4"/>
    </row>
    <row r="615" spans="1:4" x14ac:dyDescent="0.25">
      <c r="A615" s="5"/>
      <c r="C615" s="4"/>
      <c r="D615" s="4"/>
    </row>
    <row r="616" spans="1:4" x14ac:dyDescent="0.25">
      <c r="A616" s="5"/>
      <c r="C616" s="4"/>
      <c r="D616" s="4"/>
    </row>
    <row r="617" spans="1:4" x14ac:dyDescent="0.25">
      <c r="A617" s="5"/>
      <c r="C617" s="4"/>
      <c r="D617" s="4"/>
    </row>
    <row r="618" spans="1:4" x14ac:dyDescent="0.25">
      <c r="A618" s="5"/>
      <c r="C618" s="4"/>
      <c r="D618" s="4"/>
    </row>
    <row r="619" spans="1:4" x14ac:dyDescent="0.25">
      <c r="A619" s="5"/>
      <c r="C619" s="4"/>
      <c r="D619" s="4"/>
    </row>
    <row r="620" spans="1:4" x14ac:dyDescent="0.25">
      <c r="A620" s="5"/>
      <c r="C620" s="4"/>
      <c r="D620" s="4"/>
    </row>
    <row r="621" spans="1:4" x14ac:dyDescent="0.25">
      <c r="A621" s="5"/>
      <c r="C621" s="4"/>
      <c r="D621" s="4"/>
    </row>
    <row r="622" spans="1:4" x14ac:dyDescent="0.25">
      <c r="A622" s="5"/>
      <c r="C622" s="4"/>
      <c r="D622" s="4"/>
    </row>
    <row r="623" spans="1:4" x14ac:dyDescent="0.25">
      <c r="A623" s="5"/>
      <c r="C623" s="4"/>
      <c r="D623" s="4"/>
    </row>
    <row r="624" spans="1:4" x14ac:dyDescent="0.25">
      <c r="A624" s="5"/>
      <c r="C624" s="4"/>
      <c r="D624" s="4"/>
    </row>
    <row r="625" spans="1:4" x14ac:dyDescent="0.25">
      <c r="A625" s="5"/>
      <c r="C625" s="4"/>
      <c r="D625" s="4"/>
    </row>
    <row r="626" spans="1:4" x14ac:dyDescent="0.25">
      <c r="A626" s="5"/>
      <c r="C626" s="4"/>
      <c r="D626" s="4"/>
    </row>
    <row r="627" spans="1:4" x14ac:dyDescent="0.25">
      <c r="A627" s="5"/>
      <c r="C627" s="4"/>
      <c r="D627" s="4"/>
    </row>
    <row r="628" spans="1:4" x14ac:dyDescent="0.25">
      <c r="A628" s="5"/>
      <c r="C628" s="4"/>
      <c r="D628" s="4"/>
    </row>
    <row r="629" spans="1:4" x14ac:dyDescent="0.25">
      <c r="A629" s="5"/>
      <c r="C629" s="4"/>
      <c r="D629" s="4"/>
    </row>
    <row r="630" spans="1:4" x14ac:dyDescent="0.25">
      <c r="A630" s="5"/>
      <c r="C630" s="4"/>
      <c r="D630" s="4"/>
    </row>
    <row r="631" spans="1:4" x14ac:dyDescent="0.25">
      <c r="A631" s="5"/>
      <c r="C631" s="4"/>
      <c r="D631" s="4"/>
    </row>
    <row r="632" spans="1:4" x14ac:dyDescent="0.25">
      <c r="A632" s="5"/>
      <c r="C632" s="4"/>
      <c r="D632" s="4"/>
    </row>
    <row r="633" spans="1:4" x14ac:dyDescent="0.25">
      <c r="A633" s="5"/>
      <c r="C633" s="4"/>
      <c r="D633" s="4"/>
    </row>
    <row r="634" spans="1:4" x14ac:dyDescent="0.25">
      <c r="A634" s="5"/>
      <c r="C634" s="4"/>
      <c r="D634" s="4"/>
    </row>
    <row r="635" spans="1:4" x14ac:dyDescent="0.25">
      <c r="A635" s="5"/>
      <c r="C635" s="4"/>
      <c r="D635" s="4"/>
    </row>
    <row r="636" spans="1:4" x14ac:dyDescent="0.25">
      <c r="A636" s="5"/>
      <c r="C636" s="4"/>
      <c r="D636" s="4"/>
    </row>
    <row r="637" spans="1:4" x14ac:dyDescent="0.25">
      <c r="A637" s="5"/>
      <c r="C637" s="4"/>
      <c r="D637" s="4"/>
    </row>
    <row r="638" spans="1:4" x14ac:dyDescent="0.25">
      <c r="A638" s="5"/>
      <c r="C638" s="4"/>
      <c r="D638" s="4"/>
    </row>
    <row r="639" spans="1:4" x14ac:dyDescent="0.25">
      <c r="A639" s="5"/>
      <c r="C639" s="4"/>
      <c r="D639" s="4"/>
    </row>
    <row r="640" spans="1:4" x14ac:dyDescent="0.25">
      <c r="A640" s="5"/>
      <c r="C640" s="4"/>
      <c r="D640" s="4"/>
    </row>
    <row r="641" spans="1:4" x14ac:dyDescent="0.25">
      <c r="A641" s="5"/>
      <c r="C641" s="4"/>
      <c r="D641" s="4"/>
    </row>
    <row r="642" spans="1:4" x14ac:dyDescent="0.25">
      <c r="A642" s="5"/>
      <c r="C642" s="4"/>
      <c r="D642" s="4"/>
    </row>
    <row r="643" spans="1:4" x14ac:dyDescent="0.25">
      <c r="A643" s="5"/>
      <c r="C643" s="4"/>
      <c r="D643" s="4"/>
    </row>
    <row r="644" spans="1:4" x14ac:dyDescent="0.25">
      <c r="A644" s="5"/>
      <c r="C644" s="4"/>
      <c r="D644" s="4"/>
    </row>
    <row r="645" spans="1:4" x14ac:dyDescent="0.25">
      <c r="A645" s="5"/>
      <c r="C645" s="4"/>
      <c r="D645" s="4"/>
    </row>
    <row r="646" spans="1:4" x14ac:dyDescent="0.25">
      <c r="A646" s="5"/>
      <c r="C646" s="4"/>
      <c r="D646" s="4"/>
    </row>
    <row r="647" spans="1:4" x14ac:dyDescent="0.25">
      <c r="A647" s="5"/>
      <c r="C647" s="4"/>
      <c r="D647" s="4"/>
    </row>
    <row r="648" spans="1:4" x14ac:dyDescent="0.25">
      <c r="A648" s="5"/>
      <c r="C648" s="4"/>
      <c r="D648" s="4"/>
    </row>
    <row r="649" spans="1:4" x14ac:dyDescent="0.25">
      <c r="A649" s="5"/>
      <c r="C649" s="4"/>
      <c r="D649" s="4"/>
    </row>
    <row r="650" spans="1:4" x14ac:dyDescent="0.25">
      <c r="A650" s="5"/>
      <c r="C650" s="4"/>
      <c r="D650" s="4"/>
    </row>
    <row r="651" spans="1:4" x14ac:dyDescent="0.25">
      <c r="A651" s="5"/>
      <c r="C651" s="4"/>
      <c r="D651" s="4"/>
    </row>
    <row r="652" spans="1:4" x14ac:dyDescent="0.25">
      <c r="A652" s="5"/>
      <c r="C652" s="4"/>
      <c r="D652" s="4"/>
    </row>
    <row r="653" spans="1:4" x14ac:dyDescent="0.25">
      <c r="A653" s="5"/>
      <c r="C653" s="4"/>
      <c r="D653" s="4"/>
    </row>
    <row r="654" spans="1:4" x14ac:dyDescent="0.25">
      <c r="A654" s="5"/>
      <c r="C654" s="4"/>
      <c r="D654" s="4"/>
    </row>
    <row r="655" spans="1:4" x14ac:dyDescent="0.25">
      <c r="A655" s="5"/>
      <c r="C655" s="4"/>
      <c r="D655" s="4"/>
    </row>
    <row r="656" spans="1:4" x14ac:dyDescent="0.25">
      <c r="A656" s="5"/>
      <c r="C656" s="4"/>
      <c r="D656" s="4"/>
    </row>
    <row r="657" spans="1:4" x14ac:dyDescent="0.25">
      <c r="A657" s="5"/>
      <c r="C657" s="4"/>
      <c r="D657" s="4"/>
    </row>
    <row r="658" spans="1:4" x14ac:dyDescent="0.25">
      <c r="A658" s="5"/>
      <c r="C658" s="4"/>
      <c r="D658" s="4"/>
    </row>
    <row r="659" spans="1:4" x14ac:dyDescent="0.25">
      <c r="A659" s="5"/>
      <c r="C659" s="4"/>
      <c r="D659" s="4"/>
    </row>
    <row r="660" spans="1:4" x14ac:dyDescent="0.25">
      <c r="A660" s="5"/>
      <c r="C660" s="4"/>
      <c r="D660" s="4"/>
    </row>
    <row r="661" spans="1:4" x14ac:dyDescent="0.25">
      <c r="A661" s="5"/>
      <c r="C661" s="4"/>
      <c r="D661" s="4"/>
    </row>
    <row r="662" spans="1:4" x14ac:dyDescent="0.25">
      <c r="A662" s="5"/>
      <c r="C662" s="4"/>
      <c r="D662" s="4"/>
    </row>
    <row r="663" spans="1:4" x14ac:dyDescent="0.25">
      <c r="A663" s="5"/>
      <c r="C663" s="4"/>
      <c r="D663" s="4"/>
    </row>
    <row r="664" spans="1:4" x14ac:dyDescent="0.25">
      <c r="A664" s="5"/>
      <c r="C664" s="4"/>
      <c r="D664" s="4"/>
    </row>
    <row r="665" spans="1:4" x14ac:dyDescent="0.25">
      <c r="A665" s="5"/>
      <c r="C665" s="4"/>
      <c r="D665" s="4"/>
    </row>
    <row r="666" spans="1:4" x14ac:dyDescent="0.25">
      <c r="A666" s="5"/>
      <c r="C666" s="4"/>
      <c r="D666" s="4"/>
    </row>
    <row r="667" spans="1:4" x14ac:dyDescent="0.25">
      <c r="A667" s="5"/>
      <c r="C667" s="4"/>
      <c r="D667" s="4"/>
    </row>
    <row r="668" spans="1:4" x14ac:dyDescent="0.25">
      <c r="A668" s="5"/>
      <c r="C668" s="4"/>
      <c r="D668" s="4"/>
    </row>
    <row r="669" spans="1:4" x14ac:dyDescent="0.25">
      <c r="A669" s="5"/>
      <c r="C669" s="4"/>
      <c r="D669" s="4"/>
    </row>
    <row r="670" spans="1:4" x14ac:dyDescent="0.25">
      <c r="A670" s="5"/>
      <c r="C670" s="4"/>
      <c r="D670" s="4"/>
    </row>
    <row r="671" spans="1:4" x14ac:dyDescent="0.25">
      <c r="A671" s="5"/>
      <c r="C671" s="4"/>
      <c r="D671" s="4"/>
    </row>
    <row r="672" spans="1:4" x14ac:dyDescent="0.25">
      <c r="A672" s="5"/>
      <c r="C672" s="4"/>
      <c r="D672" s="4"/>
    </row>
    <row r="673" spans="1:4" x14ac:dyDescent="0.25">
      <c r="A673" s="5"/>
      <c r="C673" s="4"/>
      <c r="D673" s="4"/>
    </row>
    <row r="674" spans="1:4" x14ac:dyDescent="0.25">
      <c r="A674" s="5"/>
      <c r="C674" s="4"/>
      <c r="D674" s="4"/>
    </row>
    <row r="675" spans="1:4" x14ac:dyDescent="0.25">
      <c r="A675" s="5"/>
      <c r="C675" s="4"/>
      <c r="D675" s="4"/>
    </row>
    <row r="676" spans="1:4" x14ac:dyDescent="0.25">
      <c r="A676" s="5"/>
      <c r="C676" s="4"/>
      <c r="D676" s="4"/>
    </row>
    <row r="677" spans="1:4" x14ac:dyDescent="0.25">
      <c r="A677" s="5"/>
      <c r="C677" s="4"/>
      <c r="D677" s="4"/>
    </row>
    <row r="678" spans="1:4" x14ac:dyDescent="0.25">
      <c r="A678" s="5"/>
      <c r="C678" s="4"/>
      <c r="D678" s="4"/>
    </row>
    <row r="679" spans="1:4" x14ac:dyDescent="0.25">
      <c r="A679" s="5"/>
      <c r="C679" s="4"/>
      <c r="D679" s="4"/>
    </row>
    <row r="680" spans="1:4" x14ac:dyDescent="0.25">
      <c r="A680" s="5"/>
      <c r="C680" s="4"/>
      <c r="D680" s="4"/>
    </row>
    <row r="681" spans="1:4" x14ac:dyDescent="0.25">
      <c r="A681" s="5"/>
      <c r="C681" s="4"/>
      <c r="D681" s="4"/>
    </row>
    <row r="682" spans="1:4" x14ac:dyDescent="0.25">
      <c r="A682" s="5"/>
      <c r="C682" s="4"/>
      <c r="D682" s="4"/>
    </row>
    <row r="683" spans="1:4" x14ac:dyDescent="0.25">
      <c r="A683" s="5"/>
      <c r="C683" s="4"/>
      <c r="D683" s="4"/>
    </row>
    <row r="684" spans="1:4" x14ac:dyDescent="0.25">
      <c r="A684" s="5"/>
      <c r="C684" s="4"/>
      <c r="D684" s="4"/>
    </row>
    <row r="685" spans="1:4" x14ac:dyDescent="0.25">
      <c r="A685" s="5"/>
      <c r="C685" s="4"/>
      <c r="D685" s="4"/>
    </row>
    <row r="686" spans="1:4" x14ac:dyDescent="0.25">
      <c r="A686" s="5"/>
      <c r="C686" s="4"/>
      <c r="D686" s="4"/>
    </row>
    <row r="687" spans="1:4" x14ac:dyDescent="0.25">
      <c r="A687" s="5"/>
      <c r="C687" s="4"/>
      <c r="D687" s="4"/>
    </row>
    <row r="688" spans="1:4" x14ac:dyDescent="0.25">
      <c r="A688" s="5"/>
      <c r="C688" s="4"/>
      <c r="D688" s="4"/>
    </row>
    <row r="689" spans="1:4" x14ac:dyDescent="0.25">
      <c r="A689" s="5"/>
      <c r="C689" s="4"/>
      <c r="D689" s="4"/>
    </row>
    <row r="690" spans="1:4" x14ac:dyDescent="0.25">
      <c r="A690" s="5"/>
      <c r="C690" s="4"/>
      <c r="D690" s="4"/>
    </row>
    <row r="691" spans="1:4" x14ac:dyDescent="0.25">
      <c r="A691" s="5"/>
      <c r="C691" s="4"/>
      <c r="D691" s="4"/>
    </row>
    <row r="692" spans="1:4" x14ac:dyDescent="0.25">
      <c r="A692" s="5"/>
      <c r="C692" s="4"/>
      <c r="D692" s="4"/>
    </row>
    <row r="693" spans="1:4" x14ac:dyDescent="0.25">
      <c r="A693" s="5"/>
      <c r="C693" s="4"/>
      <c r="D693" s="4"/>
    </row>
    <row r="694" spans="1:4" x14ac:dyDescent="0.25">
      <c r="A694" s="5"/>
      <c r="C694" s="4"/>
      <c r="D694" s="4"/>
    </row>
    <row r="695" spans="1:4" x14ac:dyDescent="0.25">
      <c r="A695" s="5"/>
      <c r="C695" s="4"/>
      <c r="D695" s="4"/>
    </row>
    <row r="696" spans="1:4" x14ac:dyDescent="0.25">
      <c r="A696" s="5"/>
      <c r="C696" s="4"/>
      <c r="D696" s="4"/>
    </row>
    <row r="697" spans="1:4" x14ac:dyDescent="0.25">
      <c r="A697" s="5"/>
      <c r="C697" s="4"/>
      <c r="D697" s="4"/>
    </row>
    <row r="698" spans="1:4" x14ac:dyDescent="0.25">
      <c r="A698" s="5"/>
      <c r="C698" s="4"/>
      <c r="D698" s="4"/>
    </row>
    <row r="699" spans="1:4" x14ac:dyDescent="0.25">
      <c r="A699" s="5"/>
      <c r="C699" s="4"/>
      <c r="D699" s="4"/>
    </row>
    <row r="700" spans="1:4" x14ac:dyDescent="0.25">
      <c r="A700" s="5"/>
      <c r="C700" s="4"/>
      <c r="D700" s="4"/>
    </row>
    <row r="701" spans="1:4" x14ac:dyDescent="0.25">
      <c r="A701" s="5"/>
      <c r="C701" s="4"/>
      <c r="D701" s="4"/>
    </row>
    <row r="702" spans="1:4" x14ac:dyDescent="0.25">
      <c r="A702" s="5"/>
      <c r="C702" s="4"/>
      <c r="D702" s="4"/>
    </row>
    <row r="703" spans="1:4" x14ac:dyDescent="0.25">
      <c r="A703" s="5"/>
      <c r="C703" s="4"/>
      <c r="D703" s="4"/>
    </row>
    <row r="704" spans="1:4" x14ac:dyDescent="0.25">
      <c r="A704" s="5"/>
      <c r="C704" s="4"/>
      <c r="D704" s="4"/>
    </row>
    <row r="705" spans="1:4" x14ac:dyDescent="0.25">
      <c r="A705" s="5"/>
      <c r="C705" s="4"/>
      <c r="D705" s="4"/>
    </row>
    <row r="706" spans="1:4" x14ac:dyDescent="0.25">
      <c r="A706" s="5"/>
      <c r="C706" s="4"/>
      <c r="D706" s="4"/>
    </row>
    <row r="707" spans="1:4" x14ac:dyDescent="0.25">
      <c r="A707" s="5"/>
      <c r="C707" s="4"/>
      <c r="D707" s="4"/>
    </row>
    <row r="708" spans="1:4" x14ac:dyDescent="0.25">
      <c r="A708" s="5"/>
      <c r="C708" s="4"/>
      <c r="D708" s="4"/>
    </row>
    <row r="709" spans="1:4" x14ac:dyDescent="0.25">
      <c r="A709" s="5"/>
      <c r="C709" s="4"/>
      <c r="D709" s="4"/>
    </row>
    <row r="710" spans="1:4" x14ac:dyDescent="0.25">
      <c r="A710" s="5"/>
      <c r="C710" s="4"/>
      <c r="D710" s="4"/>
    </row>
    <row r="711" spans="1:4" x14ac:dyDescent="0.25">
      <c r="A711" s="5"/>
      <c r="C711" s="4"/>
      <c r="D711" s="4"/>
    </row>
    <row r="712" spans="1:4" x14ac:dyDescent="0.25">
      <c r="A712" s="5"/>
      <c r="C712" s="4"/>
      <c r="D712" s="4"/>
    </row>
    <row r="713" spans="1:4" x14ac:dyDescent="0.25">
      <c r="A713" s="5"/>
      <c r="C713" s="4"/>
      <c r="D713" s="4"/>
    </row>
    <row r="714" spans="1:4" x14ac:dyDescent="0.25">
      <c r="A714" s="5"/>
      <c r="C714" s="4"/>
      <c r="D714" s="4"/>
    </row>
    <row r="715" spans="1:4" x14ac:dyDescent="0.25">
      <c r="A715" s="5"/>
      <c r="C715" s="4"/>
      <c r="D715" s="4"/>
    </row>
    <row r="716" spans="1:4" x14ac:dyDescent="0.25">
      <c r="A716" s="5"/>
      <c r="C716" s="4"/>
      <c r="D716" s="4"/>
    </row>
    <row r="717" spans="1:4" x14ac:dyDescent="0.25">
      <c r="A717" s="5"/>
      <c r="C717" s="4"/>
      <c r="D717" s="4"/>
    </row>
    <row r="718" spans="1:4" x14ac:dyDescent="0.25">
      <c r="A718" s="5"/>
      <c r="C718" s="4"/>
      <c r="D718" s="4"/>
    </row>
    <row r="719" spans="1:4" x14ac:dyDescent="0.25">
      <c r="A719" s="5"/>
      <c r="C719" s="4"/>
      <c r="D719" s="4"/>
    </row>
    <row r="720" spans="1:4" x14ac:dyDescent="0.25">
      <c r="A720" s="5"/>
      <c r="C720" s="4"/>
      <c r="D720" s="4"/>
    </row>
    <row r="721" spans="1:4" x14ac:dyDescent="0.25">
      <c r="A721" s="5"/>
      <c r="C721" s="4"/>
      <c r="D721" s="4"/>
    </row>
    <row r="722" spans="1:4" x14ac:dyDescent="0.25">
      <c r="A722" s="5"/>
      <c r="C722" s="4"/>
      <c r="D722" s="4"/>
    </row>
    <row r="723" spans="1:4" x14ac:dyDescent="0.25">
      <c r="A723" s="5"/>
      <c r="C723" s="4"/>
      <c r="D723" s="4"/>
    </row>
    <row r="724" spans="1:4" x14ac:dyDescent="0.25">
      <c r="A724" s="5"/>
      <c r="C724" s="4"/>
      <c r="D724" s="4"/>
    </row>
    <row r="725" spans="1:4" x14ac:dyDescent="0.25">
      <c r="A725" s="5"/>
      <c r="C725" s="4"/>
      <c r="D725" s="4"/>
    </row>
    <row r="726" spans="1:4" x14ac:dyDescent="0.25">
      <c r="A726" s="5"/>
      <c r="C726" s="4"/>
      <c r="D726" s="4"/>
    </row>
    <row r="727" spans="1:4" x14ac:dyDescent="0.25">
      <c r="A727" s="5"/>
      <c r="C727" s="4"/>
      <c r="D727" s="4"/>
    </row>
    <row r="728" spans="1:4" x14ac:dyDescent="0.25">
      <c r="A728" s="5"/>
      <c r="C728" s="4"/>
      <c r="D728" s="4"/>
    </row>
    <row r="729" spans="1:4" x14ac:dyDescent="0.25">
      <c r="A729" s="5"/>
      <c r="C729" s="4"/>
      <c r="D729" s="4"/>
    </row>
    <row r="730" spans="1:4" x14ac:dyDescent="0.25">
      <c r="A730" s="5"/>
      <c r="C730" s="4"/>
      <c r="D730" s="4"/>
    </row>
    <row r="731" spans="1:4" x14ac:dyDescent="0.25">
      <c r="A731" s="5"/>
      <c r="C731" s="4"/>
      <c r="D731" s="4"/>
    </row>
    <row r="732" spans="1:4" x14ac:dyDescent="0.25">
      <c r="A732" s="5"/>
      <c r="C732" s="4"/>
      <c r="D732" s="4"/>
    </row>
    <row r="733" spans="1:4" x14ac:dyDescent="0.25">
      <c r="A733" s="5"/>
      <c r="C733" s="4"/>
      <c r="D733" s="4"/>
    </row>
    <row r="734" spans="1:4" x14ac:dyDescent="0.25">
      <c r="A734" s="5"/>
      <c r="C734" s="4"/>
      <c r="D734" s="4"/>
    </row>
    <row r="735" spans="1:4" x14ac:dyDescent="0.25">
      <c r="A735" s="5"/>
      <c r="C735" s="4"/>
      <c r="D735" s="4"/>
    </row>
    <row r="736" spans="1:4" x14ac:dyDescent="0.25">
      <c r="A736" s="5"/>
      <c r="C736" s="4"/>
      <c r="D736" s="4"/>
    </row>
    <row r="737" spans="1:4" x14ac:dyDescent="0.25">
      <c r="A737" s="5"/>
      <c r="C737" s="4"/>
      <c r="D737" s="4"/>
    </row>
    <row r="738" spans="1:4" x14ac:dyDescent="0.25">
      <c r="A738" s="5"/>
      <c r="C738" s="4"/>
      <c r="D738" s="4"/>
    </row>
    <row r="739" spans="1:4" x14ac:dyDescent="0.25">
      <c r="A739" s="5"/>
      <c r="C739" s="4"/>
      <c r="D739" s="4"/>
    </row>
    <row r="740" spans="1:4" x14ac:dyDescent="0.25">
      <c r="A740" s="5"/>
      <c r="C740" s="4"/>
      <c r="D740" s="4"/>
    </row>
    <row r="741" spans="1:4" x14ac:dyDescent="0.25">
      <c r="A741" s="5"/>
    </row>
    <row r="742" spans="1:4" x14ac:dyDescent="0.25">
      <c r="A742" s="5"/>
    </row>
    <row r="743" spans="1:4" x14ac:dyDescent="0.25">
      <c r="A743" s="5"/>
    </row>
    <row r="744" spans="1:4" x14ac:dyDescent="0.25">
      <c r="A744" s="5"/>
    </row>
    <row r="745" spans="1:4" x14ac:dyDescent="0.25">
      <c r="A745" s="5"/>
    </row>
    <row r="746" spans="1:4" x14ac:dyDescent="0.25">
      <c r="A746" s="5"/>
    </row>
    <row r="747" spans="1:4" x14ac:dyDescent="0.25">
      <c r="A747" s="5"/>
    </row>
    <row r="748" spans="1:4" x14ac:dyDescent="0.25">
      <c r="A748" s="5"/>
    </row>
    <row r="749" spans="1:4" x14ac:dyDescent="0.25">
      <c r="A749" s="5"/>
    </row>
    <row r="750" spans="1:4" x14ac:dyDescent="0.25">
      <c r="A750" s="5"/>
    </row>
    <row r="751" spans="1:4" x14ac:dyDescent="0.25">
      <c r="A751" s="5"/>
    </row>
    <row r="752" spans="1:4" x14ac:dyDescent="0.25">
      <c r="A752" s="5"/>
    </row>
    <row r="753" spans="1:1" customFormat="1" x14ac:dyDescent="0.25">
      <c r="A753" s="5"/>
    </row>
    <row r="754" spans="1:1" customFormat="1" x14ac:dyDescent="0.25">
      <c r="A754" s="5"/>
    </row>
    <row r="755" spans="1:1" customFormat="1" x14ac:dyDescent="0.25">
      <c r="A755" s="5"/>
    </row>
    <row r="756" spans="1:1" customFormat="1" x14ac:dyDescent="0.25">
      <c r="A756" s="5"/>
    </row>
    <row r="757" spans="1:1" customFormat="1" x14ac:dyDescent="0.25">
      <c r="A757" s="5"/>
    </row>
    <row r="758" spans="1:1" customFormat="1" x14ac:dyDescent="0.25">
      <c r="A758" s="5"/>
    </row>
    <row r="759" spans="1:1" customFormat="1" x14ac:dyDescent="0.25">
      <c r="A759" s="5"/>
    </row>
    <row r="760" spans="1:1" customFormat="1" x14ac:dyDescent="0.25">
      <c r="A760" s="5"/>
    </row>
    <row r="761" spans="1:1" customFormat="1" x14ac:dyDescent="0.25">
      <c r="A761" s="5"/>
    </row>
    <row r="762" spans="1:1" customFormat="1" x14ac:dyDescent="0.25">
      <c r="A762" s="5"/>
    </row>
    <row r="763" spans="1:1" customFormat="1" x14ac:dyDescent="0.25">
      <c r="A763" s="5"/>
    </row>
    <row r="764" spans="1:1" customFormat="1" x14ac:dyDescent="0.25">
      <c r="A764" s="5"/>
    </row>
    <row r="765" spans="1:1" customFormat="1" x14ac:dyDescent="0.25">
      <c r="A765" s="5"/>
    </row>
    <row r="766" spans="1:1" customFormat="1" x14ac:dyDescent="0.25">
      <c r="A766" s="5"/>
    </row>
    <row r="767" spans="1:1" customFormat="1" x14ac:dyDescent="0.25">
      <c r="A767" s="5"/>
    </row>
    <row r="768" spans="1:1" customFormat="1" x14ac:dyDescent="0.25">
      <c r="A768" s="5"/>
    </row>
    <row r="769" spans="1:1" customFormat="1" x14ac:dyDescent="0.25">
      <c r="A769" s="5"/>
    </row>
    <row r="770" spans="1:1" customFormat="1" x14ac:dyDescent="0.25">
      <c r="A770" s="5"/>
    </row>
    <row r="771" spans="1:1" customFormat="1" x14ac:dyDescent="0.25">
      <c r="A771" s="5"/>
    </row>
    <row r="772" spans="1:1" customFormat="1" x14ac:dyDescent="0.25">
      <c r="A772" s="5"/>
    </row>
    <row r="773" spans="1:1" customFormat="1" x14ac:dyDescent="0.25">
      <c r="A773" s="5"/>
    </row>
    <row r="774" spans="1:1" customFormat="1" x14ac:dyDescent="0.25">
      <c r="A774" s="5"/>
    </row>
    <row r="775" spans="1:1" customFormat="1" x14ac:dyDescent="0.25">
      <c r="A775" s="5"/>
    </row>
    <row r="776" spans="1:1" customFormat="1" x14ac:dyDescent="0.25">
      <c r="A776" s="5"/>
    </row>
    <row r="777" spans="1:1" customFormat="1" x14ac:dyDescent="0.25">
      <c r="A777" s="5"/>
    </row>
    <row r="778" spans="1:1" customFormat="1" x14ac:dyDescent="0.25">
      <c r="A778" s="5"/>
    </row>
    <row r="779" spans="1:1" customFormat="1" x14ac:dyDescent="0.25">
      <c r="A779" s="5"/>
    </row>
    <row r="780" spans="1:1" customFormat="1" x14ac:dyDescent="0.25">
      <c r="A780" s="5"/>
    </row>
    <row r="781" spans="1:1" customFormat="1" x14ac:dyDescent="0.25">
      <c r="A781" s="5"/>
    </row>
    <row r="782" spans="1:1" customFormat="1" x14ac:dyDescent="0.25">
      <c r="A782" s="5"/>
    </row>
    <row r="783" spans="1:1" customFormat="1" x14ac:dyDescent="0.25">
      <c r="A783" s="5"/>
    </row>
    <row r="784" spans="1:1" customFormat="1" x14ac:dyDescent="0.25">
      <c r="A784" s="5"/>
    </row>
    <row r="785" spans="1:1" customFormat="1" x14ac:dyDescent="0.25">
      <c r="A785" s="5"/>
    </row>
    <row r="786" spans="1:1" customFormat="1" x14ac:dyDescent="0.25">
      <c r="A786" s="5"/>
    </row>
    <row r="787" spans="1:1" customFormat="1" x14ac:dyDescent="0.25">
      <c r="A787" s="5"/>
    </row>
    <row r="788" spans="1:1" customFormat="1" x14ac:dyDescent="0.25">
      <c r="A788" s="5"/>
    </row>
    <row r="789" spans="1:1" customFormat="1" x14ac:dyDescent="0.25">
      <c r="A789" s="5"/>
    </row>
    <row r="790" spans="1:1" customFormat="1" x14ac:dyDescent="0.25">
      <c r="A790" s="5"/>
    </row>
    <row r="791" spans="1:1" customFormat="1" x14ac:dyDescent="0.25">
      <c r="A791" s="5"/>
    </row>
    <row r="792" spans="1:1" customFormat="1" x14ac:dyDescent="0.25">
      <c r="A792" s="5"/>
    </row>
    <row r="793" spans="1:1" customFormat="1" x14ac:dyDescent="0.25">
      <c r="A793" s="5"/>
    </row>
    <row r="794" spans="1:1" customFormat="1" x14ac:dyDescent="0.25">
      <c r="A794" s="5"/>
    </row>
    <row r="795" spans="1:1" customFormat="1" x14ac:dyDescent="0.25">
      <c r="A795" s="5"/>
    </row>
    <row r="796" spans="1:1" customFormat="1" x14ac:dyDescent="0.25">
      <c r="A796" s="5"/>
    </row>
    <row r="797" spans="1:1" customFormat="1" x14ac:dyDescent="0.25">
      <c r="A797" s="5"/>
    </row>
    <row r="798" spans="1:1" customFormat="1" x14ac:dyDescent="0.25">
      <c r="A798" s="5"/>
    </row>
    <row r="799" spans="1:1" customFormat="1" x14ac:dyDescent="0.25">
      <c r="A799" s="5"/>
    </row>
    <row r="800" spans="1:1" customFormat="1" x14ac:dyDescent="0.25">
      <c r="A800" s="5"/>
    </row>
    <row r="801" spans="1:1" customFormat="1" x14ac:dyDescent="0.25">
      <c r="A801" s="5"/>
    </row>
    <row r="802" spans="1:1" customFormat="1" x14ac:dyDescent="0.25">
      <c r="A802" s="5"/>
    </row>
    <row r="803" spans="1:1" customFormat="1" x14ac:dyDescent="0.25">
      <c r="A803" s="5"/>
    </row>
    <row r="804" spans="1:1" customFormat="1" x14ac:dyDescent="0.25">
      <c r="A804" s="5"/>
    </row>
    <row r="805" spans="1:1" customFormat="1" x14ac:dyDescent="0.25">
      <c r="A805" s="5"/>
    </row>
    <row r="806" spans="1:1" customFormat="1" x14ac:dyDescent="0.25">
      <c r="A806" s="5"/>
    </row>
    <row r="807" spans="1:1" customFormat="1" x14ac:dyDescent="0.25">
      <c r="A807" s="5"/>
    </row>
    <row r="808" spans="1:1" customFormat="1" x14ac:dyDescent="0.25">
      <c r="A808" s="5"/>
    </row>
    <row r="809" spans="1:1" customFormat="1" x14ac:dyDescent="0.25">
      <c r="A809" s="5"/>
    </row>
    <row r="810" spans="1:1" customFormat="1" x14ac:dyDescent="0.25">
      <c r="A810" s="5"/>
    </row>
    <row r="811" spans="1:1" customFormat="1" x14ac:dyDescent="0.25">
      <c r="A811" s="5"/>
    </row>
    <row r="812" spans="1:1" customFormat="1" x14ac:dyDescent="0.25">
      <c r="A812" s="5"/>
    </row>
    <row r="813" spans="1:1" customFormat="1" x14ac:dyDescent="0.25">
      <c r="A813" s="5"/>
    </row>
    <row r="814" spans="1:1" customFormat="1" x14ac:dyDescent="0.25">
      <c r="A814" s="5"/>
    </row>
    <row r="815" spans="1:1" customFormat="1" x14ac:dyDescent="0.25">
      <c r="A815" s="5"/>
    </row>
    <row r="816" spans="1:1" customFormat="1" x14ac:dyDescent="0.25">
      <c r="A816" s="5"/>
    </row>
    <row r="817" spans="1:1" customFormat="1" x14ac:dyDescent="0.25">
      <c r="A817" s="5"/>
    </row>
    <row r="818" spans="1:1" customFormat="1" x14ac:dyDescent="0.25">
      <c r="A818" s="5"/>
    </row>
    <row r="819" spans="1:1" customFormat="1" x14ac:dyDescent="0.25">
      <c r="A819" s="5"/>
    </row>
    <row r="820" spans="1:1" customFormat="1" x14ac:dyDescent="0.25">
      <c r="A820" s="5"/>
    </row>
    <row r="821" spans="1:1" customFormat="1" x14ac:dyDescent="0.25">
      <c r="A821" s="5"/>
    </row>
    <row r="822" spans="1:1" customFormat="1" x14ac:dyDescent="0.25">
      <c r="A822" s="5"/>
    </row>
    <row r="823" spans="1:1" customFormat="1" x14ac:dyDescent="0.25">
      <c r="A823" s="5"/>
    </row>
    <row r="824" spans="1:1" customFormat="1" x14ac:dyDescent="0.25">
      <c r="A824" s="5"/>
    </row>
    <row r="825" spans="1:1" customFormat="1" x14ac:dyDescent="0.25">
      <c r="A825" s="5"/>
    </row>
    <row r="826" spans="1:1" customFormat="1" x14ac:dyDescent="0.25">
      <c r="A826" s="5"/>
    </row>
    <row r="827" spans="1:1" customFormat="1" x14ac:dyDescent="0.25">
      <c r="A827" s="5"/>
    </row>
    <row r="828" spans="1:1" customFormat="1" x14ac:dyDescent="0.25">
      <c r="A828" s="5"/>
    </row>
    <row r="829" spans="1:1" customFormat="1" x14ac:dyDescent="0.25">
      <c r="A829" s="5"/>
    </row>
    <row r="830" spans="1:1" customFormat="1" x14ac:dyDescent="0.25">
      <c r="A830" s="5"/>
    </row>
    <row r="831" spans="1:1" customFormat="1" x14ac:dyDescent="0.25">
      <c r="A831" s="5"/>
    </row>
    <row r="832" spans="1:1" customFormat="1" x14ac:dyDescent="0.25">
      <c r="A832" s="5"/>
    </row>
    <row r="833" spans="1:1" customFormat="1" x14ac:dyDescent="0.25">
      <c r="A833" s="5"/>
    </row>
    <row r="834" spans="1:1" customFormat="1" x14ac:dyDescent="0.25">
      <c r="A834" s="5"/>
    </row>
    <row r="835" spans="1:1" customFormat="1" x14ac:dyDescent="0.25">
      <c r="A835" s="5"/>
    </row>
    <row r="836" spans="1:1" customFormat="1" x14ac:dyDescent="0.25">
      <c r="A836" s="5"/>
    </row>
    <row r="837" spans="1:1" customFormat="1" x14ac:dyDescent="0.25">
      <c r="A837" s="5"/>
    </row>
    <row r="838" spans="1:1" customFormat="1" x14ac:dyDescent="0.25">
      <c r="A838" s="5"/>
    </row>
    <row r="839" spans="1:1" customFormat="1" x14ac:dyDescent="0.25">
      <c r="A839" s="5"/>
    </row>
    <row r="840" spans="1:1" customFormat="1" x14ac:dyDescent="0.25">
      <c r="A840" s="5"/>
    </row>
    <row r="841" spans="1:1" customFormat="1" x14ac:dyDescent="0.25">
      <c r="A841" s="5"/>
    </row>
    <row r="842" spans="1:1" customFormat="1" x14ac:dyDescent="0.25">
      <c r="A842" s="5"/>
    </row>
    <row r="843" spans="1:1" customFormat="1" x14ac:dyDescent="0.25">
      <c r="A843" s="5"/>
    </row>
    <row r="844" spans="1:1" customFormat="1" x14ac:dyDescent="0.25">
      <c r="A844" s="5"/>
    </row>
    <row r="845" spans="1:1" customFormat="1" x14ac:dyDescent="0.25">
      <c r="A845" s="5"/>
    </row>
    <row r="846" spans="1:1" customFormat="1" x14ac:dyDescent="0.25">
      <c r="A846" s="5"/>
    </row>
    <row r="847" spans="1:1" customFormat="1" x14ac:dyDescent="0.25">
      <c r="A847" s="5"/>
    </row>
    <row r="848" spans="1:1" customFormat="1" x14ac:dyDescent="0.25">
      <c r="A848" s="5"/>
    </row>
    <row r="849" spans="1:1" customFormat="1" x14ac:dyDescent="0.25">
      <c r="A849" s="5"/>
    </row>
    <row r="850" spans="1:1" customFormat="1" x14ac:dyDescent="0.25">
      <c r="A850" s="5"/>
    </row>
    <row r="851" spans="1:1" customFormat="1" x14ac:dyDescent="0.25">
      <c r="A851" s="5"/>
    </row>
    <row r="852" spans="1:1" customFormat="1" x14ac:dyDescent="0.25">
      <c r="A852" s="5"/>
    </row>
    <row r="853" spans="1:1" customFormat="1" x14ac:dyDescent="0.25">
      <c r="A853" s="5"/>
    </row>
    <row r="854" spans="1:1" customFormat="1" x14ac:dyDescent="0.25">
      <c r="A854" s="5"/>
    </row>
    <row r="855" spans="1:1" customFormat="1" x14ac:dyDescent="0.25">
      <c r="A855" s="5"/>
    </row>
    <row r="856" spans="1:1" customFormat="1" x14ac:dyDescent="0.25">
      <c r="A856" s="5"/>
    </row>
    <row r="857" spans="1:1" customFormat="1" x14ac:dyDescent="0.25">
      <c r="A857" s="5"/>
    </row>
    <row r="858" spans="1:1" customFormat="1" x14ac:dyDescent="0.25">
      <c r="A858" s="5"/>
    </row>
    <row r="859" spans="1:1" customFormat="1" x14ac:dyDescent="0.25">
      <c r="A859" s="5"/>
    </row>
    <row r="860" spans="1:1" customFormat="1" x14ac:dyDescent="0.25">
      <c r="A860" s="5"/>
    </row>
    <row r="861" spans="1:1" customFormat="1" x14ac:dyDescent="0.25">
      <c r="A861" s="5"/>
    </row>
    <row r="862" spans="1:1" customFormat="1" x14ac:dyDescent="0.25">
      <c r="A862" s="5"/>
    </row>
    <row r="863" spans="1:1" customFormat="1" x14ac:dyDescent="0.25">
      <c r="A863" s="5"/>
    </row>
    <row r="864" spans="1:1" customFormat="1" x14ac:dyDescent="0.25">
      <c r="A864" s="5"/>
    </row>
    <row r="865" spans="1:1" customFormat="1" x14ac:dyDescent="0.25">
      <c r="A865" s="5"/>
    </row>
    <row r="866" spans="1:1" customFormat="1" x14ac:dyDescent="0.25">
      <c r="A866" s="5"/>
    </row>
    <row r="867" spans="1:1" customFormat="1" x14ac:dyDescent="0.25">
      <c r="A867" s="5"/>
    </row>
    <row r="868" spans="1:1" customFormat="1" x14ac:dyDescent="0.25">
      <c r="A868" s="5"/>
    </row>
    <row r="869" spans="1:1" customFormat="1" x14ac:dyDescent="0.25">
      <c r="A869" s="5"/>
    </row>
    <row r="870" spans="1:1" customFormat="1" x14ac:dyDescent="0.25">
      <c r="A870" s="5"/>
    </row>
    <row r="871" spans="1:1" customFormat="1" x14ac:dyDescent="0.25">
      <c r="A871" s="5"/>
    </row>
    <row r="872" spans="1:1" customFormat="1" x14ac:dyDescent="0.25">
      <c r="A872" s="5"/>
    </row>
    <row r="873" spans="1:1" customFormat="1" x14ac:dyDescent="0.25">
      <c r="A873" s="5"/>
    </row>
    <row r="874" spans="1:1" customFormat="1" x14ac:dyDescent="0.25">
      <c r="A874" s="5"/>
    </row>
    <row r="875" spans="1:1" customFormat="1" x14ac:dyDescent="0.25">
      <c r="A875" s="5"/>
    </row>
    <row r="876" spans="1:1" customFormat="1" x14ac:dyDescent="0.25">
      <c r="A876" s="5"/>
    </row>
    <row r="877" spans="1:1" customFormat="1" x14ac:dyDescent="0.25">
      <c r="A877" s="5"/>
    </row>
    <row r="878" spans="1:1" customFormat="1" x14ac:dyDescent="0.25">
      <c r="A878" s="5"/>
    </row>
    <row r="879" spans="1:1" customFormat="1" x14ac:dyDescent="0.25">
      <c r="A879" s="5"/>
    </row>
    <row r="880" spans="1:1" customFormat="1" x14ac:dyDescent="0.25">
      <c r="A880" s="5"/>
    </row>
    <row r="881" spans="1:1" customFormat="1" x14ac:dyDescent="0.25">
      <c r="A881" s="5"/>
    </row>
    <row r="882" spans="1:1" customFormat="1" x14ac:dyDescent="0.25">
      <c r="A882" s="5"/>
    </row>
    <row r="883" spans="1:1" customFormat="1" x14ac:dyDescent="0.25">
      <c r="A883" s="5"/>
    </row>
    <row r="884" spans="1:1" customFormat="1" x14ac:dyDescent="0.25">
      <c r="A884" s="5"/>
    </row>
    <row r="885" spans="1:1" customFormat="1" x14ac:dyDescent="0.25">
      <c r="A885" s="5"/>
    </row>
    <row r="886" spans="1:1" customFormat="1" x14ac:dyDescent="0.25">
      <c r="A886" s="5"/>
    </row>
    <row r="887" spans="1:1" customFormat="1" x14ac:dyDescent="0.25">
      <c r="A887" s="5"/>
    </row>
    <row r="888" spans="1:1" customFormat="1" x14ac:dyDescent="0.25">
      <c r="A888" s="5"/>
    </row>
    <row r="889" spans="1:1" customFormat="1" x14ac:dyDescent="0.25">
      <c r="A889" s="5"/>
    </row>
    <row r="890" spans="1:1" customFormat="1" x14ac:dyDescent="0.25">
      <c r="A890" s="5"/>
    </row>
    <row r="891" spans="1:1" customFormat="1" x14ac:dyDescent="0.25">
      <c r="A891" s="5"/>
    </row>
    <row r="892" spans="1:1" customFormat="1" x14ac:dyDescent="0.25">
      <c r="A892" s="5"/>
    </row>
    <row r="893" spans="1:1" customFormat="1" x14ac:dyDescent="0.25">
      <c r="A893" s="5"/>
    </row>
    <row r="894" spans="1:1" customFormat="1" x14ac:dyDescent="0.25">
      <c r="A894" s="5"/>
    </row>
    <row r="895" spans="1:1" customFormat="1" x14ac:dyDescent="0.25">
      <c r="A895" s="5"/>
    </row>
    <row r="896" spans="1:1" customFormat="1" x14ac:dyDescent="0.25">
      <c r="A896" s="5"/>
    </row>
    <row r="897" spans="1:1" customFormat="1" x14ac:dyDescent="0.25">
      <c r="A897" s="5"/>
    </row>
    <row r="898" spans="1:1" customFormat="1" x14ac:dyDescent="0.25">
      <c r="A898" s="5"/>
    </row>
    <row r="899" spans="1:1" customFormat="1" x14ac:dyDescent="0.25">
      <c r="A899" s="5"/>
    </row>
    <row r="900" spans="1:1" customFormat="1" x14ac:dyDescent="0.25">
      <c r="A900" s="5"/>
    </row>
    <row r="901" spans="1:1" customFormat="1" x14ac:dyDescent="0.25">
      <c r="A901" s="5"/>
    </row>
    <row r="902" spans="1:1" customFormat="1" x14ac:dyDescent="0.25">
      <c r="A902" s="5"/>
    </row>
    <row r="903" spans="1:1" customFormat="1" x14ac:dyDescent="0.25">
      <c r="A903" s="5"/>
    </row>
    <row r="904" spans="1:1" customFormat="1" x14ac:dyDescent="0.25">
      <c r="A904" s="5"/>
    </row>
    <row r="905" spans="1:1" customFormat="1" x14ac:dyDescent="0.25">
      <c r="A905" s="5"/>
    </row>
    <row r="906" spans="1:1" customFormat="1" x14ac:dyDescent="0.25">
      <c r="A906" s="5"/>
    </row>
    <row r="907" spans="1:1" customFormat="1" x14ac:dyDescent="0.25">
      <c r="A907" s="5"/>
    </row>
    <row r="908" spans="1:1" customFormat="1" x14ac:dyDescent="0.25">
      <c r="A908" s="5"/>
    </row>
    <row r="909" spans="1:1" customFormat="1" x14ac:dyDescent="0.25">
      <c r="A909" s="5"/>
    </row>
    <row r="910" spans="1:1" customFormat="1" x14ac:dyDescent="0.25">
      <c r="A910" s="5"/>
    </row>
    <row r="911" spans="1:1" customFormat="1" x14ac:dyDescent="0.25">
      <c r="A911" s="5"/>
    </row>
    <row r="912" spans="1:1" customFormat="1" x14ac:dyDescent="0.25">
      <c r="A912" s="5"/>
    </row>
    <row r="913" spans="1:1" customFormat="1" x14ac:dyDescent="0.25">
      <c r="A913" s="5"/>
    </row>
    <row r="914" spans="1:1" customFormat="1" x14ac:dyDescent="0.25">
      <c r="A914" s="5"/>
    </row>
    <row r="915" spans="1:1" customFormat="1" x14ac:dyDescent="0.25">
      <c r="A915" s="5"/>
    </row>
    <row r="916" spans="1:1" customFormat="1" x14ac:dyDescent="0.25">
      <c r="A916" s="5"/>
    </row>
    <row r="917" spans="1:1" customFormat="1" x14ac:dyDescent="0.25">
      <c r="A917" s="5"/>
    </row>
    <row r="918" spans="1:1" customFormat="1" x14ac:dyDescent="0.25">
      <c r="A918" s="5"/>
    </row>
    <row r="919" spans="1:1" customFormat="1" x14ac:dyDescent="0.25">
      <c r="A919" s="5"/>
    </row>
    <row r="920" spans="1:1" customFormat="1" x14ac:dyDescent="0.25">
      <c r="A920" s="5"/>
    </row>
    <row r="921" spans="1:1" customFormat="1" x14ac:dyDescent="0.25">
      <c r="A921" s="5"/>
    </row>
    <row r="922" spans="1:1" customFormat="1" x14ac:dyDescent="0.25">
      <c r="A922" s="5"/>
    </row>
    <row r="923" spans="1:1" customFormat="1" x14ac:dyDescent="0.25">
      <c r="A923" s="5"/>
    </row>
    <row r="924" spans="1:1" customFormat="1" x14ac:dyDescent="0.25">
      <c r="A924" s="5"/>
    </row>
    <row r="925" spans="1:1" customFormat="1" x14ac:dyDescent="0.25">
      <c r="A925" s="5"/>
    </row>
    <row r="926" spans="1:1" customFormat="1" x14ac:dyDescent="0.25">
      <c r="A926" s="5"/>
    </row>
    <row r="927" spans="1:1" customFormat="1" x14ac:dyDescent="0.25">
      <c r="A927" s="5"/>
    </row>
    <row r="928" spans="1:1" customFormat="1" x14ac:dyDescent="0.25">
      <c r="A928" s="5"/>
    </row>
    <row r="929" spans="1:1" customFormat="1" x14ac:dyDescent="0.25">
      <c r="A929" s="5"/>
    </row>
    <row r="930" spans="1:1" customFormat="1" x14ac:dyDescent="0.25">
      <c r="A930" s="5"/>
    </row>
    <row r="931" spans="1:1" customFormat="1" x14ac:dyDescent="0.25">
      <c r="A931" s="5"/>
    </row>
    <row r="932" spans="1:1" customFormat="1" x14ac:dyDescent="0.25">
      <c r="A932" s="5"/>
    </row>
    <row r="933" spans="1:1" customFormat="1" x14ac:dyDescent="0.25">
      <c r="A933" s="5"/>
    </row>
    <row r="934" spans="1:1" customFormat="1" x14ac:dyDescent="0.25">
      <c r="A934" s="5"/>
    </row>
    <row r="935" spans="1:1" customFormat="1" x14ac:dyDescent="0.25">
      <c r="A935" s="5"/>
    </row>
    <row r="936" spans="1:1" customFormat="1" x14ac:dyDescent="0.25">
      <c r="A936" s="5"/>
    </row>
    <row r="937" spans="1:1" customFormat="1" x14ac:dyDescent="0.25">
      <c r="A937" s="5"/>
    </row>
    <row r="938" spans="1:1" customFormat="1" x14ac:dyDescent="0.25">
      <c r="A938" s="5"/>
    </row>
    <row r="939" spans="1:1" customFormat="1" x14ac:dyDescent="0.25">
      <c r="A939" s="5"/>
    </row>
    <row r="940" spans="1:1" customFormat="1" x14ac:dyDescent="0.25">
      <c r="A940" s="5"/>
    </row>
    <row r="941" spans="1:1" customFormat="1" x14ac:dyDescent="0.25">
      <c r="A941" s="5"/>
    </row>
    <row r="942" spans="1:1" customFormat="1" x14ac:dyDescent="0.25">
      <c r="A942" s="5"/>
    </row>
    <row r="943" spans="1:1" customFormat="1" x14ac:dyDescent="0.25">
      <c r="A943" s="5"/>
    </row>
    <row r="944" spans="1:1" customFormat="1" x14ac:dyDescent="0.25">
      <c r="A944" s="5"/>
    </row>
    <row r="945" spans="1:1" customFormat="1" x14ac:dyDescent="0.25">
      <c r="A945" s="5"/>
    </row>
    <row r="946" spans="1:1" customFormat="1" x14ac:dyDescent="0.25">
      <c r="A946" s="5"/>
    </row>
    <row r="947" spans="1:1" customFormat="1" x14ac:dyDescent="0.25">
      <c r="A947" s="5"/>
    </row>
    <row r="948" spans="1:1" customFormat="1" x14ac:dyDescent="0.25">
      <c r="A948" s="5"/>
    </row>
    <row r="949" spans="1:1" customFormat="1" x14ac:dyDescent="0.25">
      <c r="A949" s="5"/>
    </row>
    <row r="950" spans="1:1" customFormat="1" x14ac:dyDescent="0.25">
      <c r="A950" s="5"/>
    </row>
    <row r="951" spans="1:1" customFormat="1" x14ac:dyDescent="0.25">
      <c r="A951" s="5"/>
    </row>
    <row r="952" spans="1:1" customFormat="1" x14ac:dyDescent="0.25">
      <c r="A952" s="5"/>
    </row>
    <row r="953" spans="1:1" customFormat="1" x14ac:dyDescent="0.25">
      <c r="A953" s="5"/>
    </row>
    <row r="954" spans="1:1" customFormat="1" x14ac:dyDescent="0.25">
      <c r="A954" s="5"/>
    </row>
    <row r="955" spans="1:1" customFormat="1" x14ac:dyDescent="0.25">
      <c r="A955" s="5"/>
    </row>
    <row r="956" spans="1:1" customFormat="1" x14ac:dyDescent="0.25">
      <c r="A956" s="5"/>
    </row>
    <row r="957" spans="1:1" customFormat="1" x14ac:dyDescent="0.25">
      <c r="A957" s="5"/>
    </row>
    <row r="958" spans="1:1" customFormat="1" x14ac:dyDescent="0.25">
      <c r="A958" s="5"/>
    </row>
    <row r="959" spans="1:1" customFormat="1" x14ac:dyDescent="0.25">
      <c r="A959" s="5"/>
    </row>
    <row r="960" spans="1:1" customFormat="1" x14ac:dyDescent="0.25">
      <c r="A960" s="5"/>
    </row>
    <row r="961" spans="1:1" customFormat="1" x14ac:dyDescent="0.25">
      <c r="A961" s="5"/>
    </row>
    <row r="962" spans="1:1" customFormat="1" x14ac:dyDescent="0.25">
      <c r="A962" s="5"/>
    </row>
    <row r="963" spans="1:1" customFormat="1" x14ac:dyDescent="0.25">
      <c r="A963" s="5"/>
    </row>
    <row r="964" spans="1:1" customFormat="1" x14ac:dyDescent="0.25">
      <c r="A964" s="5"/>
    </row>
    <row r="965" spans="1:1" customFormat="1" x14ac:dyDescent="0.25">
      <c r="A965" s="5"/>
    </row>
    <row r="966" spans="1:1" customFormat="1" x14ac:dyDescent="0.25">
      <c r="A966" s="5"/>
    </row>
    <row r="967" spans="1:1" customFormat="1" x14ac:dyDescent="0.25">
      <c r="A967" s="5"/>
    </row>
    <row r="968" spans="1:1" customFormat="1" x14ac:dyDescent="0.25">
      <c r="A968" s="5"/>
    </row>
    <row r="969" spans="1:1" customFormat="1" x14ac:dyDescent="0.25">
      <c r="A969" s="5"/>
    </row>
    <row r="970" spans="1:1" customFormat="1" x14ac:dyDescent="0.25">
      <c r="A970" s="5"/>
    </row>
    <row r="971" spans="1:1" customFormat="1" x14ac:dyDescent="0.25">
      <c r="A971" s="5"/>
    </row>
    <row r="972" spans="1:1" customFormat="1" x14ac:dyDescent="0.25">
      <c r="A972" s="5"/>
    </row>
    <row r="973" spans="1:1" customFormat="1" x14ac:dyDescent="0.25">
      <c r="A973" s="5"/>
    </row>
    <row r="974" spans="1:1" customFormat="1" x14ac:dyDescent="0.25">
      <c r="A974" s="5"/>
    </row>
    <row r="975" spans="1:1" customFormat="1" x14ac:dyDescent="0.25">
      <c r="A975" s="5"/>
    </row>
    <row r="976" spans="1:1" customFormat="1" x14ac:dyDescent="0.25">
      <c r="A976" s="5"/>
    </row>
    <row r="977" spans="1:1" customFormat="1" x14ac:dyDescent="0.25">
      <c r="A977" s="5"/>
    </row>
    <row r="978" spans="1:1" customFormat="1" x14ac:dyDescent="0.25">
      <c r="A978" s="5"/>
    </row>
    <row r="979" spans="1:1" customFormat="1" x14ac:dyDescent="0.25">
      <c r="A979" s="5"/>
    </row>
    <row r="980" spans="1:1" customFormat="1" x14ac:dyDescent="0.25">
      <c r="A980" s="5"/>
    </row>
    <row r="981" spans="1:1" customFormat="1" x14ac:dyDescent="0.25">
      <c r="A981" s="5"/>
    </row>
    <row r="982" spans="1:1" customFormat="1" x14ac:dyDescent="0.25">
      <c r="A982" s="5"/>
    </row>
    <row r="983" spans="1:1" customFormat="1" x14ac:dyDescent="0.25">
      <c r="A983" s="5"/>
    </row>
    <row r="984" spans="1:1" customFormat="1" x14ac:dyDescent="0.25">
      <c r="A984" s="5"/>
    </row>
    <row r="985" spans="1:1" customFormat="1" x14ac:dyDescent="0.25">
      <c r="A985" s="5"/>
    </row>
    <row r="986" spans="1:1" customFormat="1" x14ac:dyDescent="0.25">
      <c r="A986" s="5"/>
    </row>
    <row r="987" spans="1:1" customFormat="1" x14ac:dyDescent="0.25">
      <c r="A987" s="5"/>
    </row>
    <row r="988" spans="1:1" customFormat="1" x14ac:dyDescent="0.25">
      <c r="A988" s="5"/>
    </row>
    <row r="989" spans="1:1" customFormat="1" x14ac:dyDescent="0.25">
      <c r="A989" s="5"/>
    </row>
    <row r="990" spans="1:1" customFormat="1" x14ac:dyDescent="0.25">
      <c r="A990" s="5"/>
    </row>
    <row r="991" spans="1:1" customFormat="1" x14ac:dyDescent="0.25">
      <c r="A991" s="5"/>
    </row>
    <row r="992" spans="1:1" customFormat="1" x14ac:dyDescent="0.25">
      <c r="A992" s="5"/>
    </row>
    <row r="993" spans="1:1" customFormat="1" x14ac:dyDescent="0.25">
      <c r="A993" s="5"/>
    </row>
    <row r="994" spans="1:1" customFormat="1" x14ac:dyDescent="0.25">
      <c r="A994" s="5"/>
    </row>
    <row r="995" spans="1:1" customFormat="1" x14ac:dyDescent="0.25">
      <c r="A995" s="5"/>
    </row>
    <row r="996" spans="1:1" customFormat="1" x14ac:dyDescent="0.25">
      <c r="A996" s="5"/>
    </row>
    <row r="997" spans="1:1" customFormat="1" x14ac:dyDescent="0.25">
      <c r="A997" s="5"/>
    </row>
    <row r="998" spans="1:1" customFormat="1" x14ac:dyDescent="0.25">
      <c r="A998" s="5"/>
    </row>
    <row r="999" spans="1:1" customFormat="1" x14ac:dyDescent="0.25">
      <c r="A999" s="5"/>
    </row>
    <row r="1000" spans="1:1" customFormat="1" x14ac:dyDescent="0.25">
      <c r="A1000" s="5"/>
    </row>
    <row r="1001" spans="1:1" customFormat="1" x14ac:dyDescent="0.25">
      <c r="A1001" s="5"/>
    </row>
    <row r="1002" spans="1:1" customFormat="1" x14ac:dyDescent="0.25">
      <c r="A1002" s="5"/>
    </row>
    <row r="1003" spans="1:1" customFormat="1" x14ac:dyDescent="0.25">
      <c r="A1003" s="5"/>
    </row>
    <row r="1004" spans="1:1" customFormat="1" x14ac:dyDescent="0.25">
      <c r="A1004" s="5"/>
    </row>
    <row r="1005" spans="1:1" customFormat="1" x14ac:dyDescent="0.25">
      <c r="A1005" s="5"/>
    </row>
    <row r="1006" spans="1:1" customFormat="1" x14ac:dyDescent="0.25">
      <c r="A1006" s="5"/>
    </row>
    <row r="1007" spans="1:1" customFormat="1" x14ac:dyDescent="0.25">
      <c r="A1007" s="5"/>
    </row>
    <row r="1008" spans="1:1" customFormat="1" x14ac:dyDescent="0.25">
      <c r="A1008" s="5"/>
    </row>
    <row r="1009" spans="1:1" customFormat="1" x14ac:dyDescent="0.25">
      <c r="A1009" s="5"/>
    </row>
    <row r="1010" spans="1:1" customFormat="1" x14ac:dyDescent="0.25">
      <c r="A1010" s="5"/>
    </row>
    <row r="1011" spans="1:1" customFormat="1" x14ac:dyDescent="0.25">
      <c r="A1011" s="5"/>
    </row>
    <row r="1012" spans="1:1" customFormat="1" x14ac:dyDescent="0.25">
      <c r="A1012" s="5"/>
    </row>
    <row r="1013" spans="1:1" customFormat="1" x14ac:dyDescent="0.25">
      <c r="A1013" s="5"/>
    </row>
    <row r="1014" spans="1:1" customFormat="1" x14ac:dyDescent="0.25">
      <c r="A1014" s="5"/>
    </row>
    <row r="1015" spans="1:1" customFormat="1" x14ac:dyDescent="0.25">
      <c r="A1015" s="5"/>
    </row>
    <row r="1016" spans="1:1" customFormat="1" x14ac:dyDescent="0.25">
      <c r="A1016" s="5"/>
    </row>
    <row r="1017" spans="1:1" customFormat="1" x14ac:dyDescent="0.25">
      <c r="A1017" s="5"/>
    </row>
    <row r="1018" spans="1:1" customFormat="1" x14ac:dyDescent="0.25">
      <c r="A1018" s="5"/>
    </row>
    <row r="1019" spans="1:1" customFormat="1" x14ac:dyDescent="0.25">
      <c r="A1019" s="5"/>
    </row>
    <row r="1020" spans="1:1" customFormat="1" x14ac:dyDescent="0.25">
      <c r="A1020" s="5"/>
    </row>
    <row r="1021" spans="1:1" customFormat="1" x14ac:dyDescent="0.25">
      <c r="A1021" s="5"/>
    </row>
    <row r="1022" spans="1:1" customFormat="1" x14ac:dyDescent="0.25">
      <c r="A1022" s="5"/>
    </row>
    <row r="1023" spans="1:1" customFormat="1" x14ac:dyDescent="0.25">
      <c r="A1023" s="5"/>
    </row>
    <row r="1024" spans="1:1" customFormat="1" x14ac:dyDescent="0.25">
      <c r="A1024" s="5"/>
    </row>
    <row r="1025" spans="1:1" customFormat="1" x14ac:dyDescent="0.25">
      <c r="A1025" s="5"/>
    </row>
    <row r="1026" spans="1:1" customFormat="1" x14ac:dyDescent="0.25">
      <c r="A1026" s="5"/>
    </row>
    <row r="1027" spans="1:1" customFormat="1" x14ac:dyDescent="0.25">
      <c r="A1027" s="5"/>
    </row>
    <row r="1028" spans="1:1" customFormat="1" x14ac:dyDescent="0.25">
      <c r="A1028" s="5"/>
    </row>
    <row r="1029" spans="1:1" customFormat="1" x14ac:dyDescent="0.25">
      <c r="A1029" s="5"/>
    </row>
    <row r="1030" spans="1:1" customFormat="1" x14ac:dyDescent="0.25">
      <c r="A1030" s="5"/>
    </row>
    <row r="1031" spans="1:1" customFormat="1" x14ac:dyDescent="0.25">
      <c r="A1031" s="5"/>
    </row>
    <row r="1032" spans="1:1" customFormat="1" x14ac:dyDescent="0.25">
      <c r="A1032" s="5"/>
    </row>
    <row r="1033" spans="1:1" customFormat="1" x14ac:dyDescent="0.25">
      <c r="A1033" s="5"/>
    </row>
    <row r="1034" spans="1:1" customFormat="1" x14ac:dyDescent="0.25">
      <c r="A1034" s="5"/>
    </row>
    <row r="1035" spans="1:1" customFormat="1" x14ac:dyDescent="0.25">
      <c r="A1035" s="5"/>
    </row>
    <row r="1036" spans="1:1" customFormat="1" x14ac:dyDescent="0.25">
      <c r="A1036" s="5"/>
    </row>
    <row r="1037" spans="1:1" customFormat="1" x14ac:dyDescent="0.25">
      <c r="A1037" s="5"/>
    </row>
    <row r="1038" spans="1:1" customFormat="1" x14ac:dyDescent="0.25">
      <c r="A1038" s="5"/>
    </row>
    <row r="1039" spans="1:1" customFormat="1" x14ac:dyDescent="0.25">
      <c r="A1039" s="5"/>
    </row>
    <row r="1040" spans="1:1" customFormat="1" x14ac:dyDescent="0.25">
      <c r="A1040" s="5"/>
    </row>
    <row r="1041" spans="1:1" customFormat="1" x14ac:dyDescent="0.25">
      <c r="A1041" s="5"/>
    </row>
    <row r="1042" spans="1:1" customFormat="1" x14ac:dyDescent="0.25">
      <c r="A1042" s="5"/>
    </row>
    <row r="1043" spans="1:1" customFormat="1" x14ac:dyDescent="0.25">
      <c r="A1043" s="5"/>
    </row>
    <row r="1044" spans="1:1" customFormat="1" x14ac:dyDescent="0.25">
      <c r="A1044" s="5"/>
    </row>
    <row r="1045" spans="1:1" customFormat="1" x14ac:dyDescent="0.25">
      <c r="A1045" s="5"/>
    </row>
    <row r="1046" spans="1:1" customFormat="1" x14ac:dyDescent="0.25">
      <c r="A1046" s="5"/>
    </row>
    <row r="1047" spans="1:1" customFormat="1" x14ac:dyDescent="0.25">
      <c r="A1047" s="5"/>
    </row>
    <row r="1048" spans="1:1" customFormat="1" x14ac:dyDescent="0.25">
      <c r="A1048" s="5"/>
    </row>
    <row r="1049" spans="1:1" customFormat="1" x14ac:dyDescent="0.25">
      <c r="A1049" s="5"/>
    </row>
    <row r="1050" spans="1:1" customFormat="1" x14ac:dyDescent="0.25">
      <c r="A1050" s="5"/>
    </row>
    <row r="1051" spans="1:1" customFormat="1" x14ac:dyDescent="0.25">
      <c r="A1051" s="5"/>
    </row>
    <row r="1052" spans="1:1" customFormat="1" x14ac:dyDescent="0.25">
      <c r="A1052" s="5"/>
    </row>
    <row r="1053" spans="1:1" customFormat="1" x14ac:dyDescent="0.25">
      <c r="A1053" s="5"/>
    </row>
    <row r="1054" spans="1:1" customFormat="1" x14ac:dyDescent="0.25">
      <c r="A1054" s="5"/>
    </row>
    <row r="1055" spans="1:1" customFormat="1" x14ac:dyDescent="0.25">
      <c r="A1055" s="5"/>
    </row>
    <row r="1056" spans="1:1" customFormat="1" x14ac:dyDescent="0.25">
      <c r="A1056" s="5"/>
    </row>
    <row r="1057" spans="1:1" customFormat="1" x14ac:dyDescent="0.25">
      <c r="A1057" s="5"/>
    </row>
    <row r="1058" spans="1:1" customFormat="1" x14ac:dyDescent="0.25">
      <c r="A1058" s="5"/>
    </row>
    <row r="1059" spans="1:1" customFormat="1" x14ac:dyDescent="0.25">
      <c r="A1059" s="5"/>
    </row>
    <row r="1060" spans="1:1" customFormat="1" x14ac:dyDescent="0.25">
      <c r="A1060" s="5"/>
    </row>
    <row r="1061" spans="1:1" customFormat="1" x14ac:dyDescent="0.25">
      <c r="A1061" s="5"/>
    </row>
    <row r="1062" spans="1:1" customFormat="1" x14ac:dyDescent="0.25">
      <c r="A1062" s="5"/>
    </row>
    <row r="1063" spans="1:1" customFormat="1" x14ac:dyDescent="0.25">
      <c r="A1063" s="5"/>
    </row>
    <row r="1064" spans="1:1" customFormat="1" x14ac:dyDescent="0.25">
      <c r="A1064" s="5"/>
    </row>
    <row r="1065" spans="1:1" customFormat="1" x14ac:dyDescent="0.25">
      <c r="A1065" s="5"/>
    </row>
    <row r="1066" spans="1:1" customFormat="1" x14ac:dyDescent="0.25">
      <c r="A1066" s="5"/>
    </row>
    <row r="1067" spans="1:1" customFormat="1" x14ac:dyDescent="0.25">
      <c r="A1067" s="5"/>
    </row>
    <row r="1068" spans="1:1" customFormat="1" x14ac:dyDescent="0.25">
      <c r="A1068" s="5"/>
    </row>
    <row r="1069" spans="1:1" customFormat="1" x14ac:dyDescent="0.25">
      <c r="A1069" s="5"/>
    </row>
    <row r="1070" spans="1:1" customFormat="1" x14ac:dyDescent="0.25">
      <c r="A1070" s="5"/>
    </row>
    <row r="1071" spans="1:1" customFormat="1" x14ac:dyDescent="0.25">
      <c r="A1071" s="5"/>
    </row>
    <row r="1072" spans="1:1" customFormat="1" x14ac:dyDescent="0.25">
      <c r="A1072" s="5"/>
    </row>
    <row r="1073" spans="1:1" customFormat="1" x14ac:dyDescent="0.25">
      <c r="A1073" s="5"/>
    </row>
    <row r="1074" spans="1:1" customFormat="1" x14ac:dyDescent="0.25">
      <c r="A1074" s="5"/>
    </row>
    <row r="1075" spans="1:1" customFormat="1" x14ac:dyDescent="0.25">
      <c r="A1075" s="5"/>
    </row>
    <row r="1076" spans="1:1" customFormat="1" x14ac:dyDescent="0.25">
      <c r="A1076" s="5"/>
    </row>
    <row r="1077" spans="1:1" customFormat="1" x14ac:dyDescent="0.25">
      <c r="A1077" s="5"/>
    </row>
    <row r="1078" spans="1:1" customFormat="1" x14ac:dyDescent="0.25">
      <c r="A1078" s="5"/>
    </row>
    <row r="1079" spans="1:1" customFormat="1" x14ac:dyDescent="0.25">
      <c r="A1079" s="5"/>
    </row>
    <row r="1080" spans="1:1" customFormat="1" x14ac:dyDescent="0.25">
      <c r="A1080" s="5"/>
    </row>
    <row r="1081" spans="1:1" customFormat="1" x14ac:dyDescent="0.25">
      <c r="A1081" s="5"/>
    </row>
    <row r="1082" spans="1:1" customFormat="1" x14ac:dyDescent="0.25">
      <c r="A1082" s="5"/>
    </row>
    <row r="1083" spans="1:1" customFormat="1" x14ac:dyDescent="0.25">
      <c r="A1083" s="5"/>
    </row>
    <row r="1084" spans="1:1" customFormat="1" x14ac:dyDescent="0.25">
      <c r="A1084" s="5"/>
    </row>
    <row r="1085" spans="1:1" customFormat="1" x14ac:dyDescent="0.25">
      <c r="A1085" s="5"/>
    </row>
    <row r="1086" spans="1:1" customFormat="1" x14ac:dyDescent="0.25">
      <c r="A1086" s="5"/>
    </row>
    <row r="1087" spans="1:1" customFormat="1" x14ac:dyDescent="0.25">
      <c r="A1087" s="5"/>
    </row>
    <row r="1088" spans="1:1" customFormat="1" x14ac:dyDescent="0.25">
      <c r="A1088" s="5"/>
    </row>
    <row r="1089" spans="1:1" customFormat="1" x14ac:dyDescent="0.25">
      <c r="A1089" s="5"/>
    </row>
    <row r="1090" spans="1:1" customFormat="1" x14ac:dyDescent="0.25">
      <c r="A1090" s="5"/>
    </row>
    <row r="1091" spans="1:1" customFormat="1" x14ac:dyDescent="0.25">
      <c r="A1091" s="5"/>
    </row>
    <row r="1092" spans="1:1" customFormat="1" x14ac:dyDescent="0.25">
      <c r="A1092" s="5"/>
    </row>
    <row r="1093" spans="1:1" customFormat="1" x14ac:dyDescent="0.25">
      <c r="A1093" s="5"/>
    </row>
    <row r="1094" spans="1:1" customFormat="1" x14ac:dyDescent="0.25">
      <c r="A1094" s="5"/>
    </row>
    <row r="1095" spans="1:1" customFormat="1" x14ac:dyDescent="0.25">
      <c r="A1095" s="5"/>
    </row>
    <row r="1096" spans="1:1" customFormat="1" x14ac:dyDescent="0.25">
      <c r="A1096" s="5"/>
    </row>
    <row r="1097" spans="1:1" customFormat="1" x14ac:dyDescent="0.25">
      <c r="A1097" s="5"/>
    </row>
    <row r="1098" spans="1:1" customFormat="1" x14ac:dyDescent="0.25">
      <c r="A1098" s="5"/>
    </row>
    <row r="1099" spans="1:1" customFormat="1" x14ac:dyDescent="0.25">
      <c r="A1099" s="5"/>
    </row>
    <row r="1100" spans="1:1" customFormat="1" x14ac:dyDescent="0.25">
      <c r="A1100" s="5"/>
    </row>
    <row r="1101" spans="1:1" customFormat="1" x14ac:dyDescent="0.25">
      <c r="A1101" s="5"/>
    </row>
    <row r="1102" spans="1:1" customFormat="1" x14ac:dyDescent="0.25">
      <c r="A1102" s="5"/>
    </row>
    <row r="1103" spans="1:1" customFormat="1" x14ac:dyDescent="0.25">
      <c r="A1103" s="5"/>
    </row>
    <row r="1104" spans="1:1" customFormat="1" x14ac:dyDescent="0.25">
      <c r="A1104" s="5"/>
    </row>
    <row r="1105" spans="1:1" customFormat="1" x14ac:dyDescent="0.25">
      <c r="A1105" s="5"/>
    </row>
    <row r="1106" spans="1:1" customFormat="1" x14ac:dyDescent="0.25">
      <c r="A1106" s="5"/>
    </row>
    <row r="1107" spans="1:1" customFormat="1" x14ac:dyDescent="0.25">
      <c r="A1107" s="5"/>
    </row>
    <row r="1108" spans="1:1" customFormat="1" x14ac:dyDescent="0.25">
      <c r="A1108" s="5"/>
    </row>
    <row r="1109" spans="1:1" customFormat="1" x14ac:dyDescent="0.25">
      <c r="A1109" s="5"/>
    </row>
    <row r="1110" spans="1:1" customFormat="1" x14ac:dyDescent="0.25">
      <c r="A1110" s="5"/>
    </row>
    <row r="1111" spans="1:1" customFormat="1" x14ac:dyDescent="0.25">
      <c r="A1111" s="5"/>
    </row>
    <row r="1112" spans="1:1" customFormat="1" x14ac:dyDescent="0.25">
      <c r="A1112" s="5"/>
    </row>
    <row r="1113" spans="1:1" customFormat="1" x14ac:dyDescent="0.25">
      <c r="A1113" s="5"/>
    </row>
    <row r="1114" spans="1:1" customFormat="1" x14ac:dyDescent="0.25">
      <c r="A1114" s="5"/>
    </row>
    <row r="1115" spans="1:1" customFormat="1" x14ac:dyDescent="0.25">
      <c r="A1115" s="5"/>
    </row>
    <row r="1116" spans="1:1" customFormat="1" x14ac:dyDescent="0.25">
      <c r="A1116" s="5"/>
    </row>
    <row r="1117" spans="1:1" customFormat="1" x14ac:dyDescent="0.25">
      <c r="A1117" s="5"/>
    </row>
    <row r="1118" spans="1:1" customFormat="1" x14ac:dyDescent="0.25">
      <c r="A1118" s="5"/>
    </row>
    <row r="1119" spans="1:1" customFormat="1" x14ac:dyDescent="0.25">
      <c r="A1119" s="5"/>
    </row>
    <row r="1120" spans="1:1" customFormat="1" x14ac:dyDescent="0.25">
      <c r="A1120" s="5"/>
    </row>
    <row r="1121" spans="1:1" customFormat="1" x14ac:dyDescent="0.25">
      <c r="A1121" s="5"/>
    </row>
    <row r="1122" spans="1:1" customFormat="1" x14ac:dyDescent="0.25">
      <c r="A1122" s="5"/>
    </row>
    <row r="1123" spans="1:1" customFormat="1" x14ac:dyDescent="0.25">
      <c r="A1123" s="5"/>
    </row>
    <row r="1124" spans="1:1" customFormat="1" x14ac:dyDescent="0.25">
      <c r="A1124" s="5"/>
    </row>
    <row r="1125" spans="1:1" customFormat="1" x14ac:dyDescent="0.25">
      <c r="A1125" s="5"/>
    </row>
    <row r="1126" spans="1:1" customFormat="1" x14ac:dyDescent="0.25">
      <c r="A1126" s="5"/>
    </row>
    <row r="1127" spans="1:1" customFormat="1" x14ac:dyDescent="0.25">
      <c r="A1127" s="5"/>
    </row>
    <row r="1128" spans="1:1" customFormat="1" x14ac:dyDescent="0.25">
      <c r="A1128" s="5"/>
    </row>
    <row r="1129" spans="1:1" customFormat="1" x14ac:dyDescent="0.25">
      <c r="A1129" s="5"/>
    </row>
    <row r="1130" spans="1:1" customFormat="1" x14ac:dyDescent="0.25">
      <c r="A1130" s="5"/>
    </row>
    <row r="1131" spans="1:1" customFormat="1" x14ac:dyDescent="0.25">
      <c r="A1131" s="5"/>
    </row>
    <row r="1132" spans="1:1" customFormat="1" x14ac:dyDescent="0.25">
      <c r="A1132" s="5"/>
    </row>
    <row r="1133" spans="1:1" customFormat="1" x14ac:dyDescent="0.25">
      <c r="A1133" s="5"/>
    </row>
    <row r="1134" spans="1:1" customFormat="1" x14ac:dyDescent="0.25">
      <c r="A1134" s="5"/>
    </row>
    <row r="1135" spans="1:1" customFormat="1" x14ac:dyDescent="0.25">
      <c r="A1135" s="5"/>
    </row>
    <row r="1136" spans="1:1" customFormat="1" x14ac:dyDescent="0.25">
      <c r="A1136" s="5"/>
    </row>
    <row r="1137" spans="1:1" customFormat="1" x14ac:dyDescent="0.25">
      <c r="A1137" s="5"/>
    </row>
    <row r="1138" spans="1:1" customFormat="1" x14ac:dyDescent="0.25">
      <c r="A1138" s="5"/>
    </row>
    <row r="1139" spans="1:1" customFormat="1" x14ac:dyDescent="0.25">
      <c r="A1139" s="5"/>
    </row>
    <row r="1140" spans="1:1" customFormat="1" x14ac:dyDescent="0.25">
      <c r="A1140" s="5"/>
    </row>
    <row r="1141" spans="1:1" customFormat="1" x14ac:dyDescent="0.25">
      <c r="A1141" s="5"/>
    </row>
    <row r="1142" spans="1:1" customFormat="1" x14ac:dyDescent="0.25">
      <c r="A1142" s="5"/>
    </row>
    <row r="1143" spans="1:1" customFormat="1" x14ac:dyDescent="0.25">
      <c r="A1143" s="5"/>
    </row>
    <row r="1144" spans="1:1" customFormat="1" x14ac:dyDescent="0.25">
      <c r="A1144" s="5"/>
    </row>
    <row r="1145" spans="1:1" customFormat="1" x14ac:dyDescent="0.25">
      <c r="A1145" s="5"/>
    </row>
    <row r="1146" spans="1:1" customFormat="1" x14ac:dyDescent="0.25">
      <c r="A1146" s="5"/>
    </row>
    <row r="1147" spans="1:1" customFormat="1" x14ac:dyDescent="0.25">
      <c r="A1147" s="5"/>
    </row>
    <row r="1148" spans="1:1" customFormat="1" x14ac:dyDescent="0.25">
      <c r="A1148" s="5"/>
    </row>
    <row r="1149" spans="1:1" customFormat="1" x14ac:dyDescent="0.25">
      <c r="A1149" s="5"/>
    </row>
    <row r="1150" spans="1:1" customFormat="1" x14ac:dyDescent="0.25">
      <c r="A1150" s="5"/>
    </row>
    <row r="1151" spans="1:1" customFormat="1" x14ac:dyDescent="0.25">
      <c r="A1151" s="5"/>
    </row>
    <row r="1152" spans="1:1" customFormat="1" x14ac:dyDescent="0.25">
      <c r="A1152" s="5"/>
    </row>
    <row r="1153" spans="1:1" customFormat="1" x14ac:dyDescent="0.25">
      <c r="A1153" s="5"/>
    </row>
    <row r="1154" spans="1:1" customFormat="1" x14ac:dyDescent="0.25">
      <c r="A1154" s="5"/>
    </row>
    <row r="1155" spans="1:1" customFormat="1" x14ac:dyDescent="0.25">
      <c r="A1155" s="5"/>
    </row>
    <row r="1156" spans="1:1" customFormat="1" x14ac:dyDescent="0.25">
      <c r="A1156" s="5"/>
    </row>
    <row r="1157" spans="1:1" customFormat="1" x14ac:dyDescent="0.25">
      <c r="A1157" s="5"/>
    </row>
    <row r="1158" spans="1:1" customFormat="1" x14ac:dyDescent="0.25">
      <c r="A1158" s="5"/>
    </row>
    <row r="1159" spans="1:1" customFormat="1" x14ac:dyDescent="0.25">
      <c r="A1159" s="5"/>
    </row>
    <row r="1160" spans="1:1" customFormat="1" x14ac:dyDescent="0.25">
      <c r="A1160" s="5"/>
    </row>
    <row r="1161" spans="1:1" customFormat="1" x14ac:dyDescent="0.25">
      <c r="A1161" s="5"/>
    </row>
    <row r="1162" spans="1:1" customFormat="1" x14ac:dyDescent="0.25">
      <c r="A1162" s="5"/>
    </row>
    <row r="1163" spans="1:1" customFormat="1" x14ac:dyDescent="0.25">
      <c r="A1163" s="5"/>
    </row>
    <row r="1164" spans="1:1" customFormat="1" x14ac:dyDescent="0.25">
      <c r="A1164" s="5"/>
    </row>
    <row r="1165" spans="1:1" customFormat="1" x14ac:dyDescent="0.25">
      <c r="A1165" s="5"/>
    </row>
    <row r="1166" spans="1:1" customFormat="1" x14ac:dyDescent="0.25">
      <c r="A1166" s="5"/>
    </row>
    <row r="1167" spans="1:1" customFormat="1" x14ac:dyDescent="0.25">
      <c r="A1167" s="5"/>
    </row>
    <row r="1168" spans="1:1" customFormat="1" x14ac:dyDescent="0.25">
      <c r="A1168" s="5"/>
    </row>
    <row r="1169" spans="1:1" customFormat="1" x14ac:dyDescent="0.25">
      <c r="A1169" s="5"/>
    </row>
    <row r="1170" spans="1:1" customFormat="1" x14ac:dyDescent="0.25">
      <c r="A1170" s="5"/>
    </row>
    <row r="1171" spans="1:1" customFormat="1" x14ac:dyDescent="0.25">
      <c r="A1171" s="5"/>
    </row>
    <row r="1172" spans="1:1" customFormat="1" x14ac:dyDescent="0.25">
      <c r="A1172" s="5"/>
    </row>
    <row r="1173" spans="1:1" customFormat="1" x14ac:dyDescent="0.25">
      <c r="A1173" s="5"/>
    </row>
    <row r="1174" spans="1:1" customFormat="1" x14ac:dyDescent="0.25">
      <c r="A1174" s="5"/>
    </row>
    <row r="1175" spans="1:1" customFormat="1" x14ac:dyDescent="0.25">
      <c r="A1175" s="5"/>
    </row>
    <row r="1176" spans="1:1" customFormat="1" x14ac:dyDescent="0.25">
      <c r="A1176" s="5"/>
    </row>
    <row r="1177" spans="1:1" customFormat="1" x14ac:dyDescent="0.25">
      <c r="A1177" s="5"/>
    </row>
    <row r="1178" spans="1:1" customFormat="1" x14ac:dyDescent="0.25">
      <c r="A1178" s="5"/>
    </row>
    <row r="1179" spans="1:1" customFormat="1" x14ac:dyDescent="0.25">
      <c r="A1179" s="5"/>
    </row>
    <row r="1180" spans="1:1" customFormat="1" x14ac:dyDescent="0.25">
      <c r="A1180" s="5"/>
    </row>
    <row r="1181" spans="1:1" customFormat="1" x14ac:dyDescent="0.25">
      <c r="A1181" s="5"/>
    </row>
    <row r="1182" spans="1:1" customFormat="1" x14ac:dyDescent="0.25">
      <c r="A1182" s="5"/>
    </row>
    <row r="1183" spans="1:1" customFormat="1" x14ac:dyDescent="0.25">
      <c r="A1183" s="5"/>
    </row>
    <row r="1184" spans="1:1" customFormat="1" x14ac:dyDescent="0.25">
      <c r="A1184" s="5"/>
    </row>
    <row r="1185" spans="1:1" customFormat="1" x14ac:dyDescent="0.25">
      <c r="A1185" s="5"/>
    </row>
    <row r="1186" spans="1:1" customFormat="1" x14ac:dyDescent="0.25">
      <c r="A1186" s="5"/>
    </row>
    <row r="1187" spans="1:1" customFormat="1" x14ac:dyDescent="0.25">
      <c r="A1187" s="5"/>
    </row>
    <row r="1188" spans="1:1" customFormat="1" x14ac:dyDescent="0.25">
      <c r="A1188" s="5"/>
    </row>
    <row r="1189" spans="1:1" customFormat="1" x14ac:dyDescent="0.25">
      <c r="A1189" s="5"/>
    </row>
    <row r="1190" spans="1:1" customFormat="1" x14ac:dyDescent="0.25">
      <c r="A1190" s="5"/>
    </row>
    <row r="1191" spans="1:1" customFormat="1" x14ac:dyDescent="0.25">
      <c r="A1191" s="5"/>
    </row>
    <row r="1192" spans="1:1" customFormat="1" x14ac:dyDescent="0.25">
      <c r="A1192" s="5"/>
    </row>
    <row r="1193" spans="1:1" customFormat="1" x14ac:dyDescent="0.25">
      <c r="A1193" s="5"/>
    </row>
    <row r="1194" spans="1:1" customFormat="1" x14ac:dyDescent="0.25">
      <c r="A1194" s="5"/>
    </row>
    <row r="1195" spans="1:1" customFormat="1" x14ac:dyDescent="0.25">
      <c r="A1195" s="5"/>
    </row>
    <row r="1196" spans="1:1" customFormat="1" x14ac:dyDescent="0.25">
      <c r="A1196" s="5"/>
    </row>
    <row r="1197" spans="1:1" customFormat="1" x14ac:dyDescent="0.25">
      <c r="A1197" s="5"/>
    </row>
    <row r="1198" spans="1:1" customFormat="1" x14ac:dyDescent="0.25">
      <c r="A1198" s="5"/>
    </row>
    <row r="1199" spans="1:1" customFormat="1" x14ac:dyDescent="0.25">
      <c r="A1199" s="5"/>
    </row>
    <row r="1200" spans="1:1" customFormat="1" x14ac:dyDescent="0.25">
      <c r="A1200" s="5"/>
    </row>
    <row r="1201" spans="1:1" customFormat="1" x14ac:dyDescent="0.25">
      <c r="A1201" s="5"/>
    </row>
    <row r="1202" spans="1:1" customFormat="1" x14ac:dyDescent="0.25">
      <c r="A1202" s="5"/>
    </row>
    <row r="1203" spans="1:1" customFormat="1" x14ac:dyDescent="0.25">
      <c r="A1203" s="5"/>
    </row>
    <row r="1204" spans="1:1" customFormat="1" x14ac:dyDescent="0.25">
      <c r="A1204" s="5"/>
    </row>
    <row r="1205" spans="1:1" customFormat="1" x14ac:dyDescent="0.25">
      <c r="A1205" s="5"/>
    </row>
    <row r="1206" spans="1:1" customFormat="1" x14ac:dyDescent="0.25">
      <c r="A1206" s="5"/>
    </row>
    <row r="1207" spans="1:1" customFormat="1" x14ac:dyDescent="0.25">
      <c r="A1207" s="5"/>
    </row>
    <row r="1208" spans="1:1" customFormat="1" x14ac:dyDescent="0.25">
      <c r="A1208" s="5"/>
    </row>
    <row r="1209" spans="1:1" customFormat="1" x14ac:dyDescent="0.25">
      <c r="A1209" s="5"/>
    </row>
    <row r="1210" spans="1:1" customFormat="1" x14ac:dyDescent="0.25">
      <c r="A1210" s="5"/>
    </row>
    <row r="1211" spans="1:1" customFormat="1" x14ac:dyDescent="0.25">
      <c r="A1211" s="5"/>
    </row>
    <row r="1212" spans="1:1" customFormat="1" x14ac:dyDescent="0.25">
      <c r="A1212" s="5"/>
    </row>
    <row r="1213" spans="1:1" customFormat="1" x14ac:dyDescent="0.25">
      <c r="A1213" s="5"/>
    </row>
    <row r="1214" spans="1:1" customFormat="1" x14ac:dyDescent="0.25">
      <c r="A1214" s="5"/>
    </row>
    <row r="1215" spans="1:1" customFormat="1" x14ac:dyDescent="0.25">
      <c r="A1215" s="5"/>
    </row>
    <row r="1216" spans="1:1" customFormat="1" x14ac:dyDescent="0.25">
      <c r="A1216" s="5"/>
    </row>
    <row r="1217" spans="1:1" customFormat="1" x14ac:dyDescent="0.25">
      <c r="A1217" s="5"/>
    </row>
    <row r="1218" spans="1:1" customFormat="1" x14ac:dyDescent="0.25">
      <c r="A1218" s="5"/>
    </row>
    <row r="1219" spans="1:1" customFormat="1" x14ac:dyDescent="0.25">
      <c r="A1219" s="5"/>
    </row>
    <row r="1220" spans="1:1" customFormat="1" x14ac:dyDescent="0.25">
      <c r="A1220" s="5"/>
    </row>
    <row r="1221" spans="1:1" customFormat="1" x14ac:dyDescent="0.25">
      <c r="A1221" s="5"/>
    </row>
    <row r="1222" spans="1:1" customFormat="1" x14ac:dyDescent="0.25">
      <c r="A1222" s="5"/>
    </row>
    <row r="1223" spans="1:1" customFormat="1" x14ac:dyDescent="0.25">
      <c r="A1223" s="5"/>
    </row>
    <row r="1224" spans="1:1" customFormat="1" x14ac:dyDescent="0.25">
      <c r="A1224" s="5"/>
    </row>
    <row r="1225" spans="1:1" customFormat="1" x14ac:dyDescent="0.25">
      <c r="A1225" s="5"/>
    </row>
    <row r="1226" spans="1:1" customFormat="1" x14ac:dyDescent="0.25">
      <c r="A1226" s="5"/>
    </row>
    <row r="1227" spans="1:1" customFormat="1" x14ac:dyDescent="0.25">
      <c r="A1227" s="5"/>
    </row>
    <row r="1228" spans="1:1" customFormat="1" x14ac:dyDescent="0.25">
      <c r="A1228" s="5"/>
    </row>
    <row r="1229" spans="1:1" customFormat="1" x14ac:dyDescent="0.25">
      <c r="A1229" s="5"/>
    </row>
    <row r="1230" spans="1:1" customFormat="1" x14ac:dyDescent="0.25">
      <c r="A1230" s="5"/>
    </row>
    <row r="1231" spans="1:1" customFormat="1" x14ac:dyDescent="0.25">
      <c r="A1231" s="5"/>
    </row>
    <row r="1232" spans="1:1" customFormat="1" x14ac:dyDescent="0.25">
      <c r="A1232" s="5"/>
    </row>
    <row r="1233" spans="1:1" customFormat="1" x14ac:dyDescent="0.25">
      <c r="A1233" s="5"/>
    </row>
    <row r="1234" spans="1:1" customFormat="1" x14ac:dyDescent="0.25">
      <c r="A1234" s="5"/>
    </row>
    <row r="1235" spans="1:1" customFormat="1" x14ac:dyDescent="0.25">
      <c r="A1235" s="5"/>
    </row>
    <row r="1236" spans="1:1" customFormat="1" x14ac:dyDescent="0.25">
      <c r="A1236" s="5"/>
    </row>
    <row r="1237" spans="1:1" customFormat="1" x14ac:dyDescent="0.25">
      <c r="A1237" s="5"/>
    </row>
    <row r="1238" spans="1:1" customFormat="1" x14ac:dyDescent="0.25">
      <c r="A1238" s="5"/>
    </row>
    <row r="1239" spans="1:1" customFormat="1" x14ac:dyDescent="0.25">
      <c r="A1239" s="5"/>
    </row>
    <row r="1240" spans="1:1" customFormat="1" x14ac:dyDescent="0.25">
      <c r="A1240" s="5"/>
    </row>
    <row r="1241" spans="1:1" customFormat="1" x14ac:dyDescent="0.25">
      <c r="A1241" s="5"/>
    </row>
    <row r="1242" spans="1:1" customFormat="1" x14ac:dyDescent="0.25">
      <c r="A1242" s="5"/>
    </row>
    <row r="1243" spans="1:1" customFormat="1" x14ac:dyDescent="0.25">
      <c r="A1243" s="5"/>
    </row>
    <row r="1244" spans="1:1" customFormat="1" x14ac:dyDescent="0.25">
      <c r="A1244" s="5"/>
    </row>
    <row r="1245" spans="1:1" customFormat="1" x14ac:dyDescent="0.25">
      <c r="A1245" s="5"/>
    </row>
    <row r="1246" spans="1:1" customFormat="1" x14ac:dyDescent="0.25">
      <c r="A1246" s="5"/>
    </row>
    <row r="1247" spans="1:1" customFormat="1" x14ac:dyDescent="0.25">
      <c r="A1247" s="5"/>
    </row>
    <row r="1248" spans="1:1" customFormat="1" x14ac:dyDescent="0.25">
      <c r="A1248" s="5"/>
    </row>
    <row r="1249" spans="1:1" customFormat="1" x14ac:dyDescent="0.25">
      <c r="A1249" s="5"/>
    </row>
    <row r="1250" spans="1:1" customFormat="1" x14ac:dyDescent="0.25">
      <c r="A1250" s="5"/>
    </row>
    <row r="1251" spans="1:1" customFormat="1" x14ac:dyDescent="0.25">
      <c r="A1251" s="5"/>
    </row>
    <row r="1252" spans="1:1" customFormat="1" x14ac:dyDescent="0.25">
      <c r="A1252" s="5"/>
    </row>
    <row r="1253" spans="1:1" customFormat="1" x14ac:dyDescent="0.25">
      <c r="A1253" s="5"/>
    </row>
    <row r="1254" spans="1:1" customFormat="1" x14ac:dyDescent="0.25">
      <c r="A1254" s="5"/>
    </row>
    <row r="1255" spans="1:1" customFormat="1" x14ac:dyDescent="0.25">
      <c r="A1255" s="5"/>
    </row>
    <row r="1256" spans="1:1" customFormat="1" x14ac:dyDescent="0.25">
      <c r="A1256" s="5"/>
    </row>
    <row r="1257" spans="1:1" customFormat="1" x14ac:dyDescent="0.25">
      <c r="A1257" s="5"/>
    </row>
    <row r="1258" spans="1:1" customFormat="1" x14ac:dyDescent="0.25">
      <c r="A1258" s="5"/>
    </row>
    <row r="1259" spans="1:1" customFormat="1" x14ac:dyDescent="0.25">
      <c r="A1259" s="5"/>
    </row>
    <row r="1260" spans="1:1" customFormat="1" x14ac:dyDescent="0.25">
      <c r="A1260" s="5"/>
    </row>
    <row r="1261" spans="1:1" customFormat="1" x14ac:dyDescent="0.25">
      <c r="A1261" s="5"/>
    </row>
    <row r="1262" spans="1:1" customFormat="1" x14ac:dyDescent="0.25">
      <c r="A1262" s="5"/>
    </row>
    <row r="1263" spans="1:1" customFormat="1" x14ac:dyDescent="0.25">
      <c r="A1263" s="5"/>
    </row>
    <row r="1264" spans="1:1" customFormat="1" x14ac:dyDescent="0.25">
      <c r="A1264" s="5"/>
    </row>
    <row r="1265" spans="1:1" customFormat="1" x14ac:dyDescent="0.25">
      <c r="A1265" s="5"/>
    </row>
    <row r="1266" spans="1:1" customFormat="1" x14ac:dyDescent="0.25">
      <c r="A1266" s="5"/>
    </row>
    <row r="1267" spans="1:1" customFormat="1" x14ac:dyDescent="0.25">
      <c r="A1267" s="5"/>
    </row>
    <row r="1268" spans="1:1" customFormat="1" x14ac:dyDescent="0.25">
      <c r="A1268" s="5"/>
    </row>
    <row r="1269" spans="1:1" customFormat="1" x14ac:dyDescent="0.25">
      <c r="A1269" s="5"/>
    </row>
    <row r="1270" spans="1:1" customFormat="1" x14ac:dyDescent="0.25">
      <c r="A1270" s="5"/>
    </row>
    <row r="1271" spans="1:1" customFormat="1" x14ac:dyDescent="0.25">
      <c r="A1271" s="5"/>
    </row>
    <row r="1272" spans="1:1" customFormat="1" x14ac:dyDescent="0.25">
      <c r="A1272" s="5"/>
    </row>
    <row r="1273" spans="1:1" customFormat="1" x14ac:dyDescent="0.25">
      <c r="A1273" s="5"/>
    </row>
    <row r="1274" spans="1:1" customFormat="1" x14ac:dyDescent="0.25">
      <c r="A1274" s="5"/>
    </row>
    <row r="1275" spans="1:1" customFormat="1" x14ac:dyDescent="0.25">
      <c r="A1275" s="5"/>
    </row>
    <row r="1276" spans="1:1" customFormat="1" x14ac:dyDescent="0.25">
      <c r="A1276" s="5"/>
    </row>
    <row r="1277" spans="1:1" customFormat="1" x14ac:dyDescent="0.25">
      <c r="A1277" s="5"/>
    </row>
    <row r="1278" spans="1:1" customFormat="1" x14ac:dyDescent="0.25">
      <c r="A1278" s="5"/>
    </row>
    <row r="1279" spans="1:1" customFormat="1" x14ac:dyDescent="0.25">
      <c r="A1279" s="5"/>
    </row>
    <row r="1280" spans="1:1" customFormat="1" x14ac:dyDescent="0.25">
      <c r="A1280" s="5"/>
    </row>
    <row r="1281" spans="1:1" customFormat="1" x14ac:dyDescent="0.25">
      <c r="A1281" s="5"/>
    </row>
    <row r="1282" spans="1:1" customFormat="1" x14ac:dyDescent="0.25">
      <c r="A1282" s="5"/>
    </row>
    <row r="1283" spans="1:1" customFormat="1" x14ac:dyDescent="0.25">
      <c r="A1283" s="5"/>
    </row>
    <row r="1284" spans="1:1" customFormat="1" x14ac:dyDescent="0.25">
      <c r="A1284" s="5"/>
    </row>
    <row r="1285" spans="1:1" customFormat="1" x14ac:dyDescent="0.25">
      <c r="A1285" s="5"/>
    </row>
    <row r="1286" spans="1:1" customFormat="1" x14ac:dyDescent="0.25">
      <c r="A1286" s="5"/>
    </row>
    <row r="1287" spans="1:1" customFormat="1" x14ac:dyDescent="0.25">
      <c r="A1287" s="5"/>
    </row>
    <row r="1288" spans="1:1" customFormat="1" x14ac:dyDescent="0.25">
      <c r="A1288" s="5"/>
    </row>
    <row r="1289" spans="1:1" customFormat="1" x14ac:dyDescent="0.25">
      <c r="A1289" s="5"/>
    </row>
    <row r="1290" spans="1:1" customFormat="1" x14ac:dyDescent="0.25">
      <c r="A1290" s="5"/>
    </row>
    <row r="1291" spans="1:1" customFormat="1" x14ac:dyDescent="0.25">
      <c r="A1291" s="5"/>
    </row>
    <row r="1292" spans="1:1" customFormat="1" x14ac:dyDescent="0.25">
      <c r="A1292" s="5"/>
    </row>
    <row r="1293" spans="1:1" customFormat="1" x14ac:dyDescent="0.25">
      <c r="A1293" s="5"/>
    </row>
    <row r="1294" spans="1:1" customFormat="1" x14ac:dyDescent="0.25">
      <c r="A1294" s="5"/>
    </row>
    <row r="1295" spans="1:1" customFormat="1" x14ac:dyDescent="0.25">
      <c r="A1295" s="5"/>
    </row>
    <row r="1296" spans="1:1" customFormat="1" x14ac:dyDescent="0.25">
      <c r="A1296" s="5"/>
    </row>
    <row r="1297" spans="1:1" customFormat="1" x14ac:dyDescent="0.25">
      <c r="A1297" s="5"/>
    </row>
    <row r="1298" spans="1:1" customFormat="1" x14ac:dyDescent="0.25">
      <c r="A1298" s="5"/>
    </row>
    <row r="1299" spans="1:1" customFormat="1" x14ac:dyDescent="0.25">
      <c r="A1299" s="5"/>
    </row>
    <row r="1300" spans="1:1" customFormat="1" x14ac:dyDescent="0.25">
      <c r="A1300" s="5"/>
    </row>
    <row r="1301" spans="1:1" customFormat="1" x14ac:dyDescent="0.25">
      <c r="A1301" s="5"/>
    </row>
    <row r="1302" spans="1:1" customFormat="1" x14ac:dyDescent="0.25">
      <c r="A1302" s="5"/>
    </row>
    <row r="1303" spans="1:1" customFormat="1" x14ac:dyDescent="0.25">
      <c r="A1303" s="5"/>
    </row>
    <row r="1304" spans="1:1" customFormat="1" x14ac:dyDescent="0.25">
      <c r="A1304" s="5"/>
    </row>
    <row r="1305" spans="1:1" customFormat="1" x14ac:dyDescent="0.25">
      <c r="A1305" s="5"/>
    </row>
    <row r="1306" spans="1:1" customFormat="1" x14ac:dyDescent="0.25">
      <c r="A1306" s="5"/>
    </row>
    <row r="1307" spans="1:1" customFormat="1" x14ac:dyDescent="0.25">
      <c r="A1307" s="5"/>
    </row>
    <row r="1308" spans="1:1" customFormat="1" x14ac:dyDescent="0.25">
      <c r="A1308" s="5"/>
    </row>
    <row r="1309" spans="1:1" customFormat="1" x14ac:dyDescent="0.25">
      <c r="A1309" s="5"/>
    </row>
    <row r="1310" spans="1:1" customFormat="1" x14ac:dyDescent="0.25">
      <c r="A1310" s="5"/>
    </row>
    <row r="1311" spans="1:1" customFormat="1" x14ac:dyDescent="0.25">
      <c r="A1311" s="5"/>
    </row>
    <row r="1312" spans="1:1" customFormat="1" x14ac:dyDescent="0.25">
      <c r="A1312" s="5"/>
    </row>
    <row r="1313" spans="1:1" customFormat="1" x14ac:dyDescent="0.25">
      <c r="A1313" s="5"/>
    </row>
    <row r="1314" spans="1:1" customFormat="1" x14ac:dyDescent="0.25">
      <c r="A1314" s="5"/>
    </row>
    <row r="1315" spans="1:1" customFormat="1" x14ac:dyDescent="0.25">
      <c r="A1315" s="5"/>
    </row>
    <row r="1316" spans="1:1" customFormat="1" x14ac:dyDescent="0.25">
      <c r="A1316" s="5"/>
    </row>
    <row r="1317" spans="1:1" customFormat="1" x14ac:dyDescent="0.25">
      <c r="A1317" s="5"/>
    </row>
    <row r="1318" spans="1:1" customFormat="1" x14ac:dyDescent="0.25">
      <c r="A1318" s="5"/>
    </row>
    <row r="1319" spans="1:1" customFormat="1" x14ac:dyDescent="0.25">
      <c r="A1319" s="5"/>
    </row>
    <row r="1320" spans="1:1" customFormat="1" x14ac:dyDescent="0.25">
      <c r="A1320" s="5"/>
    </row>
    <row r="1321" spans="1:1" customFormat="1" x14ac:dyDescent="0.25">
      <c r="A1321" s="5"/>
    </row>
    <row r="1322" spans="1:1" customFormat="1" x14ac:dyDescent="0.25">
      <c r="A1322" s="5"/>
    </row>
    <row r="1323" spans="1:1" customFormat="1" x14ac:dyDescent="0.25">
      <c r="A1323" s="5"/>
    </row>
    <row r="1324" spans="1:1" customFormat="1" x14ac:dyDescent="0.25">
      <c r="A1324" s="5"/>
    </row>
    <row r="1325" spans="1:1" customFormat="1" x14ac:dyDescent="0.25">
      <c r="A1325" s="5"/>
    </row>
    <row r="1326" spans="1:1" customFormat="1" x14ac:dyDescent="0.25">
      <c r="A1326" s="5"/>
    </row>
    <row r="1327" spans="1:1" customFormat="1" x14ac:dyDescent="0.25">
      <c r="A1327" s="5"/>
    </row>
    <row r="1328" spans="1:1" customFormat="1" x14ac:dyDescent="0.25">
      <c r="A1328" s="5"/>
    </row>
    <row r="1329" spans="1:1" customFormat="1" x14ac:dyDescent="0.25">
      <c r="A1329" s="5"/>
    </row>
    <row r="1330" spans="1:1" customFormat="1" x14ac:dyDescent="0.25">
      <c r="A1330" s="5"/>
    </row>
    <row r="1331" spans="1:1" customFormat="1" x14ac:dyDescent="0.25">
      <c r="A1331" s="5"/>
    </row>
    <row r="1332" spans="1:1" customFormat="1" x14ac:dyDescent="0.25">
      <c r="A1332" s="5"/>
    </row>
    <row r="1333" spans="1:1" customFormat="1" x14ac:dyDescent="0.25">
      <c r="A1333" s="5"/>
    </row>
    <row r="1334" spans="1:1" customFormat="1" x14ac:dyDescent="0.25">
      <c r="A1334" s="5"/>
    </row>
    <row r="1335" spans="1:1" customFormat="1" x14ac:dyDescent="0.25">
      <c r="A1335" s="5"/>
    </row>
    <row r="1336" spans="1:1" customFormat="1" x14ac:dyDescent="0.25">
      <c r="A1336" s="5"/>
    </row>
    <row r="1337" spans="1:1" customFormat="1" x14ac:dyDescent="0.25">
      <c r="A1337" s="5"/>
    </row>
    <row r="1338" spans="1:1" customFormat="1" x14ac:dyDescent="0.25">
      <c r="A1338" s="5"/>
    </row>
    <row r="1339" spans="1:1" customFormat="1" x14ac:dyDescent="0.25">
      <c r="A1339" s="5"/>
    </row>
    <row r="1340" spans="1:1" customFormat="1" x14ac:dyDescent="0.25">
      <c r="A1340" s="5"/>
    </row>
    <row r="1341" spans="1:1" customFormat="1" x14ac:dyDescent="0.25">
      <c r="A1341" s="5"/>
    </row>
    <row r="1342" spans="1:1" customFormat="1" x14ac:dyDescent="0.25">
      <c r="A1342" s="5"/>
    </row>
    <row r="1343" spans="1:1" customFormat="1" x14ac:dyDescent="0.25">
      <c r="A1343" s="5"/>
    </row>
    <row r="1344" spans="1:1" customFormat="1" x14ac:dyDescent="0.25">
      <c r="A1344" s="5"/>
    </row>
    <row r="1345" spans="1:1" customFormat="1" x14ac:dyDescent="0.25">
      <c r="A1345" s="5"/>
    </row>
    <row r="1346" spans="1:1" customFormat="1" x14ac:dyDescent="0.25">
      <c r="A1346" s="5"/>
    </row>
    <row r="1347" spans="1:1" customFormat="1" x14ac:dyDescent="0.25">
      <c r="A1347" s="5"/>
    </row>
    <row r="1348" spans="1:1" customFormat="1" x14ac:dyDescent="0.25">
      <c r="A1348" s="5"/>
    </row>
    <row r="1349" spans="1:1" customFormat="1" x14ac:dyDescent="0.25">
      <c r="A1349" s="5"/>
    </row>
    <row r="1350" spans="1:1" customFormat="1" x14ac:dyDescent="0.25">
      <c r="A1350" s="5"/>
    </row>
    <row r="1351" spans="1:1" customFormat="1" x14ac:dyDescent="0.25">
      <c r="A1351" s="5"/>
    </row>
    <row r="1352" spans="1:1" customFormat="1" x14ac:dyDescent="0.25">
      <c r="A1352" s="5"/>
    </row>
    <row r="1353" spans="1:1" customFormat="1" x14ac:dyDescent="0.25">
      <c r="A1353" s="5"/>
    </row>
    <row r="1354" spans="1:1" customFormat="1" x14ac:dyDescent="0.25">
      <c r="A1354" s="5"/>
    </row>
    <row r="1355" spans="1:1" customFormat="1" x14ac:dyDescent="0.25">
      <c r="A1355" s="5"/>
    </row>
    <row r="1356" spans="1:1" customFormat="1" x14ac:dyDescent="0.25">
      <c r="A1356" s="5"/>
    </row>
    <row r="1357" spans="1:1" customFormat="1" x14ac:dyDescent="0.25">
      <c r="A1357" s="5"/>
    </row>
    <row r="1358" spans="1:1" customFormat="1" x14ac:dyDescent="0.25">
      <c r="A1358" s="5"/>
    </row>
    <row r="1359" spans="1:1" customFormat="1" x14ac:dyDescent="0.25">
      <c r="A1359" s="5"/>
    </row>
    <row r="1360" spans="1:1" customFormat="1" x14ac:dyDescent="0.25">
      <c r="A1360" s="5"/>
    </row>
    <row r="1361" spans="1:1" customFormat="1" x14ac:dyDescent="0.25">
      <c r="A1361" s="5"/>
    </row>
    <row r="1362" spans="1:1" customFormat="1" x14ac:dyDescent="0.25">
      <c r="A1362" s="5"/>
    </row>
    <row r="1363" spans="1:1" customFormat="1" x14ac:dyDescent="0.25">
      <c r="A1363" s="5"/>
    </row>
    <row r="1364" spans="1:1" customFormat="1" x14ac:dyDescent="0.25">
      <c r="A1364" s="5"/>
    </row>
    <row r="1365" spans="1:1" customFormat="1" x14ac:dyDescent="0.25">
      <c r="A1365" s="5"/>
    </row>
    <row r="1366" spans="1:1" customFormat="1" x14ac:dyDescent="0.25">
      <c r="A1366" s="5"/>
    </row>
    <row r="1367" spans="1:1" customFormat="1" x14ac:dyDescent="0.25">
      <c r="A1367" s="5"/>
    </row>
    <row r="1368" spans="1:1" customFormat="1" x14ac:dyDescent="0.25">
      <c r="A1368" s="5"/>
    </row>
    <row r="1369" spans="1:1" customFormat="1" x14ac:dyDescent="0.25">
      <c r="A1369" s="5"/>
    </row>
    <row r="1370" spans="1:1" customFormat="1" x14ac:dyDescent="0.25">
      <c r="A1370" s="5"/>
    </row>
    <row r="1371" spans="1:1" customFormat="1" x14ac:dyDescent="0.25">
      <c r="A1371" s="5"/>
    </row>
    <row r="1372" spans="1:1" customFormat="1" x14ac:dyDescent="0.25">
      <c r="A1372" s="5"/>
    </row>
    <row r="1373" spans="1:1" customFormat="1" x14ac:dyDescent="0.25">
      <c r="A1373" s="5"/>
    </row>
    <row r="1374" spans="1:1" customFormat="1" x14ac:dyDescent="0.25">
      <c r="A1374" s="5"/>
    </row>
    <row r="1375" spans="1:1" customFormat="1" x14ac:dyDescent="0.25">
      <c r="A1375" s="5"/>
    </row>
    <row r="1376" spans="1:1" customFormat="1" x14ac:dyDescent="0.25">
      <c r="A1376" s="5"/>
    </row>
    <row r="1377" spans="1:1" customFormat="1" x14ac:dyDescent="0.25">
      <c r="A1377" s="5"/>
    </row>
    <row r="1378" spans="1:1" customFormat="1" x14ac:dyDescent="0.25">
      <c r="A1378" s="5"/>
    </row>
    <row r="1379" spans="1:1" customFormat="1" x14ac:dyDescent="0.25">
      <c r="A1379" s="5"/>
    </row>
    <row r="1380" spans="1:1" customFormat="1" x14ac:dyDescent="0.25">
      <c r="A1380" s="5"/>
    </row>
    <row r="1381" spans="1:1" customFormat="1" x14ac:dyDescent="0.25">
      <c r="A1381" s="5"/>
    </row>
    <row r="1382" spans="1:1" customFormat="1" x14ac:dyDescent="0.25">
      <c r="A1382" s="5"/>
    </row>
    <row r="1383" spans="1:1" customFormat="1" x14ac:dyDescent="0.25">
      <c r="A1383" s="5"/>
    </row>
    <row r="1384" spans="1:1" customFormat="1" x14ac:dyDescent="0.25">
      <c r="A1384" s="5"/>
    </row>
    <row r="1385" spans="1:1" customFormat="1" x14ac:dyDescent="0.25">
      <c r="A1385" s="5"/>
    </row>
    <row r="1386" spans="1:1" customFormat="1" x14ac:dyDescent="0.25">
      <c r="A1386" s="5"/>
    </row>
    <row r="1387" spans="1:1" customFormat="1" x14ac:dyDescent="0.25">
      <c r="A1387" s="5"/>
    </row>
    <row r="1388" spans="1:1" customFormat="1" x14ac:dyDescent="0.25">
      <c r="A1388" s="5"/>
    </row>
    <row r="1389" spans="1:1" customFormat="1" x14ac:dyDescent="0.25">
      <c r="A1389" s="5"/>
    </row>
    <row r="1390" spans="1:1" customFormat="1" x14ac:dyDescent="0.25">
      <c r="A1390" s="5"/>
    </row>
    <row r="1391" spans="1:1" customFormat="1" x14ac:dyDescent="0.25">
      <c r="A1391" s="5"/>
    </row>
    <row r="1392" spans="1:1" customFormat="1" x14ac:dyDescent="0.25">
      <c r="A1392" s="5"/>
    </row>
    <row r="1393" spans="1:1" customFormat="1" x14ac:dyDescent="0.25">
      <c r="A1393" s="5"/>
    </row>
    <row r="1394" spans="1:1" customFormat="1" x14ac:dyDescent="0.25">
      <c r="A1394" s="5"/>
    </row>
    <row r="1395" spans="1:1" customFormat="1" x14ac:dyDescent="0.25">
      <c r="A1395" s="5"/>
    </row>
    <row r="1396" spans="1:1" customFormat="1" x14ac:dyDescent="0.25">
      <c r="A1396" s="5"/>
    </row>
    <row r="1397" spans="1:1" customFormat="1" x14ac:dyDescent="0.25">
      <c r="A1397" s="5"/>
    </row>
    <row r="1398" spans="1:1" customFormat="1" x14ac:dyDescent="0.25">
      <c r="A1398" s="5"/>
    </row>
    <row r="1399" spans="1:1" customFormat="1" x14ac:dyDescent="0.25">
      <c r="A1399" s="5"/>
    </row>
    <row r="1400" spans="1:1" customFormat="1" x14ac:dyDescent="0.25">
      <c r="A1400" s="5"/>
    </row>
    <row r="1401" spans="1:1" customFormat="1" x14ac:dyDescent="0.25">
      <c r="A1401" s="5"/>
    </row>
    <row r="1402" spans="1:1" customFormat="1" x14ac:dyDescent="0.25">
      <c r="A1402" s="5"/>
    </row>
    <row r="1403" spans="1:1" customFormat="1" x14ac:dyDescent="0.25">
      <c r="A1403" s="5"/>
    </row>
    <row r="1404" spans="1:1" customFormat="1" x14ac:dyDescent="0.25">
      <c r="A1404" s="5"/>
    </row>
    <row r="1405" spans="1:1" customFormat="1" x14ac:dyDescent="0.25">
      <c r="A1405" s="5"/>
    </row>
    <row r="1406" spans="1:1" customFormat="1" x14ac:dyDescent="0.25">
      <c r="A1406" s="5"/>
    </row>
    <row r="1407" spans="1:1" customFormat="1" x14ac:dyDescent="0.25">
      <c r="A1407" s="5"/>
    </row>
    <row r="1408" spans="1:1" customFormat="1" x14ac:dyDescent="0.25">
      <c r="A1408" s="5"/>
    </row>
    <row r="1409" spans="1:1" customFormat="1" x14ac:dyDescent="0.25">
      <c r="A1409" s="5"/>
    </row>
    <row r="1410" spans="1:1" customFormat="1" x14ac:dyDescent="0.25">
      <c r="A1410" s="5"/>
    </row>
    <row r="1411" spans="1:1" customFormat="1" x14ac:dyDescent="0.25">
      <c r="A1411" s="5"/>
    </row>
    <row r="1412" spans="1:1" customFormat="1" x14ac:dyDescent="0.25">
      <c r="A1412" s="5"/>
    </row>
    <row r="1413" spans="1:1" customFormat="1" x14ac:dyDescent="0.25">
      <c r="A1413" s="5"/>
    </row>
    <row r="1414" spans="1:1" customFormat="1" x14ac:dyDescent="0.25">
      <c r="A1414" s="5"/>
    </row>
    <row r="1415" spans="1:1" customFormat="1" x14ac:dyDescent="0.25">
      <c r="A1415" s="5"/>
    </row>
    <row r="1416" spans="1:1" customFormat="1" x14ac:dyDescent="0.25">
      <c r="A1416" s="5"/>
    </row>
    <row r="1417" spans="1:1" customFormat="1" x14ac:dyDescent="0.25">
      <c r="A1417" s="5"/>
    </row>
    <row r="1418" spans="1:1" customFormat="1" x14ac:dyDescent="0.25">
      <c r="A1418" s="5"/>
    </row>
    <row r="1419" spans="1:1" customFormat="1" x14ac:dyDescent="0.25">
      <c r="A1419" s="5"/>
    </row>
    <row r="1420" spans="1:1" customFormat="1" x14ac:dyDescent="0.25">
      <c r="A1420" s="5"/>
    </row>
    <row r="1421" spans="1:1" customFormat="1" x14ac:dyDescent="0.25">
      <c r="A1421" s="5"/>
    </row>
    <row r="1422" spans="1:1" customFormat="1" x14ac:dyDescent="0.25">
      <c r="A1422" s="5"/>
    </row>
    <row r="1423" spans="1:1" customFormat="1" x14ac:dyDescent="0.25">
      <c r="A1423" s="5"/>
    </row>
    <row r="1424" spans="1:1" customFormat="1" x14ac:dyDescent="0.25">
      <c r="A1424" s="5"/>
    </row>
    <row r="1425" spans="1:1" customFormat="1" x14ac:dyDescent="0.25">
      <c r="A1425" s="5"/>
    </row>
    <row r="1426" spans="1:1" customFormat="1" x14ac:dyDescent="0.25">
      <c r="A1426" s="5"/>
    </row>
    <row r="1427" spans="1:1" customFormat="1" x14ac:dyDescent="0.25">
      <c r="A1427" s="5"/>
    </row>
    <row r="1428" spans="1:1" customFormat="1" x14ac:dyDescent="0.25">
      <c r="A1428" s="5"/>
    </row>
    <row r="1429" spans="1:1" customFormat="1" x14ac:dyDescent="0.25">
      <c r="A1429" s="5"/>
    </row>
    <row r="1430" spans="1:1" customFormat="1" x14ac:dyDescent="0.25">
      <c r="A1430" s="5"/>
    </row>
    <row r="1431" spans="1:1" customFormat="1" x14ac:dyDescent="0.25">
      <c r="A1431" s="5"/>
    </row>
    <row r="1432" spans="1:1" customFormat="1" x14ac:dyDescent="0.25">
      <c r="A1432" s="5"/>
    </row>
    <row r="1433" spans="1:1" customFormat="1" x14ac:dyDescent="0.25">
      <c r="A1433" s="5"/>
    </row>
    <row r="1434" spans="1:1" customFormat="1" x14ac:dyDescent="0.25">
      <c r="A1434" s="5"/>
    </row>
    <row r="1435" spans="1:1" customFormat="1" x14ac:dyDescent="0.25">
      <c r="A1435" s="5"/>
    </row>
    <row r="1436" spans="1:1" customFormat="1" x14ac:dyDescent="0.25">
      <c r="A1436" s="5"/>
    </row>
    <row r="1437" spans="1:1" customFormat="1" x14ac:dyDescent="0.25">
      <c r="A1437" s="5"/>
    </row>
    <row r="1438" spans="1:1" customFormat="1" x14ac:dyDescent="0.25">
      <c r="A1438" s="5"/>
    </row>
    <row r="1439" spans="1:1" customFormat="1" x14ac:dyDescent="0.25">
      <c r="A1439" s="5"/>
    </row>
    <row r="1440" spans="1:1" customFormat="1" x14ac:dyDescent="0.25">
      <c r="A1440" s="5"/>
    </row>
    <row r="1441" spans="1:1" customFormat="1" x14ac:dyDescent="0.25">
      <c r="A1441" s="5"/>
    </row>
    <row r="1442" spans="1:1" customFormat="1" x14ac:dyDescent="0.25">
      <c r="A1442" s="5"/>
    </row>
    <row r="1443" spans="1:1" customFormat="1" x14ac:dyDescent="0.25">
      <c r="A1443" s="5"/>
    </row>
    <row r="1444" spans="1:1" customFormat="1" x14ac:dyDescent="0.25">
      <c r="A1444" s="5"/>
    </row>
    <row r="1445" spans="1:1" customFormat="1" x14ac:dyDescent="0.25">
      <c r="A1445" s="5"/>
    </row>
    <row r="1446" spans="1:1" customFormat="1" x14ac:dyDescent="0.25">
      <c r="A1446" s="5"/>
    </row>
    <row r="1447" spans="1:1" customFormat="1" x14ac:dyDescent="0.25">
      <c r="A1447" s="5"/>
    </row>
    <row r="1448" spans="1:1" customFormat="1" x14ac:dyDescent="0.25">
      <c r="A1448" s="5"/>
    </row>
    <row r="1449" spans="1:1" customFormat="1" x14ac:dyDescent="0.25">
      <c r="A1449" s="5"/>
    </row>
    <row r="1450" spans="1:1" customFormat="1" x14ac:dyDescent="0.25">
      <c r="A1450" s="5"/>
    </row>
    <row r="1451" spans="1:1" customFormat="1" x14ac:dyDescent="0.25">
      <c r="A1451" s="5"/>
    </row>
    <row r="1452" spans="1:1" customFormat="1" x14ac:dyDescent="0.25">
      <c r="A1452" s="5"/>
    </row>
    <row r="1453" spans="1:1" customFormat="1" x14ac:dyDescent="0.25">
      <c r="A1453" s="5"/>
    </row>
    <row r="1454" spans="1:1" customFormat="1" x14ac:dyDescent="0.25">
      <c r="A1454" s="5"/>
    </row>
    <row r="1455" spans="1:1" customFormat="1" x14ac:dyDescent="0.25">
      <c r="A1455" s="5"/>
    </row>
    <row r="1456" spans="1:1" customFormat="1" x14ac:dyDescent="0.25">
      <c r="A1456" s="5"/>
    </row>
    <row r="1457" spans="1:1" customFormat="1" x14ac:dyDescent="0.25">
      <c r="A1457" s="5"/>
    </row>
    <row r="1458" spans="1:1" customFormat="1" x14ac:dyDescent="0.25">
      <c r="A1458" s="5"/>
    </row>
    <row r="1459" spans="1:1" customFormat="1" x14ac:dyDescent="0.25">
      <c r="A1459" s="5"/>
    </row>
    <row r="1460" spans="1:1" customFormat="1" x14ac:dyDescent="0.25">
      <c r="A1460" s="5"/>
    </row>
    <row r="1461" spans="1:1" customFormat="1" x14ac:dyDescent="0.25">
      <c r="A1461" s="5"/>
    </row>
    <row r="1462" spans="1:1" customFormat="1" x14ac:dyDescent="0.25">
      <c r="A1462" s="5"/>
    </row>
    <row r="1463" spans="1:1" customFormat="1" x14ac:dyDescent="0.25">
      <c r="A1463" s="5"/>
    </row>
    <row r="1464" spans="1:1" customFormat="1" x14ac:dyDescent="0.25">
      <c r="A1464" s="5"/>
    </row>
    <row r="1465" spans="1:1" customFormat="1" x14ac:dyDescent="0.25">
      <c r="A1465" s="5"/>
    </row>
    <row r="1466" spans="1:1" customFormat="1" x14ac:dyDescent="0.25">
      <c r="A1466" s="5"/>
    </row>
    <row r="1467" spans="1:1" customFormat="1" x14ac:dyDescent="0.25">
      <c r="A1467" s="5"/>
    </row>
    <row r="1468" spans="1:1" customFormat="1" x14ac:dyDescent="0.25">
      <c r="A1468" s="5"/>
    </row>
    <row r="1469" spans="1:1" customFormat="1" x14ac:dyDescent="0.25">
      <c r="A1469" s="5"/>
    </row>
    <row r="1470" spans="1:1" customFormat="1" x14ac:dyDescent="0.25">
      <c r="A1470" s="5"/>
    </row>
    <row r="1471" spans="1:1" customFormat="1" x14ac:dyDescent="0.25">
      <c r="A1471" s="5"/>
    </row>
    <row r="1472" spans="1:1" customFormat="1" x14ac:dyDescent="0.25">
      <c r="A1472" s="5"/>
    </row>
    <row r="1473" spans="1:1" customFormat="1" x14ac:dyDescent="0.25">
      <c r="A1473" s="5"/>
    </row>
    <row r="1474" spans="1:1" customFormat="1" x14ac:dyDescent="0.25">
      <c r="A1474" s="5"/>
    </row>
    <row r="1475" spans="1:1" customFormat="1" x14ac:dyDescent="0.25">
      <c r="A1475" s="5"/>
    </row>
    <row r="1476" spans="1:1" customFormat="1" x14ac:dyDescent="0.25">
      <c r="A1476" s="5"/>
    </row>
    <row r="1477" spans="1:1" customFormat="1" x14ac:dyDescent="0.25">
      <c r="A1477" s="5"/>
    </row>
    <row r="1478" spans="1:1" customFormat="1" x14ac:dyDescent="0.25">
      <c r="A1478" s="5"/>
    </row>
    <row r="1479" spans="1:1" customFormat="1" x14ac:dyDescent="0.25">
      <c r="A1479" s="5"/>
    </row>
    <row r="1480" spans="1:1" customFormat="1" x14ac:dyDescent="0.25">
      <c r="A1480" s="5"/>
    </row>
    <row r="1481" spans="1:1" customFormat="1" x14ac:dyDescent="0.25">
      <c r="A1481" s="5"/>
    </row>
    <row r="1482" spans="1:1" customFormat="1" x14ac:dyDescent="0.25">
      <c r="A1482" s="5"/>
    </row>
    <row r="1483" spans="1:1" customFormat="1" x14ac:dyDescent="0.25">
      <c r="A1483" s="5"/>
    </row>
    <row r="1484" spans="1:1" customFormat="1" x14ac:dyDescent="0.25">
      <c r="A1484" s="5"/>
    </row>
    <row r="1485" spans="1:1" customFormat="1" x14ac:dyDescent="0.25">
      <c r="A1485" s="5"/>
    </row>
    <row r="1486" spans="1:1" customFormat="1" x14ac:dyDescent="0.25">
      <c r="A1486" s="5"/>
    </row>
    <row r="1487" spans="1:1" customFormat="1" x14ac:dyDescent="0.25">
      <c r="A1487" s="5"/>
    </row>
    <row r="1488" spans="1:1" customFormat="1" x14ac:dyDescent="0.25">
      <c r="A1488" s="5"/>
    </row>
    <row r="1489" spans="1:1" customFormat="1" x14ac:dyDescent="0.25">
      <c r="A1489" s="5"/>
    </row>
    <row r="1490" spans="1:1" customFormat="1" x14ac:dyDescent="0.25">
      <c r="A1490" s="5"/>
    </row>
    <row r="1491" spans="1:1" customFormat="1" x14ac:dyDescent="0.25">
      <c r="A1491" s="5"/>
    </row>
    <row r="1492" spans="1:1" customFormat="1" x14ac:dyDescent="0.25">
      <c r="A1492" s="5"/>
    </row>
    <row r="1493" spans="1:1" customFormat="1" x14ac:dyDescent="0.25">
      <c r="A1493" s="5"/>
    </row>
    <row r="1494" spans="1:1" customFormat="1" x14ac:dyDescent="0.25">
      <c r="A1494" s="5"/>
    </row>
    <row r="1495" spans="1:1" customFormat="1" x14ac:dyDescent="0.25">
      <c r="A1495" s="5"/>
    </row>
    <row r="1496" spans="1:1" customFormat="1" x14ac:dyDescent="0.25">
      <c r="A1496" s="5"/>
    </row>
    <row r="1497" spans="1:1" customFormat="1" x14ac:dyDescent="0.25">
      <c r="A1497" s="5"/>
    </row>
    <row r="1498" spans="1:1" customFormat="1" x14ac:dyDescent="0.25">
      <c r="A1498" s="5"/>
    </row>
    <row r="1499" spans="1:1" customFormat="1" x14ac:dyDescent="0.25">
      <c r="A1499" s="5"/>
    </row>
    <row r="1500" spans="1:1" customFormat="1" x14ac:dyDescent="0.25">
      <c r="A1500" s="5"/>
    </row>
    <row r="1501" spans="1:1" customFormat="1" x14ac:dyDescent="0.25">
      <c r="A1501" s="5"/>
    </row>
    <row r="1502" spans="1:1" customFormat="1" x14ac:dyDescent="0.25">
      <c r="A1502" s="5"/>
    </row>
    <row r="1503" spans="1:1" customFormat="1" x14ac:dyDescent="0.25">
      <c r="A1503" s="5"/>
    </row>
  </sheetData>
  <conditionalFormatting sqref="D1:D1048576">
    <cfRule type="cellIs" dxfId="0" priority="1" operator="lessThan">
      <formula>$A$2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Charts</vt:lpstr>
      </vt:variant>
      <vt:variant>
        <vt:i4>1</vt:i4>
      </vt:variant>
    </vt:vector>
  </HeadingPairs>
  <TitlesOfParts>
    <vt:vector size="8" baseType="lpstr">
      <vt:lpstr>table (1)</vt:lpstr>
      <vt:lpstr>1%</vt:lpstr>
      <vt:lpstr>2%</vt:lpstr>
      <vt:lpstr>5%</vt:lpstr>
      <vt:lpstr>10%</vt:lpstr>
      <vt:lpstr>INVEST</vt:lpstr>
      <vt:lpstr>TEMP</vt:lpstr>
      <vt:lpstr>Chart1</vt:lpstr>
    </vt:vector>
  </TitlesOfParts>
  <Company>E3MS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Bruekers</dc:creator>
  <cp:lastModifiedBy>Lincoln</cp:lastModifiedBy>
  <dcterms:created xsi:type="dcterms:W3CDTF">2018-07-12T12:26:33Z</dcterms:created>
  <dcterms:modified xsi:type="dcterms:W3CDTF">2022-02-12T00:48:24Z</dcterms:modified>
</cp:coreProperties>
</file>