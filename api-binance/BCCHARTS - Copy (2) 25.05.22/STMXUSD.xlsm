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F2F1112-1ADA-4408-9D69-EA7EF4DE4AE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S766" i="1"/>
  <c r="T766" i="1" s="1"/>
  <c r="C2" i="1" l="1"/>
  <c r="D2" i="1"/>
  <c r="C116" i="5"/>
  <c r="C122" i="5"/>
  <c r="C133" i="5" s="1"/>
  <c r="D136" i="5" s="1"/>
  <c r="C122" i="4"/>
  <c r="C133" i="4" s="1"/>
  <c r="C136" i="4" s="1"/>
  <c r="C118" i="4"/>
  <c r="C116" i="4"/>
  <c r="C122" i="3"/>
  <c r="C133" i="3" s="1"/>
  <c r="D136" i="3" s="1"/>
  <c r="C118" i="3"/>
  <c r="C116" i="3"/>
  <c r="R765" i="1"/>
  <c r="C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<sst xmlns="http://schemas.openxmlformats.org/spreadsheetml/2006/main" count="7011" uniqueCount="34">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</sst>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1.3270000000000001E-2</c:v>
                </c:pt>
                <c:pt idx="1">
                  <c:v>1.341E-2</c:v>
                </c:pt>
                <c:pt idx="2">
                  <c:v>1.321E-2</c:v>
                </c:pt>
                <c:pt idx="3">
                  <c:v>1.311E-2</c:v>
                </c:pt>
                <c:pt idx="4">
                  <c:v>1.328E-2</c:v>
                </c:pt>
                <c:pt idx="5">
                  <c:v>1.2460000000000001E-2</c:v>
                </c:pt>
                <c:pt idx="6">
                  <c:v>1.3849999999999999E-2</c:v>
                </c:pt>
                <c:pt idx="7">
                  <c:v>1.6150000000000001E-2</c:v>
                </c:pt>
                <c:pt idx="8">
                  <c:v>1.6899999999999998E-2</c:v>
                </c:pt>
                <c:pt idx="9">
                  <c:v>1.7909999999999999E-2</c:v>
                </c:pt>
                <c:pt idx="10">
                  <c:v>1.8259999999999998E-2</c:v>
                </c:pt>
                <c:pt idx="11">
                  <c:v>1.9050000000000001E-2</c:v>
                </c:pt>
                <c:pt idx="12">
                  <c:v>1.8929999999999999E-2</c:v>
                </c:pt>
                <c:pt idx="13">
                  <c:v>1.8679999999999999E-2</c:v>
                </c:pt>
                <c:pt idx="14">
                  <c:v>1.8550000000000001E-2</c:v>
                </c:pt>
                <c:pt idx="15">
                  <c:v>1.9470000000000001E-2</c:v>
                </c:pt>
                <c:pt idx="16">
                  <c:v>1.8499999999999999E-2</c:v>
                </c:pt>
                <c:pt idx="17">
                  <c:v>1.7770000000000001E-2</c:v>
                </c:pt>
                <c:pt idx="18">
                  <c:v>1.8509999999999999E-2</c:v>
                </c:pt>
                <c:pt idx="19">
                  <c:v>1.8249999999999999E-2</c:v>
                </c:pt>
                <c:pt idx="20">
                  <c:v>1.9199999999999998E-2</c:v>
                </c:pt>
                <c:pt idx="21">
                  <c:v>2.035E-2</c:v>
                </c:pt>
                <c:pt idx="22">
                  <c:v>2.0299999999999999E-2</c:v>
                </c:pt>
                <c:pt idx="23">
                  <c:v>2.2110000000000001E-2</c:v>
                </c:pt>
                <c:pt idx="24">
                  <c:v>2.2880000000000001E-2</c:v>
                </c:pt>
                <c:pt idx="25">
                  <c:v>2.3259999999999999E-2</c:v>
                </c:pt>
                <c:pt idx="26">
                  <c:v>2.179E-2</c:v>
                </c:pt>
                <c:pt idx="27">
                  <c:v>2.103E-2</c:v>
                </c:pt>
                <c:pt idx="28">
                  <c:v>2.1530000000000001E-2</c:v>
                </c:pt>
                <c:pt idx="29">
                  <c:v>2.129E-2</c:v>
                </c:pt>
                <c:pt idx="30">
                  <c:v>2.1919999999999999E-2</c:v>
                </c:pt>
                <c:pt idx="31">
                  <c:v>2.4250000000000001E-2</c:v>
                </c:pt>
                <c:pt idx="32">
                  <c:v>2.4549999999999999E-2</c:v>
                </c:pt>
                <c:pt idx="33">
                  <c:v>2.443E-2</c:v>
                </c:pt>
                <c:pt idx="34">
                  <c:v>2.3779999999999999E-2</c:v>
                </c:pt>
                <c:pt idx="35">
                  <c:v>2.4140000000000002E-2</c:v>
                </c:pt>
                <c:pt idx="36">
                  <c:v>2.264E-2</c:v>
                </c:pt>
                <c:pt idx="37">
                  <c:v>2.2280000000000001E-2</c:v>
                </c:pt>
                <c:pt idx="38">
                  <c:v>2.1229999999999999E-2</c:v>
                </c:pt>
                <c:pt idx="39">
                  <c:v>2.1819999999999999E-2</c:v>
                </c:pt>
                <c:pt idx="40">
                  <c:v>2.2259999999999999E-2</c:v>
                </c:pt>
                <c:pt idx="41">
                  <c:v>2.189E-2</c:v>
                </c:pt>
                <c:pt idx="42">
                  <c:v>2.155E-2</c:v>
                </c:pt>
                <c:pt idx="43">
                  <c:v>2.206E-2</c:v>
                </c:pt>
                <c:pt idx="44">
                  <c:v>2.1229999999999999E-2</c:v>
                </c:pt>
                <c:pt idx="45">
                  <c:v>2.104E-2</c:v>
                </c:pt>
                <c:pt idx="46">
                  <c:v>2.418E-2</c:v>
                </c:pt>
                <c:pt idx="47">
                  <c:v>2.409E-2</c:v>
                </c:pt>
                <c:pt idx="48">
                  <c:v>2.4209999999999999E-2</c:v>
                </c:pt>
                <c:pt idx="49">
                  <c:v>2.7189999999999999E-2</c:v>
                </c:pt>
                <c:pt idx="50">
                  <c:v>2.6069999999999999E-2</c:v>
                </c:pt>
                <c:pt idx="51">
                  <c:v>2.487E-2</c:v>
                </c:pt>
                <c:pt idx="52">
                  <c:v>2.3980000000000001E-2</c:v>
                </c:pt>
                <c:pt idx="53">
                  <c:v>2.2890000000000001E-2</c:v>
                </c:pt>
                <c:pt idx="54">
                  <c:v>2.5559999999999999E-2</c:v>
                </c:pt>
                <c:pt idx="55">
                  <c:v>3.0460000000000001E-2</c:v>
                </c:pt>
                <c:pt idx="56">
                  <c:v>3.5680000000000003E-2</c:v>
                </c:pt>
                <c:pt idx="57">
                  <c:v>3.0249999999999999E-2</c:v>
                </c:pt>
                <c:pt idx="58">
                  <c:v>3.0099999999999998E-2</c:v>
                </c:pt>
                <c:pt idx="59">
                  <c:v>3.1199999999999999E-2</c:v>
                </c:pt>
                <c:pt idx="60">
                  <c:v>3.049E-2</c:v>
                </c:pt>
                <c:pt idx="61">
                  <c:v>3.1519999999999999E-2</c:v>
                </c:pt>
                <c:pt idx="62">
                  <c:v>3.0540000000000001E-2</c:v>
                </c:pt>
                <c:pt idx="63">
                  <c:v>3.508E-2</c:v>
                </c:pt>
                <c:pt idx="64">
                  <c:v>3.0360000000000002E-2</c:v>
                </c:pt>
                <c:pt idx="65">
                  <c:v>3.048E-2</c:v>
                </c:pt>
                <c:pt idx="66">
                  <c:v>3.0200000000000001E-2</c:v>
                </c:pt>
                <c:pt idx="67">
                  <c:v>3.1320000000000001E-2</c:v>
                </c:pt>
                <c:pt idx="68">
                  <c:v>3.2730000000000002E-2</c:v>
                </c:pt>
                <c:pt idx="69">
                  <c:v>2.9760000000000002E-2</c:v>
                </c:pt>
                <c:pt idx="70">
                  <c:v>2.877E-2</c:v>
                </c:pt>
                <c:pt idx="71">
                  <c:v>3.2079999999999997E-2</c:v>
                </c:pt>
                <c:pt idx="72">
                  <c:v>2.9440000000000001E-2</c:v>
                </c:pt>
                <c:pt idx="73">
                  <c:v>3.1699999999999999E-2</c:v>
                </c:pt>
                <c:pt idx="74">
                  <c:v>3.032E-2</c:v>
                </c:pt>
                <c:pt idx="75">
                  <c:v>3.0620000000000001E-2</c:v>
                </c:pt>
                <c:pt idx="76">
                  <c:v>2.9989999999999999E-2</c:v>
                </c:pt>
                <c:pt idx="77">
                  <c:v>3.0040000000000001E-2</c:v>
                </c:pt>
                <c:pt idx="78">
                  <c:v>2.9559999999999999E-2</c:v>
                </c:pt>
                <c:pt idx="79">
                  <c:v>3.218E-2</c:v>
                </c:pt>
                <c:pt idx="80">
                  <c:v>3.2070000000000001E-2</c:v>
                </c:pt>
                <c:pt idx="81">
                  <c:v>3.2509999999999997E-2</c:v>
                </c:pt>
                <c:pt idx="82">
                  <c:v>3.2849999999999997E-2</c:v>
                </c:pt>
                <c:pt idx="83">
                  <c:v>3.2899999999999999E-2</c:v>
                </c:pt>
                <c:pt idx="84">
                  <c:v>3.2930000000000001E-2</c:v>
                </c:pt>
                <c:pt idx="85">
                  <c:v>3.2399999999999998E-2</c:v>
                </c:pt>
                <c:pt idx="86">
                  <c:v>3.3700000000000001E-2</c:v>
                </c:pt>
                <c:pt idx="87">
                  <c:v>3.1649999999999998E-2</c:v>
                </c:pt>
                <c:pt idx="88">
                  <c:v>3.2370000000000003E-2</c:v>
                </c:pt>
                <c:pt idx="89">
                  <c:v>3.0509999999999999E-2</c:v>
                </c:pt>
                <c:pt idx="90">
                  <c:v>2.962E-2</c:v>
                </c:pt>
                <c:pt idx="91">
                  <c:v>2.827E-2</c:v>
                </c:pt>
                <c:pt idx="92">
                  <c:v>2.6790000000000001E-2</c:v>
                </c:pt>
                <c:pt idx="93">
                  <c:v>3.0890000000000001E-2</c:v>
                </c:pt>
                <c:pt idx="94">
                  <c:v>3.1879999999999999E-2</c:v>
                </c:pt>
                <c:pt idx="95">
                  <c:v>3.125E-2</c:v>
                </c:pt>
                <c:pt idx="96">
                  <c:v>3.1949999999999999E-2</c:v>
                </c:pt>
                <c:pt idx="97">
                  <c:v>3.2199999999999999E-2</c:v>
                </c:pt>
                <c:pt idx="98">
                  <c:v>3.1969999999999998E-2</c:v>
                </c:pt>
                <c:pt idx="99">
                  <c:v>3.2039999999999999E-2</c:v>
                </c:pt>
                <c:pt idx="100">
                  <c:v>3.0779999999999998E-2</c:v>
                </c:pt>
                <c:pt idx="101">
                  <c:v>3.0769999999999999E-2</c:v>
                </c:pt>
                <c:pt idx="102">
                  <c:v>3.0179999999999998E-2</c:v>
                </c:pt>
                <c:pt idx="103">
                  <c:v>3.15E-2</c:v>
                </c:pt>
                <c:pt idx="104">
                  <c:v>3.1230000000000001E-2</c:v>
                </c:pt>
                <c:pt idx="105">
                  <c:v>3.3369999999999997E-2</c:v>
                </c:pt>
                <c:pt idx="106">
                  <c:v>3.313E-2</c:v>
                </c:pt>
                <c:pt idx="107">
                  <c:v>3.1809999999999998E-2</c:v>
                </c:pt>
                <c:pt idx="108">
                  <c:v>3.3439999999999998E-2</c:v>
                </c:pt>
                <c:pt idx="109">
                  <c:v>3.4320000000000003E-2</c:v>
                </c:pt>
                <c:pt idx="110">
                  <c:v>3.5929999999999997E-2</c:v>
                </c:pt>
                <c:pt idx="111">
                  <c:v>3.7539999999999997E-2</c:v>
                </c:pt>
                <c:pt idx="112">
                  <c:v>3.4819999999999997E-2</c:v>
                </c:pt>
                <c:pt idx="113">
                  <c:v>3.2849999999999997E-2</c:v>
                </c:pt>
                <c:pt idx="114">
                  <c:v>3.2239999999999998E-2</c:v>
                </c:pt>
                <c:pt idx="115">
                  <c:v>2.947E-2</c:v>
                </c:pt>
                <c:pt idx="116">
                  <c:v>3.0640000000000001E-2</c:v>
                </c:pt>
                <c:pt idx="117">
                  <c:v>3.0499999999999999E-2</c:v>
                </c:pt>
                <c:pt idx="118">
                  <c:v>2.9020000000000001E-2</c:v>
                </c:pt>
                <c:pt idx="119">
                  <c:v>2.5989999999999999E-2</c:v>
                </c:pt>
                <c:pt idx="120">
                  <c:v>2.384E-2</c:v>
                </c:pt>
                <c:pt idx="121">
                  <c:v>2.3359999999999999E-2</c:v>
                </c:pt>
                <c:pt idx="122">
                  <c:v>2.4910000000000002E-2</c:v>
                </c:pt>
                <c:pt idx="123">
                  <c:v>2.554E-2</c:v>
                </c:pt>
                <c:pt idx="124">
                  <c:v>2.6329999999999999E-2</c:v>
                </c:pt>
                <c:pt idx="125">
                  <c:v>2.657E-2</c:v>
                </c:pt>
                <c:pt idx="126">
                  <c:v>2.9350000000000001E-2</c:v>
                </c:pt>
                <c:pt idx="127">
                  <c:v>2.8060000000000002E-2</c:v>
                </c:pt>
                <c:pt idx="128">
                  <c:v>2.4809999999999999E-2</c:v>
                </c:pt>
                <c:pt idx="129">
                  <c:v>2.972E-2</c:v>
                </c:pt>
                <c:pt idx="130">
                  <c:v>3.3369999999999997E-2</c:v>
                </c:pt>
                <c:pt idx="131">
                  <c:v>3.5119999999999998E-2</c:v>
                </c:pt>
                <c:pt idx="132">
                  <c:v>3.354E-2</c:v>
                </c:pt>
                <c:pt idx="133">
                  <c:v>3.397E-2</c:v>
                </c:pt>
                <c:pt idx="134">
                  <c:v>3.5229999999999997E-2</c:v>
                </c:pt>
                <c:pt idx="135">
                  <c:v>3.39E-2</c:v>
                </c:pt>
                <c:pt idx="136">
                  <c:v>3.2910000000000002E-2</c:v>
                </c:pt>
                <c:pt idx="137">
                  <c:v>3.5560000000000001E-2</c:v>
                </c:pt>
                <c:pt idx="138">
                  <c:v>3.483E-2</c:v>
                </c:pt>
                <c:pt idx="139">
                  <c:v>3.5130000000000002E-2</c:v>
                </c:pt>
                <c:pt idx="140">
                  <c:v>3.8699999999999998E-2</c:v>
                </c:pt>
                <c:pt idx="141">
                  <c:v>3.4700000000000002E-2</c:v>
                </c:pt>
                <c:pt idx="142">
                  <c:v>3.4419999999999999E-2</c:v>
                </c:pt>
                <c:pt idx="143">
                  <c:v>4.3310000000000001E-2</c:v>
                </c:pt>
                <c:pt idx="144">
                  <c:v>4.3369999999999999E-2</c:v>
                </c:pt>
                <c:pt idx="145">
                  <c:v>5.5870000000000003E-2</c:v>
                </c:pt>
                <c:pt idx="146">
                  <c:v>3.5959999999999999E-2</c:v>
                </c:pt>
                <c:pt idx="147">
                  <c:v>3.4840000000000003E-2</c:v>
                </c:pt>
                <c:pt idx="148">
                  <c:v>3.5380000000000002E-2</c:v>
                </c:pt>
                <c:pt idx="149">
                  <c:v>3.2989999999999998E-2</c:v>
                </c:pt>
                <c:pt idx="150">
                  <c:v>3.1690000000000003E-2</c:v>
                </c:pt>
                <c:pt idx="151">
                  <c:v>3.4049999999999997E-2</c:v>
                </c:pt>
                <c:pt idx="152">
                  <c:v>3.0669999999999999E-2</c:v>
                </c:pt>
                <c:pt idx="153">
                  <c:v>3.0419999999999999E-2</c:v>
                </c:pt>
                <c:pt idx="154">
                  <c:v>2.9080000000000002E-2</c:v>
                </c:pt>
                <c:pt idx="155">
                  <c:v>3.2010999999999998E-2</c:v>
                </c:pt>
                <c:pt idx="156">
                  <c:v>3.0731000000000001E-2</c:v>
                </c:pt>
                <c:pt idx="157">
                  <c:v>3.3570999999999997E-2</c:v>
                </c:pt>
                <c:pt idx="158">
                  <c:v>3.0615E-2</c:v>
                </c:pt>
                <c:pt idx="159">
                  <c:v>2.9939E-2</c:v>
                </c:pt>
                <c:pt idx="160">
                  <c:v>3.0322999999999999E-2</c:v>
                </c:pt>
                <c:pt idx="161">
                  <c:v>2.9253999999999999E-2</c:v>
                </c:pt>
                <c:pt idx="162">
                  <c:v>2.7845999999999999E-2</c:v>
                </c:pt>
                <c:pt idx="163">
                  <c:v>2.8545000000000001E-2</c:v>
                </c:pt>
                <c:pt idx="164">
                  <c:v>3.0945E-2</c:v>
                </c:pt>
                <c:pt idx="165">
                  <c:v>2.9947000000000001E-2</c:v>
                </c:pt>
                <c:pt idx="166">
                  <c:v>3.0158999999999998E-2</c:v>
                </c:pt>
                <c:pt idx="167">
                  <c:v>3.0542E-2</c:v>
                </c:pt>
                <c:pt idx="168">
                  <c:v>2.8273E-2</c:v>
                </c:pt>
                <c:pt idx="169">
                  <c:v>3.0071000000000001E-2</c:v>
                </c:pt>
                <c:pt idx="170">
                  <c:v>2.6911000000000001E-2</c:v>
                </c:pt>
                <c:pt idx="171">
                  <c:v>2.6075999999999998E-2</c:v>
                </c:pt>
                <c:pt idx="172">
                  <c:v>2.5505E-2</c:v>
                </c:pt>
                <c:pt idx="173">
                  <c:v>2.571E-2</c:v>
                </c:pt>
                <c:pt idx="174">
                  <c:v>2.5152999999999998E-2</c:v>
                </c:pt>
                <c:pt idx="175">
                  <c:v>2.4597000000000001E-2</c:v>
                </c:pt>
                <c:pt idx="176">
                  <c:v>2.3421000000000001E-2</c:v>
                </c:pt>
                <c:pt idx="177">
                  <c:v>2.1284000000000001E-2</c:v>
                </c:pt>
                <c:pt idx="178">
                  <c:v>2.2134999999999998E-2</c:v>
                </c:pt>
                <c:pt idx="179">
                  <c:v>2.2166999999999999E-2</c:v>
                </c:pt>
                <c:pt idx="180">
                  <c:v>2.3883000000000001E-2</c:v>
                </c:pt>
                <c:pt idx="181">
                  <c:v>2.3105000000000001E-2</c:v>
                </c:pt>
                <c:pt idx="182">
                  <c:v>2.0931999999999999E-2</c:v>
                </c:pt>
                <c:pt idx="183">
                  <c:v>1.9635E-2</c:v>
                </c:pt>
                <c:pt idx="184">
                  <c:v>1.9196000000000001E-2</c:v>
                </c:pt>
                <c:pt idx="185">
                  <c:v>1.9042E-2</c:v>
                </c:pt>
                <c:pt idx="186">
                  <c:v>1.6816000000000001E-2</c:v>
                </c:pt>
                <c:pt idx="187">
                  <c:v>1.6801E-2</c:v>
                </c:pt>
                <c:pt idx="188">
                  <c:v>1.6014E-2</c:v>
                </c:pt>
                <c:pt idx="189">
                  <c:v>1.5744000000000001E-2</c:v>
                </c:pt>
                <c:pt idx="190">
                  <c:v>1.5164E-2</c:v>
                </c:pt>
                <c:pt idx="191">
                  <c:v>1.4180999999999999E-2</c:v>
                </c:pt>
                <c:pt idx="192">
                  <c:v>1.549E-2</c:v>
                </c:pt>
                <c:pt idx="193">
                  <c:v>1.6156E-2</c:v>
                </c:pt>
                <c:pt idx="194">
                  <c:v>1.6178999999999999E-2</c:v>
                </c:pt>
                <c:pt idx="195">
                  <c:v>1.5484E-2</c:v>
                </c:pt>
                <c:pt idx="196">
                  <c:v>1.7159000000000001E-2</c:v>
                </c:pt>
                <c:pt idx="197">
                  <c:v>1.8283000000000001E-2</c:v>
                </c:pt>
                <c:pt idx="198">
                  <c:v>1.9199999999999998E-2</c:v>
                </c:pt>
                <c:pt idx="199">
                  <c:v>1.9979E-2</c:v>
                </c:pt>
                <c:pt idx="200">
                  <c:v>1.9146E-2</c:v>
                </c:pt>
                <c:pt idx="201">
                  <c:v>1.8610999999999999E-2</c:v>
                </c:pt>
                <c:pt idx="202">
                  <c:v>1.8499999999999999E-2</c:v>
                </c:pt>
                <c:pt idx="203">
                  <c:v>1.8384999999999999E-2</c:v>
                </c:pt>
                <c:pt idx="204">
                  <c:v>2.0881E-2</c:v>
                </c:pt>
                <c:pt idx="205">
                  <c:v>2.0686E-2</c:v>
                </c:pt>
                <c:pt idx="206">
                  <c:v>2.0403000000000001E-2</c:v>
                </c:pt>
                <c:pt idx="207">
                  <c:v>2.1607999999999999E-2</c:v>
                </c:pt>
                <c:pt idx="208">
                  <c:v>2.1447999999999998E-2</c:v>
                </c:pt>
                <c:pt idx="209">
                  <c:v>2.1479999999999999E-2</c:v>
                </c:pt>
                <c:pt idx="210">
                  <c:v>2.0386999999999999E-2</c:v>
                </c:pt>
                <c:pt idx="211">
                  <c:v>1.8855E-2</c:v>
                </c:pt>
                <c:pt idx="212">
                  <c:v>1.7507000000000002E-2</c:v>
                </c:pt>
                <c:pt idx="213">
                  <c:v>1.6305E-2</c:v>
                </c:pt>
                <c:pt idx="214">
                  <c:v>1.4225E-2</c:v>
                </c:pt>
                <c:pt idx="215">
                  <c:v>1.3278E-2</c:v>
                </c:pt>
                <c:pt idx="216">
                  <c:v>1.2988E-2</c:v>
                </c:pt>
                <c:pt idx="217">
                  <c:v>1.4075000000000001E-2</c:v>
                </c:pt>
                <c:pt idx="218">
                  <c:v>1.3089999999999999E-2</c:v>
                </c:pt>
                <c:pt idx="219">
                  <c:v>1.2356000000000001E-2</c:v>
                </c:pt>
                <c:pt idx="220">
                  <c:v>1.3701E-2</c:v>
                </c:pt>
                <c:pt idx="221">
                  <c:v>1.9188E-2</c:v>
                </c:pt>
                <c:pt idx="222">
                  <c:v>1.8917E-2</c:v>
                </c:pt>
                <c:pt idx="223">
                  <c:v>1.9675000000000002E-2</c:v>
                </c:pt>
                <c:pt idx="224">
                  <c:v>2.069E-2</c:v>
                </c:pt>
                <c:pt idx="225">
                  <c:v>2.0898E-2</c:v>
                </c:pt>
                <c:pt idx="226">
                  <c:v>2.2418E-2</c:v>
                </c:pt>
                <c:pt idx="227">
                  <c:v>2.2450000000000001E-2</c:v>
                </c:pt>
                <c:pt idx="228">
                  <c:v>2.1295999999999999E-2</c:v>
                </c:pt>
                <c:pt idx="229">
                  <c:v>2.0249E-2</c:v>
                </c:pt>
                <c:pt idx="230">
                  <c:v>2.2155000000000001E-2</c:v>
                </c:pt>
                <c:pt idx="231">
                  <c:v>2.3245999999999999E-2</c:v>
                </c:pt>
                <c:pt idx="232">
                  <c:v>2.3347E-2</c:v>
                </c:pt>
                <c:pt idx="233">
                  <c:v>2.2381000000000002E-2</c:v>
                </c:pt>
                <c:pt idx="234">
                  <c:v>2.3365E-2</c:v>
                </c:pt>
                <c:pt idx="235">
                  <c:v>2.5943999999999998E-2</c:v>
                </c:pt>
                <c:pt idx="236">
                  <c:v>2.4095999999999999E-2</c:v>
                </c:pt>
                <c:pt idx="237">
                  <c:v>2.4875999999999999E-2</c:v>
                </c:pt>
                <c:pt idx="238">
                  <c:v>2.7123000000000001E-2</c:v>
                </c:pt>
                <c:pt idx="239">
                  <c:v>2.6242000000000001E-2</c:v>
                </c:pt>
                <c:pt idx="240">
                  <c:v>2.487E-2</c:v>
                </c:pt>
                <c:pt idx="241">
                  <c:v>2.5663999999999999E-2</c:v>
                </c:pt>
                <c:pt idx="242">
                  <c:v>2.3976000000000001E-2</c:v>
                </c:pt>
                <c:pt idx="243">
                  <c:v>2.3120999999999999E-2</c:v>
                </c:pt>
                <c:pt idx="244">
                  <c:v>2.4510000000000001E-2</c:v>
                </c:pt>
                <c:pt idx="245">
                  <c:v>2.8738E-2</c:v>
                </c:pt>
                <c:pt idx="246">
                  <c:v>2.8545999999999998E-2</c:v>
                </c:pt>
                <c:pt idx="247">
                  <c:v>2.6061000000000001E-2</c:v>
                </c:pt>
                <c:pt idx="248">
                  <c:v>2.6466E-2</c:v>
                </c:pt>
                <c:pt idx="249">
                  <c:v>2.3296999999999998E-2</c:v>
                </c:pt>
                <c:pt idx="250">
                  <c:v>2.9405000000000001E-2</c:v>
                </c:pt>
                <c:pt idx="251">
                  <c:v>2.8818E-2</c:v>
                </c:pt>
                <c:pt idx="252">
                  <c:v>2.7553999999999999E-2</c:v>
                </c:pt>
                <c:pt idx="253">
                  <c:v>2.3203999999999999E-2</c:v>
                </c:pt>
                <c:pt idx="254">
                  <c:v>3.5873000000000002E-2</c:v>
                </c:pt>
                <c:pt idx="255">
                  <c:v>3.4452000000000003E-2</c:v>
                </c:pt>
                <c:pt idx="256">
                  <c:v>3.7505999999999998E-2</c:v>
                </c:pt>
                <c:pt idx="257">
                  <c:v>3.7862E-2</c:v>
                </c:pt>
                <c:pt idx="258">
                  <c:v>4.0049000000000001E-2</c:v>
                </c:pt>
                <c:pt idx="259">
                  <c:v>3.884E-2</c:v>
                </c:pt>
                <c:pt idx="260">
                  <c:v>3.8006999999999999E-2</c:v>
                </c:pt>
                <c:pt idx="261">
                  <c:v>4.6920000000000003E-2</c:v>
                </c:pt>
                <c:pt idx="262">
                  <c:v>4.1592999999999998E-2</c:v>
                </c:pt>
                <c:pt idx="263">
                  <c:v>4.8160000000000001E-2</c:v>
                </c:pt>
                <c:pt idx="264">
                  <c:v>4.9666000000000002E-2</c:v>
                </c:pt>
                <c:pt idx="265">
                  <c:v>5.0455E-2</c:v>
                </c:pt>
                <c:pt idx="266">
                  <c:v>5.0256000000000002E-2</c:v>
                </c:pt>
                <c:pt idx="267">
                  <c:v>5.3415999999999998E-2</c:v>
                </c:pt>
                <c:pt idx="268">
                  <c:v>4.8814999999999997E-2</c:v>
                </c:pt>
                <c:pt idx="269">
                  <c:v>5.6848999999999997E-2</c:v>
                </c:pt>
                <c:pt idx="270">
                  <c:v>5.7242000000000001E-2</c:v>
                </c:pt>
                <c:pt idx="271">
                  <c:v>5.9785999999999999E-2</c:v>
                </c:pt>
                <c:pt idx="272">
                  <c:v>6.2359999999999999E-2</c:v>
                </c:pt>
                <c:pt idx="273">
                  <c:v>5.0477000000000001E-2</c:v>
                </c:pt>
                <c:pt idx="274">
                  <c:v>5.2602000000000003E-2</c:v>
                </c:pt>
                <c:pt idx="275">
                  <c:v>5.4219000000000003E-2</c:v>
                </c:pt>
                <c:pt idx="276">
                  <c:v>4.7506E-2</c:v>
                </c:pt>
                <c:pt idx="277">
                  <c:v>4.0295999999999998E-2</c:v>
                </c:pt>
                <c:pt idx="278">
                  <c:v>4.0939000000000003E-2</c:v>
                </c:pt>
                <c:pt idx="279">
                  <c:v>4.0384999999999997E-2</c:v>
                </c:pt>
                <c:pt idx="280">
                  <c:v>4.2404999999999998E-2</c:v>
                </c:pt>
                <c:pt idx="281">
                  <c:v>4.9017999999999999E-2</c:v>
                </c:pt>
                <c:pt idx="282">
                  <c:v>4.9359E-2</c:v>
                </c:pt>
                <c:pt idx="283">
                  <c:v>5.0569999999999997E-2</c:v>
                </c:pt>
                <c:pt idx="284">
                  <c:v>5.6161000000000003E-2</c:v>
                </c:pt>
                <c:pt idx="285">
                  <c:v>6.5195000000000003E-2</c:v>
                </c:pt>
                <c:pt idx="286">
                  <c:v>6.2035E-2</c:v>
                </c:pt>
                <c:pt idx="287">
                  <c:v>6.5643000000000007E-2</c:v>
                </c:pt>
                <c:pt idx="288">
                  <c:v>6.3253000000000004E-2</c:v>
                </c:pt>
                <c:pt idx="289">
                  <c:v>7.0809999999999998E-2</c:v>
                </c:pt>
                <c:pt idx="290">
                  <c:v>6.8015999999999993E-2</c:v>
                </c:pt>
                <c:pt idx="291">
                  <c:v>7.2119000000000003E-2</c:v>
                </c:pt>
                <c:pt idx="292">
                  <c:v>7.1071999999999996E-2</c:v>
                </c:pt>
                <c:pt idx="293">
                  <c:v>7.5946E-2</c:v>
                </c:pt>
                <c:pt idx="294">
                  <c:v>7.8145000000000006E-2</c:v>
                </c:pt>
                <c:pt idx="295">
                  <c:v>6.2248999999999999E-2</c:v>
                </c:pt>
                <c:pt idx="296">
                  <c:v>8.2200999999999996E-2</c:v>
                </c:pt>
                <c:pt idx="297">
                  <c:v>7.9651E-2</c:v>
                </c:pt>
                <c:pt idx="298">
                  <c:v>7.6619000000000007E-2</c:v>
                </c:pt>
                <c:pt idx="299">
                  <c:v>7.1174000000000001E-2</c:v>
                </c:pt>
                <c:pt idx="300">
                  <c:v>8.4974999999999995E-2</c:v>
                </c:pt>
                <c:pt idx="301">
                  <c:v>6.5093999999999999E-2</c:v>
                </c:pt>
                <c:pt idx="302">
                  <c:v>6.6141000000000005E-2</c:v>
                </c:pt>
                <c:pt idx="303">
                  <c:v>5.8042000000000003E-2</c:v>
                </c:pt>
                <c:pt idx="304">
                  <c:v>5.6698999999999999E-2</c:v>
                </c:pt>
                <c:pt idx="305">
                  <c:v>5.5921999999999999E-2</c:v>
                </c:pt>
                <c:pt idx="306">
                  <c:v>5.8840000000000003E-2</c:v>
                </c:pt>
                <c:pt idx="307">
                  <c:v>5.5821000000000003E-2</c:v>
                </c:pt>
                <c:pt idx="308">
                  <c:v>5.0640999999999999E-2</c:v>
                </c:pt>
                <c:pt idx="309">
                  <c:v>5.3815000000000002E-2</c:v>
                </c:pt>
                <c:pt idx="310">
                  <c:v>5.0881999999999997E-2</c:v>
                </c:pt>
                <c:pt idx="311">
                  <c:v>5.2552000000000001E-2</c:v>
                </c:pt>
                <c:pt idx="312">
                  <c:v>6.4563999999999996E-2</c:v>
                </c:pt>
                <c:pt idx="313">
                  <c:v>0.06</c:v>
                </c:pt>
                <c:pt idx="314">
                  <c:v>6.6988000000000006E-2</c:v>
                </c:pt>
                <c:pt idx="315">
                  <c:v>3.8235999999999999E-2</c:v>
                </c:pt>
                <c:pt idx="316">
                  <c:v>3.8565000000000002E-2</c:v>
                </c:pt>
                <c:pt idx="317">
                  <c:v>2.6164E-2</c:v>
                </c:pt>
                <c:pt idx="318">
                  <c:v>2.1103E-2</c:v>
                </c:pt>
                <c:pt idx="319">
                  <c:v>2.1590000000000002E-2</c:v>
                </c:pt>
                <c:pt idx="320">
                  <c:v>1.7565000000000001E-2</c:v>
                </c:pt>
                <c:pt idx="321">
                  <c:v>1.2584E-2</c:v>
                </c:pt>
                <c:pt idx="322">
                  <c:v>1.2028E-2</c:v>
                </c:pt>
                <c:pt idx="323">
                  <c:v>1.2367E-2</c:v>
                </c:pt>
                <c:pt idx="324">
                  <c:v>1.1483999999999999E-2</c:v>
                </c:pt>
                <c:pt idx="325">
                  <c:v>1.0991000000000001E-2</c:v>
                </c:pt>
                <c:pt idx="326">
                  <c:v>1.0754E-2</c:v>
                </c:pt>
                <c:pt idx="327">
                  <c:v>1.0831E-2</c:v>
                </c:pt>
                <c:pt idx="328">
                  <c:v>1.0579E-2</c:v>
                </c:pt>
                <c:pt idx="329">
                  <c:v>9.8720000000000006E-3</c:v>
                </c:pt>
                <c:pt idx="330">
                  <c:v>1.0260999999999999E-2</c:v>
                </c:pt>
                <c:pt idx="331">
                  <c:v>9.554E-3</c:v>
                </c:pt>
                <c:pt idx="332">
                  <c:v>9.9069999999999991E-3</c:v>
                </c:pt>
                <c:pt idx="333">
                  <c:v>9.0270000000000003E-3</c:v>
                </c:pt>
                <c:pt idx="334">
                  <c:v>9.6539999999999994E-3</c:v>
                </c:pt>
                <c:pt idx="335">
                  <c:v>8.9630000000000005E-3</c:v>
                </c:pt>
                <c:pt idx="336">
                  <c:v>8.9619999999999995E-3</c:v>
                </c:pt>
                <c:pt idx="337">
                  <c:v>9.1179999999999994E-3</c:v>
                </c:pt>
                <c:pt idx="338">
                  <c:v>9.2999999999999992E-3</c:v>
                </c:pt>
                <c:pt idx="339">
                  <c:v>1.1332E-2</c:v>
                </c:pt>
                <c:pt idx="340">
                  <c:v>1.3348E-2</c:v>
                </c:pt>
                <c:pt idx="341">
                  <c:v>1.2987E-2</c:v>
                </c:pt>
                <c:pt idx="342">
                  <c:v>1.1138E-2</c:v>
                </c:pt>
                <c:pt idx="343">
                  <c:v>1.1379E-2</c:v>
                </c:pt>
                <c:pt idx="344">
                  <c:v>1.0359999999999999E-2</c:v>
                </c:pt>
                <c:pt idx="345">
                  <c:v>1.0156E-2</c:v>
                </c:pt>
                <c:pt idx="346">
                  <c:v>9.6679999999999995E-3</c:v>
                </c:pt>
                <c:pt idx="347">
                  <c:v>1.0749999999999999E-2</c:v>
                </c:pt>
                <c:pt idx="348">
                  <c:v>1.1516999999999999E-2</c:v>
                </c:pt>
                <c:pt idx="349">
                  <c:v>1.0834E-2</c:v>
                </c:pt>
                <c:pt idx="350">
                  <c:v>9.9979999999999999E-3</c:v>
                </c:pt>
                <c:pt idx="351">
                  <c:v>9.2829999999999996E-3</c:v>
                </c:pt>
                <c:pt idx="352">
                  <c:v>9.7719999999999994E-3</c:v>
                </c:pt>
                <c:pt idx="353">
                  <c:v>9.1000000000000004E-3</c:v>
                </c:pt>
                <c:pt idx="354">
                  <c:v>9.0379999999999992E-3</c:v>
                </c:pt>
                <c:pt idx="355">
                  <c:v>9.5499999999999995E-3</c:v>
                </c:pt>
                <c:pt idx="356">
                  <c:v>9.8440000000000003E-3</c:v>
                </c:pt>
                <c:pt idx="357">
                  <c:v>0.01</c:v>
                </c:pt>
                <c:pt idx="358">
                  <c:v>1.0474000000000001E-2</c:v>
                </c:pt>
                <c:pt idx="359">
                  <c:v>5.1359999999999999E-3</c:v>
                </c:pt>
                <c:pt idx="360">
                  <c:v>3.1129999999999999E-3</c:v>
                </c:pt>
                <c:pt idx="361">
                  <c:v>3.1779999999999998E-3</c:v>
                </c:pt>
                <c:pt idx="362">
                  <c:v>3.3909999999999999E-3</c:v>
                </c:pt>
                <c:pt idx="363">
                  <c:v>3.081E-3</c:v>
                </c:pt>
                <c:pt idx="364">
                  <c:v>2.9329999999999998E-3</c:v>
                </c:pt>
                <c:pt idx="365">
                  <c:v>2.552E-3</c:v>
                </c:pt>
                <c:pt idx="366">
                  <c:v>2.7360000000000002E-3</c:v>
                </c:pt>
                <c:pt idx="367">
                  <c:v>2.7650000000000001E-3</c:v>
                </c:pt>
                <c:pt idx="368">
                  <c:v>2.774E-3</c:v>
                </c:pt>
                <c:pt idx="369">
                  <c:v>2.6940000000000002E-3</c:v>
                </c:pt>
                <c:pt idx="370">
                  <c:v>2.7169999999999998E-3</c:v>
                </c:pt>
                <c:pt idx="371">
                  <c:v>2.66E-3</c:v>
                </c:pt>
                <c:pt idx="372">
                  <c:v>3.0100000000000001E-3</c:v>
                </c:pt>
                <c:pt idx="373">
                  <c:v>3.0850000000000001E-3</c:v>
                </c:pt>
                <c:pt idx="374">
                  <c:v>2.9269999999999999E-3</c:v>
                </c:pt>
                <c:pt idx="375">
                  <c:v>2.8570000000000002E-3</c:v>
                </c:pt>
                <c:pt idx="376">
                  <c:v>2.8630000000000001E-3</c:v>
                </c:pt>
                <c:pt idx="377">
                  <c:v>2.696E-3</c:v>
                </c:pt>
                <c:pt idx="378">
                  <c:v>2.6779999999999998E-3</c:v>
                </c:pt>
                <c:pt idx="379">
                  <c:v>2.5760000000000002E-3</c:v>
                </c:pt>
                <c:pt idx="380">
                  <c:v>2.4369999999999999E-3</c:v>
                </c:pt>
                <c:pt idx="381">
                  <c:v>2.4859999999999999E-3</c:v>
                </c:pt>
                <c:pt idx="382">
                  <c:v>2.7039999999999998E-3</c:v>
                </c:pt>
                <c:pt idx="383">
                  <c:v>2.918E-3</c:v>
                </c:pt>
                <c:pt idx="384">
                  <c:v>2.6059999999999998E-3</c:v>
                </c:pt>
                <c:pt idx="385">
                  <c:v>2.5999999999999999E-3</c:v>
                </c:pt>
                <c:pt idx="386">
                  <c:v>2.6229999999999999E-3</c:v>
                </c:pt>
                <c:pt idx="387">
                  <c:v>2.421E-3</c:v>
                </c:pt>
                <c:pt idx="388">
                  <c:v>2.5479999999999999E-3</c:v>
                </c:pt>
                <c:pt idx="389">
                  <c:v>2.4220000000000001E-3</c:v>
                </c:pt>
                <c:pt idx="390">
                  <c:v>2.4329999999999998E-3</c:v>
                </c:pt>
                <c:pt idx="391">
                  <c:v>2.5609999999999999E-3</c:v>
                </c:pt>
                <c:pt idx="392">
                  <c:v>2.2279999999999999E-3</c:v>
                </c:pt>
                <c:pt idx="393">
                  <c:v>2.2439999999999999E-3</c:v>
                </c:pt>
                <c:pt idx="394">
                  <c:v>2.2200000000000002E-3</c:v>
                </c:pt>
                <c:pt idx="395">
                  <c:v>2.3540000000000002E-3</c:v>
                </c:pt>
                <c:pt idx="396">
                  <c:v>2.2910000000000001E-3</c:v>
                </c:pt>
                <c:pt idx="397">
                  <c:v>2.297E-3</c:v>
                </c:pt>
                <c:pt idx="398">
                  <c:v>2.3389999999999999E-3</c:v>
                </c:pt>
                <c:pt idx="399">
                  <c:v>2.4239999999999999E-3</c:v>
                </c:pt>
                <c:pt idx="400">
                  <c:v>2.2669999999999999E-3</c:v>
                </c:pt>
                <c:pt idx="401">
                  <c:v>2.5309999999999998E-3</c:v>
                </c:pt>
                <c:pt idx="402">
                  <c:v>2.5920000000000001E-3</c:v>
                </c:pt>
                <c:pt idx="403">
                  <c:v>2.7560000000000002E-3</c:v>
                </c:pt>
                <c:pt idx="404">
                  <c:v>2.7550000000000001E-3</c:v>
                </c:pt>
                <c:pt idx="405">
                  <c:v>2.5799999999999998E-3</c:v>
                </c:pt>
                <c:pt idx="406">
                  <c:v>2.5270000000000002E-3</c:v>
                </c:pt>
                <c:pt idx="407">
                  <c:v>2.555E-3</c:v>
                </c:pt>
                <c:pt idx="408">
                  <c:v>2.4380000000000001E-3</c:v>
                </c:pt>
                <c:pt idx="409">
                  <c:v>2.4459999999999998E-3</c:v>
                </c:pt>
                <c:pt idx="410">
                  <c:v>2.4970000000000001E-3</c:v>
                </c:pt>
                <c:pt idx="411">
                  <c:v>2.4450000000000001E-3</c:v>
                </c:pt>
                <c:pt idx="412">
                  <c:v>2.3440000000000002E-3</c:v>
                </c:pt>
                <c:pt idx="413">
                  <c:v>2.4139999999999999E-3</c:v>
                </c:pt>
                <c:pt idx="414">
                  <c:v>2.4550000000000002E-3</c:v>
                </c:pt>
                <c:pt idx="415">
                  <c:v>2.4420000000000002E-3</c:v>
                </c:pt>
                <c:pt idx="416">
                  <c:v>2.6679999999999998E-3</c:v>
                </c:pt>
                <c:pt idx="417">
                  <c:v>2.545E-3</c:v>
                </c:pt>
                <c:pt idx="418">
                  <c:v>2.568E-3</c:v>
                </c:pt>
                <c:pt idx="419">
                  <c:v>2.415E-3</c:v>
                </c:pt>
                <c:pt idx="420">
                  <c:v>2.6440000000000001E-3</c:v>
                </c:pt>
                <c:pt idx="421">
                  <c:v>2.66E-3</c:v>
                </c:pt>
                <c:pt idx="422">
                  <c:v>2.4369999999999999E-3</c:v>
                </c:pt>
                <c:pt idx="423">
                  <c:v>2.3749999999999999E-3</c:v>
                </c:pt>
                <c:pt idx="424">
                  <c:v>2.3289999999999999E-3</c:v>
                </c:pt>
                <c:pt idx="425">
                  <c:v>2.3340000000000001E-3</c:v>
                </c:pt>
                <c:pt idx="426">
                  <c:v>2.2769999999999999E-3</c:v>
                </c:pt>
                <c:pt idx="427">
                  <c:v>2.251E-3</c:v>
                </c:pt>
                <c:pt idx="428">
                  <c:v>2.6649999999999998E-3</c:v>
                </c:pt>
                <c:pt idx="429">
                  <c:v>2.5539999999999998E-3</c:v>
                </c:pt>
                <c:pt idx="430">
                  <c:v>2.3869999999999998E-3</c:v>
                </c:pt>
                <c:pt idx="431">
                  <c:v>2.3990000000000001E-3</c:v>
                </c:pt>
                <c:pt idx="432">
                  <c:v>2.366E-3</c:v>
                </c:pt>
                <c:pt idx="433">
                  <c:v>2.2200000000000002E-3</c:v>
                </c:pt>
                <c:pt idx="434">
                  <c:v>2.1770000000000001E-3</c:v>
                </c:pt>
                <c:pt idx="435">
                  <c:v>2.2130000000000001E-3</c:v>
                </c:pt>
                <c:pt idx="436">
                  <c:v>2.098E-3</c:v>
                </c:pt>
                <c:pt idx="437">
                  <c:v>2.1320000000000002E-3</c:v>
                </c:pt>
                <c:pt idx="438">
                  <c:v>2.0939999999999999E-3</c:v>
                </c:pt>
                <c:pt idx="439">
                  <c:v>2.1840000000000002E-3</c:v>
                </c:pt>
                <c:pt idx="440">
                  <c:v>2.2339999999999999E-3</c:v>
                </c:pt>
                <c:pt idx="441">
                  <c:v>2.2139999999999998E-3</c:v>
                </c:pt>
                <c:pt idx="442">
                  <c:v>2.199E-3</c:v>
                </c:pt>
                <c:pt idx="443">
                  <c:v>2.1610000000000002E-3</c:v>
                </c:pt>
                <c:pt idx="444">
                  <c:v>2.049E-3</c:v>
                </c:pt>
                <c:pt idx="445">
                  <c:v>2.0609999999999999E-3</c:v>
                </c:pt>
                <c:pt idx="446">
                  <c:v>1.946E-3</c:v>
                </c:pt>
                <c:pt idx="447">
                  <c:v>2.049E-3</c:v>
                </c:pt>
                <c:pt idx="448">
                  <c:v>1.882E-3</c:v>
                </c:pt>
                <c:pt idx="449">
                  <c:v>1.802E-3</c:v>
                </c:pt>
                <c:pt idx="450">
                  <c:v>1.867E-3</c:v>
                </c:pt>
                <c:pt idx="451">
                  <c:v>1.905E-3</c:v>
                </c:pt>
                <c:pt idx="452">
                  <c:v>1.8990000000000001E-3</c:v>
                </c:pt>
                <c:pt idx="453">
                  <c:v>1.915E-3</c:v>
                </c:pt>
                <c:pt idx="454">
                  <c:v>1.9300000000000001E-3</c:v>
                </c:pt>
                <c:pt idx="455">
                  <c:v>1.983E-3</c:v>
                </c:pt>
                <c:pt idx="456">
                  <c:v>2.1640000000000001E-3</c:v>
                </c:pt>
                <c:pt idx="457">
                  <c:v>2.2759999999999998E-3</c:v>
                </c:pt>
                <c:pt idx="458">
                  <c:v>2.2369999999999998E-3</c:v>
                </c:pt>
                <c:pt idx="459">
                  <c:v>2.1410000000000001E-3</c:v>
                </c:pt>
                <c:pt idx="460">
                  <c:v>2.232E-3</c:v>
                </c:pt>
                <c:pt idx="461">
                  <c:v>2.2160000000000001E-3</c:v>
                </c:pt>
                <c:pt idx="462">
                  <c:v>2.111E-3</c:v>
                </c:pt>
                <c:pt idx="463">
                  <c:v>2.0470000000000002E-3</c:v>
                </c:pt>
                <c:pt idx="464">
                  <c:v>1.9819999999999998E-3</c:v>
                </c:pt>
                <c:pt idx="465">
                  <c:v>2.0500000000000002E-3</c:v>
                </c:pt>
                <c:pt idx="466">
                  <c:v>2.0500000000000002E-3</c:v>
                </c:pt>
                <c:pt idx="467">
                  <c:v>2.0569999999999998E-3</c:v>
                </c:pt>
                <c:pt idx="468">
                  <c:v>2.0449999999999999E-3</c:v>
                </c:pt>
                <c:pt idx="469">
                  <c:v>2.1789999999999999E-3</c:v>
                </c:pt>
                <c:pt idx="470">
                  <c:v>2.1840000000000002E-3</c:v>
                </c:pt>
                <c:pt idx="471">
                  <c:v>2.2139999999999998E-3</c:v>
                </c:pt>
                <c:pt idx="472">
                  <c:v>2.284E-3</c:v>
                </c:pt>
                <c:pt idx="473">
                  <c:v>2.2520000000000001E-3</c:v>
                </c:pt>
                <c:pt idx="474">
                  <c:v>2.3010000000000001E-3</c:v>
                </c:pt>
                <c:pt idx="475">
                  <c:v>2.2680000000000001E-3</c:v>
                </c:pt>
                <c:pt idx="476">
                  <c:v>2.0760000000000002E-3</c:v>
                </c:pt>
                <c:pt idx="477">
                  <c:v>1.9380000000000001E-3</c:v>
                </c:pt>
                <c:pt idx="478">
                  <c:v>1.9880000000000002E-3</c:v>
                </c:pt>
                <c:pt idx="479">
                  <c:v>2.0660000000000001E-3</c:v>
                </c:pt>
                <c:pt idx="480">
                  <c:v>1.9989999999999999E-3</c:v>
                </c:pt>
                <c:pt idx="481">
                  <c:v>1.9989999999999999E-3</c:v>
                </c:pt>
                <c:pt idx="482">
                  <c:v>1.9620000000000002E-3</c:v>
                </c:pt>
                <c:pt idx="483">
                  <c:v>2.039E-3</c:v>
                </c:pt>
                <c:pt idx="484">
                  <c:v>2.0920000000000001E-3</c:v>
                </c:pt>
                <c:pt idx="485">
                  <c:v>2.1250000000000002E-3</c:v>
                </c:pt>
                <c:pt idx="486">
                  <c:v>2.1250000000000002E-3</c:v>
                </c:pt>
                <c:pt idx="487">
                  <c:v>2.1090000000000002E-3</c:v>
                </c:pt>
                <c:pt idx="488">
                  <c:v>2.1670000000000001E-3</c:v>
                </c:pt>
                <c:pt idx="489">
                  <c:v>2.1099999999999999E-3</c:v>
                </c:pt>
                <c:pt idx="490">
                  <c:v>2.0999999999999999E-3</c:v>
                </c:pt>
                <c:pt idx="491">
                  <c:v>1.9469999999999999E-3</c:v>
                </c:pt>
                <c:pt idx="492">
                  <c:v>2.0950000000000001E-3</c:v>
                </c:pt>
                <c:pt idx="493">
                  <c:v>2.052E-3</c:v>
                </c:pt>
                <c:pt idx="494">
                  <c:v>2.2989999999999998E-3</c:v>
                </c:pt>
                <c:pt idx="495">
                  <c:v>2.215E-3</c:v>
                </c:pt>
                <c:pt idx="496">
                  <c:v>2.1949999999999999E-3</c:v>
                </c:pt>
                <c:pt idx="497">
                  <c:v>2.2169999999999998E-3</c:v>
                </c:pt>
                <c:pt idx="498">
                  <c:v>2.176E-3</c:v>
                </c:pt>
                <c:pt idx="499">
                  <c:v>2.2309999999999999E-3</c:v>
                </c:pt>
                <c:pt idx="500">
                  <c:v>2.3479999999999998E-3</c:v>
                </c:pt>
                <c:pt idx="501">
                  <c:v>2.2959999999999999E-3</c:v>
                </c:pt>
                <c:pt idx="502">
                  <c:v>2.48E-3</c:v>
                </c:pt>
                <c:pt idx="503">
                  <c:v>2.516E-3</c:v>
                </c:pt>
                <c:pt idx="504">
                  <c:v>2.3349999999999998E-3</c:v>
                </c:pt>
                <c:pt idx="505">
                  <c:v>2.196E-3</c:v>
                </c:pt>
                <c:pt idx="506">
                  <c:v>2.1090000000000002E-3</c:v>
                </c:pt>
                <c:pt idx="507">
                  <c:v>2.0990000000000002E-3</c:v>
                </c:pt>
                <c:pt idx="508">
                  <c:v>2.1199999999999999E-3</c:v>
                </c:pt>
                <c:pt idx="509">
                  <c:v>2.1649999999999998E-3</c:v>
                </c:pt>
                <c:pt idx="510">
                  <c:v>2.4060000000000002E-3</c:v>
                </c:pt>
                <c:pt idx="511">
                  <c:v>2.3E-3</c:v>
                </c:pt>
                <c:pt idx="512">
                  <c:v>2.8440000000000002E-3</c:v>
                </c:pt>
                <c:pt idx="513">
                  <c:v>3.127E-3</c:v>
                </c:pt>
                <c:pt idx="514">
                  <c:v>2.9099999999999998E-3</c:v>
                </c:pt>
                <c:pt idx="515">
                  <c:v>2.99E-3</c:v>
                </c:pt>
                <c:pt idx="516">
                  <c:v>2.9510000000000001E-3</c:v>
                </c:pt>
                <c:pt idx="517">
                  <c:v>2.96E-3</c:v>
                </c:pt>
                <c:pt idx="518">
                  <c:v>2.849E-3</c:v>
                </c:pt>
                <c:pt idx="519">
                  <c:v>3.0279999999999999E-3</c:v>
                </c:pt>
                <c:pt idx="520">
                  <c:v>2.9459999999999998E-3</c:v>
                </c:pt>
                <c:pt idx="521">
                  <c:v>3.1689999999999999E-3</c:v>
                </c:pt>
                <c:pt idx="522">
                  <c:v>3.0969999999999999E-3</c:v>
                </c:pt>
                <c:pt idx="523">
                  <c:v>3.1329999999999999E-3</c:v>
                </c:pt>
                <c:pt idx="524">
                  <c:v>3.0799999999999998E-3</c:v>
                </c:pt>
                <c:pt idx="525">
                  <c:v>3.2049999999999999E-3</c:v>
                </c:pt>
                <c:pt idx="526">
                  <c:v>3.1250000000000002E-3</c:v>
                </c:pt>
                <c:pt idx="527">
                  <c:v>3.1830000000000001E-3</c:v>
                </c:pt>
                <c:pt idx="528">
                  <c:v>3.2950000000000002E-3</c:v>
                </c:pt>
                <c:pt idx="529">
                  <c:v>3.3479999999999998E-3</c:v>
                </c:pt>
                <c:pt idx="530">
                  <c:v>3.3530000000000001E-3</c:v>
                </c:pt>
                <c:pt idx="531">
                  <c:v>3.4759999999999999E-3</c:v>
                </c:pt>
                <c:pt idx="532">
                  <c:v>3.467E-3</c:v>
                </c:pt>
                <c:pt idx="533">
                  <c:v>3.222E-3</c:v>
                </c:pt>
                <c:pt idx="534">
                  <c:v>3.3110000000000001E-3</c:v>
                </c:pt>
                <c:pt idx="535">
                  <c:v>2.9919999999999999E-3</c:v>
                </c:pt>
                <c:pt idx="536">
                  <c:v>2.8939999999999999E-3</c:v>
                </c:pt>
                <c:pt idx="537">
                  <c:v>2.9250000000000001E-3</c:v>
                </c:pt>
                <c:pt idx="538">
                  <c:v>2.7899999999999999E-3</c:v>
                </c:pt>
                <c:pt idx="539">
                  <c:v>2.8540000000000002E-3</c:v>
                </c:pt>
                <c:pt idx="540">
                  <c:v>2.9819999999999998E-3</c:v>
                </c:pt>
                <c:pt idx="541">
                  <c:v>2.7669999999999999E-3</c:v>
                </c:pt>
                <c:pt idx="542">
                  <c:v>2.6979999999999999E-3</c:v>
                </c:pt>
                <c:pt idx="543">
                  <c:v>2.7060000000000001E-3</c:v>
                </c:pt>
                <c:pt idx="544">
                  <c:v>2.9789999999999999E-3</c:v>
                </c:pt>
                <c:pt idx="545">
                  <c:v>2.947E-3</c:v>
                </c:pt>
                <c:pt idx="546">
                  <c:v>3.0490000000000001E-3</c:v>
                </c:pt>
                <c:pt idx="547">
                  <c:v>3.6800000000000001E-3</c:v>
                </c:pt>
                <c:pt idx="548">
                  <c:v>2.8050000000000002E-3</c:v>
                </c:pt>
                <c:pt idx="549">
                  <c:v>2.5509999999999999E-3</c:v>
                </c:pt>
                <c:pt idx="550">
                  <c:v>2.7399999999999998E-3</c:v>
                </c:pt>
                <c:pt idx="551">
                  <c:v>2.8110000000000001E-3</c:v>
                </c:pt>
                <c:pt idx="552">
                  <c:v>2.647E-3</c:v>
                </c:pt>
                <c:pt idx="553">
                  <c:v>2.7299999999999998E-3</c:v>
                </c:pt>
                <c:pt idx="554">
                  <c:v>2.715E-3</c:v>
                </c:pt>
                <c:pt idx="555">
                  <c:v>2.4819999999999998E-3</c:v>
                </c:pt>
                <c:pt idx="556">
                  <c:v>2.6259999999999999E-3</c:v>
                </c:pt>
                <c:pt idx="557">
                  <c:v>2.542E-3</c:v>
                </c:pt>
                <c:pt idx="558">
                  <c:v>2.415E-3</c:v>
                </c:pt>
                <c:pt idx="559">
                  <c:v>2.3969999999999998E-3</c:v>
                </c:pt>
                <c:pt idx="560">
                  <c:v>2.477E-3</c:v>
                </c:pt>
                <c:pt idx="561">
                  <c:v>2.2139999999999998E-3</c:v>
                </c:pt>
                <c:pt idx="562">
                  <c:v>2.2490000000000001E-3</c:v>
                </c:pt>
                <c:pt idx="563">
                  <c:v>2.2160000000000001E-3</c:v>
                </c:pt>
                <c:pt idx="564">
                  <c:v>2.3809999999999999E-3</c:v>
                </c:pt>
                <c:pt idx="565">
                  <c:v>2.3649999999999999E-3</c:v>
                </c:pt>
                <c:pt idx="566">
                  <c:v>2.3470000000000001E-3</c:v>
                </c:pt>
                <c:pt idx="567">
                  <c:v>2.31E-3</c:v>
                </c:pt>
                <c:pt idx="568">
                  <c:v>2.183E-3</c:v>
                </c:pt>
                <c:pt idx="569">
                  <c:v>1.9629999999999999E-3</c:v>
                </c:pt>
                <c:pt idx="570">
                  <c:v>1.9250000000000001E-3</c:v>
                </c:pt>
                <c:pt idx="571">
                  <c:v>1.9009999999999999E-3</c:v>
                </c:pt>
                <c:pt idx="572">
                  <c:v>1.926E-3</c:v>
                </c:pt>
                <c:pt idx="573">
                  <c:v>1.9289999999999999E-3</c:v>
                </c:pt>
                <c:pt idx="574">
                  <c:v>1.8730000000000001E-3</c:v>
                </c:pt>
                <c:pt idx="575">
                  <c:v>1.9859999999999999E-3</c:v>
                </c:pt>
                <c:pt idx="576">
                  <c:v>1.9629999999999999E-3</c:v>
                </c:pt>
                <c:pt idx="577">
                  <c:v>1.923E-3</c:v>
                </c:pt>
                <c:pt idx="578">
                  <c:v>1.9059999999999999E-3</c:v>
                </c:pt>
                <c:pt idx="579">
                  <c:v>1.8799999999999999E-3</c:v>
                </c:pt>
                <c:pt idx="580">
                  <c:v>2.0100000000000001E-3</c:v>
                </c:pt>
                <c:pt idx="581">
                  <c:v>2.0839999999999999E-3</c:v>
                </c:pt>
                <c:pt idx="582">
                  <c:v>2.1410000000000001E-3</c:v>
                </c:pt>
                <c:pt idx="583">
                  <c:v>2.2899999999999999E-3</c:v>
                </c:pt>
                <c:pt idx="584">
                  <c:v>2.3270000000000001E-3</c:v>
                </c:pt>
                <c:pt idx="585">
                  <c:v>2.2929999999999999E-3</c:v>
                </c:pt>
                <c:pt idx="586">
                  <c:v>2.3609999999999998E-3</c:v>
                </c:pt>
                <c:pt idx="587">
                  <c:v>2.3080000000000002E-3</c:v>
                </c:pt>
                <c:pt idx="588">
                  <c:v>2.3830000000000001E-3</c:v>
                </c:pt>
                <c:pt idx="589">
                  <c:v>2.366E-3</c:v>
                </c:pt>
                <c:pt idx="590">
                  <c:v>2.2420000000000001E-3</c:v>
                </c:pt>
                <c:pt idx="591">
                  <c:v>2.2899999999999999E-3</c:v>
                </c:pt>
                <c:pt idx="592">
                  <c:v>2.313E-3</c:v>
                </c:pt>
                <c:pt idx="593">
                  <c:v>2.5049999999999998E-3</c:v>
                </c:pt>
                <c:pt idx="594">
                  <c:v>2.4789999999999999E-3</c:v>
                </c:pt>
                <c:pt idx="595">
                  <c:v>2.3400000000000001E-3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2C-4E55-B4B0-3ECE7B5660E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18.881489966967635</c:v>
                </c:pt>
                <c:pt idx="1">
                  <c:v>18.985619613785818</c:v>
                </c:pt>
                <c:pt idx="2">
                  <c:v>19.640186066488518</c:v>
                </c:pt>
                <c:pt idx="3">
                  <c:v>19.306484361649808</c:v>
                </c:pt>
                <c:pt idx="4">
                  <c:v>18.008682724966881</c:v>
                </c:pt>
                <c:pt idx="5">
                  <c:v>17.357879247667611</c:v>
                </c:pt>
                <c:pt idx="6">
                  <c:v>17.764311401707342</c:v>
                </c:pt>
                <c:pt idx="7">
                  <c:v>20.053717199793152</c:v>
                </c:pt>
                <c:pt idx="8">
                  <c:v>20.837601601441499</c:v>
                </c:pt>
                <c:pt idx="9">
                  <c:v>21.318845966196751</c:v>
                </c:pt>
                <c:pt idx="10">
                  <c:v>21.294284171011565</c:v>
                </c:pt>
                <c:pt idx="11">
                  <c:v>21.532216738997178</c:v>
                </c:pt>
                <c:pt idx="12">
                  <c:v>21.268481054330515</c:v>
                </c:pt>
                <c:pt idx="13">
                  <c:v>21.086109104330518</c:v>
                </c:pt>
                <c:pt idx="14">
                  <c:v>20.578580024785065</c:v>
                </c:pt>
                <c:pt idx="15">
                  <c:v>23.754220767212811</c:v>
                </c:pt>
                <c:pt idx="16">
                  <c:v>23.155047005017693</c:v>
                </c:pt>
                <c:pt idx="17">
                  <c:v>22.324149495763958</c:v>
                </c:pt>
                <c:pt idx="18">
                  <c:v>22.34734570839554</c:v>
                </c:pt>
                <c:pt idx="19">
                  <c:v>22.426612782626311</c:v>
                </c:pt>
                <c:pt idx="20">
                  <c:v>23.217984419317219</c:v>
                </c:pt>
                <c:pt idx="21">
                  <c:v>23.510519604217222</c:v>
                </c:pt>
                <c:pt idx="22">
                  <c:v>22.825993217192426</c:v>
                </c:pt>
                <c:pt idx="23">
                  <c:v>23.630195860823711</c:v>
                </c:pt>
                <c:pt idx="24">
                  <c:v>24.22412348636588</c:v>
                </c:pt>
                <c:pt idx="25">
                  <c:v>24.610041254025454</c:v>
                </c:pt>
                <c:pt idx="26">
                  <c:v>23.675469546823813</c:v>
                </c:pt>
                <c:pt idx="27">
                  <c:v>23.122534756126136</c:v>
                </c:pt>
                <c:pt idx="28">
                  <c:v>23.512486332501972</c:v>
                </c:pt>
                <c:pt idx="29">
                  <c:v>23.5192285134322</c:v>
                </c:pt>
                <c:pt idx="30">
                  <c:v>24.10095967805805</c:v>
                </c:pt>
                <c:pt idx="31">
                  <c:v>25.082956250870552</c:v>
                </c:pt>
                <c:pt idx="32">
                  <c:v>26.160237069918171</c:v>
                </c:pt>
                <c:pt idx="33">
                  <c:v>25.620730204833428</c:v>
                </c:pt>
                <c:pt idx="34">
                  <c:v>24.884759473328998</c:v>
                </c:pt>
                <c:pt idx="35">
                  <c:v>28.045079005960591</c:v>
                </c:pt>
                <c:pt idx="36">
                  <c:v>26.866771385878955</c:v>
                </c:pt>
                <c:pt idx="37">
                  <c:v>26.591406680572828</c:v>
                </c:pt>
                <c:pt idx="38">
                  <c:v>25.63226256257283</c:v>
                </c:pt>
                <c:pt idx="39">
                  <c:v>25.71679278045162</c:v>
                </c:pt>
                <c:pt idx="40">
                  <c:v>26.211131015557999</c:v>
                </c:pt>
                <c:pt idx="41">
                  <c:v>25.863534010639967</c:v>
                </c:pt>
                <c:pt idx="42">
                  <c:v>25.959488213518021</c:v>
                </c:pt>
                <c:pt idx="43">
                  <c:v>27.0083213461496</c:v>
                </c:pt>
                <c:pt idx="44">
                  <c:v>26.416214155129193</c:v>
                </c:pt>
                <c:pt idx="45">
                  <c:v>27.396739684848825</c:v>
                </c:pt>
                <c:pt idx="46">
                  <c:v>28.796240024661156</c:v>
                </c:pt>
                <c:pt idx="47">
                  <c:v>28.826253151990354</c:v>
                </c:pt>
                <c:pt idx="48">
                  <c:v>28.703612435323688</c:v>
                </c:pt>
                <c:pt idx="49">
                  <c:v>32.092131441380467</c:v>
                </c:pt>
                <c:pt idx="50">
                  <c:v>32.537701345380469</c:v>
                </c:pt>
                <c:pt idx="51">
                  <c:v>33.295374667808318</c:v>
                </c:pt>
                <c:pt idx="52">
                  <c:v>33.992343581572584</c:v>
                </c:pt>
                <c:pt idx="53">
                  <c:v>31.368284725984346</c:v>
                </c:pt>
                <c:pt idx="54">
                  <c:v>32.482385495584346</c:v>
                </c:pt>
                <c:pt idx="55">
                  <c:v>31.153842859926975</c:v>
                </c:pt>
                <c:pt idx="56">
                  <c:v>37.491863831005531</c:v>
                </c:pt>
                <c:pt idx="57">
                  <c:v>30.846093397749716</c:v>
                </c:pt>
                <c:pt idx="58">
                  <c:v>31.126988603454414</c:v>
                </c:pt>
                <c:pt idx="59">
                  <c:v>31.834142690416439</c:v>
                </c:pt>
                <c:pt idx="60">
                  <c:v>31.211317021923293</c:v>
                </c:pt>
                <c:pt idx="61">
                  <c:v>30.342986501199057</c:v>
                </c:pt>
                <c:pt idx="62">
                  <c:v>30.003460654623719</c:v>
                </c:pt>
                <c:pt idx="63">
                  <c:v>35.672737132171491</c:v>
                </c:pt>
                <c:pt idx="64">
                  <c:v>30.383090100858347</c:v>
                </c:pt>
                <c:pt idx="65">
                  <c:v>30.452923842331213</c:v>
                </c:pt>
                <c:pt idx="66">
                  <c:v>29.10294111344232</c:v>
                </c:pt>
                <c:pt idx="67">
                  <c:v>29.598121997624133</c:v>
                </c:pt>
                <c:pt idx="68">
                  <c:v>32.138329833257934</c:v>
                </c:pt>
                <c:pt idx="69">
                  <c:v>30.336599037587828</c:v>
                </c:pt>
                <c:pt idx="70">
                  <c:v>29.105702284139554</c:v>
                </c:pt>
                <c:pt idx="71">
                  <c:v>33.059679703947246</c:v>
                </c:pt>
                <c:pt idx="72">
                  <c:v>31.692134924486169</c:v>
                </c:pt>
                <c:pt idx="73">
                  <c:v>31.710213841254724</c:v>
                </c:pt>
                <c:pt idx="74">
                  <c:v>30.054830767231742</c:v>
                </c:pt>
                <c:pt idx="75">
                  <c:v>29.614855124254643</c:v>
                </c:pt>
                <c:pt idx="76">
                  <c:v>28.536554901556226</c:v>
                </c:pt>
                <c:pt idx="77">
                  <c:v>28.195963512181223</c:v>
                </c:pt>
                <c:pt idx="78">
                  <c:v>27.735237835084448</c:v>
                </c:pt>
                <c:pt idx="79">
                  <c:v>28.402099794858884</c:v>
                </c:pt>
                <c:pt idx="80">
                  <c:v>28.815829106799178</c:v>
                </c:pt>
                <c:pt idx="81">
                  <c:v>28.548851016986088</c:v>
                </c:pt>
                <c:pt idx="82">
                  <c:v>29.340777091271811</c:v>
                </c:pt>
                <c:pt idx="83">
                  <c:v>29.777609223170547</c:v>
                </c:pt>
                <c:pt idx="84">
                  <c:v>28.156751878226739</c:v>
                </c:pt>
                <c:pt idx="85">
                  <c:v>26.037082508226742</c:v>
                </c:pt>
                <c:pt idx="86">
                  <c:v>26.677536836136071</c:v>
                </c:pt>
                <c:pt idx="87">
                  <c:v>24.120133357802729</c:v>
                </c:pt>
                <c:pt idx="88">
                  <c:v>23.45403110536142</c:v>
                </c:pt>
                <c:pt idx="89">
                  <c:v>22.188670829505742</c:v>
                </c:pt>
                <c:pt idx="90">
                  <c:v>20.911052350979851</c:v>
                </c:pt>
                <c:pt idx="91">
                  <c:v>19.679018925424295</c:v>
                </c:pt>
                <c:pt idx="92">
                  <c:v>17.008883278443164</c:v>
                </c:pt>
                <c:pt idx="93">
                  <c:v>18.829089652670806</c:v>
                </c:pt>
                <c:pt idx="94">
                  <c:v>19.618374394314642</c:v>
                </c:pt>
                <c:pt idx="95">
                  <c:v>20.296406712376321</c:v>
                </c:pt>
                <c:pt idx="96">
                  <c:v>21.594254296156478</c:v>
                </c:pt>
                <c:pt idx="97">
                  <c:v>20.957373573887573</c:v>
                </c:pt>
                <c:pt idx="98">
                  <c:v>20.70727804511662</c:v>
                </c:pt>
                <c:pt idx="99">
                  <c:v>22.894627536025713</c:v>
                </c:pt>
                <c:pt idx="100">
                  <c:v>20.317020777822588</c:v>
                </c:pt>
                <c:pt idx="101">
                  <c:v>19.182527517822592</c:v>
                </c:pt>
                <c:pt idx="102">
                  <c:v>18.513984577739951</c:v>
                </c:pt>
                <c:pt idx="103">
                  <c:v>18.384122630880746</c:v>
                </c:pt>
                <c:pt idx="104">
                  <c:v>19.081485346749009</c:v>
                </c:pt>
                <c:pt idx="105">
                  <c:v>20.368941659962125</c:v>
                </c:pt>
                <c:pt idx="106">
                  <c:v>19.06132023607865</c:v>
                </c:pt>
                <c:pt idx="107">
                  <c:v>16.704305254111429</c:v>
                </c:pt>
                <c:pt idx="108">
                  <c:v>17.269677853428206</c:v>
                </c:pt>
                <c:pt idx="109">
                  <c:v>16.665153877511539</c:v>
                </c:pt>
                <c:pt idx="110">
                  <c:v>17.576677827611874</c:v>
                </c:pt>
                <c:pt idx="111">
                  <c:v>24.141498584204061</c:v>
                </c:pt>
                <c:pt idx="112">
                  <c:v>26.52437430187398</c:v>
                </c:pt>
                <c:pt idx="113">
                  <c:v>24.290718199088467</c:v>
                </c:pt>
                <c:pt idx="114">
                  <c:v>26.190159636652961</c:v>
                </c:pt>
                <c:pt idx="115">
                  <c:v>25.122182866498527</c:v>
                </c:pt>
                <c:pt idx="116">
                  <c:v>25.129584675729301</c:v>
                </c:pt>
                <c:pt idx="117">
                  <c:v>23.758670103216204</c:v>
                </c:pt>
                <c:pt idx="118">
                  <c:v>23.704607726737795</c:v>
                </c:pt>
                <c:pt idx="119">
                  <c:v>21.513701282056942</c:v>
                </c:pt>
                <c:pt idx="120">
                  <c:v>19.56574251539028</c:v>
                </c:pt>
                <c:pt idx="121">
                  <c:v>19.896649634094945</c:v>
                </c:pt>
                <c:pt idx="122">
                  <c:v>21.57746627019251</c:v>
                </c:pt>
                <c:pt idx="123">
                  <c:v>23.048910826346351</c:v>
                </c:pt>
                <c:pt idx="124">
                  <c:v>22.298285151182412</c:v>
                </c:pt>
                <c:pt idx="125">
                  <c:v>22.875280466684139</c:v>
                </c:pt>
                <c:pt idx="126">
                  <c:v>23.315901764938765</c:v>
                </c:pt>
                <c:pt idx="127">
                  <c:v>20.717112098126009</c:v>
                </c:pt>
                <c:pt idx="128">
                  <c:v>17.75422981336639</c:v>
                </c:pt>
                <c:pt idx="129">
                  <c:v>20.927958348678892</c:v>
                </c:pt>
                <c:pt idx="130">
                  <c:v>22.106524154870538</c:v>
                </c:pt>
                <c:pt idx="131">
                  <c:v>22.747258045575936</c:v>
                </c:pt>
                <c:pt idx="132">
                  <c:v>21.158291214464832</c:v>
                </c:pt>
                <c:pt idx="133">
                  <c:v>23.53395262908586</c:v>
                </c:pt>
                <c:pt idx="134">
                  <c:v>24.041079925752523</c:v>
                </c:pt>
                <c:pt idx="135">
                  <c:v>22.794978364713561</c:v>
                </c:pt>
                <c:pt idx="136">
                  <c:v>20.823641444713566</c:v>
                </c:pt>
                <c:pt idx="137">
                  <c:v>21.222369852234223</c:v>
                </c:pt>
                <c:pt idx="138">
                  <c:v>20.066418008760543</c:v>
                </c:pt>
                <c:pt idx="139">
                  <c:v>19.40189995263151</c:v>
                </c:pt>
                <c:pt idx="140">
                  <c:v>21.271547421351748</c:v>
                </c:pt>
                <c:pt idx="141">
                  <c:v>16.01694257189229</c:v>
                </c:pt>
                <c:pt idx="142">
                  <c:v>15.09017778394708</c:v>
                </c:pt>
                <c:pt idx="143">
                  <c:v>16.841803375697925</c:v>
                </c:pt>
                <c:pt idx="144">
                  <c:v>16.447878822670397</c:v>
                </c:pt>
                <c:pt idx="145">
                  <c:v>27.996444750634708</c:v>
                </c:pt>
                <c:pt idx="146">
                  <c:v>0.43062477994068887</c:v>
                </c:pt>
                <c:pt idx="147">
                  <c:v>-1.8296694239918996</c:v>
                </c:pt>
                <c:pt idx="148">
                  <c:v>-1.3325456291201137</c:v>
                </c:pt>
                <c:pt idx="149">
                  <c:v>-4.5257713438464924</c:v>
                </c:pt>
                <c:pt idx="150">
                  <c:v>-5.7151271323080302</c:v>
                </c:pt>
                <c:pt idx="151">
                  <c:v>-2.285729754845351</c:v>
                </c:pt>
                <c:pt idx="152">
                  <c:v>-6.6064139982384944</c:v>
                </c:pt>
                <c:pt idx="153">
                  <c:v>-8.0093406280976485</c:v>
                </c:pt>
                <c:pt idx="154">
                  <c:v>-9.948409346772344</c:v>
                </c:pt>
                <c:pt idx="155">
                  <c:v>-8.3805865348517514</c:v>
                </c:pt>
                <c:pt idx="156">
                  <c:v>-10.93239279733876</c:v>
                </c:pt>
                <c:pt idx="157">
                  <c:v>-8.4640048757996915</c:v>
                </c:pt>
                <c:pt idx="158">
                  <c:v>-8.2485129199753668</c:v>
                </c:pt>
                <c:pt idx="159">
                  <c:v>-8.9217317814854358</c:v>
                </c:pt>
                <c:pt idx="160">
                  <c:v>-6.4222760459344936</c:v>
                </c:pt>
                <c:pt idx="161">
                  <c:v>-8.9289017958003338</c:v>
                </c:pt>
                <c:pt idx="162">
                  <c:v>-11.364047895685559</c:v>
                </c:pt>
                <c:pt idx="163">
                  <c:v>-10.809061678963905</c:v>
                </c:pt>
                <c:pt idx="164">
                  <c:v>-3.8530679435229001</c:v>
                </c:pt>
                <c:pt idx="165">
                  <c:v>-2.7817325078157786</c:v>
                </c:pt>
                <c:pt idx="166">
                  <c:v>-4.5106463028157826</c:v>
                </c:pt>
                <c:pt idx="167">
                  <c:v>-4.5018073802254204</c:v>
                </c:pt>
                <c:pt idx="168">
                  <c:v>-8.3727092126628673</c:v>
                </c:pt>
                <c:pt idx="169">
                  <c:v>-4.3226590304081522</c:v>
                </c:pt>
                <c:pt idx="170">
                  <c:v>-10.217463745559401</c:v>
                </c:pt>
                <c:pt idx="171">
                  <c:v>-9.9924940599045105</c:v>
                </c:pt>
                <c:pt idx="172">
                  <c:v>-11.290180093086031</c:v>
                </c:pt>
                <c:pt idx="173">
                  <c:v>-8.5919902888121342</c:v>
                </c:pt>
                <c:pt idx="174">
                  <c:v>-9.9907847551042668</c:v>
                </c:pt>
                <c:pt idx="175">
                  <c:v>-10.586376378690467</c:v>
                </c:pt>
                <c:pt idx="176">
                  <c:v>-12.868961891381222</c:v>
                </c:pt>
                <c:pt idx="177">
                  <c:v>-15.293290722959426</c:v>
                </c:pt>
                <c:pt idx="178">
                  <c:v>-15.037083225111324</c:v>
                </c:pt>
                <c:pt idx="179">
                  <c:v>-13.015369692803624</c:v>
                </c:pt>
                <c:pt idx="180">
                  <c:v>-10.352458860347193</c:v>
                </c:pt>
                <c:pt idx="181">
                  <c:v>-12.644366084820154</c:v>
                </c:pt>
                <c:pt idx="182">
                  <c:v>-16.118076204332354</c:v>
                </c:pt>
                <c:pt idx="183">
                  <c:v>-15.412822501890378</c:v>
                </c:pt>
                <c:pt idx="184">
                  <c:v>-15.541806851304569</c:v>
                </c:pt>
                <c:pt idx="185">
                  <c:v>-19.100399998127664</c:v>
                </c:pt>
                <c:pt idx="186">
                  <c:v>-21.755899244435785</c:v>
                </c:pt>
                <c:pt idx="187">
                  <c:v>-22.772734749146348</c:v>
                </c:pt>
                <c:pt idx="188">
                  <c:v>-24.099753255532001</c:v>
                </c:pt>
                <c:pt idx="189">
                  <c:v>-25.047628677528028</c:v>
                </c:pt>
                <c:pt idx="190">
                  <c:v>-25.806298637804442</c:v>
                </c:pt>
                <c:pt idx="191">
                  <c:v>-27.81127982569749</c:v>
                </c:pt>
                <c:pt idx="192">
                  <c:v>-26.768322140697485</c:v>
                </c:pt>
                <c:pt idx="193">
                  <c:v>-24.248854717517947</c:v>
                </c:pt>
                <c:pt idx="194">
                  <c:v>-24.113194687888321</c:v>
                </c:pt>
                <c:pt idx="195">
                  <c:v>-25.18582188105071</c:v>
                </c:pt>
                <c:pt idx="196">
                  <c:v>-23.187098714143239</c:v>
                </c:pt>
                <c:pt idx="197">
                  <c:v>-22.119840803298551</c:v>
                </c:pt>
                <c:pt idx="198">
                  <c:v>-22.339648692837017</c:v>
                </c:pt>
                <c:pt idx="199">
                  <c:v>-22.363293409913183</c:v>
                </c:pt>
                <c:pt idx="200">
                  <c:v>-23.104930757164492</c:v>
                </c:pt>
                <c:pt idx="201">
                  <c:v>-24.500587305325265</c:v>
                </c:pt>
                <c:pt idx="202">
                  <c:v>-24.240012562114988</c:v>
                </c:pt>
                <c:pt idx="203">
                  <c:v>-26.405671826186691</c:v>
                </c:pt>
                <c:pt idx="204">
                  <c:v>-24.228526507545912</c:v>
                </c:pt>
                <c:pt idx="205">
                  <c:v>-24.037846789317051</c:v>
                </c:pt>
                <c:pt idx="206">
                  <c:v>-24.163740791011683</c:v>
                </c:pt>
                <c:pt idx="207">
                  <c:v>-23.191008453142384</c:v>
                </c:pt>
                <c:pt idx="208">
                  <c:v>-23.238266429045996</c:v>
                </c:pt>
                <c:pt idx="209">
                  <c:v>-25.578682744058518</c:v>
                </c:pt>
                <c:pt idx="210">
                  <c:v>-23.019939856654432</c:v>
                </c:pt>
                <c:pt idx="211">
                  <c:v>-18.044965784561711</c:v>
                </c:pt>
                <c:pt idx="212">
                  <c:v>-23.41745462711226</c:v>
                </c:pt>
                <c:pt idx="213">
                  <c:v>-24.758547972157118</c:v>
                </c:pt>
                <c:pt idx="214">
                  <c:v>-29.00736511227192</c:v>
                </c:pt>
                <c:pt idx="215">
                  <c:v>-31.767110672132237</c:v>
                </c:pt>
                <c:pt idx="216">
                  <c:v>-32.459050012279505</c:v>
                </c:pt>
                <c:pt idx="217">
                  <c:v>-28.206039581033249</c:v>
                </c:pt>
                <c:pt idx="218">
                  <c:v>-32.853088719241761</c:v>
                </c:pt>
                <c:pt idx="219">
                  <c:v>-32.467116918005317</c:v>
                </c:pt>
                <c:pt idx="220">
                  <c:v>-31.606100923848295</c:v>
                </c:pt>
                <c:pt idx="221">
                  <c:v>-26.431748677248923</c:v>
                </c:pt>
                <c:pt idx="222">
                  <c:v>-28.419563380904684</c:v>
                </c:pt>
                <c:pt idx="223">
                  <c:v>-26.280158007237308</c:v>
                </c:pt>
                <c:pt idx="224">
                  <c:v>-26.486091838474728</c:v>
                </c:pt>
                <c:pt idx="225">
                  <c:v>-25.679309123702758</c:v>
                </c:pt>
                <c:pt idx="226">
                  <c:v>-24.352931043437195</c:v>
                </c:pt>
                <c:pt idx="227">
                  <c:v>-22.962173246527328</c:v>
                </c:pt>
                <c:pt idx="228">
                  <c:v>-21.989197256383566</c:v>
                </c:pt>
                <c:pt idx="229">
                  <c:v>-21.745320168404547</c:v>
                </c:pt>
                <c:pt idx="230">
                  <c:v>-19.01952115600665</c:v>
                </c:pt>
                <c:pt idx="231">
                  <c:v>-7.49005925771446</c:v>
                </c:pt>
                <c:pt idx="232">
                  <c:v>-4.9089673851340443</c:v>
                </c:pt>
                <c:pt idx="233">
                  <c:v>-7.7617096131800176</c:v>
                </c:pt>
                <c:pt idx="234">
                  <c:v>-8.7055867637687374</c:v>
                </c:pt>
                <c:pt idx="235">
                  <c:v>-6.0093799052488341</c:v>
                </c:pt>
                <c:pt idx="236">
                  <c:v>-5.7529487841826912</c:v>
                </c:pt>
                <c:pt idx="237">
                  <c:v>-5.3924823442052823</c:v>
                </c:pt>
                <c:pt idx="238">
                  <c:v>-5.0518595844497733</c:v>
                </c:pt>
                <c:pt idx="239">
                  <c:v>-6.5482134041311273</c:v>
                </c:pt>
                <c:pt idx="240">
                  <c:v>-7.9319950180138115</c:v>
                </c:pt>
                <c:pt idx="241">
                  <c:v>-8.0682123379601904</c:v>
                </c:pt>
                <c:pt idx="242">
                  <c:v>-11.672255606971321</c:v>
                </c:pt>
                <c:pt idx="243">
                  <c:v>-12.896844433334959</c:v>
                </c:pt>
                <c:pt idx="244">
                  <c:v>-12.566462351195286</c:v>
                </c:pt>
                <c:pt idx="245">
                  <c:v>-10.913913617789976</c:v>
                </c:pt>
                <c:pt idx="246">
                  <c:v>-10.37054636507645</c:v>
                </c:pt>
                <c:pt idx="247">
                  <c:v>-15.027897513310441</c:v>
                </c:pt>
                <c:pt idx="248">
                  <c:v>-17.591169484150708</c:v>
                </c:pt>
                <c:pt idx="249">
                  <c:v>-22.092900577736717</c:v>
                </c:pt>
                <c:pt idx="250">
                  <c:v>-21.427939923199904</c:v>
                </c:pt>
                <c:pt idx="251">
                  <c:v>-26.233274583209976</c:v>
                </c:pt>
                <c:pt idx="252">
                  <c:v>-27.882583061774312</c:v>
                </c:pt>
                <c:pt idx="253">
                  <c:v>-33.182528643399486</c:v>
                </c:pt>
                <c:pt idx="254">
                  <c:v>-30.552231101871076</c:v>
                </c:pt>
                <c:pt idx="255">
                  <c:v>-30.294072585535044</c:v>
                </c:pt>
                <c:pt idx="256">
                  <c:v>-29.802677267604384</c:v>
                </c:pt>
                <c:pt idx="257">
                  <c:v>-28.969583795940334</c:v>
                </c:pt>
                <c:pt idx="258">
                  <c:v>-23.947283801647544</c:v>
                </c:pt>
                <c:pt idx="259">
                  <c:v>-21.975393820362026</c:v>
                </c:pt>
                <c:pt idx="260">
                  <c:v>-22.996449165620326</c:v>
                </c:pt>
                <c:pt idx="261">
                  <c:v>-18.118705954082809</c:v>
                </c:pt>
                <c:pt idx="262">
                  <c:v>-17.807058521095115</c:v>
                </c:pt>
                <c:pt idx="263">
                  <c:v>-15.826956468309705</c:v>
                </c:pt>
                <c:pt idx="264">
                  <c:v>-16.475898638805912</c:v>
                </c:pt>
                <c:pt idx="265">
                  <c:v>-15.209261979023966</c:v>
                </c:pt>
                <c:pt idx="266">
                  <c:v>-15.209261979023966</c:v>
                </c:pt>
                <c:pt idx="267">
                  <c:v>-14.3787337707271</c:v>
                </c:pt>
                <c:pt idx="268">
                  <c:v>-18.086804125317165</c:v>
                </c:pt>
                <c:pt idx="269">
                  <c:v>-13.751217014501181</c:v>
                </c:pt>
                <c:pt idx="270">
                  <c:v>-14.089639245375242</c:v>
                </c:pt>
                <c:pt idx="271">
                  <c:v>-14.0792017473818</c:v>
                </c:pt>
                <c:pt idx="272">
                  <c:v>-13.740891310661688</c:v>
                </c:pt>
                <c:pt idx="273">
                  <c:v>-20.770627340414443</c:v>
                </c:pt>
                <c:pt idx="274">
                  <c:v>-21.379021855766325</c:v>
                </c:pt>
                <c:pt idx="275">
                  <c:v>-24.81681329839952</c:v>
                </c:pt>
                <c:pt idx="276">
                  <c:v>-29.26947997770781</c:v>
                </c:pt>
                <c:pt idx="277">
                  <c:v>-33.596061565514901</c:v>
                </c:pt>
                <c:pt idx="278">
                  <c:v>-33.077477455851977</c:v>
                </c:pt>
                <c:pt idx="279">
                  <c:v>-26.120646068577773</c:v>
                </c:pt>
                <c:pt idx="280">
                  <c:v>-32.628042165415785</c:v>
                </c:pt>
                <c:pt idx="281">
                  <c:v>-23.118408894123</c:v>
                </c:pt>
                <c:pt idx="282">
                  <c:v>-18.9026193971842</c:v>
                </c:pt>
                <c:pt idx="283">
                  <c:v>-21.958786536869969</c:v>
                </c:pt>
                <c:pt idx="284">
                  <c:v>-18.621310816753855</c:v>
                </c:pt>
                <c:pt idx="285">
                  <c:v>-17.812163091422303</c:v>
                </c:pt>
                <c:pt idx="286">
                  <c:v>-14.020161988335639</c:v>
                </c:pt>
                <c:pt idx="287">
                  <c:v>-15.01098005160493</c:v>
                </c:pt>
                <c:pt idx="288">
                  <c:v>-16.309897718541663</c:v>
                </c:pt>
                <c:pt idx="289">
                  <c:v>-14.06366154957297</c:v>
                </c:pt>
                <c:pt idx="290">
                  <c:v>-17.875916054304568</c:v>
                </c:pt>
                <c:pt idx="291">
                  <c:v>-15.925267732548596</c:v>
                </c:pt>
                <c:pt idx="292">
                  <c:v>-20.933124832895984</c:v>
                </c:pt>
                <c:pt idx="293">
                  <c:v>-19.193100914373197</c:v>
                </c:pt>
                <c:pt idx="294">
                  <c:v>-18.998103046253611</c:v>
                </c:pt>
                <c:pt idx="295">
                  <c:v>-27.398762638756473</c:v>
                </c:pt>
                <c:pt idx="296">
                  <c:v>-19.248612149653699</c:v>
                </c:pt>
                <c:pt idx="297">
                  <c:v>-21.969775099981625</c:v>
                </c:pt>
                <c:pt idx="298">
                  <c:v>-8.6574965022290087</c:v>
                </c:pt>
                <c:pt idx="299">
                  <c:v>-11.064481467824937</c:v>
                </c:pt>
                <c:pt idx="300">
                  <c:v>-1.2900140215767575</c:v>
                </c:pt>
                <c:pt idx="301">
                  <c:v>-17.1054733787761</c:v>
                </c:pt>
                <c:pt idx="302">
                  <c:v>-15.727545591057382</c:v>
                </c:pt>
                <c:pt idx="303">
                  <c:v>-22.097915591051478</c:v>
                </c:pt>
                <c:pt idx="304">
                  <c:v>-22.728911411744829</c:v>
                </c:pt>
                <c:pt idx="305">
                  <c:v>-22.492747037289096</c:v>
                </c:pt>
                <c:pt idx="306">
                  <c:v>-22.105142507753509</c:v>
                </c:pt>
                <c:pt idx="307">
                  <c:v>-27.724817014386826</c:v>
                </c:pt>
                <c:pt idx="308">
                  <c:v>-36.110894573710638</c:v>
                </c:pt>
                <c:pt idx="309">
                  <c:v>-31.080431823975339</c:v>
                </c:pt>
                <c:pt idx="310">
                  <c:v>-16.212678215017043</c:v>
                </c:pt>
                <c:pt idx="311">
                  <c:v>-8.073800064106841</c:v>
                </c:pt>
                <c:pt idx="312">
                  <c:v>-6.104070655293941E-2</c:v>
                </c:pt>
                <c:pt idx="313">
                  <c:v>-9.5931284701922319</c:v>
                </c:pt>
                <c:pt idx="314">
                  <c:v>47.605512933070848</c:v>
                </c:pt>
                <c:pt idx="315">
                  <c:v>15.046909598228506</c:v>
                </c:pt>
                <c:pt idx="316">
                  <c:v>7.228778511126098</c:v>
                </c:pt>
                <c:pt idx="317">
                  <c:v>-89.237854820940711</c:v>
                </c:pt>
                <c:pt idx="318">
                  <c:v>-97.796285112672905</c:v>
                </c:pt>
                <c:pt idx="319">
                  <c:v>-91.847261941732597</c:v>
                </c:pt>
                <c:pt idx="320">
                  <c:v>-80.385823835199375</c:v>
                </c:pt>
                <c:pt idx="321">
                  <c:v>-91.23558711771021</c:v>
                </c:pt>
                <c:pt idx="322">
                  <c:v>-94.140725059145041</c:v>
                </c:pt>
                <c:pt idx="323">
                  <c:v>-94.942554649748089</c:v>
                </c:pt>
                <c:pt idx="324">
                  <c:v>-96.356789911710763</c:v>
                </c:pt>
                <c:pt idx="325">
                  <c:v>-99.372448836401816</c:v>
                </c:pt>
                <c:pt idx="326">
                  <c:v>-100.73596280297087</c:v>
                </c:pt>
                <c:pt idx="327">
                  <c:v>-101.55662340160102</c:v>
                </c:pt>
                <c:pt idx="328">
                  <c:v>-104.41828025785884</c:v>
                </c:pt>
                <c:pt idx="329">
                  <c:v>-107.18680832068668</c:v>
                </c:pt>
                <c:pt idx="330">
                  <c:v>-106.62734129146303</c:v>
                </c:pt>
                <c:pt idx="331">
                  <c:v>-108.97072556919635</c:v>
                </c:pt>
                <c:pt idx="332">
                  <c:v>-108.39754008077909</c:v>
                </c:pt>
                <c:pt idx="333">
                  <c:v>-110.47355376850187</c:v>
                </c:pt>
                <c:pt idx="334">
                  <c:v>-109.01228123808883</c:v>
                </c:pt>
                <c:pt idx="335">
                  <c:v>-107.3253631172618</c:v>
                </c:pt>
                <c:pt idx="336">
                  <c:v>-107.41808332127641</c:v>
                </c:pt>
                <c:pt idx="337">
                  <c:v>-102.35532717155724</c:v>
                </c:pt>
                <c:pt idx="338">
                  <c:v>-102.93247037010742</c:v>
                </c:pt>
                <c:pt idx="339">
                  <c:v>-101.62151577408454</c:v>
                </c:pt>
                <c:pt idx="340">
                  <c:v>-100.97367687612397</c:v>
                </c:pt>
                <c:pt idx="341">
                  <c:v>-99.894124192047869</c:v>
                </c:pt>
                <c:pt idx="342">
                  <c:v>-102.09240029604879</c:v>
                </c:pt>
                <c:pt idx="343">
                  <c:v>-103.29180159207314</c:v>
                </c:pt>
                <c:pt idx="344">
                  <c:v>-109.28122861174404</c:v>
                </c:pt>
                <c:pt idx="345">
                  <c:v>-110.77921348272316</c:v>
                </c:pt>
                <c:pt idx="346">
                  <c:v>-111.99952280221127</c:v>
                </c:pt>
                <c:pt idx="347">
                  <c:v>-111.85558150155538</c:v>
                </c:pt>
                <c:pt idx="348">
                  <c:v>-110.35115476960574</c:v>
                </c:pt>
                <c:pt idx="349">
                  <c:v>-119.90531458365346</c:v>
                </c:pt>
                <c:pt idx="350">
                  <c:v>-119.24620803500774</c:v>
                </c:pt>
                <c:pt idx="351">
                  <c:v>-124.79060693972878</c:v>
                </c:pt>
                <c:pt idx="352">
                  <c:v>-118.73169971644701</c:v>
                </c:pt>
                <c:pt idx="353">
                  <c:v>-123.59298530719001</c:v>
                </c:pt>
                <c:pt idx="354">
                  <c:v>-132.1069590602259</c:v>
                </c:pt>
                <c:pt idx="355">
                  <c:v>-137.5175729680935</c:v>
                </c:pt>
                <c:pt idx="356">
                  <c:v>-127.70274108488417</c:v>
                </c:pt>
                <c:pt idx="357">
                  <c:v>-116.15449033033873</c:v>
                </c:pt>
                <c:pt idx="358">
                  <c:v>-60.112638169914533</c:v>
                </c:pt>
                <c:pt idx="359">
                  <c:v>-9.1530642874574415</c:v>
                </c:pt>
                <c:pt idx="360">
                  <c:v>-3.2470189512031871</c:v>
                </c:pt>
                <c:pt idx="361">
                  <c:v>-4.2583631010336962</c:v>
                </c:pt>
                <c:pt idx="362">
                  <c:v>-2.3582624410336952</c:v>
                </c:pt>
                <c:pt idx="363">
                  <c:v>1.2478817326872409</c:v>
                </c:pt>
                <c:pt idx="364">
                  <c:v>4.5007870292175225</c:v>
                </c:pt>
                <c:pt idx="365">
                  <c:v>1.5897721144357411</c:v>
                </c:pt>
                <c:pt idx="366">
                  <c:v>1.8565490820486448</c:v>
                </c:pt>
                <c:pt idx="367">
                  <c:v>1.4909537791218139</c:v>
                </c:pt>
                <c:pt idx="368">
                  <c:v>2.9465772539517459</c:v>
                </c:pt>
                <c:pt idx="369">
                  <c:v>3.1911871094811555</c:v>
                </c:pt>
                <c:pt idx="370">
                  <c:v>2.841956527814486</c:v>
                </c:pt>
                <c:pt idx="371">
                  <c:v>2.0144607442692548</c:v>
                </c:pt>
                <c:pt idx="372">
                  <c:v>2.8995936806737492</c:v>
                </c:pt>
                <c:pt idx="373">
                  <c:v>0.87214981937197233</c:v>
                </c:pt>
                <c:pt idx="374">
                  <c:v>1.2696076033072823</c:v>
                </c:pt>
                <c:pt idx="375">
                  <c:v>1.0954946225765168</c:v>
                </c:pt>
                <c:pt idx="376">
                  <c:v>-0.19697825392065912</c:v>
                </c:pt>
                <c:pt idx="377">
                  <c:v>1.3958928188369568</c:v>
                </c:pt>
                <c:pt idx="378">
                  <c:v>-3.0146853038045242E-2</c:v>
                </c:pt>
                <c:pt idx="379">
                  <c:v>-0.44051981536681023</c:v>
                </c:pt>
                <c:pt idx="380">
                  <c:v>-1.2275521275072809</c:v>
                </c:pt>
                <c:pt idx="381">
                  <c:v>-1.1544008843048625</c:v>
                </c:pt>
                <c:pt idx="382">
                  <c:v>-1.657604409945151</c:v>
                </c:pt>
                <c:pt idx="383">
                  <c:v>-1.7591529833229262</c:v>
                </c:pt>
                <c:pt idx="384">
                  <c:v>-1.3773701744669369</c:v>
                </c:pt>
                <c:pt idx="385">
                  <c:v>-1.9636069970985139</c:v>
                </c:pt>
                <c:pt idx="386">
                  <c:v>-1.4079197639166929</c:v>
                </c:pt>
                <c:pt idx="387">
                  <c:v>-1.9564679214048439</c:v>
                </c:pt>
                <c:pt idx="388">
                  <c:v>-1.3197790270218632</c:v>
                </c:pt>
                <c:pt idx="389">
                  <c:v>-2.0919772076359791</c:v>
                </c:pt>
                <c:pt idx="390">
                  <c:v>0.83948087327311094</c:v>
                </c:pt>
                <c:pt idx="391">
                  <c:v>0.80896410657745899</c:v>
                </c:pt>
                <c:pt idx="392">
                  <c:v>4.6231072265065384E-2</c:v>
                </c:pt>
                <c:pt idx="393">
                  <c:v>-0.14247296217937991</c:v>
                </c:pt>
                <c:pt idx="394">
                  <c:v>-0.19358118870111629</c:v>
                </c:pt>
                <c:pt idx="395">
                  <c:v>-0.1391526975732984</c:v>
                </c:pt>
                <c:pt idx="396">
                  <c:v>-0.28507274992624104</c:v>
                </c:pt>
                <c:pt idx="397">
                  <c:v>-9.7614239188232907E-2</c:v>
                </c:pt>
                <c:pt idx="398">
                  <c:v>-0.23331159827914413</c:v>
                </c:pt>
                <c:pt idx="399">
                  <c:v>-0.33825889881011728</c:v>
                </c:pt>
                <c:pt idx="400">
                  <c:v>-4.4243387803965177</c:v>
                </c:pt>
                <c:pt idx="401">
                  <c:v>4.5153178634019389</c:v>
                </c:pt>
                <c:pt idx="402">
                  <c:v>-4.1340919444302022</c:v>
                </c:pt>
                <c:pt idx="403">
                  <c:v>-2.2980784150292894</c:v>
                </c:pt>
                <c:pt idx="404">
                  <c:v>-1.3567071251162577</c:v>
                </c:pt>
                <c:pt idx="405">
                  <c:v>-4.0090539613662566</c:v>
                </c:pt>
                <c:pt idx="406">
                  <c:v>-14.515759797269824</c:v>
                </c:pt>
                <c:pt idx="407">
                  <c:v>-12.46174831067189</c:v>
                </c:pt>
                <c:pt idx="408">
                  <c:v>-13.253251147973479</c:v>
                </c:pt>
                <c:pt idx="409">
                  <c:v>-13.264141057737257</c:v>
                </c:pt>
                <c:pt idx="410">
                  <c:v>-13.282252190403922</c:v>
                </c:pt>
                <c:pt idx="411">
                  <c:v>-13.590328612588797</c:v>
                </c:pt>
                <c:pt idx="412">
                  <c:v>-14.001018997480884</c:v>
                </c:pt>
                <c:pt idx="413">
                  <c:v>-14.441218575036443</c:v>
                </c:pt>
                <c:pt idx="414">
                  <c:v>-10.523924469054702</c:v>
                </c:pt>
                <c:pt idx="415">
                  <c:v>-11.299955239482717</c:v>
                </c:pt>
                <c:pt idx="416">
                  <c:v>-10.500584164625575</c:v>
                </c:pt>
                <c:pt idx="417">
                  <c:v>-11.014170356368695</c:v>
                </c:pt>
                <c:pt idx="418">
                  <c:v>-11.194049176640801</c:v>
                </c:pt>
                <c:pt idx="419">
                  <c:v>-11.880536489874842</c:v>
                </c:pt>
                <c:pt idx="420">
                  <c:v>-10.110258629497483</c:v>
                </c:pt>
                <c:pt idx="421">
                  <c:v>-10.359319061805175</c:v>
                </c:pt>
                <c:pt idx="422">
                  <c:v>-11.327261629579471</c:v>
                </c:pt>
                <c:pt idx="423">
                  <c:v>-10.951906557013096</c:v>
                </c:pt>
                <c:pt idx="424">
                  <c:v>-11.476765710038304</c:v>
                </c:pt>
                <c:pt idx="425">
                  <c:v>-11.700560611038304</c:v>
                </c:pt>
                <c:pt idx="426">
                  <c:v>-11.936802014506512</c:v>
                </c:pt>
                <c:pt idx="427">
                  <c:v>-12.117486328658137</c:v>
                </c:pt>
                <c:pt idx="428">
                  <c:v>-10.637902992477878</c:v>
                </c:pt>
                <c:pt idx="429">
                  <c:v>-10.479899577584261</c:v>
                </c:pt>
                <c:pt idx="430">
                  <c:v>-11.337735238384258</c:v>
                </c:pt>
                <c:pt idx="431">
                  <c:v>-11.083171158490641</c:v>
                </c:pt>
                <c:pt idx="432">
                  <c:v>-11.24585311062714</c:v>
                </c:pt>
                <c:pt idx="433">
                  <c:v>-11.828548049362322</c:v>
                </c:pt>
                <c:pt idx="434">
                  <c:v>-12.294856361362324</c:v>
                </c:pt>
                <c:pt idx="435">
                  <c:v>-12.318804169933756</c:v>
                </c:pt>
                <c:pt idx="436">
                  <c:v>-12.112917405549373</c:v>
                </c:pt>
                <c:pt idx="437">
                  <c:v>-11.880958214513104</c:v>
                </c:pt>
                <c:pt idx="438">
                  <c:v>-12.193541357370249</c:v>
                </c:pt>
                <c:pt idx="439">
                  <c:v>-12.102811052608342</c:v>
                </c:pt>
                <c:pt idx="440">
                  <c:v>-11.866590472608342</c:v>
                </c:pt>
                <c:pt idx="441">
                  <c:v>-11.921634212852245</c:v>
                </c:pt>
                <c:pt idx="442">
                  <c:v>-11.858769193493956</c:v>
                </c:pt>
                <c:pt idx="443">
                  <c:v>-11.825069526490585</c:v>
                </c:pt>
                <c:pt idx="444">
                  <c:v>-12.418424012025179</c:v>
                </c:pt>
                <c:pt idx="445">
                  <c:v>-12.533231059638084</c:v>
                </c:pt>
                <c:pt idx="446">
                  <c:v>-12.696495321613391</c:v>
                </c:pt>
                <c:pt idx="447">
                  <c:v>-12.294972836970533</c:v>
                </c:pt>
                <c:pt idx="448">
                  <c:v>-12.707918553301468</c:v>
                </c:pt>
                <c:pt idx="449">
                  <c:v>-13.035709227214511</c:v>
                </c:pt>
                <c:pt idx="450">
                  <c:v>-12.978490778798669</c:v>
                </c:pt>
                <c:pt idx="451">
                  <c:v>-12.959730491158219</c:v>
                </c:pt>
                <c:pt idx="452">
                  <c:v>-12.621801690507056</c:v>
                </c:pt>
                <c:pt idx="453">
                  <c:v>-12.55336168629653</c:v>
                </c:pt>
                <c:pt idx="454">
                  <c:v>-12.392292956433515</c:v>
                </c:pt>
                <c:pt idx="455">
                  <c:v>-12.408979372266847</c:v>
                </c:pt>
                <c:pt idx="456">
                  <c:v>-12.304974798496357</c:v>
                </c:pt>
                <c:pt idx="457">
                  <c:v>-12.192153840207586</c:v>
                </c:pt>
                <c:pt idx="458">
                  <c:v>-12.65634624168127</c:v>
                </c:pt>
                <c:pt idx="459">
                  <c:v>-12.73524552383954</c:v>
                </c:pt>
                <c:pt idx="460">
                  <c:v>-12.645371502085155</c:v>
                </c:pt>
                <c:pt idx="461">
                  <c:v>-12.705446865333014</c:v>
                </c:pt>
                <c:pt idx="462">
                  <c:v>-12.803689203353322</c:v>
                </c:pt>
                <c:pt idx="463">
                  <c:v>-12.876969029067606</c:v>
                </c:pt>
                <c:pt idx="464">
                  <c:v>-13.012437589836839</c:v>
                </c:pt>
                <c:pt idx="465">
                  <c:v>-12.836859951443984</c:v>
                </c:pt>
                <c:pt idx="466">
                  <c:v>-12.964279108110651</c:v>
                </c:pt>
                <c:pt idx="467">
                  <c:v>-13.088542233917105</c:v>
                </c:pt>
                <c:pt idx="468">
                  <c:v>-13.102735880070952</c:v>
                </c:pt>
                <c:pt idx="469">
                  <c:v>-12.814292221091359</c:v>
                </c:pt>
                <c:pt idx="470">
                  <c:v>-12.763192850883026</c:v>
                </c:pt>
                <c:pt idx="471">
                  <c:v>-12.720704967622156</c:v>
                </c:pt>
                <c:pt idx="472">
                  <c:v>-12.48765939939635</c:v>
                </c:pt>
                <c:pt idx="473">
                  <c:v>-12.209480260646346</c:v>
                </c:pt>
                <c:pt idx="474">
                  <c:v>-12.005787573723273</c:v>
                </c:pt>
                <c:pt idx="475">
                  <c:v>-9.742919467319334</c:v>
                </c:pt>
                <c:pt idx="476">
                  <c:v>-10.568201235534946</c:v>
                </c:pt>
                <c:pt idx="477">
                  <c:v>-11.744011425534946</c:v>
                </c:pt>
                <c:pt idx="478">
                  <c:v>-11.576466917934948</c:v>
                </c:pt>
                <c:pt idx="479">
                  <c:v>-11.432128919484242</c:v>
                </c:pt>
                <c:pt idx="480">
                  <c:v>-11.688747785896462</c:v>
                </c:pt>
                <c:pt idx="481">
                  <c:v>-11.794537497868292</c:v>
                </c:pt>
                <c:pt idx="482">
                  <c:v>-11.836588247868292</c:v>
                </c:pt>
                <c:pt idx="483">
                  <c:v>-11.688200562827644</c:v>
                </c:pt>
                <c:pt idx="484">
                  <c:v>-11.650134726758678</c:v>
                </c:pt>
                <c:pt idx="485">
                  <c:v>-11.635338031388306</c:v>
                </c:pt>
                <c:pt idx="486">
                  <c:v>-11.709316775505956</c:v>
                </c:pt>
                <c:pt idx="487">
                  <c:v>-11.585858331239287</c:v>
                </c:pt>
                <c:pt idx="488">
                  <c:v>-11.395471004051787</c:v>
                </c:pt>
                <c:pt idx="489">
                  <c:v>-11.047378725620417</c:v>
                </c:pt>
                <c:pt idx="490">
                  <c:v>-11.229906440064862</c:v>
                </c:pt>
                <c:pt idx="491">
                  <c:v>-11.46161409891732</c:v>
                </c:pt>
                <c:pt idx="492">
                  <c:v>-10.748023956808888</c:v>
                </c:pt>
                <c:pt idx="493">
                  <c:v>-10.915465787260015</c:v>
                </c:pt>
                <c:pt idx="494">
                  <c:v>-10.009793221715219</c:v>
                </c:pt>
                <c:pt idx="495">
                  <c:v>-10.227926276260673</c:v>
                </c:pt>
                <c:pt idx="496">
                  <c:v>-10.378374888760671</c:v>
                </c:pt>
                <c:pt idx="497">
                  <c:v>-10.357309979571482</c:v>
                </c:pt>
                <c:pt idx="498">
                  <c:v>-10.653512765771481</c:v>
                </c:pt>
                <c:pt idx="499">
                  <c:v>-10.61069046471885</c:v>
                </c:pt>
                <c:pt idx="500">
                  <c:v>-10.189564742306789</c:v>
                </c:pt>
                <c:pt idx="501">
                  <c:v>-10.454585441890121</c:v>
                </c:pt>
                <c:pt idx="502">
                  <c:v>-9.9796903961366947</c:v>
                </c:pt>
                <c:pt idx="503">
                  <c:v>-10.554798423249373</c:v>
                </c:pt>
                <c:pt idx="504">
                  <c:v>-9.3726110309829735</c:v>
                </c:pt>
                <c:pt idx="505">
                  <c:v>-9.7192635874326747</c:v>
                </c:pt>
                <c:pt idx="506">
                  <c:v>-9.992883831566008</c:v>
                </c:pt>
                <c:pt idx="507">
                  <c:v>-9.8911700656363628</c:v>
                </c:pt>
                <c:pt idx="508">
                  <c:v>-10.186158882352231</c:v>
                </c:pt>
                <c:pt idx="509">
                  <c:v>-10.708969793883762</c:v>
                </c:pt>
                <c:pt idx="510">
                  <c:v>-10.505512947990905</c:v>
                </c:pt>
                <c:pt idx="511">
                  <c:v>-10.886586375677179</c:v>
                </c:pt>
                <c:pt idx="512">
                  <c:v>-9.2520977021477684</c:v>
                </c:pt>
                <c:pt idx="513">
                  <c:v>-8.6295874546543629</c:v>
                </c:pt>
                <c:pt idx="514">
                  <c:v>-9.6637221479786142</c:v>
                </c:pt>
                <c:pt idx="515">
                  <c:v>-9.2974901936088621</c:v>
                </c:pt>
                <c:pt idx="516">
                  <c:v>-9.4454533256088631</c:v>
                </c:pt>
                <c:pt idx="517">
                  <c:v>-9.3459423125510135</c:v>
                </c:pt>
                <c:pt idx="518">
                  <c:v>-9.6314151903163747</c:v>
                </c:pt>
                <c:pt idx="519">
                  <c:v>-9.0425684490325917</c:v>
                </c:pt>
                <c:pt idx="520">
                  <c:v>-9.4702535207883134</c:v>
                </c:pt>
                <c:pt idx="521">
                  <c:v>-9.2987308896597067</c:v>
                </c:pt>
                <c:pt idx="522">
                  <c:v>-9.8160578407054544</c:v>
                </c:pt>
                <c:pt idx="523">
                  <c:v>-9.9839497259167214</c:v>
                </c:pt>
                <c:pt idx="524">
                  <c:v>-10.666665273328487</c:v>
                </c:pt>
                <c:pt idx="525">
                  <c:v>-10.09108141538456</c:v>
                </c:pt>
                <c:pt idx="526">
                  <c:v>-10.948801989349054</c:v>
                </c:pt>
                <c:pt idx="527">
                  <c:v>-11.310465965619155</c:v>
                </c:pt>
                <c:pt idx="528">
                  <c:v>-11.076680500823615</c:v>
                </c:pt>
                <c:pt idx="529">
                  <c:v>-11.515755555012806</c:v>
                </c:pt>
                <c:pt idx="530">
                  <c:v>-11.683713573783752</c:v>
                </c:pt>
                <c:pt idx="531">
                  <c:v>-11.098846000527944</c:v>
                </c:pt>
                <c:pt idx="532">
                  <c:v>-7.4575121950289605</c:v>
                </c:pt>
                <c:pt idx="533">
                  <c:v>-9.9165744919420824</c:v>
                </c:pt>
                <c:pt idx="534">
                  <c:v>-11.033371885567083</c:v>
                </c:pt>
                <c:pt idx="535">
                  <c:v>-9.0659337486557767</c:v>
                </c:pt>
                <c:pt idx="536">
                  <c:v>-12.762192075630557</c:v>
                </c:pt>
                <c:pt idx="537">
                  <c:v>-13.466907549344846</c:v>
                </c:pt>
                <c:pt idx="538">
                  <c:v>-14.684450733344846</c:v>
                </c:pt>
                <c:pt idx="539">
                  <c:v>-14.522707980611923</c:v>
                </c:pt>
                <c:pt idx="540">
                  <c:v>-13.371051141638958</c:v>
                </c:pt>
                <c:pt idx="541">
                  <c:v>-15.167828686366231</c:v>
                </c:pt>
                <c:pt idx="542">
                  <c:v>-15.476542323313598</c:v>
                </c:pt>
                <c:pt idx="543">
                  <c:v>-14.608759396170743</c:v>
                </c:pt>
                <c:pt idx="544">
                  <c:v>-12.940400465534907</c:v>
                </c:pt>
                <c:pt idx="545">
                  <c:v>-11.372095801183443</c:v>
                </c:pt>
                <c:pt idx="546">
                  <c:v>-6.1896864658709383</c:v>
                </c:pt>
                <c:pt idx="547">
                  <c:v>3.6965339648585469</c:v>
                </c:pt>
                <c:pt idx="548">
                  <c:v>-0.83163870879311685</c:v>
                </c:pt>
                <c:pt idx="549">
                  <c:v>-2.4007594805172578</c:v>
                </c:pt>
                <c:pt idx="550">
                  <c:v>-1.6134561275385311</c:v>
                </c:pt>
                <c:pt idx="551">
                  <c:v>-1.9191547060366971</c:v>
                </c:pt>
                <c:pt idx="552">
                  <c:v>-3.6434611559540535</c:v>
                </c:pt>
                <c:pt idx="553">
                  <c:v>-1.9164816394116801</c:v>
                </c:pt>
                <c:pt idx="554">
                  <c:v>-1.4869828214429228</c:v>
                </c:pt>
                <c:pt idx="555">
                  <c:v>-4.4157027311516588</c:v>
                </c:pt>
                <c:pt idx="556">
                  <c:v>-3.5852764134920823</c:v>
                </c:pt>
                <c:pt idx="557">
                  <c:v>-2.2317172469020354</c:v>
                </c:pt>
                <c:pt idx="558">
                  <c:v>-3.7457692382315155</c:v>
                </c:pt>
                <c:pt idx="559">
                  <c:v>-3.9779023653643817</c:v>
                </c:pt>
                <c:pt idx="560">
                  <c:v>-1.8203948149056601</c:v>
                </c:pt>
                <c:pt idx="561">
                  <c:v>-2.9761753768164874</c:v>
                </c:pt>
                <c:pt idx="562">
                  <c:v>-2.3771692914506324</c:v>
                </c:pt>
                <c:pt idx="563">
                  <c:v>-2.8407477146013216</c:v>
                </c:pt>
                <c:pt idx="564">
                  <c:v>-0.74951296460131922</c:v>
                </c:pt>
                <c:pt idx="565">
                  <c:v>0.31470580299030321</c:v>
                </c:pt>
                <c:pt idx="566">
                  <c:v>0.50187288515590878</c:v>
                </c:pt>
                <c:pt idx="567">
                  <c:v>-1.1016643597221474</c:v>
                </c:pt>
                <c:pt idx="568">
                  <c:v>-1.2767314584509588</c:v>
                </c:pt>
                <c:pt idx="569">
                  <c:v>-4.8505146926975291</c:v>
                </c:pt>
                <c:pt idx="570">
                  <c:v>-5.5745418557744451</c:v>
                </c:pt>
                <c:pt idx="571">
                  <c:v>-5.8855268019769795</c:v>
                </c:pt>
                <c:pt idx="572">
                  <c:v>-5.8329710719769787</c:v>
                </c:pt>
                <c:pt idx="573">
                  <c:v>-5.8819535884987175</c:v>
                </c:pt>
                <c:pt idx="574">
                  <c:v>-6.1281745290869534</c:v>
                </c:pt>
                <c:pt idx="575">
                  <c:v>-5.3953708531345725</c:v>
                </c:pt>
                <c:pt idx="576">
                  <c:v>-6.171306190094568</c:v>
                </c:pt>
                <c:pt idx="577">
                  <c:v>-7.0406873907524599</c:v>
                </c:pt>
                <c:pt idx="578">
                  <c:v>-6.8801672559087104</c:v>
                </c:pt>
                <c:pt idx="579">
                  <c:v>-7.283747654896052</c:v>
                </c:pt>
                <c:pt idx="580">
                  <c:v>-6.8103605314076798</c:v>
                </c:pt>
                <c:pt idx="581">
                  <c:v>-6.5031646979245341</c:v>
                </c:pt>
                <c:pt idx="582">
                  <c:v>-6.8246517647738463</c:v>
                </c:pt>
                <c:pt idx="583">
                  <c:v>-6.2092373806805847</c:v>
                </c:pt>
                <c:pt idx="584">
                  <c:v>-6.178664280680584</c:v>
                </c:pt>
                <c:pt idx="585">
                  <c:v>-6.4461064613948729</c:v>
                </c:pt>
                <c:pt idx="586">
                  <c:v>-5.7031769913948729</c:v>
                </c:pt>
                <c:pt idx="587">
                  <c:v>-6.1163104282543745</c:v>
                </c:pt>
                <c:pt idx="588">
                  <c:v>-5.6823831125609505</c:v>
                </c:pt>
                <c:pt idx="589">
                  <c:v>-5.6166489399683632</c:v>
                </c:pt>
                <c:pt idx="590">
                  <c:v>-6.5570544684299037</c:v>
                </c:pt>
                <c:pt idx="591">
                  <c:v>-6.8441051556639501</c:v>
                </c:pt>
                <c:pt idx="592">
                  <c:v>-8.5595627869527302</c:v>
                </c:pt>
                <c:pt idx="593">
                  <c:v>-7.0651027301841687</c:v>
                </c:pt>
                <c:pt idx="594">
                  <c:v>-6.3476474223849397</c:v>
                </c:pt>
                <c:pt idx="595">
                  <c:v>-6.8402487600000006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2C-4E55-B4B0-3ECE7B566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126864"/>
        <c:axId val="132127280"/>
      </c:lineChart>
      <c:dateAx>
        <c:axId val="132126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27280"/>
        <c:crosses val="autoZero"/>
        <c:auto val="1"/>
        <c:lblOffset val="100"/>
        <c:baseTimeUnit val="days"/>
      </c:dateAx>
      <c:valAx>
        <c:axId val="1321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2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68338D-D10B-4EFA-9C0B-41B5304F513F}">
  <sheetPr codeName="Chart1"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7445375" cy="48630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1F8D5C-85FD-4D5D-B840-B3994A9ED0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9.9671999999999997E-2</v>
      </c>
      <c r="D2" s="4">
        <f>MIN(D3:D1912)</f>
        <v>1.758E-3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1.3429999999999999E-2</v>
      </c>
      <c r="C5">
        <v>1.3679999999999999E-2</v>
      </c>
      <c r="D5">
        <v>1.324E-2</v>
      </c>
      <c r="E5">
        <v>1.3270000000000001E-2</v>
      </c>
      <c r="F5">
        <v>12057117</v>
      </c>
      <c r="G5">
        <v>1.3270000000000001E-2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-0.86363636363636109</v>
      </c>
      <c r="Q5">
        <f t="shared" ref="Q5" si="1">F5*P5</f>
        <v>-10412964.681818152</v>
      </c>
      <c r="R5">
        <f t="shared" ref="R5" si="2">R6+Q5</f>
        <v>1888148996.6967633</v>
      </c>
      <c r="S5">
        <f t="shared" ref="S5" si="3">R5/100000</f>
        <v>18881.489966967634</v>
      </c>
      <c r="T5">
        <f t="shared" ref="T5" si="4">S5/1000</f>
        <v>18.881489966967635</v>
      </c>
    </row>
    <row r="6" spans="1:20" x14ac:dyDescent="0.25">
      <c r="A6" s="5">
        <v>44587</v>
      </c>
      <c r="B6">
        <v>1.324E-2</v>
      </c>
      <c r="C6">
        <v>1.4500000000000001E-2</v>
      </c>
      <c r="D6">
        <v>1.302E-2</v>
      </c>
      <c r="E6">
        <v>1.341E-2</v>
      </c>
      <c r="F6">
        <v>138394050</v>
      </c>
      <c r="G6">
        <v>1.341E-2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-0.47297297297297347</v>
      </c>
      <c r="Q6">
        <f t="shared" ref="Q6" si="6">F6*P6</f>
        <v>-65456645.27027034</v>
      </c>
      <c r="R6">
        <f t="shared" ref="R6" si="7">R7+Q6</f>
        <v>1898561961.3785815</v>
      </c>
      <c r="S6">
        <f t="shared" ref="S6" si="8">R6/100000</f>
        <v>18985.619613785817</v>
      </c>
      <c r="T6">
        <f t="shared" ref="T6" si="9">S6/1000</f>
        <v>18.985619613785818</v>
      </c>
    </row>
    <row r="7" spans="1:20" x14ac:dyDescent="0.25">
      <c r="A7" s="5">
        <v>44586</v>
      </c>
      <c r="B7">
        <v>1.3100000000000001E-2</v>
      </c>
      <c r="C7">
        <v>1.345E-2</v>
      </c>
      <c r="D7">
        <v>1.252E-2</v>
      </c>
      <c r="E7">
        <v>1.321E-2</v>
      </c>
      <c r="F7">
        <v>68965019</v>
      </c>
      <c r="G7">
        <v>1.321E-2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0.48387096774193428</v>
      </c>
      <c r="Q7">
        <f t="shared" ref="Q7" si="11">F7*P7</f>
        <v>33370170.483870886</v>
      </c>
      <c r="R7">
        <f t="shared" ref="R7" si="12">R8+Q7</f>
        <v>1964018606.6488519</v>
      </c>
      <c r="S7">
        <f t="shared" ref="S7" si="13">R7/100000</f>
        <v>19640.186066488517</v>
      </c>
      <c r="T7">
        <f t="shared" ref="T7" si="14">S7/1000</f>
        <v>19.640186066488518</v>
      </c>
    </row>
    <row r="8" spans="1:20" x14ac:dyDescent="0.25">
      <c r="A8" s="5">
        <v>44585</v>
      </c>
      <c r="B8">
        <v>1.3259999999999999E-2</v>
      </c>
      <c r="C8">
        <v>1.3429999999999999E-2</v>
      </c>
      <c r="D8">
        <v>1.1379999999999999E-2</v>
      </c>
      <c r="E8">
        <v>1.311E-2</v>
      </c>
      <c r="F8">
        <v>188687472</v>
      </c>
      <c r="G8">
        <v>1.311E-2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0.68780487804878132</v>
      </c>
      <c r="Q8">
        <f t="shared" ref="Q8" si="16">F8*P8</f>
        <v>129780163.66829284</v>
      </c>
      <c r="R8">
        <f t="shared" ref="R8" si="17">R9+Q8</f>
        <v>1930648436.1649809</v>
      </c>
      <c r="S8">
        <f t="shared" ref="S8" si="18">R8/100000</f>
        <v>19306.484361649807</v>
      </c>
      <c r="T8">
        <f t="shared" ref="T8" si="19">S8/1000</f>
        <v>19.306484361649808</v>
      </c>
    </row>
    <row r="9" spans="1:20" x14ac:dyDescent="0.25">
      <c r="A9" s="5">
        <v>44584</v>
      </c>
      <c r="B9">
        <v>1.2449999999999999E-2</v>
      </c>
      <c r="C9">
        <v>1.358E-2</v>
      </c>
      <c r="D9">
        <v>1.221E-2</v>
      </c>
      <c r="E9">
        <v>1.328E-2</v>
      </c>
      <c r="F9">
        <v>115792307</v>
      </c>
      <c r="G9">
        <v>1.328E-2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0.56204379562043794</v>
      </c>
      <c r="Q9">
        <f t="shared" ref="Q9" si="21">F9*P9</f>
        <v>65080347.729927003</v>
      </c>
      <c r="R9">
        <f t="shared" ref="R9" si="22">R10+Q9</f>
        <v>1800868272.4966881</v>
      </c>
      <c r="S9">
        <f t="shared" ref="S9" si="23">R9/100000</f>
        <v>18008.682724966882</v>
      </c>
      <c r="T9">
        <f t="shared" ref="T9" si="24">S9/1000</f>
        <v>18.008682724966881</v>
      </c>
    </row>
    <row r="10" spans="1:20" x14ac:dyDescent="0.25">
      <c r="A10" s="5">
        <v>44583</v>
      </c>
      <c r="B10">
        <v>1.3820000000000001E-2</v>
      </c>
      <c r="C10">
        <v>1.4109999999999999E-2</v>
      </c>
      <c r="D10">
        <v>1.1089999999999999E-2</v>
      </c>
      <c r="E10">
        <v>1.2460000000000001E-2</v>
      </c>
      <c r="F10">
        <v>438366109</v>
      </c>
      <c r="G10">
        <v>1.2460000000000001E-2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-9.2715231788078556E-2</v>
      </c>
      <c r="Q10">
        <f t="shared" ref="Q10" si="26">F10*P10</f>
        <v>-40643215.40397311</v>
      </c>
      <c r="R10">
        <f t="shared" ref="R10" si="27">R11+Q10</f>
        <v>1735787924.7667611</v>
      </c>
      <c r="S10">
        <f t="shared" ref="S10" si="28">R10/100000</f>
        <v>17357.87924766761</v>
      </c>
      <c r="T10">
        <f t="shared" ref="T10" si="29">S10/1000</f>
        <v>17.357879247667611</v>
      </c>
    </row>
    <row r="11" spans="1:20" x14ac:dyDescent="0.25">
      <c r="A11" s="5">
        <v>44582</v>
      </c>
      <c r="B11">
        <v>1.6140000000000002E-2</v>
      </c>
      <c r="C11">
        <v>1.636E-2</v>
      </c>
      <c r="D11">
        <v>1.333E-2</v>
      </c>
      <c r="E11">
        <v>1.3849999999999999E-2</v>
      </c>
      <c r="F11">
        <v>348587918</v>
      </c>
      <c r="G11">
        <v>1.3849999999999999E-2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-0.65676567656765694</v>
      </c>
      <c r="Q11">
        <f t="shared" ref="Q11" si="31">F11*P11</f>
        <v>-228940579.80858091</v>
      </c>
      <c r="R11">
        <f t="shared" ref="R11" si="32">R12+Q11</f>
        <v>1776431140.1707342</v>
      </c>
      <c r="S11">
        <f t="shared" ref="S11" si="33">R11/100000</f>
        <v>17764.311401707342</v>
      </c>
      <c r="T11">
        <f t="shared" ref="T11" si="34">S11/1000</f>
        <v>17.764311401707342</v>
      </c>
    </row>
    <row r="12" spans="1:20" x14ac:dyDescent="0.25">
      <c r="A12" s="5">
        <v>44581</v>
      </c>
      <c r="B12">
        <v>1.6889999999999999E-2</v>
      </c>
      <c r="C12">
        <v>1.7850000000000001E-2</v>
      </c>
      <c r="D12">
        <v>1.6029999999999999E-2</v>
      </c>
      <c r="E12">
        <v>1.6150000000000001E-2</v>
      </c>
      <c r="F12">
        <v>90295545</v>
      </c>
      <c r="G12">
        <v>1.6150000000000001E-2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-0.86813186813186605</v>
      </c>
      <c r="Q12">
        <f t="shared" ref="Q12" si="36">F12*P12</f>
        <v>-78388440.164834976</v>
      </c>
      <c r="R12">
        <f t="shared" ref="R12" si="37">R13+Q12</f>
        <v>2005371719.979315</v>
      </c>
      <c r="S12">
        <f t="shared" ref="S12" si="38">R12/100000</f>
        <v>20053.717199793151</v>
      </c>
      <c r="T12">
        <f t="shared" ref="T12" si="39">S12/1000</f>
        <v>20.053717199793152</v>
      </c>
    </row>
    <row r="13" spans="1:20" x14ac:dyDescent="0.25">
      <c r="A13" s="5">
        <v>44580</v>
      </c>
      <c r="B13">
        <v>1.7899999999999999E-2</v>
      </c>
      <c r="C13">
        <v>1.7930000000000001E-2</v>
      </c>
      <c r="D13">
        <v>1.6500000000000001E-2</v>
      </c>
      <c r="E13">
        <v>1.6899999999999998E-2</v>
      </c>
      <c r="F13">
        <v>109234832</v>
      </c>
      <c r="G13">
        <v>1.6899999999999998E-2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-0.44055944055944424</v>
      </c>
      <c r="Q13">
        <f t="shared" ref="Q13" si="41">F13*P13</f>
        <v>-48124436.47552488</v>
      </c>
      <c r="R13">
        <f t="shared" ref="R13" si="42">R14+Q13</f>
        <v>2083760160.14415</v>
      </c>
      <c r="S13">
        <f t="shared" ref="S13" si="43">R13/100000</f>
        <v>20837.6016014415</v>
      </c>
      <c r="T13">
        <f t="shared" ref="T13" si="44">S13/1000</f>
        <v>20.837601601441499</v>
      </c>
    </row>
    <row r="14" spans="1:20" x14ac:dyDescent="0.25">
      <c r="A14" s="5">
        <v>44579</v>
      </c>
      <c r="B14">
        <v>1.8259999999999998E-2</v>
      </c>
      <c r="C14">
        <v>1.8429999999999998E-2</v>
      </c>
      <c r="D14">
        <v>1.7350000000000001E-2</v>
      </c>
      <c r="E14">
        <v>1.7909999999999999E-2</v>
      </c>
      <c r="F14">
        <v>66316847</v>
      </c>
      <c r="G14">
        <v>1.7909999999999999E-2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3.7037037037035613E-2</v>
      </c>
      <c r="Q14">
        <f t="shared" ref="Q14" si="46">F14*P14</f>
        <v>2456179.5185184241</v>
      </c>
      <c r="R14">
        <f t="shared" ref="R14" si="47">R15+Q14</f>
        <v>2131884596.6196749</v>
      </c>
      <c r="S14">
        <f t="shared" ref="S14" si="48">R14/100000</f>
        <v>21318.84596619675</v>
      </c>
      <c r="T14">
        <f t="shared" ref="T14" si="49">S14/1000</f>
        <v>21.318845966196751</v>
      </c>
    </row>
    <row r="15" spans="1:20" x14ac:dyDescent="0.25">
      <c r="A15" s="5">
        <v>44578</v>
      </c>
      <c r="B15">
        <v>1.908E-2</v>
      </c>
      <c r="C15">
        <v>1.9230000000000001E-2</v>
      </c>
      <c r="D15">
        <v>1.7840000000000002E-2</v>
      </c>
      <c r="E15">
        <v>1.8259999999999998E-2</v>
      </c>
      <c r="F15">
        <v>60132049</v>
      </c>
      <c r="G15">
        <v>1.8259999999999998E-2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-0.39568345323741422</v>
      </c>
      <c r="Q15">
        <f t="shared" ref="Q15" si="51">F15*P15</f>
        <v>-23793256.798561402</v>
      </c>
      <c r="R15">
        <f t="shared" ref="R15" si="52">R16+Q15</f>
        <v>2129428417.1011565</v>
      </c>
      <c r="S15">
        <f t="shared" ref="S15" si="53">R15/100000</f>
        <v>21294.284171011564</v>
      </c>
      <c r="T15">
        <f t="shared" ref="T15" si="54">S15/1000</f>
        <v>21.294284171011565</v>
      </c>
    </row>
    <row r="16" spans="1:20" x14ac:dyDescent="0.25">
      <c r="A16" s="5">
        <v>44577</v>
      </c>
      <c r="B16">
        <v>1.8929999999999999E-2</v>
      </c>
      <c r="C16">
        <v>1.9130000000000001E-2</v>
      </c>
      <c r="D16">
        <v>1.8530000000000001E-2</v>
      </c>
      <c r="E16">
        <v>1.9050000000000001E-2</v>
      </c>
      <c r="F16">
        <v>35963957</v>
      </c>
      <c r="G16">
        <v>1.9050000000000001E-2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0.73333333333333262</v>
      </c>
      <c r="Q16">
        <f t="shared" ref="Q16" si="56">F16*P16</f>
        <v>26373568.466666643</v>
      </c>
      <c r="R16">
        <f t="shared" ref="R16" si="57">R17+Q16</f>
        <v>2153221673.8997178</v>
      </c>
      <c r="S16">
        <f t="shared" ref="S16" si="58">R16/100000</f>
        <v>21532.216738997176</v>
      </c>
      <c r="T16">
        <f t="shared" ref="T16" si="59">S16/1000</f>
        <v>21.532216738997178</v>
      </c>
    </row>
    <row r="17" spans="1:20" x14ac:dyDescent="0.25">
      <c r="A17" s="5">
        <v>44576</v>
      </c>
      <c r="B17">
        <v>1.8679999999999999E-2</v>
      </c>
      <c r="C17">
        <v>1.9140000000000001E-2</v>
      </c>
      <c r="D17">
        <v>1.8419999999999999E-2</v>
      </c>
      <c r="E17">
        <v>1.8929999999999999E-2</v>
      </c>
      <c r="F17">
        <v>43769268</v>
      </c>
      <c r="G17">
        <v>1.8929999999999999E-2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0.41666666666666308</v>
      </c>
      <c r="Q17">
        <f t="shared" ref="Q17" si="61">F17*P17</f>
        <v>18237194.999999844</v>
      </c>
      <c r="R17">
        <f t="shared" ref="R17" si="62">R18+Q17</f>
        <v>2126848105.4330513</v>
      </c>
      <c r="S17">
        <f t="shared" ref="S17" si="63">R17/100000</f>
        <v>21268.481054330514</v>
      </c>
      <c r="T17">
        <f t="shared" ref="T17" si="64">S17/1000</f>
        <v>21.268481054330515</v>
      </c>
    </row>
    <row r="18" spans="1:20" x14ac:dyDescent="0.25">
      <c r="A18" s="5">
        <v>44575</v>
      </c>
      <c r="B18">
        <v>1.8540000000000001E-2</v>
      </c>
      <c r="C18">
        <v>1.8870000000000001E-2</v>
      </c>
      <c r="D18">
        <v>1.7989999999999999E-2</v>
      </c>
      <c r="E18">
        <v>1.8679999999999999E-2</v>
      </c>
      <c r="F18">
        <v>89325118</v>
      </c>
      <c r="G18">
        <v>1.8679999999999999E-2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0.56818181818181324</v>
      </c>
      <c r="Q18">
        <f t="shared" ref="Q18" si="66">F18*P18</f>
        <v>50752907.954545014</v>
      </c>
      <c r="R18">
        <f t="shared" ref="R18" si="67">R19+Q18</f>
        <v>2108610910.4330516</v>
      </c>
      <c r="S18">
        <f t="shared" ref="S18" si="68">R18/100000</f>
        <v>21086.109104330517</v>
      </c>
      <c r="T18">
        <f t="shared" ref="T18" si="69">S18/1000</f>
        <v>21.086109104330518</v>
      </c>
    </row>
    <row r="19" spans="1:20" x14ac:dyDescent="0.25">
      <c r="A19" s="5">
        <v>44574</v>
      </c>
      <c r="B19">
        <v>1.949E-2</v>
      </c>
      <c r="C19">
        <v>2.0199999999999999E-2</v>
      </c>
      <c r="D19">
        <v>1.847E-2</v>
      </c>
      <c r="E19">
        <v>1.8550000000000001E-2</v>
      </c>
      <c r="F19">
        <v>349927292</v>
      </c>
      <c r="G19">
        <v>1.8550000000000001E-2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-0.90751445086705174</v>
      </c>
      <c r="Q19">
        <f t="shared" ref="Q19" si="71">F19*P19</f>
        <v>-317564074.24277449</v>
      </c>
      <c r="R19">
        <f t="shared" ref="R19" si="72">R20+Q19</f>
        <v>2057858002.4785066</v>
      </c>
      <c r="S19">
        <f t="shared" ref="S19" si="73">R19/100000</f>
        <v>20578.580024785064</v>
      </c>
      <c r="T19">
        <f t="shared" ref="T19" si="74">S19/1000</f>
        <v>20.578580024785065</v>
      </c>
    </row>
    <row r="20" spans="1:20" x14ac:dyDescent="0.25">
      <c r="A20" s="5">
        <v>44573</v>
      </c>
      <c r="B20">
        <v>1.8579999999999999E-2</v>
      </c>
      <c r="C20">
        <v>1.9720000000000001E-2</v>
      </c>
      <c r="D20">
        <v>1.8489999999999999E-2</v>
      </c>
      <c r="E20">
        <v>1.9470000000000001E-2</v>
      </c>
      <c r="F20">
        <v>100956675</v>
      </c>
      <c r="G20">
        <v>1.9470000000000001E-2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0.59349593495934982</v>
      </c>
      <c r="Q20">
        <f t="shared" ref="Q20" si="76">F20*P20</f>
        <v>59917376.219512217</v>
      </c>
      <c r="R20">
        <f t="shared" ref="R20" si="77">R21+Q20</f>
        <v>2375422076.7212811</v>
      </c>
      <c r="S20">
        <f t="shared" ref="S20" si="78">R20/100000</f>
        <v>23754.22076721281</v>
      </c>
      <c r="T20">
        <f t="shared" ref="T20" si="79">S20/1000</f>
        <v>23.754220767212811</v>
      </c>
    </row>
    <row r="21" spans="1:20" x14ac:dyDescent="0.25">
      <c r="A21" s="5">
        <v>44572</v>
      </c>
      <c r="B21">
        <v>1.772E-2</v>
      </c>
      <c r="C21">
        <v>1.8749999999999999E-2</v>
      </c>
      <c r="D21">
        <v>1.7409999999999998E-2</v>
      </c>
      <c r="E21">
        <v>1.8499999999999999E-2</v>
      </c>
      <c r="F21">
        <v>132547936</v>
      </c>
      <c r="G21">
        <v>1.8499999999999999E-2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0.62686567164179097</v>
      </c>
      <c r="Q21">
        <f t="shared" ref="Q21" si="81">F21*P21</f>
        <v>83089750.925373122</v>
      </c>
      <c r="R21">
        <f t="shared" ref="R21" si="82">R22+Q21</f>
        <v>2315504700.5017691</v>
      </c>
      <c r="S21">
        <f t="shared" ref="S21" si="83">R21/100000</f>
        <v>23155.047005017692</v>
      </c>
      <c r="T21">
        <f t="shared" ref="T21" si="84">S21/1000</f>
        <v>23.155047005017693</v>
      </c>
    </row>
    <row r="22" spans="1:20" x14ac:dyDescent="0.25">
      <c r="A22" s="5">
        <v>44571</v>
      </c>
      <c r="B22">
        <v>1.8519999999999998E-2</v>
      </c>
      <c r="C22">
        <v>1.8929999999999999E-2</v>
      </c>
      <c r="D22">
        <v>1.6650000000000002E-2</v>
      </c>
      <c r="E22">
        <v>1.7770000000000001E-2</v>
      </c>
      <c r="F22">
        <v>132218412</v>
      </c>
      <c r="G22">
        <v>1.7770000000000001E-2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-1.7543859649122112E-2</v>
      </c>
      <c r="Q22">
        <f t="shared" ref="Q22" si="86">F22*P22</f>
        <v>-2319621.2631578026</v>
      </c>
      <c r="R22">
        <f t="shared" ref="R22" si="87">R23+Q22</f>
        <v>2232414949.576396</v>
      </c>
      <c r="S22">
        <f t="shared" ref="S22" si="88">R22/100000</f>
        <v>22324.149495763959</v>
      </c>
      <c r="T22">
        <f t="shared" ref="T22" si="89">S22/1000</f>
        <v>22.324149495763958</v>
      </c>
    </row>
    <row r="23" spans="1:20" x14ac:dyDescent="0.25">
      <c r="A23" s="5">
        <v>44570</v>
      </c>
      <c r="B23">
        <v>1.8249999999999999E-2</v>
      </c>
      <c r="C23">
        <v>1.9089999999999999E-2</v>
      </c>
      <c r="D23">
        <v>1.805E-2</v>
      </c>
      <c r="E23">
        <v>1.8509999999999999E-2</v>
      </c>
      <c r="F23">
        <v>68698131</v>
      </c>
      <c r="G23">
        <v>1.8509999999999999E-2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-0.11538461538461743</v>
      </c>
      <c r="Q23">
        <f t="shared" ref="Q23" si="91">F23*P23</f>
        <v>-7926707.4230770636</v>
      </c>
      <c r="R23">
        <f t="shared" ref="R23" si="92">R24+Q23</f>
        <v>2234734570.8395538</v>
      </c>
      <c r="S23">
        <f t="shared" ref="S23" si="93">R23/100000</f>
        <v>22347.34570839554</v>
      </c>
      <c r="T23">
        <f t="shared" ref="T23" si="94">S23/1000</f>
        <v>22.34734570839554</v>
      </c>
    </row>
    <row r="24" spans="1:20" x14ac:dyDescent="0.25">
      <c r="A24" s="5">
        <v>44569</v>
      </c>
      <c r="B24">
        <v>1.9230000000000001E-2</v>
      </c>
      <c r="C24">
        <v>2.0240000000000001E-2</v>
      </c>
      <c r="D24">
        <v>1.7489999999999999E-2</v>
      </c>
      <c r="E24">
        <v>1.8249999999999999E-2</v>
      </c>
      <c r="F24">
        <v>176932683</v>
      </c>
      <c r="G24">
        <v>1.8249999999999999E-2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-0.4472727272727276</v>
      </c>
      <c r="Q24">
        <f t="shared" ref="Q24" si="96">F24*P24</f>
        <v>-79137163.669090971</v>
      </c>
      <c r="R24">
        <f t="shared" ref="R24" si="97">R25+Q24</f>
        <v>2242661278.2626309</v>
      </c>
      <c r="S24">
        <f t="shared" ref="S24" si="98">R24/100000</f>
        <v>22426.612782626311</v>
      </c>
      <c r="T24">
        <f t="shared" ref="T24" si="99">S24/1000</f>
        <v>22.426612782626311</v>
      </c>
    </row>
    <row r="25" spans="1:20" x14ac:dyDescent="0.25">
      <c r="A25" s="5">
        <v>44568</v>
      </c>
      <c r="B25">
        <v>2.0389999999999998E-2</v>
      </c>
      <c r="C25">
        <v>2.0410000000000001E-2</v>
      </c>
      <c r="D25">
        <v>1.8409999999999999E-2</v>
      </c>
      <c r="E25">
        <v>1.9199999999999998E-2</v>
      </c>
      <c r="F25">
        <v>139302469</v>
      </c>
      <c r="G25">
        <v>1.9199999999999998E-2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-0.21000000000000166</v>
      </c>
      <c r="Q25">
        <f t="shared" ref="Q25" si="101">F25*P25</f>
        <v>-29253518.490000229</v>
      </c>
      <c r="R25">
        <f t="shared" ref="R25" si="102">R26+Q25</f>
        <v>2321798441.9317217</v>
      </c>
      <c r="S25">
        <f t="shared" ref="S25" si="103">R25/100000</f>
        <v>23217.984419317218</v>
      </c>
      <c r="T25">
        <f t="shared" ref="T25" si="104">S25/1000</f>
        <v>23.217984419317219</v>
      </c>
    </row>
    <row r="26" spans="1:20" x14ac:dyDescent="0.25">
      <c r="A26" s="5">
        <v>44567</v>
      </c>
      <c r="B26">
        <v>2.0299999999999999E-2</v>
      </c>
      <c r="C26">
        <v>2.0539999999999999E-2</v>
      </c>
      <c r="D26">
        <v>1.933E-2</v>
      </c>
      <c r="E26">
        <v>2.035E-2</v>
      </c>
      <c r="F26">
        <v>99792401</v>
      </c>
      <c r="G26">
        <v>2.035E-2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0.68595041322314165</v>
      </c>
      <c r="Q26">
        <f t="shared" ref="Q26" si="106">F26*P26</f>
        <v>68452638.702479452</v>
      </c>
      <c r="R26">
        <f t="shared" ref="R26" si="107">R27+Q26</f>
        <v>2351051960.4217219</v>
      </c>
      <c r="S26">
        <f t="shared" ref="S26" si="108">R26/100000</f>
        <v>23510.519604217221</v>
      </c>
      <c r="T26">
        <f t="shared" ref="T26" si="109">S26/1000</f>
        <v>23.510519604217222</v>
      </c>
    </row>
    <row r="27" spans="1:20" x14ac:dyDescent="0.25">
      <c r="A27" s="5">
        <v>44566</v>
      </c>
      <c r="B27">
        <v>2.2079999999999999E-2</v>
      </c>
      <c r="C27">
        <v>2.2960000000000001E-2</v>
      </c>
      <c r="D27">
        <v>1.9380000000000001E-2</v>
      </c>
      <c r="E27">
        <v>2.0299999999999999E-2</v>
      </c>
      <c r="F27">
        <v>165462383</v>
      </c>
      <c r="G27">
        <v>2.0299999999999999E-2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-0.48603351955307417</v>
      </c>
      <c r="Q27">
        <f t="shared" ref="Q27" si="111">F27*P27</f>
        <v>-80420264.363128752</v>
      </c>
      <c r="R27">
        <f t="shared" ref="R27" si="112">R28+Q27</f>
        <v>2282599321.7192426</v>
      </c>
      <c r="S27">
        <f t="shared" ref="S27" si="113">R27/100000</f>
        <v>22825.993217192427</v>
      </c>
      <c r="T27">
        <f t="shared" ref="T27" si="114">S27/1000</f>
        <v>22.825993217192426</v>
      </c>
    </row>
    <row r="28" spans="1:20" x14ac:dyDescent="0.25">
      <c r="A28" s="5">
        <v>44565</v>
      </c>
      <c r="B28">
        <v>2.29E-2</v>
      </c>
      <c r="C28">
        <v>2.3560000000000001E-2</v>
      </c>
      <c r="D28">
        <v>2.1899999999999999E-2</v>
      </c>
      <c r="E28">
        <v>2.2110000000000001E-2</v>
      </c>
      <c r="F28">
        <v>79509666</v>
      </c>
      <c r="G28">
        <v>2.2110000000000001E-2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-0.74698795180722699</v>
      </c>
      <c r="Q28">
        <f t="shared" ref="Q28" si="116">F28*P28</f>
        <v>-59392762.554216713</v>
      </c>
      <c r="R28">
        <f t="shared" ref="R28" si="117">R29+Q28</f>
        <v>2363019586.0823712</v>
      </c>
      <c r="S28">
        <f t="shared" ref="S28" si="118">R28/100000</f>
        <v>23630.195860823711</v>
      </c>
      <c r="T28">
        <f t="shared" ref="T28" si="119">S28/1000</f>
        <v>23.630195860823711</v>
      </c>
    </row>
    <row r="29" spans="1:20" x14ac:dyDescent="0.25">
      <c r="A29" s="5">
        <v>44564</v>
      </c>
      <c r="B29">
        <v>2.3230000000000001E-2</v>
      </c>
      <c r="C29">
        <v>2.3779999999999999E-2</v>
      </c>
      <c r="D29">
        <v>2.2370000000000001E-2</v>
      </c>
      <c r="E29">
        <v>2.2880000000000001E-2</v>
      </c>
      <c r="F29">
        <v>139524116</v>
      </c>
      <c r="G29">
        <v>2.2880000000000001E-2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-0.27659574468085002</v>
      </c>
      <c r="Q29">
        <f t="shared" ref="Q29" si="121">F29*P29</f>
        <v>-38591776.765957303</v>
      </c>
      <c r="R29">
        <f t="shared" ref="R29" si="122">R30+Q29</f>
        <v>2422412348.6365881</v>
      </c>
      <c r="S29">
        <f t="shared" ref="S29" si="123">R29/100000</f>
        <v>24224.123486365879</v>
      </c>
      <c r="T29">
        <f t="shared" ref="T29" si="124">S29/1000</f>
        <v>24.22412348636588</v>
      </c>
    </row>
    <row r="30" spans="1:20" x14ac:dyDescent="0.25">
      <c r="A30" s="5">
        <v>44563</v>
      </c>
      <c r="B30">
        <v>2.179E-2</v>
      </c>
      <c r="C30">
        <v>2.3939999999999999E-2</v>
      </c>
      <c r="D30">
        <v>2.1510000000000001E-2</v>
      </c>
      <c r="E30">
        <v>2.3259999999999999E-2</v>
      </c>
      <c r="F30">
        <v>212243855</v>
      </c>
      <c r="G30">
        <v>2.3259999999999999E-2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0.44032921810699543</v>
      </c>
      <c r="Q30">
        <f t="shared" ref="Q30" si="126">F30*P30</f>
        <v>93457170.720164508</v>
      </c>
      <c r="R30">
        <f t="shared" ref="R30" si="127">R31+Q30</f>
        <v>2461004125.4025455</v>
      </c>
      <c r="S30">
        <f t="shared" ref="S30" si="128">R30/100000</f>
        <v>24610.041254025455</v>
      </c>
      <c r="T30">
        <f t="shared" ref="T30" si="129">S30/1000</f>
        <v>24.610041254025454</v>
      </c>
    </row>
    <row r="31" spans="1:20" x14ac:dyDescent="0.25">
      <c r="A31" s="5">
        <v>44562</v>
      </c>
      <c r="B31">
        <v>2.1049999999999999E-2</v>
      </c>
      <c r="C31">
        <v>2.1819999999999999E-2</v>
      </c>
      <c r="D31">
        <v>2.0959999999999999E-2</v>
      </c>
      <c r="E31">
        <v>2.179E-2</v>
      </c>
      <c r="F31">
        <v>59440490</v>
      </c>
      <c r="G31">
        <v>2.179E-2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0.93023255813953765</v>
      </c>
      <c r="Q31">
        <f t="shared" ref="Q31" si="131">F31*P31</f>
        <v>55293479.069767609</v>
      </c>
      <c r="R31">
        <f t="shared" ref="R31" si="132">R32+Q31</f>
        <v>2367546954.6823812</v>
      </c>
      <c r="S31">
        <f t="shared" ref="S31" si="133">R31/100000</f>
        <v>23675.469546823813</v>
      </c>
      <c r="T31">
        <f t="shared" ref="T31" si="134">S31/1000</f>
        <v>23.675469546823813</v>
      </c>
    </row>
    <row r="32" spans="1:20" x14ac:dyDescent="0.25">
      <c r="A32" s="5">
        <v>44561</v>
      </c>
      <c r="B32">
        <v>2.1530000000000001E-2</v>
      </c>
      <c r="C32">
        <v>2.2020000000000001E-2</v>
      </c>
      <c r="D32">
        <v>2.053E-2</v>
      </c>
      <c r="E32">
        <v>2.103E-2</v>
      </c>
      <c r="F32">
        <v>118577112</v>
      </c>
      <c r="G32">
        <v>2.103E-2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-0.32885906040268476</v>
      </c>
      <c r="Q32">
        <f t="shared" ref="Q32" si="136">F32*P32</f>
        <v>-38995157.637583919</v>
      </c>
      <c r="R32">
        <f t="shared" ref="R32" si="137">R33+Q32</f>
        <v>2312253475.6126137</v>
      </c>
      <c r="S32">
        <f t="shared" ref="S32" si="138">R32/100000</f>
        <v>23122.534756126137</v>
      </c>
      <c r="T32">
        <f t="shared" ref="T32" si="139">S32/1000</f>
        <v>23.122534756126136</v>
      </c>
    </row>
    <row r="33" spans="1:20" x14ac:dyDescent="0.25">
      <c r="A33" s="5">
        <v>44560</v>
      </c>
      <c r="B33">
        <v>2.1309999999999999E-2</v>
      </c>
      <c r="C33">
        <v>2.2179999999999998E-2</v>
      </c>
      <c r="D33">
        <v>2.0889999999999999E-2</v>
      </c>
      <c r="E33">
        <v>2.1530000000000001E-2</v>
      </c>
      <c r="F33">
        <v>86974134</v>
      </c>
      <c r="G33">
        <v>2.1530000000000001E-2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-7.751937984493122E-3</v>
      </c>
      <c r="Q33">
        <f t="shared" ref="Q33" si="141">F33*P33</f>
        <v>-674218.0930229947</v>
      </c>
      <c r="R33">
        <f t="shared" ref="R33" si="142">R34+Q33</f>
        <v>2351248633.2501974</v>
      </c>
      <c r="S33">
        <f t="shared" ref="S33" si="143">R33/100000</f>
        <v>23512.486332501972</v>
      </c>
      <c r="T33">
        <f t="shared" ref="T33" si="144">S33/1000</f>
        <v>23.512486332501972</v>
      </c>
    </row>
    <row r="34" spans="1:20" x14ac:dyDescent="0.25">
      <c r="A34" s="5">
        <v>44559</v>
      </c>
      <c r="B34">
        <v>2.1950000000000001E-2</v>
      </c>
      <c r="C34">
        <v>2.2450000000000001E-2</v>
      </c>
      <c r="D34">
        <v>2.0979999999999999E-2</v>
      </c>
      <c r="E34">
        <v>2.129E-2</v>
      </c>
      <c r="F34">
        <v>100605272</v>
      </c>
      <c r="G34">
        <v>2.129E-2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-0.57823129251700589</v>
      </c>
      <c r="Q34">
        <f t="shared" ref="Q34" si="146">F34*P34</f>
        <v>-58173116.462584943</v>
      </c>
      <c r="R34">
        <f t="shared" ref="R34" si="147">R35+Q34</f>
        <v>2351922851.3432202</v>
      </c>
      <c r="S34">
        <f t="shared" ref="S34" si="148">R34/100000</f>
        <v>23519.228513432201</v>
      </c>
      <c r="T34">
        <f t="shared" ref="T34" si="149">S34/1000</f>
        <v>23.5192285134322</v>
      </c>
    </row>
    <row r="35" spans="1:20" x14ac:dyDescent="0.25">
      <c r="A35" s="5">
        <v>44558</v>
      </c>
      <c r="B35">
        <v>2.4279999999999999E-2</v>
      </c>
      <c r="C35">
        <v>2.4279999999999999E-2</v>
      </c>
      <c r="D35">
        <v>2.172E-2</v>
      </c>
      <c r="E35">
        <v>2.1919999999999999E-2</v>
      </c>
      <c r="F35">
        <v>116384779</v>
      </c>
      <c r="G35">
        <v>2.1919999999999999E-2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-0.84375000000000089</v>
      </c>
      <c r="Q35">
        <f t="shared" ref="Q35" si="151">F35*P35</f>
        <v>-98199657.281250104</v>
      </c>
      <c r="R35">
        <f t="shared" ref="R35" si="152">R36+Q35</f>
        <v>2410095967.8058052</v>
      </c>
      <c r="S35">
        <f t="shared" ref="S35" si="153">R35/100000</f>
        <v>24100.95967805805</v>
      </c>
      <c r="T35">
        <f t="shared" ref="T35" si="154">S35/1000</f>
        <v>24.10095967805805</v>
      </c>
    </row>
    <row r="36" spans="1:20" x14ac:dyDescent="0.25">
      <c r="A36" s="5">
        <v>44557</v>
      </c>
      <c r="B36">
        <v>2.452E-2</v>
      </c>
      <c r="C36">
        <v>2.5250000000000002E-2</v>
      </c>
      <c r="D36">
        <v>2.4199999999999999E-2</v>
      </c>
      <c r="E36">
        <v>2.4250000000000001E-2</v>
      </c>
      <c r="F36">
        <v>119067880</v>
      </c>
      <c r="G36">
        <v>2.4250000000000001E-2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-0.90476190476190221</v>
      </c>
      <c r="Q36">
        <f t="shared" ref="Q36" si="156">F36*P36</f>
        <v>-107728081.9047616</v>
      </c>
      <c r="R36">
        <f t="shared" ref="R36" si="157">R37+Q36</f>
        <v>2508295625.0870552</v>
      </c>
      <c r="S36">
        <f t="shared" ref="S36" si="158">R36/100000</f>
        <v>25082.956250870553</v>
      </c>
      <c r="T36">
        <f t="shared" ref="T36" si="159">S36/1000</f>
        <v>25.082956250870552</v>
      </c>
    </row>
    <row r="37" spans="1:20" x14ac:dyDescent="0.25">
      <c r="A37" s="5">
        <v>44556</v>
      </c>
      <c r="B37">
        <v>2.445E-2</v>
      </c>
      <c r="C37">
        <v>2.47E-2</v>
      </c>
      <c r="D37">
        <v>2.3519999999999999E-2</v>
      </c>
      <c r="E37">
        <v>2.4549999999999999E-2</v>
      </c>
      <c r="F37">
        <v>72342966</v>
      </c>
      <c r="G37">
        <v>2.4549999999999999E-2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0.74576271186440546</v>
      </c>
      <c r="Q37">
        <f t="shared" ref="Q37" si="161">F37*P37</f>
        <v>53950686.508474484</v>
      </c>
      <c r="R37">
        <f t="shared" ref="R37" si="162">R38+Q37</f>
        <v>2616023706.991817</v>
      </c>
      <c r="S37">
        <f t="shared" ref="S37" si="163">R37/100000</f>
        <v>26160.23706991817</v>
      </c>
      <c r="T37">
        <f t="shared" ref="T37" si="164">S37/1000</f>
        <v>26.160237069918171</v>
      </c>
    </row>
    <row r="38" spans="1:20" x14ac:dyDescent="0.25">
      <c r="A38" s="5">
        <v>44555</v>
      </c>
      <c r="B38">
        <v>2.3779999999999999E-2</v>
      </c>
      <c r="C38">
        <v>2.478E-2</v>
      </c>
      <c r="D38">
        <v>2.3650000000000001E-2</v>
      </c>
      <c r="E38">
        <v>2.443E-2</v>
      </c>
      <c r="F38">
        <v>193406262</v>
      </c>
      <c r="G38">
        <v>2.443E-2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0.38053097345132758</v>
      </c>
      <c r="Q38">
        <f t="shared" ref="Q38" si="166">F38*P38</f>
        <v>73597073.150442511</v>
      </c>
      <c r="R38">
        <f t="shared" ref="R38" si="167">R39+Q38</f>
        <v>2562073020.4833426</v>
      </c>
      <c r="S38">
        <f t="shared" ref="S38" si="168">R38/100000</f>
        <v>25620.730204833428</v>
      </c>
      <c r="T38">
        <f t="shared" ref="T38" si="169">S38/1000</f>
        <v>25.620730204833428</v>
      </c>
    </row>
    <row r="39" spans="1:20" x14ac:dyDescent="0.25">
      <c r="A39" s="5">
        <v>44554</v>
      </c>
      <c r="B39">
        <v>2.4129999999999999E-2</v>
      </c>
      <c r="C39">
        <v>2.545E-2</v>
      </c>
      <c r="D39">
        <v>2.3550000000000001E-2</v>
      </c>
      <c r="E39">
        <v>2.3779999999999999E-2</v>
      </c>
      <c r="F39">
        <v>416986605</v>
      </c>
      <c r="G39">
        <v>2.3779999999999999E-2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-0.75789473684210773</v>
      </c>
      <c r="Q39">
        <f t="shared" ref="Q39" si="171">F39*P39</f>
        <v>-316031953.26315892</v>
      </c>
      <c r="R39">
        <f t="shared" ref="R39" si="172">R40+Q39</f>
        <v>2488475947.3329</v>
      </c>
      <c r="S39">
        <f t="shared" ref="S39" si="173">R39/100000</f>
        <v>24884.759473328999</v>
      </c>
      <c r="T39">
        <f t="shared" ref="T39" si="174">S39/1000</f>
        <v>24.884759473328998</v>
      </c>
    </row>
    <row r="40" spans="1:20" x14ac:dyDescent="0.25">
      <c r="A40" s="5">
        <v>44553</v>
      </c>
      <c r="B40">
        <v>2.265E-2</v>
      </c>
      <c r="C40">
        <v>2.4510000000000001E-2</v>
      </c>
      <c r="D40">
        <v>2.206E-2</v>
      </c>
      <c r="E40">
        <v>2.4140000000000002E-2</v>
      </c>
      <c r="F40">
        <v>168821852</v>
      </c>
      <c r="G40">
        <v>2.4140000000000002E-2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0.69795918367347043</v>
      </c>
      <c r="Q40">
        <f t="shared" ref="Q40" si="176">F40*P40</f>
        <v>117830762.00816344</v>
      </c>
      <c r="R40">
        <f t="shared" ref="R40" si="177">R41+Q40</f>
        <v>2804507900.5960588</v>
      </c>
      <c r="S40">
        <f t="shared" ref="S40" si="178">R40/100000</f>
        <v>28045.07900596059</v>
      </c>
      <c r="T40">
        <f t="shared" ref="T40" si="179">S40/1000</f>
        <v>28.045079005960591</v>
      </c>
    </row>
    <row r="41" spans="1:20" x14ac:dyDescent="0.25">
      <c r="A41" s="5">
        <v>44552</v>
      </c>
      <c r="B41">
        <v>2.231E-2</v>
      </c>
      <c r="C41">
        <v>2.3E-2</v>
      </c>
      <c r="D41">
        <v>2.2020000000000001E-2</v>
      </c>
      <c r="E41">
        <v>2.264E-2</v>
      </c>
      <c r="F41">
        <v>103791312</v>
      </c>
      <c r="G41">
        <v>2.264E-2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0.26530612244897989</v>
      </c>
      <c r="Q41">
        <f t="shared" ref="Q41" si="181">F41*P41</f>
        <v>27536470.530612275</v>
      </c>
      <c r="R41">
        <f t="shared" ref="R41" si="182">R42+Q41</f>
        <v>2686677138.5878954</v>
      </c>
      <c r="S41">
        <f t="shared" ref="S41" si="183">R41/100000</f>
        <v>26866.771385878954</v>
      </c>
      <c r="T41">
        <f t="shared" ref="T41" si="184">S41/1000</f>
        <v>26.866771385878955</v>
      </c>
    </row>
    <row r="42" spans="1:20" x14ac:dyDescent="0.25">
      <c r="A42" s="5">
        <v>44551</v>
      </c>
      <c r="B42">
        <v>2.128E-2</v>
      </c>
      <c r="C42">
        <v>2.2499999999999999E-2</v>
      </c>
      <c r="D42">
        <v>2.095E-2</v>
      </c>
      <c r="E42">
        <v>2.2280000000000001E-2</v>
      </c>
      <c r="F42">
        <v>133934539</v>
      </c>
      <c r="G42">
        <v>2.2280000000000001E-2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0.71612903225806701</v>
      </c>
      <c r="Q42">
        <f t="shared" ref="Q42" si="186">F42*P42</f>
        <v>95914411.80000034</v>
      </c>
      <c r="R42">
        <f t="shared" ref="R42" si="187">R43+Q42</f>
        <v>2659140668.0572829</v>
      </c>
      <c r="S42">
        <f t="shared" ref="S42" si="188">R42/100000</f>
        <v>26591.406680572829</v>
      </c>
      <c r="T42">
        <f t="shared" ref="T42" si="189">S42/1000</f>
        <v>26.591406680572828</v>
      </c>
    </row>
    <row r="43" spans="1:20" x14ac:dyDescent="0.25">
      <c r="A43" s="5">
        <v>44550</v>
      </c>
      <c r="B43">
        <v>2.18E-2</v>
      </c>
      <c r="C43">
        <v>2.214E-2</v>
      </c>
      <c r="D43">
        <v>2.0490000000000001E-2</v>
      </c>
      <c r="E43">
        <v>2.1229999999999999E-2</v>
      </c>
      <c r="F43">
        <v>82044035</v>
      </c>
      <c r="G43">
        <v>2.1229999999999999E-2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-0.10303030303030522</v>
      </c>
      <c r="Q43">
        <f t="shared" ref="Q43" si="191">F43*P43</f>
        <v>-8453021.7878789678</v>
      </c>
      <c r="R43">
        <f t="shared" ref="R43" si="192">R44+Q43</f>
        <v>2563226256.2572827</v>
      </c>
      <c r="S43">
        <f t="shared" ref="S43" si="193">R43/100000</f>
        <v>25632.262562572829</v>
      </c>
      <c r="T43">
        <f t="shared" ref="T43" si="194">S43/1000</f>
        <v>25.63226256257283</v>
      </c>
    </row>
    <row r="44" spans="1:20" x14ac:dyDescent="0.25">
      <c r="A44" s="5">
        <v>44549</v>
      </c>
      <c r="B44">
        <v>2.2259999999999999E-2</v>
      </c>
      <c r="C44">
        <v>2.2679999999999999E-2</v>
      </c>
      <c r="D44">
        <v>2.1739999999999999E-2</v>
      </c>
      <c r="E44">
        <v>2.1819999999999999E-2</v>
      </c>
      <c r="F44">
        <v>59574095</v>
      </c>
      <c r="G44">
        <v>2.1819999999999999E-2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-0.82978723404255272</v>
      </c>
      <c r="Q44">
        <f t="shared" ref="Q44" si="196">F44*P44</f>
        <v>-49433823.510638267</v>
      </c>
      <c r="R44">
        <f t="shared" ref="R44" si="197">R45+Q44</f>
        <v>2571679278.0451617</v>
      </c>
      <c r="S44">
        <f t="shared" ref="S44" si="198">R44/100000</f>
        <v>25716.792780451618</v>
      </c>
      <c r="T44">
        <f t="shared" ref="T44" si="199">S44/1000</f>
        <v>25.71679278045162</v>
      </c>
    </row>
    <row r="45" spans="1:20" x14ac:dyDescent="0.25">
      <c r="A45" s="5">
        <v>44548</v>
      </c>
      <c r="B45">
        <v>2.189E-2</v>
      </c>
      <c r="C45">
        <v>2.2610000000000002E-2</v>
      </c>
      <c r="D45">
        <v>2.1389999999999999E-2</v>
      </c>
      <c r="E45">
        <v>2.2259999999999999E-2</v>
      </c>
      <c r="F45">
        <v>81551605</v>
      </c>
      <c r="G45">
        <v>2.2259999999999999E-2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0.42622950819671734</v>
      </c>
      <c r="Q45">
        <f t="shared" ref="Q45" si="201">F45*P45</f>
        <v>34759700.491802953</v>
      </c>
      <c r="R45">
        <f t="shared" ref="R45" si="202">R46+Q45</f>
        <v>2621113101.5558</v>
      </c>
      <c r="S45">
        <f t="shared" ref="S45" si="203">R45/100000</f>
        <v>26211.131015557999</v>
      </c>
      <c r="T45">
        <f t="shared" ref="T45" si="204">S45/1000</f>
        <v>26.211131015557999</v>
      </c>
    </row>
    <row r="46" spans="1:20" x14ac:dyDescent="0.25">
      <c r="A46" s="5">
        <v>44547</v>
      </c>
      <c r="B46">
        <v>2.155E-2</v>
      </c>
      <c r="C46">
        <v>2.2960000000000001E-2</v>
      </c>
      <c r="D46">
        <v>2.0910000000000002E-2</v>
      </c>
      <c r="E46">
        <v>2.189E-2</v>
      </c>
      <c r="F46">
        <v>218562351</v>
      </c>
      <c r="G46">
        <v>2.189E-2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-4.3902439024391844E-2</v>
      </c>
      <c r="Q46">
        <f t="shared" ref="Q46" si="206">F46*P46</f>
        <v>-9595420.2878052276</v>
      </c>
      <c r="R46">
        <f t="shared" ref="R46" si="207">R47+Q46</f>
        <v>2586353401.0639968</v>
      </c>
      <c r="S46">
        <f t="shared" ref="S46" si="208">R46/100000</f>
        <v>25863.534010639967</v>
      </c>
      <c r="T46">
        <f t="shared" ref="T46" si="209">S46/1000</f>
        <v>25.863534010639967</v>
      </c>
    </row>
    <row r="47" spans="1:20" x14ac:dyDescent="0.25">
      <c r="A47" s="5">
        <v>44546</v>
      </c>
      <c r="B47">
        <v>2.206E-2</v>
      </c>
      <c r="C47">
        <v>2.266E-2</v>
      </c>
      <c r="D47">
        <v>2.1520000000000001E-2</v>
      </c>
      <c r="E47">
        <v>2.155E-2</v>
      </c>
      <c r="F47">
        <v>110710164</v>
      </c>
      <c r="G47">
        <v>2.155E-2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-0.94736842105263364</v>
      </c>
      <c r="Q47">
        <f t="shared" ref="Q47" si="211">F47*P47</f>
        <v>-104883313.26315813</v>
      </c>
      <c r="R47">
        <f t="shared" ref="R47" si="212">R48+Q47</f>
        <v>2595948821.3518019</v>
      </c>
      <c r="S47">
        <f t="shared" ref="S47" si="213">R47/100000</f>
        <v>25959.48821351802</v>
      </c>
      <c r="T47">
        <f t="shared" ref="T47" si="214">S47/1000</f>
        <v>25.959488213518021</v>
      </c>
    </row>
    <row r="48" spans="1:20" x14ac:dyDescent="0.25">
      <c r="A48" s="5">
        <v>44545</v>
      </c>
      <c r="B48">
        <v>2.1219999999999999E-2</v>
      </c>
      <c r="C48">
        <v>2.3480000000000001E-2</v>
      </c>
      <c r="D48">
        <v>2.0049999999999998E-2</v>
      </c>
      <c r="E48">
        <v>2.206E-2</v>
      </c>
      <c r="F48">
        <v>344225028</v>
      </c>
      <c r="G48">
        <v>2.206E-2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0.17201166180758012</v>
      </c>
      <c r="Q48">
        <f t="shared" ref="Q48" si="216">F48*P48</f>
        <v>59210719.102040797</v>
      </c>
      <c r="R48">
        <f t="shared" ref="R48" si="217">R49+Q48</f>
        <v>2700832134.6149602</v>
      </c>
      <c r="S48">
        <f t="shared" ref="S48" si="218">R48/100000</f>
        <v>27008.321346149602</v>
      </c>
      <c r="T48">
        <f t="shared" ref="T48" si="219">S48/1000</f>
        <v>27.0083213461496</v>
      </c>
    </row>
    <row r="49" spans="1:20" x14ac:dyDescent="0.25">
      <c r="A49" s="5">
        <v>44544</v>
      </c>
      <c r="B49">
        <v>2.104E-2</v>
      </c>
      <c r="C49">
        <v>2.3449999999999999E-2</v>
      </c>
      <c r="D49">
        <v>2.0240000000000001E-2</v>
      </c>
      <c r="E49">
        <v>2.1229999999999999E-2</v>
      </c>
      <c r="F49">
        <v>255893248</v>
      </c>
      <c r="G49">
        <v>2.1229999999999999E-2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-0.38317757009345882</v>
      </c>
      <c r="Q49">
        <f t="shared" ref="Q49" si="221">F49*P49</f>
        <v>-98052552.971962839</v>
      </c>
      <c r="R49">
        <f t="shared" ref="R49" si="222">R50+Q49</f>
        <v>2641621415.5129194</v>
      </c>
      <c r="S49">
        <f t="shared" ref="S49" si="223">R49/100000</f>
        <v>26416.214155129193</v>
      </c>
      <c r="T49">
        <f t="shared" ref="T49" si="224">S49/1000</f>
        <v>26.416214155129193</v>
      </c>
    </row>
    <row r="50" spans="1:20" x14ac:dyDescent="0.25">
      <c r="A50" s="5">
        <v>44543</v>
      </c>
      <c r="B50">
        <v>2.4209999999999999E-2</v>
      </c>
      <c r="C50">
        <v>2.4279999999999999E-2</v>
      </c>
      <c r="D50">
        <v>2.0549999999999999E-2</v>
      </c>
      <c r="E50">
        <v>2.104E-2</v>
      </c>
      <c r="F50">
        <v>189823137</v>
      </c>
      <c r="G50">
        <v>2.104E-2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-0.73726541554959746</v>
      </c>
      <c r="Q50">
        <f t="shared" ref="Q50" si="226">F50*P50</f>
        <v>-139950033.98123318</v>
      </c>
      <c r="R50">
        <f t="shared" ref="R50" si="227">R51+Q50</f>
        <v>2739673968.4848824</v>
      </c>
      <c r="S50">
        <f t="shared" ref="S50" si="228">R50/100000</f>
        <v>27396.739684848824</v>
      </c>
      <c r="T50">
        <f t="shared" ref="T50" si="229">S50/1000</f>
        <v>27.396739684848825</v>
      </c>
    </row>
    <row r="51" spans="1:20" x14ac:dyDescent="0.25">
      <c r="A51" s="5">
        <v>44542</v>
      </c>
      <c r="B51">
        <v>2.4709999999999999E-2</v>
      </c>
      <c r="C51">
        <v>2.5000000000000001E-2</v>
      </c>
      <c r="D51">
        <v>2.3390000000000001E-2</v>
      </c>
      <c r="E51">
        <v>2.418E-2</v>
      </c>
      <c r="F51">
        <v>161070450</v>
      </c>
      <c r="G51">
        <v>2.418E-2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-1.8633540372672199E-2</v>
      </c>
      <c r="Q51">
        <f t="shared" ref="Q51" si="231">F51*P51</f>
        <v>-3001312.7329194788</v>
      </c>
      <c r="R51">
        <f t="shared" ref="R51" si="232">R52+Q51</f>
        <v>2879624002.4661155</v>
      </c>
      <c r="S51">
        <f t="shared" ref="S51" si="233">R51/100000</f>
        <v>28796.240024661154</v>
      </c>
      <c r="T51">
        <f t="shared" ref="T51" si="234">S51/1000</f>
        <v>28.796240024661156</v>
      </c>
    </row>
    <row r="52" spans="1:20" x14ac:dyDescent="0.25">
      <c r="A52" s="5">
        <v>44541</v>
      </c>
      <c r="B52">
        <v>2.419E-2</v>
      </c>
      <c r="C52">
        <v>2.444E-2</v>
      </c>
      <c r="D52">
        <v>2.3390000000000001E-2</v>
      </c>
      <c r="E52">
        <v>2.409E-2</v>
      </c>
      <c r="F52">
        <v>36792215</v>
      </c>
      <c r="G52">
        <v>2.409E-2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0.33333333333333331</v>
      </c>
      <c r="Q52">
        <f t="shared" ref="Q52" si="236">F52*P52</f>
        <v>12264071.666666666</v>
      </c>
      <c r="R52">
        <f t="shared" ref="R52" si="237">R53+Q52</f>
        <v>2882625315.1990352</v>
      </c>
      <c r="S52">
        <f t="shared" ref="S52" si="238">R52/100000</f>
        <v>28826.253151990353</v>
      </c>
      <c r="T52">
        <f t="shared" ref="T52" si="239">S52/1000</f>
        <v>28.826253151990354</v>
      </c>
    </row>
    <row r="53" spans="1:20" x14ac:dyDescent="0.25">
      <c r="A53" s="5">
        <v>44540</v>
      </c>
      <c r="B53">
        <v>2.7199999999999998E-2</v>
      </c>
      <c r="C53">
        <v>2.7199999999999998E-2</v>
      </c>
      <c r="D53">
        <v>2.4029999999999999E-2</v>
      </c>
      <c r="E53">
        <v>2.4209999999999999E-2</v>
      </c>
      <c r="F53">
        <v>382263532</v>
      </c>
      <c r="G53">
        <v>2.4209999999999999E-2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-0.88643533123028417</v>
      </c>
      <c r="Q53">
        <f t="shared" ref="Q53" si="241">F53*P53</f>
        <v>-338851900.60567832</v>
      </c>
      <c r="R53">
        <f t="shared" ref="R53" si="242">R54+Q53</f>
        <v>2870361243.5323687</v>
      </c>
      <c r="S53">
        <f t="shared" ref="S53" si="243">R53/100000</f>
        <v>28703.612435323688</v>
      </c>
      <c r="T53">
        <f t="shared" ref="T53" si="244">S53/1000</f>
        <v>28.703612435323688</v>
      </c>
    </row>
    <row r="54" spans="1:20" x14ac:dyDescent="0.25">
      <c r="A54" s="5">
        <v>44539</v>
      </c>
      <c r="B54">
        <v>2.6079999999999999E-2</v>
      </c>
      <c r="C54">
        <v>2.9080000000000002E-2</v>
      </c>
      <c r="D54">
        <v>2.5479999999999999E-2</v>
      </c>
      <c r="E54">
        <v>2.7189999999999999E-2</v>
      </c>
      <c r="F54">
        <v>891139808</v>
      </c>
      <c r="G54">
        <v>2.7189999999999999E-2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-5.0000000000000822E-2</v>
      </c>
      <c r="Q54">
        <f t="shared" ref="Q54" si="246">F54*P54</f>
        <v>-44556990.400000729</v>
      </c>
      <c r="R54">
        <f t="shared" ref="R54" si="247">R55+Q54</f>
        <v>3209213144.1380467</v>
      </c>
      <c r="S54">
        <f t="shared" ref="S54" si="248">R54/100000</f>
        <v>32092.131441380468</v>
      </c>
      <c r="T54">
        <f t="shared" ref="T54" si="249">S54/1000</f>
        <v>32.092131441380467</v>
      </c>
    </row>
    <row r="55" spans="1:20" x14ac:dyDescent="0.25">
      <c r="A55" s="5">
        <v>44538</v>
      </c>
      <c r="B55">
        <v>2.486E-2</v>
      </c>
      <c r="C55">
        <v>2.9260000000000001E-2</v>
      </c>
      <c r="D55">
        <v>2.3369999999999998E-2</v>
      </c>
      <c r="E55">
        <v>2.6069999999999999E-2</v>
      </c>
      <c r="F55">
        <v>910754259</v>
      </c>
      <c r="G55">
        <v>2.6069999999999999E-2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-8.3191850594227609E-2</v>
      </c>
      <c r="Q55">
        <f t="shared" ref="Q55" si="251">F55*P55</f>
        <v>-75767332.24278447</v>
      </c>
      <c r="R55">
        <f t="shared" ref="R55" si="252">R56+Q55</f>
        <v>3253770134.5380473</v>
      </c>
      <c r="S55">
        <f t="shared" ref="S55" si="253">R55/100000</f>
        <v>32537.701345380472</v>
      </c>
      <c r="T55">
        <f t="shared" ref="T55" si="254">S55/1000</f>
        <v>32.537701345380469</v>
      </c>
    </row>
    <row r="56" spans="1:20" x14ac:dyDescent="0.25">
      <c r="A56" s="5">
        <v>44537</v>
      </c>
      <c r="B56">
        <v>2.393E-2</v>
      </c>
      <c r="C56">
        <v>2.6349999999999998E-2</v>
      </c>
      <c r="D56">
        <v>2.3720000000000001E-2</v>
      </c>
      <c r="E56">
        <v>2.487E-2</v>
      </c>
      <c r="F56">
        <v>555463104</v>
      </c>
      <c r="G56">
        <v>2.487E-2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-0.12547528517110298</v>
      </c>
      <c r="Q56">
        <f t="shared" ref="Q56" si="256">F56*P56</f>
        <v>-69696891.376426041</v>
      </c>
      <c r="R56">
        <f t="shared" ref="R56" si="257">R57+Q56</f>
        <v>3329537466.7808318</v>
      </c>
      <c r="S56">
        <f t="shared" ref="S56" si="258">R56/100000</f>
        <v>33295.374667808319</v>
      </c>
      <c r="T56">
        <f t="shared" ref="T56" si="259">S56/1000</f>
        <v>33.295374667808318</v>
      </c>
    </row>
    <row r="57" spans="1:20" x14ac:dyDescent="0.25">
      <c r="A57" s="5">
        <v>44536</v>
      </c>
      <c r="B57">
        <v>2.291E-2</v>
      </c>
      <c r="C57">
        <v>2.4250000000000001E-2</v>
      </c>
      <c r="D57">
        <v>2.017E-2</v>
      </c>
      <c r="E57">
        <v>2.3980000000000001E-2</v>
      </c>
      <c r="F57">
        <v>302433902</v>
      </c>
      <c r="G57">
        <v>2.3980000000000001E-2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0.86764705882352966</v>
      </c>
      <c r="Q57">
        <f t="shared" ref="Q57" si="261">F57*P57</f>
        <v>262405885.55882362</v>
      </c>
      <c r="R57">
        <f t="shared" ref="R57" si="262">R58+Q57</f>
        <v>3399234358.157258</v>
      </c>
      <c r="S57">
        <f t="shared" ref="S57" si="263">R57/100000</f>
        <v>33992.343581572582</v>
      </c>
      <c r="T57">
        <f t="shared" ref="T57" si="264">S57/1000</f>
        <v>33.992343581572584</v>
      </c>
    </row>
    <row r="58" spans="1:20" x14ac:dyDescent="0.25">
      <c r="A58" s="5">
        <v>44535</v>
      </c>
      <c r="B58">
        <v>2.5569999999999999E-2</v>
      </c>
      <c r="C58">
        <v>2.5870000000000001E-2</v>
      </c>
      <c r="D58">
        <v>2.1870000000000001E-2</v>
      </c>
      <c r="E58">
        <v>2.2890000000000001E-2</v>
      </c>
      <c r="F58">
        <v>227367504</v>
      </c>
      <c r="G58">
        <v>2.2890000000000001E-2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-0.49</v>
      </c>
      <c r="Q58">
        <f t="shared" ref="Q58" si="266">F58*P58</f>
        <v>-111410076.95999999</v>
      </c>
      <c r="R58">
        <f t="shared" ref="R58" si="267">R59+Q58</f>
        <v>3136828472.5984344</v>
      </c>
      <c r="S58">
        <f t="shared" ref="S58" si="268">R58/100000</f>
        <v>31368.284725984344</v>
      </c>
      <c r="T58">
        <f t="shared" ref="T58" si="269">S58/1000</f>
        <v>31.368284725984346</v>
      </c>
    </row>
    <row r="59" spans="1:20" x14ac:dyDescent="0.25">
      <c r="A59" s="5">
        <v>44534</v>
      </c>
      <c r="B59">
        <v>3.039E-2</v>
      </c>
      <c r="C59">
        <v>3.041E-2</v>
      </c>
      <c r="D59">
        <v>1.7860000000000001E-2</v>
      </c>
      <c r="E59">
        <v>2.5559999999999999E-2</v>
      </c>
      <c r="F59">
        <v>585024915</v>
      </c>
      <c r="G59">
        <v>2.5559999999999999E-2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0.22709163346613534</v>
      </c>
      <c r="Q59">
        <f t="shared" ref="Q59" si="271">F59*P59</f>
        <v>132854263.56573698</v>
      </c>
      <c r="R59">
        <f t="shared" ref="R59" si="272">R60+Q59</f>
        <v>3248238549.5584345</v>
      </c>
      <c r="S59">
        <f t="shared" ref="S59" si="273">R59/100000</f>
        <v>32482.385495584345</v>
      </c>
      <c r="T59">
        <f t="shared" ref="T59" si="274">S59/1000</f>
        <v>32.482385495584346</v>
      </c>
    </row>
    <row r="60" spans="1:20" x14ac:dyDescent="0.25">
      <c r="A60" s="5">
        <v>44533</v>
      </c>
      <c r="B60">
        <v>3.569E-2</v>
      </c>
      <c r="C60">
        <v>3.6819999999999999E-2</v>
      </c>
      <c r="D60">
        <v>2.9309999999999999E-2</v>
      </c>
      <c r="E60">
        <v>3.0460000000000001E-2</v>
      </c>
      <c r="F60">
        <v>913599568</v>
      </c>
      <c r="G60">
        <v>3.0460000000000001E-2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-0.69374167776298223</v>
      </c>
      <c r="Q60">
        <f t="shared" ref="Q60" si="276">F60*P60</f>
        <v>-633802097.1078558</v>
      </c>
      <c r="R60">
        <f t="shared" ref="R60" si="277">R61+Q60</f>
        <v>3115384285.9926977</v>
      </c>
      <c r="S60">
        <f t="shared" ref="S60" si="278">R60/100000</f>
        <v>31153.842859926976</v>
      </c>
      <c r="T60">
        <f t="shared" ref="T60" si="279">S60/1000</f>
        <v>31.153842859926975</v>
      </c>
    </row>
    <row r="61" spans="1:20" x14ac:dyDescent="0.25">
      <c r="A61" s="5">
        <v>44532</v>
      </c>
      <c r="B61">
        <v>3.022E-2</v>
      </c>
      <c r="C61">
        <v>3.6760000000000001E-2</v>
      </c>
      <c r="D61">
        <v>2.9020000000000001E-2</v>
      </c>
      <c r="E61">
        <v>3.5680000000000003E-2</v>
      </c>
      <c r="F61">
        <v>921832673</v>
      </c>
      <c r="G61">
        <v>3.5680000000000003E-2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0.72093023255814015</v>
      </c>
      <c r="Q61">
        <f t="shared" ref="Q61" si="281">F61*P61</f>
        <v>664577043.32558191</v>
      </c>
      <c r="R61">
        <f t="shared" ref="R61" si="282">R62+Q61</f>
        <v>3749186383.1005535</v>
      </c>
      <c r="S61">
        <f t="shared" ref="S61" si="283">R61/100000</f>
        <v>37491.863831005532</v>
      </c>
      <c r="T61">
        <f t="shared" ref="T61" si="284">S61/1000</f>
        <v>37.491863831005531</v>
      </c>
    </row>
    <row r="62" spans="1:20" x14ac:dyDescent="0.25">
      <c r="A62" s="5">
        <v>44531</v>
      </c>
      <c r="B62">
        <v>3.0169999999999999E-2</v>
      </c>
      <c r="C62">
        <v>3.1210000000000002E-2</v>
      </c>
      <c r="D62">
        <v>2.972E-2</v>
      </c>
      <c r="E62">
        <v>3.0249999999999999E-2</v>
      </c>
      <c r="F62">
        <v>97333455</v>
      </c>
      <c r="G62">
        <v>3.0249999999999999E-2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-0.2885906040268475</v>
      </c>
      <c r="Q62">
        <f t="shared" ref="Q62" si="286">F62*P62</f>
        <v>-28089520.570469979</v>
      </c>
      <c r="R62">
        <f t="shared" ref="R62" si="287">R63+Q62</f>
        <v>3084609339.7749715</v>
      </c>
      <c r="S62">
        <f t="shared" ref="S62" si="288">R62/100000</f>
        <v>30846.093397749715</v>
      </c>
      <c r="T62">
        <f t="shared" ref="T62" si="289">S62/1000</f>
        <v>30.846093397749716</v>
      </c>
    </row>
    <row r="63" spans="1:20" x14ac:dyDescent="0.25">
      <c r="A63" s="5">
        <v>44530</v>
      </c>
      <c r="B63">
        <v>3.1189999999999999E-2</v>
      </c>
      <c r="C63">
        <v>3.1870000000000002E-2</v>
      </c>
      <c r="D63">
        <v>2.9499999999999998E-2</v>
      </c>
      <c r="E63">
        <v>3.0099999999999998E-2</v>
      </c>
      <c r="F63">
        <v>143244033</v>
      </c>
      <c r="G63">
        <v>3.0099999999999998E-2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-0.49367088607595039</v>
      </c>
      <c r="Q63">
        <f t="shared" ref="Q63" si="291">F63*P63</f>
        <v>-70715408.69620268</v>
      </c>
      <c r="R63">
        <f t="shared" ref="R63" si="292">R64+Q63</f>
        <v>3112698860.3454413</v>
      </c>
      <c r="S63">
        <f t="shared" ref="S63" si="293">R63/100000</f>
        <v>31126.988603454414</v>
      </c>
      <c r="T63">
        <f t="shared" ref="T63" si="294">S63/1000</f>
        <v>31.126988603454414</v>
      </c>
    </row>
    <row r="64" spans="1:20" x14ac:dyDescent="0.25">
      <c r="A64" s="5">
        <v>44529</v>
      </c>
      <c r="B64">
        <v>3.0450000000000001E-2</v>
      </c>
      <c r="C64">
        <v>3.1570000000000001E-2</v>
      </c>
      <c r="D64">
        <v>3.0110000000000001E-2</v>
      </c>
      <c r="E64">
        <v>3.1199999999999999E-2</v>
      </c>
      <c r="F64">
        <v>126295205</v>
      </c>
      <c r="G64">
        <v>3.1199999999999999E-2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0.49315068493150355</v>
      </c>
      <c r="Q64">
        <f t="shared" ref="Q64" si="296">F64*P64</f>
        <v>62282566.849314652</v>
      </c>
      <c r="R64">
        <f t="shared" ref="R64" si="297">R65+Q64</f>
        <v>3183414269.0416441</v>
      </c>
      <c r="S64">
        <f t="shared" ref="S64" si="298">R64/100000</f>
        <v>31834.14269041644</v>
      </c>
      <c r="T64">
        <f t="shared" ref="T64" si="299">S64/1000</f>
        <v>31.834142690416439</v>
      </c>
    </row>
    <row r="65" spans="1:20" x14ac:dyDescent="0.25">
      <c r="A65" s="5">
        <v>44528</v>
      </c>
      <c r="B65">
        <v>3.1510000000000003E-2</v>
      </c>
      <c r="C65">
        <v>3.1539999999999999E-2</v>
      </c>
      <c r="D65">
        <v>2.7949999999999999E-2</v>
      </c>
      <c r="E65">
        <v>3.049E-2</v>
      </c>
      <c r="F65">
        <v>209215206</v>
      </c>
      <c r="G65">
        <v>3.049E-2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0.41504178272980558</v>
      </c>
      <c r="Q65">
        <f t="shared" ref="Q65" si="301">F65*P65</f>
        <v>86833052.072423518</v>
      </c>
      <c r="R65">
        <f t="shared" ref="R65" si="302">R66+Q65</f>
        <v>3121131702.1923294</v>
      </c>
      <c r="S65">
        <f t="shared" ref="S65" si="303">R65/100000</f>
        <v>31211.317021923292</v>
      </c>
      <c r="T65">
        <f t="shared" ref="T65" si="304">S65/1000</f>
        <v>31.211317021923293</v>
      </c>
    </row>
    <row r="66" spans="1:20" x14ac:dyDescent="0.25">
      <c r="A66" s="5">
        <v>44527</v>
      </c>
      <c r="B66">
        <v>3.0519999999999999E-2</v>
      </c>
      <c r="C66">
        <v>3.2390000000000002E-2</v>
      </c>
      <c r="D66">
        <v>3.0200000000000001E-2</v>
      </c>
      <c r="E66">
        <v>3.1519999999999999E-2</v>
      </c>
      <c r="F66">
        <v>165235912</v>
      </c>
      <c r="G66">
        <v>3.1519999999999999E-2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0.2054794520547924</v>
      </c>
      <c r="Q66">
        <f t="shared" ref="Q66" si="306">F66*P66</f>
        <v>33952584.657533899</v>
      </c>
      <c r="R66">
        <f t="shared" ref="R66" si="307">R67+Q66</f>
        <v>3034298650.1199059</v>
      </c>
      <c r="S66">
        <f t="shared" ref="S66" si="308">R66/100000</f>
        <v>30342.986501199059</v>
      </c>
      <c r="T66">
        <f t="shared" ref="T66" si="309">S66/1000</f>
        <v>30.342986501199057</v>
      </c>
    </row>
    <row r="67" spans="1:20" x14ac:dyDescent="0.25">
      <c r="A67" s="5">
        <v>44526</v>
      </c>
      <c r="B67">
        <v>3.5110000000000002E-2</v>
      </c>
      <c r="C67">
        <v>3.5830000000000001E-2</v>
      </c>
      <c r="D67">
        <v>2.955E-2</v>
      </c>
      <c r="E67">
        <v>3.0540000000000001E-2</v>
      </c>
      <c r="F67">
        <v>827978053</v>
      </c>
      <c r="G67">
        <v>3.0540000000000001E-2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-0.68471337579617797</v>
      </c>
      <c r="Q67">
        <f t="shared" ref="Q67" si="311">F67*P67</f>
        <v>-566927647.75477672</v>
      </c>
      <c r="R67">
        <f t="shared" ref="R67" si="312">R68+Q67</f>
        <v>3000346065.4623718</v>
      </c>
      <c r="S67">
        <f t="shared" ref="S67" si="313">R67/100000</f>
        <v>30003.460654623719</v>
      </c>
      <c r="T67">
        <f t="shared" ref="T67" si="314">S67/1000</f>
        <v>30.003460654623719</v>
      </c>
    </row>
    <row r="68" spans="1:20" x14ac:dyDescent="0.25">
      <c r="A68" s="5">
        <v>44525</v>
      </c>
      <c r="B68">
        <v>3.1969999999999998E-2</v>
      </c>
      <c r="C68">
        <v>3.5659999999999997E-2</v>
      </c>
      <c r="D68">
        <v>3.1699999999999999E-2</v>
      </c>
      <c r="E68">
        <v>3.508E-2</v>
      </c>
      <c r="F68">
        <v>748107223</v>
      </c>
      <c r="G68">
        <v>3.508E-2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0.7070707070707084</v>
      </c>
      <c r="Q68">
        <f t="shared" ref="Q68" si="316">F68*P68</f>
        <v>528964703.13131416</v>
      </c>
      <c r="R68">
        <f t="shared" ref="R68" si="317">R69+Q68</f>
        <v>3567273713.2171488</v>
      </c>
      <c r="S68">
        <f t="shared" ref="S68" si="318">R68/100000</f>
        <v>35672.737132171489</v>
      </c>
      <c r="T68">
        <f t="shared" ref="T68" si="319">S68/1000</f>
        <v>35.672737132171491</v>
      </c>
    </row>
    <row r="69" spans="1:20" x14ac:dyDescent="0.25">
      <c r="A69" s="5">
        <v>44524</v>
      </c>
      <c r="B69">
        <v>3.0509999999999999E-2</v>
      </c>
      <c r="C69">
        <v>3.1099999999999999E-2</v>
      </c>
      <c r="D69">
        <v>2.981E-2</v>
      </c>
      <c r="E69">
        <v>3.0360000000000002E-2</v>
      </c>
      <c r="F69">
        <v>47413435</v>
      </c>
      <c r="G69">
        <v>3.0360000000000002E-2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-0.14728682170542309</v>
      </c>
      <c r="Q69">
        <f t="shared" ref="Q69" si="321">F69*P69</f>
        <v>-6983374.1472866666</v>
      </c>
      <c r="R69">
        <f t="shared" ref="R69" si="322">R70+Q69</f>
        <v>3038309010.0858345</v>
      </c>
      <c r="S69">
        <f t="shared" ref="S69" si="323">R69/100000</f>
        <v>30383.090100858346</v>
      </c>
      <c r="T69">
        <f t="shared" ref="T69" si="324">S69/1000</f>
        <v>30.383090100858347</v>
      </c>
    </row>
    <row r="70" spans="1:20" x14ac:dyDescent="0.25">
      <c r="A70" s="5">
        <v>44523</v>
      </c>
      <c r="B70">
        <v>3.0179999999999998E-2</v>
      </c>
      <c r="C70">
        <v>3.0689999999999999E-2</v>
      </c>
      <c r="D70">
        <v>2.8799999999999999E-2</v>
      </c>
      <c r="E70">
        <v>3.048E-2</v>
      </c>
      <c r="F70">
        <v>173569208</v>
      </c>
      <c r="G70">
        <v>3.048E-2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0.77777777777777946</v>
      </c>
      <c r="Q70">
        <f t="shared" ref="Q70" si="326">F70*P70</f>
        <v>134998272.88888919</v>
      </c>
      <c r="R70">
        <f t="shared" ref="R70" si="327">R71+Q70</f>
        <v>3045292384.2331214</v>
      </c>
      <c r="S70">
        <f t="shared" ref="S70" si="328">R70/100000</f>
        <v>30452.923842331213</v>
      </c>
      <c r="T70">
        <f t="shared" ref="T70" si="329">S70/1000</f>
        <v>30.452923842331213</v>
      </c>
    </row>
    <row r="71" spans="1:20" x14ac:dyDescent="0.25">
      <c r="A71" s="5">
        <v>44522</v>
      </c>
      <c r="B71">
        <v>3.1320000000000001E-2</v>
      </c>
      <c r="C71">
        <v>3.1609999999999999E-2</v>
      </c>
      <c r="D71">
        <v>2.9409999999999999E-2</v>
      </c>
      <c r="E71">
        <v>3.0200000000000001E-2</v>
      </c>
      <c r="F71">
        <v>175709346</v>
      </c>
      <c r="G71">
        <v>3.0200000000000001E-2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-0.28181818181817975</v>
      </c>
      <c r="Q71">
        <f t="shared" ref="Q71" si="331">F71*P71</f>
        <v>-49518088.418181457</v>
      </c>
      <c r="R71">
        <f t="shared" ref="R71" si="332">R72+Q71</f>
        <v>2910294111.3442321</v>
      </c>
      <c r="S71">
        <f t="shared" ref="S71" si="333">R71/100000</f>
        <v>29102.941113442321</v>
      </c>
      <c r="T71">
        <f t="shared" ref="T71" si="334">S71/1000</f>
        <v>29.10294111344232</v>
      </c>
    </row>
    <row r="72" spans="1:20" x14ac:dyDescent="0.25">
      <c r="A72" s="5">
        <v>44521</v>
      </c>
      <c r="B72">
        <v>3.2739999999999998E-2</v>
      </c>
      <c r="C72">
        <v>3.4000000000000002E-2</v>
      </c>
      <c r="D72">
        <v>3.116E-2</v>
      </c>
      <c r="E72">
        <v>3.1320000000000001E-2</v>
      </c>
      <c r="F72">
        <v>286277391</v>
      </c>
      <c r="G72">
        <v>3.1320000000000001E-2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-0.88732394366197165</v>
      </c>
      <c r="Q72">
        <f t="shared" ref="Q72" si="336">F72*P72</f>
        <v>-254020783.56338024</v>
      </c>
      <c r="R72">
        <f t="shared" ref="R72" si="337">R73+Q72</f>
        <v>2959812199.7624135</v>
      </c>
      <c r="S72">
        <f t="shared" ref="S72" si="338">R72/100000</f>
        <v>29598.121997624134</v>
      </c>
      <c r="T72">
        <f t="shared" ref="T72" si="339">S72/1000</f>
        <v>29.598121997624133</v>
      </c>
    </row>
    <row r="73" spans="1:20" x14ac:dyDescent="0.25">
      <c r="A73" s="5">
        <v>44520</v>
      </c>
      <c r="B73">
        <v>2.9729999999999999E-2</v>
      </c>
      <c r="C73">
        <v>3.3599999999999998E-2</v>
      </c>
      <c r="D73">
        <v>2.972E-2</v>
      </c>
      <c r="E73">
        <v>3.2730000000000002E-2</v>
      </c>
      <c r="F73">
        <v>326668948</v>
      </c>
      <c r="G73">
        <v>3.2730000000000002E-2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0.55154639175257925</v>
      </c>
      <c r="Q73">
        <f t="shared" ref="Q73" si="341">F73*P73</f>
        <v>180173079.56701094</v>
      </c>
      <c r="R73">
        <f t="shared" ref="R73" si="342">R74+Q73</f>
        <v>3213832983.3257937</v>
      </c>
      <c r="S73">
        <f t="shared" ref="S73" si="343">R73/100000</f>
        <v>32138.329833257936</v>
      </c>
      <c r="T73">
        <f t="shared" ref="T73" si="344">S73/1000</f>
        <v>32.138329833257934</v>
      </c>
    </row>
    <row r="74" spans="1:20" x14ac:dyDescent="0.25">
      <c r="A74" s="5">
        <v>44519</v>
      </c>
      <c r="B74">
        <v>2.8670000000000001E-2</v>
      </c>
      <c r="C74">
        <v>2.997E-2</v>
      </c>
      <c r="D74">
        <v>2.7650000000000001E-2</v>
      </c>
      <c r="E74">
        <v>2.9760000000000002E-2</v>
      </c>
      <c r="F74">
        <v>150298972</v>
      </c>
      <c r="G74">
        <v>2.9760000000000002E-2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0.81896551724138067</v>
      </c>
      <c r="Q74">
        <f t="shared" ref="Q74" si="346">F74*P74</f>
        <v>123089675.34482779</v>
      </c>
      <c r="R74">
        <f t="shared" ref="R74" si="347">R75+Q74</f>
        <v>3033659903.7587829</v>
      </c>
      <c r="S74">
        <f t="shared" ref="S74" si="348">R74/100000</f>
        <v>30336.599037587828</v>
      </c>
      <c r="T74">
        <f t="shared" ref="T74" si="349">S74/1000</f>
        <v>30.336599037587828</v>
      </c>
    </row>
    <row r="75" spans="1:20" x14ac:dyDescent="0.25">
      <c r="A75" s="5">
        <v>44518</v>
      </c>
      <c r="B75">
        <v>3.2079999999999997E-2</v>
      </c>
      <c r="C75">
        <v>3.4349999999999999E-2</v>
      </c>
      <c r="D75">
        <v>2.811E-2</v>
      </c>
      <c r="E75">
        <v>2.877E-2</v>
      </c>
      <c r="F75">
        <v>501480063</v>
      </c>
      <c r="G75">
        <v>2.877E-2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-0.7884615384615381</v>
      </c>
      <c r="Q75">
        <f t="shared" ref="Q75" si="351">F75*P75</f>
        <v>-395397741.98076904</v>
      </c>
      <c r="R75">
        <f t="shared" ref="R75" si="352">R76+Q75</f>
        <v>2910570228.4139552</v>
      </c>
      <c r="S75">
        <f t="shared" ref="S75" si="353">R75/100000</f>
        <v>29105.702284139552</v>
      </c>
      <c r="T75">
        <f t="shared" ref="T75" si="354">S75/1000</f>
        <v>29.105702284139554</v>
      </c>
    </row>
    <row r="76" spans="1:20" x14ac:dyDescent="0.25">
      <c r="A76" s="5">
        <v>44517</v>
      </c>
      <c r="B76">
        <v>2.9440000000000001E-2</v>
      </c>
      <c r="C76">
        <v>3.397E-2</v>
      </c>
      <c r="D76">
        <v>2.896E-2</v>
      </c>
      <c r="E76">
        <v>3.2079999999999997E-2</v>
      </c>
      <c r="F76">
        <v>557024337</v>
      </c>
      <c r="G76">
        <v>3.2079999999999997E-2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0.24550898203592711</v>
      </c>
      <c r="Q76">
        <f t="shared" ref="Q76" si="356">F76*P76</f>
        <v>136754477.94610721</v>
      </c>
      <c r="R76">
        <f t="shared" ref="R76" si="357">R77+Q76</f>
        <v>3305967970.3947244</v>
      </c>
      <c r="S76">
        <f t="shared" ref="S76" si="358">R76/100000</f>
        <v>33059.679703947244</v>
      </c>
      <c r="T76">
        <f t="shared" ref="T76" si="359">S76/1000</f>
        <v>33.059679703947246</v>
      </c>
    </row>
    <row r="77" spans="1:20" x14ac:dyDescent="0.25">
      <c r="A77" s="5">
        <v>44516</v>
      </c>
      <c r="B77">
        <v>3.1699999999999999E-2</v>
      </c>
      <c r="C77">
        <v>3.1739999999999997E-2</v>
      </c>
      <c r="D77">
        <v>2.716E-2</v>
      </c>
      <c r="E77">
        <v>2.9440000000000001E-2</v>
      </c>
      <c r="F77">
        <v>414007194</v>
      </c>
      <c r="G77">
        <v>2.9440000000000001E-2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-4.3668122270733032E-3</v>
      </c>
      <c r="Q77">
        <f t="shared" ref="Q77" si="361">F77*P77</f>
        <v>-1807891.6768555092</v>
      </c>
      <c r="R77">
        <f t="shared" ref="R77" si="362">R78+Q77</f>
        <v>3169213492.448617</v>
      </c>
      <c r="S77">
        <f t="shared" ref="S77" si="363">R77/100000</f>
        <v>31692.13492448617</v>
      </c>
      <c r="T77">
        <f t="shared" ref="T77" si="364">S77/1000</f>
        <v>31.692134924486169</v>
      </c>
    </row>
    <row r="78" spans="1:20" x14ac:dyDescent="0.25">
      <c r="A78" s="5">
        <v>44515</v>
      </c>
      <c r="B78">
        <v>3.0339999999999999E-2</v>
      </c>
      <c r="C78">
        <v>3.1890000000000002E-2</v>
      </c>
      <c r="D78">
        <v>3.015E-2</v>
      </c>
      <c r="E78">
        <v>3.1699999999999999E-2</v>
      </c>
      <c r="F78">
        <v>211791658</v>
      </c>
      <c r="G78">
        <v>3.1699999999999999E-2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0.78160919540229601</v>
      </c>
      <c r="Q78">
        <f t="shared" ref="Q78" si="366">F78*P78</f>
        <v>165538307.40229824</v>
      </c>
      <c r="R78">
        <f t="shared" ref="R78" si="367">R79+Q78</f>
        <v>3171021384.1254725</v>
      </c>
      <c r="S78">
        <f t="shared" ref="S78" si="368">R78/100000</f>
        <v>31710.213841254725</v>
      </c>
      <c r="T78">
        <f t="shared" ref="T78" si="369">S78/1000</f>
        <v>31.710213841254724</v>
      </c>
    </row>
    <row r="79" spans="1:20" x14ac:dyDescent="0.25">
      <c r="A79" s="5">
        <v>44514</v>
      </c>
      <c r="B79">
        <v>3.0599999999999999E-2</v>
      </c>
      <c r="C79">
        <v>3.074E-2</v>
      </c>
      <c r="D79">
        <v>2.9430000000000001E-2</v>
      </c>
      <c r="E79">
        <v>3.032E-2</v>
      </c>
      <c r="F79">
        <v>122631509</v>
      </c>
      <c r="G79">
        <v>3.032E-2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0.35877862595419746</v>
      </c>
      <c r="Q79">
        <f t="shared" ref="Q79" si="371">F79*P79</f>
        <v>43997564.2977098</v>
      </c>
      <c r="R79">
        <f t="shared" ref="R79" si="372">R80+Q79</f>
        <v>3005483076.7231741</v>
      </c>
      <c r="S79">
        <f t="shared" ref="S79" si="373">R79/100000</f>
        <v>30054.830767231742</v>
      </c>
      <c r="T79">
        <f t="shared" ref="T79" si="374">S79/1000</f>
        <v>30.054830767231742</v>
      </c>
    </row>
    <row r="80" spans="1:20" x14ac:dyDescent="0.25">
      <c r="A80" s="5">
        <v>44513</v>
      </c>
      <c r="B80">
        <v>2.9989999999999999E-2</v>
      </c>
      <c r="C80">
        <v>3.082E-2</v>
      </c>
      <c r="D80">
        <v>2.9559999999999999E-2</v>
      </c>
      <c r="E80">
        <v>3.0620000000000001E-2</v>
      </c>
      <c r="F80">
        <v>157983521</v>
      </c>
      <c r="G80">
        <v>3.0620000000000001E-2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0.68253968253968467</v>
      </c>
      <c r="Q80">
        <f t="shared" ref="Q80" si="376">F80*P80</f>
        <v>107830022.26984161</v>
      </c>
      <c r="R80">
        <f t="shared" ref="R80" si="377">R81+Q80</f>
        <v>2961485512.4254642</v>
      </c>
      <c r="S80">
        <f t="shared" ref="S80" si="378">R80/100000</f>
        <v>29614.855124254642</v>
      </c>
      <c r="T80">
        <f t="shared" ref="T80" si="379">S80/1000</f>
        <v>29.614855124254643</v>
      </c>
    </row>
    <row r="81" spans="1:20" x14ac:dyDescent="0.25">
      <c r="A81" s="5">
        <v>44512</v>
      </c>
      <c r="B81">
        <v>3.0030000000000001E-2</v>
      </c>
      <c r="C81">
        <v>3.0769999999999999E-2</v>
      </c>
      <c r="D81">
        <v>2.8850000000000001E-2</v>
      </c>
      <c r="E81">
        <v>2.9989999999999999E-2</v>
      </c>
      <c r="F81">
        <v>181648741</v>
      </c>
      <c r="G81">
        <v>2.9989999999999999E-2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0.18749999999999978</v>
      </c>
      <c r="Q81">
        <f t="shared" ref="Q81" si="381">F81*P81</f>
        <v>34059138.937499963</v>
      </c>
      <c r="R81">
        <f t="shared" ref="R81" si="382">R82+Q81</f>
        <v>2853655490.1556225</v>
      </c>
      <c r="S81">
        <f t="shared" ref="S81" si="383">R81/100000</f>
        <v>28536.554901556225</v>
      </c>
      <c r="T81">
        <f t="shared" ref="T81" si="384">S81/1000</f>
        <v>28.536554901556226</v>
      </c>
    </row>
    <row r="82" spans="1:20" x14ac:dyDescent="0.25">
      <c r="A82" s="5">
        <v>44511</v>
      </c>
      <c r="B82">
        <v>2.9559999999999999E-2</v>
      </c>
      <c r="C82">
        <v>3.0519999999999999E-2</v>
      </c>
      <c r="D82">
        <v>2.928E-2</v>
      </c>
      <c r="E82">
        <v>3.0040000000000001E-2</v>
      </c>
      <c r="F82">
        <v>204035657</v>
      </c>
      <c r="G82">
        <v>3.0040000000000001E-2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0.22580645161290558</v>
      </c>
      <c r="Q82">
        <f t="shared" ref="Q82" si="386">F82*P82</f>
        <v>46072567.709677897</v>
      </c>
      <c r="R82">
        <f t="shared" ref="R82" si="387">R83+Q82</f>
        <v>2819596351.2181225</v>
      </c>
      <c r="S82">
        <f t="shared" ref="S82" si="388">R82/100000</f>
        <v>28195.963512181224</v>
      </c>
      <c r="T82">
        <f t="shared" ref="T82" si="389">S82/1000</f>
        <v>28.195963512181223</v>
      </c>
    </row>
    <row r="83" spans="1:20" x14ac:dyDescent="0.25">
      <c r="A83" s="5">
        <v>44510</v>
      </c>
      <c r="B83">
        <v>3.2239999999999998E-2</v>
      </c>
      <c r="C83">
        <v>3.2649999999999998E-2</v>
      </c>
      <c r="D83">
        <v>2.733E-2</v>
      </c>
      <c r="E83">
        <v>2.9559999999999999E-2</v>
      </c>
      <c r="F83">
        <v>412523910</v>
      </c>
      <c r="G83">
        <v>2.9559999999999999E-2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-0.16165413533834586</v>
      </c>
      <c r="Q83">
        <f t="shared" ref="Q83" si="391">F83*P83</f>
        <v>-66686195.977443606</v>
      </c>
      <c r="R83">
        <f t="shared" ref="R83" si="392">R84+Q83</f>
        <v>2773523783.5084448</v>
      </c>
      <c r="S83">
        <f t="shared" ref="S83" si="393">R83/100000</f>
        <v>27735.237835084448</v>
      </c>
      <c r="T83">
        <f t="shared" ref="T83" si="394">S83/1000</f>
        <v>27.735237835084448</v>
      </c>
    </row>
    <row r="84" spans="1:20" x14ac:dyDescent="0.25">
      <c r="A84" s="5">
        <v>44509</v>
      </c>
      <c r="B84">
        <v>3.211E-2</v>
      </c>
      <c r="C84">
        <v>3.295E-2</v>
      </c>
      <c r="D84">
        <v>3.1609999999999999E-2</v>
      </c>
      <c r="E84">
        <v>3.218E-2</v>
      </c>
      <c r="F84">
        <v>277198639</v>
      </c>
      <c r="G84">
        <v>3.218E-2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-0.14925373134328257</v>
      </c>
      <c r="Q84">
        <f t="shared" ref="Q84" si="396">F84*P84</f>
        <v>-41372931.19402957</v>
      </c>
      <c r="R84">
        <f t="shared" ref="R84" si="397">R85+Q84</f>
        <v>2840209979.4858885</v>
      </c>
      <c r="S84">
        <f t="shared" ref="S84" si="398">R84/100000</f>
        <v>28402.099794858885</v>
      </c>
      <c r="T84">
        <f t="shared" ref="T84" si="399">S84/1000</f>
        <v>28.402099794858884</v>
      </c>
    </row>
    <row r="85" spans="1:20" x14ac:dyDescent="0.25">
      <c r="A85" s="5">
        <v>44508</v>
      </c>
      <c r="B85">
        <v>3.2500000000000001E-2</v>
      </c>
      <c r="C85">
        <v>3.2509999999999997E-2</v>
      </c>
      <c r="D85">
        <v>3.1440000000000003E-2</v>
      </c>
      <c r="E85">
        <v>3.2070000000000001E-2</v>
      </c>
      <c r="F85">
        <v>150350819</v>
      </c>
      <c r="G85">
        <v>3.2070000000000001E-2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0.17757009345794733</v>
      </c>
      <c r="Q85">
        <f t="shared" ref="Q85" si="401">F85*P85</f>
        <v>26697808.981308922</v>
      </c>
      <c r="R85">
        <f t="shared" ref="R85" si="402">R86+Q85</f>
        <v>2881582910.6799178</v>
      </c>
      <c r="S85">
        <f t="shared" ref="S85" si="403">R85/100000</f>
        <v>28815.829106799178</v>
      </c>
      <c r="T85">
        <f t="shared" ref="T85" si="404">S85/1000</f>
        <v>28.815829106799178</v>
      </c>
    </row>
    <row r="86" spans="1:20" x14ac:dyDescent="0.25">
      <c r="A86" s="5">
        <v>44507</v>
      </c>
      <c r="B86">
        <v>3.2849999999999997E-2</v>
      </c>
      <c r="C86">
        <v>3.3390000000000003E-2</v>
      </c>
      <c r="D86">
        <v>3.227E-2</v>
      </c>
      <c r="E86">
        <v>3.2509999999999997E-2</v>
      </c>
      <c r="F86">
        <v>138587063</v>
      </c>
      <c r="G86">
        <v>3.2509999999999997E-2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-0.57142857142857761</v>
      </c>
      <c r="Q86">
        <f t="shared" ref="Q86" si="406">F86*P86</f>
        <v>-79192607.428572282</v>
      </c>
      <c r="R86">
        <f t="shared" ref="R86" si="407">R87+Q86</f>
        <v>2854885101.6986089</v>
      </c>
      <c r="S86">
        <f t="shared" ref="S86" si="408">R86/100000</f>
        <v>28548.851016986089</v>
      </c>
      <c r="T86">
        <f t="shared" ref="T86" si="409">S86/1000</f>
        <v>28.548851016986088</v>
      </c>
    </row>
    <row r="87" spans="1:20" x14ac:dyDescent="0.25">
      <c r="A87" s="5">
        <v>44506</v>
      </c>
      <c r="B87">
        <v>3.2890000000000003E-2</v>
      </c>
      <c r="C87">
        <v>3.4700000000000002E-2</v>
      </c>
      <c r="D87">
        <v>3.1539999999999999E-2</v>
      </c>
      <c r="E87">
        <v>3.2849999999999997E-2</v>
      </c>
      <c r="F87">
        <v>255627692</v>
      </c>
      <c r="G87">
        <v>3.2849999999999997E-2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-0.17088607594936875</v>
      </c>
      <c r="Q87">
        <f t="shared" ref="Q87" si="411">F87*P87</f>
        <v>-43683213.189873844</v>
      </c>
      <c r="R87">
        <f t="shared" ref="R87" si="412">R88+Q87</f>
        <v>2934077709.1271811</v>
      </c>
      <c r="S87">
        <f t="shared" ref="S87" si="413">R87/100000</f>
        <v>29340.777091271812</v>
      </c>
      <c r="T87">
        <f t="shared" ref="T87" si="414">S87/1000</f>
        <v>29.340777091271811</v>
      </c>
    </row>
    <row r="88" spans="1:20" x14ac:dyDescent="0.25">
      <c r="A88" s="5">
        <v>44505</v>
      </c>
      <c r="B88">
        <v>3.2969999999999999E-2</v>
      </c>
      <c r="C88">
        <v>3.3210000000000003E-2</v>
      </c>
      <c r="D88">
        <v>3.143E-2</v>
      </c>
      <c r="E88">
        <v>3.2899999999999999E-2</v>
      </c>
      <c r="F88">
        <v>248717765</v>
      </c>
      <c r="G88">
        <v>3.2899999999999999E-2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0.65168539325842245</v>
      </c>
      <c r="Q88">
        <f t="shared" ref="Q88" si="416">F88*P88</f>
        <v>162085734.49438089</v>
      </c>
      <c r="R88">
        <f t="shared" ref="R88" si="417">R89+Q88</f>
        <v>2977760922.3170547</v>
      </c>
      <c r="S88">
        <f t="shared" ref="S88" si="418">R88/100000</f>
        <v>29777.609223170548</v>
      </c>
      <c r="T88">
        <f t="shared" ref="T88" si="419">S88/1000</f>
        <v>29.777609223170547</v>
      </c>
    </row>
    <row r="89" spans="1:20" x14ac:dyDescent="0.25">
      <c r="A89" s="5">
        <v>44504</v>
      </c>
      <c r="B89">
        <v>3.243E-2</v>
      </c>
      <c r="C89">
        <v>3.3140000000000003E-2</v>
      </c>
      <c r="D89">
        <v>3.09E-2</v>
      </c>
      <c r="E89">
        <v>3.2930000000000001E-2</v>
      </c>
      <c r="F89">
        <v>260882384</v>
      </c>
      <c r="G89">
        <v>3.2930000000000001E-2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0.81249999999999856</v>
      </c>
      <c r="Q89">
        <f t="shared" ref="Q89" si="421">F89*P89</f>
        <v>211966936.99999961</v>
      </c>
      <c r="R89">
        <f t="shared" ref="R89" si="422">R90+Q89</f>
        <v>2815675187.8226738</v>
      </c>
      <c r="S89">
        <f t="shared" ref="S89" si="423">R89/100000</f>
        <v>28156.75187822674</v>
      </c>
      <c r="T89">
        <f t="shared" ref="T89" si="424">S89/1000</f>
        <v>28.156751878226739</v>
      </c>
    </row>
    <row r="90" spans="1:20" x14ac:dyDescent="0.25">
      <c r="A90" s="5">
        <v>44503</v>
      </c>
      <c r="B90">
        <v>3.372E-2</v>
      </c>
      <c r="C90">
        <v>3.4840000000000003E-2</v>
      </c>
      <c r="D90">
        <v>3.0870000000000002E-2</v>
      </c>
      <c r="E90">
        <v>3.2399999999999998E-2</v>
      </c>
      <c r="F90">
        <v>279406998</v>
      </c>
      <c r="G90">
        <v>3.2399999999999998E-2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-0.22921914357682815</v>
      </c>
      <c r="Q90">
        <f t="shared" ref="Q90" si="426">F90*P90</f>
        <v>-64045432.790932536</v>
      </c>
      <c r="R90">
        <f t="shared" ref="R90" si="427">R91+Q90</f>
        <v>2603708250.8226743</v>
      </c>
      <c r="S90">
        <f t="shared" ref="S90" si="428">R90/100000</f>
        <v>26037.082508226744</v>
      </c>
      <c r="T90">
        <f t="shared" ref="T90" si="429">S90/1000</f>
        <v>26.037082508226742</v>
      </c>
    </row>
    <row r="91" spans="1:20" x14ac:dyDescent="0.25">
      <c r="A91" s="5">
        <v>44502</v>
      </c>
      <c r="B91">
        <v>3.168E-2</v>
      </c>
      <c r="C91">
        <v>3.3959999999999997E-2</v>
      </c>
      <c r="D91">
        <v>3.108E-2</v>
      </c>
      <c r="E91">
        <v>3.3700000000000001E-2</v>
      </c>
      <c r="F91">
        <v>312089916</v>
      </c>
      <c r="G91">
        <v>3.3700000000000001E-2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0.81944444444444675</v>
      </c>
      <c r="Q91">
        <f t="shared" ref="Q91" si="431">F91*P91</f>
        <v>255740347.83333406</v>
      </c>
      <c r="R91">
        <f t="shared" ref="R91" si="432">R92+Q91</f>
        <v>2667753683.6136069</v>
      </c>
      <c r="S91">
        <f t="shared" ref="S91" si="433">R91/100000</f>
        <v>26677.536836136071</v>
      </c>
      <c r="T91">
        <f t="shared" ref="T91" si="434">S91/1000</f>
        <v>26.677536836136071</v>
      </c>
    </row>
    <row r="92" spans="1:20" x14ac:dyDescent="0.25">
      <c r="A92" s="5">
        <v>44501</v>
      </c>
      <c r="B92">
        <v>3.2370000000000003E-2</v>
      </c>
      <c r="C92">
        <v>3.2419999999999997E-2</v>
      </c>
      <c r="D92">
        <v>3.0290000000000001E-2</v>
      </c>
      <c r="E92">
        <v>3.1649999999999998E-2</v>
      </c>
      <c r="F92">
        <v>240474203</v>
      </c>
      <c r="G92">
        <v>3.1649999999999998E-2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0.2769953051643182</v>
      </c>
      <c r="Q92">
        <f t="shared" ref="Q92" si="436">F92*P92</f>
        <v>66610225.2441312</v>
      </c>
      <c r="R92">
        <f t="shared" ref="R92" si="437">R93+Q92</f>
        <v>2412013335.780273</v>
      </c>
      <c r="S92">
        <f t="shared" ref="S92" si="438">R92/100000</f>
        <v>24120.13335780273</v>
      </c>
      <c r="T92">
        <f t="shared" ref="T92" si="439">S92/1000</f>
        <v>24.120133357802729</v>
      </c>
    </row>
    <row r="93" spans="1:20" x14ac:dyDescent="0.25">
      <c r="A93" s="5">
        <v>44500</v>
      </c>
      <c r="B93">
        <v>3.0509999999999999E-2</v>
      </c>
      <c r="C93">
        <v>3.4180000000000002E-2</v>
      </c>
      <c r="D93">
        <v>2.9329999999999998E-2</v>
      </c>
      <c r="E93">
        <v>3.2370000000000003E-2</v>
      </c>
      <c r="F93">
        <v>498942873</v>
      </c>
      <c r="G93">
        <v>3.2370000000000003E-2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0.25360824742268134</v>
      </c>
      <c r="Q93">
        <f t="shared" ref="Q93" si="441">F93*P93</f>
        <v>126536027.58556747</v>
      </c>
      <c r="R93">
        <f t="shared" ref="R93" si="442">R94+Q93</f>
        <v>2345403110.5361419</v>
      </c>
      <c r="S93">
        <f t="shared" ref="S93" si="443">R93/100000</f>
        <v>23454.03110536142</v>
      </c>
      <c r="T93">
        <f t="shared" ref="T93" si="444">S93/1000</f>
        <v>23.45403110536142</v>
      </c>
    </row>
    <row r="94" spans="1:20" x14ac:dyDescent="0.25">
      <c r="A94" s="5">
        <v>44499</v>
      </c>
      <c r="B94">
        <v>2.9669999999999998E-2</v>
      </c>
      <c r="C94">
        <v>3.1179999999999999E-2</v>
      </c>
      <c r="D94">
        <v>2.8670000000000001E-2</v>
      </c>
      <c r="E94">
        <v>3.0509999999999999E-2</v>
      </c>
      <c r="F94">
        <v>274087383</v>
      </c>
      <c r="G94">
        <v>3.0509999999999999E-2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0.46613545816732999</v>
      </c>
      <c r="Q94">
        <f t="shared" ref="Q94" si="446">F94*P94</f>
        <v>127761847.85258946</v>
      </c>
      <c r="R94">
        <f t="shared" ref="R94" si="447">R95+Q94</f>
        <v>2218867082.9505744</v>
      </c>
      <c r="S94">
        <f t="shared" ref="S94" si="448">R94/100000</f>
        <v>22188.670829505743</v>
      </c>
      <c r="T94">
        <f t="shared" ref="T94" si="449">S94/1000</f>
        <v>22.188670829505742</v>
      </c>
    </row>
    <row r="95" spans="1:20" x14ac:dyDescent="0.25">
      <c r="A95" s="5">
        <v>44498</v>
      </c>
      <c r="B95">
        <v>2.8240000000000001E-2</v>
      </c>
      <c r="C95">
        <v>2.997E-2</v>
      </c>
      <c r="D95">
        <v>2.8080000000000001E-2</v>
      </c>
      <c r="E95">
        <v>2.962E-2</v>
      </c>
      <c r="F95">
        <v>195675897</v>
      </c>
      <c r="G95">
        <v>2.962E-2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0.62962962962962987</v>
      </c>
      <c r="Q95">
        <f t="shared" ref="Q95" si="451">F95*P95</f>
        <v>123203342.5555556</v>
      </c>
      <c r="R95">
        <f t="shared" ref="R95" si="452">R96+Q95</f>
        <v>2091105235.097985</v>
      </c>
      <c r="S95">
        <f t="shared" ref="S95" si="453">R95/100000</f>
        <v>20911.052350979851</v>
      </c>
      <c r="T95">
        <f t="shared" ref="T95" si="454">S95/1000</f>
        <v>20.911052350979851</v>
      </c>
    </row>
    <row r="96" spans="1:20" x14ac:dyDescent="0.25">
      <c r="A96" s="5">
        <v>44497</v>
      </c>
      <c r="B96">
        <v>2.6790000000000001E-2</v>
      </c>
      <c r="C96">
        <v>2.8320000000000001E-2</v>
      </c>
      <c r="D96">
        <v>2.6200000000000001E-2</v>
      </c>
      <c r="E96">
        <v>2.827E-2</v>
      </c>
      <c r="F96">
        <v>280232058</v>
      </c>
      <c r="G96">
        <v>2.827E-2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0.95283018867924396</v>
      </c>
      <c r="Q96">
        <f t="shared" ref="Q96" si="456">F96*P96</f>
        <v>267013564.69811285</v>
      </c>
      <c r="R96">
        <f t="shared" ref="R96" si="457">R97+Q96</f>
        <v>1967901892.5424294</v>
      </c>
      <c r="S96">
        <f t="shared" ref="S96" si="458">R96/100000</f>
        <v>19679.018925424294</v>
      </c>
      <c r="T96">
        <f t="shared" ref="T96" si="459">S96/1000</f>
        <v>19.679018925424295</v>
      </c>
    </row>
    <row r="97" spans="1:20" x14ac:dyDescent="0.25">
      <c r="A97" s="5">
        <v>44496</v>
      </c>
      <c r="B97">
        <v>3.09E-2</v>
      </c>
      <c r="C97">
        <v>3.109E-2</v>
      </c>
      <c r="D97">
        <v>2.494E-2</v>
      </c>
      <c r="E97">
        <v>2.6790000000000001E-2</v>
      </c>
      <c r="F97">
        <v>456908947</v>
      </c>
      <c r="G97">
        <v>2.6790000000000001E-2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-0.39837398373983701</v>
      </c>
      <c r="Q97">
        <f t="shared" ref="Q97" si="461">F97*P97</f>
        <v>-182020637.42276406</v>
      </c>
      <c r="R97">
        <f t="shared" ref="R97" si="462">R98+Q97</f>
        <v>1700888327.8443165</v>
      </c>
      <c r="S97">
        <f t="shared" ref="S97" si="463">R97/100000</f>
        <v>17008.883278443165</v>
      </c>
      <c r="T97">
        <f t="shared" ref="T97" si="464">S97/1000</f>
        <v>17.008883278443164</v>
      </c>
    </row>
    <row r="98" spans="1:20" x14ac:dyDescent="0.25">
      <c r="A98" s="5">
        <v>44495</v>
      </c>
      <c r="B98">
        <v>3.1859999999999999E-2</v>
      </c>
      <c r="C98">
        <v>3.2000000000000001E-2</v>
      </c>
      <c r="D98">
        <v>3.0540000000000001E-2</v>
      </c>
      <c r="E98">
        <v>3.0890000000000001E-2</v>
      </c>
      <c r="F98">
        <v>151625753</v>
      </c>
      <c r="G98">
        <v>3.0890000000000001E-2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-0.52054794520547976</v>
      </c>
      <c r="Q98">
        <f t="shared" ref="Q98" si="466">F98*P98</f>
        <v>-78928474.164383605</v>
      </c>
      <c r="R98">
        <f t="shared" ref="R98" si="467">R99+Q98</f>
        <v>1882908965.2670805</v>
      </c>
      <c r="S98">
        <f t="shared" ref="S98" si="468">R98/100000</f>
        <v>18829.089652670806</v>
      </c>
      <c r="T98">
        <f t="shared" ref="T98" si="469">S98/1000</f>
        <v>18.829089652670806</v>
      </c>
    </row>
    <row r="99" spans="1:20" x14ac:dyDescent="0.25">
      <c r="A99" s="5">
        <v>44494</v>
      </c>
      <c r="B99">
        <v>3.125E-2</v>
      </c>
      <c r="C99">
        <v>3.3340000000000002E-2</v>
      </c>
      <c r="D99">
        <v>3.107E-2</v>
      </c>
      <c r="E99">
        <v>3.1879999999999999E-2</v>
      </c>
      <c r="F99">
        <v>236789748</v>
      </c>
      <c r="G99">
        <v>3.1879999999999999E-2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-0.28634361233480371</v>
      </c>
      <c r="Q99">
        <f t="shared" ref="Q99" si="471">F99*P99</f>
        <v>-67803231.806167856</v>
      </c>
      <c r="R99">
        <f t="shared" ref="R99" si="472">R100+Q99</f>
        <v>1961837439.4314642</v>
      </c>
      <c r="S99">
        <f t="shared" ref="S99" si="473">R99/100000</f>
        <v>19618.374394314644</v>
      </c>
      <c r="T99">
        <f t="shared" ref="T99" si="474">S99/1000</f>
        <v>19.618374394314642</v>
      </c>
    </row>
    <row r="100" spans="1:20" x14ac:dyDescent="0.25">
      <c r="A100" s="5">
        <v>44493</v>
      </c>
      <c r="B100">
        <v>3.1969999999999998E-2</v>
      </c>
      <c r="C100">
        <v>3.3739999999999999E-2</v>
      </c>
      <c r="D100">
        <v>3.0009999999999998E-2</v>
      </c>
      <c r="E100">
        <v>3.125E-2</v>
      </c>
      <c r="F100">
        <v>387277719</v>
      </c>
      <c r="G100">
        <v>3.125E-2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-0.33512064343163467</v>
      </c>
      <c r="Q100">
        <f t="shared" ref="Q100" si="476">F100*P100</f>
        <v>-129784758.3780158</v>
      </c>
      <c r="R100">
        <f t="shared" ref="R100" si="477">R101+Q100</f>
        <v>2029640671.237632</v>
      </c>
      <c r="S100">
        <f t="shared" ref="S100" si="478">R100/100000</f>
        <v>20296.40671237632</v>
      </c>
      <c r="T100">
        <f t="shared" ref="T100" si="479">S100/1000</f>
        <v>20.296406712376321</v>
      </c>
    </row>
    <row r="101" spans="1:20" x14ac:dyDescent="0.25">
      <c r="A101" s="5">
        <v>44492</v>
      </c>
      <c r="B101">
        <v>3.2210000000000003E-2</v>
      </c>
      <c r="C101">
        <v>3.227E-2</v>
      </c>
      <c r="D101">
        <v>3.108E-2</v>
      </c>
      <c r="E101">
        <v>3.1949999999999999E-2</v>
      </c>
      <c r="F101">
        <v>137797829</v>
      </c>
      <c r="G101">
        <v>3.1949999999999999E-2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0.46218487394957847</v>
      </c>
      <c r="Q101">
        <f t="shared" ref="Q101" si="481">F101*P101</f>
        <v>63688072.226890571</v>
      </c>
      <c r="R101">
        <f t="shared" ref="R101" si="482">R102+Q101</f>
        <v>2159425429.6156478</v>
      </c>
      <c r="S101">
        <f t="shared" ref="S101" si="483">R101/100000</f>
        <v>21594.25429615648</v>
      </c>
      <c r="T101">
        <f t="shared" ref="T101" si="484">S101/1000</f>
        <v>21.594254296156478</v>
      </c>
    </row>
    <row r="102" spans="1:20" x14ac:dyDescent="0.25">
      <c r="A102" s="5">
        <v>44491</v>
      </c>
      <c r="B102">
        <v>3.1940000000000003E-2</v>
      </c>
      <c r="C102">
        <v>3.2989999999999998E-2</v>
      </c>
      <c r="D102">
        <v>3.1199999999999999E-2</v>
      </c>
      <c r="E102">
        <v>3.2199999999999999E-2</v>
      </c>
      <c r="F102">
        <v>213176665</v>
      </c>
      <c r="G102">
        <v>3.2199999999999999E-2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0.11731843575419099</v>
      </c>
      <c r="Q102">
        <f t="shared" ref="Q102" si="486">F102*P102</f>
        <v>25009552.877095193</v>
      </c>
      <c r="R102">
        <f t="shared" ref="R102" si="487">R103+Q102</f>
        <v>2095737357.3887572</v>
      </c>
      <c r="S102">
        <f t="shared" ref="S102" si="488">R102/100000</f>
        <v>20957.373573887573</v>
      </c>
      <c r="T102">
        <f t="shared" ref="T102" si="489">S102/1000</f>
        <v>20.957373573887573</v>
      </c>
    </row>
    <row r="103" spans="1:20" x14ac:dyDescent="0.25">
      <c r="A103" s="5">
        <v>44490</v>
      </c>
      <c r="B103">
        <v>3.2059999999999998E-2</v>
      </c>
      <c r="C103">
        <v>3.4770000000000002E-2</v>
      </c>
      <c r="D103">
        <v>3.092E-2</v>
      </c>
      <c r="E103">
        <v>3.1969999999999998E-2</v>
      </c>
      <c r="F103">
        <v>481216888</v>
      </c>
      <c r="G103">
        <v>3.1969999999999998E-2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-0.45454545454545553</v>
      </c>
      <c r="Q103">
        <f t="shared" ref="Q103" si="491">F103*P103</f>
        <v>-218734949.09090957</v>
      </c>
      <c r="R103">
        <f t="shared" ref="R103" si="492">R104+Q103</f>
        <v>2070727804.511662</v>
      </c>
      <c r="S103">
        <f t="shared" ref="S103" si="493">R103/100000</f>
        <v>20707.278045116622</v>
      </c>
      <c r="T103">
        <f t="shared" ref="T103" si="494">S103/1000</f>
        <v>20.70727804511662</v>
      </c>
    </row>
    <row r="104" spans="1:20" x14ac:dyDescent="0.25">
      <c r="A104" s="5">
        <v>44489</v>
      </c>
      <c r="B104">
        <v>3.0779999999999998E-2</v>
      </c>
      <c r="C104">
        <v>3.2469999999999999E-2</v>
      </c>
      <c r="D104">
        <v>2.9909999999999999E-2</v>
      </c>
      <c r="E104">
        <v>3.2039999999999999E-2</v>
      </c>
      <c r="F104">
        <v>388157253</v>
      </c>
      <c r="G104">
        <v>3.2039999999999999E-2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0.66406250000000011</v>
      </c>
      <c r="Q104">
        <f t="shared" ref="Q104" si="496">F104*P104</f>
        <v>257760675.82031253</v>
      </c>
      <c r="R104">
        <f t="shared" ref="R104" si="497">R105+Q104</f>
        <v>2289462753.6025715</v>
      </c>
      <c r="S104">
        <f t="shared" ref="S104" si="498">R104/100000</f>
        <v>22894.627536025713</v>
      </c>
      <c r="T104">
        <f t="shared" ref="T104" si="499">S104/1000</f>
        <v>22.894627536025713</v>
      </c>
    </row>
    <row r="105" spans="1:20" x14ac:dyDescent="0.25">
      <c r="A105" s="5">
        <v>44488</v>
      </c>
      <c r="B105">
        <v>3.075E-2</v>
      </c>
      <c r="C105">
        <v>3.0960000000000001E-2</v>
      </c>
      <c r="D105">
        <v>2.9520000000000001E-2</v>
      </c>
      <c r="E105">
        <v>3.0779999999999998E-2</v>
      </c>
      <c r="F105">
        <v>151265768</v>
      </c>
      <c r="G105">
        <v>3.0779999999999998E-2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0.74999999999999578</v>
      </c>
      <c r="Q105">
        <f t="shared" ref="Q105" si="501">F105*P105</f>
        <v>113449325.99999936</v>
      </c>
      <c r="R105">
        <f t="shared" ref="R105" si="502">R106+Q105</f>
        <v>2031702077.7822587</v>
      </c>
      <c r="S105">
        <f t="shared" ref="S105" si="503">R105/100000</f>
        <v>20317.020777822589</v>
      </c>
      <c r="T105">
        <f t="shared" ref="T105" si="504">S105/1000</f>
        <v>20.317020777822588</v>
      </c>
    </row>
    <row r="106" spans="1:20" x14ac:dyDescent="0.25">
      <c r="A106" s="5">
        <v>44487</v>
      </c>
      <c r="B106">
        <v>3.0169999999999999E-2</v>
      </c>
      <c r="C106">
        <v>3.1489999999999997E-2</v>
      </c>
      <c r="D106">
        <v>2.9069999999999999E-2</v>
      </c>
      <c r="E106">
        <v>3.0769999999999999E-2</v>
      </c>
      <c r="F106">
        <v>165089175</v>
      </c>
      <c r="G106">
        <v>3.0769999999999999E-2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0.40495867768595134</v>
      </c>
      <c r="Q106">
        <f t="shared" ref="Q106" si="506">F106*P106</f>
        <v>66854294.008264616</v>
      </c>
      <c r="R106">
        <f t="shared" ref="R106" si="507">R107+Q106</f>
        <v>1918252751.7822595</v>
      </c>
      <c r="S106">
        <f t="shared" ref="S106" si="508">R106/100000</f>
        <v>19182.527517822593</v>
      </c>
      <c r="T106">
        <f t="shared" ref="T106" si="509">S106/1000</f>
        <v>19.182527517822592</v>
      </c>
    </row>
    <row r="107" spans="1:20" x14ac:dyDescent="0.25">
      <c r="A107" s="5">
        <v>44486</v>
      </c>
      <c r="B107">
        <v>3.1480000000000001E-2</v>
      </c>
      <c r="C107">
        <v>3.1480000000000001E-2</v>
      </c>
      <c r="D107">
        <v>2.8709999999999999E-2</v>
      </c>
      <c r="E107">
        <v>3.0179999999999998E-2</v>
      </c>
      <c r="F107">
        <v>211598584</v>
      </c>
      <c r="G107">
        <v>3.0179999999999998E-2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6.1371841155233371E-2</v>
      </c>
      <c r="Q107">
        <f t="shared" ref="Q107" si="511">F107*P107</f>
        <v>12986194.685920306</v>
      </c>
      <c r="R107">
        <f t="shared" ref="R107" si="512">R108+Q107</f>
        <v>1851398457.7739949</v>
      </c>
      <c r="S107">
        <f t="shared" ref="S107" si="513">R107/100000</f>
        <v>18513.98457773995</v>
      </c>
      <c r="T107">
        <f t="shared" ref="T107" si="514">S107/1000</f>
        <v>18.513984577739951</v>
      </c>
    </row>
    <row r="108" spans="1:20" x14ac:dyDescent="0.25">
      <c r="A108" s="5">
        <v>44485</v>
      </c>
      <c r="B108">
        <v>3.124E-2</v>
      </c>
      <c r="C108">
        <v>3.2590000000000001E-2</v>
      </c>
      <c r="D108">
        <v>3.092E-2</v>
      </c>
      <c r="E108">
        <v>3.15E-2</v>
      </c>
      <c r="F108">
        <v>228352105</v>
      </c>
      <c r="G108">
        <v>3.15E-2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-0.30538922155688603</v>
      </c>
      <c r="Q108">
        <f t="shared" ref="Q108" si="516">F108*P108</f>
        <v>-69736271.586826295</v>
      </c>
      <c r="R108">
        <f t="shared" ref="R108" si="517">R109+Q108</f>
        <v>1838412263.0880747</v>
      </c>
      <c r="S108">
        <f t="shared" ref="S108" si="518">R108/100000</f>
        <v>18384.122630880745</v>
      </c>
      <c r="T108">
        <f t="shared" ref="T108" si="519">S108/1000</f>
        <v>18.384122630880746</v>
      </c>
    </row>
    <row r="109" spans="1:20" x14ac:dyDescent="0.25">
      <c r="A109" s="5">
        <v>44484</v>
      </c>
      <c r="B109">
        <v>3.3399999999999999E-2</v>
      </c>
      <c r="C109">
        <v>3.3419999999999998E-2</v>
      </c>
      <c r="D109">
        <v>3.0370000000000001E-2</v>
      </c>
      <c r="E109">
        <v>3.1230000000000001E-2</v>
      </c>
      <c r="F109">
        <v>295243741</v>
      </c>
      <c r="G109">
        <v>3.1230000000000001E-2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-0.43606557377049149</v>
      </c>
      <c r="Q109">
        <f t="shared" ref="Q109" si="521">F109*P109</f>
        <v>-128745631.32131138</v>
      </c>
      <c r="R109">
        <f t="shared" ref="R109" si="522">R110+Q109</f>
        <v>1908148534.674901</v>
      </c>
      <c r="S109">
        <f t="shared" ref="S109" si="523">R109/100000</f>
        <v>19081.48534674901</v>
      </c>
      <c r="T109">
        <f t="shared" ref="T109" si="524">S109/1000</f>
        <v>19.081485346749009</v>
      </c>
    </row>
    <row r="110" spans="1:20" x14ac:dyDescent="0.25">
      <c r="A110" s="5">
        <v>44483</v>
      </c>
      <c r="B110">
        <v>3.3169999999999998E-2</v>
      </c>
      <c r="C110">
        <v>3.3480000000000003E-2</v>
      </c>
      <c r="D110">
        <v>3.245E-2</v>
      </c>
      <c r="E110">
        <v>3.3369999999999997E-2</v>
      </c>
      <c r="F110">
        <v>166277786</v>
      </c>
      <c r="G110">
        <v>3.3369999999999997E-2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0.78640776699028037</v>
      </c>
      <c r="Q110">
        <f t="shared" ref="Q110" si="526">F110*P110</f>
        <v>130762142.3883477</v>
      </c>
      <c r="R110">
        <f t="shared" ref="R110" si="527">R111+Q110</f>
        <v>2036894165.9962125</v>
      </c>
      <c r="S110">
        <f t="shared" ref="S110" si="528">R110/100000</f>
        <v>20368.941659962125</v>
      </c>
      <c r="T110">
        <f t="shared" ref="T110" si="529">S110/1000</f>
        <v>20.368941659962125</v>
      </c>
    </row>
    <row r="111" spans="1:20" x14ac:dyDescent="0.25">
      <c r="A111" s="5">
        <v>44482</v>
      </c>
      <c r="B111">
        <v>3.1870000000000002E-2</v>
      </c>
      <c r="C111">
        <v>3.3189999999999997E-2</v>
      </c>
      <c r="D111">
        <v>3.075E-2</v>
      </c>
      <c r="E111">
        <v>3.313E-2</v>
      </c>
      <c r="F111">
        <v>247892955</v>
      </c>
      <c r="G111">
        <v>3.313E-2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0.95081967213114948</v>
      </c>
      <c r="Q111">
        <f t="shared" ref="Q111" si="531">F111*P111</f>
        <v>235701498.19672179</v>
      </c>
      <c r="R111">
        <f t="shared" ref="R111" si="532">R112+Q111</f>
        <v>1906132023.6078649</v>
      </c>
      <c r="S111">
        <f t="shared" ref="S111" si="533">R111/100000</f>
        <v>19061.320236078649</v>
      </c>
      <c r="T111">
        <f t="shared" ref="T111" si="534">S111/1000</f>
        <v>19.06132023607865</v>
      </c>
    </row>
    <row r="112" spans="1:20" x14ac:dyDescent="0.25">
      <c r="A112" s="5">
        <v>44481</v>
      </c>
      <c r="B112">
        <v>3.3439999999999998E-2</v>
      </c>
      <c r="C112">
        <v>3.4630000000000001E-2</v>
      </c>
      <c r="D112">
        <v>2.98E-2</v>
      </c>
      <c r="E112">
        <v>3.1809999999999998E-2</v>
      </c>
      <c r="F112">
        <v>337129587</v>
      </c>
      <c r="G112">
        <v>3.1809999999999998E-2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-0.16770186335403831</v>
      </c>
      <c r="Q112">
        <f t="shared" ref="Q112" si="536">F112*P112</f>
        <v>-56537259.931677371</v>
      </c>
      <c r="R112">
        <f t="shared" ref="R112" si="537">R113+Q112</f>
        <v>1670430525.4111431</v>
      </c>
      <c r="S112">
        <f t="shared" ref="S112" si="538">R112/100000</f>
        <v>16704.30525411143</v>
      </c>
      <c r="T112">
        <f t="shared" ref="T112" si="539">S112/1000</f>
        <v>16.704305254111429</v>
      </c>
    </row>
    <row r="113" spans="1:20" x14ac:dyDescent="0.25">
      <c r="A113" s="5">
        <v>44480</v>
      </c>
      <c r="B113">
        <v>3.4329999999999999E-2</v>
      </c>
      <c r="C113">
        <v>3.4329999999999999E-2</v>
      </c>
      <c r="D113">
        <v>3.193E-2</v>
      </c>
      <c r="E113">
        <v>3.3439999999999998E-2</v>
      </c>
      <c r="F113">
        <v>234009281</v>
      </c>
      <c r="G113">
        <v>3.3439999999999998E-2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0.25833333333333153</v>
      </c>
      <c r="Q113">
        <f t="shared" ref="Q113" si="541">F113*P113</f>
        <v>60452397.591666244</v>
      </c>
      <c r="R113">
        <f t="shared" ref="R113" si="542">R114+Q113</f>
        <v>1726967785.3428204</v>
      </c>
      <c r="S113">
        <f t="shared" ref="S113" si="543">R113/100000</f>
        <v>17269.677853428206</v>
      </c>
      <c r="T113">
        <f t="shared" ref="T113" si="544">S113/1000</f>
        <v>17.269677853428206</v>
      </c>
    </row>
    <row r="114" spans="1:20" x14ac:dyDescent="0.25">
      <c r="A114" s="5">
        <v>44479</v>
      </c>
      <c r="B114">
        <v>3.5900000000000001E-2</v>
      </c>
      <c r="C114">
        <v>3.6200000000000003E-2</v>
      </c>
      <c r="D114">
        <v>3.3210000000000003E-2</v>
      </c>
      <c r="E114">
        <v>3.4320000000000003E-2</v>
      </c>
      <c r="F114">
        <v>353955404</v>
      </c>
      <c r="G114">
        <v>3.4320000000000003E-2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-0.25752508361204013</v>
      </c>
      <c r="Q114">
        <f t="shared" ref="Q114" si="546">F114*P114</f>
        <v>-91152395.010033444</v>
      </c>
      <c r="R114">
        <f t="shared" ref="R114" si="547">R115+Q114</f>
        <v>1666515387.7511542</v>
      </c>
      <c r="S114">
        <f t="shared" ref="S114" si="548">R114/100000</f>
        <v>16665.15387751154</v>
      </c>
      <c r="T114">
        <f t="shared" ref="T114" si="549">S114/1000</f>
        <v>16.665153877511539</v>
      </c>
    </row>
    <row r="115" spans="1:20" x14ac:dyDescent="0.25">
      <c r="A115" s="5">
        <v>44478</v>
      </c>
      <c r="B115">
        <v>3.7589999999999998E-2</v>
      </c>
      <c r="C115">
        <v>4.233E-2</v>
      </c>
      <c r="D115">
        <v>3.517E-2</v>
      </c>
      <c r="E115">
        <v>3.5929999999999997E-2</v>
      </c>
      <c r="F115">
        <v>833406323</v>
      </c>
      <c r="G115">
        <v>3.5929999999999997E-2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-0.7877094972067048</v>
      </c>
      <c r="Q115">
        <f t="shared" ref="Q115" si="551">F115*P115</f>
        <v>-656482075.65921867</v>
      </c>
      <c r="R115">
        <f t="shared" ref="R115" si="552">R116+Q115</f>
        <v>1757667782.7611876</v>
      </c>
      <c r="S115">
        <f t="shared" ref="S115" si="553">R115/100000</f>
        <v>17576.677827611875</v>
      </c>
      <c r="T115">
        <f t="shared" ref="T115" si="554">S115/1000</f>
        <v>17.576677827611874</v>
      </c>
    </row>
    <row r="116" spans="1:20" x14ac:dyDescent="0.25">
      <c r="A116" s="5">
        <v>44477</v>
      </c>
      <c r="B116">
        <v>3.483E-2</v>
      </c>
      <c r="C116">
        <v>4.2419999999999999E-2</v>
      </c>
      <c r="D116">
        <v>3.4180000000000002E-2</v>
      </c>
      <c r="E116">
        <v>3.7539999999999997E-2</v>
      </c>
      <c r="F116">
        <v>1291769468</v>
      </c>
      <c r="G116">
        <v>3.7539999999999997E-2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-0.1844660194174767</v>
      </c>
      <c r="Q116">
        <f t="shared" ref="Q116" si="556">F116*P116</f>
        <v>-238287571.76699156</v>
      </c>
      <c r="R116">
        <f t="shared" ref="R116" si="557">R117+Q116</f>
        <v>2414149858.4204063</v>
      </c>
      <c r="S116">
        <f t="shared" ref="S116" si="558">R116/100000</f>
        <v>24141.498584204062</v>
      </c>
      <c r="T116">
        <f t="shared" ref="T116" si="559">S116/1000</f>
        <v>24.141498584204061</v>
      </c>
    </row>
    <row r="117" spans="1:20" x14ac:dyDescent="0.25">
      <c r="A117" s="5">
        <v>44476</v>
      </c>
      <c r="B117">
        <v>3.2890000000000003E-2</v>
      </c>
      <c r="C117">
        <v>3.5310000000000001E-2</v>
      </c>
      <c r="D117">
        <v>3.1719999999999998E-2</v>
      </c>
      <c r="E117">
        <v>3.4819999999999997E-2</v>
      </c>
      <c r="F117">
        <v>307234690</v>
      </c>
      <c r="G117">
        <v>3.4819999999999997E-2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0.72701949860724013</v>
      </c>
      <c r="Q117">
        <f t="shared" ref="Q117" si="561">F117*P117</f>
        <v>223365610.27855086</v>
      </c>
      <c r="R117">
        <f t="shared" ref="R117" si="562">R118+Q117</f>
        <v>2652437430.187398</v>
      </c>
      <c r="S117">
        <f t="shared" ref="S117" si="563">R117/100000</f>
        <v>26524.374301873981</v>
      </c>
      <c r="T117">
        <f t="shared" ref="T117" si="564">S117/1000</f>
        <v>26.52437430187398</v>
      </c>
    </row>
    <row r="118" spans="1:20" x14ac:dyDescent="0.25">
      <c r="A118" s="5">
        <v>44475</v>
      </c>
      <c r="B118">
        <v>3.227E-2</v>
      </c>
      <c r="C118">
        <v>3.4950000000000002E-2</v>
      </c>
      <c r="D118">
        <v>3.1460000000000002E-2</v>
      </c>
      <c r="E118">
        <v>3.2849999999999997E-2</v>
      </c>
      <c r="F118">
        <v>933669101</v>
      </c>
      <c r="G118">
        <v>3.2849999999999997E-2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-0.20343839541547543</v>
      </c>
      <c r="Q118">
        <f t="shared" ref="Q118" si="566">F118*P118</f>
        <v>-189944143.75644946</v>
      </c>
      <c r="R118">
        <f t="shared" ref="R118" si="567">R119+Q118</f>
        <v>2429071819.9088469</v>
      </c>
      <c r="S118">
        <f t="shared" ref="S118" si="568">R118/100000</f>
        <v>24290.718199088467</v>
      </c>
      <c r="T118">
        <f t="shared" ref="T118" si="569">S118/1000</f>
        <v>24.290718199088467</v>
      </c>
    </row>
    <row r="119" spans="1:20" x14ac:dyDescent="0.25">
      <c r="A119" s="5">
        <v>44474</v>
      </c>
      <c r="B119">
        <v>2.9690000000000001E-2</v>
      </c>
      <c r="C119">
        <v>3.44E-2</v>
      </c>
      <c r="D119">
        <v>2.9219999999999999E-2</v>
      </c>
      <c r="E119">
        <v>3.2239999999999998E-2</v>
      </c>
      <c r="F119">
        <v>643269729</v>
      </c>
      <c r="G119">
        <v>3.2239999999999998E-2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0.16602316602316528</v>
      </c>
      <c r="Q119">
        <f t="shared" ref="Q119" si="571">F119*P119</f>
        <v>106797677.01544353</v>
      </c>
      <c r="R119">
        <f t="shared" ref="R119" si="572">R120+Q119</f>
        <v>2619015963.6652961</v>
      </c>
      <c r="S119">
        <f t="shared" ref="S119" si="573">R119/100000</f>
        <v>26190.159636652959</v>
      </c>
      <c r="T119">
        <f t="shared" ref="T119" si="574">S119/1000</f>
        <v>26.190159636652961</v>
      </c>
    </row>
    <row r="120" spans="1:20" x14ac:dyDescent="0.25">
      <c r="A120" s="5">
        <v>44473</v>
      </c>
      <c r="B120">
        <v>3.065E-2</v>
      </c>
      <c r="C120">
        <v>3.0710000000000001E-2</v>
      </c>
      <c r="D120">
        <v>2.8240000000000001E-2</v>
      </c>
      <c r="E120">
        <v>2.947E-2</v>
      </c>
      <c r="F120">
        <v>182824688</v>
      </c>
      <c r="G120">
        <v>2.947E-2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-4.0485829959526565E-3</v>
      </c>
      <c r="Q120">
        <f t="shared" ref="Q120" si="576">F120*P120</f>
        <v>-740180.92307714967</v>
      </c>
      <c r="R120">
        <f t="shared" ref="R120" si="577">R121+Q120</f>
        <v>2512218286.6498528</v>
      </c>
      <c r="S120">
        <f t="shared" ref="S120" si="578">R120/100000</f>
        <v>25122.182866498526</v>
      </c>
      <c r="T120">
        <f t="shared" ref="T120" si="579">S120/1000</f>
        <v>25.122182866498527</v>
      </c>
    </row>
    <row r="121" spans="1:20" x14ac:dyDescent="0.25">
      <c r="A121" s="5">
        <v>44472</v>
      </c>
      <c r="B121">
        <v>3.0509999999999999E-2</v>
      </c>
      <c r="C121">
        <v>3.1019999999999999E-2</v>
      </c>
      <c r="D121">
        <v>2.911E-2</v>
      </c>
      <c r="E121">
        <v>3.0640000000000001E-2</v>
      </c>
      <c r="F121">
        <v>227691029</v>
      </c>
      <c r="G121">
        <v>3.0640000000000001E-2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0.60209424083769769</v>
      </c>
      <c r="Q121">
        <f t="shared" ref="Q121" si="581">F121*P121</f>
        <v>137091457.25130922</v>
      </c>
      <c r="R121">
        <f t="shared" ref="R121" si="582">R122+Q121</f>
        <v>2512958467.5729299</v>
      </c>
      <c r="S121">
        <f t="shared" ref="S121" si="583">R121/100000</f>
        <v>25129.5846757293</v>
      </c>
      <c r="T121">
        <f t="shared" ref="T121" si="584">S121/1000</f>
        <v>25.129584675729301</v>
      </c>
    </row>
    <row r="122" spans="1:20" x14ac:dyDescent="0.25">
      <c r="A122" s="5">
        <v>44471</v>
      </c>
      <c r="B122">
        <v>2.9020000000000001E-2</v>
      </c>
      <c r="C122">
        <v>3.1989999999999998E-2</v>
      </c>
      <c r="D122">
        <v>2.8979999999999999E-2</v>
      </c>
      <c r="E122">
        <v>3.0499999999999999E-2</v>
      </c>
      <c r="F122">
        <v>542425844</v>
      </c>
      <c r="G122">
        <v>3.0499999999999999E-2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9.9667774086386243E-3</v>
      </c>
      <c r="Q122">
        <f t="shared" ref="Q122" si="586">F122*P122</f>
        <v>5406237.6478409385</v>
      </c>
      <c r="R122">
        <f t="shared" ref="R122" si="587">R123+Q122</f>
        <v>2375867010.3216205</v>
      </c>
      <c r="S122">
        <f t="shared" ref="S122" si="588">R122/100000</f>
        <v>23758.670103216205</v>
      </c>
      <c r="T122">
        <f t="shared" ref="T122" si="589">S122/1000</f>
        <v>23.758670103216204</v>
      </c>
    </row>
    <row r="123" spans="1:20" x14ac:dyDescent="0.25">
      <c r="A123" s="5">
        <v>44470</v>
      </c>
      <c r="B123">
        <v>2.5989999999999999E-2</v>
      </c>
      <c r="C123">
        <v>2.9260000000000001E-2</v>
      </c>
      <c r="D123">
        <v>2.5499999999999998E-2</v>
      </c>
      <c r="E123">
        <v>2.9020000000000001E-2</v>
      </c>
      <c r="F123">
        <v>251152690</v>
      </c>
      <c r="G123">
        <v>2.9020000000000001E-2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0.87234042553191471</v>
      </c>
      <c r="Q123">
        <f t="shared" ref="Q123" si="591">F123*P123</f>
        <v>219090644.46808505</v>
      </c>
      <c r="R123">
        <f t="shared" ref="R123" si="592">R124+Q123</f>
        <v>2370460772.6737795</v>
      </c>
      <c r="S123">
        <f t="shared" ref="S123" si="593">R123/100000</f>
        <v>23704.607726737795</v>
      </c>
      <c r="T123">
        <f t="shared" ref="T123" si="594">S123/1000</f>
        <v>23.704607726737795</v>
      </c>
    </row>
    <row r="124" spans="1:20" x14ac:dyDescent="0.25">
      <c r="A124" s="5">
        <v>44469</v>
      </c>
      <c r="B124">
        <v>2.385E-2</v>
      </c>
      <c r="C124">
        <v>2.6440000000000002E-2</v>
      </c>
      <c r="D124">
        <v>2.3740000000000001E-2</v>
      </c>
      <c r="E124">
        <v>2.5989999999999999E-2</v>
      </c>
      <c r="F124">
        <v>292193815</v>
      </c>
      <c r="G124">
        <v>2.5989999999999999E-2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0.66666666666666496</v>
      </c>
      <c r="Q124">
        <f t="shared" ref="Q124" si="596">F124*P124</f>
        <v>194795876.66666618</v>
      </c>
      <c r="R124">
        <f t="shared" ref="R124" si="597">R125+Q124</f>
        <v>2151370128.2056942</v>
      </c>
      <c r="S124">
        <f t="shared" ref="S124" si="598">R124/100000</f>
        <v>21513.701282056943</v>
      </c>
      <c r="T124">
        <f t="shared" ref="T124" si="599">S124/1000</f>
        <v>21.513701282056942</v>
      </c>
    </row>
    <row r="125" spans="1:20" x14ac:dyDescent="0.25">
      <c r="A125" s="5">
        <v>44468</v>
      </c>
      <c r="B125">
        <v>2.3349999999999999E-2</v>
      </c>
      <c r="C125">
        <v>2.4969999999999999E-2</v>
      </c>
      <c r="D125">
        <v>2.3040000000000001E-2</v>
      </c>
      <c r="E125">
        <v>2.384E-2</v>
      </c>
      <c r="F125">
        <v>193530527</v>
      </c>
      <c r="G125">
        <v>2.384E-2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-0.17098445595854966</v>
      </c>
      <c r="Q125">
        <f t="shared" ref="Q125" si="601">F125*P125</f>
        <v>-33090711.870466407</v>
      </c>
      <c r="R125">
        <f t="shared" ref="R125" si="602">R126+Q125</f>
        <v>1956574251.5390279</v>
      </c>
      <c r="S125">
        <f t="shared" ref="S125" si="603">R125/100000</f>
        <v>19565.74251539028</v>
      </c>
      <c r="T125">
        <f t="shared" ref="T125" si="604">S125/1000</f>
        <v>19.56574251539028</v>
      </c>
    </row>
    <row r="126" spans="1:20" x14ac:dyDescent="0.25">
      <c r="A126" s="5">
        <v>44467</v>
      </c>
      <c r="B126">
        <v>2.4910000000000002E-2</v>
      </c>
      <c r="C126">
        <v>2.528E-2</v>
      </c>
      <c r="D126">
        <v>2.3230000000000001E-2</v>
      </c>
      <c r="E126">
        <v>2.3359999999999999E-2</v>
      </c>
      <c r="F126">
        <v>192495760</v>
      </c>
      <c r="G126">
        <v>2.3359999999999999E-2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-0.87317073170731885</v>
      </c>
      <c r="Q126">
        <f t="shared" ref="Q126" si="606">F126*P126</f>
        <v>-168081663.60975644</v>
      </c>
      <c r="R126">
        <f t="shared" ref="R126" si="607">R127+Q126</f>
        <v>1989664963.4094944</v>
      </c>
      <c r="S126">
        <f t="shared" ref="S126" si="608">R126/100000</f>
        <v>19896.649634094945</v>
      </c>
      <c r="T126">
        <f t="shared" ref="T126" si="609">S126/1000</f>
        <v>19.896649634094945</v>
      </c>
    </row>
    <row r="127" spans="1:20" x14ac:dyDescent="0.25">
      <c r="A127" s="5">
        <v>44466</v>
      </c>
      <c r="B127">
        <v>2.5510000000000001E-2</v>
      </c>
      <c r="C127">
        <v>2.647E-2</v>
      </c>
      <c r="D127">
        <v>2.478E-2</v>
      </c>
      <c r="E127">
        <v>2.4910000000000002E-2</v>
      </c>
      <c r="F127">
        <v>173897993</v>
      </c>
      <c r="G127">
        <v>2.4910000000000002E-2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-0.84615384615384426</v>
      </c>
      <c r="Q127">
        <f t="shared" ref="Q127" si="611">F127*P127</f>
        <v>-147144455.61538428</v>
      </c>
      <c r="R127">
        <f t="shared" ref="R127" si="612">R128+Q127</f>
        <v>2157746627.0192509</v>
      </c>
      <c r="S127">
        <f t="shared" ref="S127" si="613">R127/100000</f>
        <v>21577.466270192508</v>
      </c>
      <c r="T127">
        <f t="shared" ref="T127" si="614">S127/1000</f>
        <v>21.57746627019251</v>
      </c>
    </row>
    <row r="128" spans="1:20" x14ac:dyDescent="0.25">
      <c r="A128" s="5">
        <v>44465</v>
      </c>
      <c r="B128">
        <v>2.6339999999999999E-2</v>
      </c>
      <c r="C128">
        <v>2.639E-2</v>
      </c>
      <c r="D128">
        <v>2.3949999999999999E-2</v>
      </c>
      <c r="E128">
        <v>2.554E-2</v>
      </c>
      <c r="F128">
        <v>247503601</v>
      </c>
      <c r="G128">
        <v>2.554E-2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0.30327868852459045</v>
      </c>
      <c r="Q128">
        <f t="shared" ref="Q128" si="616">F128*P128</f>
        <v>75062567.516393512</v>
      </c>
      <c r="R128">
        <f t="shared" ref="R128" si="617">R129+Q128</f>
        <v>2304891082.634635</v>
      </c>
      <c r="S128">
        <f t="shared" ref="S128" si="618">R128/100000</f>
        <v>23048.910826346349</v>
      </c>
      <c r="T128">
        <f t="shared" ref="T128" si="619">S128/1000</f>
        <v>23.048910826346351</v>
      </c>
    </row>
    <row r="129" spans="1:20" x14ac:dyDescent="0.25">
      <c r="A129" s="5">
        <v>44464</v>
      </c>
      <c r="B129">
        <v>2.6579999999999999E-2</v>
      </c>
      <c r="C129">
        <v>2.811E-2</v>
      </c>
      <c r="D129">
        <v>2.5219999999999999E-2</v>
      </c>
      <c r="E129">
        <v>2.6329999999999999E-2</v>
      </c>
      <c r="F129">
        <v>248883054</v>
      </c>
      <c r="G129">
        <v>2.6329999999999999E-2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-0.23183391003460221</v>
      </c>
      <c r="Q129">
        <f t="shared" ref="Q129" si="621">F129*P129</f>
        <v>-57699531.550173044</v>
      </c>
      <c r="R129">
        <f t="shared" ref="R129" si="622">R130+Q129</f>
        <v>2229828515.1182413</v>
      </c>
      <c r="S129">
        <f t="shared" ref="S129" si="623">R129/100000</f>
        <v>22298.285151182412</v>
      </c>
      <c r="T129">
        <f t="shared" ref="T129" si="624">S129/1000</f>
        <v>22.298285151182412</v>
      </c>
    </row>
    <row r="130" spans="1:20" x14ac:dyDescent="0.25">
      <c r="A130" s="5">
        <v>44463</v>
      </c>
      <c r="B130">
        <v>2.9329999999999998E-2</v>
      </c>
      <c r="C130">
        <v>2.9360000000000001E-2</v>
      </c>
      <c r="D130">
        <v>2.4490000000000001E-2</v>
      </c>
      <c r="E130">
        <v>2.657E-2</v>
      </c>
      <c r="F130">
        <v>302228975</v>
      </c>
      <c r="G130">
        <v>2.657E-2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-0.14579055441478489</v>
      </c>
      <c r="Q130">
        <f t="shared" ref="Q130" si="626">F130*P130</f>
        <v>-44062129.825462162</v>
      </c>
      <c r="R130">
        <f t="shared" ref="R130" si="627">R131+Q130</f>
        <v>2287528046.6684141</v>
      </c>
      <c r="S130">
        <f t="shared" ref="S130" si="628">R130/100000</f>
        <v>22875.28046668414</v>
      </c>
      <c r="T130">
        <f t="shared" ref="T130" si="629">S130/1000</f>
        <v>22.875280466684139</v>
      </c>
    </row>
    <row r="131" spans="1:20" x14ac:dyDescent="0.25">
      <c r="A131" s="5">
        <v>44462</v>
      </c>
      <c r="B131">
        <v>2.8060000000000002E-2</v>
      </c>
      <c r="C131">
        <v>2.9409999999999999E-2</v>
      </c>
      <c r="D131">
        <v>2.69E-2</v>
      </c>
      <c r="E131">
        <v>2.9350000000000001E-2</v>
      </c>
      <c r="F131">
        <v>272927283</v>
      </c>
      <c r="G131">
        <v>2.9350000000000001E-2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0.95219123505976289</v>
      </c>
      <c r="Q131">
        <f t="shared" ref="Q131" si="631">F131*P131</f>
        <v>259878966.68127543</v>
      </c>
      <c r="R131">
        <f t="shared" ref="R131" si="632">R132+Q131</f>
        <v>2331590176.4938765</v>
      </c>
      <c r="S131">
        <f t="shared" ref="S131" si="633">R131/100000</f>
        <v>23315.901764938764</v>
      </c>
      <c r="T131">
        <f t="shared" ref="T131" si="634">S131/1000</f>
        <v>23.315901764938765</v>
      </c>
    </row>
    <row r="132" spans="1:20" x14ac:dyDescent="0.25">
      <c r="A132" s="5">
        <v>44461</v>
      </c>
      <c r="B132">
        <v>2.4809999999999999E-2</v>
      </c>
      <c r="C132">
        <v>2.8209999999999999E-2</v>
      </c>
      <c r="D132">
        <v>2.4049999999999998E-2</v>
      </c>
      <c r="E132">
        <v>2.8060000000000002E-2</v>
      </c>
      <c r="F132">
        <v>319315811</v>
      </c>
      <c r="G132">
        <v>2.8060000000000002E-2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0.92788461538461664</v>
      </c>
      <c r="Q132">
        <f t="shared" ref="Q132" si="636">F132*P132</f>
        <v>296288228.47596192</v>
      </c>
      <c r="R132">
        <f t="shared" ref="R132" si="637">R133+Q132</f>
        <v>2071711209.8126009</v>
      </c>
      <c r="S132">
        <f t="shared" ref="S132" si="638">R132/100000</f>
        <v>20717.11209812601</v>
      </c>
      <c r="T132">
        <f t="shared" ref="T132" si="639">S132/1000</f>
        <v>20.717112098126009</v>
      </c>
    </row>
    <row r="133" spans="1:20" x14ac:dyDescent="0.25">
      <c r="A133" s="5">
        <v>44460</v>
      </c>
      <c r="B133">
        <v>2.7859999999999999E-2</v>
      </c>
      <c r="C133">
        <v>2.8660000000000001E-2</v>
      </c>
      <c r="D133">
        <v>2.418E-2</v>
      </c>
      <c r="E133">
        <v>2.4809999999999999E-2</v>
      </c>
      <c r="F133">
        <v>441562231</v>
      </c>
      <c r="G133">
        <v>2.4809999999999999E-2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-0.71875000000000067</v>
      </c>
      <c r="Q133">
        <f t="shared" ref="Q133" si="641">F133*P133</f>
        <v>-317372853.5312503</v>
      </c>
      <c r="R133">
        <f t="shared" ref="R133" si="642">R134+Q133</f>
        <v>1775422981.3366389</v>
      </c>
      <c r="S133">
        <f t="shared" ref="S133" si="643">R133/100000</f>
        <v>17754.22981336639</v>
      </c>
      <c r="T133">
        <f t="shared" ref="T133" si="644">S133/1000</f>
        <v>17.75422981336639</v>
      </c>
    </row>
    <row r="134" spans="1:20" x14ac:dyDescent="0.25">
      <c r="A134" s="5">
        <v>44459</v>
      </c>
      <c r="B134">
        <v>3.3360000000000001E-2</v>
      </c>
      <c r="C134">
        <v>3.3439999999999998E-2</v>
      </c>
      <c r="D134">
        <v>2.937E-2</v>
      </c>
      <c r="E134">
        <v>2.972E-2</v>
      </c>
      <c r="F134">
        <v>142337176</v>
      </c>
      <c r="G134">
        <v>2.972E-2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-0.82800982800982803</v>
      </c>
      <c r="Q134">
        <f t="shared" ref="Q134" si="646">F134*P134</f>
        <v>-117856580.61916462</v>
      </c>
      <c r="R134">
        <f t="shared" ref="R134" si="647">R135+Q134</f>
        <v>2092795834.8678892</v>
      </c>
      <c r="S134">
        <f t="shared" ref="S134" si="648">R134/100000</f>
        <v>20927.958348678891</v>
      </c>
      <c r="T134">
        <f t="shared" ref="T134" si="649">S134/1000</f>
        <v>20.927958348678892</v>
      </c>
    </row>
    <row r="135" spans="1:20" x14ac:dyDescent="0.25">
      <c r="A135" s="5">
        <v>44458</v>
      </c>
      <c r="B135">
        <v>3.5150000000000001E-2</v>
      </c>
      <c r="C135">
        <v>3.5180000000000003E-2</v>
      </c>
      <c r="D135">
        <v>3.2770000000000001E-2</v>
      </c>
      <c r="E135">
        <v>3.3369999999999997E-2</v>
      </c>
      <c r="F135">
        <v>127617246</v>
      </c>
      <c r="G135">
        <v>3.3369999999999997E-2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-0.50207468879668404</v>
      </c>
      <c r="Q135">
        <f t="shared" ref="Q135" si="651">F135*P135</f>
        <v>-64073389.070539869</v>
      </c>
      <c r="R135">
        <f t="shared" ref="R135" si="652">R136+Q135</f>
        <v>2210652415.4870539</v>
      </c>
      <c r="S135">
        <f t="shared" ref="S135" si="653">R135/100000</f>
        <v>22106.524154870538</v>
      </c>
      <c r="T135">
        <f t="shared" ref="T135" si="654">S135/1000</f>
        <v>22.106524154870538</v>
      </c>
    </row>
    <row r="136" spans="1:20" x14ac:dyDescent="0.25">
      <c r="A136" s="5">
        <v>44457</v>
      </c>
      <c r="B136">
        <v>3.3660000000000002E-2</v>
      </c>
      <c r="C136">
        <v>3.5470000000000002E-2</v>
      </c>
      <c r="D136">
        <v>3.295E-2</v>
      </c>
      <c r="E136">
        <v>3.5119999999999998E-2</v>
      </c>
      <c r="F136">
        <v>220010792</v>
      </c>
      <c r="G136">
        <v>3.5119999999999998E-2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0.72222222222221988</v>
      </c>
      <c r="Q136">
        <f t="shared" ref="Q136" si="656">F136*P136</f>
        <v>158896683.1111106</v>
      </c>
      <c r="R136">
        <f t="shared" ref="R136" si="657">R137+Q136</f>
        <v>2274725804.5575938</v>
      </c>
      <c r="S136">
        <f t="shared" ref="S136" si="658">R136/100000</f>
        <v>22747.258045575938</v>
      </c>
      <c r="T136">
        <f t="shared" ref="T136" si="659">S136/1000</f>
        <v>22.747258045575936</v>
      </c>
    </row>
    <row r="137" spans="1:20" x14ac:dyDescent="0.25">
      <c r="A137" s="5">
        <v>44456</v>
      </c>
      <c r="B137">
        <v>3.3980000000000003E-2</v>
      </c>
      <c r="C137">
        <v>3.7199999999999997E-2</v>
      </c>
      <c r="D137">
        <v>3.3110000000000001E-2</v>
      </c>
      <c r="E137">
        <v>3.354E-2</v>
      </c>
      <c r="F137">
        <v>300819046</v>
      </c>
      <c r="G137">
        <v>3.354E-2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-0.7897310513447432</v>
      </c>
      <c r="Q137">
        <f t="shared" ref="Q137" si="661">F137*P137</f>
        <v>-237566141.46210265</v>
      </c>
      <c r="R137">
        <f t="shared" ref="R137" si="662">R138+Q137</f>
        <v>2115829121.4464834</v>
      </c>
      <c r="S137">
        <f t="shared" ref="S137" si="663">R137/100000</f>
        <v>21158.291214464833</v>
      </c>
      <c r="T137">
        <f t="shared" ref="T137" si="664">S137/1000</f>
        <v>21.158291214464832</v>
      </c>
    </row>
    <row r="138" spans="1:20" x14ac:dyDescent="0.25">
      <c r="A138" s="5">
        <v>44455</v>
      </c>
      <c r="B138">
        <v>3.5249999999999997E-2</v>
      </c>
      <c r="C138">
        <v>3.5279999999999999E-2</v>
      </c>
      <c r="D138">
        <v>3.3149999999999999E-2</v>
      </c>
      <c r="E138">
        <v>3.397E-2</v>
      </c>
      <c r="F138">
        <v>220445131</v>
      </c>
      <c r="G138">
        <v>3.397E-2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-0.23004694835680628</v>
      </c>
      <c r="Q138">
        <f t="shared" ref="Q138" si="666">F138*P138</f>
        <v>-50712729.666666396</v>
      </c>
      <c r="R138">
        <f t="shared" ref="R138" si="667">R139+Q138</f>
        <v>2353395262.908586</v>
      </c>
      <c r="S138">
        <f t="shared" ref="S138" si="668">R138/100000</f>
        <v>23533.952629085859</v>
      </c>
      <c r="T138">
        <f t="shared" ref="T138" si="669">S138/1000</f>
        <v>23.53395262908586</v>
      </c>
    </row>
    <row r="139" spans="1:20" x14ac:dyDescent="0.25">
      <c r="A139" s="5">
        <v>44454</v>
      </c>
      <c r="B139">
        <v>3.3890000000000003E-2</v>
      </c>
      <c r="C139">
        <v>3.5409999999999997E-2</v>
      </c>
      <c r="D139">
        <v>3.3099999999999997E-2</v>
      </c>
      <c r="E139">
        <v>3.5229999999999997E-2</v>
      </c>
      <c r="F139">
        <v>147615108</v>
      </c>
      <c r="G139">
        <v>3.5229999999999997E-2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0.84415584415584444</v>
      </c>
      <c r="Q139">
        <f t="shared" ref="Q139" si="671">F139*P139</f>
        <v>124610156.10389614</v>
      </c>
      <c r="R139">
        <f t="shared" ref="R139" si="672">R140+Q139</f>
        <v>2404107992.5752525</v>
      </c>
      <c r="S139">
        <f t="shared" ref="S139" si="673">R139/100000</f>
        <v>24041.079925752525</v>
      </c>
      <c r="T139">
        <f t="shared" ref="T139" si="674">S139/1000</f>
        <v>24.041079925752523</v>
      </c>
    </row>
    <row r="140" spans="1:20" x14ac:dyDescent="0.25">
      <c r="A140" s="5">
        <v>44453</v>
      </c>
      <c r="B140">
        <v>3.295E-2</v>
      </c>
      <c r="C140">
        <v>3.39E-2</v>
      </c>
      <c r="D140">
        <v>3.2250000000000001E-2</v>
      </c>
      <c r="E140">
        <v>3.39E-2</v>
      </c>
      <c r="F140">
        <v>197133692</v>
      </c>
      <c r="G140">
        <v>3.39E-2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1</v>
      </c>
      <c r="Q140">
        <f t="shared" ref="Q140" si="676">F140*P140</f>
        <v>197133692</v>
      </c>
      <c r="R140">
        <f t="shared" ref="R140" si="677">R141+Q140</f>
        <v>2279497836.4713564</v>
      </c>
      <c r="S140">
        <f t="shared" ref="S140" si="678">R140/100000</f>
        <v>22794.978364713563</v>
      </c>
      <c r="T140">
        <f t="shared" ref="T140" si="679">S140/1000</f>
        <v>22.794978364713561</v>
      </c>
    </row>
    <row r="141" spans="1:20" x14ac:dyDescent="0.25">
      <c r="A141" s="5">
        <v>44452</v>
      </c>
      <c r="B141">
        <v>3.5560000000000001E-2</v>
      </c>
      <c r="C141">
        <v>3.5749999999999997E-2</v>
      </c>
      <c r="D141">
        <v>3.091E-2</v>
      </c>
      <c r="E141">
        <v>3.2910000000000002E-2</v>
      </c>
      <c r="F141">
        <v>229743511</v>
      </c>
      <c r="G141">
        <v>3.2910000000000002E-2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-0.17355371900826322</v>
      </c>
      <c r="Q141">
        <f t="shared" ref="Q141" si="681">F141*P141</f>
        <v>-39872840.75206583</v>
      </c>
      <c r="R141">
        <f t="shared" ref="R141" si="682">R142+Q141</f>
        <v>2082364144.4713566</v>
      </c>
      <c r="S141">
        <f t="shared" ref="S141" si="683">R141/100000</f>
        <v>20823.641444713565</v>
      </c>
      <c r="T141">
        <f t="shared" ref="T141" si="684">S141/1000</f>
        <v>20.823641444713566</v>
      </c>
    </row>
    <row r="142" spans="1:20" x14ac:dyDescent="0.25">
      <c r="A142" s="5">
        <v>44451</v>
      </c>
      <c r="B142">
        <v>3.4790000000000001E-2</v>
      </c>
      <c r="C142">
        <v>3.6220000000000002E-2</v>
      </c>
      <c r="D142">
        <v>3.3369999999999997E-2</v>
      </c>
      <c r="E142">
        <v>3.5560000000000001E-2</v>
      </c>
      <c r="F142">
        <v>215324363</v>
      </c>
      <c r="G142">
        <v>3.5560000000000001E-2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0.53684210526315812</v>
      </c>
      <c r="Q142">
        <f t="shared" ref="Q142" si="686">F142*P142</f>
        <v>115595184.34736846</v>
      </c>
      <c r="R142">
        <f t="shared" ref="R142" si="687">R143+Q142</f>
        <v>2122236985.2234225</v>
      </c>
      <c r="S142">
        <f t="shared" ref="S142" si="688">R142/100000</f>
        <v>21222.369852234224</v>
      </c>
      <c r="T142">
        <f t="shared" ref="T142" si="689">S142/1000</f>
        <v>21.222369852234223</v>
      </c>
    </row>
    <row r="143" spans="1:20" x14ac:dyDescent="0.25">
      <c r="A143" s="5">
        <v>44450</v>
      </c>
      <c r="B143">
        <v>3.5130000000000002E-2</v>
      </c>
      <c r="C143">
        <v>3.542E-2</v>
      </c>
      <c r="D143">
        <v>3.356E-2</v>
      </c>
      <c r="E143">
        <v>3.483E-2</v>
      </c>
      <c r="F143">
        <v>181765233</v>
      </c>
      <c r="G143">
        <v>3.483E-2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0.36559139784946226</v>
      </c>
      <c r="Q143">
        <f t="shared" ref="Q143" si="691">F143*P143</f>
        <v>66451805.612903208</v>
      </c>
      <c r="R143">
        <f t="shared" ref="R143" si="692">R144+Q143</f>
        <v>2006641800.876054</v>
      </c>
      <c r="S143">
        <f t="shared" ref="S143" si="693">R143/100000</f>
        <v>20066.418008760542</v>
      </c>
      <c r="T143">
        <f t="shared" ref="T143" si="694">S143/1000</f>
        <v>20.066418008760543</v>
      </c>
    </row>
    <row r="144" spans="1:20" x14ac:dyDescent="0.25">
      <c r="A144" s="5">
        <v>44449</v>
      </c>
      <c r="B144">
        <v>3.8719999999999997E-2</v>
      </c>
      <c r="C144">
        <v>3.986E-2</v>
      </c>
      <c r="D144">
        <v>3.3140000000000003E-2</v>
      </c>
      <c r="E144">
        <v>3.5130000000000002E-2</v>
      </c>
      <c r="F144">
        <v>458541277</v>
      </c>
      <c r="G144">
        <v>3.5130000000000002E-2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-0.40773809523809534</v>
      </c>
      <c r="Q144">
        <f t="shared" ref="Q144" si="696">F144*P144</f>
        <v>-186964746.87202385</v>
      </c>
      <c r="R144">
        <f t="shared" ref="R144" si="697">R145+Q144</f>
        <v>1940189995.2631509</v>
      </c>
      <c r="S144">
        <f t="shared" ref="S144" si="698">R144/100000</f>
        <v>19401.899952631509</v>
      </c>
      <c r="T144">
        <f t="shared" ref="T144" si="699">S144/1000</f>
        <v>19.40189995263151</v>
      </c>
    </row>
    <row r="145" spans="1:20" x14ac:dyDescent="0.25">
      <c r="A145" s="5">
        <v>44448</v>
      </c>
      <c r="B145">
        <v>3.474E-2</v>
      </c>
      <c r="C145">
        <v>3.9399999999999998E-2</v>
      </c>
      <c r="D145">
        <v>3.3849999999999998E-2</v>
      </c>
      <c r="E145">
        <v>3.8699999999999998E-2</v>
      </c>
      <c r="F145">
        <v>702724263</v>
      </c>
      <c r="G145">
        <v>3.8699999999999998E-2</v>
      </c>
      <c r="L145" t="s">
        <v>7</v>
      </c>
      <c r="M145" t="s">
        <v>8</v>
      </c>
      <c r="N145" t="s">
        <v>8</v>
      </c>
      <c r="P145">
        <f t="shared" ref="P145" si="700">IF(C145=D145,0,((E145-D145)-(C145-E145))/(C145-D145))</f>
        <v>0.74774774774774799</v>
      </c>
      <c r="Q145">
        <f t="shared" ref="Q145" si="701">F145*P145</f>
        <v>525460484.9459461</v>
      </c>
      <c r="R145">
        <f t="shared" ref="R145" si="702">R146+Q145</f>
        <v>2127154742.1351748</v>
      </c>
      <c r="S145">
        <f t="shared" ref="S145" si="703">R145/100000</f>
        <v>21271.547421351748</v>
      </c>
      <c r="T145">
        <f t="shared" ref="T145" si="704">S145/1000</f>
        <v>21.271547421351748</v>
      </c>
    </row>
    <row r="146" spans="1:20" x14ac:dyDescent="0.25">
      <c r="A146" s="5">
        <v>44447</v>
      </c>
      <c r="B146">
        <v>3.4419999999999999E-2</v>
      </c>
      <c r="C146">
        <v>3.925E-2</v>
      </c>
      <c r="D146">
        <v>2.903E-2</v>
      </c>
      <c r="E146">
        <v>3.4700000000000002E-2</v>
      </c>
      <c r="F146">
        <v>845672869</v>
      </c>
      <c r="G146">
        <v>3.4700000000000002E-2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0.1095890410958907</v>
      </c>
      <c r="Q146">
        <f t="shared" ref="Q146" si="706">F146*P146</f>
        <v>92676478.794520795</v>
      </c>
      <c r="R146">
        <f t="shared" ref="R146" si="707">R147+Q146</f>
        <v>1601694257.1892288</v>
      </c>
      <c r="S146">
        <f t="shared" ref="S146" si="708">R146/100000</f>
        <v>16016.942571892288</v>
      </c>
      <c r="T146">
        <f t="shared" ref="T146" si="709">S146/1000</f>
        <v>16.01694257189229</v>
      </c>
    </row>
    <row r="147" spans="1:20" x14ac:dyDescent="0.25">
      <c r="A147" s="5">
        <v>44446</v>
      </c>
      <c r="B147">
        <v>4.3310000000000001E-2</v>
      </c>
      <c r="C147">
        <v>4.3470000000000002E-2</v>
      </c>
      <c r="D147">
        <v>2.862E-2</v>
      </c>
      <c r="E147">
        <v>3.4419999999999999E-2</v>
      </c>
      <c r="F147">
        <v>800358155</v>
      </c>
      <c r="G147">
        <v>3.4419999999999999E-2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-0.21885521885521902</v>
      </c>
      <c r="Q147">
        <f t="shared" ref="Q147" si="711">F147*P147</f>
        <v>-175162559.17508432</v>
      </c>
      <c r="R147">
        <f t="shared" ref="R147" si="712">R148+Q147</f>
        <v>1509017778.3947079</v>
      </c>
      <c r="S147">
        <f t="shared" ref="S147" si="713">R147/100000</f>
        <v>15090.17778394708</v>
      </c>
      <c r="T147">
        <f t="shared" ref="T147" si="714">S147/1000</f>
        <v>15.09017778394708</v>
      </c>
    </row>
    <row r="148" spans="1:20" x14ac:dyDescent="0.25">
      <c r="A148" s="5">
        <v>44445</v>
      </c>
      <c r="B148">
        <v>4.333E-2</v>
      </c>
      <c r="C148">
        <v>4.5850000000000002E-2</v>
      </c>
      <c r="D148">
        <v>4.0399999999999998E-2</v>
      </c>
      <c r="E148">
        <v>4.3310000000000001E-2</v>
      </c>
      <c r="F148">
        <v>580240220</v>
      </c>
      <c r="G148">
        <v>4.3310000000000001E-2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6.7889908256881112E-2</v>
      </c>
      <c r="Q148">
        <f t="shared" ref="Q148" si="716">F148*P148</f>
        <v>39392455.30275251</v>
      </c>
      <c r="R148">
        <f t="shared" ref="R148" si="717">R149+Q148</f>
        <v>1684180337.5697923</v>
      </c>
      <c r="S148">
        <f t="shared" ref="S148" si="718">R148/100000</f>
        <v>16841.803375697924</v>
      </c>
      <c r="T148">
        <f t="shared" ref="T148" si="719">S148/1000</f>
        <v>16.841803375697925</v>
      </c>
    </row>
    <row r="149" spans="1:20" x14ac:dyDescent="0.25">
      <c r="A149" s="5">
        <v>44444</v>
      </c>
      <c r="B149">
        <v>5.577E-2</v>
      </c>
      <c r="C149">
        <v>5.7369999999999997E-2</v>
      </c>
      <c r="D149">
        <v>4.224E-2</v>
      </c>
      <c r="E149">
        <v>4.3369999999999999E-2</v>
      </c>
      <c r="F149">
        <v>1357651923</v>
      </c>
      <c r="G149">
        <v>4.3369999999999999E-2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-0.85062789160608077</v>
      </c>
      <c r="Q149">
        <f t="shared" ref="Q149" si="721">F149*P149</f>
        <v>-1154856592.7964311</v>
      </c>
      <c r="R149">
        <f t="shared" ref="R149" si="722">R150+Q149</f>
        <v>1644787882.2670398</v>
      </c>
      <c r="S149">
        <f t="shared" ref="S149" si="723">R149/100000</f>
        <v>16447.878822670398</v>
      </c>
      <c r="T149">
        <f t="shared" ref="T149" si="724">S149/1000</f>
        <v>16.447878822670397</v>
      </c>
    </row>
    <row r="150" spans="1:20" x14ac:dyDescent="0.25">
      <c r="A150" s="5">
        <v>44443</v>
      </c>
      <c r="B150">
        <v>3.5929999999999997E-2</v>
      </c>
      <c r="C150">
        <v>5.7759999999999999E-2</v>
      </c>
      <c r="D150">
        <v>3.5569999999999997E-2</v>
      </c>
      <c r="E150">
        <v>5.5870000000000003E-2</v>
      </c>
      <c r="F150">
        <v>3322572217</v>
      </c>
      <c r="G150">
        <v>5.5870000000000003E-2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0.82965299684542626</v>
      </c>
      <c r="Q150">
        <f t="shared" ref="Q150" si="726">F150*P150</f>
        <v>2756581997.0694017</v>
      </c>
      <c r="R150">
        <f t="shared" ref="R150" si="727">R151+Q150</f>
        <v>2799644475.0634708</v>
      </c>
      <c r="S150">
        <f t="shared" ref="S150" si="728">R150/100000</f>
        <v>27996.44475063471</v>
      </c>
      <c r="T150">
        <f t="shared" ref="T150" si="729">S150/1000</f>
        <v>27.996444750634708</v>
      </c>
    </row>
    <row r="151" spans="1:20" x14ac:dyDescent="0.25">
      <c r="A151" s="5">
        <v>44442</v>
      </c>
      <c r="B151">
        <v>3.483E-2</v>
      </c>
      <c r="C151">
        <v>3.5999999999999997E-2</v>
      </c>
      <c r="D151">
        <v>3.422E-2</v>
      </c>
      <c r="E151">
        <v>3.5959999999999999E-2</v>
      </c>
      <c r="F151">
        <v>236666099</v>
      </c>
      <c r="G151">
        <v>3.5959999999999999E-2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0.95505617977528268</v>
      </c>
      <c r="Q151">
        <f t="shared" ref="Q151" si="731">F151*P151</f>
        <v>226029420.39325884</v>
      </c>
      <c r="R151">
        <f t="shared" ref="R151" si="732">R152+Q151</f>
        <v>43062477.994068891</v>
      </c>
      <c r="S151">
        <f t="shared" ref="S151" si="733">R151/100000</f>
        <v>430.62477994068888</v>
      </c>
      <c r="T151">
        <f t="shared" ref="T151" si="734">S151/1000</f>
        <v>0.43062477994068887</v>
      </c>
    </row>
    <row r="152" spans="1:20" x14ac:dyDescent="0.25">
      <c r="A152" s="5">
        <v>44441</v>
      </c>
      <c r="B152">
        <v>3.5349999999999999E-2</v>
      </c>
      <c r="C152">
        <v>3.5779999999999999E-2</v>
      </c>
      <c r="D152">
        <v>3.422E-2</v>
      </c>
      <c r="E152">
        <v>3.4840000000000003E-2</v>
      </c>
      <c r="F152">
        <v>242347850</v>
      </c>
      <c r="G152">
        <v>3.4840000000000003E-2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-0.20512820512820137</v>
      </c>
      <c r="Q152">
        <f t="shared" ref="Q152" si="736">F152*P152</f>
        <v>-49712379.487178579</v>
      </c>
      <c r="R152">
        <f t="shared" ref="R152" si="737">R153+Q152</f>
        <v>-182966942.39918995</v>
      </c>
      <c r="S152">
        <f t="shared" ref="S152" si="738">R152/100000</f>
        <v>-1829.6694239918995</v>
      </c>
      <c r="T152">
        <f t="shared" ref="T152" si="739">S152/1000</f>
        <v>-1.8296694239918996</v>
      </c>
    </row>
    <row r="153" spans="1:20" x14ac:dyDescent="0.25">
      <c r="A153" s="5">
        <v>44440</v>
      </c>
      <c r="B153">
        <v>3.2969999999999999E-2</v>
      </c>
      <c r="C153">
        <v>3.6659999999999998E-2</v>
      </c>
      <c r="D153">
        <v>3.2640000000000002E-2</v>
      </c>
      <c r="E153">
        <v>3.5380000000000002E-2</v>
      </c>
      <c r="F153">
        <v>879230642</v>
      </c>
      <c r="G153">
        <v>3.5380000000000002E-2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0.36318407960199117</v>
      </c>
      <c r="Q153">
        <f t="shared" ref="Q153" si="741">F153*P153</f>
        <v>319322571.47263783</v>
      </c>
      <c r="R153">
        <f t="shared" ref="R153" si="742">R154+Q153</f>
        <v>-133254562.91201138</v>
      </c>
      <c r="S153">
        <f t="shared" ref="S153" si="743">R153/100000</f>
        <v>-1332.5456291201137</v>
      </c>
      <c r="T153">
        <f t="shared" ref="T153" si="744">S153/1000</f>
        <v>-1.3325456291201137</v>
      </c>
    </row>
    <row r="154" spans="1:20" x14ac:dyDescent="0.25">
      <c r="A154" s="5">
        <v>44439</v>
      </c>
      <c r="B154">
        <v>3.1649999999999998E-2</v>
      </c>
      <c r="C154">
        <v>3.4459999999999998E-2</v>
      </c>
      <c r="D154">
        <v>3.082E-2</v>
      </c>
      <c r="E154">
        <v>3.2989999999999998E-2</v>
      </c>
      <c r="F154">
        <v>618465010</v>
      </c>
      <c r="G154">
        <v>3.2989999999999998E-2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0.19230769230769224</v>
      </c>
      <c r="Q154">
        <f t="shared" ref="Q154" si="746">F154*P154</f>
        <v>118935578.8461538</v>
      </c>
      <c r="R154">
        <f t="shared" ref="R154" si="747">R155+Q154</f>
        <v>-452577134.38464922</v>
      </c>
      <c r="S154">
        <f t="shared" ref="S154" si="748">R154/100000</f>
        <v>-4525.7713438464925</v>
      </c>
      <c r="T154">
        <f t="shared" ref="T154" si="749">S154/1000</f>
        <v>-4.5257713438464924</v>
      </c>
    </row>
    <row r="155" spans="1:20" x14ac:dyDescent="0.25">
      <c r="A155" s="5">
        <v>44438</v>
      </c>
      <c r="B155">
        <v>3.4049999999999997E-2</v>
      </c>
      <c r="C155">
        <v>3.4090000000000002E-2</v>
      </c>
      <c r="D155">
        <v>3.141E-2</v>
      </c>
      <c r="E155">
        <v>3.1690000000000003E-2</v>
      </c>
      <c r="F155">
        <v>433527593</v>
      </c>
      <c r="G155">
        <v>3.1690000000000003E-2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-0.79104477611940127</v>
      </c>
      <c r="Q155">
        <f t="shared" ref="Q155" si="751">F155*P155</f>
        <v>-342939737.74626791</v>
      </c>
      <c r="R155">
        <f t="shared" ref="R155" si="752">R156+Q155</f>
        <v>-571512713.23080301</v>
      </c>
      <c r="S155">
        <f t="shared" ref="S155" si="753">R155/100000</f>
        <v>-5715.12713230803</v>
      </c>
      <c r="T155">
        <f t="shared" ref="T155" si="754">S155/1000</f>
        <v>-5.7151271323080302</v>
      </c>
    </row>
    <row r="156" spans="1:20" x14ac:dyDescent="0.25">
      <c r="A156" s="5">
        <v>44437</v>
      </c>
      <c r="B156">
        <v>3.065E-2</v>
      </c>
      <c r="C156">
        <v>3.5189999999999999E-2</v>
      </c>
      <c r="D156">
        <v>2.9059999999999999E-2</v>
      </c>
      <c r="E156">
        <v>3.4049999999999997E-2</v>
      </c>
      <c r="F156">
        <v>687942712</v>
      </c>
      <c r="G156">
        <v>3.4049999999999997E-2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0.62805872756933045</v>
      </c>
      <c r="Q156">
        <f t="shared" ref="Q156" si="756">F156*P156</f>
        <v>432068424.33931434</v>
      </c>
      <c r="R156">
        <f t="shared" ref="R156" si="757">R157+Q156</f>
        <v>-228572975.4845351</v>
      </c>
      <c r="S156">
        <f t="shared" ref="S156" si="758">R156/100000</f>
        <v>-2285.7297548453512</v>
      </c>
      <c r="T156">
        <f t="shared" ref="T156" si="759">S156/1000</f>
        <v>-2.285729754845351</v>
      </c>
    </row>
    <row r="157" spans="1:20" x14ac:dyDescent="0.25">
      <c r="A157" s="5">
        <v>44436</v>
      </c>
      <c r="B157">
        <v>3.039E-2</v>
      </c>
      <c r="C157">
        <v>3.074E-2</v>
      </c>
      <c r="D157">
        <v>2.9319999999999999E-2</v>
      </c>
      <c r="E157">
        <v>3.0669999999999999E-2</v>
      </c>
      <c r="F157">
        <v>155637173</v>
      </c>
      <c r="G157">
        <v>3.0669999999999999E-2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0.9014084507042246</v>
      </c>
      <c r="Q157">
        <f t="shared" ref="Q157" si="761">F157*P157</f>
        <v>140292662.98591536</v>
      </c>
      <c r="R157">
        <f t="shared" ref="R157" si="762">R158+Q157</f>
        <v>-660641399.82384944</v>
      </c>
      <c r="S157">
        <f t="shared" ref="S157" si="763">R157/100000</f>
        <v>-6606.4139982384941</v>
      </c>
      <c r="T157">
        <f t="shared" ref="T157" si="764">S157/1000</f>
        <v>-6.6064139982384944</v>
      </c>
    </row>
    <row r="158" spans="1:20" x14ac:dyDescent="0.25">
      <c r="A158" s="5">
        <v>44435</v>
      </c>
      <c r="B158">
        <v>2.9090000000000001E-2</v>
      </c>
      <c r="C158">
        <v>3.0450000000000001E-2</v>
      </c>
      <c r="D158">
        <v>2.7130000000000001E-2</v>
      </c>
      <c r="E158">
        <v>3.0419999999999999E-2</v>
      </c>
      <c r="F158">
        <v>197475710</v>
      </c>
      <c r="G158">
        <v>3.0419999999999999E-2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0.98192771084337216</v>
      </c>
      <c r="Q158">
        <f t="shared" ref="Q158" si="766">F158*P158</f>
        <v>193906871.86746961</v>
      </c>
      <c r="R158">
        <f t="shared" ref="R158" si="767">R159+Q158</f>
        <v>-800934062.80976486</v>
      </c>
      <c r="S158">
        <f t="shared" ref="S158" si="768">R158/100000</f>
        <v>-8009.3406280976487</v>
      </c>
      <c r="T158">
        <f t="shared" ref="T158" si="769">S158/1000</f>
        <v>-8.0093406280976485</v>
      </c>
    </row>
    <row r="159" spans="1:20" x14ac:dyDescent="0.25">
      <c r="A159" s="5">
        <v>44434</v>
      </c>
      <c r="B159">
        <v>3.2010999999999998E-2</v>
      </c>
      <c r="C159">
        <v>3.2189000000000002E-2</v>
      </c>
      <c r="D159">
        <v>2.8309999999999998E-2</v>
      </c>
      <c r="E159">
        <v>2.9080000000000002E-2</v>
      </c>
      <c r="F159">
        <v>260007896</v>
      </c>
      <c r="G159">
        <v>2.9080000000000002E-2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-0.60299046145913759</v>
      </c>
      <c r="Q159">
        <f t="shared" ref="Q159" si="771">F159*P159</f>
        <v>-156782281.19205946</v>
      </c>
      <c r="R159">
        <f t="shared" ref="R159" si="772">R160+Q159</f>
        <v>-994840934.67723441</v>
      </c>
      <c r="S159">
        <f t="shared" ref="S159" si="773">R159/100000</f>
        <v>-9948.4093467723433</v>
      </c>
      <c r="T159">
        <f t="shared" ref="T159" si="774">S159/1000</f>
        <v>-9.948409346772344</v>
      </c>
    </row>
    <row r="160" spans="1:20" x14ac:dyDescent="0.25">
      <c r="A160" s="5">
        <v>44433</v>
      </c>
      <c r="B160">
        <v>3.0752999999999999E-2</v>
      </c>
      <c r="C160">
        <v>3.2081999999999999E-2</v>
      </c>
      <c r="D160">
        <v>2.9002E-2</v>
      </c>
      <c r="E160">
        <v>3.2010999999999998E-2</v>
      </c>
      <c r="F160">
        <v>267514067</v>
      </c>
      <c r="G160">
        <v>3.2010999999999998E-2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0.9538961038961028</v>
      </c>
      <c r="Q160">
        <f t="shared" ref="Q160" si="776">F160*P160</f>
        <v>255180626.24870101</v>
      </c>
      <c r="R160">
        <f t="shared" ref="R160" si="777">R161+Q160</f>
        <v>-838058653.48517501</v>
      </c>
      <c r="S160">
        <f t="shared" ref="S160" si="778">R160/100000</f>
        <v>-8380.5865348517509</v>
      </c>
      <c r="T160">
        <f t="shared" ref="T160" si="779">S160/1000</f>
        <v>-8.3805865348517514</v>
      </c>
    </row>
    <row r="161" spans="1:20" x14ac:dyDescent="0.25">
      <c r="A161" s="5">
        <v>44432</v>
      </c>
      <c r="B161">
        <v>3.3612999999999997E-2</v>
      </c>
      <c r="C161">
        <v>3.4896999999999997E-2</v>
      </c>
      <c r="D161">
        <v>2.9855E-2</v>
      </c>
      <c r="E161">
        <v>3.0731000000000001E-2</v>
      </c>
      <c r="F161">
        <v>378286076</v>
      </c>
      <c r="G161">
        <v>3.0731000000000001E-2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-0.65251884172947161</v>
      </c>
      <c r="Q161">
        <f t="shared" ref="Q161" si="781">F161*P161</f>
        <v>-246838792.15390688</v>
      </c>
      <c r="R161">
        <f t="shared" ref="R161" si="782">R162+Q161</f>
        <v>-1093239279.733876</v>
      </c>
      <c r="S161">
        <f t="shared" ref="S161" si="783">R161/100000</f>
        <v>-10932.39279733876</v>
      </c>
      <c r="T161">
        <f t="shared" ref="T161" si="784">S161/1000</f>
        <v>-10.93239279733876</v>
      </c>
    </row>
    <row r="162" spans="1:20" x14ac:dyDescent="0.25">
      <c r="A162" s="5">
        <v>44431</v>
      </c>
      <c r="B162">
        <v>3.1935999999999999E-2</v>
      </c>
      <c r="C162">
        <v>3.5999999999999997E-2</v>
      </c>
      <c r="D162">
        <v>3.1287000000000002E-2</v>
      </c>
      <c r="E162">
        <v>3.3570999999999997E-2</v>
      </c>
      <c r="F162">
        <v>700423164</v>
      </c>
      <c r="G162">
        <v>3.3570999999999997E-2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-3.0765966475706851E-2</v>
      </c>
      <c r="Q162">
        <f t="shared" ref="Q162" si="786">F162*P162</f>
        <v>-21549195.582432523</v>
      </c>
      <c r="R162">
        <f t="shared" ref="R162" si="787">R163+Q162</f>
        <v>-846400487.57996917</v>
      </c>
      <c r="S162">
        <f t="shared" ref="S162" si="788">R162/100000</f>
        <v>-8464.0048757996919</v>
      </c>
      <c r="T162">
        <f t="shared" ref="T162" si="789">S162/1000</f>
        <v>-8.4640048757996915</v>
      </c>
    </row>
    <row r="163" spans="1:20" x14ac:dyDescent="0.25">
      <c r="A163" s="5">
        <v>44430</v>
      </c>
      <c r="B163">
        <v>2.9939E-2</v>
      </c>
      <c r="C163">
        <v>3.0779999999999998E-2</v>
      </c>
      <c r="D163">
        <v>2.9588E-2</v>
      </c>
      <c r="E163">
        <v>3.0615E-2</v>
      </c>
      <c r="F163">
        <v>93094766</v>
      </c>
      <c r="G163">
        <v>3.0615E-2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0.72315436241610964</v>
      </c>
      <c r="Q163">
        <f t="shared" ref="Q163" si="791">F163*P163</f>
        <v>67321886.151006922</v>
      </c>
      <c r="R163">
        <f t="shared" ref="R163" si="792">R164+Q163</f>
        <v>-824851291.99753666</v>
      </c>
      <c r="S163">
        <f t="shared" ref="S163" si="793">R163/100000</f>
        <v>-8248.5129199753665</v>
      </c>
      <c r="T163">
        <f t="shared" ref="T163" si="794">S163/1000</f>
        <v>-8.2485129199753668</v>
      </c>
    </row>
    <row r="164" spans="1:20" x14ac:dyDescent="0.25">
      <c r="A164" s="5">
        <v>44429</v>
      </c>
      <c r="B164">
        <v>3.0401999999999998E-2</v>
      </c>
      <c r="C164">
        <v>3.1600000000000003E-2</v>
      </c>
      <c r="D164">
        <v>2.9430999999999999E-2</v>
      </c>
      <c r="E164">
        <v>2.9939E-2</v>
      </c>
      <c r="F164">
        <v>470192497</v>
      </c>
      <c r="G164">
        <v>2.9939E-2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-0.53158137390502491</v>
      </c>
      <c r="Q164">
        <f t="shared" ref="Q164" si="796">F164*P164</f>
        <v>-249945573.5550943</v>
      </c>
      <c r="R164">
        <f t="shared" ref="R164" si="797">R165+Q164</f>
        <v>-892173178.1485436</v>
      </c>
      <c r="S164">
        <f t="shared" ref="S164" si="798">R164/100000</f>
        <v>-8921.7317814854359</v>
      </c>
      <c r="T164">
        <f t="shared" ref="T164" si="799">S164/1000</f>
        <v>-8.9217317814854358</v>
      </c>
    </row>
    <row r="165" spans="1:20" x14ac:dyDescent="0.25">
      <c r="A165" s="5">
        <v>44428</v>
      </c>
      <c r="B165">
        <v>2.9283E-2</v>
      </c>
      <c r="C165">
        <v>3.0438E-2</v>
      </c>
      <c r="D165">
        <v>2.8500000000000001E-2</v>
      </c>
      <c r="E165">
        <v>3.0322999999999999E-2</v>
      </c>
      <c r="F165">
        <v>284416903</v>
      </c>
      <c r="G165">
        <v>3.0322999999999999E-2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0.88132094943240391</v>
      </c>
      <c r="Q165">
        <f t="shared" ref="Q165" si="801">F165*P165</f>
        <v>250662574.98658392</v>
      </c>
      <c r="R165">
        <f t="shared" ref="R165" si="802">R166+Q165</f>
        <v>-642227604.59344935</v>
      </c>
      <c r="S165">
        <f t="shared" ref="S165" si="803">R165/100000</f>
        <v>-6422.2760459344936</v>
      </c>
      <c r="T165">
        <f t="shared" ref="T165" si="804">S165/1000</f>
        <v>-6.4222760459344936</v>
      </c>
    </row>
    <row r="166" spans="1:20" x14ac:dyDescent="0.25">
      <c r="A166" s="5">
        <v>44427</v>
      </c>
      <c r="B166">
        <v>2.7888E-2</v>
      </c>
      <c r="C166">
        <v>2.9318E-2</v>
      </c>
      <c r="D166">
        <v>2.6616999999999998E-2</v>
      </c>
      <c r="E166">
        <v>2.9253999999999999E-2</v>
      </c>
      <c r="F166">
        <v>255628823</v>
      </c>
      <c r="G166">
        <v>2.9253999999999999E-2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0.95261014439096514</v>
      </c>
      <c r="Q166">
        <f t="shared" ref="Q166" si="806">F166*P166</f>
        <v>243514609.98852247</v>
      </c>
      <c r="R166">
        <f t="shared" ref="R166" si="807">R167+Q166</f>
        <v>-892890179.5800333</v>
      </c>
      <c r="S166">
        <f t="shared" ref="S166" si="808">R166/100000</f>
        <v>-8928.9017958003333</v>
      </c>
      <c r="T166">
        <f t="shared" ref="T166" si="809">S166/1000</f>
        <v>-8.9289017958003338</v>
      </c>
    </row>
    <row r="167" spans="1:20" x14ac:dyDescent="0.25">
      <c r="A167" s="5">
        <v>44426</v>
      </c>
      <c r="B167">
        <v>2.8545000000000001E-2</v>
      </c>
      <c r="C167">
        <v>0.03</v>
      </c>
      <c r="D167">
        <v>2.6120000000000001E-2</v>
      </c>
      <c r="E167">
        <v>2.7845999999999999E-2</v>
      </c>
      <c r="F167">
        <v>503118346</v>
      </c>
      <c r="G167">
        <v>2.7845999999999999E-2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-0.11030927835051585</v>
      </c>
      <c r="Q167">
        <f t="shared" ref="Q167" si="811">F167*P167</f>
        <v>-55498621.672165141</v>
      </c>
      <c r="R167">
        <f t="shared" ref="R167" si="812">R168+Q167</f>
        <v>-1136404789.5685558</v>
      </c>
      <c r="S167">
        <f t="shared" ref="S167" si="813">R167/100000</f>
        <v>-11364.047895685559</v>
      </c>
      <c r="T167">
        <f t="shared" ref="T167" si="814">S167/1000</f>
        <v>-11.364047895685559</v>
      </c>
    </row>
    <row r="168" spans="1:20" x14ac:dyDescent="0.25">
      <c r="A168" s="5">
        <v>44425</v>
      </c>
      <c r="B168">
        <v>3.0928000000000001E-2</v>
      </c>
      <c r="C168">
        <v>3.3390999999999997E-2</v>
      </c>
      <c r="D168">
        <v>2.8153000000000001E-2</v>
      </c>
      <c r="E168">
        <v>2.8545000000000001E-2</v>
      </c>
      <c r="F168">
        <v>818039856</v>
      </c>
      <c r="G168">
        <v>2.8545000000000001E-2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-0.85032455135547913</v>
      </c>
      <c r="Q168">
        <f t="shared" ref="Q168" si="816">F168*P168</f>
        <v>-695599373.54410076</v>
      </c>
      <c r="R168">
        <f t="shared" ref="R168" si="817">R169+Q168</f>
        <v>-1080906167.8963907</v>
      </c>
      <c r="S168">
        <f t="shared" ref="S168" si="818">R168/100000</f>
        <v>-10809.061678963906</v>
      </c>
      <c r="T168">
        <f t="shared" ref="T168" si="819">S168/1000</f>
        <v>-10.809061678963905</v>
      </c>
    </row>
    <row r="169" spans="1:20" x14ac:dyDescent="0.25">
      <c r="A169" s="5">
        <v>44424</v>
      </c>
      <c r="B169">
        <v>2.9914E-2</v>
      </c>
      <c r="C169">
        <v>3.2750000000000001E-2</v>
      </c>
      <c r="D169">
        <v>2.9561E-2</v>
      </c>
      <c r="E169">
        <v>3.0945E-2</v>
      </c>
      <c r="F169">
        <v>811517507</v>
      </c>
      <c r="G169">
        <v>3.0945E-2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-0.13201630605205428</v>
      </c>
      <c r="Q169">
        <f t="shared" ref="Q169" si="821">F169*P169</f>
        <v>-107133543.5707121</v>
      </c>
      <c r="R169">
        <f t="shared" ref="R169" si="822">R170+Q169</f>
        <v>-385306794.35228997</v>
      </c>
      <c r="S169">
        <f t="shared" ref="S169" si="823">R169/100000</f>
        <v>-3853.0679435228999</v>
      </c>
      <c r="T169">
        <f t="shared" ref="T169" si="824">S169/1000</f>
        <v>-3.8530679435229001</v>
      </c>
    </row>
    <row r="170" spans="1:20" x14ac:dyDescent="0.25">
      <c r="A170" s="5">
        <v>44423</v>
      </c>
      <c r="B170">
        <v>3.0158999999999998E-2</v>
      </c>
      <c r="C170">
        <v>3.0209E-2</v>
      </c>
      <c r="D170">
        <v>2.8201E-2</v>
      </c>
      <c r="E170">
        <v>2.9947000000000001E-2</v>
      </c>
      <c r="F170">
        <v>233939279</v>
      </c>
      <c r="G170">
        <v>2.9947000000000001E-2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0.73904382470119678</v>
      </c>
      <c r="Q170">
        <f t="shared" ref="Q170" si="826">F170*P170</f>
        <v>172891379.50000036</v>
      </c>
      <c r="R170">
        <f t="shared" ref="R170" si="827">R171+Q170</f>
        <v>-278173250.78157789</v>
      </c>
      <c r="S170">
        <f t="shared" ref="S170" si="828">R170/100000</f>
        <v>-2781.7325078157787</v>
      </c>
      <c r="T170">
        <f t="shared" ref="T170" si="829">S170/1000</f>
        <v>-2.7817325078157786</v>
      </c>
    </row>
    <row r="171" spans="1:20" x14ac:dyDescent="0.25">
      <c r="A171" s="5">
        <v>44422</v>
      </c>
      <c r="B171">
        <v>3.0544999999999999E-2</v>
      </c>
      <c r="C171">
        <v>3.1490999999999998E-2</v>
      </c>
      <c r="D171">
        <v>2.8835E-2</v>
      </c>
      <c r="E171">
        <v>3.0158999999999998E-2</v>
      </c>
      <c r="F171">
        <v>293452230</v>
      </c>
      <c r="G171">
        <v>3.0158999999999998E-2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-3.0120481927714856E-3</v>
      </c>
      <c r="Q171">
        <f t="shared" ref="Q171" si="831">F171*P171</f>
        <v>-883892.25903626229</v>
      </c>
      <c r="R171">
        <f t="shared" ref="R171" si="832">R172+Q171</f>
        <v>-451064630.28157824</v>
      </c>
      <c r="S171">
        <f t="shared" ref="S171" si="833">R171/100000</f>
        <v>-4510.6463028157823</v>
      </c>
      <c r="T171">
        <f t="shared" ref="T171" si="834">S171/1000</f>
        <v>-4.5106463028157826</v>
      </c>
    </row>
    <row r="172" spans="1:20" x14ac:dyDescent="0.25">
      <c r="A172" s="5">
        <v>44421</v>
      </c>
      <c r="B172">
        <v>2.8281000000000001E-2</v>
      </c>
      <c r="C172">
        <v>3.1134999999999999E-2</v>
      </c>
      <c r="D172">
        <v>2.7737999999999999E-2</v>
      </c>
      <c r="E172">
        <v>3.0542E-2</v>
      </c>
      <c r="F172">
        <v>594728789</v>
      </c>
      <c r="G172">
        <v>3.0542E-2</v>
      </c>
      <c r="L172" t="s">
        <v>7</v>
      </c>
      <c r="M172" t="s">
        <v>7</v>
      </c>
      <c r="N172" t="s">
        <v>8</v>
      </c>
      <c r="P172">
        <f t="shared" ref="P172" si="835">IF(C172=D172,0,((E172-D172)-(C172-E172))/(C172-D172))</f>
        <v>0.65086841330585832</v>
      </c>
      <c r="Q172">
        <f t="shared" ref="Q172" si="836">F172*P172</f>
        <v>387090183.24374461</v>
      </c>
      <c r="R172">
        <f t="shared" ref="R172" si="837">R173+Q172</f>
        <v>-450180738.022542</v>
      </c>
      <c r="S172">
        <f t="shared" ref="S172" si="838">R172/100000</f>
        <v>-4501.8073802254203</v>
      </c>
      <c r="T172">
        <f t="shared" ref="T172" si="839">S172/1000</f>
        <v>-4.5018073802254204</v>
      </c>
    </row>
    <row r="173" spans="1:20" x14ac:dyDescent="0.25">
      <c r="A173" s="5">
        <v>44420</v>
      </c>
      <c r="B173">
        <v>3.0079999999999999E-2</v>
      </c>
      <c r="C173">
        <v>3.3000000000000002E-2</v>
      </c>
      <c r="D173">
        <v>2.7220999999999999E-2</v>
      </c>
      <c r="E173">
        <v>2.8273E-2</v>
      </c>
      <c r="F173">
        <v>636877279</v>
      </c>
      <c r="G173">
        <v>2.8273E-2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-0.63592317009863286</v>
      </c>
      <c r="Q173">
        <f t="shared" ref="Q173" si="841">F173*P173</f>
        <v>-405005018.22547144</v>
      </c>
      <c r="R173">
        <f t="shared" ref="R173" si="842">R174+Q173</f>
        <v>-837270921.26628661</v>
      </c>
      <c r="S173">
        <f t="shared" ref="S173" si="843">R173/100000</f>
        <v>-8372.7092126628668</v>
      </c>
      <c r="T173">
        <f t="shared" ref="T173" si="844">S173/1000</f>
        <v>-8.3727092126628673</v>
      </c>
    </row>
    <row r="174" spans="1:20" x14ac:dyDescent="0.25">
      <c r="A174" s="5">
        <v>44419</v>
      </c>
      <c r="B174">
        <v>2.691E-2</v>
      </c>
      <c r="C174">
        <v>3.1E-2</v>
      </c>
      <c r="D174">
        <v>2.6471000000000001E-2</v>
      </c>
      <c r="E174">
        <v>3.0071000000000001E-2</v>
      </c>
      <c r="F174">
        <v>999534652</v>
      </c>
      <c r="G174">
        <v>3.0071000000000001E-2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0.58975491278427927</v>
      </c>
      <c r="Q174">
        <f t="shared" ref="Q174" si="846">F174*P174</f>
        <v>589480471.51512492</v>
      </c>
      <c r="R174">
        <f t="shared" ref="R174" si="847">R175+Q174</f>
        <v>-432265903.04081523</v>
      </c>
      <c r="S174">
        <f t="shared" ref="S174" si="848">R174/100000</f>
        <v>-4322.6590304081519</v>
      </c>
      <c r="T174">
        <f t="shared" ref="T174" si="849">S174/1000</f>
        <v>-4.3226590304081522</v>
      </c>
    </row>
    <row r="175" spans="1:20" x14ac:dyDescent="0.25">
      <c r="A175" s="5">
        <v>44418</v>
      </c>
      <c r="B175">
        <v>2.6068000000000001E-2</v>
      </c>
      <c r="C175">
        <v>2.8088999999999999E-2</v>
      </c>
      <c r="D175">
        <v>2.5852E-2</v>
      </c>
      <c r="E175">
        <v>2.6911000000000001E-2</v>
      </c>
      <c r="F175">
        <v>422905199</v>
      </c>
      <c r="G175">
        <v>2.6911000000000001E-2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-5.3196244970942157E-2</v>
      </c>
      <c r="Q175">
        <f t="shared" ref="Q175" si="851">F175*P175</f>
        <v>-22496968.565489043</v>
      </c>
      <c r="R175">
        <f t="shared" ref="R175" si="852">R176+Q175</f>
        <v>-1021746374.5559402</v>
      </c>
      <c r="S175">
        <f t="shared" ref="S175" si="853">R175/100000</f>
        <v>-10217.463745559402</v>
      </c>
      <c r="T175">
        <f t="shared" ref="T175" si="854">S175/1000</f>
        <v>-10.217463745559401</v>
      </c>
    </row>
    <row r="176" spans="1:20" x14ac:dyDescent="0.25">
      <c r="A176" s="5">
        <v>44417</v>
      </c>
      <c r="B176">
        <v>2.546E-2</v>
      </c>
      <c r="C176">
        <v>2.6938E-2</v>
      </c>
      <c r="D176">
        <v>2.3864E-2</v>
      </c>
      <c r="E176">
        <v>2.6075999999999998E-2</v>
      </c>
      <c r="F176">
        <v>295487916</v>
      </c>
      <c r="G176">
        <v>2.6075999999999998E-2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0.43916720884840499</v>
      </c>
      <c r="Q176">
        <f t="shared" ref="Q176" si="856">F176*P176</f>
        <v>129768603.31815195</v>
      </c>
      <c r="R176">
        <f t="shared" ref="R176" si="857">R177+Q176</f>
        <v>-999249405.9904511</v>
      </c>
      <c r="S176">
        <f t="shared" ref="S176" si="858">R176/100000</f>
        <v>-9992.4940599045112</v>
      </c>
      <c r="T176">
        <f t="shared" ref="T176" si="859">S176/1000</f>
        <v>-9.9924940599045105</v>
      </c>
    </row>
    <row r="177" spans="1:20" x14ac:dyDescent="0.25">
      <c r="A177" s="5">
        <v>44416</v>
      </c>
      <c r="B177">
        <v>2.571E-2</v>
      </c>
      <c r="C177">
        <v>2.8746000000000001E-2</v>
      </c>
      <c r="D177">
        <v>2.4393999999999999E-2</v>
      </c>
      <c r="E177">
        <v>2.5505E-2</v>
      </c>
      <c r="F177">
        <v>551292114</v>
      </c>
      <c r="G177">
        <v>2.5505E-2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-0.48943014705882332</v>
      </c>
      <c r="Q177">
        <f t="shared" ref="Q177" si="861">F177*P177</f>
        <v>-269818980.42738956</v>
      </c>
      <c r="R177">
        <f t="shared" ref="R177" si="862">R178+Q177</f>
        <v>-1129018009.308603</v>
      </c>
      <c r="S177">
        <f t="shared" ref="S177" si="863">R177/100000</f>
        <v>-11290.18009308603</v>
      </c>
      <c r="T177">
        <f t="shared" ref="T177" si="864">S177/1000</f>
        <v>-11.290180093086031</v>
      </c>
    </row>
    <row r="178" spans="1:20" x14ac:dyDescent="0.25">
      <c r="A178" s="5">
        <v>44415</v>
      </c>
      <c r="B178">
        <v>2.5194999999999999E-2</v>
      </c>
      <c r="C178">
        <v>2.6110000000000001E-2</v>
      </c>
      <c r="D178">
        <v>2.4330000000000001E-2</v>
      </c>
      <c r="E178">
        <v>2.571E-2</v>
      </c>
      <c r="F178">
        <v>254066750</v>
      </c>
      <c r="G178">
        <v>2.571E-2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0.55056179775280789</v>
      </c>
      <c r="Q178">
        <f t="shared" ref="Q178" si="866">F178*P178</f>
        <v>139879446.62921321</v>
      </c>
      <c r="R178">
        <f t="shared" ref="R178" si="867">R179+Q178</f>
        <v>-859199028.88121343</v>
      </c>
      <c r="S178">
        <f t="shared" ref="S178" si="868">R178/100000</f>
        <v>-8591.9902888121342</v>
      </c>
      <c r="T178">
        <f t="shared" ref="T178" si="869">S178/1000</f>
        <v>-8.5919902888121342</v>
      </c>
    </row>
    <row r="179" spans="1:20" x14ac:dyDescent="0.25">
      <c r="A179" s="5">
        <v>44414</v>
      </c>
      <c r="B179">
        <v>2.4596E-2</v>
      </c>
      <c r="C179">
        <v>2.6105E-2</v>
      </c>
      <c r="D179">
        <v>2.3785000000000001E-2</v>
      </c>
      <c r="E179">
        <v>2.5152999999999998E-2</v>
      </c>
      <c r="F179">
        <v>332156867</v>
      </c>
      <c r="G179">
        <v>2.5152999999999998E-2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0.17931034482758465</v>
      </c>
      <c r="Q179">
        <f t="shared" ref="Q179" si="871">F179*P179</f>
        <v>59559162.358620174</v>
      </c>
      <c r="R179">
        <f t="shared" ref="R179" si="872">R180+Q179</f>
        <v>-999078475.51042664</v>
      </c>
      <c r="S179">
        <f t="shared" ref="S179" si="873">R179/100000</f>
        <v>-9990.7847551042669</v>
      </c>
      <c r="T179">
        <f t="shared" ref="T179" si="874">S179/1000</f>
        <v>-9.9907847551042668</v>
      </c>
    </row>
    <row r="180" spans="1:20" x14ac:dyDescent="0.25">
      <c r="A180" s="5">
        <v>44413</v>
      </c>
      <c r="B180">
        <v>2.3414000000000001E-2</v>
      </c>
      <c r="C180">
        <v>2.5432E-2</v>
      </c>
      <c r="D180">
        <v>2.2719E-2</v>
      </c>
      <c r="E180">
        <v>2.4597000000000001E-2</v>
      </c>
      <c r="F180">
        <v>593734851</v>
      </c>
      <c r="G180">
        <v>2.4597000000000001E-2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0.38444526354589098</v>
      </c>
      <c r="Q180">
        <f t="shared" ref="Q180" si="876">F180*P180</f>
        <v>228258551.2690753</v>
      </c>
      <c r="R180">
        <f t="shared" ref="R180" si="877">R181+Q180</f>
        <v>-1058637637.8690468</v>
      </c>
      <c r="S180">
        <f t="shared" ref="S180" si="878">R180/100000</f>
        <v>-10586.376378690467</v>
      </c>
      <c r="T180">
        <f t="shared" ref="T180" si="879">S180/1000</f>
        <v>-10.586376378690467</v>
      </c>
    </row>
    <row r="181" spans="1:20" x14ac:dyDescent="0.25">
      <c r="A181" s="5">
        <v>44412</v>
      </c>
      <c r="B181">
        <v>2.1277000000000001E-2</v>
      </c>
      <c r="C181">
        <v>2.35E-2</v>
      </c>
      <c r="D181">
        <v>2.0674000000000001E-2</v>
      </c>
      <c r="E181">
        <v>2.3421000000000001E-2</v>
      </c>
      <c r="F181">
        <v>256789853</v>
      </c>
      <c r="G181">
        <v>2.3421000000000001E-2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0.94409058740268981</v>
      </c>
      <c r="Q181">
        <f t="shared" ref="Q181" si="881">F181*P181</f>
        <v>242432883.15782037</v>
      </c>
      <c r="R181">
        <f t="shared" ref="R181" si="882">R182+Q181</f>
        <v>-1286896189.1381221</v>
      </c>
      <c r="S181">
        <f t="shared" ref="S181" si="883">R181/100000</f>
        <v>-12868.961891381221</v>
      </c>
      <c r="T181">
        <f t="shared" ref="T181" si="884">S181/1000</f>
        <v>-12.868961891381222</v>
      </c>
    </row>
    <row r="182" spans="1:20" x14ac:dyDescent="0.25">
      <c r="A182" s="5">
        <v>44411</v>
      </c>
      <c r="B182">
        <v>2.2120999999999998E-2</v>
      </c>
      <c r="C182">
        <v>2.2211000000000002E-2</v>
      </c>
      <c r="D182">
        <v>2.0631E-2</v>
      </c>
      <c r="E182">
        <v>2.1284000000000001E-2</v>
      </c>
      <c r="F182">
        <v>147740090</v>
      </c>
      <c r="G182">
        <v>2.1284000000000001E-2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-0.17341772151898713</v>
      </c>
      <c r="Q182">
        <f t="shared" ref="Q182" si="886">F182*P182</f>
        <v>-25620749.784810096</v>
      </c>
      <c r="R182">
        <f t="shared" ref="R182" si="887">R183+Q182</f>
        <v>-1529329072.2959425</v>
      </c>
      <c r="S182">
        <f t="shared" ref="S182" si="888">R182/100000</f>
        <v>-15293.290722959426</v>
      </c>
      <c r="T182">
        <f t="shared" ref="T182" si="889">S182/1000</f>
        <v>-15.293290722959426</v>
      </c>
    </row>
    <row r="183" spans="1:20" x14ac:dyDescent="0.25">
      <c r="A183" s="5">
        <v>44410</v>
      </c>
      <c r="B183">
        <v>2.2169999999999999E-2</v>
      </c>
      <c r="C183">
        <v>2.4396000000000001E-2</v>
      </c>
      <c r="D183">
        <v>2.1302000000000001E-2</v>
      </c>
      <c r="E183">
        <v>2.2134999999999998E-2</v>
      </c>
      <c r="F183">
        <v>438037932</v>
      </c>
      <c r="G183">
        <v>2.2134999999999998E-2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-0.46153846153846345</v>
      </c>
      <c r="Q183">
        <f t="shared" ref="Q183" si="891">F183*P183</f>
        <v>-202171353.23077008</v>
      </c>
      <c r="R183">
        <f t="shared" ref="R183" si="892">R184+Q183</f>
        <v>-1503708322.5111325</v>
      </c>
      <c r="S183">
        <f t="shared" ref="S183" si="893">R183/100000</f>
        <v>-15037.083225111324</v>
      </c>
      <c r="T183">
        <f t="shared" ref="T183" si="894">S183/1000</f>
        <v>-15.037083225111324</v>
      </c>
    </row>
    <row r="184" spans="1:20" x14ac:dyDescent="0.25">
      <c r="A184" s="5">
        <v>44409</v>
      </c>
      <c r="B184">
        <v>2.3902E-2</v>
      </c>
      <c r="C184">
        <v>2.4799999999999999E-2</v>
      </c>
      <c r="D184">
        <v>2.1759000000000001E-2</v>
      </c>
      <c r="E184">
        <v>2.2166999999999999E-2</v>
      </c>
      <c r="F184">
        <v>363951094</v>
      </c>
      <c r="G184">
        <v>2.2166999999999999E-2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-0.73166721473199681</v>
      </c>
      <c r="Q184">
        <f t="shared" ref="Q184" si="896">F184*P184</f>
        <v>-266291083.24564317</v>
      </c>
      <c r="R184">
        <f t="shared" ref="R184" si="897">R185+Q184</f>
        <v>-1301536969.2803624</v>
      </c>
      <c r="S184">
        <f t="shared" ref="S184" si="898">R184/100000</f>
        <v>-13015.369692803624</v>
      </c>
      <c r="T184">
        <f t="shared" ref="T184" si="899">S184/1000</f>
        <v>-13.015369692803624</v>
      </c>
    </row>
    <row r="185" spans="1:20" x14ac:dyDescent="0.25">
      <c r="A185" s="5">
        <v>44408</v>
      </c>
      <c r="B185">
        <v>2.3116999999999999E-2</v>
      </c>
      <c r="C185">
        <v>2.4129000000000001E-2</v>
      </c>
      <c r="D185">
        <v>2.1947000000000001E-2</v>
      </c>
      <c r="E185">
        <v>2.3883000000000001E-2</v>
      </c>
      <c r="F185">
        <v>295913702</v>
      </c>
      <c r="G185">
        <v>2.3883000000000001E-2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0.77451879010082525</v>
      </c>
      <c r="Q185">
        <f t="shared" ref="Q185" si="901">F185*P185</f>
        <v>229190722.44729614</v>
      </c>
      <c r="R185">
        <f t="shared" ref="R185" si="902">R186+Q185</f>
        <v>-1035245886.0347192</v>
      </c>
      <c r="S185">
        <f t="shared" ref="S185" si="903">R185/100000</f>
        <v>-10352.458860347193</v>
      </c>
      <c r="T185">
        <f t="shared" ref="T185" si="904">S185/1000</f>
        <v>-10.352458860347193</v>
      </c>
    </row>
    <row r="186" spans="1:20" x14ac:dyDescent="0.25">
      <c r="A186" s="5">
        <v>44407</v>
      </c>
      <c r="B186">
        <v>2.0916000000000001E-2</v>
      </c>
      <c r="C186">
        <v>2.4365999999999999E-2</v>
      </c>
      <c r="D186">
        <v>2.0389000000000001E-2</v>
      </c>
      <c r="E186">
        <v>2.3105000000000001E-2</v>
      </c>
      <c r="F186">
        <v>949480766</v>
      </c>
      <c r="G186">
        <v>2.3105000000000001E-2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0.36585365853658591</v>
      </c>
      <c r="Q186">
        <f t="shared" ref="Q186" si="906">F186*P186</f>
        <v>347371011.95122004</v>
      </c>
      <c r="R186">
        <f t="shared" ref="R186" si="907">R187+Q186</f>
        <v>-1264436608.4820154</v>
      </c>
      <c r="S186">
        <f t="shared" ref="S186" si="908">R186/100000</f>
        <v>-12644.366084820154</v>
      </c>
      <c r="T186">
        <f t="shared" ref="T186" si="909">S186/1000</f>
        <v>-12.644366084820154</v>
      </c>
    </row>
    <row r="187" spans="1:20" x14ac:dyDescent="0.25">
      <c r="A187" s="5">
        <v>44406</v>
      </c>
      <c r="B187">
        <v>1.9606999999999999E-2</v>
      </c>
      <c r="C187">
        <v>2.2554999999999999E-2</v>
      </c>
      <c r="D187">
        <v>1.9581999999999999E-2</v>
      </c>
      <c r="E187">
        <v>2.0931999999999999E-2</v>
      </c>
      <c r="F187">
        <v>768029032</v>
      </c>
      <c r="G187">
        <v>2.0931999999999999E-2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-9.182643794147291E-2</v>
      </c>
      <c r="Q187">
        <f t="shared" ref="Q187" si="911">F187*P187</f>
        <v>-70525370.244197518</v>
      </c>
      <c r="R187">
        <f t="shared" ref="R187" si="912">R188+Q187</f>
        <v>-1611807620.4332354</v>
      </c>
      <c r="S187">
        <f t="shared" ref="S187" si="913">R187/100000</f>
        <v>-16118.076204332354</v>
      </c>
      <c r="T187">
        <f t="shared" ref="T187" si="914">S187/1000</f>
        <v>-16.118076204332354</v>
      </c>
    </row>
    <row r="188" spans="1:20" x14ac:dyDescent="0.25">
      <c r="A188" s="5">
        <v>44405</v>
      </c>
      <c r="B188">
        <v>1.9193000000000002E-2</v>
      </c>
      <c r="C188">
        <v>2.1061E-2</v>
      </c>
      <c r="D188">
        <v>1.8159000000000002E-2</v>
      </c>
      <c r="E188">
        <v>1.9635E-2</v>
      </c>
      <c r="F188">
        <v>748625164</v>
      </c>
      <c r="G188">
        <v>1.9635E-2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1.7229496898689866E-2</v>
      </c>
      <c r="Q188">
        <f t="shared" ref="Q188" si="916">F188*P188</f>
        <v>12898434.941419192</v>
      </c>
      <c r="R188">
        <f t="shared" ref="R188" si="917">R189+Q188</f>
        <v>-1541282250.1890378</v>
      </c>
      <c r="S188">
        <f t="shared" ref="S188" si="918">R188/100000</f>
        <v>-15412.822501890378</v>
      </c>
      <c r="T188">
        <f t="shared" ref="T188" si="919">S188/1000</f>
        <v>-15.412822501890378</v>
      </c>
    </row>
    <row r="189" spans="1:20" x14ac:dyDescent="0.25">
      <c r="A189" s="5">
        <v>44404</v>
      </c>
      <c r="B189">
        <v>1.9047000000000001E-2</v>
      </c>
      <c r="C189">
        <v>1.9349999999999999E-2</v>
      </c>
      <c r="D189">
        <v>1.7219000000000002E-2</v>
      </c>
      <c r="E189">
        <v>1.9196000000000001E-2</v>
      </c>
      <c r="F189">
        <v>415982556</v>
      </c>
      <c r="G189">
        <v>1.9196000000000001E-2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0.85546691694040533</v>
      </c>
      <c r="Q189">
        <f t="shared" ref="Q189" si="921">F189*P189</f>
        <v>355859314.68230951</v>
      </c>
      <c r="R189">
        <f t="shared" ref="R189" si="922">R190+Q189</f>
        <v>-1554180685.1304569</v>
      </c>
      <c r="S189">
        <f t="shared" ref="S189" si="923">R189/100000</f>
        <v>-15541.806851304569</v>
      </c>
      <c r="T189">
        <f t="shared" ref="T189" si="924">S189/1000</f>
        <v>-15.541806851304569</v>
      </c>
    </row>
    <row r="190" spans="1:20" x14ac:dyDescent="0.25">
      <c r="A190" s="5">
        <v>44403</v>
      </c>
      <c r="B190">
        <v>1.6806000000000001E-2</v>
      </c>
      <c r="C190">
        <v>1.9505000000000002E-2</v>
      </c>
      <c r="D190">
        <v>1.6688000000000001E-2</v>
      </c>
      <c r="E190">
        <v>1.9042E-2</v>
      </c>
      <c r="F190">
        <v>395586535</v>
      </c>
      <c r="G190">
        <v>1.9042E-2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0.67128150514731866</v>
      </c>
      <c r="Q190">
        <f t="shared" ref="Q190" si="926">F190*P190</f>
        <v>265549924.63081247</v>
      </c>
      <c r="R190">
        <f t="shared" ref="R190" si="927">R191+Q190</f>
        <v>-1910039999.8127663</v>
      </c>
      <c r="S190">
        <f t="shared" ref="S190" si="928">R190/100000</f>
        <v>-19100.399998127665</v>
      </c>
      <c r="T190">
        <f t="shared" ref="T190" si="929">S190/1000</f>
        <v>-19.100399998127664</v>
      </c>
    </row>
    <row r="191" spans="1:20" x14ac:dyDescent="0.25">
      <c r="A191" s="5">
        <v>44402</v>
      </c>
      <c r="B191">
        <v>1.6799999999999999E-2</v>
      </c>
      <c r="C191">
        <v>1.6839E-2</v>
      </c>
      <c r="D191">
        <v>1.5958E-2</v>
      </c>
      <c r="E191">
        <v>1.6816000000000001E-2</v>
      </c>
      <c r="F191">
        <v>107285279</v>
      </c>
      <c r="G191">
        <v>1.6816000000000001E-2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0.94778660612940135</v>
      </c>
      <c r="Q191">
        <f t="shared" ref="Q191" si="931">F191*P191</f>
        <v>101683550.47105594</v>
      </c>
      <c r="R191">
        <f t="shared" ref="R191" si="932">R192+Q191</f>
        <v>-2175589924.4435787</v>
      </c>
      <c r="S191">
        <f t="shared" ref="S191" si="933">R191/100000</f>
        <v>-21755.899244435786</v>
      </c>
      <c r="T191">
        <f t="shared" ref="T191:T197" si="934">S191/1000</f>
        <v>-21.755899244435785</v>
      </c>
    </row>
    <row r="192" spans="1:20" x14ac:dyDescent="0.25">
      <c r="A192" s="5">
        <v>44401</v>
      </c>
      <c r="B192">
        <v>1.6039000000000001E-2</v>
      </c>
      <c r="C192">
        <v>1.6930000000000001E-2</v>
      </c>
      <c r="D192">
        <v>1.5814999999999999E-2</v>
      </c>
      <c r="E192">
        <v>1.6801E-2</v>
      </c>
      <c r="F192">
        <v>172651766</v>
      </c>
      <c r="G192">
        <v>1.6801E-2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0.76860986547085119</v>
      </c>
      <c r="Q192">
        <f t="shared" ref="Q192" si="936">F192*P192</f>
        <v>132701850.63856488</v>
      </c>
      <c r="R192">
        <f t="shared" ref="R192" si="937">R193+Q192</f>
        <v>-2277273474.9146347</v>
      </c>
      <c r="S192">
        <f t="shared" ref="S192" si="938">R192/100000</f>
        <v>-22772.734749146348</v>
      </c>
      <c r="T192">
        <f t="shared" si="934"/>
        <v>-22.772734749146348</v>
      </c>
    </row>
    <row r="193" spans="1:20" x14ac:dyDescent="0.25">
      <c r="A193" s="5">
        <v>44400</v>
      </c>
      <c r="B193">
        <v>1.5768000000000001E-2</v>
      </c>
      <c r="C193">
        <v>1.6064999999999999E-2</v>
      </c>
      <c r="D193">
        <v>1.5058E-2</v>
      </c>
      <c r="E193">
        <v>1.6014E-2</v>
      </c>
      <c r="F193">
        <v>105470779</v>
      </c>
      <c r="G193">
        <v>1.6014E-2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0.89870903674280234</v>
      </c>
      <c r="Q193">
        <f t="shared" ref="Q193" si="940">F193*P193</f>
        <v>94787542.199602991</v>
      </c>
      <c r="R193">
        <f t="shared" ref="R193" si="941">R194+Q193</f>
        <v>-2409975325.5531998</v>
      </c>
      <c r="S193">
        <f t="shared" ref="S193" si="942">R193/100000</f>
        <v>-24099.753255531999</v>
      </c>
      <c r="T193">
        <f t="shared" si="934"/>
        <v>-24.099753255532001</v>
      </c>
    </row>
    <row r="194" spans="1:20" x14ac:dyDescent="0.25">
      <c r="A194" s="5">
        <v>44399</v>
      </c>
      <c r="B194">
        <v>1.5174999999999999E-2</v>
      </c>
      <c r="C194">
        <v>1.6091999999999999E-2</v>
      </c>
      <c r="D194">
        <v>1.5079E-2</v>
      </c>
      <c r="E194">
        <v>1.5744000000000001E-2</v>
      </c>
      <c r="F194">
        <v>242439328</v>
      </c>
      <c r="G194">
        <v>1.5744000000000001E-2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0.31293188548865114</v>
      </c>
      <c r="Q194">
        <f t="shared" ref="Q194" si="944">F194*P194</f>
        <v>75866996.027641535</v>
      </c>
      <c r="R194">
        <f t="shared" ref="R194" si="945">R195+Q194</f>
        <v>-2504762867.7528028</v>
      </c>
      <c r="S194">
        <f t="shared" ref="S194" si="946">R194/100000</f>
        <v>-25047.628677528028</v>
      </c>
      <c r="T194">
        <f t="shared" si="934"/>
        <v>-25.047628677528028</v>
      </c>
    </row>
    <row r="195" spans="1:20" x14ac:dyDescent="0.25">
      <c r="A195" s="5">
        <v>44398</v>
      </c>
      <c r="B195">
        <v>1.4203E-2</v>
      </c>
      <c r="C195">
        <v>1.54E-2</v>
      </c>
      <c r="D195">
        <v>1.353E-2</v>
      </c>
      <c r="E195">
        <v>1.5164E-2</v>
      </c>
      <c r="F195">
        <v>268191332</v>
      </c>
      <c r="G195">
        <v>1.5164E-2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0.7475935828877005</v>
      </c>
      <c r="Q195">
        <f t="shared" ref="Q195" si="948">F195*P195</f>
        <v>200498118.78930479</v>
      </c>
      <c r="R195">
        <f t="shared" ref="R195" si="949">R196+Q195</f>
        <v>-2580629863.7804441</v>
      </c>
      <c r="S195">
        <f t="shared" ref="S195" si="950">R195/100000</f>
        <v>-25806.298637804441</v>
      </c>
      <c r="T195">
        <f t="shared" si="934"/>
        <v>-25.806298637804442</v>
      </c>
    </row>
    <row r="196" spans="1:20" x14ac:dyDescent="0.25">
      <c r="A196" s="5">
        <v>44397</v>
      </c>
      <c r="B196">
        <v>1.5480000000000001E-2</v>
      </c>
      <c r="C196">
        <v>1.5956000000000001E-2</v>
      </c>
      <c r="D196">
        <v>1.34E-2</v>
      </c>
      <c r="E196">
        <v>1.4180999999999999E-2</v>
      </c>
      <c r="F196">
        <v>268189119</v>
      </c>
      <c r="G196">
        <v>1.4180999999999999E-2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-0.38888888888889012</v>
      </c>
      <c r="Q196">
        <f t="shared" ref="Q196" si="952">F196*P196</f>
        <v>-104295768.50000033</v>
      </c>
      <c r="R196">
        <f t="shared" ref="R196" si="953">R197+Q196</f>
        <v>-2781127982.5697489</v>
      </c>
      <c r="S196">
        <f t="shared" ref="S196" si="954">R196/100000</f>
        <v>-27811.279825697489</v>
      </c>
      <c r="T196">
        <f t="shared" si="934"/>
        <v>-27.81127982569749</v>
      </c>
    </row>
    <row r="197" spans="1:20" x14ac:dyDescent="0.25">
      <c r="A197" s="5">
        <v>44396</v>
      </c>
      <c r="B197">
        <v>1.6156E-2</v>
      </c>
      <c r="C197">
        <v>1.7399999999999999E-2</v>
      </c>
      <c r="D197">
        <v>1.5211000000000001E-2</v>
      </c>
      <c r="E197">
        <v>1.549E-2</v>
      </c>
      <c r="F197">
        <v>338143114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-0.74508908177249888</v>
      </c>
      <c r="Q197">
        <f t="shared" ref="Q197" si="956">F197*P197</f>
        <v>-251946742.31795341</v>
      </c>
      <c r="R197">
        <f t="shared" ref="R197" si="957">R198+Q197</f>
        <v>-2676832214.0697484</v>
      </c>
      <c r="S197">
        <f t="shared" ref="S197" si="958">R197/100000</f>
        <v>-26768.322140697484</v>
      </c>
      <c r="T197">
        <f t="shared" si="934"/>
        <v>-26.768322140697485</v>
      </c>
    </row>
    <row r="198" spans="1:20" x14ac:dyDescent="0.25">
      <c r="A198" s="5">
        <v>44395</v>
      </c>
      <c r="B198">
        <v>1.6206000000000002E-2</v>
      </c>
      <c r="C198">
        <v>1.669E-2</v>
      </c>
      <c r="D198">
        <v>1.5717999999999999E-2</v>
      </c>
      <c r="E198">
        <v>1.6156E-2</v>
      </c>
      <c r="F198">
        <v>137355780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-9.8765432098764191E-2</v>
      </c>
      <c r="Q198">
        <f t="shared" ref="Q198:Q261" si="960">F198*P198</f>
        <v>-13566002.962962793</v>
      </c>
      <c r="R198">
        <f t="shared" ref="R198:R261" si="961">R199+Q198</f>
        <v>-2424885471.7517948</v>
      </c>
      <c r="S198">
        <f t="shared" ref="S198:S261" si="962">R198/100000</f>
        <v>-24248.854717517948</v>
      </c>
      <c r="T198">
        <f t="shared" ref="T198:T261" si="963">S198/1000</f>
        <v>-24.248854717517947</v>
      </c>
    </row>
    <row r="199" spans="1:20" x14ac:dyDescent="0.25">
      <c r="A199" s="5">
        <v>44394</v>
      </c>
      <c r="B199">
        <v>1.5448999999999999E-2</v>
      </c>
      <c r="C199">
        <v>1.6718E-2</v>
      </c>
      <c r="D199">
        <v>1.508E-2</v>
      </c>
      <c r="E199">
        <v>1.6178999999999999E-2</v>
      </c>
      <c r="F199">
        <v>313743454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0.34188034188034055</v>
      </c>
      <c r="Q199">
        <f t="shared" si="960"/>
        <v>107262719.3162389</v>
      </c>
      <c r="R199">
        <f t="shared" si="961"/>
        <v>-2411319468.7888322</v>
      </c>
      <c r="S199">
        <f t="shared" si="962"/>
        <v>-24113.194687888321</v>
      </c>
      <c r="T199">
        <f t="shared" si="963"/>
        <v>-24.113194687888321</v>
      </c>
    </row>
    <row r="200" spans="1:20" x14ac:dyDescent="0.25">
      <c r="A200" s="5">
        <v>44393</v>
      </c>
      <c r="B200">
        <v>1.7170000000000001E-2</v>
      </c>
      <c r="C200">
        <v>1.7305999999999998E-2</v>
      </c>
      <c r="D200">
        <v>1.5285E-2</v>
      </c>
      <c r="E200">
        <v>1.5484E-2</v>
      </c>
      <c r="F200">
        <v>248885984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-0.80306778822365199</v>
      </c>
      <c r="Q200">
        <f t="shared" si="960"/>
        <v>-199872316.69074723</v>
      </c>
      <c r="R200">
        <f t="shared" si="961"/>
        <v>-2518582188.1050711</v>
      </c>
      <c r="S200">
        <f t="shared" si="962"/>
        <v>-25185.82188105071</v>
      </c>
      <c r="T200">
        <f t="shared" si="963"/>
        <v>-25.18582188105071</v>
      </c>
    </row>
    <row r="201" spans="1:20" x14ac:dyDescent="0.25">
      <c r="A201" s="5">
        <v>44392</v>
      </c>
      <c r="B201">
        <v>1.8272E-2</v>
      </c>
      <c r="C201">
        <v>1.8450000000000001E-2</v>
      </c>
      <c r="D201">
        <v>1.6615000000000001E-2</v>
      </c>
      <c r="E201">
        <v>1.7159000000000001E-2</v>
      </c>
      <c r="F201">
        <v>262171120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-0.40708446866485082</v>
      </c>
      <c r="Q201">
        <f t="shared" si="960"/>
        <v>-106725791.08446884</v>
      </c>
      <c r="R201">
        <f t="shared" si="961"/>
        <v>-2318709871.4143238</v>
      </c>
      <c r="S201">
        <f t="shared" si="962"/>
        <v>-23187.098714143238</v>
      </c>
      <c r="T201">
        <f t="shared" si="963"/>
        <v>-23.187098714143239</v>
      </c>
    </row>
    <row r="202" spans="1:20" x14ac:dyDescent="0.25">
      <c r="A202" s="5">
        <v>44391</v>
      </c>
      <c r="B202">
        <v>1.9199999999999998E-2</v>
      </c>
      <c r="C202">
        <v>1.9214999999999999E-2</v>
      </c>
      <c r="D202">
        <v>1.7264999999999999E-2</v>
      </c>
      <c r="E202">
        <v>1.8283000000000001E-2</v>
      </c>
      <c r="F202">
        <v>498401610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4.4102564102565502E-2</v>
      </c>
      <c r="Q202">
        <f t="shared" si="960"/>
        <v>21980788.95384685</v>
      </c>
      <c r="R202">
        <f t="shared" si="961"/>
        <v>-2211984080.329855</v>
      </c>
      <c r="S202">
        <f t="shared" si="962"/>
        <v>-22119.84080329855</v>
      </c>
      <c r="T202">
        <f t="shared" si="963"/>
        <v>-22.119840803298551</v>
      </c>
    </row>
    <row r="203" spans="1:20" x14ac:dyDescent="0.25">
      <c r="A203" s="5">
        <v>44390</v>
      </c>
      <c r="B203">
        <v>2.0004000000000001E-2</v>
      </c>
      <c r="C203">
        <v>2.0004000000000001E-2</v>
      </c>
      <c r="D203">
        <v>1.8376E-2</v>
      </c>
      <c r="E203">
        <v>1.9199999999999998E-2</v>
      </c>
      <c r="F203">
        <v>192467997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1.2285012285009646E-2</v>
      </c>
      <c r="Q203">
        <f t="shared" si="960"/>
        <v>2364471.7076161997</v>
      </c>
      <c r="R203">
        <f t="shared" si="961"/>
        <v>-2233964869.2837019</v>
      </c>
      <c r="S203">
        <f t="shared" si="962"/>
        <v>-22339.648692837018</v>
      </c>
      <c r="T203">
        <f t="shared" si="963"/>
        <v>-22.339648692837017</v>
      </c>
    </row>
    <row r="204" spans="1:20" x14ac:dyDescent="0.25">
      <c r="A204" s="5">
        <v>44389</v>
      </c>
      <c r="B204">
        <v>1.9147999999999998E-2</v>
      </c>
      <c r="C204">
        <v>2.087E-2</v>
      </c>
      <c r="D204">
        <v>1.8578000000000001E-2</v>
      </c>
      <c r="E204">
        <v>1.9979E-2</v>
      </c>
      <c r="F204">
        <v>333300549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0.22251308900523573</v>
      </c>
      <c r="Q204">
        <f t="shared" si="960"/>
        <v>74163734.725130931</v>
      </c>
      <c r="R204">
        <f t="shared" si="961"/>
        <v>-2236329340.9913182</v>
      </c>
      <c r="S204">
        <f t="shared" si="962"/>
        <v>-22363.293409913182</v>
      </c>
      <c r="T204">
        <f t="shared" si="963"/>
        <v>-22.363293409913183</v>
      </c>
    </row>
    <row r="205" spans="1:20" x14ac:dyDescent="0.25">
      <c r="A205" s="5">
        <v>44388</v>
      </c>
      <c r="B205">
        <v>1.8599999999999998E-2</v>
      </c>
      <c r="C205">
        <v>1.9449999999999999E-2</v>
      </c>
      <c r="D205">
        <v>1.7895000000000001E-2</v>
      </c>
      <c r="E205">
        <v>1.9146E-2</v>
      </c>
      <c r="F205">
        <v>229170637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0.60900321543408464</v>
      </c>
      <c r="Q205">
        <f t="shared" si="960"/>
        <v>139565654.81607741</v>
      </c>
      <c r="R205">
        <f t="shared" si="961"/>
        <v>-2310493075.7164493</v>
      </c>
      <c r="S205">
        <f t="shared" si="962"/>
        <v>-23104.930757164493</v>
      </c>
      <c r="T205">
        <f t="shared" si="963"/>
        <v>-23.104930757164492</v>
      </c>
    </row>
    <row r="206" spans="1:20" x14ac:dyDescent="0.25">
      <c r="A206" s="5">
        <v>44387</v>
      </c>
      <c r="B206">
        <v>1.8505000000000001E-2</v>
      </c>
      <c r="C206">
        <v>1.9303000000000001E-2</v>
      </c>
      <c r="D206">
        <v>1.8057E-2</v>
      </c>
      <c r="E206">
        <v>1.8610999999999999E-2</v>
      </c>
      <c r="F206">
        <v>235272558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-0.11075441412520276</v>
      </c>
      <c r="Q206">
        <f t="shared" si="960"/>
        <v>-26057474.321027786</v>
      </c>
      <c r="R206">
        <f t="shared" si="961"/>
        <v>-2450058730.5325265</v>
      </c>
      <c r="S206">
        <f t="shared" si="962"/>
        <v>-24500.587305325265</v>
      </c>
      <c r="T206">
        <f t="shared" si="963"/>
        <v>-24.500587305325265</v>
      </c>
    </row>
    <row r="207" spans="1:20" x14ac:dyDescent="0.25">
      <c r="A207" s="5">
        <v>44386</v>
      </c>
      <c r="B207">
        <v>1.8388999999999999E-2</v>
      </c>
      <c r="C207">
        <v>1.8561999999999999E-2</v>
      </c>
      <c r="D207">
        <v>1.7000000000000001E-2</v>
      </c>
      <c r="E207">
        <v>1.8499999999999999E-2</v>
      </c>
      <c r="F207">
        <v>235240596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0.92061459667093515</v>
      </c>
      <c r="Q207">
        <f t="shared" si="960"/>
        <v>216565926.40717041</v>
      </c>
      <c r="R207">
        <f t="shared" si="961"/>
        <v>-2424001256.2114987</v>
      </c>
      <c r="S207">
        <f t="shared" si="962"/>
        <v>-24240.012562114989</v>
      </c>
      <c r="T207">
        <f t="shared" si="963"/>
        <v>-24.240012562114988</v>
      </c>
    </row>
    <row r="208" spans="1:20" x14ac:dyDescent="0.25">
      <c r="A208" s="5">
        <v>44385</v>
      </c>
      <c r="B208">
        <v>2.0829E-2</v>
      </c>
      <c r="C208">
        <v>2.1082E-2</v>
      </c>
      <c r="D208">
        <v>1.7786E-2</v>
      </c>
      <c r="E208">
        <v>1.8384999999999999E-2</v>
      </c>
      <c r="F208">
        <v>342033888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-0.63652912621359292</v>
      </c>
      <c r="Q208">
        <f t="shared" si="960"/>
        <v>-217714531.8640779</v>
      </c>
      <c r="R208">
        <f t="shared" si="961"/>
        <v>-2640567182.618669</v>
      </c>
      <c r="S208">
        <f t="shared" si="962"/>
        <v>-26405.671826186692</v>
      </c>
      <c r="T208">
        <f t="shared" si="963"/>
        <v>-26.405671826186691</v>
      </c>
    </row>
    <row r="209" spans="1:20" x14ac:dyDescent="0.25">
      <c r="A209" s="5">
        <v>44384</v>
      </c>
      <c r="B209">
        <v>2.0702999999999999E-2</v>
      </c>
      <c r="C209">
        <v>2.1788999999999999E-2</v>
      </c>
      <c r="D209">
        <v>2.0049999999999998E-2</v>
      </c>
      <c r="E209">
        <v>2.0881E-2</v>
      </c>
      <c r="F209">
        <v>430639000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-4.4278320874063928E-2</v>
      </c>
      <c r="Q209">
        <f t="shared" si="960"/>
        <v>-19067971.822886016</v>
      </c>
      <c r="R209">
        <f t="shared" si="961"/>
        <v>-2422852650.754591</v>
      </c>
      <c r="S209">
        <f t="shared" si="962"/>
        <v>-24228.52650754591</v>
      </c>
      <c r="T209">
        <f t="shared" si="963"/>
        <v>-24.228526507545912</v>
      </c>
    </row>
    <row r="210" spans="1:20" x14ac:dyDescent="0.25">
      <c r="A210" s="5">
        <v>44383</v>
      </c>
      <c r="B210">
        <v>2.0376999999999999E-2</v>
      </c>
      <c r="C210">
        <v>2.1249000000000001E-2</v>
      </c>
      <c r="D210">
        <v>2.0056999999999998E-2</v>
      </c>
      <c r="E210">
        <v>2.0686E-2</v>
      </c>
      <c r="F210">
        <v>227372197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5.5369127516778499E-2</v>
      </c>
      <c r="Q210">
        <f t="shared" si="960"/>
        <v>12589400.169463081</v>
      </c>
      <c r="R210">
        <f t="shared" si="961"/>
        <v>-2403784678.931705</v>
      </c>
      <c r="S210">
        <f t="shared" si="962"/>
        <v>-24037.846789317049</v>
      </c>
      <c r="T210">
        <f t="shared" si="963"/>
        <v>-24.037846789317051</v>
      </c>
    </row>
    <row r="211" spans="1:20" x14ac:dyDescent="0.25">
      <c r="A211" s="5">
        <v>44382</v>
      </c>
      <c r="B211">
        <v>2.1602E-2</v>
      </c>
      <c r="C211">
        <v>2.1850000000000001E-2</v>
      </c>
      <c r="D211">
        <v>1.9616000000000001E-2</v>
      </c>
      <c r="E211">
        <v>2.0403000000000001E-2</v>
      </c>
      <c r="F211">
        <v>329255158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-0.29543419874664317</v>
      </c>
      <c r="Q211">
        <f t="shared" si="960"/>
        <v>-97273233.786929399</v>
      </c>
      <c r="R211">
        <f t="shared" si="961"/>
        <v>-2416374079.1011682</v>
      </c>
      <c r="S211">
        <f t="shared" si="962"/>
        <v>-24163.740791011682</v>
      </c>
      <c r="T211">
        <f t="shared" si="963"/>
        <v>-24.163740791011683</v>
      </c>
    </row>
    <row r="212" spans="1:20" x14ac:dyDescent="0.25">
      <c r="A212" s="5">
        <v>44381</v>
      </c>
      <c r="B212">
        <v>2.1455999999999999E-2</v>
      </c>
      <c r="C212">
        <v>2.2674E-2</v>
      </c>
      <c r="D212">
        <v>2.0516E-2</v>
      </c>
      <c r="E212">
        <v>2.1607999999999999E-2</v>
      </c>
      <c r="F212">
        <v>392241200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1.2048192771083524E-2</v>
      </c>
      <c r="Q212">
        <f t="shared" si="960"/>
        <v>4725797.5903611267</v>
      </c>
      <c r="R212">
        <f t="shared" si="961"/>
        <v>-2319100845.3142385</v>
      </c>
      <c r="S212">
        <f t="shared" si="962"/>
        <v>-23191.008453142385</v>
      </c>
      <c r="T212">
        <f t="shared" si="963"/>
        <v>-23.191008453142384</v>
      </c>
    </row>
    <row r="213" spans="1:20" x14ac:dyDescent="0.25">
      <c r="A213" s="5">
        <v>44380</v>
      </c>
      <c r="B213">
        <v>2.1458999999999999E-2</v>
      </c>
      <c r="C213">
        <v>2.18E-2</v>
      </c>
      <c r="D213">
        <v>2.0204E-2</v>
      </c>
      <c r="E213">
        <v>2.1447999999999998E-2</v>
      </c>
      <c r="F213">
        <v>418756103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0.55889724310776745</v>
      </c>
      <c r="Q213">
        <f t="shared" si="960"/>
        <v>234041631.50125229</v>
      </c>
      <c r="R213">
        <f t="shared" si="961"/>
        <v>-2323826642.9045997</v>
      </c>
      <c r="S213">
        <f t="shared" si="962"/>
        <v>-23238.266429045998</v>
      </c>
      <c r="T213">
        <f t="shared" si="963"/>
        <v>-23.238266429045996</v>
      </c>
    </row>
    <row r="214" spans="1:20" x14ac:dyDescent="0.25">
      <c r="A214" s="5">
        <v>44379</v>
      </c>
      <c r="B214">
        <v>2.0395E-2</v>
      </c>
      <c r="C214">
        <v>2.3847E-2</v>
      </c>
      <c r="D214">
        <v>2.0171999999999999E-2</v>
      </c>
      <c r="E214">
        <v>2.1479999999999999E-2</v>
      </c>
      <c r="F214">
        <v>887949019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-0.28816326530612263</v>
      </c>
      <c r="Q214">
        <f t="shared" si="960"/>
        <v>-255874288.74040833</v>
      </c>
      <c r="R214">
        <f t="shared" si="961"/>
        <v>-2557868274.4058518</v>
      </c>
      <c r="S214">
        <f t="shared" si="962"/>
        <v>-25578.682744058518</v>
      </c>
      <c r="T214">
        <f t="shared" si="963"/>
        <v>-25.578682744058518</v>
      </c>
    </row>
    <row r="215" spans="1:20" x14ac:dyDescent="0.25">
      <c r="A215" s="5">
        <v>44378</v>
      </c>
      <c r="B215">
        <v>1.8879E-2</v>
      </c>
      <c r="C215">
        <v>2.3302E-2</v>
      </c>
      <c r="D215">
        <v>1.8728999999999999E-2</v>
      </c>
      <c r="E215">
        <v>2.0386999999999999E-2</v>
      </c>
      <c r="F215">
        <v>1809909024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-0.27487426197244719</v>
      </c>
      <c r="Q215">
        <f t="shared" si="960"/>
        <v>-497497407.20927221</v>
      </c>
      <c r="R215">
        <f t="shared" si="961"/>
        <v>-2301993985.6654434</v>
      </c>
      <c r="S215">
        <f t="shared" si="962"/>
        <v>-23019.939856654433</v>
      </c>
      <c r="T215">
        <f t="shared" si="963"/>
        <v>-23.019939856654432</v>
      </c>
    </row>
    <row r="216" spans="1:20" x14ac:dyDescent="0.25">
      <c r="A216" s="5">
        <v>44377</v>
      </c>
      <c r="B216">
        <v>1.7491E-2</v>
      </c>
      <c r="C216">
        <v>1.8988999999999999E-2</v>
      </c>
      <c r="D216">
        <v>1.6417000000000001E-2</v>
      </c>
      <c r="E216">
        <v>1.8855E-2</v>
      </c>
      <c r="F216">
        <v>599741376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0.89580093312597298</v>
      </c>
      <c r="Q216">
        <f t="shared" si="960"/>
        <v>537248884.25505507</v>
      </c>
      <c r="R216">
        <f t="shared" si="961"/>
        <v>-1804496578.456171</v>
      </c>
      <c r="S216">
        <f t="shared" si="962"/>
        <v>-18044.965784561711</v>
      </c>
      <c r="T216">
        <f t="shared" si="963"/>
        <v>-18.044965784561711</v>
      </c>
    </row>
    <row r="217" spans="1:20" x14ac:dyDescent="0.25">
      <c r="A217" s="5">
        <v>44376</v>
      </c>
      <c r="B217">
        <v>1.6299999999999999E-2</v>
      </c>
      <c r="C217">
        <v>1.8495000000000001E-2</v>
      </c>
      <c r="D217">
        <v>1.6154000000000002E-2</v>
      </c>
      <c r="E217">
        <v>1.7507000000000002E-2</v>
      </c>
      <c r="F217">
        <v>860136855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0.15591627509611314</v>
      </c>
      <c r="Q217">
        <f t="shared" si="960"/>
        <v>134109334.50448558</v>
      </c>
      <c r="R217">
        <f t="shared" si="961"/>
        <v>-2341745462.711226</v>
      </c>
      <c r="S217">
        <f t="shared" si="962"/>
        <v>-23417.45462711226</v>
      </c>
      <c r="T217">
        <f t="shared" si="963"/>
        <v>-23.41745462711226</v>
      </c>
    </row>
    <row r="218" spans="1:20" x14ac:dyDescent="0.25">
      <c r="A218" s="5">
        <v>44375</v>
      </c>
      <c r="B218">
        <v>1.4225E-2</v>
      </c>
      <c r="C218">
        <v>1.7049999999999999E-2</v>
      </c>
      <c r="D218">
        <v>1.3827000000000001E-2</v>
      </c>
      <c r="E218">
        <v>1.6305E-2</v>
      </c>
      <c r="F218">
        <v>790186823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0.53769779708346288</v>
      </c>
      <c r="Q218">
        <f t="shared" si="960"/>
        <v>424881714.01148021</v>
      </c>
      <c r="R218">
        <f t="shared" si="961"/>
        <v>-2475854797.2157116</v>
      </c>
      <c r="S218">
        <f t="shared" si="962"/>
        <v>-24758.547972157117</v>
      </c>
      <c r="T218">
        <f t="shared" si="963"/>
        <v>-24.758547972157118</v>
      </c>
    </row>
    <row r="219" spans="1:20" x14ac:dyDescent="0.25">
      <c r="A219" s="5">
        <v>44374</v>
      </c>
      <c r="B219">
        <v>1.3273E-2</v>
      </c>
      <c r="C219">
        <v>1.4263E-2</v>
      </c>
      <c r="D219">
        <v>1.3046E-2</v>
      </c>
      <c r="E219">
        <v>1.4225E-2</v>
      </c>
      <c r="F219">
        <v>294356735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0.93755135579293369</v>
      </c>
      <c r="Q219">
        <f t="shared" si="960"/>
        <v>275974555.98603129</v>
      </c>
      <c r="R219">
        <f t="shared" si="961"/>
        <v>-2900736511.2271919</v>
      </c>
      <c r="S219">
        <f t="shared" si="962"/>
        <v>-29007.36511227192</v>
      </c>
      <c r="T219">
        <f t="shared" si="963"/>
        <v>-29.00736511227192</v>
      </c>
    </row>
    <row r="220" spans="1:20" x14ac:dyDescent="0.25">
      <c r="A220" s="5">
        <v>44373</v>
      </c>
      <c r="B220">
        <v>1.2973E-2</v>
      </c>
      <c r="C220">
        <v>1.3825E-2</v>
      </c>
      <c r="D220">
        <v>1.2467000000000001E-2</v>
      </c>
      <c r="E220">
        <v>1.3278E-2</v>
      </c>
      <c r="F220">
        <v>355929403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0.19440353460971918</v>
      </c>
      <c r="Q220">
        <f t="shared" si="960"/>
        <v>69193934.01472719</v>
      </c>
      <c r="R220">
        <f t="shared" si="961"/>
        <v>-3176711067.2132235</v>
      </c>
      <c r="S220">
        <f t="shared" si="962"/>
        <v>-31767.110672132236</v>
      </c>
      <c r="T220">
        <f t="shared" si="963"/>
        <v>-31.767110672132237</v>
      </c>
    </row>
    <row r="221" spans="1:20" x14ac:dyDescent="0.25">
      <c r="A221" s="5">
        <v>44372</v>
      </c>
      <c r="B221">
        <v>1.4052E-2</v>
      </c>
      <c r="C221">
        <v>1.5041000000000001E-2</v>
      </c>
      <c r="D221">
        <v>1.2706E-2</v>
      </c>
      <c r="E221">
        <v>1.2988E-2</v>
      </c>
      <c r="F221">
        <v>560744176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-0.75845824411134966</v>
      </c>
      <c r="Q221">
        <f t="shared" si="960"/>
        <v>-425301043.12462562</v>
      </c>
      <c r="R221">
        <f t="shared" si="961"/>
        <v>-3245905001.2279506</v>
      </c>
      <c r="S221">
        <f t="shared" si="962"/>
        <v>-32459.050012279506</v>
      </c>
      <c r="T221">
        <f t="shared" si="963"/>
        <v>-32.459050012279505</v>
      </c>
    </row>
    <row r="222" spans="1:20" x14ac:dyDescent="0.25">
      <c r="A222" s="5">
        <v>44371</v>
      </c>
      <c r="B222">
        <v>1.3103E-2</v>
      </c>
      <c r="C222">
        <v>1.4267999999999999E-2</v>
      </c>
      <c r="D222">
        <v>1.2292000000000001E-2</v>
      </c>
      <c r="E222">
        <v>1.4075000000000001E-2</v>
      </c>
      <c r="F222">
        <v>577520069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0.80465587044534526</v>
      </c>
      <c r="Q222">
        <f t="shared" si="960"/>
        <v>464704913.82085085</v>
      </c>
      <c r="R222">
        <f t="shared" si="961"/>
        <v>-2820603958.1033249</v>
      </c>
      <c r="S222">
        <f t="shared" si="962"/>
        <v>-28206.039581033248</v>
      </c>
      <c r="T222">
        <f t="shared" si="963"/>
        <v>-28.206039581033249</v>
      </c>
    </row>
    <row r="223" spans="1:20" x14ac:dyDescent="0.25">
      <c r="A223" s="5">
        <v>44370</v>
      </c>
      <c r="B223">
        <v>1.2381E-2</v>
      </c>
      <c r="C223">
        <v>1.4200000000000001E-2</v>
      </c>
      <c r="D223">
        <v>1.2081E-2</v>
      </c>
      <c r="E223">
        <v>1.3089999999999999E-2</v>
      </c>
      <c r="F223">
        <v>809776482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-4.7663992449269506E-2</v>
      </c>
      <c r="Q223">
        <f t="shared" si="960"/>
        <v>-38597180.123644024</v>
      </c>
      <c r="R223">
        <f t="shared" si="961"/>
        <v>-3285308871.9241757</v>
      </c>
      <c r="S223">
        <f t="shared" si="962"/>
        <v>-32853.088719241758</v>
      </c>
      <c r="T223">
        <f t="shared" si="963"/>
        <v>-32.853088719241761</v>
      </c>
    </row>
    <row r="224" spans="1:20" x14ac:dyDescent="0.25">
      <c r="A224" s="5">
        <v>44369</v>
      </c>
      <c r="B224">
        <v>1.3722E-2</v>
      </c>
      <c r="C224">
        <v>1.4604000000000001E-2</v>
      </c>
      <c r="D224">
        <v>1.0541E-2</v>
      </c>
      <c r="E224">
        <v>1.2356000000000001E-2</v>
      </c>
      <c r="F224">
        <v>807923322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-0.10657149889244383</v>
      </c>
      <c r="Q224">
        <f t="shared" si="960"/>
        <v>-86101599.415702537</v>
      </c>
      <c r="R224">
        <f t="shared" si="961"/>
        <v>-3246711691.8005319</v>
      </c>
      <c r="S224">
        <f t="shared" si="962"/>
        <v>-32467.116918005318</v>
      </c>
      <c r="T224">
        <f t="shared" si="963"/>
        <v>-32.467116918005317</v>
      </c>
    </row>
    <row r="225" spans="1:20" x14ac:dyDescent="0.25">
      <c r="A225" s="5">
        <v>44368</v>
      </c>
      <c r="B225">
        <v>1.9206000000000001E-2</v>
      </c>
      <c r="C225">
        <v>1.9345999999999999E-2</v>
      </c>
      <c r="D225">
        <v>1.3599999999999999E-2</v>
      </c>
      <c r="E225">
        <v>1.3701E-2</v>
      </c>
      <c r="F225">
        <v>536288384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-0.96484510964148962</v>
      </c>
      <c r="Q225">
        <f t="shared" si="960"/>
        <v>-517435224.65993726</v>
      </c>
      <c r="R225">
        <f t="shared" si="961"/>
        <v>-3160610092.3848295</v>
      </c>
      <c r="S225">
        <f t="shared" si="962"/>
        <v>-31606.100923848295</v>
      </c>
      <c r="T225">
        <f t="shared" si="963"/>
        <v>-31.606100923848295</v>
      </c>
    </row>
    <row r="226" spans="1:20" x14ac:dyDescent="0.25">
      <c r="A226" s="5">
        <v>44367</v>
      </c>
      <c r="B226">
        <v>1.8908999999999999E-2</v>
      </c>
      <c r="C226">
        <v>1.9503E-2</v>
      </c>
      <c r="D226">
        <v>1.7394E-2</v>
      </c>
      <c r="E226">
        <v>1.9188E-2</v>
      </c>
      <c r="F226">
        <v>283455119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0.70128022759601771</v>
      </c>
      <c r="Q226">
        <f t="shared" si="960"/>
        <v>198781470.3655763</v>
      </c>
      <c r="R226">
        <f t="shared" si="961"/>
        <v>-2643174867.7248921</v>
      </c>
      <c r="S226">
        <f t="shared" si="962"/>
        <v>-26431.748677248921</v>
      </c>
      <c r="T226">
        <f t="shared" si="963"/>
        <v>-26.431748677248923</v>
      </c>
    </row>
    <row r="227" spans="1:20" x14ac:dyDescent="0.25">
      <c r="A227" s="5">
        <v>44366</v>
      </c>
      <c r="B227">
        <v>1.9618E-2</v>
      </c>
      <c r="C227">
        <v>2.0282999999999999E-2</v>
      </c>
      <c r="D227">
        <v>1.8876E-2</v>
      </c>
      <c r="E227">
        <v>1.8917E-2</v>
      </c>
      <c r="F227">
        <v>227180631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-0.94171997157071863</v>
      </c>
      <c r="Q227">
        <f t="shared" si="960"/>
        <v>-213940537.36673793</v>
      </c>
      <c r="R227">
        <f t="shared" si="961"/>
        <v>-2841956338.0904684</v>
      </c>
      <c r="S227">
        <f t="shared" si="962"/>
        <v>-28419.563380904685</v>
      </c>
      <c r="T227">
        <f t="shared" si="963"/>
        <v>-28.419563380904684</v>
      </c>
    </row>
    <row r="228" spans="1:20" x14ac:dyDescent="0.25">
      <c r="A228" s="5">
        <v>44365</v>
      </c>
      <c r="B228">
        <v>2.0653999999999999E-2</v>
      </c>
      <c r="C228">
        <v>2.0653999999999999E-2</v>
      </c>
      <c r="D228">
        <v>1.8568999999999999E-2</v>
      </c>
      <c r="E228">
        <v>1.9675000000000002E-2</v>
      </c>
      <c r="F228">
        <v>338088219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6.0911270983216102E-2</v>
      </c>
      <c r="Q228">
        <f t="shared" si="960"/>
        <v>20593383.12374191</v>
      </c>
      <c r="R228">
        <f t="shared" si="961"/>
        <v>-2628015800.7237306</v>
      </c>
      <c r="S228">
        <f t="shared" si="962"/>
        <v>-26280.158007237307</v>
      </c>
      <c r="T228">
        <f t="shared" si="963"/>
        <v>-26.280158007237308</v>
      </c>
    </row>
    <row r="229" spans="1:20" x14ac:dyDescent="0.25">
      <c r="A229" s="5">
        <v>44364</v>
      </c>
      <c r="B229">
        <v>2.0833000000000001E-2</v>
      </c>
      <c r="C229">
        <v>2.1898000000000001E-2</v>
      </c>
      <c r="D229">
        <v>2.01E-2</v>
      </c>
      <c r="E229">
        <v>2.069E-2</v>
      </c>
      <c r="F229">
        <v>234724162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-0.34371523915461633</v>
      </c>
      <c r="Q229">
        <f t="shared" si="960"/>
        <v>-80678271.477196902</v>
      </c>
      <c r="R229">
        <f t="shared" si="961"/>
        <v>-2648609183.8474727</v>
      </c>
      <c r="S229">
        <f t="shared" si="962"/>
        <v>-26486.091838474727</v>
      </c>
      <c r="T229">
        <f t="shared" si="963"/>
        <v>-26.486091838474728</v>
      </c>
    </row>
    <row r="230" spans="1:20" x14ac:dyDescent="0.25">
      <c r="A230" s="5">
        <v>44363</v>
      </c>
      <c r="B230">
        <v>2.2384999999999999E-2</v>
      </c>
      <c r="C230">
        <v>2.2610000000000002E-2</v>
      </c>
      <c r="D230">
        <v>2.0313000000000001E-2</v>
      </c>
      <c r="E230">
        <v>2.0898E-2</v>
      </c>
      <c r="F230">
        <v>270336331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-0.49063996517196462</v>
      </c>
      <c r="Q230">
        <f t="shared" si="960"/>
        <v>-132637808.0265567</v>
      </c>
      <c r="R230">
        <f t="shared" si="961"/>
        <v>-2567930912.370276</v>
      </c>
      <c r="S230">
        <f t="shared" si="962"/>
        <v>-25679.309123702758</v>
      </c>
      <c r="T230">
        <f t="shared" si="963"/>
        <v>-25.679309123702758</v>
      </c>
    </row>
    <row r="231" spans="1:20" x14ac:dyDescent="0.25">
      <c r="A231" s="5">
        <v>44362</v>
      </c>
      <c r="B231">
        <v>2.2401000000000001E-2</v>
      </c>
      <c r="C231">
        <v>2.3717999999999999E-2</v>
      </c>
      <c r="D231">
        <v>2.1853999999999998E-2</v>
      </c>
      <c r="E231">
        <v>2.2418E-2</v>
      </c>
      <c r="F231">
        <v>352224529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-0.39484978540772353</v>
      </c>
      <c r="Q231">
        <f t="shared" si="960"/>
        <v>-139075779.69098648</v>
      </c>
      <c r="R231">
        <f t="shared" si="961"/>
        <v>-2435293104.3437195</v>
      </c>
      <c r="S231">
        <f t="shared" si="962"/>
        <v>-24352.931043437195</v>
      </c>
      <c r="T231">
        <f t="shared" si="963"/>
        <v>-24.352931043437195</v>
      </c>
    </row>
    <row r="232" spans="1:20" x14ac:dyDescent="0.25">
      <c r="A232" s="5">
        <v>44361</v>
      </c>
      <c r="B232">
        <v>2.1318E-2</v>
      </c>
      <c r="C232">
        <v>2.4480999999999999E-2</v>
      </c>
      <c r="D232">
        <v>2.0725E-2</v>
      </c>
      <c r="E232">
        <v>2.2450000000000001E-2</v>
      </c>
      <c r="F232">
        <v>1194280333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-8.1469648562299615E-2</v>
      </c>
      <c r="Q232">
        <f t="shared" si="960"/>
        <v>-97297599.014376149</v>
      </c>
      <c r="R232">
        <f t="shared" si="961"/>
        <v>-2296217324.6527328</v>
      </c>
      <c r="S232">
        <f t="shared" si="962"/>
        <v>-22962.173246527327</v>
      </c>
      <c r="T232">
        <f t="shared" si="963"/>
        <v>-22.962173246527328</v>
      </c>
    </row>
    <row r="233" spans="1:20" x14ac:dyDescent="0.25">
      <c r="A233" s="5">
        <v>44360</v>
      </c>
      <c r="B233">
        <v>2.0264999999999998E-2</v>
      </c>
      <c r="C233">
        <v>2.3424E-2</v>
      </c>
      <c r="D233">
        <v>1.9421000000000001E-2</v>
      </c>
      <c r="E233">
        <v>2.1295999999999999E-2</v>
      </c>
      <c r="F233">
        <v>385865606</v>
      </c>
      <c r="G233">
        <v>0</v>
      </c>
      <c r="L233" t="s">
        <v>7</v>
      </c>
      <c r="M233" t="s">
        <v>8</v>
      </c>
      <c r="N233" t="s">
        <v>7</v>
      </c>
      <c r="P233">
        <f t="shared" si="959"/>
        <v>-6.3202598051462208E-2</v>
      </c>
      <c r="Q233">
        <f t="shared" si="960"/>
        <v>-24387708.797901884</v>
      </c>
      <c r="R233">
        <f t="shared" si="961"/>
        <v>-2198919725.6383567</v>
      </c>
      <c r="S233">
        <f t="shared" si="962"/>
        <v>-21989.197256383566</v>
      </c>
      <c r="T233">
        <f t="shared" si="963"/>
        <v>-21.989197256383566</v>
      </c>
    </row>
    <row r="234" spans="1:20" x14ac:dyDescent="0.25">
      <c r="A234" s="5">
        <v>44359</v>
      </c>
      <c r="B234">
        <v>2.2138000000000001E-2</v>
      </c>
      <c r="C234">
        <v>2.2138000000000001E-2</v>
      </c>
      <c r="D234">
        <v>1.9861E-2</v>
      </c>
      <c r="E234">
        <v>2.0249E-2</v>
      </c>
      <c r="F234">
        <v>413500623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-0.65920070267896425</v>
      </c>
      <c r="Q234">
        <f t="shared" si="960"/>
        <v>-272579901.23978949</v>
      </c>
      <c r="R234">
        <f t="shared" si="961"/>
        <v>-2174532016.8404546</v>
      </c>
      <c r="S234">
        <f t="shared" si="962"/>
        <v>-21745.320168404545</v>
      </c>
      <c r="T234">
        <f t="shared" si="963"/>
        <v>-21.745320168404547</v>
      </c>
    </row>
    <row r="235" spans="1:20" x14ac:dyDescent="0.25">
      <c r="A235" s="5">
        <v>44358</v>
      </c>
      <c r="B235">
        <v>2.3275000000000001E-2</v>
      </c>
      <c r="C235">
        <v>2.9000000000000001E-2</v>
      </c>
      <c r="D235">
        <v>2.1505E-2</v>
      </c>
      <c r="E235">
        <v>2.2155000000000001E-2</v>
      </c>
      <c r="F235">
        <v>1394888086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-0.82655103402268149</v>
      </c>
      <c r="Q235">
        <f t="shared" si="960"/>
        <v>-1152946189.8292191</v>
      </c>
      <c r="R235">
        <f t="shared" si="961"/>
        <v>-1901952115.6006651</v>
      </c>
      <c r="S235">
        <f t="shared" si="962"/>
        <v>-19019.521156006649</v>
      </c>
      <c r="T235">
        <f t="shared" si="963"/>
        <v>-19.01952115600665</v>
      </c>
    </row>
    <row r="236" spans="1:20" x14ac:dyDescent="0.25">
      <c r="A236" s="5">
        <v>44357</v>
      </c>
      <c r="B236">
        <v>2.3377999999999999E-2</v>
      </c>
      <c r="C236">
        <v>2.6499999999999999E-2</v>
      </c>
      <c r="D236">
        <v>2.2303E-2</v>
      </c>
      <c r="E236">
        <v>2.3245999999999999E-2</v>
      </c>
      <c r="F236">
        <v>468751302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-0.55063140338336924</v>
      </c>
      <c r="Q236">
        <f t="shared" si="960"/>
        <v>-258109187.25804153</v>
      </c>
      <c r="R236">
        <f t="shared" si="961"/>
        <v>-749005925.77144599</v>
      </c>
      <c r="S236">
        <f t="shared" si="962"/>
        <v>-7490.0592577144598</v>
      </c>
      <c r="T236">
        <f t="shared" si="963"/>
        <v>-7.49005925771446</v>
      </c>
    </row>
    <row r="237" spans="1:20" x14ac:dyDescent="0.25">
      <c r="A237" s="5">
        <v>44356</v>
      </c>
      <c r="B237">
        <v>2.2352E-2</v>
      </c>
      <c r="C237">
        <v>2.3380000000000001E-2</v>
      </c>
      <c r="D237">
        <v>2.077E-2</v>
      </c>
      <c r="E237">
        <v>2.3347E-2</v>
      </c>
      <c r="F237">
        <v>292675205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0.97471264367815957</v>
      </c>
      <c r="Q237">
        <f t="shared" si="960"/>
        <v>285274222.80459732</v>
      </c>
      <c r="R237">
        <f t="shared" si="961"/>
        <v>-490896738.51340443</v>
      </c>
      <c r="S237">
        <f t="shared" si="962"/>
        <v>-4908.967385134044</v>
      </c>
      <c r="T237">
        <f t="shared" si="963"/>
        <v>-4.9089673851340443</v>
      </c>
    </row>
    <row r="238" spans="1:20" x14ac:dyDescent="0.25">
      <c r="A238" s="5">
        <v>44355</v>
      </c>
      <c r="B238">
        <v>2.3355000000000001E-2</v>
      </c>
      <c r="C238">
        <v>2.3754000000000001E-2</v>
      </c>
      <c r="D238">
        <v>2.0084999999999999E-2</v>
      </c>
      <c r="E238">
        <v>2.2381000000000002E-2</v>
      </c>
      <c r="F238">
        <v>375198837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0.25156718451894333</v>
      </c>
      <c r="Q238">
        <f t="shared" si="960"/>
        <v>94387715.05887194</v>
      </c>
      <c r="R238">
        <f t="shared" si="961"/>
        <v>-776170961.31800175</v>
      </c>
      <c r="S238">
        <f t="shared" si="962"/>
        <v>-7761.7096131800172</v>
      </c>
      <c r="T238">
        <f t="shared" si="963"/>
        <v>-7.7617096131800176</v>
      </c>
    </row>
    <row r="239" spans="1:20" x14ac:dyDescent="0.25">
      <c r="A239" s="5">
        <v>44354</v>
      </c>
      <c r="B239">
        <v>2.5863000000000001E-2</v>
      </c>
      <c r="C239">
        <v>2.7307000000000001E-2</v>
      </c>
      <c r="D239">
        <v>2.3036999999999998E-2</v>
      </c>
      <c r="E239">
        <v>2.3365E-2</v>
      </c>
      <c r="F239">
        <v>318561242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-0.84637002341920298</v>
      </c>
      <c r="Q239">
        <f t="shared" si="960"/>
        <v>-269620685.8519904</v>
      </c>
      <c r="R239">
        <f t="shared" si="961"/>
        <v>-870558676.37687373</v>
      </c>
      <c r="S239">
        <f t="shared" si="962"/>
        <v>-8705.586763768737</v>
      </c>
      <c r="T239">
        <f t="shared" si="963"/>
        <v>-8.7055867637687374</v>
      </c>
    </row>
    <row r="240" spans="1:20" x14ac:dyDescent="0.25">
      <c r="A240" s="5">
        <v>44353</v>
      </c>
      <c r="B240">
        <v>2.4032999999999999E-2</v>
      </c>
      <c r="C240">
        <v>2.8011999999999999E-2</v>
      </c>
      <c r="D240">
        <v>2.3959999999999999E-2</v>
      </c>
      <c r="E240">
        <v>2.5943999999999998E-2</v>
      </c>
      <c r="F240">
        <v>1236974884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-2.0730503455084093E-2</v>
      </c>
      <c r="Q240">
        <f t="shared" si="960"/>
        <v>-25643112.106614243</v>
      </c>
      <c r="R240">
        <f t="shared" si="961"/>
        <v>-600937990.52488339</v>
      </c>
      <c r="S240">
        <f t="shared" si="962"/>
        <v>-6009.3799052488339</v>
      </c>
      <c r="T240">
        <f t="shared" si="963"/>
        <v>-6.0093799052488341</v>
      </c>
    </row>
    <row r="241" spans="1:20" x14ac:dyDescent="0.25">
      <c r="A241" s="5">
        <v>44352</v>
      </c>
      <c r="B241">
        <v>2.4851000000000002E-2</v>
      </c>
      <c r="C241">
        <v>2.5745000000000001E-2</v>
      </c>
      <c r="D241">
        <v>2.3088999999999998E-2</v>
      </c>
      <c r="E241">
        <v>2.4095999999999999E-2</v>
      </c>
      <c r="F241">
        <v>149127549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-0.24171686746987942</v>
      </c>
      <c r="Q241">
        <f t="shared" si="960"/>
        <v>-36046643.997740947</v>
      </c>
      <c r="R241">
        <f t="shared" si="961"/>
        <v>-575294878.41826916</v>
      </c>
      <c r="S241">
        <f t="shared" si="962"/>
        <v>-5752.9487841826913</v>
      </c>
      <c r="T241">
        <f t="shared" si="963"/>
        <v>-5.7529487841826912</v>
      </c>
    </row>
    <row r="242" spans="1:20" x14ac:dyDescent="0.25">
      <c r="A242" s="5">
        <v>44351</v>
      </c>
      <c r="B242">
        <v>2.7134999999999999E-2</v>
      </c>
      <c r="C242">
        <v>2.7196999999999999E-2</v>
      </c>
      <c r="D242">
        <v>2.3066E-2</v>
      </c>
      <c r="E242">
        <v>2.4875999999999999E-2</v>
      </c>
      <c r="F242">
        <v>275364505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-0.12369886226095404</v>
      </c>
      <c r="Q242">
        <f t="shared" si="960"/>
        <v>-34062275.975550793</v>
      </c>
      <c r="R242">
        <f t="shared" si="961"/>
        <v>-539248234.42052817</v>
      </c>
      <c r="S242">
        <f t="shared" si="962"/>
        <v>-5392.4823442052821</v>
      </c>
      <c r="T242">
        <f t="shared" si="963"/>
        <v>-5.3924823442052823</v>
      </c>
    </row>
    <row r="243" spans="1:20" x14ac:dyDescent="0.25">
      <c r="A243" s="5">
        <v>44350</v>
      </c>
      <c r="B243">
        <v>2.6244E-2</v>
      </c>
      <c r="C243">
        <v>2.76E-2</v>
      </c>
      <c r="D243">
        <v>2.5465999999999999E-2</v>
      </c>
      <c r="E243">
        <v>2.7123000000000001E-2</v>
      </c>
      <c r="F243">
        <v>270611784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0.55295220243674026</v>
      </c>
      <c r="Q243">
        <f t="shared" si="960"/>
        <v>149635381.96813542</v>
      </c>
      <c r="R243">
        <f t="shared" si="961"/>
        <v>-505185958.44497734</v>
      </c>
      <c r="S243">
        <f t="shared" si="962"/>
        <v>-5051.8595844497731</v>
      </c>
      <c r="T243">
        <f t="shared" si="963"/>
        <v>-5.0518595844497733</v>
      </c>
    </row>
    <row r="244" spans="1:20" x14ac:dyDescent="0.25">
      <c r="A244" s="5">
        <v>44349</v>
      </c>
      <c r="B244">
        <v>2.4868000000000001E-2</v>
      </c>
      <c r="C244">
        <v>2.699E-2</v>
      </c>
      <c r="D244">
        <v>2.4126000000000002E-2</v>
      </c>
      <c r="E244">
        <v>2.6242000000000001E-2</v>
      </c>
      <c r="F244">
        <v>289703987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0.47765363128491684</v>
      </c>
      <c r="Q244">
        <f t="shared" si="960"/>
        <v>138378161.38826835</v>
      </c>
      <c r="R244">
        <f t="shared" si="961"/>
        <v>-654821340.41311276</v>
      </c>
      <c r="S244">
        <f t="shared" si="962"/>
        <v>-6548.2134041311274</v>
      </c>
      <c r="T244">
        <f t="shared" si="963"/>
        <v>-6.5482134041311273</v>
      </c>
    </row>
    <row r="245" spans="1:20" x14ac:dyDescent="0.25">
      <c r="A245" s="5">
        <v>44348</v>
      </c>
      <c r="B245">
        <v>2.5638000000000001E-2</v>
      </c>
      <c r="C245">
        <v>2.5919999999999999E-2</v>
      </c>
      <c r="D245">
        <v>2.3682000000000002E-2</v>
      </c>
      <c r="E245">
        <v>2.487E-2</v>
      </c>
      <c r="F245">
        <v>220908958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6.1662198391420654E-2</v>
      </c>
      <c r="Q245">
        <f t="shared" si="960"/>
        <v>13621731.994638013</v>
      </c>
      <c r="R245">
        <f t="shared" si="961"/>
        <v>-793199501.80138111</v>
      </c>
      <c r="S245">
        <f t="shared" si="962"/>
        <v>-7931.9950180138112</v>
      </c>
      <c r="T245">
        <f t="shared" si="963"/>
        <v>-7.9319950180138115</v>
      </c>
    </row>
    <row r="246" spans="1:20" x14ac:dyDescent="0.25">
      <c r="A246" s="5">
        <v>44347</v>
      </c>
      <c r="B246">
        <v>2.3924999999999998E-2</v>
      </c>
      <c r="C246">
        <v>2.58E-2</v>
      </c>
      <c r="D246">
        <v>2.2745999999999999E-2</v>
      </c>
      <c r="E246">
        <v>2.5663999999999999E-2</v>
      </c>
      <c r="F246">
        <v>395641558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0.91093647675180045</v>
      </c>
      <c r="Q246">
        <f t="shared" si="960"/>
        <v>360404326.90111309</v>
      </c>
      <c r="R246">
        <f t="shared" si="961"/>
        <v>-806821233.79601908</v>
      </c>
      <c r="S246">
        <f t="shared" si="962"/>
        <v>-8068.2123379601908</v>
      </c>
      <c r="T246">
        <f t="shared" si="963"/>
        <v>-8.0682123379601904</v>
      </c>
    </row>
    <row r="247" spans="1:20" x14ac:dyDescent="0.25">
      <c r="A247" s="5">
        <v>44346</v>
      </c>
      <c r="B247">
        <v>2.3109999999999999E-2</v>
      </c>
      <c r="C247">
        <v>2.5468000000000001E-2</v>
      </c>
      <c r="D247">
        <v>2.1364999999999999E-2</v>
      </c>
      <c r="E247">
        <v>2.3976000000000001E-2</v>
      </c>
      <c r="F247">
        <v>449015903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0.27272727272727304</v>
      </c>
      <c r="Q247">
        <f t="shared" si="960"/>
        <v>122458882.63636377</v>
      </c>
      <c r="R247">
        <f t="shared" si="961"/>
        <v>-1167225560.6971321</v>
      </c>
      <c r="S247">
        <f t="shared" si="962"/>
        <v>-11672.255606971321</v>
      </c>
      <c r="T247">
        <f t="shared" si="963"/>
        <v>-11.672255606971321</v>
      </c>
    </row>
    <row r="248" spans="1:20" x14ac:dyDescent="0.25">
      <c r="A248" s="5">
        <v>44345</v>
      </c>
      <c r="B248">
        <v>2.4510000000000001E-2</v>
      </c>
      <c r="C248">
        <v>2.5422E-2</v>
      </c>
      <c r="D248">
        <v>2.1384E-2</v>
      </c>
      <c r="E248">
        <v>2.3120999999999999E-2</v>
      </c>
      <c r="F248">
        <v>236539512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-0.13967310549777168</v>
      </c>
      <c r="Q248">
        <f t="shared" si="960"/>
        <v>-33038208.213967431</v>
      </c>
      <c r="R248">
        <f t="shared" si="961"/>
        <v>-1289684443.3334959</v>
      </c>
      <c r="S248">
        <f t="shared" si="962"/>
        <v>-12896.844433334958</v>
      </c>
      <c r="T248">
        <f t="shared" si="963"/>
        <v>-12.896844433334959</v>
      </c>
    </row>
    <row r="249" spans="1:20" x14ac:dyDescent="0.25">
      <c r="A249" s="5">
        <v>44344</v>
      </c>
      <c r="B249">
        <v>2.8757999999999999E-2</v>
      </c>
      <c r="C249">
        <v>2.8771999999999999E-2</v>
      </c>
      <c r="D249">
        <v>2.3122E-2</v>
      </c>
      <c r="E249">
        <v>2.4510000000000001E-2</v>
      </c>
      <c r="F249">
        <v>324874751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-0.50867256637168123</v>
      </c>
      <c r="Q249">
        <f t="shared" si="960"/>
        <v>-165254873.3405309</v>
      </c>
      <c r="R249">
        <f t="shared" si="961"/>
        <v>-1256646235.1195285</v>
      </c>
      <c r="S249">
        <f t="shared" si="962"/>
        <v>-12566.462351195285</v>
      </c>
      <c r="T249">
        <f t="shared" si="963"/>
        <v>-12.566462351195286</v>
      </c>
    </row>
    <row r="250" spans="1:20" x14ac:dyDescent="0.25">
      <c r="A250" s="5">
        <v>44343</v>
      </c>
      <c r="B250">
        <v>2.8624E-2</v>
      </c>
      <c r="C250">
        <v>3.1986000000000001E-2</v>
      </c>
      <c r="D250">
        <v>2.6166999999999999E-2</v>
      </c>
      <c r="E250">
        <v>2.8738E-2</v>
      </c>
      <c r="F250">
        <v>467039002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-0.11634301426361925</v>
      </c>
      <c r="Q250">
        <f t="shared" si="960"/>
        <v>-54336725.2713525</v>
      </c>
      <c r="R250">
        <f t="shared" si="961"/>
        <v>-1091391361.7789977</v>
      </c>
      <c r="S250">
        <f t="shared" si="962"/>
        <v>-10913.913617789976</v>
      </c>
      <c r="T250">
        <f t="shared" si="963"/>
        <v>-10.913913617789976</v>
      </c>
    </row>
    <row r="251" spans="1:20" x14ac:dyDescent="0.25">
      <c r="A251" s="5">
        <v>44342</v>
      </c>
      <c r="B251">
        <v>2.6078E-2</v>
      </c>
      <c r="C251">
        <v>2.87E-2</v>
      </c>
      <c r="D251">
        <v>2.5982000000000002E-2</v>
      </c>
      <c r="E251">
        <v>2.8545999999999998E-2</v>
      </c>
      <c r="F251">
        <v>525256449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0.88668138337012403</v>
      </c>
      <c r="Q251">
        <f t="shared" si="960"/>
        <v>465735114.82339901</v>
      </c>
      <c r="R251">
        <f t="shared" si="961"/>
        <v>-1037054636.5076451</v>
      </c>
      <c r="S251">
        <f t="shared" si="962"/>
        <v>-10370.54636507645</v>
      </c>
      <c r="T251">
        <f t="shared" si="963"/>
        <v>-10.37054636507645</v>
      </c>
    </row>
    <row r="252" spans="1:20" x14ac:dyDescent="0.25">
      <c r="A252" s="5">
        <v>44341</v>
      </c>
      <c r="B252">
        <v>2.6533000000000001E-2</v>
      </c>
      <c r="C252">
        <v>2.7543000000000002E-2</v>
      </c>
      <c r="D252">
        <v>2.2734999999999998E-2</v>
      </c>
      <c r="E252">
        <v>2.6061000000000001E-2</v>
      </c>
      <c r="F252">
        <v>668341195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0.38352745424292861</v>
      </c>
      <c r="Q252">
        <f t="shared" si="960"/>
        <v>256327197.08402672</v>
      </c>
      <c r="R252">
        <f t="shared" si="961"/>
        <v>-1502789751.3310442</v>
      </c>
      <c r="S252">
        <f t="shared" si="962"/>
        <v>-15027.897513310441</v>
      </c>
      <c r="T252">
        <f t="shared" si="963"/>
        <v>-15.027897513310441</v>
      </c>
    </row>
    <row r="253" spans="1:20" x14ac:dyDescent="0.25">
      <c r="A253" s="5">
        <v>44340</v>
      </c>
      <c r="B253">
        <v>2.3345000000000001E-2</v>
      </c>
      <c r="C253">
        <v>2.81E-2</v>
      </c>
      <c r="D253">
        <v>2.1583000000000001E-2</v>
      </c>
      <c r="E253">
        <v>2.6466E-2</v>
      </c>
      <c r="F253">
        <v>902978810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0.49854227405247803</v>
      </c>
      <c r="Q253">
        <f t="shared" si="960"/>
        <v>450173109.3586005</v>
      </c>
      <c r="R253">
        <f t="shared" si="961"/>
        <v>-1759116948.415071</v>
      </c>
      <c r="S253">
        <f t="shared" si="962"/>
        <v>-17591.169484150709</v>
      </c>
      <c r="T253">
        <f t="shared" si="963"/>
        <v>-17.591169484150708</v>
      </c>
    </row>
    <row r="254" spans="1:20" x14ac:dyDescent="0.25">
      <c r="A254" s="5">
        <v>44339</v>
      </c>
      <c r="B254">
        <v>2.9416999999999999E-2</v>
      </c>
      <c r="C254">
        <v>2.9545999999999999E-2</v>
      </c>
      <c r="D254">
        <v>1.8502999999999999E-2</v>
      </c>
      <c r="E254">
        <v>2.3296999999999998E-2</v>
      </c>
      <c r="F254">
        <v>504684571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-0.13175767454496073</v>
      </c>
      <c r="Q254">
        <f t="shared" si="960"/>
        <v>-66496065.453681126</v>
      </c>
      <c r="R254">
        <f t="shared" si="961"/>
        <v>-2209290057.7736716</v>
      </c>
      <c r="S254">
        <f t="shared" si="962"/>
        <v>-22092.900577736717</v>
      </c>
      <c r="T254">
        <f t="shared" si="963"/>
        <v>-22.092900577736717</v>
      </c>
    </row>
    <row r="255" spans="1:20" x14ac:dyDescent="0.25">
      <c r="A255" s="5">
        <v>44338</v>
      </c>
      <c r="B255">
        <v>2.8894E-2</v>
      </c>
      <c r="C255">
        <v>2.9499999999999998E-2</v>
      </c>
      <c r="D255">
        <v>2.5526E-2</v>
      </c>
      <c r="E255">
        <v>2.9405000000000001E-2</v>
      </c>
      <c r="F255">
        <v>504661732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0.95218922999496836</v>
      </c>
      <c r="Q255">
        <f t="shared" si="960"/>
        <v>480533466.00100708</v>
      </c>
      <c r="R255">
        <f t="shared" si="961"/>
        <v>-2142793992.3199906</v>
      </c>
      <c r="S255">
        <f t="shared" si="962"/>
        <v>-21427.939923199905</v>
      </c>
      <c r="T255">
        <f t="shared" si="963"/>
        <v>-21.427939923199904</v>
      </c>
    </row>
    <row r="256" spans="1:20" x14ac:dyDescent="0.25">
      <c r="A256" s="5">
        <v>44337</v>
      </c>
      <c r="B256">
        <v>2.7546000000000001E-2</v>
      </c>
      <c r="C256">
        <v>3.32E-2</v>
      </c>
      <c r="D256">
        <v>2.2724000000000001E-2</v>
      </c>
      <c r="E256">
        <v>2.8818E-2</v>
      </c>
      <c r="F256">
        <v>1009238062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0.16342115311187461</v>
      </c>
      <c r="Q256">
        <f t="shared" si="960"/>
        <v>164930847.8564336</v>
      </c>
      <c r="R256">
        <f t="shared" si="961"/>
        <v>-2623327458.3209977</v>
      </c>
      <c r="S256">
        <f t="shared" si="962"/>
        <v>-26233.274583209975</v>
      </c>
      <c r="T256">
        <f t="shared" si="963"/>
        <v>-26.233274583209976</v>
      </c>
    </row>
    <row r="257" spans="1:20" x14ac:dyDescent="0.25">
      <c r="A257" s="5">
        <v>44336</v>
      </c>
      <c r="B257">
        <v>2.3206000000000001E-2</v>
      </c>
      <c r="C257">
        <v>2.8199999999999999E-2</v>
      </c>
      <c r="D257">
        <v>2.0286999999999999E-2</v>
      </c>
      <c r="E257">
        <v>2.7553999999999999E-2</v>
      </c>
      <c r="F257">
        <v>633415940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0.83672437760647023</v>
      </c>
      <c r="Q257">
        <f t="shared" si="960"/>
        <v>529994558.16251731</v>
      </c>
      <c r="R257">
        <f t="shared" si="961"/>
        <v>-2788258306.1774311</v>
      </c>
      <c r="S257">
        <f t="shared" si="962"/>
        <v>-27882.583061774312</v>
      </c>
      <c r="T257">
        <f t="shared" si="963"/>
        <v>-27.882583061774312</v>
      </c>
    </row>
    <row r="258" spans="1:20" x14ac:dyDescent="0.25">
      <c r="A258" s="5">
        <v>44335</v>
      </c>
      <c r="B258">
        <v>3.5845000000000002E-2</v>
      </c>
      <c r="C258">
        <v>3.6748999999999997E-2</v>
      </c>
      <c r="D258">
        <v>1.54E-2</v>
      </c>
      <c r="E258">
        <v>2.3203999999999999E-2</v>
      </c>
      <c r="F258">
        <v>978126149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-0.26891189282870392</v>
      </c>
      <c r="Q258">
        <f t="shared" si="960"/>
        <v>-263029754.15284088</v>
      </c>
      <c r="R258">
        <f t="shared" si="961"/>
        <v>-3318252864.3399487</v>
      </c>
      <c r="S258">
        <f t="shared" si="962"/>
        <v>-33182.528643399484</v>
      </c>
      <c r="T258">
        <f t="shared" si="963"/>
        <v>-33.182528643399486</v>
      </c>
    </row>
    <row r="259" spans="1:20" x14ac:dyDescent="0.25">
      <c r="A259" s="5">
        <v>44334</v>
      </c>
      <c r="B259">
        <v>3.4507999999999997E-2</v>
      </c>
      <c r="C259">
        <v>3.7999999999999999E-2</v>
      </c>
      <c r="D259">
        <v>3.4048000000000002E-2</v>
      </c>
      <c r="E259">
        <v>3.5873000000000002E-2</v>
      </c>
      <c r="F259">
        <v>337828628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-7.6417004048582218E-2</v>
      </c>
      <c r="Q259">
        <f t="shared" si="960"/>
        <v>-25815851.633602977</v>
      </c>
      <c r="R259">
        <f t="shared" si="961"/>
        <v>-3055223110.1871076</v>
      </c>
      <c r="S259">
        <f t="shared" si="962"/>
        <v>-30552.231101871075</v>
      </c>
      <c r="T259">
        <f t="shared" si="963"/>
        <v>-30.552231101871076</v>
      </c>
    </row>
    <row r="260" spans="1:20" x14ac:dyDescent="0.25">
      <c r="A260" s="5">
        <v>44333</v>
      </c>
      <c r="B260">
        <v>3.7505999999999998E-2</v>
      </c>
      <c r="C260">
        <v>3.7608000000000003E-2</v>
      </c>
      <c r="D260">
        <v>3.1982999999999998E-2</v>
      </c>
      <c r="E260">
        <v>3.4452000000000003E-2</v>
      </c>
      <c r="F260">
        <v>402343328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-0.12213333333333201</v>
      </c>
      <c r="Q260">
        <f t="shared" si="960"/>
        <v>-49139531.793066137</v>
      </c>
      <c r="R260">
        <f t="shared" si="961"/>
        <v>-3029407258.5535045</v>
      </c>
      <c r="S260">
        <f t="shared" si="962"/>
        <v>-30294.072585535043</v>
      </c>
      <c r="T260">
        <f t="shared" si="963"/>
        <v>-30.294072585535044</v>
      </c>
    </row>
    <row r="261" spans="1:20" x14ac:dyDescent="0.25">
      <c r="A261" s="5">
        <v>44332</v>
      </c>
      <c r="B261">
        <v>3.7818999999999998E-2</v>
      </c>
      <c r="C261">
        <v>4.0523999999999998E-2</v>
      </c>
      <c r="D261">
        <v>3.5428000000000001E-2</v>
      </c>
      <c r="E261">
        <v>3.7505999999999998E-2</v>
      </c>
      <c r="F261">
        <v>451643014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-0.18445839874411382</v>
      </c>
      <c r="Q261">
        <f t="shared" si="960"/>
        <v>-83309347.16640538</v>
      </c>
      <c r="R261">
        <f t="shared" si="961"/>
        <v>-2980267726.7604384</v>
      </c>
      <c r="S261">
        <f t="shared" si="962"/>
        <v>-29802.677267604384</v>
      </c>
      <c r="T261">
        <f t="shared" si="963"/>
        <v>-29.802677267604384</v>
      </c>
    </row>
    <row r="262" spans="1:20" x14ac:dyDescent="0.25">
      <c r="A262" s="5">
        <v>44331</v>
      </c>
      <c r="B262">
        <v>4.0077000000000002E-2</v>
      </c>
      <c r="C262">
        <v>4.2901000000000002E-2</v>
      </c>
      <c r="D262">
        <v>3.7245E-2</v>
      </c>
      <c r="E262">
        <v>3.7862E-2</v>
      </c>
      <c r="F262">
        <v>642381926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-0.78182461103253209</v>
      </c>
      <c r="Q262">
        <f t="shared" ref="Q262:Q325" si="965">F262*P262</f>
        <v>-502229999.42927879</v>
      </c>
      <c r="R262">
        <f t="shared" ref="R262:R325" si="966">R263+Q262</f>
        <v>-2896958379.5940332</v>
      </c>
      <c r="S262">
        <f t="shared" ref="S262:S325" si="967">R262/100000</f>
        <v>-28969.583795940332</v>
      </c>
      <c r="T262">
        <f t="shared" ref="T262:T325" si="968">S262/1000</f>
        <v>-28.969583795940334</v>
      </c>
    </row>
    <row r="263" spans="1:20" x14ac:dyDescent="0.25">
      <c r="A263" s="5">
        <v>44330</v>
      </c>
      <c r="B263">
        <v>3.8800000000000001E-2</v>
      </c>
      <c r="C263">
        <v>4.3521999999999998E-2</v>
      </c>
      <c r="D263">
        <v>3.8489000000000002E-2</v>
      </c>
      <c r="E263">
        <v>4.0049000000000001E-2</v>
      </c>
      <c r="F263">
        <v>518793637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-0.38009139678124371</v>
      </c>
      <c r="Q263">
        <f t="shared" si="965"/>
        <v>-197188998.12855151</v>
      </c>
      <c r="R263">
        <f t="shared" si="966"/>
        <v>-2394728380.1647544</v>
      </c>
      <c r="S263">
        <f t="shared" si="967"/>
        <v>-23947.283801647543</v>
      </c>
      <c r="T263">
        <f t="shared" si="968"/>
        <v>-23.947283801647544</v>
      </c>
    </row>
    <row r="264" spans="1:20" x14ac:dyDescent="0.25">
      <c r="A264" s="5">
        <v>44329</v>
      </c>
      <c r="B264">
        <v>3.7991999999999998E-2</v>
      </c>
      <c r="C264">
        <v>4.1265999999999997E-2</v>
      </c>
      <c r="D264">
        <v>3.542E-2</v>
      </c>
      <c r="E264">
        <v>3.884E-2</v>
      </c>
      <c r="F264">
        <v>600512027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0.17003079028395524</v>
      </c>
      <c r="Q264">
        <f t="shared" si="965"/>
        <v>102105534.52582987</v>
      </c>
      <c r="R264">
        <f t="shared" si="966"/>
        <v>-2197539382.0362029</v>
      </c>
      <c r="S264">
        <f t="shared" si="967"/>
        <v>-21975.393820362027</v>
      </c>
      <c r="T264">
        <f t="shared" si="968"/>
        <v>-21.975393820362026</v>
      </c>
    </row>
    <row r="265" spans="1:20" x14ac:dyDescent="0.25">
      <c r="A265" s="5">
        <v>44328</v>
      </c>
      <c r="B265">
        <v>4.6961000000000003E-2</v>
      </c>
      <c r="C265">
        <v>4.7940999999999998E-2</v>
      </c>
      <c r="D265">
        <v>3.7372000000000002E-2</v>
      </c>
      <c r="E265">
        <v>3.8006999999999999E-2</v>
      </c>
      <c r="F265">
        <v>554391526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-0.87983725991106121</v>
      </c>
      <c r="Q265">
        <f t="shared" si="965"/>
        <v>-487774321.15375185</v>
      </c>
      <c r="R265">
        <f t="shared" si="966"/>
        <v>-2299644916.5620327</v>
      </c>
      <c r="S265">
        <f t="shared" si="967"/>
        <v>-22996.449165620328</v>
      </c>
      <c r="T265">
        <f t="shared" si="968"/>
        <v>-22.996449165620326</v>
      </c>
    </row>
    <row r="266" spans="1:20" x14ac:dyDescent="0.25">
      <c r="A266" s="5">
        <v>44327</v>
      </c>
      <c r="B266">
        <v>4.1585999999999998E-2</v>
      </c>
      <c r="C266">
        <v>5.3588999999999998E-2</v>
      </c>
      <c r="D266">
        <v>4.0492E-2</v>
      </c>
      <c r="E266">
        <v>4.6920000000000003E-2</v>
      </c>
      <c r="F266">
        <v>1693629224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-1.8401160571122493E-2</v>
      </c>
      <c r="Q266">
        <f t="shared" si="965"/>
        <v>-31164743.298769586</v>
      </c>
      <c r="R266">
        <f t="shared" si="966"/>
        <v>-1811870595.4082808</v>
      </c>
      <c r="S266">
        <f t="shared" si="967"/>
        <v>-18118.705954082809</v>
      </c>
      <c r="T266">
        <f t="shared" si="968"/>
        <v>-18.118705954082809</v>
      </c>
    </row>
    <row r="267" spans="1:20" x14ac:dyDescent="0.25">
      <c r="A267" s="5">
        <v>44326</v>
      </c>
      <c r="B267">
        <v>4.82E-2</v>
      </c>
      <c r="C267">
        <v>4.8991E-2</v>
      </c>
      <c r="D267">
        <v>3.7997999999999997E-2</v>
      </c>
      <c r="E267">
        <v>4.1592999999999998E-2</v>
      </c>
      <c r="F267">
        <v>572370809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-0.34594742108614573</v>
      </c>
      <c r="Q267">
        <f t="shared" si="965"/>
        <v>-198010205.27854088</v>
      </c>
      <c r="R267">
        <f t="shared" si="966"/>
        <v>-1780705852.1095114</v>
      </c>
      <c r="S267">
        <f t="shared" si="967"/>
        <v>-17807.058521095114</v>
      </c>
      <c r="T267">
        <f t="shared" si="968"/>
        <v>-17.807058521095115</v>
      </c>
    </row>
    <row r="268" spans="1:20" x14ac:dyDescent="0.25">
      <c r="A268" s="5">
        <v>44325</v>
      </c>
      <c r="B268">
        <v>4.9672000000000001E-2</v>
      </c>
      <c r="C268">
        <v>5.0160000000000003E-2</v>
      </c>
      <c r="D268">
        <v>4.5282999999999997E-2</v>
      </c>
      <c r="E268">
        <v>4.8160000000000001E-2</v>
      </c>
      <c r="F268">
        <v>360876963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0.17982366208734912</v>
      </c>
      <c r="Q268">
        <f t="shared" si="965"/>
        <v>64894217.049620792</v>
      </c>
      <c r="R268">
        <f t="shared" si="966"/>
        <v>-1582695646.8309705</v>
      </c>
      <c r="S268">
        <f t="shared" si="967"/>
        <v>-15826.956468309705</v>
      </c>
      <c r="T268">
        <f t="shared" si="968"/>
        <v>-15.826956468309705</v>
      </c>
    </row>
    <row r="269" spans="1:20" x14ac:dyDescent="0.25">
      <c r="A269" s="5">
        <v>44324</v>
      </c>
      <c r="B269">
        <v>5.0494999999999998E-2</v>
      </c>
      <c r="C269">
        <v>5.2118999999999999E-2</v>
      </c>
      <c r="D269">
        <v>4.8816999999999999E-2</v>
      </c>
      <c r="E269">
        <v>4.9666000000000002E-2</v>
      </c>
      <c r="F269">
        <v>260750265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-0.48576620230163375</v>
      </c>
      <c r="Q269">
        <f t="shared" si="965"/>
        <v>-126663665.97819461</v>
      </c>
      <c r="R269">
        <f t="shared" si="966"/>
        <v>-1647589863.8805914</v>
      </c>
      <c r="S269">
        <f t="shared" si="967"/>
        <v>-16475.898638805913</v>
      </c>
      <c r="T269">
        <f t="shared" si="968"/>
        <v>-16.475898638805912</v>
      </c>
    </row>
    <row r="270" spans="1:20" x14ac:dyDescent="0.25">
      <c r="A270" s="5">
        <v>44323</v>
      </c>
      <c r="B270">
        <v>5.0359000000000001E-2</v>
      </c>
      <c r="C270">
        <v>5.3462000000000003E-2</v>
      </c>
      <c r="D270">
        <v>4.7447999999999997E-2</v>
      </c>
      <c r="E270">
        <v>5.0455E-2</v>
      </c>
      <c r="F270">
        <v>553729123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</v>
      </c>
      <c r="Q270">
        <f t="shared" si="965"/>
        <v>0</v>
      </c>
      <c r="R270">
        <f t="shared" si="966"/>
        <v>-1520926197.9023967</v>
      </c>
      <c r="S270">
        <f t="shared" si="967"/>
        <v>-15209.261979023966</v>
      </c>
      <c r="T270">
        <f t="shared" si="968"/>
        <v>-15.209261979023966</v>
      </c>
    </row>
    <row r="271" spans="1:20" x14ac:dyDescent="0.25">
      <c r="A271" s="5">
        <v>44322</v>
      </c>
      <c r="B271">
        <v>5.3415999999999998E-2</v>
      </c>
      <c r="C271">
        <v>5.3741999999999998E-2</v>
      </c>
      <c r="D271">
        <v>4.7800000000000002E-2</v>
      </c>
      <c r="E271">
        <v>5.0256000000000002E-2</v>
      </c>
      <c r="F271">
        <v>479126079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-0.17334230898687258</v>
      </c>
      <c r="Q271">
        <f t="shared" si="965"/>
        <v>-83052820.829686731</v>
      </c>
      <c r="R271">
        <f t="shared" si="966"/>
        <v>-1520926197.9023967</v>
      </c>
      <c r="S271">
        <f t="shared" si="967"/>
        <v>-15209.261979023966</v>
      </c>
      <c r="T271">
        <f t="shared" si="968"/>
        <v>-15.209261979023966</v>
      </c>
    </row>
    <row r="272" spans="1:20" x14ac:dyDescent="0.25">
      <c r="A272" s="5">
        <v>44321</v>
      </c>
      <c r="B272">
        <v>4.8703999999999997E-2</v>
      </c>
      <c r="C272">
        <v>5.6000000000000001E-2</v>
      </c>
      <c r="D272">
        <v>4.6913000000000003E-2</v>
      </c>
      <c r="E272">
        <v>5.3415999999999998E-2</v>
      </c>
      <c r="F272">
        <v>859791664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0.43127544844282961</v>
      </c>
      <c r="Q272">
        <f t="shared" si="965"/>
        <v>370807035.45900667</v>
      </c>
      <c r="R272">
        <f t="shared" si="966"/>
        <v>-1437873377.07271</v>
      </c>
      <c r="S272">
        <f t="shared" si="967"/>
        <v>-14378.7337707271</v>
      </c>
      <c r="T272">
        <f t="shared" si="968"/>
        <v>-14.3787337707271</v>
      </c>
    </row>
    <row r="273" spans="1:20" x14ac:dyDescent="0.25">
      <c r="A273" s="5">
        <v>44320</v>
      </c>
      <c r="B273">
        <v>5.6857999999999999E-2</v>
      </c>
      <c r="C273">
        <v>5.6857999999999999E-2</v>
      </c>
      <c r="D273">
        <v>4.8071000000000003E-2</v>
      </c>
      <c r="E273">
        <v>4.8814999999999997E-2</v>
      </c>
      <c r="F273">
        <v>521945526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-0.83065892796176288</v>
      </c>
      <c r="Q273">
        <f t="shared" si="965"/>
        <v>-433558711.08159846</v>
      </c>
      <c r="R273">
        <f t="shared" si="966"/>
        <v>-1808680412.5317166</v>
      </c>
      <c r="S273">
        <f t="shared" si="967"/>
        <v>-18086.804125317165</v>
      </c>
      <c r="T273">
        <f t="shared" si="968"/>
        <v>-18.086804125317165</v>
      </c>
    </row>
    <row r="274" spans="1:20" x14ac:dyDescent="0.25">
      <c r="A274" s="5">
        <v>44319</v>
      </c>
      <c r="B274">
        <v>5.7146000000000002E-2</v>
      </c>
      <c r="C274">
        <v>5.8389000000000003E-2</v>
      </c>
      <c r="D274">
        <v>5.5014E-2</v>
      </c>
      <c r="E274">
        <v>5.6848999999999997E-2</v>
      </c>
      <c r="F274">
        <v>387177976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8.7407407407404283E-2</v>
      </c>
      <c r="Q274">
        <f t="shared" si="965"/>
        <v>33842223.087406196</v>
      </c>
      <c r="R274">
        <f t="shared" si="966"/>
        <v>-1375121701.4501181</v>
      </c>
      <c r="S274">
        <f t="shared" si="967"/>
        <v>-13751.217014501181</v>
      </c>
      <c r="T274">
        <f t="shared" si="968"/>
        <v>-13.751217014501181</v>
      </c>
    </row>
    <row r="275" spans="1:20" x14ac:dyDescent="0.25">
      <c r="A275" s="5">
        <v>44318</v>
      </c>
      <c r="B275">
        <v>5.9881999999999998E-2</v>
      </c>
      <c r="C275">
        <v>5.9997000000000002E-2</v>
      </c>
      <c r="D275">
        <v>5.4504999999999998E-2</v>
      </c>
      <c r="E275">
        <v>5.7242000000000001E-2</v>
      </c>
      <c r="F275">
        <v>318459661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-3.2774945375085894E-3</v>
      </c>
      <c r="Q275">
        <f t="shared" si="965"/>
        <v>-1043749.7993443372</v>
      </c>
      <c r="R275">
        <f t="shared" si="966"/>
        <v>-1408963924.5375242</v>
      </c>
      <c r="S275">
        <f t="shared" si="967"/>
        <v>-14089.639245375241</v>
      </c>
      <c r="T275">
        <f t="shared" si="968"/>
        <v>-14.089639245375242</v>
      </c>
    </row>
    <row r="276" spans="1:20" x14ac:dyDescent="0.25">
      <c r="A276" s="5">
        <v>44317</v>
      </c>
      <c r="B276">
        <v>6.2438E-2</v>
      </c>
      <c r="C276">
        <v>6.2613000000000002E-2</v>
      </c>
      <c r="D276">
        <v>5.7186000000000001E-2</v>
      </c>
      <c r="E276">
        <v>5.9785999999999999E-2</v>
      </c>
      <c r="F276">
        <v>808815304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-4.182789754929149E-2</v>
      </c>
      <c r="Q276">
        <f t="shared" si="965"/>
        <v>-33831043.672011055</v>
      </c>
      <c r="R276">
        <f t="shared" si="966"/>
        <v>-1407920174.7381799</v>
      </c>
      <c r="S276">
        <f t="shared" si="967"/>
        <v>-14079.2017473818</v>
      </c>
      <c r="T276">
        <f t="shared" si="968"/>
        <v>-14.0792017473818</v>
      </c>
    </row>
    <row r="277" spans="1:20" x14ac:dyDescent="0.25">
      <c r="A277" s="5">
        <v>44316</v>
      </c>
      <c r="B277">
        <v>5.0467999999999999E-2</v>
      </c>
      <c r="C277">
        <v>6.2996999999999997E-2</v>
      </c>
      <c r="D277">
        <v>4.8557999999999997E-2</v>
      </c>
      <c r="E277">
        <v>6.2359999999999999E-2</v>
      </c>
      <c r="F277">
        <v>771001584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0.91176674284922798</v>
      </c>
      <c r="Q277">
        <f t="shared" si="965"/>
        <v>702973602.9752754</v>
      </c>
      <c r="R277">
        <f t="shared" si="966"/>
        <v>-1374089131.0661688</v>
      </c>
      <c r="S277">
        <f t="shared" si="967"/>
        <v>-13740.891310661687</v>
      </c>
      <c r="T277">
        <f t="shared" si="968"/>
        <v>-13.740891310661688</v>
      </c>
    </row>
    <row r="278" spans="1:20" x14ac:dyDescent="0.25">
      <c r="A278" s="5">
        <v>44315</v>
      </c>
      <c r="B278">
        <v>5.262E-2</v>
      </c>
      <c r="C278">
        <v>5.2810000000000003E-2</v>
      </c>
      <c r="D278">
        <v>4.7310999999999999E-2</v>
      </c>
      <c r="E278">
        <v>5.0477000000000001E-2</v>
      </c>
      <c r="F278">
        <v>401628024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0.1514820876523004</v>
      </c>
      <c r="Q278">
        <f t="shared" si="965"/>
        <v>60839451.535188206</v>
      </c>
      <c r="R278">
        <f t="shared" si="966"/>
        <v>-2077062734.0414443</v>
      </c>
      <c r="S278">
        <f t="shared" si="967"/>
        <v>-20770.627340414441</v>
      </c>
      <c r="T278">
        <f t="shared" si="968"/>
        <v>-20.770627340414443</v>
      </c>
    </row>
    <row r="279" spans="1:20" x14ac:dyDescent="0.25">
      <c r="A279" s="5">
        <v>44314</v>
      </c>
      <c r="B279">
        <v>5.4142999999999997E-2</v>
      </c>
      <c r="C279">
        <v>5.4799E-2</v>
      </c>
      <c r="D279">
        <v>4.6315000000000002E-2</v>
      </c>
      <c r="E279">
        <v>5.2602000000000003E-2</v>
      </c>
      <c r="F279">
        <v>713110577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0.48208392267798256</v>
      </c>
      <c r="Q279">
        <f t="shared" si="965"/>
        <v>343779144.26331955</v>
      </c>
      <c r="R279">
        <f t="shared" si="966"/>
        <v>-2137902185.5766325</v>
      </c>
      <c r="S279">
        <f t="shared" si="967"/>
        <v>-21379.021855766325</v>
      </c>
      <c r="T279">
        <f t="shared" si="968"/>
        <v>-21.379021855766325</v>
      </c>
    </row>
    <row r="280" spans="1:20" x14ac:dyDescent="0.25">
      <c r="A280" s="5">
        <v>44313</v>
      </c>
      <c r="B280">
        <v>4.7391000000000003E-2</v>
      </c>
      <c r="C280">
        <v>5.6370999999999997E-2</v>
      </c>
      <c r="D280">
        <v>4.6337999999999997E-2</v>
      </c>
      <c r="E280">
        <v>5.4219000000000003E-2</v>
      </c>
      <c r="F280">
        <v>779780150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0.57101564836041185</v>
      </c>
      <c r="Q280">
        <f t="shared" si="965"/>
        <v>445266667.93082923</v>
      </c>
      <c r="R280">
        <f t="shared" si="966"/>
        <v>-2481681329.839952</v>
      </c>
      <c r="S280">
        <f t="shared" si="967"/>
        <v>-24816.81329839952</v>
      </c>
      <c r="T280">
        <f t="shared" si="968"/>
        <v>-24.81681329839952</v>
      </c>
    </row>
    <row r="281" spans="1:20" x14ac:dyDescent="0.25">
      <c r="A281" s="5">
        <v>44312</v>
      </c>
      <c r="B281">
        <v>4.0294999999999997E-2</v>
      </c>
      <c r="C281">
        <v>4.7574999999999999E-2</v>
      </c>
      <c r="D281">
        <v>3.9426000000000003E-2</v>
      </c>
      <c r="E281">
        <v>4.7506E-2</v>
      </c>
      <c r="F281">
        <v>440111264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0.98306540679838028</v>
      </c>
      <c r="Q281">
        <f t="shared" si="965"/>
        <v>432658158.78070933</v>
      </c>
      <c r="R281">
        <f t="shared" si="966"/>
        <v>-2926947997.770781</v>
      </c>
      <c r="S281">
        <f t="shared" si="967"/>
        <v>-29269.479977707811</v>
      </c>
      <c r="T281">
        <f t="shared" si="968"/>
        <v>-29.26947997770781</v>
      </c>
    </row>
    <row r="282" spans="1:20" x14ac:dyDescent="0.25">
      <c r="A282" s="5">
        <v>44311</v>
      </c>
      <c r="B282">
        <v>4.0998E-2</v>
      </c>
      <c r="C282">
        <v>4.4600000000000001E-2</v>
      </c>
      <c r="D282">
        <v>3.6946E-2</v>
      </c>
      <c r="E282">
        <v>4.0295999999999998E-2</v>
      </c>
      <c r="F282">
        <v>416063184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-0.12464071073948306</v>
      </c>
      <c r="Q282">
        <f t="shared" si="965"/>
        <v>-51858410.966292314</v>
      </c>
      <c r="R282">
        <f t="shared" si="966"/>
        <v>-3359606156.5514903</v>
      </c>
      <c r="S282">
        <f t="shared" si="967"/>
        <v>-33596.061565514901</v>
      </c>
      <c r="T282">
        <f t="shared" si="968"/>
        <v>-33.596061565514901</v>
      </c>
    </row>
    <row r="283" spans="1:20" x14ac:dyDescent="0.25">
      <c r="A283" s="5">
        <v>44310</v>
      </c>
      <c r="B283">
        <v>4.0202000000000002E-2</v>
      </c>
      <c r="C283">
        <v>4.8869000000000003E-2</v>
      </c>
      <c r="D283">
        <v>3.9080999999999998E-2</v>
      </c>
      <c r="E283">
        <v>4.0939000000000003E-2</v>
      </c>
      <c r="F283">
        <v>1121433887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-0.62035145075602682</v>
      </c>
      <c r="Q283">
        <f t="shared" si="965"/>
        <v>-695683138.72742021</v>
      </c>
      <c r="R283">
        <f t="shared" si="966"/>
        <v>-3307747745.5851979</v>
      </c>
      <c r="S283">
        <f t="shared" si="967"/>
        <v>-33077.477455851978</v>
      </c>
      <c r="T283">
        <f t="shared" si="968"/>
        <v>-33.077477455851977</v>
      </c>
    </row>
    <row r="284" spans="1:20" x14ac:dyDescent="0.25">
      <c r="A284" s="5">
        <v>44309</v>
      </c>
      <c r="B284">
        <v>4.2410999999999997E-2</v>
      </c>
      <c r="C284">
        <v>4.3267E-2</v>
      </c>
      <c r="D284">
        <v>0.03</v>
      </c>
      <c r="E284">
        <v>4.0384999999999997E-2</v>
      </c>
      <c r="F284">
        <v>1150654725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0.5655385543076803</v>
      </c>
      <c r="Q284">
        <f t="shared" si="965"/>
        <v>650739609.68380141</v>
      </c>
      <c r="R284">
        <f t="shared" si="966"/>
        <v>-2612064606.8577776</v>
      </c>
      <c r="S284">
        <f t="shared" si="967"/>
        <v>-26120.646068577775</v>
      </c>
      <c r="T284">
        <f t="shared" si="968"/>
        <v>-26.120646068577773</v>
      </c>
    </row>
    <row r="285" spans="1:20" x14ac:dyDescent="0.25">
      <c r="A285" s="5">
        <v>44308</v>
      </c>
      <c r="B285">
        <v>4.9126000000000003E-2</v>
      </c>
      <c r="C285">
        <v>5.5555E-2</v>
      </c>
      <c r="D285">
        <v>4.2173000000000002E-2</v>
      </c>
      <c r="E285">
        <v>4.2404999999999998E-2</v>
      </c>
      <c r="F285">
        <v>985120858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-0.96532655806307033</v>
      </c>
      <c r="Q285">
        <f t="shared" si="965"/>
        <v>-950963327.12927866</v>
      </c>
      <c r="R285">
        <f t="shared" si="966"/>
        <v>-3262804216.5415788</v>
      </c>
      <c r="S285">
        <f t="shared" si="967"/>
        <v>-32628.042165415787</v>
      </c>
      <c r="T285">
        <f t="shared" si="968"/>
        <v>-32.628042165415785</v>
      </c>
    </row>
    <row r="286" spans="1:20" x14ac:dyDescent="0.25">
      <c r="A286" s="5">
        <v>44307</v>
      </c>
      <c r="B286">
        <v>4.9230000000000003E-2</v>
      </c>
      <c r="C286">
        <v>5.5559999999999998E-2</v>
      </c>
      <c r="D286">
        <v>4.8418999999999997E-2</v>
      </c>
      <c r="E286">
        <v>4.9017999999999999E-2</v>
      </c>
      <c r="F286">
        <v>506561548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-0.83223638145917878</v>
      </c>
      <c r="Q286">
        <f t="shared" si="965"/>
        <v>-421578949.69388008</v>
      </c>
      <c r="R286">
        <f t="shared" si="966"/>
        <v>-2311840889.4123001</v>
      </c>
      <c r="S286">
        <f t="shared" si="967"/>
        <v>-23118.408894123</v>
      </c>
      <c r="T286">
        <f t="shared" si="968"/>
        <v>-23.118408894123</v>
      </c>
    </row>
    <row r="287" spans="1:20" x14ac:dyDescent="0.25">
      <c r="A287" s="5">
        <v>44306</v>
      </c>
      <c r="B287">
        <v>5.0500000000000003E-2</v>
      </c>
      <c r="C287">
        <v>5.1999999999999998E-2</v>
      </c>
      <c r="D287">
        <v>4.1721000000000001E-2</v>
      </c>
      <c r="E287">
        <v>4.9359E-2</v>
      </c>
      <c r="F287">
        <v>628664039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0.48613678373382657</v>
      </c>
      <c r="Q287">
        <f t="shared" si="965"/>
        <v>305616713.96857691</v>
      </c>
      <c r="R287">
        <f t="shared" si="966"/>
        <v>-1890261939.71842</v>
      </c>
      <c r="S287">
        <f t="shared" si="967"/>
        <v>-18902.6193971842</v>
      </c>
      <c r="T287">
        <f t="shared" si="968"/>
        <v>-18.9026193971842</v>
      </c>
    </row>
    <row r="288" spans="1:20" x14ac:dyDescent="0.25">
      <c r="A288" s="5">
        <v>44305</v>
      </c>
      <c r="B288">
        <v>5.6180000000000001E-2</v>
      </c>
      <c r="C288">
        <v>5.7099999999999998E-2</v>
      </c>
      <c r="D288">
        <v>4.8832E-2</v>
      </c>
      <c r="E288">
        <v>5.0569999999999997E-2</v>
      </c>
      <c r="F288">
        <v>575839926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-0.57958393807450481</v>
      </c>
      <c r="Q288">
        <f t="shared" si="965"/>
        <v>-333747572.01161146</v>
      </c>
      <c r="R288">
        <f t="shared" si="966"/>
        <v>-2195878653.6869969</v>
      </c>
      <c r="S288">
        <f t="shared" si="967"/>
        <v>-21958.786536869968</v>
      </c>
      <c r="T288">
        <f t="shared" si="968"/>
        <v>-21.958786536869969</v>
      </c>
    </row>
    <row r="289" spans="1:20" x14ac:dyDescent="0.25">
      <c r="A289" s="5">
        <v>44304</v>
      </c>
      <c r="B289">
        <v>6.5439999999999998E-2</v>
      </c>
      <c r="C289">
        <v>6.9732000000000002E-2</v>
      </c>
      <c r="D289">
        <v>4.4999999999999998E-2</v>
      </c>
      <c r="E289">
        <v>5.6161000000000003E-2</v>
      </c>
      <c r="F289">
        <v>830366869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-9.7444606178230433E-2</v>
      </c>
      <c r="Q289">
        <f t="shared" si="965"/>
        <v>-80914772.533155262</v>
      </c>
      <c r="R289">
        <f t="shared" si="966"/>
        <v>-1862131081.6753855</v>
      </c>
      <c r="S289">
        <f t="shared" si="967"/>
        <v>-18621.310816753856</v>
      </c>
      <c r="T289">
        <f t="shared" si="968"/>
        <v>-18.621310816753855</v>
      </c>
    </row>
    <row r="290" spans="1:20" x14ac:dyDescent="0.25">
      <c r="A290" s="5">
        <v>44303</v>
      </c>
      <c r="B290">
        <v>6.2044000000000002E-2</v>
      </c>
      <c r="C290">
        <v>7.3332999999999995E-2</v>
      </c>
      <c r="D290">
        <v>6.1575999999999999E-2</v>
      </c>
      <c r="E290">
        <v>6.5195000000000003E-2</v>
      </c>
      <c r="F290">
        <v>986558021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-0.38436676022794841</v>
      </c>
      <c r="Q290">
        <f t="shared" si="965"/>
        <v>-379200110.30866629</v>
      </c>
      <c r="R290">
        <f t="shared" si="966"/>
        <v>-1781216309.1422303</v>
      </c>
      <c r="S290">
        <f t="shared" si="967"/>
        <v>-17812.163091422302</v>
      </c>
      <c r="T290">
        <f t="shared" si="968"/>
        <v>-17.812163091422303</v>
      </c>
    </row>
    <row r="291" spans="1:20" x14ac:dyDescent="0.25">
      <c r="A291" s="5">
        <v>44302</v>
      </c>
      <c r="B291">
        <v>6.5865000000000007E-2</v>
      </c>
      <c r="C291">
        <v>6.615E-2</v>
      </c>
      <c r="D291">
        <v>5.6833000000000002E-2</v>
      </c>
      <c r="E291">
        <v>6.2035E-2</v>
      </c>
      <c r="F291">
        <v>849259604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0.11666845551143049</v>
      </c>
      <c r="Q291">
        <f t="shared" si="965"/>
        <v>99081806.326929078</v>
      </c>
      <c r="R291">
        <f t="shared" si="966"/>
        <v>-1402016198.833564</v>
      </c>
      <c r="S291">
        <f t="shared" si="967"/>
        <v>-14020.16198833564</v>
      </c>
      <c r="T291">
        <f t="shared" si="968"/>
        <v>-14.020161988335639</v>
      </c>
    </row>
    <row r="292" spans="1:20" x14ac:dyDescent="0.25">
      <c r="A292" s="5">
        <v>44301</v>
      </c>
      <c r="B292">
        <v>6.3353999999999994E-2</v>
      </c>
      <c r="C292">
        <v>6.7199999999999996E-2</v>
      </c>
      <c r="D292">
        <v>6.2854999999999994E-2</v>
      </c>
      <c r="E292">
        <v>6.5643000000000007E-2</v>
      </c>
      <c r="F292">
        <v>458472564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0.28331415420023548</v>
      </c>
      <c r="Q292">
        <f t="shared" si="965"/>
        <v>129891766.69367333</v>
      </c>
      <c r="R292">
        <f t="shared" si="966"/>
        <v>-1501098005.1604931</v>
      </c>
      <c r="S292">
        <f t="shared" si="967"/>
        <v>-15010.980051604931</v>
      </c>
      <c r="T292">
        <f t="shared" si="968"/>
        <v>-15.01098005160493</v>
      </c>
    </row>
    <row r="293" spans="1:20" x14ac:dyDescent="0.25">
      <c r="A293" s="5">
        <v>44300</v>
      </c>
      <c r="B293">
        <v>7.0932999999999996E-2</v>
      </c>
      <c r="C293">
        <v>7.0994000000000002E-2</v>
      </c>
      <c r="D293">
        <v>5.9299999999999999E-2</v>
      </c>
      <c r="E293">
        <v>6.3253000000000004E-2</v>
      </c>
      <c r="F293">
        <v>693439434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-0.32392680006841046</v>
      </c>
      <c r="Q293">
        <f t="shared" si="965"/>
        <v>-224623616.89686972</v>
      </c>
      <c r="R293">
        <f t="shared" si="966"/>
        <v>-1630989771.8541665</v>
      </c>
      <c r="S293">
        <f t="shared" si="967"/>
        <v>-16309.897718541664</v>
      </c>
      <c r="T293">
        <f t="shared" si="968"/>
        <v>-16.309897718541663</v>
      </c>
    </row>
    <row r="294" spans="1:20" x14ac:dyDescent="0.25">
      <c r="A294" s="5">
        <v>44299</v>
      </c>
      <c r="B294">
        <v>6.794E-2</v>
      </c>
      <c r="C294">
        <v>7.2028999999999996E-2</v>
      </c>
      <c r="D294">
        <v>6.4000000000000001E-2</v>
      </c>
      <c r="E294">
        <v>7.0809999999999998E-2</v>
      </c>
      <c r="F294">
        <v>547461839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0.69635072860879343</v>
      </c>
      <c r="Q294">
        <f t="shared" si="965"/>
        <v>381225450.47315997</v>
      </c>
      <c r="R294">
        <f t="shared" si="966"/>
        <v>-1406366154.9572968</v>
      </c>
      <c r="S294">
        <f t="shared" si="967"/>
        <v>-14063.661549572969</v>
      </c>
      <c r="T294">
        <f t="shared" si="968"/>
        <v>-14.06366154957297</v>
      </c>
    </row>
    <row r="295" spans="1:20" x14ac:dyDescent="0.25">
      <c r="A295" s="5">
        <v>44298</v>
      </c>
      <c r="B295">
        <v>7.2139999999999996E-2</v>
      </c>
      <c r="C295">
        <v>7.2270000000000001E-2</v>
      </c>
      <c r="D295">
        <v>6.6614999999999994E-2</v>
      </c>
      <c r="E295">
        <v>6.8015999999999993E-2</v>
      </c>
      <c r="F295">
        <v>386642701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-0.50450928381962945</v>
      </c>
      <c r="Q295">
        <f t="shared" si="965"/>
        <v>-195064832.17559713</v>
      </c>
      <c r="R295">
        <f t="shared" si="966"/>
        <v>-1787591605.4304569</v>
      </c>
      <c r="S295">
        <f t="shared" si="967"/>
        <v>-17875.916054304569</v>
      </c>
      <c r="T295">
        <f t="shared" si="968"/>
        <v>-17.875916054304568</v>
      </c>
    </row>
    <row r="296" spans="1:20" x14ac:dyDescent="0.25">
      <c r="A296" s="5">
        <v>44297</v>
      </c>
      <c r="B296">
        <v>7.1043999999999996E-2</v>
      </c>
      <c r="C296">
        <v>7.3605000000000004E-2</v>
      </c>
      <c r="D296">
        <v>6.3242000000000007E-2</v>
      </c>
      <c r="E296">
        <v>7.2119000000000003E-2</v>
      </c>
      <c r="F296">
        <v>702156990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0.7132104602914211</v>
      </c>
      <c r="Q296">
        <f t="shared" si="965"/>
        <v>500785710.03473878</v>
      </c>
      <c r="R296">
        <f t="shared" si="966"/>
        <v>-1592526773.2548597</v>
      </c>
      <c r="S296">
        <f t="shared" si="967"/>
        <v>-15925.267732548597</v>
      </c>
      <c r="T296">
        <f t="shared" si="968"/>
        <v>-15.925267732548596</v>
      </c>
    </row>
    <row r="297" spans="1:20" x14ac:dyDescent="0.25">
      <c r="A297" s="5">
        <v>44296</v>
      </c>
      <c r="B297">
        <v>7.5981999999999994E-2</v>
      </c>
      <c r="C297">
        <v>7.6160000000000005E-2</v>
      </c>
      <c r="D297">
        <v>6.8321000000000007E-2</v>
      </c>
      <c r="E297">
        <v>7.1071999999999996E-2</v>
      </c>
      <c r="F297">
        <v>583656290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-0.29812476081133055</v>
      </c>
      <c r="Q297">
        <f t="shared" si="965"/>
        <v>-174002391.85227859</v>
      </c>
      <c r="R297">
        <f t="shared" si="966"/>
        <v>-2093312483.2895985</v>
      </c>
      <c r="S297">
        <f t="shared" si="967"/>
        <v>-20933.124832895985</v>
      </c>
      <c r="T297">
        <f t="shared" si="968"/>
        <v>-20.933124832895984</v>
      </c>
    </row>
    <row r="298" spans="1:20" x14ac:dyDescent="0.25">
      <c r="A298" s="5">
        <v>44295</v>
      </c>
      <c r="B298">
        <v>7.8106999999999996E-2</v>
      </c>
      <c r="C298">
        <v>7.9649999999999999E-2</v>
      </c>
      <c r="D298">
        <v>7.2492000000000001E-2</v>
      </c>
      <c r="E298">
        <v>7.5946E-2</v>
      </c>
      <c r="F298">
        <v>558317896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-3.4925956971221056E-2</v>
      </c>
      <c r="Q298">
        <f t="shared" si="965"/>
        <v>-19499786.811958674</v>
      </c>
      <c r="R298">
        <f t="shared" si="966"/>
        <v>-1919310091.4373198</v>
      </c>
      <c r="S298">
        <f t="shared" si="967"/>
        <v>-19193.100914373197</v>
      </c>
      <c r="T298">
        <f t="shared" si="968"/>
        <v>-19.193100914373197</v>
      </c>
    </row>
    <row r="299" spans="1:20" x14ac:dyDescent="0.25">
      <c r="A299" s="5">
        <v>44294</v>
      </c>
      <c r="B299">
        <v>6.2168000000000001E-2</v>
      </c>
      <c r="C299">
        <v>7.9699999999999993E-2</v>
      </c>
      <c r="D299">
        <v>6.2168000000000001E-2</v>
      </c>
      <c r="E299">
        <v>7.8145000000000006E-2</v>
      </c>
      <c r="F299">
        <v>1021220108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0.8226100844170674</v>
      </c>
      <c r="Q299">
        <f t="shared" si="965"/>
        <v>840065959.2502867</v>
      </c>
      <c r="R299">
        <f t="shared" si="966"/>
        <v>-1899810304.625361</v>
      </c>
      <c r="S299">
        <f t="shared" si="967"/>
        <v>-18998.103046253611</v>
      </c>
      <c r="T299">
        <f t="shared" si="968"/>
        <v>-18.998103046253611</v>
      </c>
    </row>
    <row r="300" spans="1:20" x14ac:dyDescent="0.25">
      <c r="A300" s="5">
        <v>44293</v>
      </c>
      <c r="B300">
        <v>8.2013000000000003E-2</v>
      </c>
      <c r="C300">
        <v>8.2014000000000004E-2</v>
      </c>
      <c r="D300">
        <v>5.6579999999999998E-2</v>
      </c>
      <c r="E300">
        <v>6.2248999999999999E-2</v>
      </c>
      <c r="F300">
        <v>1470565604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-0.55421876228670286</v>
      </c>
      <c r="Q300">
        <f t="shared" si="965"/>
        <v>-815015048.91027761</v>
      </c>
      <c r="R300">
        <f t="shared" si="966"/>
        <v>-2739876263.8756475</v>
      </c>
      <c r="S300">
        <f t="shared" si="967"/>
        <v>-27398.762638756474</v>
      </c>
      <c r="T300">
        <f t="shared" si="968"/>
        <v>-27.398762638756473</v>
      </c>
    </row>
    <row r="301" spans="1:20" x14ac:dyDescent="0.25">
      <c r="A301" s="5">
        <v>44292</v>
      </c>
      <c r="B301">
        <v>7.9647999999999997E-2</v>
      </c>
      <c r="C301">
        <v>8.7702000000000002E-2</v>
      </c>
      <c r="D301">
        <v>7.2150000000000006E-2</v>
      </c>
      <c r="E301">
        <v>8.2200999999999996E-2</v>
      </c>
      <c r="F301">
        <v>930099477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0.29256687242798263</v>
      </c>
      <c r="Q301">
        <f t="shared" si="965"/>
        <v>272116295.03279239</v>
      </c>
      <c r="R301">
        <f t="shared" si="966"/>
        <v>-1924861214.9653699</v>
      </c>
      <c r="S301">
        <f t="shared" si="967"/>
        <v>-19248.612149653698</v>
      </c>
      <c r="T301">
        <f t="shared" si="968"/>
        <v>-19.248612149653699</v>
      </c>
    </row>
    <row r="302" spans="1:20" x14ac:dyDescent="0.25">
      <c r="A302" s="5">
        <v>44291</v>
      </c>
      <c r="B302">
        <v>7.6633000000000007E-2</v>
      </c>
      <c r="C302">
        <v>9.9671999999999997E-2</v>
      </c>
      <c r="D302">
        <v>7.5999999999999998E-2</v>
      </c>
      <c r="E302">
        <v>7.9651E-2</v>
      </c>
      <c r="F302">
        <v>1925035180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-0.6915343021290975</v>
      </c>
      <c r="Q302">
        <f t="shared" si="965"/>
        <v>-1331227859.7752616</v>
      </c>
      <c r="R302">
        <f t="shared" si="966"/>
        <v>-2196977509.9981623</v>
      </c>
      <c r="S302">
        <f t="shared" si="967"/>
        <v>-21969.775099981623</v>
      </c>
      <c r="T302">
        <f t="shared" si="968"/>
        <v>-21.969775099981625</v>
      </c>
    </row>
    <row r="303" spans="1:20" x14ac:dyDescent="0.25">
      <c r="A303" s="5">
        <v>44290</v>
      </c>
      <c r="B303">
        <v>7.1168999999999996E-2</v>
      </c>
      <c r="C303">
        <v>8.0547999999999995E-2</v>
      </c>
      <c r="D303">
        <v>6.9589999999999999E-2</v>
      </c>
      <c r="E303">
        <v>7.6619000000000007E-2</v>
      </c>
      <c r="F303">
        <v>850830363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0.28289833911297868</v>
      </c>
      <c r="Q303">
        <f t="shared" si="965"/>
        <v>240698496.55959275</v>
      </c>
      <c r="R303">
        <f t="shared" si="966"/>
        <v>-865749650.22290087</v>
      </c>
      <c r="S303">
        <f t="shared" si="967"/>
        <v>-8657.4965022290089</v>
      </c>
      <c r="T303">
        <f t="shared" si="968"/>
        <v>-8.6574965022290087</v>
      </c>
    </row>
    <row r="304" spans="1:20" x14ac:dyDescent="0.25">
      <c r="A304" s="5">
        <v>44289</v>
      </c>
      <c r="B304">
        <v>8.4903000000000006E-2</v>
      </c>
      <c r="C304">
        <v>8.77E-2</v>
      </c>
      <c r="D304">
        <v>6.9205000000000003E-2</v>
      </c>
      <c r="E304">
        <v>7.1174000000000001E-2</v>
      </c>
      <c r="F304">
        <v>1241868348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-0.7870775885374427</v>
      </c>
      <c r="Q304">
        <f t="shared" si="965"/>
        <v>-977446744.62481773</v>
      </c>
      <c r="R304">
        <f t="shared" si="966"/>
        <v>-1106448146.7824936</v>
      </c>
      <c r="S304">
        <f t="shared" si="967"/>
        <v>-11064.481467824937</v>
      </c>
      <c r="T304">
        <f t="shared" si="968"/>
        <v>-11.064481467824937</v>
      </c>
    </row>
    <row r="305" spans="1:20" x14ac:dyDescent="0.25">
      <c r="A305" s="5">
        <v>44288</v>
      </c>
      <c r="B305">
        <v>6.4965999999999996E-2</v>
      </c>
      <c r="C305">
        <v>8.7999999999999995E-2</v>
      </c>
      <c r="D305">
        <v>6.2963000000000005E-2</v>
      </c>
      <c r="E305">
        <v>8.4974999999999995E-2</v>
      </c>
      <c r="F305">
        <v>2085488260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0.75835763070655415</v>
      </c>
      <c r="Q305">
        <f t="shared" si="965"/>
        <v>1581545935.7199342</v>
      </c>
      <c r="R305">
        <f t="shared" si="966"/>
        <v>-129001402.15767574</v>
      </c>
      <c r="S305">
        <f t="shared" si="967"/>
        <v>-1290.0140215767574</v>
      </c>
      <c r="T305">
        <f t="shared" si="968"/>
        <v>-1.2900140215767575</v>
      </c>
    </row>
    <row r="306" spans="1:20" x14ac:dyDescent="0.25">
      <c r="A306" s="5">
        <v>44287</v>
      </c>
      <c r="B306">
        <v>6.6012000000000001E-2</v>
      </c>
      <c r="C306">
        <v>7.0300000000000001E-2</v>
      </c>
      <c r="D306">
        <v>6.1212999999999997E-2</v>
      </c>
      <c r="E306">
        <v>6.5093999999999999E-2</v>
      </c>
      <c r="F306">
        <v>944998476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-0.14581269946076802</v>
      </c>
      <c r="Q306">
        <f t="shared" si="965"/>
        <v>-137792778.77187181</v>
      </c>
      <c r="R306">
        <f t="shared" si="966"/>
        <v>-1710547337.87761</v>
      </c>
      <c r="S306">
        <f t="shared" si="967"/>
        <v>-17105.4733787761</v>
      </c>
      <c r="T306">
        <f t="shared" si="968"/>
        <v>-17.1054733787761</v>
      </c>
    </row>
    <row r="307" spans="1:20" x14ac:dyDescent="0.25">
      <c r="A307" s="5">
        <v>44286</v>
      </c>
      <c r="B307">
        <v>5.8040000000000001E-2</v>
      </c>
      <c r="C307">
        <v>7.0937E-2</v>
      </c>
      <c r="D307">
        <v>5.7426999999999999E-2</v>
      </c>
      <c r="E307">
        <v>6.6141000000000005E-2</v>
      </c>
      <c r="F307">
        <v>2196623244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0.2900074019245012</v>
      </c>
      <c r="Q307">
        <f t="shared" si="965"/>
        <v>637036999.99940968</v>
      </c>
      <c r="R307">
        <f t="shared" si="966"/>
        <v>-1572754559.1057382</v>
      </c>
      <c r="S307">
        <f t="shared" si="967"/>
        <v>-15727.545591057382</v>
      </c>
      <c r="T307">
        <f t="shared" si="968"/>
        <v>-15.727545591057382</v>
      </c>
    </row>
    <row r="308" spans="1:20" x14ac:dyDescent="0.25">
      <c r="A308" s="5">
        <v>44285</v>
      </c>
      <c r="B308">
        <v>5.6680000000000001E-2</v>
      </c>
      <c r="C308">
        <v>6.0449999999999997E-2</v>
      </c>
      <c r="D308">
        <v>5.5199999999999999E-2</v>
      </c>
      <c r="E308">
        <v>5.8042000000000003E-2</v>
      </c>
      <c r="F308">
        <v>763301396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8.2666666666668748E-2</v>
      </c>
      <c r="Q308">
        <f t="shared" si="965"/>
        <v>63099582.069334924</v>
      </c>
      <c r="R308">
        <f t="shared" si="966"/>
        <v>-2209791559.1051478</v>
      </c>
      <c r="S308">
        <f t="shared" si="967"/>
        <v>-22097.915591051478</v>
      </c>
      <c r="T308">
        <f t="shared" si="968"/>
        <v>-22.097915591051478</v>
      </c>
    </row>
    <row r="309" spans="1:20" x14ac:dyDescent="0.25">
      <c r="A309" s="5">
        <v>44284</v>
      </c>
      <c r="B309">
        <v>5.6001000000000002E-2</v>
      </c>
      <c r="C309">
        <v>5.9554999999999997E-2</v>
      </c>
      <c r="D309">
        <v>5.4043000000000001E-2</v>
      </c>
      <c r="E309">
        <v>5.6698999999999999E-2</v>
      </c>
      <c r="F309">
        <v>650869016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-3.6284470246734202E-2</v>
      </c>
      <c r="Q309">
        <f t="shared" si="965"/>
        <v>-23616437.445573166</v>
      </c>
      <c r="R309">
        <f t="shared" si="966"/>
        <v>-2272891141.1744828</v>
      </c>
      <c r="S309">
        <f t="shared" si="967"/>
        <v>-22728.91141174483</v>
      </c>
      <c r="T309">
        <f t="shared" si="968"/>
        <v>-22.728911411744829</v>
      </c>
    </row>
    <row r="310" spans="1:20" x14ac:dyDescent="0.25">
      <c r="A310" s="5">
        <v>44283</v>
      </c>
      <c r="B310">
        <v>5.8835999999999999E-2</v>
      </c>
      <c r="C310">
        <v>5.91E-2</v>
      </c>
      <c r="D310">
        <v>5.3114000000000001E-2</v>
      </c>
      <c r="E310">
        <v>5.5921999999999999E-2</v>
      </c>
      <c r="F310">
        <v>627081274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-6.1810892081523953E-2</v>
      </c>
      <c r="Q310">
        <f t="shared" si="965"/>
        <v>-38760452.953558549</v>
      </c>
      <c r="R310">
        <f t="shared" si="966"/>
        <v>-2249274703.7289095</v>
      </c>
      <c r="S310">
        <f t="shared" si="967"/>
        <v>-22492.747037289097</v>
      </c>
      <c r="T310">
        <f t="shared" si="968"/>
        <v>-22.492747037289096</v>
      </c>
    </row>
    <row r="311" spans="1:20" x14ac:dyDescent="0.25">
      <c r="A311" s="5">
        <v>44282</v>
      </c>
      <c r="B311">
        <v>5.5828000000000003E-2</v>
      </c>
      <c r="C311">
        <v>6.0492999999999998E-2</v>
      </c>
      <c r="D311">
        <v>5.3999999999999999E-2</v>
      </c>
      <c r="E311">
        <v>5.8840000000000003E-2</v>
      </c>
      <c r="F311">
        <v>1144918311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0.49083628523024947</v>
      </c>
      <c r="Q311">
        <f t="shared" si="965"/>
        <v>561967450.66333151</v>
      </c>
      <c r="R311">
        <f t="shared" si="966"/>
        <v>-2210514250.775351</v>
      </c>
      <c r="S311">
        <f t="shared" si="967"/>
        <v>-22105.14250775351</v>
      </c>
      <c r="T311">
        <f t="shared" si="968"/>
        <v>-22.105142507753509</v>
      </c>
    </row>
    <row r="312" spans="1:20" x14ac:dyDescent="0.25">
      <c r="A312" s="5">
        <v>44281</v>
      </c>
      <c r="B312">
        <v>5.0652000000000003E-2</v>
      </c>
      <c r="C312">
        <v>5.6000000000000001E-2</v>
      </c>
      <c r="D312">
        <v>4.9700000000000001E-2</v>
      </c>
      <c r="E312">
        <v>5.5821000000000003E-2</v>
      </c>
      <c r="F312">
        <v>889133097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0.94317460317460367</v>
      </c>
      <c r="Q312">
        <f t="shared" si="965"/>
        <v>838607755.93238139</v>
      </c>
      <c r="R312">
        <f t="shared" si="966"/>
        <v>-2772481701.4386826</v>
      </c>
      <c r="S312">
        <f t="shared" si="967"/>
        <v>-27724.817014386826</v>
      </c>
      <c r="T312">
        <f t="shared" si="968"/>
        <v>-27.724817014386826</v>
      </c>
    </row>
    <row r="313" spans="1:20" x14ac:dyDescent="0.25">
      <c r="A313" s="5">
        <v>44280</v>
      </c>
      <c r="B313">
        <v>5.3816000000000003E-2</v>
      </c>
      <c r="C313">
        <v>5.7013000000000001E-2</v>
      </c>
      <c r="D313">
        <v>4.8323999999999999E-2</v>
      </c>
      <c r="E313">
        <v>5.0640999999999999E-2</v>
      </c>
      <c r="F313">
        <v>1077920859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-0.46668201173898055</v>
      </c>
      <c r="Q313">
        <f t="shared" si="965"/>
        <v>-503046274.97352999</v>
      </c>
      <c r="R313">
        <f t="shared" si="966"/>
        <v>-3611089457.3710637</v>
      </c>
      <c r="S313">
        <f t="shared" si="967"/>
        <v>-36110.894573710641</v>
      </c>
      <c r="T313">
        <f t="shared" si="968"/>
        <v>-36.110894573710638</v>
      </c>
    </row>
    <row r="314" spans="1:20" x14ac:dyDescent="0.25">
      <c r="A314" s="5">
        <v>44279</v>
      </c>
      <c r="B314">
        <v>5.0867999999999997E-2</v>
      </c>
      <c r="C314">
        <v>6.6000000000000003E-2</v>
      </c>
      <c r="D314">
        <v>5.0103000000000002E-2</v>
      </c>
      <c r="E314">
        <v>5.3815000000000002E-2</v>
      </c>
      <c r="F314">
        <v>2789480457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-0.53299364659998749</v>
      </c>
      <c r="Q314">
        <f t="shared" si="965"/>
        <v>-1486775360.8958297</v>
      </c>
      <c r="R314">
        <f t="shared" si="966"/>
        <v>-3108043182.3975339</v>
      </c>
      <c r="S314">
        <f t="shared" si="967"/>
        <v>-31080.431823975337</v>
      </c>
      <c r="T314">
        <f t="shared" si="968"/>
        <v>-31.080431823975339</v>
      </c>
    </row>
    <row r="315" spans="1:20" x14ac:dyDescent="0.25">
      <c r="A315" s="5">
        <v>44278</v>
      </c>
      <c r="B315">
        <v>5.2503000000000001E-2</v>
      </c>
      <c r="C315">
        <v>6.2902E-2</v>
      </c>
      <c r="D315">
        <v>4.3763000000000003E-2</v>
      </c>
      <c r="E315">
        <v>5.0881999999999997E-2</v>
      </c>
      <c r="F315">
        <v>3178330727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-0.2560739850566911</v>
      </c>
      <c r="Q315">
        <f t="shared" si="965"/>
        <v>-813887815.09102011</v>
      </c>
      <c r="R315">
        <f t="shared" si="966"/>
        <v>-1621267821.5017042</v>
      </c>
      <c r="S315">
        <f t="shared" si="967"/>
        <v>-16212.678215017042</v>
      </c>
      <c r="T315">
        <f t="shared" si="968"/>
        <v>-16.212678215017043</v>
      </c>
    </row>
    <row r="316" spans="1:20" x14ac:dyDescent="0.25">
      <c r="A316" s="5">
        <v>44277</v>
      </c>
      <c r="B316">
        <v>6.4735000000000001E-2</v>
      </c>
      <c r="C316">
        <v>6.4999000000000001E-2</v>
      </c>
      <c r="D316">
        <v>4.7190999999999997E-2</v>
      </c>
      <c r="E316">
        <v>5.2552000000000001E-2</v>
      </c>
      <c r="F316">
        <v>2013706162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-0.39791105121293763</v>
      </c>
      <c r="Q316">
        <f t="shared" si="965"/>
        <v>-801275935.75539005</v>
      </c>
      <c r="R316">
        <f t="shared" si="966"/>
        <v>-807380006.41068399</v>
      </c>
      <c r="S316">
        <f t="shared" si="967"/>
        <v>-8073.8000641068402</v>
      </c>
      <c r="T316">
        <f t="shared" si="968"/>
        <v>-8.073800064106841</v>
      </c>
    </row>
    <row r="317" spans="1:20" x14ac:dyDescent="0.25">
      <c r="A317" s="5">
        <v>44276</v>
      </c>
      <c r="B317">
        <v>6.0103999999999998E-2</v>
      </c>
      <c r="C317">
        <v>6.7851999999999996E-2</v>
      </c>
      <c r="D317">
        <v>5.6684999999999999E-2</v>
      </c>
      <c r="E317">
        <v>6.4563999999999996E-2</v>
      </c>
      <c r="F317">
        <v>2318554216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0.41112205605802804</v>
      </c>
      <c r="Q317">
        <f t="shared" si="965"/>
        <v>953208776.36392927</v>
      </c>
      <c r="R317">
        <f t="shared" si="966"/>
        <v>-6104070.6552939415</v>
      </c>
      <c r="S317">
        <f t="shared" si="967"/>
        <v>-61.040706552939412</v>
      </c>
      <c r="T317">
        <f t="shared" si="968"/>
        <v>-6.104070655293941E-2</v>
      </c>
    </row>
    <row r="318" spans="1:20" x14ac:dyDescent="0.25">
      <c r="A318" s="5">
        <v>44275</v>
      </c>
      <c r="B318">
        <v>6.6968E-2</v>
      </c>
      <c r="C318">
        <v>8.2988000000000006E-2</v>
      </c>
      <c r="D318">
        <v>5.8413E-2</v>
      </c>
      <c r="E318">
        <v>0.06</v>
      </c>
      <c r="F318">
        <v>6568181919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-0.87084435401831151</v>
      </c>
      <c r="Q318">
        <f t="shared" si="965"/>
        <v>-5719864140.3263083</v>
      </c>
      <c r="R318">
        <f t="shared" si="966"/>
        <v>-959312847.01922321</v>
      </c>
      <c r="S318">
        <f t="shared" si="967"/>
        <v>-9593.1284701922323</v>
      </c>
      <c r="T318">
        <f t="shared" si="968"/>
        <v>-9.5931284701922319</v>
      </c>
    </row>
    <row r="319" spans="1:20" x14ac:dyDescent="0.25">
      <c r="A319" s="5">
        <v>44274</v>
      </c>
      <c r="B319">
        <v>3.8268999999999997E-2</v>
      </c>
      <c r="C319">
        <v>7.2761999999999993E-2</v>
      </c>
      <c r="D319">
        <v>3.8010000000000002E-2</v>
      </c>
      <c r="E319">
        <v>6.6988000000000006E-2</v>
      </c>
      <c r="F319">
        <v>4876213511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0.66770257826887724</v>
      </c>
      <c r="Q319">
        <f t="shared" si="965"/>
        <v>3255860333.4842343</v>
      </c>
      <c r="R319">
        <f t="shared" si="966"/>
        <v>4760551293.307085</v>
      </c>
      <c r="S319">
        <f t="shared" si="967"/>
        <v>47605.512933070851</v>
      </c>
      <c r="T319">
        <f t="shared" si="968"/>
        <v>47.605512933070848</v>
      </c>
    </row>
    <row r="320" spans="1:20" x14ac:dyDescent="0.25">
      <c r="A320" s="5">
        <v>44273</v>
      </c>
      <c r="B320">
        <v>3.8565000000000002E-2</v>
      </c>
      <c r="C320">
        <v>4.1500000000000002E-2</v>
      </c>
      <c r="D320">
        <v>3.3300000000000003E-2</v>
      </c>
      <c r="E320">
        <v>3.8235999999999999E-2</v>
      </c>
      <c r="F320">
        <v>3834250892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0.2039024390243894</v>
      </c>
      <c r="Q320">
        <f t="shared" si="965"/>
        <v>781813108.7102406</v>
      </c>
      <c r="R320">
        <f t="shared" si="966"/>
        <v>1504690959.8228505</v>
      </c>
      <c r="S320">
        <f t="shared" si="967"/>
        <v>15046.909598228505</v>
      </c>
      <c r="T320">
        <f t="shared" si="968"/>
        <v>15.046909598228506</v>
      </c>
    </row>
    <row r="321" spans="1:20" x14ac:dyDescent="0.25">
      <c r="A321" s="5">
        <v>44272</v>
      </c>
      <c r="B321">
        <v>2.6100000000000002E-2</v>
      </c>
      <c r="C321">
        <v>3.8899999999999997E-2</v>
      </c>
      <c r="D321">
        <v>2.4041E-2</v>
      </c>
      <c r="E321">
        <v>3.8565000000000002E-2</v>
      </c>
      <c r="F321">
        <v>10102175662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0.95490948246853824</v>
      </c>
      <c r="Q321">
        <f t="shared" si="965"/>
        <v>9646663333.2066822</v>
      </c>
      <c r="R321">
        <f t="shared" si="966"/>
        <v>722877851.11260986</v>
      </c>
      <c r="S321">
        <f t="shared" si="967"/>
        <v>7228.7785111260982</v>
      </c>
      <c r="T321">
        <f t="shared" si="968"/>
        <v>7.228778511126098</v>
      </c>
    </row>
    <row r="322" spans="1:20" x14ac:dyDescent="0.25">
      <c r="A322" s="5">
        <v>44271</v>
      </c>
      <c r="B322">
        <v>2.1101999999999999E-2</v>
      </c>
      <c r="C322">
        <v>2.7449999999999999E-2</v>
      </c>
      <c r="D322">
        <v>1.9078999999999999E-2</v>
      </c>
      <c r="E322">
        <v>2.6164E-2</v>
      </c>
      <c r="F322">
        <v>1235430591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0.69274877553458392</v>
      </c>
      <c r="Q322">
        <f t="shared" si="965"/>
        <v>855843029.1732173</v>
      </c>
      <c r="R322">
        <f t="shared" si="966"/>
        <v>-8923785482.0940723</v>
      </c>
      <c r="S322">
        <f t="shared" si="967"/>
        <v>-89237.854820940716</v>
      </c>
      <c r="T322">
        <f t="shared" si="968"/>
        <v>-89.237854820940711</v>
      </c>
    </row>
    <row r="323" spans="1:20" x14ac:dyDescent="0.25">
      <c r="A323" s="5">
        <v>44270</v>
      </c>
      <c r="B323">
        <v>2.1552000000000002E-2</v>
      </c>
      <c r="C323">
        <v>2.63E-2</v>
      </c>
      <c r="D323">
        <v>1.9078999999999999E-2</v>
      </c>
      <c r="E323">
        <v>2.1103E-2</v>
      </c>
      <c r="F323">
        <v>1353857432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-0.43941282370862733</v>
      </c>
      <c r="Q323">
        <f t="shared" si="965"/>
        <v>-594902317.09403086</v>
      </c>
      <c r="R323">
        <f t="shared" si="966"/>
        <v>-9779628511.2672901</v>
      </c>
      <c r="S323">
        <f t="shared" si="967"/>
        <v>-97796.285112672907</v>
      </c>
      <c r="T323">
        <f t="shared" si="968"/>
        <v>-97.796285112672905</v>
      </c>
    </row>
    <row r="324" spans="1:20" x14ac:dyDescent="0.25">
      <c r="A324" s="5">
        <v>44269</v>
      </c>
      <c r="B324">
        <v>1.7500999999999999E-2</v>
      </c>
      <c r="C324">
        <v>2.8198000000000001E-2</v>
      </c>
      <c r="D324">
        <v>1.7080999999999999E-2</v>
      </c>
      <c r="E324">
        <v>2.1590000000000002E-2</v>
      </c>
      <c r="F324">
        <v>6070357667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-0.18880993073670921</v>
      </c>
      <c r="Q324">
        <f t="shared" si="965"/>
        <v>-1146143810.6533217</v>
      </c>
      <c r="R324">
        <f t="shared" si="966"/>
        <v>-9184726194.1732597</v>
      </c>
      <c r="S324">
        <f t="shared" si="967"/>
        <v>-91847.261941732591</v>
      </c>
      <c r="T324">
        <f t="shared" si="968"/>
        <v>-91.847261941732597</v>
      </c>
    </row>
    <row r="325" spans="1:20" x14ac:dyDescent="0.25">
      <c r="A325" s="5">
        <v>44268</v>
      </c>
      <c r="B325">
        <v>1.2625000000000001E-2</v>
      </c>
      <c r="C325">
        <v>1.89E-2</v>
      </c>
      <c r="D325">
        <v>1.197E-2</v>
      </c>
      <c r="E325">
        <v>1.7565000000000001E-2</v>
      </c>
      <c r="F325">
        <v>1764996703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0.61471861471861489</v>
      </c>
      <c r="Q325">
        <f t="shared" si="965"/>
        <v>1084976328.2510827</v>
      </c>
      <c r="R325">
        <f t="shared" si="966"/>
        <v>-8038582383.5199385</v>
      </c>
      <c r="S325">
        <f t="shared" si="967"/>
        <v>-80385.823835199379</v>
      </c>
      <c r="T325">
        <f t="shared" si="968"/>
        <v>-80.385823835199375</v>
      </c>
    </row>
    <row r="326" spans="1:20" x14ac:dyDescent="0.25">
      <c r="A326" s="5">
        <v>44267</v>
      </c>
      <c r="B326">
        <v>1.2026999999999999E-2</v>
      </c>
      <c r="C326">
        <v>1.2800000000000001E-2</v>
      </c>
      <c r="D326">
        <v>1.1434E-2</v>
      </c>
      <c r="E326">
        <v>1.2584E-2</v>
      </c>
      <c r="F326">
        <v>424884200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0.68374816983894471</v>
      </c>
      <c r="Q326">
        <f t="shared" ref="Q326:Q389" si="970">F326*P326</f>
        <v>290513794.14348418</v>
      </c>
      <c r="R326">
        <f t="shared" ref="R326:R389" si="971">R327+Q326</f>
        <v>-9123558711.7710209</v>
      </c>
      <c r="S326">
        <f t="shared" ref="S326:S389" si="972">R326/100000</f>
        <v>-91235.587117710209</v>
      </c>
      <c r="T326">
        <f t="shared" ref="T326:T389" si="973">S326/1000</f>
        <v>-91.23558711771021</v>
      </c>
    </row>
    <row r="327" spans="1:20" x14ac:dyDescent="0.25">
      <c r="A327" s="5">
        <v>44266</v>
      </c>
      <c r="B327">
        <v>1.2331E-2</v>
      </c>
      <c r="C327">
        <v>1.2373E-2</v>
      </c>
      <c r="D327">
        <v>1.1377999999999999E-2</v>
      </c>
      <c r="E327">
        <v>1.2028E-2</v>
      </c>
      <c r="F327">
        <v>261580473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0.30653266331658402</v>
      </c>
      <c r="Q327">
        <f t="shared" si="970"/>
        <v>80182959.060301796</v>
      </c>
      <c r="R327">
        <f t="shared" si="971"/>
        <v>-9414072505.914505</v>
      </c>
      <c r="S327">
        <f t="shared" si="972"/>
        <v>-94140.725059145043</v>
      </c>
      <c r="T327">
        <f t="shared" si="973"/>
        <v>-94.140725059145041</v>
      </c>
    </row>
    <row r="328" spans="1:20" x14ac:dyDescent="0.25">
      <c r="A328" s="5">
        <v>44265</v>
      </c>
      <c r="B328">
        <v>1.1483E-2</v>
      </c>
      <c r="C328">
        <v>1.34E-2</v>
      </c>
      <c r="D328">
        <v>1.0933999999999999E-2</v>
      </c>
      <c r="E328">
        <v>1.2367E-2</v>
      </c>
      <c r="F328">
        <v>871876039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0.16220600162205967</v>
      </c>
      <c r="Q328">
        <f t="shared" si="970"/>
        <v>141423526.19626895</v>
      </c>
      <c r="R328">
        <f t="shared" si="971"/>
        <v>-9494255464.9748077</v>
      </c>
      <c r="S328">
        <f t="shared" si="972"/>
        <v>-94942.554649748083</v>
      </c>
      <c r="T328">
        <f t="shared" si="973"/>
        <v>-94.942554649748089</v>
      </c>
    </row>
    <row r="329" spans="1:20" x14ac:dyDescent="0.25">
      <c r="A329" s="5">
        <v>44264</v>
      </c>
      <c r="B329">
        <v>1.1037999999999999E-2</v>
      </c>
      <c r="C329">
        <v>1.15E-2</v>
      </c>
      <c r="D329">
        <v>1.0626E-2</v>
      </c>
      <c r="E329">
        <v>1.1483999999999999E-2</v>
      </c>
      <c r="F329">
        <v>313026829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0.9633867276887863</v>
      </c>
      <c r="Q329">
        <f t="shared" si="970"/>
        <v>301565892.46910727</v>
      </c>
      <c r="R329">
        <f t="shared" si="971"/>
        <v>-9635678991.1710758</v>
      </c>
      <c r="S329">
        <f t="shared" si="972"/>
        <v>-96356.789911710759</v>
      </c>
      <c r="T329">
        <f t="shared" si="973"/>
        <v>-96.356789911710763</v>
      </c>
    </row>
    <row r="330" spans="1:20" x14ac:dyDescent="0.25">
      <c r="A330" s="5">
        <v>44263</v>
      </c>
      <c r="B330">
        <v>1.0763999999999999E-2</v>
      </c>
      <c r="C330">
        <v>1.106E-2</v>
      </c>
      <c r="D330">
        <v>1.0343E-2</v>
      </c>
      <c r="E330">
        <v>1.0991000000000001E-2</v>
      </c>
      <c r="F330">
        <v>168849657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0.80753138075313935</v>
      </c>
      <c r="Q330">
        <f t="shared" si="970"/>
        <v>136351396.65690398</v>
      </c>
      <c r="R330">
        <f t="shared" si="971"/>
        <v>-9937244883.6401825</v>
      </c>
      <c r="S330">
        <f t="shared" si="972"/>
        <v>-99372.448836401818</v>
      </c>
      <c r="T330">
        <f t="shared" si="973"/>
        <v>-99.372448836401816</v>
      </c>
    </row>
    <row r="331" spans="1:20" x14ac:dyDescent="0.25">
      <c r="A331" s="5">
        <v>44262</v>
      </c>
      <c r="B331">
        <v>1.0829999999999999E-2</v>
      </c>
      <c r="C331">
        <v>1.0914999999999999E-2</v>
      </c>
      <c r="D331">
        <v>1.0404E-2</v>
      </c>
      <c r="E331">
        <v>1.0754E-2</v>
      </c>
      <c r="F331">
        <v>221882310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0.36986301369863051</v>
      </c>
      <c r="Q331">
        <f t="shared" si="970"/>
        <v>82066059.863013774</v>
      </c>
      <c r="R331">
        <f t="shared" si="971"/>
        <v>-10073596280.297087</v>
      </c>
      <c r="S331">
        <f t="shared" si="972"/>
        <v>-100735.96280297087</v>
      </c>
      <c r="T331">
        <f t="shared" si="973"/>
        <v>-100.73596280297087</v>
      </c>
    </row>
    <row r="332" spans="1:20" x14ac:dyDescent="0.25">
      <c r="A332" s="5">
        <v>44261</v>
      </c>
      <c r="B332">
        <v>1.059E-2</v>
      </c>
      <c r="C332">
        <v>1.1135000000000001E-2</v>
      </c>
      <c r="D332">
        <v>9.7000000000000003E-3</v>
      </c>
      <c r="E332">
        <v>1.0831E-2</v>
      </c>
      <c r="F332">
        <v>496551099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0.57630662020905876</v>
      </c>
      <c r="Q332">
        <f t="shared" si="970"/>
        <v>286165685.62578374</v>
      </c>
      <c r="R332">
        <f t="shared" si="971"/>
        <v>-10155662340.160101</v>
      </c>
      <c r="S332">
        <f t="shared" si="972"/>
        <v>-101556.62340160101</v>
      </c>
      <c r="T332">
        <f t="shared" si="973"/>
        <v>-101.55662340160102</v>
      </c>
    </row>
    <row r="333" spans="1:20" x14ac:dyDescent="0.25">
      <c r="A333" s="5">
        <v>44260</v>
      </c>
      <c r="B333">
        <v>9.8329999999999997E-3</v>
      </c>
      <c r="C333">
        <v>1.0697E-2</v>
      </c>
      <c r="D333">
        <v>9.0880000000000006E-3</v>
      </c>
      <c r="E333">
        <v>1.0579E-2</v>
      </c>
      <c r="F333">
        <v>324440033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0.85332504661280284</v>
      </c>
      <c r="Q333">
        <f t="shared" si="970"/>
        <v>276852806.28278428</v>
      </c>
      <c r="R333">
        <f t="shared" si="971"/>
        <v>-10441828025.785885</v>
      </c>
      <c r="S333">
        <f t="shared" si="972"/>
        <v>-104418.28025785885</v>
      </c>
      <c r="T333">
        <f t="shared" si="973"/>
        <v>-104.41828025785884</v>
      </c>
    </row>
    <row r="334" spans="1:20" x14ac:dyDescent="0.25">
      <c r="A334" s="5">
        <v>44259</v>
      </c>
      <c r="B334">
        <v>1.0262E-2</v>
      </c>
      <c r="C334">
        <v>1.0500000000000001E-2</v>
      </c>
      <c r="D334">
        <v>9.4179999999999993E-3</v>
      </c>
      <c r="E334">
        <v>9.8720000000000006E-3</v>
      </c>
      <c r="F334">
        <v>347898463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-0.16081330868761423</v>
      </c>
      <c r="Q334">
        <f t="shared" si="970"/>
        <v>-55946702.922365539</v>
      </c>
      <c r="R334">
        <f t="shared" si="971"/>
        <v>-10718680832.068668</v>
      </c>
      <c r="S334">
        <f t="shared" si="972"/>
        <v>-107186.80832068669</v>
      </c>
      <c r="T334">
        <f t="shared" si="973"/>
        <v>-107.18680832068668</v>
      </c>
    </row>
    <row r="335" spans="1:20" x14ac:dyDescent="0.25">
      <c r="A335" s="5">
        <v>44258</v>
      </c>
      <c r="B335">
        <v>9.5689999999999994E-3</v>
      </c>
      <c r="C335">
        <v>1.031E-2</v>
      </c>
      <c r="D335">
        <v>9.41E-3</v>
      </c>
      <c r="E335">
        <v>1.0260999999999999E-2</v>
      </c>
      <c r="F335">
        <v>262973298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0.89111111111111008</v>
      </c>
      <c r="Q335">
        <f t="shared" si="970"/>
        <v>234338427.77333307</v>
      </c>
      <c r="R335">
        <f t="shared" si="971"/>
        <v>-10662734129.146303</v>
      </c>
      <c r="S335">
        <f t="shared" si="972"/>
        <v>-106627.34129146303</v>
      </c>
      <c r="T335">
        <f t="shared" si="973"/>
        <v>-106.62734129146303</v>
      </c>
    </row>
    <row r="336" spans="1:20" x14ac:dyDescent="0.25">
      <c r="A336" s="5">
        <v>44257</v>
      </c>
      <c r="B336">
        <v>9.9080000000000001E-3</v>
      </c>
      <c r="C336">
        <v>0.01</v>
      </c>
      <c r="D336">
        <v>9.3050000000000008E-3</v>
      </c>
      <c r="E336">
        <v>9.554E-3</v>
      </c>
      <c r="F336">
        <v>202215185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-0.28345323741007361</v>
      </c>
      <c r="Q336">
        <f t="shared" si="970"/>
        <v>-57318548.841726959</v>
      </c>
      <c r="R336">
        <f t="shared" si="971"/>
        <v>-10897072556.919636</v>
      </c>
      <c r="S336">
        <f t="shared" si="972"/>
        <v>-108970.72556919635</v>
      </c>
      <c r="T336">
        <f t="shared" si="973"/>
        <v>-108.97072556919635</v>
      </c>
    </row>
    <row r="337" spans="1:20" x14ac:dyDescent="0.25">
      <c r="A337" s="5">
        <v>44256</v>
      </c>
      <c r="B337">
        <v>9.0410000000000004E-3</v>
      </c>
      <c r="C337">
        <v>9.9989999999999992E-3</v>
      </c>
      <c r="D337">
        <v>8.9890000000000005E-3</v>
      </c>
      <c r="E337">
        <v>9.9069999999999991E-3</v>
      </c>
      <c r="F337">
        <v>253846710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0.81782178217821744</v>
      </c>
      <c r="Q337">
        <f t="shared" si="970"/>
        <v>207601368.77227712</v>
      </c>
      <c r="R337">
        <f t="shared" si="971"/>
        <v>-10839754008.077909</v>
      </c>
      <c r="S337">
        <f t="shared" si="972"/>
        <v>-108397.5400807791</v>
      </c>
      <c r="T337">
        <f t="shared" si="973"/>
        <v>-108.39754008077909</v>
      </c>
    </row>
    <row r="338" spans="1:20" x14ac:dyDescent="0.25">
      <c r="A338" s="5">
        <v>44255</v>
      </c>
      <c r="B338">
        <v>9.6170000000000005E-3</v>
      </c>
      <c r="C338">
        <v>1.03E-2</v>
      </c>
      <c r="D338">
        <v>8.4600000000000005E-3</v>
      </c>
      <c r="E338">
        <v>9.0270000000000003E-3</v>
      </c>
      <c r="F338">
        <v>380841566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-0.38369565217391316</v>
      </c>
      <c r="Q338">
        <f t="shared" si="970"/>
        <v>-146127253.04130438</v>
      </c>
      <c r="R338">
        <f t="shared" si="971"/>
        <v>-11047355376.850187</v>
      </c>
      <c r="S338">
        <f t="shared" si="972"/>
        <v>-110473.55376850188</v>
      </c>
      <c r="T338">
        <f t="shared" si="973"/>
        <v>-110.47355376850187</v>
      </c>
    </row>
    <row r="339" spans="1:20" x14ac:dyDescent="0.25">
      <c r="A339" s="5">
        <v>44254</v>
      </c>
      <c r="B339">
        <v>8.9730000000000001E-3</v>
      </c>
      <c r="C339">
        <v>1.0926999999999999E-2</v>
      </c>
      <c r="D339">
        <v>8.9440000000000006E-3</v>
      </c>
      <c r="E339">
        <v>9.6539999999999994E-3</v>
      </c>
      <c r="F339">
        <v>594166720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-0.2839132627332332</v>
      </c>
      <c r="Q339">
        <f t="shared" si="970"/>
        <v>-168691812.08270341</v>
      </c>
      <c r="R339">
        <f t="shared" si="971"/>
        <v>-10901228123.808884</v>
      </c>
      <c r="S339">
        <f t="shared" si="972"/>
        <v>-109012.28123808884</v>
      </c>
      <c r="T339">
        <f t="shared" si="973"/>
        <v>-109.01228123808883</v>
      </c>
    </row>
    <row r="340" spans="1:20" x14ac:dyDescent="0.25">
      <c r="A340" s="5">
        <v>44253</v>
      </c>
      <c r="B340">
        <v>8.9300000000000004E-3</v>
      </c>
      <c r="C340">
        <v>9.4970000000000002E-3</v>
      </c>
      <c r="D340">
        <v>8.4010000000000005E-3</v>
      </c>
      <c r="E340">
        <v>8.9630000000000005E-3</v>
      </c>
      <c r="F340">
        <v>362933370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2.5547445255474685E-2</v>
      </c>
      <c r="Q340">
        <f t="shared" si="970"/>
        <v>9272020.4014599379</v>
      </c>
      <c r="R340">
        <f t="shared" si="971"/>
        <v>-10732536311.726181</v>
      </c>
      <c r="S340">
        <f t="shared" si="972"/>
        <v>-107325.3631172618</v>
      </c>
      <c r="T340">
        <f t="shared" si="973"/>
        <v>-107.3253631172618</v>
      </c>
    </row>
    <row r="341" spans="1:20" x14ac:dyDescent="0.25">
      <c r="A341" s="5">
        <v>44252</v>
      </c>
      <c r="B341">
        <v>9.1140000000000006E-3</v>
      </c>
      <c r="C341">
        <v>1.0442999999999999E-2</v>
      </c>
      <c r="D341">
        <v>8.8050000000000003E-3</v>
      </c>
      <c r="E341">
        <v>8.9619999999999995E-3</v>
      </c>
      <c r="F341">
        <v>626344001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-0.80830280830280921</v>
      </c>
      <c r="Q341">
        <f t="shared" si="970"/>
        <v>-506275614.97191751</v>
      </c>
      <c r="R341">
        <f t="shared" si="971"/>
        <v>-10741808332.127642</v>
      </c>
      <c r="S341">
        <f t="shared" si="972"/>
        <v>-107418.08332127641</v>
      </c>
      <c r="T341">
        <f t="shared" si="973"/>
        <v>-107.41808332127641</v>
      </c>
    </row>
    <row r="342" spans="1:20" x14ac:dyDescent="0.25">
      <c r="A342" s="5">
        <v>44251</v>
      </c>
      <c r="B342">
        <v>9.2999999999999992E-3</v>
      </c>
      <c r="C342">
        <v>9.6030000000000004E-3</v>
      </c>
      <c r="D342">
        <v>8.5269999999999999E-3</v>
      </c>
      <c r="E342">
        <v>9.1179999999999994E-3</v>
      </c>
      <c r="F342">
        <v>585854794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9.851301115241487E-2</v>
      </c>
      <c r="Q342">
        <f t="shared" si="970"/>
        <v>57714319.855017714</v>
      </c>
      <c r="R342">
        <f t="shared" si="971"/>
        <v>-10235532717.155724</v>
      </c>
      <c r="S342">
        <f t="shared" si="972"/>
        <v>-102355.32717155723</v>
      </c>
      <c r="T342">
        <f t="shared" si="973"/>
        <v>-102.35532717155724</v>
      </c>
    </row>
    <row r="343" spans="1:20" x14ac:dyDescent="0.25">
      <c r="A343" s="5">
        <v>44250</v>
      </c>
      <c r="B343">
        <v>1.1323E-2</v>
      </c>
      <c r="C343">
        <v>1.1558000000000001E-2</v>
      </c>
      <c r="D343">
        <v>7.535E-3</v>
      </c>
      <c r="E343">
        <v>9.2999999999999992E-3</v>
      </c>
      <c r="F343">
        <v>1069770860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-0.12254536415610293</v>
      </c>
      <c r="Q343">
        <f t="shared" si="970"/>
        <v>-131095459.6022874</v>
      </c>
      <c r="R343">
        <f t="shared" si="971"/>
        <v>-10293247037.010742</v>
      </c>
      <c r="S343">
        <f t="shared" si="972"/>
        <v>-102932.47037010742</v>
      </c>
      <c r="T343">
        <f t="shared" si="973"/>
        <v>-102.93247037010742</v>
      </c>
    </row>
    <row r="344" spans="1:20" x14ac:dyDescent="0.25">
      <c r="A344" s="5">
        <v>44249</v>
      </c>
      <c r="B344">
        <v>1.338E-2</v>
      </c>
      <c r="C344">
        <v>1.3446E-2</v>
      </c>
      <c r="D344">
        <v>9.4889999999999992E-3</v>
      </c>
      <c r="E344">
        <v>1.1332E-2</v>
      </c>
      <c r="F344">
        <v>945940413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-6.8486226939600367E-2</v>
      </c>
      <c r="Q344">
        <f t="shared" si="970"/>
        <v>-64783889.796057299</v>
      </c>
      <c r="R344">
        <f t="shared" si="971"/>
        <v>-10162151577.408455</v>
      </c>
      <c r="S344">
        <f t="shared" si="972"/>
        <v>-101621.51577408455</v>
      </c>
      <c r="T344">
        <f t="shared" si="973"/>
        <v>-101.62151577408454</v>
      </c>
    </row>
    <row r="345" spans="1:20" x14ac:dyDescent="0.25">
      <c r="A345" s="5">
        <v>44248</v>
      </c>
      <c r="B345">
        <v>1.2985E-2</v>
      </c>
      <c r="C345">
        <v>1.489E-2</v>
      </c>
      <c r="D345">
        <v>1.2E-2</v>
      </c>
      <c r="E345">
        <v>1.3348E-2</v>
      </c>
      <c r="F345">
        <v>1608199617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-6.7128027681660804E-2</v>
      </c>
      <c r="Q345">
        <f t="shared" si="970"/>
        <v>-107955268.40761231</v>
      </c>
      <c r="R345">
        <f t="shared" si="971"/>
        <v>-10097367687.612398</v>
      </c>
      <c r="S345">
        <f t="shared" si="972"/>
        <v>-100973.67687612398</v>
      </c>
      <c r="T345">
        <f t="shared" si="973"/>
        <v>-100.97367687612397</v>
      </c>
    </row>
    <row r="346" spans="1:20" x14ac:dyDescent="0.25">
      <c r="A346" s="5">
        <v>44247</v>
      </c>
      <c r="B346">
        <v>1.1135000000000001E-2</v>
      </c>
      <c r="C346">
        <v>1.49E-2</v>
      </c>
      <c r="D346">
        <v>1.0600999999999999E-2</v>
      </c>
      <c r="E346">
        <v>1.2987E-2</v>
      </c>
      <c r="F346">
        <v>1997968070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0.11002558734589465</v>
      </c>
      <c r="Q346">
        <f t="shared" si="970"/>
        <v>219827610.40009356</v>
      </c>
      <c r="R346">
        <f t="shared" si="971"/>
        <v>-9989412419.2047863</v>
      </c>
      <c r="S346">
        <f t="shared" si="972"/>
        <v>-99894.124192047864</v>
      </c>
      <c r="T346">
        <f t="shared" si="973"/>
        <v>-99.894124192047869</v>
      </c>
    </row>
    <row r="347" spans="1:20" x14ac:dyDescent="0.25">
      <c r="A347" s="5">
        <v>44246</v>
      </c>
      <c r="B347">
        <v>1.1335E-2</v>
      </c>
      <c r="C347">
        <v>1.149E-2</v>
      </c>
      <c r="D347">
        <v>1.0503999999999999E-2</v>
      </c>
      <c r="E347">
        <v>1.1138E-2</v>
      </c>
      <c r="F347">
        <v>419365134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0.28600405679513263</v>
      </c>
      <c r="Q347">
        <f t="shared" si="970"/>
        <v>119940129.60243441</v>
      </c>
      <c r="R347">
        <f t="shared" si="971"/>
        <v>-10209240029.604879</v>
      </c>
      <c r="S347">
        <f t="shared" si="972"/>
        <v>-102092.4002960488</v>
      </c>
      <c r="T347">
        <f t="shared" si="973"/>
        <v>-102.09240029604879</v>
      </c>
    </row>
    <row r="348" spans="1:20" x14ac:dyDescent="0.25">
      <c r="A348" s="5">
        <v>44245</v>
      </c>
      <c r="B348">
        <v>1.0359E-2</v>
      </c>
      <c r="C348">
        <v>1.15E-2</v>
      </c>
      <c r="D348">
        <v>1.0163E-2</v>
      </c>
      <c r="E348">
        <v>1.1379E-2</v>
      </c>
      <c r="F348">
        <v>731311774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0.81899775617053161</v>
      </c>
      <c r="Q348">
        <f t="shared" si="970"/>
        <v>598942701.96709096</v>
      </c>
      <c r="R348">
        <f t="shared" si="971"/>
        <v>-10329180159.207314</v>
      </c>
      <c r="S348">
        <f t="shared" si="972"/>
        <v>-103291.80159207314</v>
      </c>
      <c r="T348">
        <f t="shared" si="973"/>
        <v>-103.29180159207314</v>
      </c>
    </row>
    <row r="349" spans="1:20" x14ac:dyDescent="0.25">
      <c r="A349" s="5">
        <v>44244</v>
      </c>
      <c r="B349">
        <v>1.0156999999999999E-2</v>
      </c>
      <c r="C349">
        <v>1.0799E-2</v>
      </c>
      <c r="D349">
        <v>9.41E-3</v>
      </c>
      <c r="E349">
        <v>1.0359999999999999E-2</v>
      </c>
      <c r="F349">
        <v>407182189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0.36789056875449921</v>
      </c>
      <c r="Q349">
        <f t="shared" si="970"/>
        <v>149798487.09791198</v>
      </c>
      <c r="R349">
        <f t="shared" si="971"/>
        <v>-10928122861.174404</v>
      </c>
      <c r="S349">
        <f t="shared" si="972"/>
        <v>-109281.22861174404</v>
      </c>
      <c r="T349">
        <f t="shared" si="973"/>
        <v>-109.28122861174404</v>
      </c>
    </row>
    <row r="350" spans="1:20" x14ac:dyDescent="0.25">
      <c r="A350" s="5">
        <v>44243</v>
      </c>
      <c r="B350">
        <v>9.6570000000000007E-3</v>
      </c>
      <c r="C350">
        <v>1.0595E-2</v>
      </c>
      <c r="D350">
        <v>9.5010000000000008E-3</v>
      </c>
      <c r="E350">
        <v>1.0156E-2</v>
      </c>
      <c r="F350">
        <v>618064072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0.19744058500914011</v>
      </c>
      <c r="Q350">
        <f t="shared" si="970"/>
        <v>122030931.94881129</v>
      </c>
      <c r="R350">
        <f t="shared" si="971"/>
        <v>-11077921348.272316</v>
      </c>
      <c r="S350">
        <f t="shared" si="972"/>
        <v>-110779.21348272316</v>
      </c>
      <c r="T350">
        <f t="shared" si="973"/>
        <v>-110.77921348272316</v>
      </c>
    </row>
    <row r="351" spans="1:20" x14ac:dyDescent="0.25">
      <c r="A351" s="5">
        <v>44242</v>
      </c>
      <c r="B351">
        <v>1.0749999999999999E-2</v>
      </c>
      <c r="C351">
        <v>1.0871E-2</v>
      </c>
      <c r="D351">
        <v>8.5229999999999993E-3</v>
      </c>
      <c r="E351">
        <v>9.6679999999999995E-3</v>
      </c>
      <c r="F351">
        <v>582714093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-2.4701873935264365E-2</v>
      </c>
      <c r="Q351">
        <f t="shared" si="970"/>
        <v>-14394130.065587915</v>
      </c>
      <c r="R351">
        <f t="shared" si="971"/>
        <v>-11199952280.221127</v>
      </c>
      <c r="S351">
        <f t="shared" si="972"/>
        <v>-111999.52280221127</v>
      </c>
      <c r="T351">
        <f t="shared" si="973"/>
        <v>-111.99952280221127</v>
      </c>
    </row>
    <row r="352" spans="1:20" x14ac:dyDescent="0.25">
      <c r="A352" s="5">
        <v>44241</v>
      </c>
      <c r="B352">
        <v>1.1547E-2</v>
      </c>
      <c r="C352">
        <v>1.1698999999999999E-2</v>
      </c>
      <c r="D352">
        <v>1.0149999999999999E-2</v>
      </c>
      <c r="E352">
        <v>1.0749999999999999E-2</v>
      </c>
      <c r="F352">
        <v>667724071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-0.22530664945125911</v>
      </c>
      <c r="Q352">
        <f t="shared" si="970"/>
        <v>-150442673.19496465</v>
      </c>
      <c r="R352">
        <f t="shared" si="971"/>
        <v>-11185558150.155539</v>
      </c>
      <c r="S352">
        <f t="shared" si="972"/>
        <v>-111855.58150155538</v>
      </c>
      <c r="T352">
        <f t="shared" si="973"/>
        <v>-111.85558150155538</v>
      </c>
    </row>
    <row r="353" spans="1:20" x14ac:dyDescent="0.25">
      <c r="A353" s="5">
        <v>44240</v>
      </c>
      <c r="B353">
        <v>1.0833000000000001E-2</v>
      </c>
      <c r="C353">
        <v>1.1690000000000001E-2</v>
      </c>
      <c r="D353">
        <v>9.9310000000000006E-3</v>
      </c>
      <c r="E353">
        <v>1.1516999999999999E-2</v>
      </c>
      <c r="F353">
        <v>1189367807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0.80329732802728682</v>
      </c>
      <c r="Q353">
        <f t="shared" si="970"/>
        <v>955415981.40477371</v>
      </c>
      <c r="R353">
        <f t="shared" si="971"/>
        <v>-11035115476.960573</v>
      </c>
      <c r="S353">
        <f t="shared" si="972"/>
        <v>-110351.15476960574</v>
      </c>
      <c r="T353">
        <f t="shared" si="973"/>
        <v>-110.35115476960574</v>
      </c>
    </row>
    <row r="354" spans="1:20" x14ac:dyDescent="0.25">
      <c r="A354" s="5">
        <v>44239</v>
      </c>
      <c r="B354">
        <v>9.979E-3</v>
      </c>
      <c r="C354">
        <v>1.1797E-2</v>
      </c>
      <c r="D354">
        <v>9.9509999999999998E-3</v>
      </c>
      <c r="E354">
        <v>1.0834E-2</v>
      </c>
      <c r="F354">
        <v>1520888361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-4.3336944745395553E-2</v>
      </c>
      <c r="Q354">
        <f t="shared" si="970"/>
        <v>-65910654.864572205</v>
      </c>
      <c r="R354">
        <f t="shared" si="971"/>
        <v>-11990531458.365347</v>
      </c>
      <c r="S354">
        <f t="shared" si="972"/>
        <v>-119905.31458365347</v>
      </c>
      <c r="T354">
        <f t="shared" si="973"/>
        <v>-119.90531458365346</v>
      </c>
    </row>
    <row r="355" spans="1:20" x14ac:dyDescent="0.25">
      <c r="A355" s="5">
        <v>44238</v>
      </c>
      <c r="B355">
        <v>9.2829999999999996E-3</v>
      </c>
      <c r="C355">
        <v>1.0153000000000001E-2</v>
      </c>
      <c r="D355">
        <v>8.9879999999999995E-3</v>
      </c>
      <c r="E355">
        <v>9.9979999999999999E-3</v>
      </c>
      <c r="F355">
        <v>755464880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0.73390557939914081</v>
      </c>
      <c r="Q355">
        <f t="shared" si="970"/>
        <v>554439890.4721024</v>
      </c>
      <c r="R355">
        <f t="shared" si="971"/>
        <v>-11924620803.500774</v>
      </c>
      <c r="S355">
        <f t="shared" si="972"/>
        <v>-119246.20803500774</v>
      </c>
      <c r="T355">
        <f t="shared" si="973"/>
        <v>-119.24620803500774</v>
      </c>
    </row>
    <row r="356" spans="1:20" x14ac:dyDescent="0.25">
      <c r="A356" s="5">
        <v>44237</v>
      </c>
      <c r="B356">
        <v>9.7689999999999999E-3</v>
      </c>
      <c r="C356">
        <v>1.0779E-2</v>
      </c>
      <c r="D356">
        <v>8.6459999999999992E-3</v>
      </c>
      <c r="E356">
        <v>9.2829999999999996E-3</v>
      </c>
      <c r="F356">
        <v>1504499314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-0.40271917487107356</v>
      </c>
      <c r="Q356">
        <f t="shared" si="970"/>
        <v>-605890722.32817626</v>
      </c>
      <c r="R356">
        <f t="shared" si="971"/>
        <v>-12479060693.972878</v>
      </c>
      <c r="S356">
        <f t="shared" si="972"/>
        <v>-124790.60693972878</v>
      </c>
      <c r="T356">
        <f t="shared" si="973"/>
        <v>-124.79060693972878</v>
      </c>
    </row>
    <row r="357" spans="1:20" x14ac:dyDescent="0.25">
      <c r="A357" s="5">
        <v>44236</v>
      </c>
      <c r="B357">
        <v>9.0969999999999992E-3</v>
      </c>
      <c r="C357">
        <v>1.0343E-2</v>
      </c>
      <c r="D357">
        <v>8.7010000000000004E-3</v>
      </c>
      <c r="E357">
        <v>9.7719999999999994E-3</v>
      </c>
      <c r="F357">
        <v>1596446188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0.3045066991473806</v>
      </c>
      <c r="Q357">
        <f t="shared" si="970"/>
        <v>486128559.07429862</v>
      </c>
      <c r="R357">
        <f t="shared" si="971"/>
        <v>-11873169971.644701</v>
      </c>
      <c r="S357">
        <f t="shared" si="972"/>
        <v>-118731.69971644701</v>
      </c>
      <c r="T357">
        <f t="shared" si="973"/>
        <v>-118.73169971644701</v>
      </c>
    </row>
    <row r="358" spans="1:20" x14ac:dyDescent="0.25">
      <c r="A358" s="5">
        <v>44235</v>
      </c>
      <c r="B358">
        <v>9.0539999999999995E-3</v>
      </c>
      <c r="C358">
        <v>9.3869999999999995E-3</v>
      </c>
      <c r="D358">
        <v>8.3000000000000001E-3</v>
      </c>
      <c r="E358">
        <v>9.1000000000000004E-3</v>
      </c>
      <c r="F358">
        <v>1804033035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0.47194112235510727</v>
      </c>
      <c r="Q358">
        <f t="shared" si="970"/>
        <v>851397375.30359054</v>
      </c>
      <c r="R358">
        <f t="shared" si="971"/>
        <v>-12359298530.719</v>
      </c>
      <c r="S358">
        <f t="shared" si="972"/>
        <v>-123592.98530719</v>
      </c>
      <c r="T358">
        <f t="shared" si="973"/>
        <v>-123.59298530719001</v>
      </c>
    </row>
    <row r="359" spans="1:20" x14ac:dyDescent="0.25">
      <c r="A359" s="5">
        <v>44234</v>
      </c>
      <c r="B359">
        <v>9.5490000000000002E-3</v>
      </c>
      <c r="C359">
        <v>9.5499999999999995E-3</v>
      </c>
      <c r="D359">
        <v>8.1150000000000007E-3</v>
      </c>
      <c r="E359">
        <v>9.0379999999999992E-3</v>
      </c>
      <c r="F359">
        <v>1889107289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0.28641114982578292</v>
      </c>
      <c r="Q359">
        <f t="shared" si="970"/>
        <v>541061390.78675759</v>
      </c>
      <c r="R359">
        <f t="shared" si="971"/>
        <v>-13210695906.022591</v>
      </c>
      <c r="S359">
        <f t="shared" si="972"/>
        <v>-132106.9590602259</v>
      </c>
      <c r="T359">
        <f t="shared" si="973"/>
        <v>-132.1069590602259</v>
      </c>
    </row>
    <row r="360" spans="1:20" x14ac:dyDescent="0.25">
      <c r="A360" s="5">
        <v>44233</v>
      </c>
      <c r="B360">
        <v>9.7990000000000004E-3</v>
      </c>
      <c r="C360">
        <v>1.0518E-2</v>
      </c>
      <c r="D360">
        <v>9.2280000000000001E-3</v>
      </c>
      <c r="E360">
        <v>9.5499999999999995E-3</v>
      </c>
      <c r="F360">
        <v>1959927729</v>
      </c>
      <c r="G360">
        <v>0</v>
      </c>
      <c r="L360" t="s">
        <v>8</v>
      </c>
      <c r="M360" t="s">
        <v>7</v>
      </c>
      <c r="N360" t="s">
        <v>7</v>
      </c>
      <c r="P360">
        <f t="shared" si="969"/>
        <v>-0.50077519379845037</v>
      </c>
      <c r="Q360">
        <f t="shared" si="970"/>
        <v>-981483188.32093167</v>
      </c>
      <c r="R360">
        <f t="shared" si="971"/>
        <v>-13751757296.809349</v>
      </c>
      <c r="S360">
        <f t="shared" si="972"/>
        <v>-137517.5729680935</v>
      </c>
      <c r="T360">
        <f t="shared" si="973"/>
        <v>-137.5175729680935</v>
      </c>
    </row>
    <row r="361" spans="1:20" x14ac:dyDescent="0.25">
      <c r="A361" s="5">
        <v>44232</v>
      </c>
      <c r="B361">
        <v>1.001E-2</v>
      </c>
      <c r="C361">
        <v>1.1441E-2</v>
      </c>
      <c r="D361">
        <v>9.1529999999999997E-3</v>
      </c>
      <c r="E361">
        <v>9.8440000000000003E-3</v>
      </c>
      <c r="F361">
        <v>2916379440</v>
      </c>
      <c r="G361">
        <v>0</v>
      </c>
      <c r="L361" t="s">
        <v>7</v>
      </c>
      <c r="M361" t="s">
        <v>7</v>
      </c>
      <c r="N361" t="s">
        <v>7</v>
      </c>
      <c r="P361">
        <f t="shared" si="969"/>
        <v>-0.39597902097902044</v>
      </c>
      <c r="Q361">
        <f t="shared" si="970"/>
        <v>-1154825075.4545438</v>
      </c>
      <c r="R361">
        <f t="shared" si="971"/>
        <v>-12770274108.488417</v>
      </c>
      <c r="S361">
        <f t="shared" si="972"/>
        <v>-127702.74108488417</v>
      </c>
      <c r="T361">
        <f t="shared" si="973"/>
        <v>-127.70274108488417</v>
      </c>
    </row>
    <row r="362" spans="1:20" x14ac:dyDescent="0.25">
      <c r="A362" s="5">
        <v>44231</v>
      </c>
      <c r="B362">
        <v>1.0470999999999999E-2</v>
      </c>
      <c r="C362">
        <v>1.3795E-2</v>
      </c>
      <c r="D362">
        <v>9.2689999999999995E-3</v>
      </c>
      <c r="E362">
        <v>0.01</v>
      </c>
      <c r="F362">
        <v>8278244872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-0.67697746354396793</v>
      </c>
      <c r="Q362">
        <f t="shared" si="970"/>
        <v>-5604185216.0424194</v>
      </c>
      <c r="R362">
        <f t="shared" si="971"/>
        <v>-11615449033.033873</v>
      </c>
      <c r="S362">
        <f t="shared" si="972"/>
        <v>-116154.49033033873</v>
      </c>
      <c r="T362">
        <f t="shared" si="973"/>
        <v>-116.15449033033873</v>
      </c>
    </row>
    <row r="363" spans="1:20" x14ac:dyDescent="0.25">
      <c r="A363" s="5">
        <v>44230</v>
      </c>
      <c r="B363">
        <v>5.1339999999999997E-3</v>
      </c>
      <c r="C363">
        <v>1.7496999999999999E-2</v>
      </c>
      <c r="D363">
        <v>4.9500000000000004E-3</v>
      </c>
      <c r="E363">
        <v>1.0474000000000001E-2</v>
      </c>
      <c r="F363">
        <v>42654421181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-0.11947078983023814</v>
      </c>
      <c r="Q363">
        <f t="shared" si="970"/>
        <v>-5095957388.2457094</v>
      </c>
      <c r="R363">
        <f t="shared" si="971"/>
        <v>-6011263816.9914532</v>
      </c>
      <c r="S363">
        <f t="shared" si="972"/>
        <v>-60112.638169914535</v>
      </c>
      <c r="T363">
        <f t="shared" si="973"/>
        <v>-60.112638169914533</v>
      </c>
    </row>
    <row r="364" spans="1:20" x14ac:dyDescent="0.25">
      <c r="A364" s="5">
        <v>44229</v>
      </c>
      <c r="B364">
        <v>3.0999999999999999E-3</v>
      </c>
      <c r="C364">
        <v>7.456E-3</v>
      </c>
      <c r="D364">
        <v>3.0509999999999999E-3</v>
      </c>
      <c r="E364">
        <v>5.1359999999999999E-3</v>
      </c>
      <c r="F364">
        <v>11070693492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-5.3348467650397267E-2</v>
      </c>
      <c r="Q364">
        <f t="shared" si="970"/>
        <v>-590604533.62542558</v>
      </c>
      <c r="R364">
        <f t="shared" si="971"/>
        <v>-915306428.74574423</v>
      </c>
      <c r="S364">
        <f t="shared" si="972"/>
        <v>-9153.0642874574423</v>
      </c>
      <c r="T364">
        <f t="shared" si="973"/>
        <v>-9.1530642874574415</v>
      </c>
    </row>
    <row r="365" spans="1:20" x14ac:dyDescent="0.25">
      <c r="A365" s="5">
        <v>44228</v>
      </c>
      <c r="B365">
        <v>3.1830000000000001E-3</v>
      </c>
      <c r="C365">
        <v>3.1949999999999999E-3</v>
      </c>
      <c r="D365">
        <v>2.9589999999999998E-3</v>
      </c>
      <c r="E365">
        <v>3.1129999999999999E-3</v>
      </c>
      <c r="F365">
        <v>331496138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0.30508474576271183</v>
      </c>
      <c r="Q365">
        <f t="shared" si="970"/>
        <v>101134414.98305084</v>
      </c>
      <c r="R365">
        <f t="shared" si="971"/>
        <v>-324701895.12031871</v>
      </c>
      <c r="S365">
        <f t="shared" si="972"/>
        <v>-3247.018951203187</v>
      </c>
      <c r="T365">
        <f t="shared" si="973"/>
        <v>-3.2470189512031871</v>
      </c>
    </row>
    <row r="366" spans="1:20" x14ac:dyDescent="0.25">
      <c r="A366" s="5">
        <v>44227</v>
      </c>
      <c r="B366">
        <v>3.3899999999999998E-3</v>
      </c>
      <c r="C366">
        <v>3.6189999999999998E-3</v>
      </c>
      <c r="D366">
        <v>2.9329999999999998E-3</v>
      </c>
      <c r="E366">
        <v>3.1779999999999998E-3</v>
      </c>
      <c r="F366">
        <v>665035231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-0.2857142857142857</v>
      </c>
      <c r="Q366">
        <f t="shared" si="970"/>
        <v>-190010066</v>
      </c>
      <c r="R366">
        <f t="shared" si="971"/>
        <v>-425836310.10336953</v>
      </c>
      <c r="S366">
        <f t="shared" si="972"/>
        <v>-4258.3631010336958</v>
      </c>
      <c r="T366">
        <f t="shared" si="973"/>
        <v>-4.2583631010336962</v>
      </c>
    </row>
    <row r="367" spans="1:20" x14ac:dyDescent="0.25">
      <c r="A367" s="5">
        <v>44226</v>
      </c>
      <c r="B367">
        <v>3.0950000000000001E-3</v>
      </c>
      <c r="C367">
        <v>3.9750000000000002E-3</v>
      </c>
      <c r="D367">
        <v>3.029E-3</v>
      </c>
      <c r="E367">
        <v>3.3909999999999999E-3</v>
      </c>
      <c r="F367">
        <v>1536672247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-0.23467230443974668</v>
      </c>
      <c r="Q367">
        <f t="shared" si="970"/>
        <v>-360614417.37209362</v>
      </c>
      <c r="R367">
        <f t="shared" si="971"/>
        <v>-235826244.10336953</v>
      </c>
      <c r="S367">
        <f t="shared" si="972"/>
        <v>-2358.2624410336953</v>
      </c>
      <c r="T367">
        <f t="shared" si="973"/>
        <v>-2.3582624410336952</v>
      </c>
    </row>
    <row r="368" spans="1:20" x14ac:dyDescent="0.25">
      <c r="A368" s="5">
        <v>44225</v>
      </c>
      <c r="B368">
        <v>2.928E-3</v>
      </c>
      <c r="C368">
        <v>3.5000000000000001E-3</v>
      </c>
      <c r="D368">
        <v>2.8890000000000001E-3</v>
      </c>
      <c r="E368">
        <v>3.081E-3</v>
      </c>
      <c r="F368">
        <v>875561734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-0.37152209492635058</v>
      </c>
      <c r="Q368">
        <f t="shared" si="970"/>
        <v>-325290529.65302813</v>
      </c>
      <c r="R368">
        <f t="shared" si="971"/>
        <v>124788173.26872408</v>
      </c>
      <c r="S368">
        <f t="shared" si="972"/>
        <v>1247.8817326872409</v>
      </c>
      <c r="T368">
        <f t="shared" si="973"/>
        <v>1.2478817326872409</v>
      </c>
    </row>
    <row r="369" spans="1:20" x14ac:dyDescent="0.25">
      <c r="A369" s="5">
        <v>44224</v>
      </c>
      <c r="B369">
        <v>2.5500000000000002E-3</v>
      </c>
      <c r="C369">
        <v>3.055E-3</v>
      </c>
      <c r="D369">
        <v>2.5279999999999999E-3</v>
      </c>
      <c r="E369">
        <v>2.9329999999999998E-3</v>
      </c>
      <c r="F369">
        <v>542086523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0.53700189753320637</v>
      </c>
      <c r="Q369">
        <f t="shared" si="970"/>
        <v>291101491.47817814</v>
      </c>
      <c r="R369">
        <f t="shared" si="971"/>
        <v>450078702.92175221</v>
      </c>
      <c r="S369">
        <f t="shared" si="972"/>
        <v>4500.7870292175221</v>
      </c>
      <c r="T369">
        <f t="shared" si="973"/>
        <v>4.5007870292175225</v>
      </c>
    </row>
    <row r="370" spans="1:20" x14ac:dyDescent="0.25">
      <c r="A370" s="5">
        <v>44223</v>
      </c>
      <c r="B370">
        <v>2.7290000000000001E-3</v>
      </c>
      <c r="C370">
        <v>2.745E-3</v>
      </c>
      <c r="D370">
        <v>2.4350000000000001E-3</v>
      </c>
      <c r="E370">
        <v>2.552E-3</v>
      </c>
      <c r="F370">
        <v>108816921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-0.24516129032258105</v>
      </c>
      <c r="Q370">
        <f t="shared" si="970"/>
        <v>-26677696.761290368</v>
      </c>
      <c r="R370">
        <f t="shared" si="971"/>
        <v>158977211.4435741</v>
      </c>
      <c r="S370">
        <f t="shared" si="972"/>
        <v>1589.7721144357411</v>
      </c>
      <c r="T370">
        <f t="shared" si="973"/>
        <v>1.5897721144357411</v>
      </c>
    </row>
    <row r="371" spans="1:20" x14ac:dyDescent="0.25">
      <c r="A371" s="5">
        <v>44222</v>
      </c>
      <c r="B371">
        <v>2.7620000000000001E-3</v>
      </c>
      <c r="C371">
        <v>2.81E-3</v>
      </c>
      <c r="D371">
        <v>2.6050000000000001E-3</v>
      </c>
      <c r="E371">
        <v>2.7360000000000002E-3</v>
      </c>
      <c r="F371">
        <v>131486030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0.27804878048780596</v>
      </c>
      <c r="Q371">
        <f t="shared" si="970"/>
        <v>36559530.292683072</v>
      </c>
      <c r="R371">
        <f t="shared" si="971"/>
        <v>185654908.20486447</v>
      </c>
      <c r="S371">
        <f t="shared" si="972"/>
        <v>1856.5490820486448</v>
      </c>
      <c r="T371">
        <f t="shared" si="973"/>
        <v>1.8565490820486448</v>
      </c>
    </row>
    <row r="372" spans="1:20" x14ac:dyDescent="0.25">
      <c r="A372" s="5">
        <v>44221</v>
      </c>
      <c r="B372">
        <v>2.7569999999999999E-3</v>
      </c>
      <c r="C372">
        <v>3.0000000000000001E-3</v>
      </c>
      <c r="D372">
        <v>2.7060000000000001E-3</v>
      </c>
      <c r="E372">
        <v>2.7650000000000001E-3</v>
      </c>
      <c r="F372">
        <v>243155285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-0.5986394557823127</v>
      </c>
      <c r="Q372">
        <f t="shared" si="970"/>
        <v>-145562347.48299316</v>
      </c>
      <c r="R372">
        <f t="shared" si="971"/>
        <v>149095377.91218141</v>
      </c>
      <c r="S372">
        <f t="shared" si="972"/>
        <v>1490.953779121814</v>
      </c>
      <c r="T372">
        <f t="shared" si="973"/>
        <v>1.4909537791218139</v>
      </c>
    </row>
    <row r="373" spans="1:20" x14ac:dyDescent="0.25">
      <c r="A373" s="5">
        <v>44220</v>
      </c>
      <c r="B373">
        <v>2.6919999999999999E-3</v>
      </c>
      <c r="C373">
        <v>2.9199999999999999E-3</v>
      </c>
      <c r="D373">
        <v>2.6649999999999998E-3</v>
      </c>
      <c r="E373">
        <v>2.774E-3</v>
      </c>
      <c r="F373">
        <v>168582468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-0.14509803921568512</v>
      </c>
      <c r="Q373">
        <f t="shared" si="970"/>
        <v>-24460985.552940983</v>
      </c>
      <c r="R373">
        <f t="shared" si="971"/>
        <v>294657725.39517456</v>
      </c>
      <c r="S373">
        <f t="shared" si="972"/>
        <v>2946.5772539517457</v>
      </c>
      <c r="T373">
        <f t="shared" si="973"/>
        <v>2.9465772539517459</v>
      </c>
    </row>
    <row r="374" spans="1:20" x14ac:dyDescent="0.25">
      <c r="A374" s="5">
        <v>44219</v>
      </c>
      <c r="B374">
        <v>2.7139999999999998E-3</v>
      </c>
      <c r="C374">
        <v>2.7490000000000001E-3</v>
      </c>
      <c r="D374">
        <v>2.5929999999999998E-3</v>
      </c>
      <c r="E374">
        <v>2.6940000000000002E-3</v>
      </c>
      <c r="F374">
        <v>118434719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0.29487179487179727</v>
      </c>
      <c r="Q374">
        <f t="shared" si="970"/>
        <v>34923058.166666947</v>
      </c>
      <c r="R374">
        <f t="shared" si="971"/>
        <v>319118710.94811553</v>
      </c>
      <c r="S374">
        <f t="shared" si="972"/>
        <v>3191.1871094811554</v>
      </c>
      <c r="T374">
        <f t="shared" si="973"/>
        <v>3.1911871094811555</v>
      </c>
    </row>
    <row r="375" spans="1:20" x14ac:dyDescent="0.25">
      <c r="A375" s="5">
        <v>44218</v>
      </c>
      <c r="B375">
        <v>2.6589999999999999E-3</v>
      </c>
      <c r="C375">
        <v>2.8379999999999998E-3</v>
      </c>
      <c r="D375">
        <v>2.4290000000000002E-3</v>
      </c>
      <c r="E375">
        <v>2.7169999999999998E-3</v>
      </c>
      <c r="F375">
        <v>202662141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0.40831295843520726</v>
      </c>
      <c r="Q375">
        <f t="shared" si="970"/>
        <v>82749578.354523107</v>
      </c>
      <c r="R375">
        <f t="shared" si="971"/>
        <v>284195652.7814486</v>
      </c>
      <c r="S375">
        <f t="shared" si="972"/>
        <v>2841.956527814486</v>
      </c>
      <c r="T375">
        <f t="shared" si="973"/>
        <v>2.841956527814486</v>
      </c>
    </row>
    <row r="376" spans="1:20" x14ac:dyDescent="0.25">
      <c r="A376" s="5">
        <v>44217</v>
      </c>
      <c r="B376">
        <v>3.0000000000000001E-3</v>
      </c>
      <c r="C376">
        <v>3.0130000000000001E-3</v>
      </c>
      <c r="D376">
        <v>2.568E-3</v>
      </c>
      <c r="E376">
        <v>2.66E-3</v>
      </c>
      <c r="F376">
        <v>150913470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-0.58651685393258401</v>
      </c>
      <c r="Q376">
        <f t="shared" si="970"/>
        <v>-88513293.640449405</v>
      </c>
      <c r="R376">
        <f t="shared" si="971"/>
        <v>201446074.42692548</v>
      </c>
      <c r="S376">
        <f t="shared" si="972"/>
        <v>2014.4607442692547</v>
      </c>
      <c r="T376">
        <f t="shared" si="973"/>
        <v>2.0144607442692548</v>
      </c>
    </row>
    <row r="377" spans="1:20" x14ac:dyDescent="0.25">
      <c r="A377" s="5">
        <v>44216</v>
      </c>
      <c r="B377">
        <v>3.0850000000000001E-3</v>
      </c>
      <c r="C377">
        <v>3.0850000000000001E-3</v>
      </c>
      <c r="D377">
        <v>2.7469999999999999E-3</v>
      </c>
      <c r="E377">
        <v>3.0100000000000001E-3</v>
      </c>
      <c r="F377">
        <v>364508524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0.55621301775147969</v>
      </c>
      <c r="Q377">
        <f t="shared" si="970"/>
        <v>202744386.13017765</v>
      </c>
      <c r="R377">
        <f t="shared" si="971"/>
        <v>289959368.06737489</v>
      </c>
      <c r="S377">
        <f t="shared" si="972"/>
        <v>2899.5936806737491</v>
      </c>
      <c r="T377">
        <f t="shared" si="973"/>
        <v>2.8995936806737492</v>
      </c>
    </row>
    <row r="378" spans="1:20" x14ac:dyDescent="0.25">
      <c r="A378" s="5">
        <v>44215</v>
      </c>
      <c r="B378">
        <v>2.9390000000000002E-3</v>
      </c>
      <c r="C378">
        <v>3.29E-3</v>
      </c>
      <c r="D378">
        <v>2.9190000000000002E-3</v>
      </c>
      <c r="E378">
        <v>3.0850000000000001E-3</v>
      </c>
      <c r="F378">
        <v>378094456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-0.10512129380053907</v>
      </c>
      <c r="Q378">
        <f t="shared" si="970"/>
        <v>-39745778.393530995</v>
      </c>
      <c r="R378">
        <f t="shared" si="971"/>
        <v>87214981.937197223</v>
      </c>
      <c r="S378">
        <f t="shared" si="972"/>
        <v>872.14981937197228</v>
      </c>
      <c r="T378">
        <f t="shared" si="973"/>
        <v>0.87214981937197233</v>
      </c>
    </row>
    <row r="379" spans="1:20" x14ac:dyDescent="0.25">
      <c r="A379" s="5">
        <v>44214</v>
      </c>
      <c r="B379">
        <v>2.8410000000000002E-3</v>
      </c>
      <c r="C379">
        <v>3.1800000000000001E-3</v>
      </c>
      <c r="D379">
        <v>2.66E-3</v>
      </c>
      <c r="E379">
        <v>2.9269999999999999E-3</v>
      </c>
      <c r="F379">
        <v>646705357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2.6923076923076324E-2</v>
      </c>
      <c r="Q379">
        <f t="shared" si="970"/>
        <v>17411298.073076535</v>
      </c>
      <c r="R379">
        <f t="shared" si="971"/>
        <v>126960760.33072822</v>
      </c>
      <c r="S379">
        <f t="shared" si="972"/>
        <v>1269.6076033072823</v>
      </c>
      <c r="T379">
        <f t="shared" si="973"/>
        <v>1.2696076033072823</v>
      </c>
    </row>
    <row r="380" spans="1:20" x14ac:dyDescent="0.25">
      <c r="A380" s="5">
        <v>44213</v>
      </c>
      <c r="B380">
        <v>2.8809999999999999E-3</v>
      </c>
      <c r="C380">
        <v>2.9550000000000002E-3</v>
      </c>
      <c r="D380">
        <v>2.601E-3</v>
      </c>
      <c r="E380">
        <v>2.8570000000000002E-3</v>
      </c>
      <c r="F380">
        <v>289579366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0.44632768361581948</v>
      </c>
      <c r="Q380">
        <f t="shared" si="970"/>
        <v>129247287.6497176</v>
      </c>
      <c r="R380">
        <f t="shared" si="971"/>
        <v>109549462.25765169</v>
      </c>
      <c r="S380">
        <f t="shared" si="972"/>
        <v>1095.4946225765168</v>
      </c>
      <c r="T380">
        <f t="shared" si="973"/>
        <v>1.0954946225765168</v>
      </c>
    </row>
    <row r="381" spans="1:20" x14ac:dyDescent="0.25">
      <c r="A381" s="5">
        <v>44212</v>
      </c>
      <c r="B381">
        <v>2.696E-3</v>
      </c>
      <c r="C381">
        <v>3.2989999999999998E-3</v>
      </c>
      <c r="D381">
        <v>2.6099999999999999E-3</v>
      </c>
      <c r="E381">
        <v>2.8630000000000001E-3</v>
      </c>
      <c r="F381">
        <v>599720311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-0.2656023222060952</v>
      </c>
      <c r="Q381">
        <f t="shared" si="970"/>
        <v>-159287107.2757616</v>
      </c>
      <c r="R381">
        <f t="shared" si="971"/>
        <v>-19697825.392065912</v>
      </c>
      <c r="S381">
        <f t="shared" si="972"/>
        <v>-196.97825392065911</v>
      </c>
      <c r="T381">
        <f t="shared" si="973"/>
        <v>-0.19697825392065912</v>
      </c>
    </row>
    <row r="382" spans="1:20" x14ac:dyDescent="0.25">
      <c r="A382" s="5">
        <v>44211</v>
      </c>
      <c r="B382">
        <v>2.6800000000000001E-3</v>
      </c>
      <c r="C382">
        <v>2.7239999999999999E-3</v>
      </c>
      <c r="D382">
        <v>2.4680000000000001E-3</v>
      </c>
      <c r="E382">
        <v>2.696E-3</v>
      </c>
      <c r="F382">
        <v>182533078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0.78125000000000122</v>
      </c>
      <c r="Q382">
        <f t="shared" si="970"/>
        <v>142603967.18750021</v>
      </c>
      <c r="R382">
        <f t="shared" si="971"/>
        <v>139589281.88369569</v>
      </c>
      <c r="S382">
        <f t="shared" si="972"/>
        <v>1395.8928188369568</v>
      </c>
      <c r="T382">
        <f t="shared" si="973"/>
        <v>1.3958928188369568</v>
      </c>
    </row>
    <row r="383" spans="1:20" x14ac:dyDescent="0.25">
      <c r="A383" s="5">
        <v>44210</v>
      </c>
      <c r="B383">
        <v>2.5799999999999998E-3</v>
      </c>
      <c r="C383">
        <v>2.7989999999999998E-3</v>
      </c>
      <c r="D383">
        <v>2.5070000000000001E-3</v>
      </c>
      <c r="E383">
        <v>2.6779999999999998E-3</v>
      </c>
      <c r="F383">
        <v>239657810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0.1712328767123279</v>
      </c>
      <c r="Q383">
        <f t="shared" si="970"/>
        <v>41037296.232876502</v>
      </c>
      <c r="R383">
        <f t="shared" si="971"/>
        <v>-3014685.3038045242</v>
      </c>
      <c r="S383">
        <f t="shared" si="972"/>
        <v>-30.146853038045244</v>
      </c>
      <c r="T383">
        <f t="shared" si="973"/>
        <v>-3.0146853038045242E-2</v>
      </c>
    </row>
    <row r="384" spans="1:20" x14ac:dyDescent="0.25">
      <c r="A384" s="5">
        <v>44209</v>
      </c>
      <c r="B384">
        <v>2.434E-3</v>
      </c>
      <c r="C384">
        <v>2.6489999999999999E-3</v>
      </c>
      <c r="D384">
        <v>2.3500000000000001E-3</v>
      </c>
      <c r="E384">
        <v>2.5760000000000002E-3</v>
      </c>
      <c r="F384">
        <v>153805661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0.51170568561873064</v>
      </c>
      <c r="Q384">
        <f t="shared" si="970"/>
        <v>78703231.214047059</v>
      </c>
      <c r="R384">
        <f t="shared" si="971"/>
        <v>-44051981.536681026</v>
      </c>
      <c r="S384">
        <f t="shared" si="972"/>
        <v>-440.51981536681023</v>
      </c>
      <c r="T384">
        <f t="shared" si="973"/>
        <v>-0.44051981536681023</v>
      </c>
    </row>
    <row r="385" spans="1:20" x14ac:dyDescent="0.25">
      <c r="A385" s="5">
        <v>44208</v>
      </c>
      <c r="B385">
        <v>2.4819999999999998E-3</v>
      </c>
      <c r="C385">
        <v>2.6099999999999999E-3</v>
      </c>
      <c r="D385">
        <v>2.2790000000000002E-3</v>
      </c>
      <c r="E385">
        <v>2.4369999999999999E-3</v>
      </c>
      <c r="F385">
        <v>161420410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-4.5317220543807463E-2</v>
      </c>
      <c r="Q385">
        <f t="shared" si="970"/>
        <v>-7315124.3202418238</v>
      </c>
      <c r="R385">
        <f t="shared" si="971"/>
        <v>-122755212.75072809</v>
      </c>
      <c r="S385">
        <f t="shared" si="972"/>
        <v>-1227.5521275072808</v>
      </c>
      <c r="T385">
        <f t="shared" si="973"/>
        <v>-1.2275521275072809</v>
      </c>
    </row>
    <row r="386" spans="1:20" x14ac:dyDescent="0.25">
      <c r="A386" s="5">
        <v>44207</v>
      </c>
      <c r="B386">
        <v>2.7230000000000002E-3</v>
      </c>
      <c r="C386">
        <v>2.7299999999999998E-3</v>
      </c>
      <c r="D386">
        <v>2.0349999999999999E-3</v>
      </c>
      <c r="E386">
        <v>2.4859999999999999E-3</v>
      </c>
      <c r="F386">
        <v>168949976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0.29784172661870534</v>
      </c>
      <c r="Q386">
        <f t="shared" si="970"/>
        <v>50320352.564028829</v>
      </c>
      <c r="R386">
        <f t="shared" si="971"/>
        <v>-115440088.43048626</v>
      </c>
      <c r="S386">
        <f t="shared" si="972"/>
        <v>-1154.4008843048625</v>
      </c>
      <c r="T386">
        <f t="shared" si="973"/>
        <v>-1.1544008843048625</v>
      </c>
    </row>
    <row r="387" spans="1:20" x14ac:dyDescent="0.25">
      <c r="A387" s="5">
        <v>44206</v>
      </c>
      <c r="B387">
        <v>2.918E-3</v>
      </c>
      <c r="C387">
        <v>2.918E-3</v>
      </c>
      <c r="D387">
        <v>2.4680000000000001E-3</v>
      </c>
      <c r="E387">
        <v>2.7039999999999998E-3</v>
      </c>
      <c r="F387">
        <v>207712991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4.8888888888887684E-2</v>
      </c>
      <c r="Q387">
        <f t="shared" si="970"/>
        <v>10154857.337777527</v>
      </c>
      <c r="R387">
        <f t="shared" si="971"/>
        <v>-165760440.99451509</v>
      </c>
      <c r="S387">
        <f t="shared" si="972"/>
        <v>-1657.604409945151</v>
      </c>
      <c r="T387">
        <f t="shared" si="973"/>
        <v>-1.657604409945151</v>
      </c>
    </row>
    <row r="388" spans="1:20" x14ac:dyDescent="0.25">
      <c r="A388" s="5">
        <v>44205</v>
      </c>
      <c r="B388">
        <v>2.6069999999999999E-3</v>
      </c>
      <c r="C388">
        <v>3.3140000000000001E-3</v>
      </c>
      <c r="D388">
        <v>2.5709999999999999E-3</v>
      </c>
      <c r="E388">
        <v>2.918E-3</v>
      </c>
      <c r="F388">
        <v>578907402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-6.5948855989232821E-2</v>
      </c>
      <c r="Q388">
        <f t="shared" si="970"/>
        <v>-38178280.885598913</v>
      </c>
      <c r="R388">
        <f t="shared" si="971"/>
        <v>-175915298.33229262</v>
      </c>
      <c r="S388">
        <f t="shared" si="972"/>
        <v>-1759.1529833229263</v>
      </c>
      <c r="T388">
        <f t="shared" si="973"/>
        <v>-1.7591529833229262</v>
      </c>
    </row>
    <row r="389" spans="1:20" x14ac:dyDescent="0.25">
      <c r="A389" s="5">
        <v>44204</v>
      </c>
      <c r="B389">
        <v>2.601E-3</v>
      </c>
      <c r="C389">
        <v>2.7799999999999999E-3</v>
      </c>
      <c r="D389">
        <v>2.3240000000000001E-3</v>
      </c>
      <c r="E389">
        <v>2.6059999999999998E-3</v>
      </c>
      <c r="F389">
        <v>247522214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0.2368421052631571</v>
      </c>
      <c r="Q389">
        <f t="shared" si="970"/>
        <v>58623682.263157696</v>
      </c>
      <c r="R389">
        <f t="shared" si="971"/>
        <v>-137737017.44669369</v>
      </c>
      <c r="S389">
        <f t="shared" si="972"/>
        <v>-1377.370174466937</v>
      </c>
      <c r="T389">
        <f t="shared" si="973"/>
        <v>-1.3773701744669369</v>
      </c>
    </row>
    <row r="390" spans="1:20" x14ac:dyDescent="0.25">
      <c r="A390" s="5">
        <v>44203</v>
      </c>
      <c r="B390">
        <v>2.6189999999999998E-3</v>
      </c>
      <c r="C390">
        <v>2.715E-3</v>
      </c>
      <c r="D390">
        <v>2.539E-3</v>
      </c>
      <c r="E390">
        <v>2.5999999999999999E-3</v>
      </c>
      <c r="F390">
        <v>181112876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-0.30681818181818321</v>
      </c>
      <c r="Q390">
        <f t="shared" ref="Q390:Q453" si="975">F390*P390</f>
        <v>-55568723.318182074</v>
      </c>
      <c r="R390">
        <f t="shared" ref="R390:R453" si="976">R391+Q390</f>
        <v>-196360699.70985138</v>
      </c>
      <c r="S390">
        <f t="shared" ref="S390:S453" si="977">R390/100000</f>
        <v>-1963.6069970985138</v>
      </c>
      <c r="T390">
        <f t="shared" ref="T390:T453" si="978">S390/1000</f>
        <v>-1.9636069970985139</v>
      </c>
    </row>
    <row r="391" spans="1:20" x14ac:dyDescent="0.25">
      <c r="A391" s="5">
        <v>44202</v>
      </c>
      <c r="B391">
        <v>2.4229999999999998E-3</v>
      </c>
      <c r="C391">
        <v>2.787E-3</v>
      </c>
      <c r="D391">
        <v>2.3649999999999999E-3</v>
      </c>
      <c r="E391">
        <v>2.6229999999999999E-3</v>
      </c>
      <c r="F391">
        <v>246263109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0.2227488151658765</v>
      </c>
      <c r="Q391">
        <f t="shared" si="975"/>
        <v>54854815.748815097</v>
      </c>
      <c r="R391">
        <f t="shared" si="976"/>
        <v>-140791976.3916693</v>
      </c>
      <c r="S391">
        <f t="shared" si="977"/>
        <v>-1407.919763916693</v>
      </c>
      <c r="T391">
        <f t="shared" si="978"/>
        <v>-1.4079197639166929</v>
      </c>
    </row>
    <row r="392" spans="1:20" x14ac:dyDescent="0.25">
      <c r="A392" s="5">
        <v>44201</v>
      </c>
      <c r="B392">
        <v>2.5409999999999999E-3</v>
      </c>
      <c r="C392">
        <v>2.5720000000000001E-3</v>
      </c>
      <c r="D392">
        <v>2.3370000000000001E-3</v>
      </c>
      <c r="E392">
        <v>2.421E-3</v>
      </c>
      <c r="F392">
        <v>223316254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-0.28510638297872437</v>
      </c>
      <c r="Q392">
        <f t="shared" si="975"/>
        <v>-63668889.438298091</v>
      </c>
      <c r="R392">
        <f t="shared" si="976"/>
        <v>-195646792.14048439</v>
      </c>
      <c r="S392">
        <f t="shared" si="977"/>
        <v>-1956.467921404844</v>
      </c>
      <c r="T392">
        <f t="shared" si="978"/>
        <v>-1.9564679214048439</v>
      </c>
    </row>
    <row r="393" spans="1:20" x14ac:dyDescent="0.25">
      <c r="A393" s="5">
        <v>44200</v>
      </c>
      <c r="B393">
        <v>2.4329999999999998E-3</v>
      </c>
      <c r="C393">
        <v>3.0409999999999999E-3</v>
      </c>
      <c r="D393">
        <v>1.9499999999999999E-3</v>
      </c>
      <c r="E393">
        <v>2.5479999999999999E-3</v>
      </c>
      <c r="F393">
        <v>802350681</v>
      </c>
      <c r="G393">
        <v>0</v>
      </c>
      <c r="L393" t="s">
        <v>8</v>
      </c>
      <c r="M393" t="s">
        <v>7</v>
      </c>
      <c r="N393" t="s">
        <v>8</v>
      </c>
      <c r="P393">
        <f t="shared" si="974"/>
        <v>9.6241979835013799E-2</v>
      </c>
      <c r="Q393">
        <f t="shared" si="975"/>
        <v>77219818.061411589</v>
      </c>
      <c r="R393">
        <f t="shared" si="976"/>
        <v>-131977902.70218632</v>
      </c>
      <c r="S393">
        <f t="shared" si="977"/>
        <v>-1319.7790270218632</v>
      </c>
      <c r="T393">
        <f t="shared" si="978"/>
        <v>-1.3197790270218632</v>
      </c>
    </row>
    <row r="394" spans="1:20" x14ac:dyDescent="0.25">
      <c r="A394" s="5">
        <v>44199</v>
      </c>
      <c r="B394">
        <v>2.431E-3</v>
      </c>
      <c r="C394">
        <v>2.702E-3</v>
      </c>
      <c r="D394">
        <v>2.3500000000000001E-3</v>
      </c>
      <c r="E394">
        <v>2.4220000000000001E-3</v>
      </c>
      <c r="F394">
        <v>496092906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-0.59090909090909072</v>
      </c>
      <c r="Q394">
        <f t="shared" si="975"/>
        <v>-293145808.090909</v>
      </c>
      <c r="R394">
        <f t="shared" si="976"/>
        <v>-209197720.76359791</v>
      </c>
      <c r="S394">
        <f t="shared" si="977"/>
        <v>-2091.9772076359791</v>
      </c>
      <c r="T394">
        <f t="shared" si="978"/>
        <v>-2.0919772076359791</v>
      </c>
    </row>
    <row r="395" spans="1:20" x14ac:dyDescent="0.25">
      <c r="A395" s="5">
        <v>44198</v>
      </c>
      <c r="B395">
        <v>2.545E-3</v>
      </c>
      <c r="C395">
        <v>2.545E-3</v>
      </c>
      <c r="D395">
        <v>2.3149999999999998E-3</v>
      </c>
      <c r="E395">
        <v>2.4329999999999998E-3</v>
      </c>
      <c r="F395">
        <v>116980939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2.6086956521738803E-2</v>
      </c>
      <c r="Q395">
        <f t="shared" si="975"/>
        <v>3051676.6695651789</v>
      </c>
      <c r="R395">
        <f t="shared" si="976"/>
        <v>83948087.327311084</v>
      </c>
      <c r="S395">
        <f t="shared" si="977"/>
        <v>839.48087327311089</v>
      </c>
      <c r="T395">
        <f t="shared" si="978"/>
        <v>0.83948087327311094</v>
      </c>
    </row>
    <row r="396" spans="1:20" x14ac:dyDescent="0.25">
      <c r="A396" s="5">
        <v>44197</v>
      </c>
      <c r="B396">
        <v>2.2309999999999999E-3</v>
      </c>
      <c r="C396">
        <v>2.8E-3</v>
      </c>
      <c r="D396">
        <v>2.2109999999999999E-3</v>
      </c>
      <c r="E396">
        <v>2.5609999999999999E-3</v>
      </c>
      <c r="F396">
        <v>404729511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0.18845500848896429</v>
      </c>
      <c r="Q396">
        <f t="shared" si="975"/>
        <v>76273303.431239367</v>
      </c>
      <c r="R396">
        <f t="shared" si="976"/>
        <v>80896410.657745898</v>
      </c>
      <c r="S396">
        <f t="shared" si="977"/>
        <v>808.96410657745901</v>
      </c>
      <c r="T396">
        <f t="shared" si="978"/>
        <v>0.80896410657745899</v>
      </c>
    </row>
    <row r="397" spans="1:20" x14ac:dyDescent="0.25">
      <c r="A397" s="5">
        <v>44196</v>
      </c>
      <c r="B397">
        <v>2.2439999999999999E-3</v>
      </c>
      <c r="C397">
        <v>2.2599999999999999E-3</v>
      </c>
      <c r="D397">
        <v>2.1519999999999998E-3</v>
      </c>
      <c r="E397">
        <v>2.2279999999999999E-3</v>
      </c>
      <c r="F397">
        <v>46318263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0.40740740740740922</v>
      </c>
      <c r="Q397">
        <f t="shared" si="975"/>
        <v>18870403.44444453</v>
      </c>
      <c r="R397">
        <f t="shared" si="976"/>
        <v>4623107.2265065387</v>
      </c>
      <c r="S397">
        <f t="shared" si="977"/>
        <v>46.231072265065386</v>
      </c>
      <c r="T397">
        <f t="shared" si="978"/>
        <v>4.6231072265065384E-2</v>
      </c>
    </row>
    <row r="398" spans="1:20" x14ac:dyDescent="0.25">
      <c r="A398" s="5">
        <v>44195</v>
      </c>
      <c r="B398">
        <v>2.2200000000000002E-3</v>
      </c>
      <c r="C398">
        <v>2.3210000000000001E-3</v>
      </c>
      <c r="D398">
        <v>2.16E-3</v>
      </c>
      <c r="E398">
        <v>2.2439999999999999E-3</v>
      </c>
      <c r="F398">
        <v>117548921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4.3478260869562878E-2</v>
      </c>
      <c r="Q398">
        <f t="shared" si="975"/>
        <v>5110822.6521736383</v>
      </c>
      <c r="R398">
        <f t="shared" si="976"/>
        <v>-14247296.217937991</v>
      </c>
      <c r="S398">
        <f t="shared" si="977"/>
        <v>-142.47296217937992</v>
      </c>
      <c r="T398">
        <f t="shared" si="978"/>
        <v>-0.14247296217937991</v>
      </c>
    </row>
    <row r="399" spans="1:20" x14ac:dyDescent="0.25">
      <c r="A399" s="5">
        <v>44194</v>
      </c>
      <c r="B399">
        <v>2.3540000000000002E-3</v>
      </c>
      <c r="C399">
        <v>2.3570000000000002E-3</v>
      </c>
      <c r="D399">
        <v>2.091E-3</v>
      </c>
      <c r="E399">
        <v>2.2200000000000002E-3</v>
      </c>
      <c r="F399">
        <v>180974733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-3.0075187969923891E-2</v>
      </c>
      <c r="Q399">
        <f t="shared" si="975"/>
        <v>-5442849.1127817882</v>
      </c>
      <c r="R399">
        <f t="shared" si="976"/>
        <v>-19358118.870111629</v>
      </c>
      <c r="S399">
        <f t="shared" si="977"/>
        <v>-193.5811887011163</v>
      </c>
      <c r="T399">
        <f t="shared" si="978"/>
        <v>-0.19358118870111629</v>
      </c>
    </row>
    <row r="400" spans="1:20" x14ac:dyDescent="0.25">
      <c r="A400" s="5">
        <v>44193</v>
      </c>
      <c r="B400">
        <v>2.2889999999999998E-3</v>
      </c>
      <c r="C400">
        <v>2.408E-3</v>
      </c>
      <c r="D400">
        <v>2.2720000000000001E-3</v>
      </c>
      <c r="E400">
        <v>2.3540000000000002E-3</v>
      </c>
      <c r="F400">
        <v>70875454</v>
      </c>
      <c r="G400">
        <v>0</v>
      </c>
      <c r="L400" t="s">
        <v>8</v>
      </c>
      <c r="M400" t="s">
        <v>7</v>
      </c>
      <c r="N400" t="s">
        <v>8</v>
      </c>
      <c r="P400">
        <f t="shared" si="974"/>
        <v>0.20588235294117854</v>
      </c>
      <c r="Q400">
        <f t="shared" si="975"/>
        <v>14592005.235294264</v>
      </c>
      <c r="R400">
        <f t="shared" si="976"/>
        <v>-13915269.75732984</v>
      </c>
      <c r="S400">
        <f t="shared" si="977"/>
        <v>-139.15269757329841</v>
      </c>
      <c r="T400">
        <f t="shared" si="978"/>
        <v>-0.1391526975732984</v>
      </c>
    </row>
    <row r="401" spans="1:20" x14ac:dyDescent="0.25">
      <c r="A401" s="5">
        <v>44192</v>
      </c>
      <c r="B401">
        <v>2.2959999999999999E-3</v>
      </c>
      <c r="C401">
        <v>2.4450000000000001E-3</v>
      </c>
      <c r="D401">
        <v>2.1740000000000002E-3</v>
      </c>
      <c r="E401">
        <v>2.2910000000000001E-3</v>
      </c>
      <c r="F401">
        <v>137300693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-0.13653136531365367</v>
      </c>
      <c r="Q401">
        <f t="shared" si="975"/>
        <v>-18745851.073800813</v>
      </c>
      <c r="R401">
        <f t="shared" si="976"/>
        <v>-28507274.992624104</v>
      </c>
      <c r="S401">
        <f t="shared" si="977"/>
        <v>-285.07274992624104</v>
      </c>
      <c r="T401">
        <f t="shared" si="978"/>
        <v>-0.28507274992624104</v>
      </c>
    </row>
    <row r="402" spans="1:20" x14ac:dyDescent="0.25">
      <c r="A402" s="5">
        <v>44191</v>
      </c>
      <c r="B402">
        <v>2.336E-3</v>
      </c>
      <c r="C402">
        <v>2.3389999999999999E-3</v>
      </c>
      <c r="D402">
        <v>2.2399999999999998E-3</v>
      </c>
      <c r="E402">
        <v>2.297E-3</v>
      </c>
      <c r="F402">
        <v>89560257</v>
      </c>
      <c r="G402">
        <v>0</v>
      </c>
      <c r="L402" t="s">
        <v>7</v>
      </c>
      <c r="M402" t="s">
        <v>7</v>
      </c>
      <c r="N402" t="s">
        <v>8</v>
      </c>
      <c r="P402">
        <f t="shared" si="974"/>
        <v>0.15151515151515391</v>
      </c>
      <c r="Q402">
        <f t="shared" si="975"/>
        <v>13569735.909091122</v>
      </c>
      <c r="R402">
        <f t="shared" si="976"/>
        <v>-9761423.9188232906</v>
      </c>
      <c r="S402">
        <f t="shared" si="977"/>
        <v>-97.614239188232901</v>
      </c>
      <c r="T402">
        <f t="shared" si="978"/>
        <v>-9.7614239188232907E-2</v>
      </c>
    </row>
    <row r="403" spans="1:20" x14ac:dyDescent="0.25">
      <c r="A403" s="5">
        <v>44190</v>
      </c>
      <c r="B403">
        <v>2.4239999999999999E-3</v>
      </c>
      <c r="C403">
        <v>2.444E-3</v>
      </c>
      <c r="D403">
        <v>2.2179999999999999E-3</v>
      </c>
      <c r="E403">
        <v>2.3389999999999999E-3</v>
      </c>
      <c r="F403">
        <v>148238062</v>
      </c>
      <c r="G403">
        <v>0</v>
      </c>
      <c r="L403" t="s">
        <v>8</v>
      </c>
      <c r="M403" t="s">
        <v>7</v>
      </c>
      <c r="N403" t="s">
        <v>8</v>
      </c>
      <c r="P403">
        <f t="shared" si="974"/>
        <v>7.0796460176990927E-2</v>
      </c>
      <c r="Q403">
        <f t="shared" si="975"/>
        <v>10494730.053097311</v>
      </c>
      <c r="R403">
        <f t="shared" si="976"/>
        <v>-23331159.827914413</v>
      </c>
      <c r="S403">
        <f t="shared" si="977"/>
        <v>-233.31159827914414</v>
      </c>
      <c r="T403">
        <f t="shared" si="978"/>
        <v>-0.23331159827914413</v>
      </c>
    </row>
    <row r="404" spans="1:20" x14ac:dyDescent="0.25">
      <c r="A404" s="5">
        <v>44189</v>
      </c>
      <c r="B404">
        <v>2.2690000000000002E-3</v>
      </c>
      <c r="C404">
        <v>2.428E-3</v>
      </c>
      <c r="D404">
        <v>2.075E-3</v>
      </c>
      <c r="E404">
        <v>2.4239999999999999E-3</v>
      </c>
      <c r="F404">
        <v>418082956</v>
      </c>
      <c r="G404">
        <v>0</v>
      </c>
      <c r="L404" t="s">
        <v>7</v>
      </c>
      <c r="M404" t="s">
        <v>7</v>
      </c>
      <c r="N404" t="s">
        <v>8</v>
      </c>
      <c r="P404">
        <f t="shared" si="974"/>
        <v>0.97733711048158589</v>
      </c>
      <c r="Q404">
        <f t="shared" si="975"/>
        <v>408607988.15864003</v>
      </c>
      <c r="R404">
        <f t="shared" si="976"/>
        <v>-33825889.881011724</v>
      </c>
      <c r="S404">
        <f t="shared" si="977"/>
        <v>-338.25889881011727</v>
      </c>
      <c r="T404">
        <f t="shared" si="978"/>
        <v>-0.33825889881011728</v>
      </c>
    </row>
    <row r="405" spans="1:20" x14ac:dyDescent="0.25">
      <c r="A405" s="5">
        <v>44188</v>
      </c>
      <c r="B405">
        <v>2.5249999999999999E-3</v>
      </c>
      <c r="C405">
        <v>2.64E-3</v>
      </c>
      <c r="D405">
        <v>2.124E-3</v>
      </c>
      <c r="E405">
        <v>2.2669999999999999E-3</v>
      </c>
      <c r="F405">
        <v>2005592534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-0.44573643410852748</v>
      </c>
      <c r="Q405">
        <f t="shared" si="975"/>
        <v>-893965664.37984562</v>
      </c>
      <c r="R405">
        <f t="shared" si="976"/>
        <v>-442433878.03965175</v>
      </c>
      <c r="S405">
        <f t="shared" si="977"/>
        <v>-4424.3387803965179</v>
      </c>
      <c r="T405">
        <f t="shared" si="978"/>
        <v>-4.4243387803965177</v>
      </c>
    </row>
    <row r="406" spans="1:20" x14ac:dyDescent="0.25">
      <c r="A406" s="5">
        <v>44187</v>
      </c>
      <c r="B406">
        <v>2.5920000000000001E-3</v>
      </c>
      <c r="C406">
        <v>2.6210000000000001E-3</v>
      </c>
      <c r="D406">
        <v>2.3349999999999998E-3</v>
      </c>
      <c r="E406">
        <v>2.5309999999999998E-3</v>
      </c>
      <c r="F406">
        <v>2333708684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0.37062937062936946</v>
      </c>
      <c r="Q406">
        <f t="shared" si="975"/>
        <v>864940980.78321409</v>
      </c>
      <c r="R406">
        <f t="shared" si="976"/>
        <v>451531786.34019387</v>
      </c>
      <c r="S406">
        <f t="shared" si="977"/>
        <v>4515.3178634019387</v>
      </c>
      <c r="T406">
        <f t="shared" si="978"/>
        <v>4.5153178634019389</v>
      </c>
    </row>
    <row r="407" spans="1:20" x14ac:dyDescent="0.25">
      <c r="A407" s="5">
        <v>44186</v>
      </c>
      <c r="B407">
        <v>2.7569999999999999E-3</v>
      </c>
      <c r="C407">
        <v>2.8609999999999998E-3</v>
      </c>
      <c r="D407">
        <v>2.4269999999999999E-3</v>
      </c>
      <c r="E407">
        <v>2.5920000000000001E-3</v>
      </c>
      <c r="F407">
        <v>766182569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-0.23963133640552883</v>
      </c>
      <c r="Q407">
        <f t="shared" si="975"/>
        <v>-183601352.94009131</v>
      </c>
      <c r="R407">
        <f t="shared" si="976"/>
        <v>-413409194.44302022</v>
      </c>
      <c r="S407">
        <f t="shared" si="977"/>
        <v>-4134.0919444302026</v>
      </c>
      <c r="T407">
        <f t="shared" si="978"/>
        <v>-4.1340919444302022</v>
      </c>
    </row>
    <row r="408" spans="1:20" x14ac:dyDescent="0.25">
      <c r="A408" s="5">
        <v>44185</v>
      </c>
      <c r="B408">
        <v>2.7539999999999999E-3</v>
      </c>
      <c r="C408">
        <v>2.9450000000000001E-3</v>
      </c>
      <c r="D408">
        <v>2.5999999999999999E-3</v>
      </c>
      <c r="E408">
        <v>2.7560000000000002E-3</v>
      </c>
      <c r="F408">
        <v>984160894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-9.5652173913042274E-2</v>
      </c>
      <c r="Q408">
        <f t="shared" si="975"/>
        <v>-94137128.991303161</v>
      </c>
      <c r="R408">
        <f t="shared" si="976"/>
        <v>-229807841.50292891</v>
      </c>
      <c r="S408">
        <f t="shared" si="977"/>
        <v>-2298.0784150292893</v>
      </c>
      <c r="T408">
        <f t="shared" si="978"/>
        <v>-2.2980784150292894</v>
      </c>
    </row>
    <row r="409" spans="1:20" x14ac:dyDescent="0.25">
      <c r="A409" s="5">
        <v>44184</v>
      </c>
      <c r="B409">
        <v>2.5820000000000001E-3</v>
      </c>
      <c r="C409">
        <v>2.8900000000000002E-3</v>
      </c>
      <c r="D409">
        <v>2.5379999999999999E-3</v>
      </c>
      <c r="E409">
        <v>2.7550000000000001E-3</v>
      </c>
      <c r="F409">
        <v>1138568398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0.23295454545454536</v>
      </c>
      <c r="Q409">
        <f t="shared" si="975"/>
        <v>265234683.62499988</v>
      </c>
      <c r="R409">
        <f t="shared" si="976"/>
        <v>-135670712.51162577</v>
      </c>
      <c r="S409">
        <f t="shared" si="977"/>
        <v>-1356.7071251162577</v>
      </c>
      <c r="T409">
        <f t="shared" si="978"/>
        <v>-1.3567071251162577</v>
      </c>
    </row>
    <row r="410" spans="1:20" x14ac:dyDescent="0.25">
      <c r="A410" s="5">
        <v>44183</v>
      </c>
      <c r="B410">
        <v>2.529E-3</v>
      </c>
      <c r="C410">
        <v>2.6020000000000001E-3</v>
      </c>
      <c r="D410">
        <v>2.4359999999999998E-3</v>
      </c>
      <c r="E410">
        <v>2.5799999999999998E-3</v>
      </c>
      <c r="F410">
        <v>1429600958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0.73493975903614128</v>
      </c>
      <c r="Q410">
        <f t="shared" si="975"/>
        <v>1050670583.5903567</v>
      </c>
      <c r="R410">
        <f t="shared" si="976"/>
        <v>-400905396.13662565</v>
      </c>
      <c r="S410">
        <f t="shared" si="977"/>
        <v>-4009.0539613662563</v>
      </c>
      <c r="T410">
        <f t="shared" si="978"/>
        <v>-4.0090539613662566</v>
      </c>
    </row>
    <row r="411" spans="1:20" x14ac:dyDescent="0.25">
      <c r="A411" s="5">
        <v>44182</v>
      </c>
      <c r="B411">
        <v>2.5539999999999998E-3</v>
      </c>
      <c r="C411">
        <v>2.8449999999999999E-3</v>
      </c>
      <c r="D411">
        <v>2.457E-3</v>
      </c>
      <c r="E411">
        <v>2.5270000000000002E-3</v>
      </c>
      <c r="F411">
        <v>321353410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-0.63917525773195771</v>
      </c>
      <c r="Q411">
        <f t="shared" si="975"/>
        <v>-205401148.65979347</v>
      </c>
      <c r="R411">
        <f t="shared" si="976"/>
        <v>-1451575979.7269824</v>
      </c>
      <c r="S411">
        <f t="shared" si="977"/>
        <v>-14515.759797269824</v>
      </c>
      <c r="T411">
        <f t="shared" si="978"/>
        <v>-14.515759797269824</v>
      </c>
    </row>
    <row r="412" spans="1:20" x14ac:dyDescent="0.25">
      <c r="A412" s="5">
        <v>44181</v>
      </c>
      <c r="B412">
        <v>2.4369999999999999E-3</v>
      </c>
      <c r="C412">
        <v>2.5579999999999999E-3</v>
      </c>
      <c r="D412">
        <v>2.369E-3</v>
      </c>
      <c r="E412">
        <v>2.555E-3</v>
      </c>
      <c r="F412">
        <v>81745375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0.96825396825396859</v>
      </c>
      <c r="Q412">
        <f t="shared" si="975"/>
        <v>79150283.730158761</v>
      </c>
      <c r="R412">
        <f t="shared" si="976"/>
        <v>-1246174831.067189</v>
      </c>
      <c r="S412">
        <f t="shared" si="977"/>
        <v>-12461.74831067189</v>
      </c>
      <c r="T412">
        <f t="shared" si="978"/>
        <v>-12.46174831067189</v>
      </c>
    </row>
    <row r="413" spans="1:20" x14ac:dyDescent="0.25">
      <c r="A413" s="5">
        <v>44180</v>
      </c>
      <c r="B413">
        <v>2.441E-3</v>
      </c>
      <c r="C413">
        <v>2.5000000000000001E-3</v>
      </c>
      <c r="D413">
        <v>2.3730000000000001E-3</v>
      </c>
      <c r="E413">
        <v>2.4380000000000001E-3</v>
      </c>
      <c r="F413">
        <v>46100618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2.3622047244094221E-2</v>
      </c>
      <c r="Q413">
        <f t="shared" si="975"/>
        <v>1088990.9763779405</v>
      </c>
      <c r="R413">
        <f t="shared" si="976"/>
        <v>-1325325114.7973478</v>
      </c>
      <c r="S413">
        <f t="shared" si="977"/>
        <v>-13253.251147973479</v>
      </c>
      <c r="T413">
        <f t="shared" si="978"/>
        <v>-13.253251147973479</v>
      </c>
    </row>
    <row r="414" spans="1:20" x14ac:dyDescent="0.25">
      <c r="A414" s="5">
        <v>44179</v>
      </c>
      <c r="B414">
        <v>2.4970000000000001E-3</v>
      </c>
      <c r="C414">
        <v>2.5040000000000001E-3</v>
      </c>
      <c r="D414">
        <v>2.3839999999999998E-3</v>
      </c>
      <c r="E414">
        <v>2.4459999999999998E-3</v>
      </c>
      <c r="F414">
        <v>54333398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3.3333333333330439E-2</v>
      </c>
      <c r="Q414">
        <f t="shared" si="975"/>
        <v>1811113.2666665094</v>
      </c>
      <c r="R414">
        <f t="shared" si="976"/>
        <v>-1326414105.7737257</v>
      </c>
      <c r="S414">
        <f t="shared" si="977"/>
        <v>-13264.141057737257</v>
      </c>
      <c r="T414">
        <f t="shared" si="978"/>
        <v>-13.264141057737257</v>
      </c>
    </row>
    <row r="415" spans="1:20" x14ac:dyDescent="0.25">
      <c r="A415" s="5">
        <v>44178</v>
      </c>
      <c r="B415">
        <v>2.4429999999999999E-3</v>
      </c>
      <c r="C415">
        <v>2.5209999999999998E-3</v>
      </c>
      <c r="D415">
        <v>2.4020000000000001E-3</v>
      </c>
      <c r="E415">
        <v>2.4970000000000001E-3</v>
      </c>
      <c r="F415">
        <v>51635344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0.59663865546218875</v>
      </c>
      <c r="Q415">
        <f t="shared" si="975"/>
        <v>30807642.218487594</v>
      </c>
      <c r="R415">
        <f t="shared" si="976"/>
        <v>-1328225219.0403922</v>
      </c>
      <c r="S415">
        <f t="shared" si="977"/>
        <v>-13282.252190403922</v>
      </c>
      <c r="T415">
        <f t="shared" si="978"/>
        <v>-13.282252190403922</v>
      </c>
    </row>
    <row r="416" spans="1:20" x14ac:dyDescent="0.25">
      <c r="A416" s="5">
        <v>44177</v>
      </c>
      <c r="B416">
        <v>2.3419999999999999E-3</v>
      </c>
      <c r="C416">
        <v>2.477E-3</v>
      </c>
      <c r="D416">
        <v>2.3379999999999998E-3</v>
      </c>
      <c r="E416">
        <v>2.4450000000000001E-3</v>
      </c>
      <c r="F416">
        <v>76114618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0.53956834532374309</v>
      </c>
      <c r="Q416">
        <f t="shared" si="975"/>
        <v>41069038.489208795</v>
      </c>
      <c r="R416">
        <f t="shared" si="976"/>
        <v>-1359032861.2588797</v>
      </c>
      <c r="S416">
        <f t="shared" si="977"/>
        <v>-13590.328612588797</v>
      </c>
      <c r="T416">
        <f t="shared" si="978"/>
        <v>-13.590328612588797</v>
      </c>
    </row>
    <row r="417" spans="1:20" x14ac:dyDescent="0.25">
      <c r="A417" s="5">
        <v>44176</v>
      </c>
      <c r="B417">
        <v>2.4139999999999999E-3</v>
      </c>
      <c r="C417">
        <v>2.4499999999999999E-3</v>
      </c>
      <c r="D417">
        <v>2.1800000000000001E-3</v>
      </c>
      <c r="E417">
        <v>2.3440000000000002E-3</v>
      </c>
      <c r="F417">
        <v>204920493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0.21481481481481615</v>
      </c>
      <c r="Q417">
        <f t="shared" si="975"/>
        <v>44019957.755555831</v>
      </c>
      <c r="R417">
        <f t="shared" si="976"/>
        <v>-1400101899.7480884</v>
      </c>
      <c r="S417">
        <f t="shared" si="977"/>
        <v>-14001.018997480884</v>
      </c>
      <c r="T417">
        <f t="shared" si="978"/>
        <v>-14.001018997480884</v>
      </c>
    </row>
    <row r="418" spans="1:20" x14ac:dyDescent="0.25">
      <c r="A418" s="5">
        <v>44175</v>
      </c>
      <c r="B418">
        <v>2.4559999999999998E-3</v>
      </c>
      <c r="C418">
        <v>2.578E-3</v>
      </c>
      <c r="D418">
        <v>2.359E-3</v>
      </c>
      <c r="E418">
        <v>2.4139999999999999E-3</v>
      </c>
      <c r="F418">
        <v>787052669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-0.49771689497716964</v>
      </c>
      <c r="Q418">
        <f t="shared" si="975"/>
        <v>-391729410.59817404</v>
      </c>
      <c r="R418">
        <f t="shared" si="976"/>
        <v>-1444121857.5036442</v>
      </c>
      <c r="S418">
        <f t="shared" si="977"/>
        <v>-14441.218575036442</v>
      </c>
      <c r="T418">
        <f t="shared" si="978"/>
        <v>-14.441218575036443</v>
      </c>
    </row>
    <row r="419" spans="1:20" x14ac:dyDescent="0.25">
      <c r="A419" s="5">
        <v>44174</v>
      </c>
      <c r="B419">
        <v>2.4390000000000002E-3</v>
      </c>
      <c r="C419">
        <v>2.4880000000000002E-3</v>
      </c>
      <c r="D419">
        <v>2.2309999999999999E-3</v>
      </c>
      <c r="E419">
        <v>2.4550000000000002E-3</v>
      </c>
      <c r="F419">
        <v>104418800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0.74319066147859913</v>
      </c>
      <c r="Q419">
        <f t="shared" si="975"/>
        <v>77603077.042801544</v>
      </c>
      <c r="R419">
        <f t="shared" si="976"/>
        <v>-1052392446.9054703</v>
      </c>
      <c r="S419">
        <f t="shared" si="977"/>
        <v>-10523.924469054702</v>
      </c>
      <c r="T419">
        <f t="shared" si="978"/>
        <v>-10.523924469054702</v>
      </c>
    </row>
    <row r="420" spans="1:20" x14ac:dyDescent="0.25">
      <c r="A420" s="5">
        <v>44173</v>
      </c>
      <c r="B420">
        <v>2.666E-3</v>
      </c>
      <c r="C420">
        <v>2.7000000000000001E-3</v>
      </c>
      <c r="D420">
        <v>2.4199999999999998E-3</v>
      </c>
      <c r="E420">
        <v>2.4420000000000002E-3</v>
      </c>
      <c r="F420">
        <v>94840636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-0.84285714285714075</v>
      </c>
      <c r="Q420">
        <f t="shared" si="975"/>
        <v>-79937107.485714093</v>
      </c>
      <c r="R420">
        <f t="shared" si="976"/>
        <v>-1129995523.9482718</v>
      </c>
      <c r="S420">
        <f t="shared" si="977"/>
        <v>-11299.955239482717</v>
      </c>
      <c r="T420">
        <f t="shared" si="978"/>
        <v>-11.299955239482717</v>
      </c>
    </row>
    <row r="421" spans="1:20" x14ac:dyDescent="0.25">
      <c r="A421" s="5">
        <v>44172</v>
      </c>
      <c r="B421">
        <v>2.5439999999999998E-3</v>
      </c>
      <c r="C421">
        <v>2.7239999999999999E-3</v>
      </c>
      <c r="D421">
        <v>2.506E-3</v>
      </c>
      <c r="E421">
        <v>2.6679999999999998E-3</v>
      </c>
      <c r="F421">
        <v>105624330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0.48623853211009088</v>
      </c>
      <c r="Q421">
        <f t="shared" si="975"/>
        <v>51358619.174311839</v>
      </c>
      <c r="R421">
        <f t="shared" si="976"/>
        <v>-1050058416.4625576</v>
      </c>
      <c r="S421">
        <f t="shared" si="977"/>
        <v>-10500.584164625576</v>
      </c>
      <c r="T421">
        <f t="shared" si="978"/>
        <v>-10.500584164625575</v>
      </c>
    </row>
    <row r="422" spans="1:20" x14ac:dyDescent="0.25">
      <c r="A422" s="5">
        <v>44171</v>
      </c>
      <c r="B422">
        <v>2.5730000000000002E-3</v>
      </c>
      <c r="C422">
        <v>2.598E-3</v>
      </c>
      <c r="D422">
        <v>2.4510000000000001E-3</v>
      </c>
      <c r="E422">
        <v>2.545E-3</v>
      </c>
      <c r="F422">
        <v>64493138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0.27891156462584904</v>
      </c>
      <c r="Q422">
        <f t="shared" si="975"/>
        <v>17987882.027210802</v>
      </c>
      <c r="R422">
        <f t="shared" si="976"/>
        <v>-1101417035.6368694</v>
      </c>
      <c r="S422">
        <f t="shared" si="977"/>
        <v>-11014.170356368695</v>
      </c>
      <c r="T422">
        <f t="shared" si="978"/>
        <v>-11.014170356368695</v>
      </c>
    </row>
    <row r="423" spans="1:20" x14ac:dyDescent="0.25">
      <c r="A423" s="5">
        <v>44170</v>
      </c>
      <c r="B423">
        <v>2.4069999999999999E-3</v>
      </c>
      <c r="C423">
        <v>2.611E-3</v>
      </c>
      <c r="D423">
        <v>2.3760000000000001E-3</v>
      </c>
      <c r="E423">
        <v>2.568E-3</v>
      </c>
      <c r="F423">
        <v>108271489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0.63404255319148872</v>
      </c>
      <c r="Q423">
        <f t="shared" si="975"/>
        <v>68648731.323404193</v>
      </c>
      <c r="R423">
        <f t="shared" si="976"/>
        <v>-1119404917.6640801</v>
      </c>
      <c r="S423">
        <f t="shared" si="977"/>
        <v>-11194.049176640801</v>
      </c>
      <c r="T423">
        <f t="shared" si="978"/>
        <v>-11.194049176640801</v>
      </c>
    </row>
    <row r="424" spans="1:20" x14ac:dyDescent="0.25">
      <c r="A424" s="5">
        <v>44169</v>
      </c>
      <c r="B424">
        <v>2.6440000000000001E-3</v>
      </c>
      <c r="C424">
        <v>2.8999999999999998E-3</v>
      </c>
      <c r="D424">
        <v>2.3700000000000001E-3</v>
      </c>
      <c r="E424">
        <v>2.415E-3</v>
      </c>
      <c r="F424">
        <v>213238015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-0.83018867924528328</v>
      </c>
      <c r="Q424">
        <f t="shared" si="975"/>
        <v>-177027786.03773591</v>
      </c>
      <c r="R424">
        <f t="shared" si="976"/>
        <v>-1188053648.9874842</v>
      </c>
      <c r="S424">
        <f t="shared" si="977"/>
        <v>-11880.536489874843</v>
      </c>
      <c r="T424">
        <f t="shared" si="978"/>
        <v>-11.880536489874842</v>
      </c>
    </row>
    <row r="425" spans="1:20" x14ac:dyDescent="0.25">
      <c r="A425" s="5">
        <v>44168</v>
      </c>
      <c r="B425">
        <v>2.6549999999999998E-3</v>
      </c>
      <c r="C425">
        <v>2.6979999999999999E-3</v>
      </c>
      <c r="D425">
        <v>2.503E-3</v>
      </c>
      <c r="E425">
        <v>2.6440000000000001E-3</v>
      </c>
      <c r="F425">
        <v>55823890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0.44615384615384784</v>
      </c>
      <c r="Q425">
        <f t="shared" si="975"/>
        <v>24906043.230769325</v>
      </c>
      <c r="R425">
        <f t="shared" si="976"/>
        <v>-1011025862.9497483</v>
      </c>
      <c r="S425">
        <f t="shared" si="977"/>
        <v>-10110.258629497483</v>
      </c>
      <c r="T425">
        <f t="shared" si="978"/>
        <v>-10.110258629497483</v>
      </c>
    </row>
    <row r="426" spans="1:20" x14ac:dyDescent="0.25">
      <c r="A426" s="5">
        <v>44167</v>
      </c>
      <c r="B426">
        <v>2.4369999999999999E-3</v>
      </c>
      <c r="C426">
        <v>2.7000000000000001E-3</v>
      </c>
      <c r="D426">
        <v>2.3809999999999999E-3</v>
      </c>
      <c r="E426">
        <v>2.66E-3</v>
      </c>
      <c r="F426">
        <v>129194008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0.74921630094043845</v>
      </c>
      <c r="Q426">
        <f t="shared" si="975"/>
        <v>96794256.777429417</v>
      </c>
      <c r="R426">
        <f t="shared" si="976"/>
        <v>-1035931906.1805176</v>
      </c>
      <c r="S426">
        <f t="shared" si="977"/>
        <v>-10359.319061805176</v>
      </c>
      <c r="T426">
        <f t="shared" si="978"/>
        <v>-10.359319061805175</v>
      </c>
    </row>
    <row r="427" spans="1:20" x14ac:dyDescent="0.25">
      <c r="A427" s="5">
        <v>44166</v>
      </c>
      <c r="B427">
        <v>2.3749999999999999E-3</v>
      </c>
      <c r="C427">
        <v>2.7030000000000001E-3</v>
      </c>
      <c r="D427">
        <v>2.251E-3</v>
      </c>
      <c r="E427">
        <v>2.4369999999999999E-3</v>
      </c>
      <c r="F427">
        <v>212075616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-0.17699115044247829</v>
      </c>
      <c r="Q427">
        <f t="shared" si="975"/>
        <v>-37535507.256637253</v>
      </c>
      <c r="R427">
        <f t="shared" si="976"/>
        <v>-1132726162.957947</v>
      </c>
      <c r="S427">
        <f t="shared" si="977"/>
        <v>-11327.261629579471</v>
      </c>
      <c r="T427">
        <f t="shared" si="978"/>
        <v>-11.327261629579471</v>
      </c>
    </row>
    <row r="428" spans="1:20" x14ac:dyDescent="0.25">
      <c r="A428" s="5">
        <v>44165</v>
      </c>
      <c r="B428">
        <v>2.3319999999999999E-3</v>
      </c>
      <c r="C428">
        <v>2.3990000000000001E-3</v>
      </c>
      <c r="D428">
        <v>2.2799999999999999E-3</v>
      </c>
      <c r="E428">
        <v>2.3749999999999999E-3</v>
      </c>
      <c r="F428">
        <v>87969351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0.59663865546218298</v>
      </c>
      <c r="Q428">
        <f t="shared" si="975"/>
        <v>52485915.302520841</v>
      </c>
      <c r="R428">
        <f t="shared" si="976"/>
        <v>-1095190655.7013097</v>
      </c>
      <c r="S428">
        <f t="shared" si="977"/>
        <v>-10951.906557013097</v>
      </c>
      <c r="T428">
        <f t="shared" si="978"/>
        <v>-10.951906557013096</v>
      </c>
    </row>
    <row r="429" spans="1:20" x14ac:dyDescent="0.25">
      <c r="A429" s="5">
        <v>44164</v>
      </c>
      <c r="B429">
        <v>2.3379999999999998E-3</v>
      </c>
      <c r="C429">
        <v>2.3579999999999999E-3</v>
      </c>
      <c r="D429">
        <v>2.2780000000000001E-3</v>
      </c>
      <c r="E429">
        <v>2.3289999999999999E-3</v>
      </c>
      <c r="F429">
        <v>81379964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0.2749999999999993</v>
      </c>
      <c r="Q429">
        <f t="shared" si="975"/>
        <v>22379490.099999942</v>
      </c>
      <c r="R429">
        <f t="shared" si="976"/>
        <v>-1147676571.0038304</v>
      </c>
      <c r="S429">
        <f t="shared" si="977"/>
        <v>-11476.765710038304</v>
      </c>
      <c r="T429">
        <f t="shared" si="978"/>
        <v>-11.476765710038304</v>
      </c>
    </row>
    <row r="430" spans="1:20" x14ac:dyDescent="0.25">
      <c r="A430" s="5">
        <v>44163</v>
      </c>
      <c r="B430">
        <v>2.281E-3</v>
      </c>
      <c r="C430">
        <v>2.3990000000000001E-3</v>
      </c>
      <c r="D430">
        <v>2.2260000000000001E-3</v>
      </c>
      <c r="E430">
        <v>2.3340000000000001E-3</v>
      </c>
      <c r="F430">
        <v>95045960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0.24855491329479812</v>
      </c>
      <c r="Q430">
        <f t="shared" si="975"/>
        <v>23624140.34682085</v>
      </c>
      <c r="R430">
        <f t="shared" si="976"/>
        <v>-1170056061.1038303</v>
      </c>
      <c r="S430">
        <f t="shared" si="977"/>
        <v>-11700.560611038303</v>
      </c>
      <c r="T430">
        <f t="shared" si="978"/>
        <v>-11.700560611038304</v>
      </c>
    </row>
    <row r="431" spans="1:20" x14ac:dyDescent="0.25">
      <c r="A431" s="5">
        <v>44162</v>
      </c>
      <c r="B431">
        <v>2.2590000000000002E-3</v>
      </c>
      <c r="C431">
        <v>2.3939999999999999E-3</v>
      </c>
      <c r="D431">
        <v>2.117E-3</v>
      </c>
      <c r="E431">
        <v>2.2769999999999999E-3</v>
      </c>
      <c r="F431">
        <v>116394314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0.15523465703971151</v>
      </c>
      <c r="Q431">
        <f t="shared" si="975"/>
        <v>18068431.415162493</v>
      </c>
      <c r="R431">
        <f t="shared" si="976"/>
        <v>-1193680201.4506512</v>
      </c>
      <c r="S431">
        <f t="shared" si="977"/>
        <v>-11936.802014506511</v>
      </c>
      <c r="T431">
        <f t="shared" si="978"/>
        <v>-11.936802014506512</v>
      </c>
    </row>
    <row r="432" spans="1:20" x14ac:dyDescent="0.25">
      <c r="A432" s="5">
        <v>44161</v>
      </c>
      <c r="B432">
        <v>2.6580000000000002E-3</v>
      </c>
      <c r="C432">
        <v>2.8E-3</v>
      </c>
      <c r="D432">
        <v>2.101E-3</v>
      </c>
      <c r="E432">
        <v>2.251E-3</v>
      </c>
      <c r="F432">
        <v>259205201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-0.57081545064377692</v>
      </c>
      <c r="Q432">
        <f t="shared" si="975"/>
        <v>-147958333.61802578</v>
      </c>
      <c r="R432">
        <f t="shared" si="976"/>
        <v>-1211748632.8658137</v>
      </c>
      <c r="S432">
        <f t="shared" si="977"/>
        <v>-12117.486328658137</v>
      </c>
      <c r="T432">
        <f t="shared" si="978"/>
        <v>-12.117486328658137</v>
      </c>
    </row>
    <row r="433" spans="1:20" x14ac:dyDescent="0.25">
      <c r="A433" s="5">
        <v>44160</v>
      </c>
      <c r="B433">
        <v>2.5509999999999999E-3</v>
      </c>
      <c r="C433">
        <v>2.8909999999999999E-3</v>
      </c>
      <c r="D433">
        <v>2.4680000000000001E-3</v>
      </c>
      <c r="E433">
        <v>2.6649999999999998E-3</v>
      </c>
      <c r="F433">
        <v>230467050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-6.8557919621750341E-2</v>
      </c>
      <c r="Q433">
        <f t="shared" si="975"/>
        <v>-15800341.489361918</v>
      </c>
      <c r="R433">
        <f t="shared" si="976"/>
        <v>-1063790299.247788</v>
      </c>
      <c r="S433">
        <f t="shared" si="977"/>
        <v>-10637.902992477879</v>
      </c>
      <c r="T433">
        <f t="shared" si="978"/>
        <v>-10.637902992477878</v>
      </c>
    </row>
    <row r="434" spans="1:20" x14ac:dyDescent="0.25">
      <c r="A434" s="5">
        <v>44159</v>
      </c>
      <c r="B434">
        <v>2.4009999999999999E-3</v>
      </c>
      <c r="C434">
        <v>2.64E-3</v>
      </c>
      <c r="D434">
        <v>2.3400000000000001E-3</v>
      </c>
      <c r="E434">
        <v>2.5539999999999998E-3</v>
      </c>
      <c r="F434">
        <v>201055233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0.42666666666666558</v>
      </c>
      <c r="Q434">
        <f t="shared" si="975"/>
        <v>85783566.07999979</v>
      </c>
      <c r="R434">
        <f t="shared" si="976"/>
        <v>-1047989957.7584261</v>
      </c>
      <c r="S434">
        <f t="shared" si="977"/>
        <v>-10479.899577584261</v>
      </c>
      <c r="T434">
        <f t="shared" si="978"/>
        <v>-10.479899577584261</v>
      </c>
    </row>
    <row r="435" spans="1:20" x14ac:dyDescent="0.25">
      <c r="A435" s="5">
        <v>44158</v>
      </c>
      <c r="B435">
        <v>2.4069999999999999E-3</v>
      </c>
      <c r="C435">
        <v>2.5000000000000001E-3</v>
      </c>
      <c r="D435">
        <v>2.3119999999999998E-3</v>
      </c>
      <c r="E435">
        <v>2.3869999999999998E-3</v>
      </c>
      <c r="F435">
        <v>125942229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-0.20212765957446929</v>
      </c>
      <c r="Q435">
        <f t="shared" si="975"/>
        <v>-25456407.989361852</v>
      </c>
      <c r="R435">
        <f t="shared" si="976"/>
        <v>-1133773523.8384259</v>
      </c>
      <c r="S435">
        <f t="shared" si="977"/>
        <v>-11337.735238384259</v>
      </c>
      <c r="T435">
        <f t="shared" si="978"/>
        <v>-11.337735238384258</v>
      </c>
    </row>
    <row r="436" spans="1:20" x14ac:dyDescent="0.25">
      <c r="A436" s="5">
        <v>44157</v>
      </c>
      <c r="B436">
        <v>2.362E-3</v>
      </c>
      <c r="C436">
        <v>2.5439999999999998E-3</v>
      </c>
      <c r="D436">
        <v>2.2070000000000002E-3</v>
      </c>
      <c r="E436">
        <v>2.3990000000000001E-3</v>
      </c>
      <c r="F436">
        <v>116646421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0.13946587537092053</v>
      </c>
      <c r="Q436">
        <f t="shared" si="975"/>
        <v>16268195.213649929</v>
      </c>
      <c r="R436">
        <f t="shared" si="976"/>
        <v>-1108317115.8490641</v>
      </c>
      <c r="S436">
        <f t="shared" si="977"/>
        <v>-11083.171158490641</v>
      </c>
      <c r="T436">
        <f t="shared" si="978"/>
        <v>-11.083171158490641</v>
      </c>
    </row>
    <row r="437" spans="1:20" x14ac:dyDescent="0.25">
      <c r="A437" s="5">
        <v>44156</v>
      </c>
      <c r="B437">
        <v>2.2200000000000002E-3</v>
      </c>
      <c r="C437">
        <v>2.3999999999999998E-3</v>
      </c>
      <c r="D437">
        <v>2.147E-3</v>
      </c>
      <c r="E437">
        <v>2.366E-3</v>
      </c>
      <c r="F437">
        <v>79687470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0.73122529644268952</v>
      </c>
      <c r="Q437">
        <f t="shared" si="975"/>
        <v>58269493.873517931</v>
      </c>
      <c r="R437">
        <f t="shared" si="976"/>
        <v>-1124585311.0627141</v>
      </c>
      <c r="S437">
        <f t="shared" si="977"/>
        <v>-11245.85311062714</v>
      </c>
      <c r="T437">
        <f t="shared" si="978"/>
        <v>-11.24585311062714</v>
      </c>
    </row>
    <row r="438" spans="1:20" x14ac:dyDescent="0.25">
      <c r="A438" s="5">
        <v>44155</v>
      </c>
      <c r="B438">
        <v>2.183E-3</v>
      </c>
      <c r="C438">
        <v>2.248E-3</v>
      </c>
      <c r="D438">
        <v>2.1080000000000001E-3</v>
      </c>
      <c r="E438">
        <v>2.2200000000000002E-3</v>
      </c>
      <c r="F438">
        <v>77718052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0.60000000000000253</v>
      </c>
      <c r="Q438">
        <f t="shared" si="975"/>
        <v>46630831.200000197</v>
      </c>
      <c r="R438">
        <f t="shared" si="976"/>
        <v>-1182854804.9362321</v>
      </c>
      <c r="S438">
        <f t="shared" si="977"/>
        <v>-11828.548049362322</v>
      </c>
      <c r="T438">
        <f t="shared" si="978"/>
        <v>-11.828548049362322</v>
      </c>
    </row>
    <row r="439" spans="1:20" x14ac:dyDescent="0.25">
      <c r="A439" s="5">
        <v>44154</v>
      </c>
      <c r="B439">
        <v>2.212E-3</v>
      </c>
      <c r="C439">
        <v>2.2659999999999998E-3</v>
      </c>
      <c r="D439">
        <v>2.0839999999999999E-3</v>
      </c>
      <c r="E439">
        <v>2.1770000000000001E-3</v>
      </c>
      <c r="F439">
        <v>108962529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2.1978021978024911E-2</v>
      </c>
      <c r="Q439">
        <f t="shared" si="975"/>
        <v>2394780.8571431767</v>
      </c>
      <c r="R439">
        <f t="shared" si="976"/>
        <v>-1229485636.1362324</v>
      </c>
      <c r="S439">
        <f t="shared" si="977"/>
        <v>-12294.856361362325</v>
      </c>
      <c r="T439">
        <f t="shared" si="978"/>
        <v>-12.294856361362324</v>
      </c>
    </row>
    <row r="440" spans="1:20" x14ac:dyDescent="0.25">
      <c r="A440" s="5">
        <v>44153</v>
      </c>
      <c r="B440">
        <v>2.088E-3</v>
      </c>
      <c r="C440">
        <v>2.395E-3</v>
      </c>
      <c r="D440">
        <v>2.062E-3</v>
      </c>
      <c r="E440">
        <v>2.2130000000000001E-3</v>
      </c>
      <c r="F440">
        <v>221162234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-9.3093093093092438E-2</v>
      </c>
      <c r="Q440">
        <f t="shared" si="975"/>
        <v>-20588676.438438293</v>
      </c>
      <c r="R440">
        <f t="shared" si="976"/>
        <v>-1231880416.9933755</v>
      </c>
      <c r="S440">
        <f t="shared" si="977"/>
        <v>-12318.804169933755</v>
      </c>
      <c r="T440">
        <f t="shared" si="978"/>
        <v>-12.318804169933756</v>
      </c>
    </row>
    <row r="441" spans="1:20" x14ac:dyDescent="0.25">
      <c r="A441" s="5">
        <v>44152</v>
      </c>
      <c r="B441">
        <v>2.1250000000000002E-3</v>
      </c>
      <c r="C441">
        <v>2.225E-3</v>
      </c>
      <c r="D441">
        <v>2.032E-3</v>
      </c>
      <c r="E441">
        <v>2.098E-3</v>
      </c>
      <c r="F441">
        <v>73390367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-0.31606217616580234</v>
      </c>
      <c r="Q441">
        <f t="shared" si="975"/>
        <v>-23195919.103626888</v>
      </c>
      <c r="R441">
        <f t="shared" si="976"/>
        <v>-1211291740.5549374</v>
      </c>
      <c r="S441">
        <f t="shared" si="977"/>
        <v>-12112.917405549373</v>
      </c>
      <c r="T441">
        <f t="shared" si="978"/>
        <v>-12.112917405549373</v>
      </c>
    </row>
    <row r="442" spans="1:20" x14ac:dyDescent="0.25">
      <c r="A442" s="5">
        <v>44151</v>
      </c>
      <c r="B442">
        <v>2.0950000000000001E-3</v>
      </c>
      <c r="C442">
        <v>2.1900000000000001E-3</v>
      </c>
      <c r="D442">
        <v>2.0219999999999999E-3</v>
      </c>
      <c r="E442">
        <v>2.1320000000000002E-3</v>
      </c>
      <c r="F442">
        <v>100988400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0.30952380952381153</v>
      </c>
      <c r="Q442">
        <f t="shared" si="975"/>
        <v>31258314.285714488</v>
      </c>
      <c r="R442">
        <f t="shared" si="976"/>
        <v>-1188095821.4513104</v>
      </c>
      <c r="S442">
        <f t="shared" si="977"/>
        <v>-11880.958214513104</v>
      </c>
      <c r="T442">
        <f t="shared" si="978"/>
        <v>-11.880958214513104</v>
      </c>
    </row>
    <row r="443" spans="1:20" x14ac:dyDescent="0.25">
      <c r="A443" s="5">
        <v>44150</v>
      </c>
      <c r="B443">
        <v>2.1700000000000001E-3</v>
      </c>
      <c r="C443">
        <v>2.1810000000000002E-3</v>
      </c>
      <c r="D443">
        <v>2.055E-3</v>
      </c>
      <c r="E443">
        <v>2.0939999999999999E-3</v>
      </c>
      <c r="F443">
        <v>23816705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-0.3809523809523826</v>
      </c>
      <c r="Q443">
        <f t="shared" si="975"/>
        <v>-9073030.4761905149</v>
      </c>
      <c r="R443">
        <f t="shared" si="976"/>
        <v>-1219354135.7370248</v>
      </c>
      <c r="S443">
        <f t="shared" si="977"/>
        <v>-12193.541357370248</v>
      </c>
      <c r="T443">
        <f t="shared" si="978"/>
        <v>-12.193541357370249</v>
      </c>
    </row>
    <row r="444" spans="1:20" x14ac:dyDescent="0.25">
      <c r="A444" s="5">
        <v>44149</v>
      </c>
      <c r="B444">
        <v>2.212E-3</v>
      </c>
      <c r="C444">
        <v>2.3800000000000002E-3</v>
      </c>
      <c r="D444">
        <v>2.0999999999999999E-3</v>
      </c>
      <c r="E444">
        <v>2.1840000000000002E-3</v>
      </c>
      <c r="F444">
        <v>59055145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-0.39999999999999847</v>
      </c>
      <c r="Q444">
        <f t="shared" si="975"/>
        <v>-23622057.999999911</v>
      </c>
      <c r="R444">
        <f t="shared" si="976"/>
        <v>-1210281105.2608342</v>
      </c>
      <c r="S444">
        <f t="shared" si="977"/>
        <v>-12102.811052608342</v>
      </c>
      <c r="T444">
        <f t="shared" si="978"/>
        <v>-12.102811052608342</v>
      </c>
    </row>
    <row r="445" spans="1:20" x14ac:dyDescent="0.25">
      <c r="A445" s="5">
        <v>44148</v>
      </c>
      <c r="B445">
        <v>2.2030000000000001E-3</v>
      </c>
      <c r="C445">
        <v>2.284E-3</v>
      </c>
      <c r="D445">
        <v>2.1610000000000002E-3</v>
      </c>
      <c r="E445">
        <v>2.2339999999999999E-3</v>
      </c>
      <c r="F445">
        <v>29436435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0.18699186991869604</v>
      </c>
      <c r="Q445">
        <f t="shared" si="975"/>
        <v>5504374.0243901517</v>
      </c>
      <c r="R445">
        <f t="shared" si="976"/>
        <v>-1186659047.2608342</v>
      </c>
      <c r="S445">
        <f t="shared" si="977"/>
        <v>-11866.590472608343</v>
      </c>
      <c r="T445">
        <f t="shared" si="978"/>
        <v>-11.866590472608342</v>
      </c>
    </row>
    <row r="446" spans="1:20" x14ac:dyDescent="0.25">
      <c r="A446" s="5">
        <v>44147</v>
      </c>
      <c r="B446">
        <v>2.196E-3</v>
      </c>
      <c r="C446">
        <v>2.3189999999999999E-3</v>
      </c>
      <c r="D446">
        <v>2.1320000000000002E-3</v>
      </c>
      <c r="E446">
        <v>2.2139999999999998E-3</v>
      </c>
      <c r="F446">
        <v>51111994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-0.12299465240641974</v>
      </c>
      <c r="Q446">
        <f t="shared" si="975"/>
        <v>-6286501.9358290117</v>
      </c>
      <c r="R446">
        <f t="shared" si="976"/>
        <v>-1192163421.2852244</v>
      </c>
      <c r="S446">
        <f t="shared" si="977"/>
        <v>-11921.634212852245</v>
      </c>
      <c r="T446">
        <f t="shared" si="978"/>
        <v>-11.921634212852245</v>
      </c>
    </row>
    <row r="447" spans="1:20" x14ac:dyDescent="0.25">
      <c r="A447" s="5">
        <v>44146</v>
      </c>
      <c r="B447">
        <v>2.1749999999999999E-3</v>
      </c>
      <c r="C447">
        <v>2.3500000000000001E-3</v>
      </c>
      <c r="D447">
        <v>2.0530000000000001E-3</v>
      </c>
      <c r="E447">
        <v>2.199E-3</v>
      </c>
      <c r="F447">
        <v>200176022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-1.6835016835017612E-2</v>
      </c>
      <c r="Q447">
        <f t="shared" si="975"/>
        <v>-3369966.7003368558</v>
      </c>
      <c r="R447">
        <f t="shared" si="976"/>
        <v>-1185876919.3493955</v>
      </c>
      <c r="S447">
        <f t="shared" si="977"/>
        <v>-11858.769193493956</v>
      </c>
      <c r="T447">
        <f t="shared" si="978"/>
        <v>-11.858769193493956</v>
      </c>
    </row>
    <row r="448" spans="1:20" x14ac:dyDescent="0.25">
      <c r="A448" s="5">
        <v>44145</v>
      </c>
      <c r="B448">
        <v>2.0669999999999998E-3</v>
      </c>
      <c r="C448">
        <v>2.1979999999999999E-3</v>
      </c>
      <c r="D448">
        <v>2.039E-3</v>
      </c>
      <c r="E448">
        <v>2.1610000000000002E-3</v>
      </c>
      <c r="F448">
        <v>110992192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0.53459119496855667</v>
      </c>
      <c r="Q448">
        <f t="shared" si="975"/>
        <v>59335448.553459473</v>
      </c>
      <c r="R448">
        <f t="shared" si="976"/>
        <v>-1182506952.6490586</v>
      </c>
      <c r="S448">
        <f t="shared" si="977"/>
        <v>-11825.069526490586</v>
      </c>
      <c r="T448">
        <f t="shared" si="978"/>
        <v>-11.825069526490585</v>
      </c>
    </row>
    <row r="449" spans="1:20" x14ac:dyDescent="0.25">
      <c r="A449" s="5">
        <v>44144</v>
      </c>
      <c r="B449">
        <v>2.0720000000000001E-3</v>
      </c>
      <c r="C449">
        <v>2.0999999999999999E-3</v>
      </c>
      <c r="D449">
        <v>1.9449999999999999E-3</v>
      </c>
      <c r="E449">
        <v>2.049E-3</v>
      </c>
      <c r="F449">
        <v>33575646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0.34193548387096984</v>
      </c>
      <c r="Q449">
        <f t="shared" si="975"/>
        <v>11480704.761290394</v>
      </c>
      <c r="R449">
        <f t="shared" si="976"/>
        <v>-1241842401.202518</v>
      </c>
      <c r="S449">
        <f t="shared" si="977"/>
        <v>-12418.42401202518</v>
      </c>
      <c r="T449">
        <f t="shared" si="978"/>
        <v>-12.418424012025179</v>
      </c>
    </row>
    <row r="450" spans="1:20" x14ac:dyDescent="0.25">
      <c r="A450" s="5">
        <v>44143</v>
      </c>
      <c r="B450">
        <v>1.939E-3</v>
      </c>
      <c r="C450">
        <v>2.0960000000000002E-3</v>
      </c>
      <c r="D450">
        <v>1.934E-3</v>
      </c>
      <c r="E450">
        <v>2.0609999999999999E-3</v>
      </c>
      <c r="F450">
        <v>28748707</v>
      </c>
      <c r="G450">
        <v>0</v>
      </c>
      <c r="L450" t="s">
        <v>8</v>
      </c>
      <c r="M450" t="s">
        <v>8</v>
      </c>
      <c r="N450" t="s">
        <v>7</v>
      </c>
      <c r="P450">
        <f t="shared" si="974"/>
        <v>0.56790123456789809</v>
      </c>
      <c r="Q450">
        <f t="shared" si="975"/>
        <v>16326426.197530774</v>
      </c>
      <c r="R450">
        <f t="shared" si="976"/>
        <v>-1253323105.9638083</v>
      </c>
      <c r="S450">
        <f t="shared" si="977"/>
        <v>-12533.231059638083</v>
      </c>
      <c r="T450">
        <f t="shared" si="978"/>
        <v>-12.533231059638084</v>
      </c>
    </row>
    <row r="451" spans="1:20" x14ac:dyDescent="0.25">
      <c r="A451" s="5">
        <v>44142</v>
      </c>
      <c r="B451">
        <v>2.049E-3</v>
      </c>
      <c r="C451">
        <v>2.1199999999999999E-3</v>
      </c>
      <c r="D451">
        <v>1.8959999999999999E-3</v>
      </c>
      <c r="E451">
        <v>1.946E-3</v>
      </c>
      <c r="F451">
        <v>72533094</v>
      </c>
      <c r="G451">
        <v>0</v>
      </c>
      <c r="L451" t="s">
        <v>7</v>
      </c>
      <c r="M451" t="s">
        <v>8</v>
      </c>
      <c r="N451" t="s">
        <v>7</v>
      </c>
      <c r="P451">
        <f t="shared" si="974"/>
        <v>-0.55357142857142749</v>
      </c>
      <c r="Q451">
        <f t="shared" si="975"/>
        <v>-40152248.464285634</v>
      </c>
      <c r="R451">
        <f t="shared" si="976"/>
        <v>-1269649532.161339</v>
      </c>
      <c r="S451">
        <f t="shared" si="977"/>
        <v>-12696.495321613391</v>
      </c>
      <c r="T451">
        <f t="shared" si="978"/>
        <v>-12.696495321613391</v>
      </c>
    </row>
    <row r="452" spans="1:20" x14ac:dyDescent="0.25">
      <c r="A452" s="5">
        <v>44141</v>
      </c>
      <c r="B452">
        <v>1.885E-3</v>
      </c>
      <c r="C452">
        <v>2.1510000000000001E-3</v>
      </c>
      <c r="D452">
        <v>1.8730000000000001E-3</v>
      </c>
      <c r="E452">
        <v>2.049E-3</v>
      </c>
      <c r="F452">
        <v>155133661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0.26618705035971163</v>
      </c>
      <c r="Q452">
        <f t="shared" si="975"/>
        <v>41294571.633093432</v>
      </c>
      <c r="R452">
        <f t="shared" si="976"/>
        <v>-1229497283.6970534</v>
      </c>
      <c r="S452">
        <f t="shared" si="977"/>
        <v>-12294.972836970534</v>
      </c>
      <c r="T452">
        <f t="shared" si="978"/>
        <v>-12.294972836970533</v>
      </c>
    </row>
    <row r="453" spans="1:20" x14ac:dyDescent="0.25">
      <c r="A453" s="5">
        <v>44140</v>
      </c>
      <c r="B453">
        <v>1.8209999999999999E-3</v>
      </c>
      <c r="C453">
        <v>1.918E-3</v>
      </c>
      <c r="D453">
        <v>1.7799999999999999E-3</v>
      </c>
      <c r="E453">
        <v>1.882E-3</v>
      </c>
      <c r="F453">
        <v>68538050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0.47826086956521768</v>
      </c>
      <c r="Q453">
        <f t="shared" si="975"/>
        <v>32779067.391304366</v>
      </c>
      <c r="R453">
        <f t="shared" si="976"/>
        <v>-1270791855.3301468</v>
      </c>
      <c r="S453">
        <f t="shared" si="977"/>
        <v>-12707.918553301468</v>
      </c>
      <c r="T453">
        <f t="shared" si="978"/>
        <v>-12.707918553301468</v>
      </c>
    </row>
    <row r="454" spans="1:20" x14ac:dyDescent="0.25">
      <c r="A454" s="5">
        <v>44139</v>
      </c>
      <c r="B454">
        <v>1.859E-3</v>
      </c>
      <c r="C454">
        <v>1.859E-3</v>
      </c>
      <c r="D454">
        <v>1.758E-3</v>
      </c>
      <c r="E454">
        <v>1.802E-3</v>
      </c>
      <c r="F454">
        <v>44454333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-0.12871287128712866</v>
      </c>
      <c r="Q454">
        <f t="shared" ref="Q454:Q517" si="980">F454*P454</f>
        <v>-5721844.8415841563</v>
      </c>
      <c r="R454">
        <f t="shared" ref="R454:R517" si="981">R455+Q454</f>
        <v>-1303570922.721451</v>
      </c>
      <c r="S454">
        <f t="shared" ref="S454:S517" si="982">R454/100000</f>
        <v>-13035.709227214511</v>
      </c>
      <c r="T454">
        <f t="shared" ref="T454:T517" si="983">S454/1000</f>
        <v>-13.035709227214511</v>
      </c>
    </row>
    <row r="455" spans="1:20" x14ac:dyDescent="0.25">
      <c r="A455" s="5">
        <v>44138</v>
      </c>
      <c r="B455">
        <v>1.9139999999999999E-3</v>
      </c>
      <c r="C455">
        <v>1.9610000000000001E-3</v>
      </c>
      <c r="D455">
        <v>1.7830000000000001E-3</v>
      </c>
      <c r="E455">
        <v>1.867E-3</v>
      </c>
      <c r="F455">
        <v>33393312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-5.6179775280900242E-2</v>
      </c>
      <c r="Q455">
        <f t="shared" si="980"/>
        <v>-1876028.7640449894</v>
      </c>
      <c r="R455">
        <f t="shared" si="981"/>
        <v>-1297849077.8798668</v>
      </c>
      <c r="S455">
        <f t="shared" si="982"/>
        <v>-12978.490778798669</v>
      </c>
      <c r="T455">
        <f t="shared" si="983"/>
        <v>-12.978490778798669</v>
      </c>
    </row>
    <row r="456" spans="1:20" x14ac:dyDescent="0.25">
      <c r="A456" s="5">
        <v>44137</v>
      </c>
      <c r="B456">
        <v>1.9090000000000001E-3</v>
      </c>
      <c r="C456">
        <v>2.081E-3</v>
      </c>
      <c r="D456">
        <v>1.866E-3</v>
      </c>
      <c r="E456">
        <v>1.905E-3</v>
      </c>
      <c r="F456">
        <v>53032622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-0.63720930232558148</v>
      </c>
      <c r="Q456">
        <f t="shared" si="980"/>
        <v>-33792880.065116286</v>
      </c>
      <c r="R456">
        <f t="shared" si="981"/>
        <v>-1295973049.1158218</v>
      </c>
      <c r="S456">
        <f t="shared" si="982"/>
        <v>-12959.730491158218</v>
      </c>
      <c r="T456">
        <f t="shared" si="983"/>
        <v>-12.959730491158219</v>
      </c>
    </row>
    <row r="457" spans="1:20" x14ac:dyDescent="0.25">
      <c r="A457" s="5">
        <v>44136</v>
      </c>
      <c r="B457">
        <v>1.905E-3</v>
      </c>
      <c r="C457">
        <v>1.949E-3</v>
      </c>
      <c r="D457">
        <v>1.8730000000000001E-3</v>
      </c>
      <c r="E457">
        <v>1.8990000000000001E-3</v>
      </c>
      <c r="F457">
        <v>21672668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-0.31578947368421006</v>
      </c>
      <c r="Q457">
        <f t="shared" si="980"/>
        <v>-6844000.4210526217</v>
      </c>
      <c r="R457">
        <f t="shared" si="981"/>
        <v>-1262180169.0507057</v>
      </c>
      <c r="S457">
        <f t="shared" si="982"/>
        <v>-12621.801690507056</v>
      </c>
      <c r="T457">
        <f t="shared" si="983"/>
        <v>-12.621801690507056</v>
      </c>
    </row>
    <row r="458" spans="1:20" x14ac:dyDescent="0.25">
      <c r="A458" s="5">
        <v>44135</v>
      </c>
      <c r="B458">
        <v>1.9269999999999999E-3</v>
      </c>
      <c r="C458">
        <v>2.0200000000000001E-3</v>
      </c>
      <c r="D458">
        <v>1.874E-3</v>
      </c>
      <c r="E458">
        <v>1.915E-3</v>
      </c>
      <c r="F458">
        <v>36743804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-0.43835616438356168</v>
      </c>
      <c r="Q458">
        <f t="shared" si="980"/>
        <v>-16106872.986301372</v>
      </c>
      <c r="R458">
        <f t="shared" si="981"/>
        <v>-1255336168.629653</v>
      </c>
      <c r="S458">
        <f t="shared" si="982"/>
        <v>-12553.36168629653</v>
      </c>
      <c r="T458">
        <f t="shared" si="983"/>
        <v>-12.55336168629653</v>
      </c>
    </row>
    <row r="459" spans="1:20" x14ac:dyDescent="0.25">
      <c r="A459" s="5">
        <v>44134</v>
      </c>
      <c r="B459">
        <v>1.9840000000000001E-3</v>
      </c>
      <c r="C459">
        <v>2.0240000000000002E-3</v>
      </c>
      <c r="D459">
        <v>1.8320000000000001E-3</v>
      </c>
      <c r="E459">
        <v>1.9300000000000001E-3</v>
      </c>
      <c r="F459">
        <v>80094796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2.0833333333332697E-2</v>
      </c>
      <c r="Q459">
        <f t="shared" si="980"/>
        <v>1668641.5833332825</v>
      </c>
      <c r="R459">
        <f t="shared" si="981"/>
        <v>-1239229295.6433516</v>
      </c>
      <c r="S459">
        <f t="shared" si="982"/>
        <v>-12392.292956433515</v>
      </c>
      <c r="T459">
        <f t="shared" si="983"/>
        <v>-12.392292956433515</v>
      </c>
    </row>
    <row r="460" spans="1:20" x14ac:dyDescent="0.25">
      <c r="A460" s="5">
        <v>44133</v>
      </c>
      <c r="B460">
        <v>2.1770000000000001E-3</v>
      </c>
      <c r="C460">
        <v>2.1779999999999998E-3</v>
      </c>
      <c r="D460">
        <v>1.812E-3</v>
      </c>
      <c r="E460">
        <v>1.983E-3</v>
      </c>
      <c r="F460">
        <v>158606975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-6.5573770491803129E-2</v>
      </c>
      <c r="Q460">
        <f t="shared" si="980"/>
        <v>-10400457.377049157</v>
      </c>
      <c r="R460">
        <f t="shared" si="981"/>
        <v>-1240897937.2266848</v>
      </c>
      <c r="S460">
        <f t="shared" si="982"/>
        <v>-12408.979372266847</v>
      </c>
      <c r="T460">
        <f t="shared" si="983"/>
        <v>-12.408979372266847</v>
      </c>
    </row>
    <row r="461" spans="1:20" x14ac:dyDescent="0.25">
      <c r="A461" s="5">
        <v>44132</v>
      </c>
      <c r="B461">
        <v>2.2829999999999999E-3</v>
      </c>
      <c r="C461">
        <v>2.284E-3</v>
      </c>
      <c r="D461">
        <v>2.0969999999999999E-3</v>
      </c>
      <c r="E461">
        <v>2.1640000000000001E-3</v>
      </c>
      <c r="F461">
        <v>39806640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-0.28342245989304615</v>
      </c>
      <c r="Q461">
        <f t="shared" si="980"/>
        <v>-11282095.828876927</v>
      </c>
      <c r="R461">
        <f t="shared" si="981"/>
        <v>-1230497479.8496356</v>
      </c>
      <c r="S461">
        <f t="shared" si="982"/>
        <v>-12304.974798496356</v>
      </c>
      <c r="T461">
        <f t="shared" si="983"/>
        <v>-12.304974798496357</v>
      </c>
    </row>
    <row r="462" spans="1:20" x14ac:dyDescent="0.25">
      <c r="A462" s="5">
        <v>44131</v>
      </c>
      <c r="B462">
        <v>2.2279999999999999E-3</v>
      </c>
      <c r="C462">
        <v>2.3219999999999998E-3</v>
      </c>
      <c r="D462">
        <v>2.1320000000000002E-3</v>
      </c>
      <c r="E462">
        <v>2.2759999999999998E-3</v>
      </c>
      <c r="F462">
        <v>89996486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0.51578947368420924</v>
      </c>
      <c r="Q462">
        <f t="shared" si="980"/>
        <v>46419240.147368304</v>
      </c>
      <c r="R462">
        <f t="shared" si="981"/>
        <v>-1219215384.0207586</v>
      </c>
      <c r="S462">
        <f t="shared" si="982"/>
        <v>-12192.153840207586</v>
      </c>
      <c r="T462">
        <f t="shared" si="983"/>
        <v>-12.192153840207586</v>
      </c>
    </row>
    <row r="463" spans="1:20" x14ac:dyDescent="0.25">
      <c r="A463" s="5">
        <v>44130</v>
      </c>
      <c r="B463">
        <v>2.1619999999999999E-3</v>
      </c>
      <c r="C463">
        <v>2.3649999999999999E-3</v>
      </c>
      <c r="D463">
        <v>2.0869999999999999E-3</v>
      </c>
      <c r="E463">
        <v>2.2369999999999998E-3</v>
      </c>
      <c r="F463">
        <v>99700002</v>
      </c>
      <c r="G463">
        <v>0</v>
      </c>
      <c r="L463" t="s">
        <v>8</v>
      </c>
      <c r="M463" t="s">
        <v>8</v>
      </c>
      <c r="N463" t="s">
        <v>7</v>
      </c>
      <c r="P463">
        <f t="shared" si="979"/>
        <v>7.9136690647481592E-2</v>
      </c>
      <c r="Q463">
        <f t="shared" si="980"/>
        <v>7889928.2158272956</v>
      </c>
      <c r="R463">
        <f t="shared" si="981"/>
        <v>-1265634624.1681268</v>
      </c>
      <c r="S463">
        <f t="shared" si="982"/>
        <v>-12656.346241681269</v>
      </c>
      <c r="T463">
        <f t="shared" si="983"/>
        <v>-12.65634624168127</v>
      </c>
    </row>
    <row r="464" spans="1:20" x14ac:dyDescent="0.25">
      <c r="A464" s="5">
        <v>44129</v>
      </c>
      <c r="B464">
        <v>2.2160000000000001E-3</v>
      </c>
      <c r="C464">
        <v>2.2260000000000001E-3</v>
      </c>
      <c r="D464">
        <v>2.1120000000000002E-3</v>
      </c>
      <c r="E464">
        <v>2.1410000000000001E-3</v>
      </c>
      <c r="F464">
        <v>18295783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-0.49122807017543935</v>
      </c>
      <c r="Q464">
        <f t="shared" si="980"/>
        <v>-8987402.1754386108</v>
      </c>
      <c r="R464">
        <f t="shared" si="981"/>
        <v>-1273524552.383954</v>
      </c>
      <c r="S464">
        <f t="shared" si="982"/>
        <v>-12735.24552383954</v>
      </c>
      <c r="T464">
        <f t="shared" si="983"/>
        <v>-12.73524552383954</v>
      </c>
    </row>
    <row r="465" spans="1:20" x14ac:dyDescent="0.25">
      <c r="A465" s="5">
        <v>44128</v>
      </c>
      <c r="B465">
        <v>2.2160000000000001E-3</v>
      </c>
      <c r="C465">
        <v>2.2780000000000001E-3</v>
      </c>
      <c r="D465">
        <v>2.1610000000000002E-3</v>
      </c>
      <c r="E465">
        <v>2.232E-3</v>
      </c>
      <c r="F465">
        <v>28115270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0.21367521367521253</v>
      </c>
      <c r="Q465">
        <f t="shared" si="980"/>
        <v>6007536.3247862924</v>
      </c>
      <c r="R465">
        <f t="shared" si="981"/>
        <v>-1264537150.2085154</v>
      </c>
      <c r="S465">
        <f t="shared" si="982"/>
        <v>-12645.371502085154</v>
      </c>
      <c r="T465">
        <f t="shared" si="983"/>
        <v>-12.645371502085155</v>
      </c>
    </row>
    <row r="466" spans="1:20" x14ac:dyDescent="0.25">
      <c r="A466" s="5">
        <v>44127</v>
      </c>
      <c r="B466">
        <v>2.1159999999999998E-3</v>
      </c>
      <c r="C466">
        <v>2.2959999999999999E-3</v>
      </c>
      <c r="D466">
        <v>2.0990000000000002E-3</v>
      </c>
      <c r="E466">
        <v>2.2160000000000001E-3</v>
      </c>
      <c r="F466">
        <v>52307407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0.18781725888324974</v>
      </c>
      <c r="Q466">
        <f t="shared" si="980"/>
        <v>9824233.8020305093</v>
      </c>
      <c r="R466">
        <f t="shared" si="981"/>
        <v>-1270544686.5333016</v>
      </c>
      <c r="S466">
        <f t="shared" si="982"/>
        <v>-12705.446865333015</v>
      </c>
      <c r="T466">
        <f t="shared" si="983"/>
        <v>-12.705446865333014</v>
      </c>
    </row>
    <row r="467" spans="1:20" x14ac:dyDescent="0.25">
      <c r="A467" s="5">
        <v>44126</v>
      </c>
      <c r="B467">
        <v>2.0590000000000001E-3</v>
      </c>
      <c r="C467">
        <v>2.1800000000000001E-3</v>
      </c>
      <c r="D467">
        <v>2.019E-3</v>
      </c>
      <c r="E467">
        <v>2.111E-3</v>
      </c>
      <c r="F467">
        <v>51295878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0.14285714285714285</v>
      </c>
      <c r="Q467">
        <f t="shared" si="980"/>
        <v>7327982.5714285709</v>
      </c>
      <c r="R467">
        <f t="shared" si="981"/>
        <v>-1280368920.3353322</v>
      </c>
      <c r="S467">
        <f t="shared" si="982"/>
        <v>-12803.689203353322</v>
      </c>
      <c r="T467">
        <f t="shared" si="983"/>
        <v>-12.803689203353322</v>
      </c>
    </row>
    <row r="468" spans="1:20" x14ac:dyDescent="0.25">
      <c r="A468" s="5">
        <v>44125</v>
      </c>
      <c r="B468">
        <v>1.9840000000000001E-3</v>
      </c>
      <c r="C468">
        <v>2.0869999999999999E-3</v>
      </c>
      <c r="D468">
        <v>1.983E-3</v>
      </c>
      <c r="E468">
        <v>2.0470000000000002E-3</v>
      </c>
      <c r="F468">
        <v>58703043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0.23076923076923656</v>
      </c>
      <c r="Q468">
        <f t="shared" si="980"/>
        <v>13546856.076923417</v>
      </c>
      <c r="R468">
        <f t="shared" si="981"/>
        <v>-1287696902.9067607</v>
      </c>
      <c r="S468">
        <f t="shared" si="982"/>
        <v>-12876.969029067606</v>
      </c>
      <c r="T468">
        <f t="shared" si="983"/>
        <v>-12.876969029067606</v>
      </c>
    </row>
    <row r="469" spans="1:20" x14ac:dyDescent="0.25">
      <c r="A469" s="5">
        <v>44124</v>
      </c>
      <c r="B469">
        <v>2.052E-3</v>
      </c>
      <c r="C469">
        <v>2.0630000000000002E-3</v>
      </c>
      <c r="D469">
        <v>1.951E-3</v>
      </c>
      <c r="E469">
        <v>1.9819999999999998E-3</v>
      </c>
      <c r="F469">
        <v>39329391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-0.446428571428576</v>
      </c>
      <c r="Q469">
        <f t="shared" si="980"/>
        <v>-17557763.839285895</v>
      </c>
      <c r="R469">
        <f t="shared" si="981"/>
        <v>-1301243758.9836841</v>
      </c>
      <c r="S469">
        <f t="shared" si="982"/>
        <v>-13012.43758983684</v>
      </c>
      <c r="T469">
        <f t="shared" si="983"/>
        <v>-13.012437589836839</v>
      </c>
    </row>
    <row r="470" spans="1:20" x14ac:dyDescent="0.25">
      <c r="A470" s="5">
        <v>44123</v>
      </c>
      <c r="B470">
        <v>2.0530000000000001E-3</v>
      </c>
      <c r="C470">
        <v>2.0690000000000001E-3</v>
      </c>
      <c r="D470">
        <v>1.9849999999999998E-3</v>
      </c>
      <c r="E470">
        <v>2.0500000000000002E-3</v>
      </c>
      <c r="F470">
        <v>23267846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0.54761904761905122</v>
      </c>
      <c r="Q470">
        <f t="shared" si="980"/>
        <v>12741915.66666675</v>
      </c>
      <c r="R470">
        <f t="shared" si="981"/>
        <v>-1283685995.1443982</v>
      </c>
      <c r="S470">
        <f t="shared" si="982"/>
        <v>-12836.859951443983</v>
      </c>
      <c r="T470">
        <f t="shared" si="983"/>
        <v>-12.836859951443984</v>
      </c>
    </row>
    <row r="471" spans="1:20" x14ac:dyDescent="0.25">
      <c r="A471" s="5">
        <v>44122</v>
      </c>
      <c r="B471">
        <v>2.0569999999999998E-3</v>
      </c>
      <c r="C471">
        <v>2.0709999999999999E-3</v>
      </c>
      <c r="D471">
        <v>2.0089999999999999E-3</v>
      </c>
      <c r="E471">
        <v>2.0500000000000002E-3</v>
      </c>
      <c r="F471">
        <v>38521569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0.3225806451612982</v>
      </c>
      <c r="Q471">
        <f t="shared" si="980"/>
        <v>12426312.580645464</v>
      </c>
      <c r="R471">
        <f t="shared" si="981"/>
        <v>-1296427910.811065</v>
      </c>
      <c r="S471">
        <f t="shared" si="982"/>
        <v>-12964.27910811065</v>
      </c>
      <c r="T471">
        <f t="shared" si="983"/>
        <v>-12.964279108110651</v>
      </c>
    </row>
    <row r="472" spans="1:20" x14ac:dyDescent="0.25">
      <c r="A472" s="5">
        <v>44121</v>
      </c>
      <c r="B472">
        <v>2.0449999999999999E-3</v>
      </c>
      <c r="C472">
        <v>2.0929999999999998E-3</v>
      </c>
      <c r="D472">
        <v>2.0149999999999999E-3</v>
      </c>
      <c r="E472">
        <v>2.0569999999999998E-3</v>
      </c>
      <c r="F472">
        <v>18451740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7.6923076923076067E-2</v>
      </c>
      <c r="Q472">
        <f t="shared" si="980"/>
        <v>1419364.6153845997</v>
      </c>
      <c r="R472">
        <f t="shared" si="981"/>
        <v>-1308854223.3917105</v>
      </c>
      <c r="S472">
        <f t="shared" si="982"/>
        <v>-13088.542233917105</v>
      </c>
      <c r="T472">
        <f t="shared" si="983"/>
        <v>-13.088542233917105</v>
      </c>
    </row>
    <row r="473" spans="1:20" x14ac:dyDescent="0.25">
      <c r="A473" s="5">
        <v>44120</v>
      </c>
      <c r="B473">
        <v>2.1879999999999998E-3</v>
      </c>
      <c r="C473">
        <v>2.209E-3</v>
      </c>
      <c r="D473">
        <v>2.013E-3</v>
      </c>
      <c r="E473">
        <v>2.0449999999999999E-3</v>
      </c>
      <c r="F473">
        <v>42829513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-0.6734693877551029</v>
      </c>
      <c r="Q473">
        <f t="shared" si="980"/>
        <v>-28844365.897959221</v>
      </c>
      <c r="R473">
        <f t="shared" si="981"/>
        <v>-1310273588.0070951</v>
      </c>
      <c r="S473">
        <f t="shared" si="982"/>
        <v>-13102.735880070952</v>
      </c>
      <c r="T473">
        <f t="shared" si="983"/>
        <v>-13.102735880070952</v>
      </c>
    </row>
    <row r="474" spans="1:20" x14ac:dyDescent="0.25">
      <c r="A474" s="5">
        <v>44119</v>
      </c>
      <c r="B474">
        <v>2.1879999999999998E-3</v>
      </c>
      <c r="C474">
        <v>2.238E-3</v>
      </c>
      <c r="D474">
        <v>2.1419999999999998E-3</v>
      </c>
      <c r="E474">
        <v>2.1789999999999999E-3</v>
      </c>
      <c r="F474">
        <v>22297907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-0.22916666666666508</v>
      </c>
      <c r="Q474">
        <f t="shared" si="980"/>
        <v>-5109937.0208332976</v>
      </c>
      <c r="R474">
        <f t="shared" si="981"/>
        <v>-1281429222.1091359</v>
      </c>
      <c r="S474">
        <f t="shared" si="982"/>
        <v>-12814.292221091358</v>
      </c>
      <c r="T474">
        <f t="shared" si="983"/>
        <v>-12.814292221091359</v>
      </c>
    </row>
    <row r="475" spans="1:20" x14ac:dyDescent="0.25">
      <c r="A475" s="5">
        <v>44118</v>
      </c>
      <c r="B475">
        <v>2.2039999999999998E-3</v>
      </c>
      <c r="C475">
        <v>2.2369999999999998E-3</v>
      </c>
      <c r="D475">
        <v>2.1450000000000002E-3</v>
      </c>
      <c r="E475">
        <v>2.1840000000000002E-3</v>
      </c>
      <c r="F475">
        <v>27920609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-0.15217391304347549</v>
      </c>
      <c r="Q475">
        <f t="shared" si="980"/>
        <v>-4248788.3260868797</v>
      </c>
      <c r="R475">
        <f t="shared" si="981"/>
        <v>-1276319285.0883026</v>
      </c>
      <c r="S475">
        <f t="shared" si="982"/>
        <v>-12763.192850883026</v>
      </c>
      <c r="T475">
        <f t="shared" si="983"/>
        <v>-12.763192850883026</v>
      </c>
    </row>
    <row r="476" spans="1:20" x14ac:dyDescent="0.25">
      <c r="A476" s="5">
        <v>44117</v>
      </c>
      <c r="B476">
        <v>2.284E-3</v>
      </c>
      <c r="C476">
        <v>2.313E-3</v>
      </c>
      <c r="D476">
        <v>2.189E-3</v>
      </c>
      <c r="E476">
        <v>2.2139999999999998E-3</v>
      </c>
      <c r="F476">
        <v>39050879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-0.59677419354838945</v>
      </c>
      <c r="Q476">
        <f t="shared" si="980"/>
        <v>-23304556.822580736</v>
      </c>
      <c r="R476">
        <f t="shared" si="981"/>
        <v>-1272070496.7622156</v>
      </c>
      <c r="S476">
        <f t="shared" si="982"/>
        <v>-12720.704967622156</v>
      </c>
      <c r="T476">
        <f t="shared" si="983"/>
        <v>-12.720704967622156</v>
      </c>
    </row>
    <row r="477" spans="1:20" x14ac:dyDescent="0.25">
      <c r="A477" s="5">
        <v>44116</v>
      </c>
      <c r="B477">
        <v>2.258E-3</v>
      </c>
      <c r="C477">
        <v>2.398E-3</v>
      </c>
      <c r="D477">
        <v>2.238E-3</v>
      </c>
      <c r="E477">
        <v>2.284E-3</v>
      </c>
      <c r="F477">
        <v>65453915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-0.42499999999999954</v>
      </c>
      <c r="Q477">
        <f t="shared" si="980"/>
        <v>-27817913.87499997</v>
      </c>
      <c r="R477">
        <f t="shared" si="981"/>
        <v>-1248765939.9396348</v>
      </c>
      <c r="S477">
        <f t="shared" si="982"/>
        <v>-12487.659399396349</v>
      </c>
      <c r="T477">
        <f t="shared" si="983"/>
        <v>-12.48765939939635</v>
      </c>
    </row>
    <row r="478" spans="1:20" x14ac:dyDescent="0.25">
      <c r="A478" s="5">
        <v>44115</v>
      </c>
      <c r="B478">
        <v>2.294E-3</v>
      </c>
      <c r="C478">
        <v>2.3319999999999999E-3</v>
      </c>
      <c r="D478">
        <v>2.215E-3</v>
      </c>
      <c r="E478">
        <v>2.2520000000000001E-3</v>
      </c>
      <c r="F478">
        <v>55423359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-0.36752136752136466</v>
      </c>
      <c r="Q478">
        <f t="shared" si="980"/>
        <v>-20369268.692307536</v>
      </c>
      <c r="R478">
        <f t="shared" si="981"/>
        <v>-1220948026.0646348</v>
      </c>
      <c r="S478">
        <f t="shared" si="982"/>
        <v>-12209.480260646347</v>
      </c>
      <c r="T478">
        <f t="shared" si="983"/>
        <v>-12.209480260646346</v>
      </c>
    </row>
    <row r="479" spans="1:20" x14ac:dyDescent="0.25">
      <c r="A479" s="5">
        <v>44114</v>
      </c>
      <c r="B479">
        <v>2.2680000000000001E-3</v>
      </c>
      <c r="C479">
        <v>2.6640000000000001E-3</v>
      </c>
      <c r="D479">
        <v>2.258E-3</v>
      </c>
      <c r="E479">
        <v>2.3010000000000001E-3</v>
      </c>
      <c r="F479">
        <v>287101391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-0.78817733990147754</v>
      </c>
      <c r="Q479">
        <f t="shared" si="980"/>
        <v>-226286810.640394</v>
      </c>
      <c r="R479">
        <f t="shared" si="981"/>
        <v>-1200578757.3723273</v>
      </c>
      <c r="S479">
        <f t="shared" si="982"/>
        <v>-12005.787573723273</v>
      </c>
      <c r="T479">
        <f t="shared" si="983"/>
        <v>-12.005787573723273</v>
      </c>
    </row>
    <row r="480" spans="1:20" x14ac:dyDescent="0.25">
      <c r="A480" s="5">
        <v>44113</v>
      </c>
      <c r="B480">
        <v>2.0720000000000001E-3</v>
      </c>
      <c r="C480">
        <v>2.33E-3</v>
      </c>
      <c r="D480">
        <v>2.0609999999999999E-3</v>
      </c>
      <c r="E480">
        <v>2.2680000000000001E-3</v>
      </c>
      <c r="F480">
        <v>153103997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0.53903345724907092</v>
      </c>
      <c r="Q480">
        <f t="shared" si="980"/>
        <v>82528176.821561381</v>
      </c>
      <c r="R480">
        <f t="shared" si="981"/>
        <v>-974291946.73193336</v>
      </c>
      <c r="S480">
        <f t="shared" si="982"/>
        <v>-9742.9194673193342</v>
      </c>
      <c r="T480">
        <f t="shared" si="983"/>
        <v>-9.742919467319334</v>
      </c>
    </row>
    <row r="481" spans="1:20" x14ac:dyDescent="0.25">
      <c r="A481" s="5">
        <v>44112</v>
      </c>
      <c r="B481">
        <v>1.944E-3</v>
      </c>
      <c r="C481">
        <v>2.0760000000000002E-3</v>
      </c>
      <c r="D481">
        <v>1.9250000000000001E-3</v>
      </c>
      <c r="E481">
        <v>2.0760000000000002E-3</v>
      </c>
      <c r="F481">
        <v>117581019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1</v>
      </c>
      <c r="Q481">
        <f t="shared" si="980"/>
        <v>117581019</v>
      </c>
      <c r="R481">
        <f t="shared" si="981"/>
        <v>-1056820123.5534947</v>
      </c>
      <c r="S481">
        <f t="shared" si="982"/>
        <v>-10568.201235534947</v>
      </c>
      <c r="T481">
        <f t="shared" si="983"/>
        <v>-10.568201235534946</v>
      </c>
    </row>
    <row r="482" spans="1:20" x14ac:dyDescent="0.25">
      <c r="A482" s="5">
        <v>44111</v>
      </c>
      <c r="B482">
        <v>1.9840000000000001E-3</v>
      </c>
      <c r="C482">
        <v>2.006E-3</v>
      </c>
      <c r="D482">
        <v>1.9059999999999999E-3</v>
      </c>
      <c r="E482">
        <v>1.9380000000000001E-3</v>
      </c>
      <c r="F482">
        <v>46540141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-0.35999999999999777</v>
      </c>
      <c r="Q482">
        <f t="shared" si="980"/>
        <v>-16754450.759999895</v>
      </c>
      <c r="R482">
        <f t="shared" si="981"/>
        <v>-1174401142.5534947</v>
      </c>
      <c r="S482">
        <f t="shared" si="982"/>
        <v>-11744.011425534947</v>
      </c>
      <c r="T482">
        <f t="shared" si="983"/>
        <v>-11.744011425534946</v>
      </c>
    </row>
    <row r="483" spans="1:20" x14ac:dyDescent="0.25">
      <c r="A483" s="5">
        <v>44110</v>
      </c>
      <c r="B483">
        <v>2.078E-3</v>
      </c>
      <c r="C483">
        <v>2.078E-3</v>
      </c>
      <c r="D483">
        <v>1.936E-3</v>
      </c>
      <c r="E483">
        <v>1.9880000000000002E-3</v>
      </c>
      <c r="F483">
        <v>53936831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-0.26760563380281427</v>
      </c>
      <c r="Q483">
        <f t="shared" si="980"/>
        <v>-14433799.84507028</v>
      </c>
      <c r="R483">
        <f t="shared" si="981"/>
        <v>-1157646691.7934947</v>
      </c>
      <c r="S483">
        <f t="shared" si="982"/>
        <v>-11576.466917934948</v>
      </c>
      <c r="T483">
        <f t="shared" si="983"/>
        <v>-11.576466917934948</v>
      </c>
    </row>
    <row r="484" spans="1:20" x14ac:dyDescent="0.25">
      <c r="A484" s="5">
        <v>44109</v>
      </c>
      <c r="B484">
        <v>2.006E-3</v>
      </c>
      <c r="C484">
        <v>2.1129999999999999E-3</v>
      </c>
      <c r="D484">
        <v>1.9819999999999998E-3</v>
      </c>
      <c r="E484">
        <v>2.0660000000000001E-3</v>
      </c>
      <c r="F484">
        <v>90856950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0.28244274809160735</v>
      </c>
      <c r="Q484">
        <f t="shared" si="980"/>
        <v>25661886.641221765</v>
      </c>
      <c r="R484">
        <f t="shared" si="981"/>
        <v>-1143212891.9484243</v>
      </c>
      <c r="S484">
        <f t="shared" si="982"/>
        <v>-11432.128919484243</v>
      </c>
      <c r="T484">
        <f t="shared" si="983"/>
        <v>-11.432128919484242</v>
      </c>
    </row>
    <row r="485" spans="1:20" x14ac:dyDescent="0.25">
      <c r="A485" s="5">
        <v>44108</v>
      </c>
      <c r="B485">
        <v>1.9989999999999999E-3</v>
      </c>
      <c r="C485">
        <v>2.006E-3</v>
      </c>
      <c r="D485">
        <v>1.9350000000000001E-3</v>
      </c>
      <c r="E485">
        <v>1.9989999999999999E-3</v>
      </c>
      <c r="F485">
        <v>13177315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0.80281690140844864</v>
      </c>
      <c r="Q485">
        <f t="shared" si="980"/>
        <v>10578971.197183071</v>
      </c>
      <c r="R485">
        <f t="shared" si="981"/>
        <v>-1168874778.5896461</v>
      </c>
      <c r="S485">
        <f t="shared" si="982"/>
        <v>-11688.747785896461</v>
      </c>
      <c r="T485">
        <f t="shared" si="983"/>
        <v>-11.688747785896462</v>
      </c>
    </row>
    <row r="486" spans="1:20" x14ac:dyDescent="0.25">
      <c r="A486" s="5">
        <v>44107</v>
      </c>
      <c r="B486">
        <v>1.964E-3</v>
      </c>
      <c r="C486">
        <v>2.0170000000000001E-3</v>
      </c>
      <c r="D486">
        <v>1.9610000000000001E-3</v>
      </c>
      <c r="E486">
        <v>1.9989999999999999E-3</v>
      </c>
      <c r="F486">
        <v>11774210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0.35714285714284993</v>
      </c>
      <c r="Q486">
        <f t="shared" si="980"/>
        <v>4205074.9999999152</v>
      </c>
      <c r="R486">
        <f t="shared" si="981"/>
        <v>-1179453749.7868292</v>
      </c>
      <c r="S486">
        <f t="shared" si="982"/>
        <v>-11794.537497868292</v>
      </c>
      <c r="T486">
        <f t="shared" si="983"/>
        <v>-11.794537497868292</v>
      </c>
    </row>
    <row r="487" spans="1:20" x14ac:dyDescent="0.25">
      <c r="A487" s="5">
        <v>44106</v>
      </c>
      <c r="B487">
        <v>2.039E-3</v>
      </c>
      <c r="C487">
        <v>2.0500000000000002E-3</v>
      </c>
      <c r="D487">
        <v>1.9269999999999999E-3</v>
      </c>
      <c r="E487">
        <v>1.9620000000000002E-3</v>
      </c>
      <c r="F487">
        <v>34437142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-0.43089430894308572</v>
      </c>
      <c r="Q487">
        <f t="shared" si="980"/>
        <v>-14838768.504064914</v>
      </c>
      <c r="R487">
        <f t="shared" si="981"/>
        <v>-1183658824.7868292</v>
      </c>
      <c r="S487">
        <f t="shared" si="982"/>
        <v>-11836.588247868292</v>
      </c>
      <c r="T487">
        <f t="shared" si="983"/>
        <v>-11.836588247868292</v>
      </c>
    </row>
    <row r="488" spans="1:20" x14ac:dyDescent="0.25">
      <c r="A488" s="5">
        <v>44105</v>
      </c>
      <c r="B488">
        <v>2.078E-3</v>
      </c>
      <c r="C488">
        <v>2.1199999999999999E-3</v>
      </c>
      <c r="D488">
        <v>1.9750000000000002E-3</v>
      </c>
      <c r="E488">
        <v>2.039E-3</v>
      </c>
      <c r="F488">
        <v>32467919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-0.11724137931034566</v>
      </c>
      <c r="Q488">
        <f t="shared" si="980"/>
        <v>-3806583.6068965788</v>
      </c>
      <c r="R488">
        <f t="shared" si="981"/>
        <v>-1168820056.2827644</v>
      </c>
      <c r="S488">
        <f t="shared" si="982"/>
        <v>-11688.200562827644</v>
      </c>
      <c r="T488">
        <f t="shared" si="983"/>
        <v>-11.688200562827644</v>
      </c>
    </row>
    <row r="489" spans="1:20" x14ac:dyDescent="0.25">
      <c r="A489" s="5">
        <v>44104</v>
      </c>
      <c r="B489">
        <v>2.1250000000000002E-3</v>
      </c>
      <c r="C489">
        <v>2.1510000000000001E-3</v>
      </c>
      <c r="D489">
        <v>2.0430000000000001E-3</v>
      </c>
      <c r="E489">
        <v>2.0920000000000001E-3</v>
      </c>
      <c r="F489">
        <v>15980431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-9.2592592592592809E-2</v>
      </c>
      <c r="Q489">
        <f t="shared" si="980"/>
        <v>-1479669.5370370406</v>
      </c>
      <c r="R489">
        <f t="shared" si="981"/>
        <v>-1165013472.6758678</v>
      </c>
      <c r="S489">
        <f t="shared" si="982"/>
        <v>-11650.134726758677</v>
      </c>
      <c r="T489">
        <f t="shared" si="983"/>
        <v>-11.650134726758678</v>
      </c>
    </row>
    <row r="490" spans="1:20" x14ac:dyDescent="0.25">
      <c r="A490" s="5">
        <v>44103</v>
      </c>
      <c r="B490">
        <v>2.1199999999999999E-3</v>
      </c>
      <c r="C490">
        <v>2.153E-3</v>
      </c>
      <c r="D490">
        <v>2.068E-3</v>
      </c>
      <c r="E490">
        <v>2.1250000000000002E-3</v>
      </c>
      <c r="F490">
        <v>21683425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0.34117647058823974</v>
      </c>
      <c r="Q490">
        <f t="shared" si="980"/>
        <v>7397874.4117648024</v>
      </c>
      <c r="R490">
        <f t="shared" si="981"/>
        <v>-1163533803.1388307</v>
      </c>
      <c r="S490">
        <f t="shared" si="982"/>
        <v>-11635.338031388306</v>
      </c>
      <c r="T490">
        <f t="shared" si="983"/>
        <v>-11.635338031388306</v>
      </c>
    </row>
    <row r="491" spans="1:20" x14ac:dyDescent="0.25">
      <c r="A491" s="5">
        <v>44102</v>
      </c>
      <c r="B491">
        <v>2.1310000000000001E-3</v>
      </c>
      <c r="C491">
        <v>2.1770000000000001E-3</v>
      </c>
      <c r="D491">
        <v>2.1020000000000001E-3</v>
      </c>
      <c r="E491">
        <v>2.1250000000000002E-3</v>
      </c>
      <c r="F491">
        <v>31928908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-0.38666666666666605</v>
      </c>
      <c r="Q491">
        <f t="shared" si="980"/>
        <v>-12345844.426666647</v>
      </c>
      <c r="R491">
        <f t="shared" si="981"/>
        <v>-1170931677.5505955</v>
      </c>
      <c r="S491">
        <f t="shared" si="982"/>
        <v>-11709.316775505955</v>
      </c>
      <c r="T491">
        <f t="shared" si="983"/>
        <v>-11.709316775505956</v>
      </c>
    </row>
    <row r="492" spans="1:20" x14ac:dyDescent="0.25">
      <c r="A492" s="5">
        <v>44101</v>
      </c>
      <c r="B492">
        <v>2.1510000000000001E-3</v>
      </c>
      <c r="C492">
        <v>2.2100000000000002E-3</v>
      </c>
      <c r="D492">
        <v>2.0820000000000001E-3</v>
      </c>
      <c r="E492">
        <v>2.1090000000000002E-3</v>
      </c>
      <c r="F492">
        <v>32931862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-0.57812499999999845</v>
      </c>
      <c r="Q492">
        <f t="shared" si="980"/>
        <v>-19038732.718749948</v>
      </c>
      <c r="R492">
        <f t="shared" si="981"/>
        <v>-1158585833.1239288</v>
      </c>
      <c r="S492">
        <f t="shared" si="982"/>
        <v>-11585.858331239288</v>
      </c>
      <c r="T492">
        <f t="shared" si="983"/>
        <v>-11.585858331239287</v>
      </c>
    </row>
    <row r="493" spans="1:20" x14ac:dyDescent="0.25">
      <c r="A493" s="5">
        <v>44100</v>
      </c>
      <c r="B493">
        <v>2.1120000000000002E-3</v>
      </c>
      <c r="C493">
        <v>2.3500000000000001E-3</v>
      </c>
      <c r="D493">
        <v>2.0439999999999998E-3</v>
      </c>
      <c r="E493">
        <v>2.1670000000000001E-3</v>
      </c>
      <c r="F493">
        <v>177527062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-0.19607843137254793</v>
      </c>
      <c r="Q493">
        <f t="shared" si="980"/>
        <v>-34809227.843137063</v>
      </c>
      <c r="R493">
        <f t="shared" si="981"/>
        <v>-1139547100.4051788</v>
      </c>
      <c r="S493">
        <f t="shared" si="982"/>
        <v>-11395.471004051788</v>
      </c>
      <c r="T493">
        <f t="shared" si="983"/>
        <v>-11.395471004051787</v>
      </c>
    </row>
    <row r="494" spans="1:20" x14ac:dyDescent="0.25">
      <c r="A494" s="5">
        <v>44099</v>
      </c>
      <c r="B494">
        <v>2.0999999999999999E-3</v>
      </c>
      <c r="C494">
        <v>2.1199999999999999E-3</v>
      </c>
      <c r="D494">
        <v>2.0300000000000001E-3</v>
      </c>
      <c r="E494">
        <v>2.1099999999999999E-3</v>
      </c>
      <c r="F494">
        <v>23467849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0.77777777777777668</v>
      </c>
      <c r="Q494">
        <f t="shared" si="980"/>
        <v>18252771.444444418</v>
      </c>
      <c r="R494">
        <f t="shared" si="981"/>
        <v>-1104737872.5620418</v>
      </c>
      <c r="S494">
        <f t="shared" si="982"/>
        <v>-11047.378725620418</v>
      </c>
      <c r="T494">
        <f t="shared" si="983"/>
        <v>-11.047378725620417</v>
      </c>
    </row>
    <row r="495" spans="1:20" x14ac:dyDescent="0.25">
      <c r="A495" s="5">
        <v>44098</v>
      </c>
      <c r="B495">
        <v>1.9419999999999999E-3</v>
      </c>
      <c r="C495">
        <v>2.1199999999999999E-3</v>
      </c>
      <c r="D495">
        <v>1.9369999999999999E-3</v>
      </c>
      <c r="E495">
        <v>2.0999999999999999E-3</v>
      </c>
      <c r="F495">
        <v>29652099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0.78142076502732183</v>
      </c>
      <c r="Q495">
        <f t="shared" si="980"/>
        <v>23170765.885245886</v>
      </c>
      <c r="R495">
        <f t="shared" si="981"/>
        <v>-1122990644.0064862</v>
      </c>
      <c r="S495">
        <f t="shared" si="982"/>
        <v>-11229.906440064862</v>
      </c>
      <c r="T495">
        <f t="shared" si="983"/>
        <v>-11.229906440064862</v>
      </c>
    </row>
    <row r="496" spans="1:20" x14ac:dyDescent="0.25">
      <c r="A496" s="5">
        <v>44097</v>
      </c>
      <c r="B496">
        <v>2.0760000000000002E-3</v>
      </c>
      <c r="C496">
        <v>2.2499999999999998E-3</v>
      </c>
      <c r="D496">
        <v>1.918E-3</v>
      </c>
      <c r="E496">
        <v>1.9469999999999999E-3</v>
      </c>
      <c r="F496">
        <v>86464207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-0.82530120481927738</v>
      </c>
      <c r="Q496">
        <f t="shared" si="980"/>
        <v>-71359014.210843399</v>
      </c>
      <c r="R496">
        <f t="shared" si="981"/>
        <v>-1146161409.891732</v>
      </c>
      <c r="S496">
        <f t="shared" si="982"/>
        <v>-11461.61409891732</v>
      </c>
      <c r="T496">
        <f t="shared" si="983"/>
        <v>-11.46161409891732</v>
      </c>
    </row>
    <row r="497" spans="1:20" x14ac:dyDescent="0.25">
      <c r="A497" s="5">
        <v>44096</v>
      </c>
      <c r="B497">
        <v>2.0460000000000001E-3</v>
      </c>
      <c r="C497">
        <v>2.134E-3</v>
      </c>
      <c r="D497">
        <v>2.0010000000000002E-3</v>
      </c>
      <c r="E497">
        <v>2.0950000000000001E-3</v>
      </c>
      <c r="F497">
        <v>40490479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0.41353383458646603</v>
      </c>
      <c r="Q497">
        <f t="shared" si="980"/>
        <v>16744183.045112776</v>
      </c>
      <c r="R497">
        <f t="shared" si="981"/>
        <v>-1074802395.6808887</v>
      </c>
      <c r="S497">
        <f t="shared" si="982"/>
        <v>-10748.023956808887</v>
      </c>
      <c r="T497">
        <f t="shared" si="983"/>
        <v>-10.748023956808888</v>
      </c>
    </row>
    <row r="498" spans="1:20" x14ac:dyDescent="0.25">
      <c r="A498" s="5">
        <v>44095</v>
      </c>
      <c r="B498">
        <v>2.2799999999999999E-3</v>
      </c>
      <c r="C498">
        <v>2.4139999999999999E-3</v>
      </c>
      <c r="D498">
        <v>2.0010000000000002E-3</v>
      </c>
      <c r="E498">
        <v>2.052E-3</v>
      </c>
      <c r="F498">
        <v>120270987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-0.75302663438256723</v>
      </c>
      <c r="Q498">
        <f t="shared" si="980"/>
        <v>-90567256.554479495</v>
      </c>
      <c r="R498">
        <f t="shared" si="981"/>
        <v>-1091546578.7260015</v>
      </c>
      <c r="S498">
        <f t="shared" si="982"/>
        <v>-10915.465787260015</v>
      </c>
      <c r="T498">
        <f t="shared" si="983"/>
        <v>-10.915465787260015</v>
      </c>
    </row>
    <row r="499" spans="1:20" x14ac:dyDescent="0.25">
      <c r="A499" s="5">
        <v>44094</v>
      </c>
      <c r="B499">
        <v>2.215E-3</v>
      </c>
      <c r="C499">
        <v>2.392E-3</v>
      </c>
      <c r="D499">
        <v>2.1610000000000002E-3</v>
      </c>
      <c r="E499">
        <v>2.2989999999999998E-3</v>
      </c>
      <c r="F499">
        <v>111974968</v>
      </c>
      <c r="G499">
        <v>0</v>
      </c>
      <c r="L499" t="s">
        <v>8</v>
      </c>
      <c r="M499" t="s">
        <v>7</v>
      </c>
      <c r="N499" t="s">
        <v>8</v>
      </c>
      <c r="P499">
        <f t="shared" si="979"/>
        <v>0.19480519480519262</v>
      </c>
      <c r="Q499">
        <f t="shared" si="980"/>
        <v>21813305.454545211</v>
      </c>
      <c r="R499">
        <f t="shared" si="981"/>
        <v>-1000979322.1715219</v>
      </c>
      <c r="S499">
        <f t="shared" si="982"/>
        <v>-10009.793221715219</v>
      </c>
      <c r="T499">
        <f t="shared" si="983"/>
        <v>-10.009793221715219</v>
      </c>
    </row>
    <row r="500" spans="1:20" x14ac:dyDescent="0.25">
      <c r="A500" s="5">
        <v>44093</v>
      </c>
      <c r="B500">
        <v>2.1900000000000001E-3</v>
      </c>
      <c r="C500">
        <v>2.2209999999999999E-3</v>
      </c>
      <c r="D500">
        <v>2.173E-3</v>
      </c>
      <c r="E500">
        <v>2.215E-3</v>
      </c>
      <c r="F500">
        <v>20059815</v>
      </c>
      <c r="G500">
        <v>0</v>
      </c>
      <c r="L500" t="s">
        <v>8</v>
      </c>
      <c r="M500" t="s">
        <v>7</v>
      </c>
      <c r="N500" t="s">
        <v>8</v>
      </c>
      <c r="P500">
        <f t="shared" si="979"/>
        <v>0.75000000000000222</v>
      </c>
      <c r="Q500">
        <f t="shared" si="980"/>
        <v>15044861.250000045</v>
      </c>
      <c r="R500">
        <f t="shared" si="981"/>
        <v>-1022792627.6260672</v>
      </c>
      <c r="S500">
        <f t="shared" si="982"/>
        <v>-10227.926276260672</v>
      </c>
      <c r="T500">
        <f t="shared" si="983"/>
        <v>-10.227926276260673</v>
      </c>
    </row>
    <row r="501" spans="1:20" x14ac:dyDescent="0.25">
      <c r="A501" s="5">
        <v>44092</v>
      </c>
      <c r="B501">
        <v>2.2169999999999998E-3</v>
      </c>
      <c r="C501">
        <v>2.2729999999999998E-3</v>
      </c>
      <c r="D501">
        <v>2.1250000000000002E-3</v>
      </c>
      <c r="E501">
        <v>2.1949999999999999E-3</v>
      </c>
      <c r="F501">
        <v>38970082</v>
      </c>
      <c r="G501">
        <v>0</v>
      </c>
      <c r="L501" t="s">
        <v>8</v>
      </c>
      <c r="M501" t="s">
        <v>7</v>
      </c>
      <c r="N501" t="s">
        <v>8</v>
      </c>
      <c r="P501">
        <f t="shared" si="979"/>
        <v>-5.405405405405548E-2</v>
      </c>
      <c r="Q501">
        <f t="shared" si="980"/>
        <v>-2106490.9189189747</v>
      </c>
      <c r="R501">
        <f t="shared" si="981"/>
        <v>-1037837488.8760672</v>
      </c>
      <c r="S501">
        <f t="shared" si="982"/>
        <v>-10378.374888760671</v>
      </c>
      <c r="T501">
        <f t="shared" si="983"/>
        <v>-10.378374888760671</v>
      </c>
    </row>
    <row r="502" spans="1:20" x14ac:dyDescent="0.25">
      <c r="A502" s="5">
        <v>44091</v>
      </c>
      <c r="B502">
        <v>2.176E-3</v>
      </c>
      <c r="C502">
        <v>2.2759999999999998E-3</v>
      </c>
      <c r="D502">
        <v>2.0760000000000002E-3</v>
      </c>
      <c r="E502">
        <v>2.2169999999999998E-3</v>
      </c>
      <c r="F502">
        <v>72244582</v>
      </c>
      <c r="G502">
        <v>0</v>
      </c>
      <c r="L502" t="s">
        <v>7</v>
      </c>
      <c r="M502" t="s">
        <v>7</v>
      </c>
      <c r="N502" t="s">
        <v>8</v>
      </c>
      <c r="P502">
        <f t="shared" si="979"/>
        <v>0.40999999999999875</v>
      </c>
      <c r="Q502">
        <f t="shared" si="980"/>
        <v>29620278.619999912</v>
      </c>
      <c r="R502">
        <f t="shared" si="981"/>
        <v>-1035730997.9571482</v>
      </c>
      <c r="S502">
        <f t="shared" si="982"/>
        <v>-10357.309979571482</v>
      </c>
      <c r="T502">
        <f t="shared" si="983"/>
        <v>-10.357309979571482</v>
      </c>
    </row>
    <row r="503" spans="1:20" x14ac:dyDescent="0.25">
      <c r="A503" s="5">
        <v>44090</v>
      </c>
      <c r="B503">
        <v>2.2309999999999999E-3</v>
      </c>
      <c r="C503">
        <v>2.2490000000000001E-3</v>
      </c>
      <c r="D503">
        <v>2.1159999999999998E-3</v>
      </c>
      <c r="E503">
        <v>2.176E-3</v>
      </c>
      <c r="F503">
        <v>43810508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-9.7744360902255342E-2</v>
      </c>
      <c r="Q503">
        <f t="shared" si="980"/>
        <v>-4282230.1052631447</v>
      </c>
      <c r="R503">
        <f t="shared" si="981"/>
        <v>-1065351276.5771481</v>
      </c>
      <c r="S503">
        <f t="shared" si="982"/>
        <v>-10653.51276577148</v>
      </c>
      <c r="T503">
        <f t="shared" si="983"/>
        <v>-10.653512765771481</v>
      </c>
    </row>
    <row r="504" spans="1:20" x14ac:dyDescent="0.25">
      <c r="A504" s="5">
        <v>44089</v>
      </c>
      <c r="B504">
        <v>2.3500000000000001E-3</v>
      </c>
      <c r="C504">
        <v>2.3809999999999999E-3</v>
      </c>
      <c r="D504">
        <v>2.1819999999999999E-3</v>
      </c>
      <c r="E504">
        <v>2.2309999999999999E-3</v>
      </c>
      <c r="F504">
        <v>82974276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-0.50753768844221092</v>
      </c>
      <c r="Q504">
        <f t="shared" si="980"/>
        <v>-42112572.24120602</v>
      </c>
      <c r="R504">
        <f t="shared" si="981"/>
        <v>-1061069046.471885</v>
      </c>
      <c r="S504">
        <f t="shared" si="982"/>
        <v>-10610.690464718849</v>
      </c>
      <c r="T504">
        <f t="shared" si="983"/>
        <v>-10.61069046471885</v>
      </c>
    </row>
    <row r="505" spans="1:20" x14ac:dyDescent="0.25">
      <c r="A505" s="5">
        <v>44088</v>
      </c>
      <c r="B505">
        <v>2.2929999999999999E-3</v>
      </c>
      <c r="C505">
        <v>2.3770000000000002E-3</v>
      </c>
      <c r="D505">
        <v>2.2330000000000002E-3</v>
      </c>
      <c r="E505">
        <v>2.3479999999999998E-3</v>
      </c>
      <c r="F505">
        <v>44375559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0.59722222222221699</v>
      </c>
      <c r="Q505">
        <f t="shared" si="980"/>
        <v>26502069.958333101</v>
      </c>
      <c r="R505">
        <f t="shared" si="981"/>
        <v>-1018956474.2306789</v>
      </c>
      <c r="S505">
        <f t="shared" si="982"/>
        <v>-10189.564742306789</v>
      </c>
      <c r="T505">
        <f t="shared" si="983"/>
        <v>-10.189564742306789</v>
      </c>
    </row>
    <row r="506" spans="1:20" x14ac:dyDescent="0.25">
      <c r="A506" s="5">
        <v>44087</v>
      </c>
      <c r="B506">
        <v>2.4780000000000002E-3</v>
      </c>
      <c r="C506">
        <v>2.5000000000000001E-3</v>
      </c>
      <c r="D506">
        <v>2.2079999999999999E-3</v>
      </c>
      <c r="E506">
        <v>2.2959999999999999E-3</v>
      </c>
      <c r="F506">
        <v>119542546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-0.39726027397260327</v>
      </c>
      <c r="Q506">
        <f t="shared" si="980"/>
        <v>-47489504.575342529</v>
      </c>
      <c r="R506">
        <f t="shared" si="981"/>
        <v>-1045458544.1890121</v>
      </c>
      <c r="S506">
        <f t="shared" si="982"/>
        <v>-10454.58544189012</v>
      </c>
      <c r="T506">
        <f t="shared" si="983"/>
        <v>-10.454585441890121</v>
      </c>
    </row>
    <row r="507" spans="1:20" x14ac:dyDescent="0.25">
      <c r="A507" s="5">
        <v>44086</v>
      </c>
      <c r="B507">
        <v>2.532E-3</v>
      </c>
      <c r="C507">
        <v>2.5769999999999999E-3</v>
      </c>
      <c r="D507">
        <v>2.2929999999999999E-3</v>
      </c>
      <c r="E507">
        <v>2.48E-3</v>
      </c>
      <c r="F507">
        <v>181478533</v>
      </c>
      <c r="G507">
        <v>0</v>
      </c>
      <c r="L507" t="s">
        <v>7</v>
      </c>
      <c r="M507" t="s">
        <v>7</v>
      </c>
      <c r="N507" t="s">
        <v>8</v>
      </c>
      <c r="P507">
        <f t="shared" si="979"/>
        <v>0.31690140845070508</v>
      </c>
      <c r="Q507">
        <f t="shared" si="980"/>
        <v>57510802.711267762</v>
      </c>
      <c r="R507">
        <f t="shared" si="981"/>
        <v>-997969039.61366951</v>
      </c>
      <c r="S507">
        <f t="shared" si="982"/>
        <v>-9979.6903961366952</v>
      </c>
      <c r="T507">
        <f t="shared" si="983"/>
        <v>-9.9796903961366947</v>
      </c>
    </row>
    <row r="508" spans="1:20" x14ac:dyDescent="0.25">
      <c r="A508" s="5">
        <v>44085</v>
      </c>
      <c r="B508">
        <v>2.336E-3</v>
      </c>
      <c r="C508">
        <v>2.8180000000000002E-3</v>
      </c>
      <c r="D508">
        <v>2.3149999999999998E-3</v>
      </c>
      <c r="E508">
        <v>2.516E-3</v>
      </c>
      <c r="F508">
        <v>588752731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-0.20079522862823038</v>
      </c>
      <c r="Q508">
        <f t="shared" si="980"/>
        <v>-118218739.22664002</v>
      </c>
      <c r="R508">
        <f t="shared" si="981"/>
        <v>-1055479842.3249372</v>
      </c>
      <c r="S508">
        <f t="shared" si="982"/>
        <v>-10554.798423249373</v>
      </c>
      <c r="T508">
        <f t="shared" si="983"/>
        <v>-10.554798423249373</v>
      </c>
    </row>
    <row r="509" spans="1:20" x14ac:dyDescent="0.25">
      <c r="A509" s="5">
        <v>44084</v>
      </c>
      <c r="B509">
        <v>2.2060000000000001E-3</v>
      </c>
      <c r="C509">
        <v>2.3749999999999999E-3</v>
      </c>
      <c r="D509">
        <v>2.2060000000000001E-3</v>
      </c>
      <c r="E509">
        <v>2.3349999999999998E-3</v>
      </c>
      <c r="F509">
        <v>65825036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0.52662721893490971</v>
      </c>
      <c r="Q509">
        <f t="shared" si="980"/>
        <v>34665255.644970313</v>
      </c>
      <c r="R509">
        <f t="shared" si="981"/>
        <v>-937261103.09829724</v>
      </c>
      <c r="S509">
        <f t="shared" si="982"/>
        <v>-9372.6110309829728</v>
      </c>
      <c r="T509">
        <f t="shared" si="983"/>
        <v>-9.3726110309829735</v>
      </c>
    </row>
    <row r="510" spans="1:20" x14ac:dyDescent="0.25">
      <c r="A510" s="5">
        <v>44083</v>
      </c>
      <c r="B510">
        <v>2.1090000000000002E-3</v>
      </c>
      <c r="C510">
        <v>2.2529999999999998E-3</v>
      </c>
      <c r="D510">
        <v>2.0279999999999999E-3</v>
      </c>
      <c r="E510">
        <v>2.196E-3</v>
      </c>
      <c r="F510">
        <v>55463563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0.49333333333333534</v>
      </c>
      <c r="Q510">
        <f t="shared" si="980"/>
        <v>27362024.413333446</v>
      </c>
      <c r="R510">
        <f t="shared" si="981"/>
        <v>-971926358.74326754</v>
      </c>
      <c r="S510">
        <f t="shared" si="982"/>
        <v>-9719.2635874326752</v>
      </c>
      <c r="T510">
        <f t="shared" si="983"/>
        <v>-9.7192635874326747</v>
      </c>
    </row>
    <row r="511" spans="1:20" x14ac:dyDescent="0.25">
      <c r="A511" s="5">
        <v>44082</v>
      </c>
      <c r="B511">
        <v>2.098E-3</v>
      </c>
      <c r="C511">
        <v>2.2190000000000001E-3</v>
      </c>
      <c r="D511">
        <v>2.0200000000000001E-3</v>
      </c>
      <c r="E511">
        <v>2.1090000000000002E-3</v>
      </c>
      <c r="F511">
        <v>96385902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-0.10552763819095355</v>
      </c>
      <c r="Q511">
        <f t="shared" si="980"/>
        <v>-10171376.592964707</v>
      </c>
      <c r="R511">
        <f t="shared" si="981"/>
        <v>-999288383.15660095</v>
      </c>
      <c r="S511">
        <f t="shared" si="982"/>
        <v>-9992.8838315660087</v>
      </c>
      <c r="T511">
        <f t="shared" si="983"/>
        <v>-9.992883831566008</v>
      </c>
    </row>
    <row r="512" spans="1:20" x14ac:dyDescent="0.25">
      <c r="A512" s="5">
        <v>44081</v>
      </c>
      <c r="B512">
        <v>2.14E-3</v>
      </c>
      <c r="C512">
        <v>2.173E-3</v>
      </c>
      <c r="D512">
        <v>1.902E-3</v>
      </c>
      <c r="E512">
        <v>2.0990000000000002E-3</v>
      </c>
      <c r="F512">
        <v>64993471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0.45387453874538852</v>
      </c>
      <c r="Q512">
        <f t="shared" si="980"/>
        <v>29498881.671586785</v>
      </c>
      <c r="R512">
        <f t="shared" si="981"/>
        <v>-989117006.5636363</v>
      </c>
      <c r="S512">
        <f t="shared" si="982"/>
        <v>-9891.1700656363628</v>
      </c>
      <c r="T512">
        <f t="shared" si="983"/>
        <v>-9.8911700656363628</v>
      </c>
    </row>
    <row r="513" spans="1:20" x14ac:dyDescent="0.25">
      <c r="A513" s="5">
        <v>44080</v>
      </c>
      <c r="B513">
        <v>2.1489999999999999E-3</v>
      </c>
      <c r="C513">
        <v>2.215E-3</v>
      </c>
      <c r="D513">
        <v>1.882E-3</v>
      </c>
      <c r="E513">
        <v>2.1199999999999999E-3</v>
      </c>
      <c r="F513">
        <v>121745478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0.42942942942942919</v>
      </c>
      <c r="Q513">
        <f t="shared" si="980"/>
        <v>52281091.153153121</v>
      </c>
      <c r="R513">
        <f t="shared" si="981"/>
        <v>-1018615888.2352231</v>
      </c>
      <c r="S513">
        <f t="shared" si="982"/>
        <v>-10186.158882352231</v>
      </c>
      <c r="T513">
        <f t="shared" si="983"/>
        <v>-10.186158882352231</v>
      </c>
    </row>
    <row r="514" spans="1:20" x14ac:dyDescent="0.25">
      <c r="A514" s="5">
        <v>44079</v>
      </c>
      <c r="B514">
        <v>2.4039999999999999E-3</v>
      </c>
      <c r="C514">
        <v>2.441E-3</v>
      </c>
      <c r="D514">
        <v>1.993E-3</v>
      </c>
      <c r="E514">
        <v>2.1649999999999998E-3</v>
      </c>
      <c r="F514">
        <v>87642949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-0.23214285714285793</v>
      </c>
      <c r="Q514">
        <f t="shared" si="980"/>
        <v>-20345684.589285783</v>
      </c>
      <c r="R514">
        <f t="shared" si="981"/>
        <v>-1070896979.3883762</v>
      </c>
      <c r="S514">
        <f t="shared" si="982"/>
        <v>-10708.969793883762</v>
      </c>
      <c r="T514">
        <f t="shared" si="983"/>
        <v>-10.708969793883762</v>
      </c>
    </row>
    <row r="515" spans="1:20" x14ac:dyDescent="0.25">
      <c r="A515" s="5">
        <v>44078</v>
      </c>
      <c r="B515">
        <v>2.2929999999999999E-3</v>
      </c>
      <c r="C515">
        <v>2.4940000000000001E-3</v>
      </c>
      <c r="D515">
        <v>2.2390000000000001E-3</v>
      </c>
      <c r="E515">
        <v>2.4060000000000002E-3</v>
      </c>
      <c r="F515">
        <v>123004714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0.30980392156862774</v>
      </c>
      <c r="Q515">
        <f t="shared" si="980"/>
        <v>38107342.768627487</v>
      </c>
      <c r="R515">
        <f t="shared" si="981"/>
        <v>-1050551294.7990905</v>
      </c>
      <c r="S515">
        <f t="shared" si="982"/>
        <v>-10505.512947990905</v>
      </c>
      <c r="T515">
        <f t="shared" si="983"/>
        <v>-10.505512947990905</v>
      </c>
    </row>
    <row r="516" spans="1:20" x14ac:dyDescent="0.25">
      <c r="A516" s="5">
        <v>44077</v>
      </c>
      <c r="B516">
        <v>2.8440000000000002E-3</v>
      </c>
      <c r="C516">
        <v>2.954E-3</v>
      </c>
      <c r="D516">
        <v>2.274E-3</v>
      </c>
      <c r="E516">
        <v>2.3E-3</v>
      </c>
      <c r="F516">
        <v>176982850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-0.92352941176470593</v>
      </c>
      <c r="Q516">
        <f t="shared" si="980"/>
        <v>-163448867.35294119</v>
      </c>
      <c r="R516">
        <f t="shared" si="981"/>
        <v>-1088658637.567718</v>
      </c>
      <c r="S516">
        <f t="shared" si="982"/>
        <v>-10886.58637567718</v>
      </c>
      <c r="T516">
        <f t="shared" si="983"/>
        <v>-10.886586375677179</v>
      </c>
    </row>
    <row r="517" spans="1:20" x14ac:dyDescent="0.25">
      <c r="A517" s="5">
        <v>44076</v>
      </c>
      <c r="B517">
        <v>3.1440000000000001E-3</v>
      </c>
      <c r="C517">
        <v>3.156E-3</v>
      </c>
      <c r="D517">
        <v>2.777E-3</v>
      </c>
      <c r="E517">
        <v>2.8440000000000002E-3</v>
      </c>
      <c r="F517">
        <v>96298524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-0.64643799472295393</v>
      </c>
      <c r="Q517">
        <f t="shared" si="980"/>
        <v>-62251024.749340251</v>
      </c>
      <c r="R517">
        <f t="shared" si="981"/>
        <v>-925209770.21477675</v>
      </c>
      <c r="S517">
        <f t="shared" si="982"/>
        <v>-9252.0977021477684</v>
      </c>
      <c r="T517">
        <f t="shared" si="983"/>
        <v>-9.2520977021477684</v>
      </c>
    </row>
    <row r="518" spans="1:20" x14ac:dyDescent="0.25">
      <c r="A518" s="5">
        <v>44075</v>
      </c>
      <c r="B518">
        <v>2.9090000000000001E-3</v>
      </c>
      <c r="C518">
        <v>3.2569999999999999E-3</v>
      </c>
      <c r="D518">
        <v>2.8900000000000002E-3</v>
      </c>
      <c r="E518">
        <v>3.127E-3</v>
      </c>
      <c r="F518">
        <v>354698535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0.2915531335149863</v>
      </c>
      <c r="Q518">
        <f t="shared" ref="Q518:Q581" si="985">F518*P518</f>
        <v>103413469.33242504</v>
      </c>
      <c r="R518">
        <f t="shared" ref="R518:R581" si="986">R519+Q518</f>
        <v>-862958745.46543646</v>
      </c>
      <c r="S518">
        <f t="shared" ref="S518:S581" si="987">R518/100000</f>
        <v>-8629.5874546543637</v>
      </c>
      <c r="T518">
        <f t="shared" ref="T518:T581" si="988">S518/1000</f>
        <v>-8.6295874546543629</v>
      </c>
    </row>
    <row r="519" spans="1:20" x14ac:dyDescent="0.25">
      <c r="A519" s="5">
        <v>44074</v>
      </c>
      <c r="B519">
        <v>2.9889999999999999E-3</v>
      </c>
      <c r="C519">
        <v>2.9989999999999999E-3</v>
      </c>
      <c r="D519">
        <v>2.8800000000000002E-3</v>
      </c>
      <c r="E519">
        <v>2.9099999999999998E-3</v>
      </c>
      <c r="F519">
        <v>73867123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-0.49579831932773599</v>
      </c>
      <c r="Q519">
        <f t="shared" si="985"/>
        <v>-36623195.436975151</v>
      </c>
      <c r="R519">
        <f t="shared" si="986"/>
        <v>-966372214.79786146</v>
      </c>
      <c r="S519">
        <f t="shared" si="987"/>
        <v>-9663.7221479786149</v>
      </c>
      <c r="T519">
        <f t="shared" si="988"/>
        <v>-9.6637221479786142</v>
      </c>
    </row>
    <row r="520" spans="1:20" x14ac:dyDescent="0.25">
      <c r="A520" s="5">
        <v>44073</v>
      </c>
      <c r="B520">
        <v>2.9489999999999998E-3</v>
      </c>
      <c r="C520">
        <v>3.0200000000000001E-3</v>
      </c>
      <c r="D520">
        <v>2.9199999999999999E-3</v>
      </c>
      <c r="E520">
        <v>2.99E-3</v>
      </c>
      <c r="F520">
        <v>36990783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0.4</v>
      </c>
      <c r="Q520">
        <f t="shared" si="985"/>
        <v>14796313.200000001</v>
      </c>
      <c r="R520">
        <f t="shared" si="986"/>
        <v>-929749019.36088634</v>
      </c>
      <c r="S520">
        <f t="shared" si="987"/>
        <v>-9297.4901936088627</v>
      </c>
      <c r="T520">
        <f t="shared" si="988"/>
        <v>-9.2974901936088621</v>
      </c>
    </row>
    <row r="521" spans="1:20" x14ac:dyDescent="0.25">
      <c r="A521" s="5">
        <v>44072</v>
      </c>
      <c r="B521">
        <v>2.96E-3</v>
      </c>
      <c r="C521">
        <v>3.0230000000000001E-3</v>
      </c>
      <c r="D521">
        <v>2.9020000000000001E-3</v>
      </c>
      <c r="E521">
        <v>2.9510000000000001E-3</v>
      </c>
      <c r="F521">
        <v>52351446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-0.19008264462809929</v>
      </c>
      <c r="Q521">
        <f t="shared" si="985"/>
        <v>-9951101.3057851307</v>
      </c>
      <c r="R521">
        <f t="shared" si="986"/>
        <v>-944545332.56088638</v>
      </c>
      <c r="S521">
        <f t="shared" si="987"/>
        <v>-9445.4533256088635</v>
      </c>
      <c r="T521">
        <f t="shared" si="988"/>
        <v>-9.4454533256088631</v>
      </c>
    </row>
    <row r="522" spans="1:20" x14ac:dyDescent="0.25">
      <c r="A522" s="5">
        <v>44071</v>
      </c>
      <c r="B522">
        <v>2.849E-3</v>
      </c>
      <c r="C522">
        <v>3.0279999999999999E-3</v>
      </c>
      <c r="D522">
        <v>2.849E-3</v>
      </c>
      <c r="E522">
        <v>2.96E-3</v>
      </c>
      <c r="F522">
        <v>118836384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0.24022346368715136</v>
      </c>
      <c r="Q522">
        <f t="shared" si="985"/>
        <v>28547287.776536375</v>
      </c>
      <c r="R522">
        <f t="shared" si="986"/>
        <v>-934594231.2551012</v>
      </c>
      <c r="S522">
        <f t="shared" si="987"/>
        <v>-9345.9423125510129</v>
      </c>
      <c r="T522">
        <f t="shared" si="988"/>
        <v>-9.3459423125510135</v>
      </c>
    </row>
    <row r="523" spans="1:20" x14ac:dyDescent="0.25">
      <c r="A523" s="5">
        <v>44070</v>
      </c>
      <c r="B523">
        <v>3.0279999999999999E-3</v>
      </c>
      <c r="C523">
        <v>3.088E-3</v>
      </c>
      <c r="D523">
        <v>2.7920000000000002E-3</v>
      </c>
      <c r="E523">
        <v>2.849E-3</v>
      </c>
      <c r="F523">
        <v>95768481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-0.61486486486486625</v>
      </c>
      <c r="Q523">
        <f t="shared" si="985"/>
        <v>-58884674.12837851</v>
      </c>
      <c r="R523">
        <f t="shared" si="986"/>
        <v>-963141519.03163755</v>
      </c>
      <c r="S523">
        <f t="shared" si="987"/>
        <v>-9631.4151903163747</v>
      </c>
      <c r="T523">
        <f t="shared" si="988"/>
        <v>-9.6314151903163747</v>
      </c>
    </row>
    <row r="524" spans="1:20" x14ac:dyDescent="0.25">
      <c r="A524" s="5">
        <v>44069</v>
      </c>
      <c r="B524">
        <v>2.931E-3</v>
      </c>
      <c r="C524">
        <v>3.1189999999999998E-3</v>
      </c>
      <c r="D524">
        <v>2.8570000000000002E-3</v>
      </c>
      <c r="E524">
        <v>3.0279999999999999E-3</v>
      </c>
      <c r="F524">
        <v>140066861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0.30534351145038124</v>
      </c>
      <c r="Q524">
        <f t="shared" si="985"/>
        <v>42768507.175572455</v>
      </c>
      <c r="R524">
        <f t="shared" si="986"/>
        <v>-904256844.90325904</v>
      </c>
      <c r="S524">
        <f t="shared" si="987"/>
        <v>-9042.5684490325912</v>
      </c>
      <c r="T524">
        <f t="shared" si="988"/>
        <v>-9.0425684490325917</v>
      </c>
    </row>
    <row r="525" spans="1:20" x14ac:dyDescent="0.25">
      <c r="A525" s="5">
        <v>44068</v>
      </c>
      <c r="B525">
        <v>3.1570000000000001E-3</v>
      </c>
      <c r="C525">
        <v>3.1719999999999999E-3</v>
      </c>
      <c r="D525">
        <v>2.7910000000000001E-3</v>
      </c>
      <c r="E525">
        <v>2.9459999999999998E-3</v>
      </c>
      <c r="F525">
        <v>92042426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-0.18635170603674633</v>
      </c>
      <c r="Q525">
        <f t="shared" si="985"/>
        <v>-17152263.112860978</v>
      </c>
      <c r="R525">
        <f t="shared" si="986"/>
        <v>-947025352.07883143</v>
      </c>
      <c r="S525">
        <f t="shared" si="987"/>
        <v>-9470.2535207883138</v>
      </c>
      <c r="T525">
        <f t="shared" si="988"/>
        <v>-9.4702535207883134</v>
      </c>
    </row>
    <row r="526" spans="1:20" x14ac:dyDescent="0.25">
      <c r="A526" s="5">
        <v>44067</v>
      </c>
      <c r="B526">
        <v>3.0969999999999999E-3</v>
      </c>
      <c r="C526">
        <v>3.2060000000000001E-3</v>
      </c>
      <c r="D526">
        <v>3.0530000000000002E-3</v>
      </c>
      <c r="E526">
        <v>3.1689999999999999E-3</v>
      </c>
      <c r="F526">
        <v>100191169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0.5163398692810437</v>
      </c>
      <c r="Q526">
        <f t="shared" si="985"/>
        <v>51732695.104574956</v>
      </c>
      <c r="R526">
        <f t="shared" si="986"/>
        <v>-929873088.96597052</v>
      </c>
      <c r="S526">
        <f t="shared" si="987"/>
        <v>-9298.730889659706</v>
      </c>
      <c r="T526">
        <f t="shared" si="988"/>
        <v>-9.2987308896597067</v>
      </c>
    </row>
    <row r="527" spans="1:20" x14ac:dyDescent="0.25">
      <c r="A527" s="5">
        <v>44066</v>
      </c>
      <c r="B527">
        <v>3.117E-3</v>
      </c>
      <c r="C527">
        <v>3.1389999999999999E-3</v>
      </c>
      <c r="D527">
        <v>2.9970000000000001E-3</v>
      </c>
      <c r="E527">
        <v>3.0969999999999999E-3</v>
      </c>
      <c r="F527">
        <v>41104565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0.40845070422535201</v>
      </c>
      <c r="Q527">
        <f t="shared" si="985"/>
        <v>16789188.521126758</v>
      </c>
      <c r="R527">
        <f t="shared" si="986"/>
        <v>-981605784.07054543</v>
      </c>
      <c r="S527">
        <f t="shared" si="987"/>
        <v>-9816.0578407054545</v>
      </c>
      <c r="T527">
        <f t="shared" si="988"/>
        <v>-9.8160578407054544</v>
      </c>
    </row>
    <row r="528" spans="1:20" x14ac:dyDescent="0.25">
      <c r="A528" s="5">
        <v>44065</v>
      </c>
      <c r="B528">
        <v>3.0790000000000001E-3</v>
      </c>
      <c r="C528">
        <v>3.14E-3</v>
      </c>
      <c r="D528">
        <v>2.8E-3</v>
      </c>
      <c r="E528">
        <v>3.1329999999999999E-3</v>
      </c>
      <c r="F528">
        <v>71203462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0.9588235294117643</v>
      </c>
      <c r="Q528">
        <f t="shared" si="985"/>
        <v>68271554.741176441</v>
      </c>
      <c r="R528">
        <f t="shared" si="986"/>
        <v>-998394972.59167218</v>
      </c>
      <c r="S528">
        <f t="shared" si="987"/>
        <v>-9983.9497259167219</v>
      </c>
      <c r="T528">
        <f t="shared" si="988"/>
        <v>-9.9839497259167214</v>
      </c>
    </row>
    <row r="529" spans="1:20" x14ac:dyDescent="0.25">
      <c r="A529" s="5">
        <v>44064</v>
      </c>
      <c r="B529">
        <v>3.2009999999999999E-3</v>
      </c>
      <c r="C529">
        <v>3.2429999999999998E-3</v>
      </c>
      <c r="D529">
        <v>3.029E-3</v>
      </c>
      <c r="E529">
        <v>3.0799999999999998E-3</v>
      </c>
      <c r="F529">
        <v>109977630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-0.52336448598130947</v>
      </c>
      <c r="Q529">
        <f t="shared" si="985"/>
        <v>-57558385.794392638</v>
      </c>
      <c r="R529">
        <f t="shared" si="986"/>
        <v>-1066666527.3328487</v>
      </c>
      <c r="S529">
        <f t="shared" si="987"/>
        <v>-10666.665273328486</v>
      </c>
      <c r="T529">
        <f t="shared" si="988"/>
        <v>-10.666665273328487</v>
      </c>
    </row>
    <row r="530" spans="1:20" x14ac:dyDescent="0.25">
      <c r="A530" s="5">
        <v>44063</v>
      </c>
      <c r="B530">
        <v>3.1250000000000002E-3</v>
      </c>
      <c r="C530">
        <v>3.2070000000000002E-3</v>
      </c>
      <c r="D530">
        <v>3.0379999999999999E-3</v>
      </c>
      <c r="E530">
        <v>3.2049999999999999E-3</v>
      </c>
      <c r="F530">
        <v>87851380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0.97633136094674244</v>
      </c>
      <c r="Q530">
        <f t="shared" si="985"/>
        <v>85772057.396449432</v>
      </c>
      <c r="R530">
        <f t="shared" si="986"/>
        <v>-1009108141.5384561</v>
      </c>
      <c r="S530">
        <f t="shared" si="987"/>
        <v>-10091.08141538456</v>
      </c>
      <c r="T530">
        <f t="shared" si="988"/>
        <v>-10.09108141538456</v>
      </c>
    </row>
    <row r="531" spans="1:20" x14ac:dyDescent="0.25">
      <c r="A531" s="5">
        <v>44062</v>
      </c>
      <c r="B531">
        <v>3.1840000000000002E-3</v>
      </c>
      <c r="C531">
        <v>3.241E-3</v>
      </c>
      <c r="D531">
        <v>2.9299999999999999E-3</v>
      </c>
      <c r="E531">
        <v>3.1250000000000002E-3</v>
      </c>
      <c r="F531">
        <v>142376578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0.25401929260450318</v>
      </c>
      <c r="Q531">
        <f t="shared" si="985"/>
        <v>36166397.627009869</v>
      </c>
      <c r="R531">
        <f t="shared" si="986"/>
        <v>-1094880198.9349055</v>
      </c>
      <c r="S531">
        <f t="shared" si="987"/>
        <v>-10948.801989349055</v>
      </c>
      <c r="T531">
        <f t="shared" si="988"/>
        <v>-10.948801989349054</v>
      </c>
    </row>
    <row r="532" spans="1:20" x14ac:dyDescent="0.25">
      <c r="A532" s="5">
        <v>44061</v>
      </c>
      <c r="B532">
        <v>3.3050000000000002E-3</v>
      </c>
      <c r="C532">
        <v>3.3440000000000002E-3</v>
      </c>
      <c r="D532">
        <v>3.075E-3</v>
      </c>
      <c r="E532">
        <v>3.1830000000000001E-3</v>
      </c>
      <c r="F532">
        <v>118657151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-0.19702602230483296</v>
      </c>
      <c r="Q532">
        <f t="shared" si="985"/>
        <v>-23378546.479553934</v>
      </c>
      <c r="R532">
        <f t="shared" si="986"/>
        <v>-1131046596.5619154</v>
      </c>
      <c r="S532">
        <f t="shared" si="987"/>
        <v>-11310.465965619154</v>
      </c>
      <c r="T532">
        <f t="shared" si="988"/>
        <v>-11.310465965619155</v>
      </c>
    </row>
    <row r="533" spans="1:20" x14ac:dyDescent="0.25">
      <c r="A533" s="5">
        <v>44060</v>
      </c>
      <c r="B533">
        <v>3.3500000000000001E-3</v>
      </c>
      <c r="C533">
        <v>3.3500000000000001E-3</v>
      </c>
      <c r="D533">
        <v>3.202E-3</v>
      </c>
      <c r="E533">
        <v>3.2950000000000002E-3</v>
      </c>
      <c r="F533">
        <v>171008179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0.25675675675675835</v>
      </c>
      <c r="Q533">
        <f t="shared" si="985"/>
        <v>43907505.418919191</v>
      </c>
      <c r="R533">
        <f t="shared" si="986"/>
        <v>-1107668050.0823615</v>
      </c>
      <c r="S533">
        <f t="shared" si="987"/>
        <v>-11076.680500823615</v>
      </c>
      <c r="T533">
        <f t="shared" si="988"/>
        <v>-11.076680500823615</v>
      </c>
    </row>
    <row r="534" spans="1:20" x14ac:dyDescent="0.25">
      <c r="A534" s="5">
        <v>44059</v>
      </c>
      <c r="B534">
        <v>3.369E-3</v>
      </c>
      <c r="C534">
        <v>3.4269999999999999E-3</v>
      </c>
      <c r="D534">
        <v>3.248E-3</v>
      </c>
      <c r="E534">
        <v>3.3479999999999998E-3</v>
      </c>
      <c r="F534">
        <v>143164216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0.11731843575418861</v>
      </c>
      <c r="Q534">
        <f t="shared" si="985"/>
        <v>16795801.877094783</v>
      </c>
      <c r="R534">
        <f t="shared" si="986"/>
        <v>-1151575555.5012805</v>
      </c>
      <c r="S534">
        <f t="shared" si="987"/>
        <v>-11515.755555012805</v>
      </c>
      <c r="T534">
        <f t="shared" si="988"/>
        <v>-11.515755555012806</v>
      </c>
    </row>
    <row r="535" spans="1:20" x14ac:dyDescent="0.25">
      <c r="A535" s="5">
        <v>44058</v>
      </c>
      <c r="B535">
        <v>3.4759999999999999E-3</v>
      </c>
      <c r="C535">
        <v>3.578E-3</v>
      </c>
      <c r="D535">
        <v>3.1909999999999998E-3</v>
      </c>
      <c r="E535">
        <v>3.3530000000000001E-3</v>
      </c>
      <c r="F535">
        <v>359275795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-0.16279069767441773</v>
      </c>
      <c r="Q535">
        <f t="shared" si="985"/>
        <v>-58486757.325581081</v>
      </c>
      <c r="R535">
        <f t="shared" si="986"/>
        <v>-1168371357.3783753</v>
      </c>
      <c r="S535">
        <f t="shared" si="987"/>
        <v>-11683.713573783753</v>
      </c>
      <c r="T535">
        <f t="shared" si="988"/>
        <v>-11.683713573783752</v>
      </c>
    </row>
    <row r="536" spans="1:20" x14ac:dyDescent="0.25">
      <c r="A536" s="5">
        <v>44057</v>
      </c>
      <c r="B536">
        <v>3.467E-3</v>
      </c>
      <c r="C536">
        <v>4.1570000000000001E-3</v>
      </c>
      <c r="D536">
        <v>3.1749999999999999E-3</v>
      </c>
      <c r="E536">
        <v>3.4759999999999999E-3</v>
      </c>
      <c r="F536">
        <v>940997315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-0.38696537678207743</v>
      </c>
      <c r="Q536">
        <f t="shared" si="985"/>
        <v>-364133380.54989821</v>
      </c>
      <c r="R536">
        <f t="shared" si="986"/>
        <v>-1109884600.0527942</v>
      </c>
      <c r="S536">
        <f t="shared" si="987"/>
        <v>-11098.846000527943</v>
      </c>
      <c r="T536">
        <f t="shared" si="988"/>
        <v>-11.098846000527944</v>
      </c>
    </row>
    <row r="537" spans="1:20" x14ac:dyDescent="0.25">
      <c r="A537" s="5">
        <v>44056</v>
      </c>
      <c r="B537">
        <v>3.2169999999999998E-3</v>
      </c>
      <c r="C537">
        <v>3.591E-3</v>
      </c>
      <c r="D537">
        <v>3.0500000000000002E-3</v>
      </c>
      <c r="E537">
        <v>3.467E-3</v>
      </c>
      <c r="F537">
        <v>454045291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0.54158964879852123</v>
      </c>
      <c r="Q537">
        <f t="shared" si="985"/>
        <v>245906229.69131237</v>
      </c>
      <c r="R537">
        <f t="shared" si="986"/>
        <v>-745751219.50289607</v>
      </c>
      <c r="S537">
        <f t="shared" si="987"/>
        <v>-7457.5121950289604</v>
      </c>
      <c r="T537">
        <f t="shared" si="988"/>
        <v>-7.4575121950289605</v>
      </c>
    </row>
    <row r="538" spans="1:20" x14ac:dyDescent="0.25">
      <c r="A538" s="5">
        <v>44055</v>
      </c>
      <c r="B538">
        <v>3.32E-3</v>
      </c>
      <c r="C538">
        <v>3.32E-3</v>
      </c>
      <c r="D538">
        <v>3.0000000000000001E-3</v>
      </c>
      <c r="E538">
        <v>3.222E-3</v>
      </c>
      <c r="F538">
        <v>288205779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0.38749999999999996</v>
      </c>
      <c r="Q538">
        <f t="shared" si="985"/>
        <v>111679739.36249998</v>
      </c>
      <c r="R538">
        <f t="shared" si="986"/>
        <v>-991657449.19420838</v>
      </c>
      <c r="S538">
        <f t="shared" si="987"/>
        <v>-9916.5744919420831</v>
      </c>
      <c r="T538">
        <f t="shared" si="988"/>
        <v>-9.9165744919420824</v>
      </c>
    </row>
    <row r="539" spans="1:20" x14ac:dyDescent="0.25">
      <c r="A539" s="5">
        <v>44054</v>
      </c>
      <c r="B539">
        <v>2.99E-3</v>
      </c>
      <c r="C539">
        <v>3.8809999999999999E-3</v>
      </c>
      <c r="D539">
        <v>2.8999999999999998E-3</v>
      </c>
      <c r="E539">
        <v>3.3110000000000001E-3</v>
      </c>
      <c r="F539">
        <v>1213872209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-0.16207951070336329</v>
      </c>
      <c r="Q539">
        <f t="shared" si="985"/>
        <v>-196743813.69113076</v>
      </c>
      <c r="R539">
        <f t="shared" si="986"/>
        <v>-1103337188.5567083</v>
      </c>
      <c r="S539">
        <f t="shared" si="987"/>
        <v>-11033.371885567083</v>
      </c>
      <c r="T539">
        <f t="shared" si="988"/>
        <v>-11.033371885567083</v>
      </c>
    </row>
    <row r="540" spans="1:20" x14ac:dyDescent="0.25">
      <c r="A540" s="5">
        <v>44053</v>
      </c>
      <c r="B540">
        <v>2.879E-3</v>
      </c>
      <c r="C540">
        <v>2.9940000000000001E-3</v>
      </c>
      <c r="D540">
        <v>2.7560000000000002E-3</v>
      </c>
      <c r="E540">
        <v>2.9919999999999999E-3</v>
      </c>
      <c r="F540">
        <v>375944223</v>
      </c>
      <c r="G540">
        <v>0</v>
      </c>
      <c r="L540" t="s">
        <v>8</v>
      </c>
      <c r="M540" t="s">
        <v>7</v>
      </c>
      <c r="N540" t="s">
        <v>7</v>
      </c>
      <c r="P540">
        <f t="shared" si="984"/>
        <v>0.9831932773109221</v>
      </c>
      <c r="Q540">
        <f t="shared" si="985"/>
        <v>369625832.69747812</v>
      </c>
      <c r="R540">
        <f t="shared" si="986"/>
        <v>-906593374.8655777</v>
      </c>
      <c r="S540">
        <f t="shared" si="987"/>
        <v>-9065.9337486557761</v>
      </c>
      <c r="T540">
        <f t="shared" si="988"/>
        <v>-9.0659337486557767</v>
      </c>
    </row>
    <row r="541" spans="1:20" x14ac:dyDescent="0.25">
      <c r="A541" s="5">
        <v>44052</v>
      </c>
      <c r="B541">
        <v>2.9069999999999999E-3</v>
      </c>
      <c r="C541">
        <v>2.9229999999999998E-3</v>
      </c>
      <c r="D541">
        <v>2.7829999999999999E-3</v>
      </c>
      <c r="E541">
        <v>2.8939999999999999E-3</v>
      </c>
      <c r="F541">
        <v>120317276</v>
      </c>
      <c r="G541">
        <v>0</v>
      </c>
      <c r="L541" t="s">
        <v>7</v>
      </c>
      <c r="M541" t="s">
        <v>7</v>
      </c>
      <c r="N541" t="s">
        <v>7</v>
      </c>
      <c r="P541">
        <f t="shared" si="984"/>
        <v>0.5857142857142863</v>
      </c>
      <c r="Q541">
        <f t="shared" si="985"/>
        <v>70471547.371428639</v>
      </c>
      <c r="R541">
        <f t="shared" si="986"/>
        <v>-1276219207.5630558</v>
      </c>
      <c r="S541">
        <f t="shared" si="987"/>
        <v>-12762.192075630557</v>
      </c>
      <c r="T541">
        <f t="shared" si="988"/>
        <v>-12.762192075630557</v>
      </c>
    </row>
    <row r="542" spans="1:20" x14ac:dyDescent="0.25">
      <c r="A542" s="5">
        <v>44051</v>
      </c>
      <c r="B542">
        <v>2.7880000000000001E-3</v>
      </c>
      <c r="C542">
        <v>3.0000000000000001E-3</v>
      </c>
      <c r="D542">
        <v>2.7499999999999998E-3</v>
      </c>
      <c r="E542">
        <v>2.9250000000000001E-3</v>
      </c>
      <c r="F542">
        <v>304385796</v>
      </c>
      <c r="G542">
        <v>0</v>
      </c>
      <c r="L542" t="s">
        <v>8</v>
      </c>
      <c r="M542" t="s">
        <v>7</v>
      </c>
      <c r="N542" t="s">
        <v>7</v>
      </c>
      <c r="P542">
        <f t="shared" si="984"/>
        <v>0.40000000000000069</v>
      </c>
      <c r="Q542">
        <f t="shared" si="985"/>
        <v>121754318.40000021</v>
      </c>
      <c r="R542">
        <f t="shared" si="986"/>
        <v>-1346690754.9344845</v>
      </c>
      <c r="S542">
        <f t="shared" si="987"/>
        <v>-13466.907549344845</v>
      </c>
      <c r="T542">
        <f t="shared" si="988"/>
        <v>-13.466907549344846</v>
      </c>
    </row>
    <row r="543" spans="1:20" x14ac:dyDescent="0.25">
      <c r="A543" s="5">
        <v>44050</v>
      </c>
      <c r="B543">
        <v>2.8540000000000002E-3</v>
      </c>
      <c r="C543">
        <v>2.8800000000000002E-3</v>
      </c>
      <c r="D543">
        <v>2.7190000000000001E-3</v>
      </c>
      <c r="E543">
        <v>2.7899999999999999E-3</v>
      </c>
      <c r="F543">
        <v>137055701</v>
      </c>
      <c r="G543">
        <v>0</v>
      </c>
      <c r="L543" t="s">
        <v>7</v>
      </c>
      <c r="M543" t="s">
        <v>7</v>
      </c>
      <c r="N543" t="s">
        <v>7</v>
      </c>
      <c r="P543">
        <f t="shared" si="984"/>
        <v>-0.11801242236025056</v>
      </c>
      <c r="Q543">
        <f t="shared" si="985"/>
        <v>-16174275.273292216</v>
      </c>
      <c r="R543">
        <f t="shared" si="986"/>
        <v>-1468445073.3344846</v>
      </c>
      <c r="S543">
        <f t="shared" si="987"/>
        <v>-14684.450733344846</v>
      </c>
      <c r="T543">
        <f t="shared" si="988"/>
        <v>-14.684450733344846</v>
      </c>
    </row>
    <row r="544" spans="1:20" x14ac:dyDescent="0.25">
      <c r="A544" s="5">
        <v>44049</v>
      </c>
      <c r="B544">
        <v>2.97E-3</v>
      </c>
      <c r="C544">
        <v>2.9849999999999998E-3</v>
      </c>
      <c r="D544">
        <v>2.8E-3</v>
      </c>
      <c r="E544">
        <v>2.8540000000000002E-3</v>
      </c>
      <c r="F544">
        <v>276696773</v>
      </c>
      <c r="G544">
        <v>0</v>
      </c>
      <c r="L544" t="s">
        <v>7</v>
      </c>
      <c r="M544" t="s">
        <v>7</v>
      </c>
      <c r="N544" t="s">
        <v>7</v>
      </c>
      <c r="P544">
        <f t="shared" si="984"/>
        <v>-0.41621621621621324</v>
      </c>
      <c r="Q544">
        <f t="shared" si="985"/>
        <v>-115165683.89729647</v>
      </c>
      <c r="R544">
        <f t="shared" si="986"/>
        <v>-1452270798.0611923</v>
      </c>
      <c r="S544">
        <f t="shared" si="987"/>
        <v>-14522.707980611924</v>
      </c>
      <c r="T544">
        <f t="shared" si="988"/>
        <v>-14.522707980611923</v>
      </c>
    </row>
    <row r="545" spans="1:20" x14ac:dyDescent="0.25">
      <c r="A545" s="5">
        <v>44048</v>
      </c>
      <c r="B545">
        <v>2.7669999999999999E-3</v>
      </c>
      <c r="C545">
        <v>3.0439999999999998E-3</v>
      </c>
      <c r="D545">
        <v>2.7139999999999998E-3</v>
      </c>
      <c r="E545">
        <v>2.9819999999999998E-3</v>
      </c>
      <c r="F545">
        <v>287833296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0.62424242424242427</v>
      </c>
      <c r="Q545">
        <f t="shared" si="985"/>
        <v>179677754.47272727</v>
      </c>
      <c r="R545">
        <f t="shared" si="986"/>
        <v>-1337105114.1638958</v>
      </c>
      <c r="S545">
        <f t="shared" si="987"/>
        <v>-13371.051141638958</v>
      </c>
      <c r="T545">
        <f t="shared" si="988"/>
        <v>-13.371051141638958</v>
      </c>
    </row>
    <row r="546" spans="1:20" x14ac:dyDescent="0.25">
      <c r="A546" s="5">
        <v>44047</v>
      </c>
      <c r="B546">
        <v>2.6970000000000002E-3</v>
      </c>
      <c r="C546">
        <v>2.849E-3</v>
      </c>
      <c r="D546">
        <v>2.6589999999999999E-3</v>
      </c>
      <c r="E546">
        <v>2.7669999999999999E-3</v>
      </c>
      <c r="F546">
        <v>225598427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0.13684210526315774</v>
      </c>
      <c r="Q546">
        <f t="shared" si="985"/>
        <v>30871363.694736805</v>
      </c>
      <c r="R546">
        <f t="shared" si="986"/>
        <v>-1516782868.6366231</v>
      </c>
      <c r="S546">
        <f t="shared" si="987"/>
        <v>-15167.828686366231</v>
      </c>
      <c r="T546">
        <f t="shared" si="988"/>
        <v>-15.167828686366231</v>
      </c>
    </row>
    <row r="547" spans="1:20" x14ac:dyDescent="0.25">
      <c r="A547" s="5">
        <v>44046</v>
      </c>
      <c r="B547">
        <v>2.699E-3</v>
      </c>
      <c r="C547">
        <v>2.7799999999999999E-3</v>
      </c>
      <c r="D547">
        <v>2.6679999999999998E-3</v>
      </c>
      <c r="E547">
        <v>2.6979999999999999E-3</v>
      </c>
      <c r="F547">
        <v>186907092</v>
      </c>
      <c r="G547">
        <v>0</v>
      </c>
      <c r="L547" t="s">
        <v>7</v>
      </c>
      <c r="M547" t="s">
        <v>7</v>
      </c>
      <c r="N547" t="s">
        <v>7</v>
      </c>
      <c r="P547">
        <f t="shared" si="984"/>
        <v>-0.46428571428571347</v>
      </c>
      <c r="Q547">
        <f t="shared" si="985"/>
        <v>-86778292.714285567</v>
      </c>
      <c r="R547">
        <f t="shared" si="986"/>
        <v>-1547654232.3313599</v>
      </c>
      <c r="S547">
        <f t="shared" si="987"/>
        <v>-15476.542323313599</v>
      </c>
      <c r="T547">
        <f t="shared" si="988"/>
        <v>-15.476542323313598</v>
      </c>
    </row>
    <row r="548" spans="1:20" x14ac:dyDescent="0.25">
      <c r="A548" s="5">
        <v>44045</v>
      </c>
      <c r="B548">
        <v>2.9789999999999999E-3</v>
      </c>
      <c r="C548">
        <v>2.9789999999999999E-3</v>
      </c>
      <c r="D548">
        <v>2.6329999999999999E-3</v>
      </c>
      <c r="E548">
        <v>2.7060000000000001E-3</v>
      </c>
      <c r="F548">
        <v>288626095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-0.5780346820809239</v>
      </c>
      <c r="Q548">
        <f t="shared" si="985"/>
        <v>-166835893.06358355</v>
      </c>
      <c r="R548">
        <f t="shared" si="986"/>
        <v>-1460875939.6170743</v>
      </c>
      <c r="S548">
        <f t="shared" si="987"/>
        <v>-14608.759396170743</v>
      </c>
      <c r="T548">
        <f t="shared" si="988"/>
        <v>-14.608759396170743</v>
      </c>
    </row>
    <row r="549" spans="1:20" x14ac:dyDescent="0.25">
      <c r="A549" s="5">
        <v>44044</v>
      </c>
      <c r="B549">
        <v>2.9559999999999999E-3</v>
      </c>
      <c r="C549">
        <v>3.1489999999999999E-3</v>
      </c>
      <c r="D549">
        <v>2.9099999999999998E-3</v>
      </c>
      <c r="E549">
        <v>2.9789999999999999E-3</v>
      </c>
      <c r="F549">
        <v>371113678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-0.42259414225941394</v>
      </c>
      <c r="Q549">
        <f t="shared" si="985"/>
        <v>-156830466.43514633</v>
      </c>
      <c r="R549">
        <f t="shared" si="986"/>
        <v>-1294040046.5534906</v>
      </c>
      <c r="S549">
        <f t="shared" si="987"/>
        <v>-12940.400465534907</v>
      </c>
      <c r="T549">
        <f t="shared" si="988"/>
        <v>-12.940400465534907</v>
      </c>
    </row>
    <row r="550" spans="1:20" x14ac:dyDescent="0.25">
      <c r="A550" s="5">
        <v>44043</v>
      </c>
      <c r="B550">
        <v>3.0620000000000001E-3</v>
      </c>
      <c r="C550">
        <v>3.1679999999999998E-3</v>
      </c>
      <c r="D550">
        <v>2.9120000000000001E-3</v>
      </c>
      <c r="E550">
        <v>2.947E-3</v>
      </c>
      <c r="F550">
        <v>713277844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-0.72656250000000067</v>
      </c>
      <c r="Q550">
        <f t="shared" si="985"/>
        <v>-518240933.53125048</v>
      </c>
      <c r="R550">
        <f t="shared" si="986"/>
        <v>-1137209580.1183443</v>
      </c>
      <c r="S550">
        <f t="shared" si="987"/>
        <v>-11372.095801183443</v>
      </c>
      <c r="T550">
        <f t="shared" si="988"/>
        <v>-11.372095801183443</v>
      </c>
    </row>
    <row r="551" spans="1:20" x14ac:dyDescent="0.25">
      <c r="A551" s="5">
        <v>44042</v>
      </c>
      <c r="B551">
        <v>3.6670000000000001E-3</v>
      </c>
      <c r="C551">
        <v>3.6749999999999999E-3</v>
      </c>
      <c r="D551">
        <v>3.0170000000000002E-3</v>
      </c>
      <c r="E551">
        <v>3.0490000000000001E-3</v>
      </c>
      <c r="F551">
        <v>1095140243</v>
      </c>
      <c r="G551">
        <v>0</v>
      </c>
      <c r="L551" t="s">
        <v>7</v>
      </c>
      <c r="M551" t="s">
        <v>7</v>
      </c>
      <c r="N551" t="s">
        <v>7</v>
      </c>
      <c r="P551">
        <f t="shared" si="984"/>
        <v>-0.9027355623100306</v>
      </c>
      <c r="Q551">
        <f t="shared" si="985"/>
        <v>-988622043.07294858</v>
      </c>
      <c r="R551">
        <f t="shared" si="986"/>
        <v>-618968646.58709383</v>
      </c>
      <c r="S551">
        <f t="shared" si="987"/>
        <v>-6189.6864658709383</v>
      </c>
      <c r="T551">
        <f t="shared" si="988"/>
        <v>-6.1896864658709383</v>
      </c>
    </row>
    <row r="552" spans="1:20" x14ac:dyDescent="0.25">
      <c r="A552" s="5">
        <v>44041</v>
      </c>
      <c r="B552">
        <v>2.8050000000000002E-3</v>
      </c>
      <c r="C552">
        <v>4.3959999999999997E-3</v>
      </c>
      <c r="D552">
        <v>2.7309999999999999E-3</v>
      </c>
      <c r="E552">
        <v>3.6800000000000001E-3</v>
      </c>
      <c r="F552">
        <v>3235797211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0.13993993993994031</v>
      </c>
      <c r="Q552">
        <f t="shared" si="985"/>
        <v>452817267.36516637</v>
      </c>
      <c r="R552">
        <f t="shared" si="986"/>
        <v>369653396.48585469</v>
      </c>
      <c r="S552">
        <f t="shared" si="987"/>
        <v>3696.5339648585468</v>
      </c>
      <c r="T552">
        <f t="shared" si="988"/>
        <v>3.6965339648585469</v>
      </c>
    </row>
    <row r="553" spans="1:20" x14ac:dyDescent="0.25">
      <c r="A553" s="5">
        <v>44040</v>
      </c>
      <c r="B553">
        <v>2.555E-3</v>
      </c>
      <c r="C553">
        <v>2.898E-3</v>
      </c>
      <c r="D553">
        <v>2.5500000000000002E-3</v>
      </c>
      <c r="E553">
        <v>2.8050000000000002E-3</v>
      </c>
      <c r="F553">
        <v>337070388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0.46551724137931133</v>
      </c>
      <c r="Q553">
        <f t="shared" si="985"/>
        <v>156912077.17241412</v>
      </c>
      <c r="R553">
        <f t="shared" si="986"/>
        <v>-83163870.879311681</v>
      </c>
      <c r="S553">
        <f t="shared" si="987"/>
        <v>-831.63870879311685</v>
      </c>
      <c r="T553">
        <f t="shared" si="988"/>
        <v>-0.83163870879311685</v>
      </c>
    </row>
    <row r="554" spans="1:20" x14ac:dyDescent="0.25">
      <c r="A554" s="5">
        <v>44039</v>
      </c>
      <c r="B554">
        <v>2.7390000000000001E-3</v>
      </c>
      <c r="C554">
        <v>2.761E-3</v>
      </c>
      <c r="D554">
        <v>2.4320000000000001E-3</v>
      </c>
      <c r="E554">
        <v>2.5509999999999999E-3</v>
      </c>
      <c r="F554">
        <v>284640443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-0.2765957446808523</v>
      </c>
      <c r="Q554">
        <f t="shared" si="985"/>
        <v>-78730335.297872692</v>
      </c>
      <c r="R554">
        <f t="shared" si="986"/>
        <v>-240075948.0517258</v>
      </c>
      <c r="S554">
        <f t="shared" si="987"/>
        <v>-2400.759480517258</v>
      </c>
      <c r="T554">
        <f t="shared" si="988"/>
        <v>-2.4007594805172578</v>
      </c>
    </row>
    <row r="555" spans="1:20" x14ac:dyDescent="0.25">
      <c r="A555" s="5">
        <v>44038</v>
      </c>
      <c r="B555">
        <v>2.81E-3</v>
      </c>
      <c r="C555">
        <v>2.8549999999999999E-3</v>
      </c>
      <c r="D555">
        <v>2.5820000000000001E-3</v>
      </c>
      <c r="E555">
        <v>2.7399999999999998E-3</v>
      </c>
      <c r="F555">
        <v>194083051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0.15750915750915628</v>
      </c>
      <c r="Q555">
        <f t="shared" si="985"/>
        <v>30569857.849816613</v>
      </c>
      <c r="R555">
        <f t="shared" si="986"/>
        <v>-161345612.75385311</v>
      </c>
      <c r="S555">
        <f t="shared" si="987"/>
        <v>-1613.4561275385311</v>
      </c>
      <c r="T555">
        <f t="shared" si="988"/>
        <v>-1.6134561275385311</v>
      </c>
    </row>
    <row r="556" spans="1:20" x14ac:dyDescent="0.25">
      <c r="A556" s="5">
        <v>44037</v>
      </c>
      <c r="B556">
        <v>2.6419999999999998E-3</v>
      </c>
      <c r="C556">
        <v>2.8500000000000001E-3</v>
      </c>
      <c r="D556">
        <v>2.6080000000000001E-3</v>
      </c>
      <c r="E556">
        <v>2.8110000000000001E-3</v>
      </c>
      <c r="F556">
        <v>254440342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0.67768595041322344</v>
      </c>
      <c r="Q556">
        <f t="shared" si="985"/>
        <v>172430644.99173561</v>
      </c>
      <c r="R556">
        <f t="shared" si="986"/>
        <v>-191915470.60366973</v>
      </c>
      <c r="S556">
        <f t="shared" si="987"/>
        <v>-1919.1547060366972</v>
      </c>
      <c r="T556">
        <f t="shared" si="988"/>
        <v>-1.9191547060366971</v>
      </c>
    </row>
    <row r="557" spans="1:20" x14ac:dyDescent="0.25">
      <c r="A557" s="5">
        <v>44036</v>
      </c>
      <c r="B557">
        <v>2.728E-3</v>
      </c>
      <c r="C557">
        <v>2.8700000000000002E-3</v>
      </c>
      <c r="D557">
        <v>2.575E-3</v>
      </c>
      <c r="E557">
        <v>2.647E-3</v>
      </c>
      <c r="F557">
        <v>337390038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-0.51186440677966116</v>
      </c>
      <c r="Q557">
        <f t="shared" si="985"/>
        <v>-172697951.65423733</v>
      </c>
      <c r="R557">
        <f t="shared" si="986"/>
        <v>-364346115.59540534</v>
      </c>
      <c r="S557">
        <f t="shared" si="987"/>
        <v>-3643.4611559540535</v>
      </c>
      <c r="T557">
        <f t="shared" si="988"/>
        <v>-3.6434611559540535</v>
      </c>
    </row>
    <row r="558" spans="1:20" x14ac:dyDescent="0.25">
      <c r="A558" s="5">
        <v>44035</v>
      </c>
      <c r="B558">
        <v>2.715E-3</v>
      </c>
      <c r="C558">
        <v>2.8730000000000001E-3</v>
      </c>
      <c r="D558">
        <v>2.617E-3</v>
      </c>
      <c r="E558">
        <v>2.7299999999999998E-3</v>
      </c>
      <c r="F558">
        <v>366505658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-0.11718750000000193</v>
      </c>
      <c r="Q558">
        <f t="shared" si="985"/>
        <v>-42949881.796875708</v>
      </c>
      <c r="R558">
        <f t="shared" si="986"/>
        <v>-191648163.94116801</v>
      </c>
      <c r="S558">
        <f t="shared" si="987"/>
        <v>-1916.4816394116801</v>
      </c>
      <c r="T558">
        <f t="shared" si="988"/>
        <v>-1.9164816394116801</v>
      </c>
    </row>
    <row r="559" spans="1:20" x14ac:dyDescent="0.25">
      <c r="A559" s="5">
        <v>44034</v>
      </c>
      <c r="B559">
        <v>2.4819999999999998E-3</v>
      </c>
      <c r="C559">
        <v>2.7420000000000001E-3</v>
      </c>
      <c r="D559">
        <v>2.4329999999999998E-3</v>
      </c>
      <c r="E559">
        <v>2.715E-3</v>
      </c>
      <c r="F559">
        <v>354891942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0.82524271844660135</v>
      </c>
      <c r="Q559">
        <f t="shared" si="985"/>
        <v>292871990.97087359</v>
      </c>
      <c r="R559">
        <f t="shared" si="986"/>
        <v>-148698282.14429229</v>
      </c>
      <c r="S559">
        <f t="shared" si="987"/>
        <v>-1486.9828214429228</v>
      </c>
      <c r="T559">
        <f t="shared" si="988"/>
        <v>-1.4869828214429228</v>
      </c>
    </row>
    <row r="560" spans="1:20" x14ac:dyDescent="0.25">
      <c r="A560" s="5">
        <v>44033</v>
      </c>
      <c r="B560">
        <v>2.6259999999999999E-3</v>
      </c>
      <c r="C560">
        <v>2.6350000000000002E-3</v>
      </c>
      <c r="D560">
        <v>2.3999999999999998E-3</v>
      </c>
      <c r="E560">
        <v>2.4819999999999998E-3</v>
      </c>
      <c r="F560">
        <v>274859415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-0.30212765957446891</v>
      </c>
      <c r="Q560">
        <f t="shared" si="985"/>
        <v>-83042631.765957668</v>
      </c>
      <c r="R560">
        <f t="shared" si="986"/>
        <v>-441570273.11516589</v>
      </c>
      <c r="S560">
        <f t="shared" si="987"/>
        <v>-4415.7027311516586</v>
      </c>
      <c r="T560">
        <f t="shared" si="988"/>
        <v>-4.4157027311516588</v>
      </c>
    </row>
    <row r="561" spans="1:104" x14ac:dyDescent="0.25">
      <c r="A561" s="5">
        <v>44032</v>
      </c>
      <c r="B561">
        <v>2.5460000000000001E-3</v>
      </c>
      <c r="C561">
        <v>2.8010000000000001E-3</v>
      </c>
      <c r="D561">
        <v>2.5400000000000002E-3</v>
      </c>
      <c r="E561">
        <v>2.6259999999999999E-3</v>
      </c>
      <c r="F561">
        <v>396942632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-0.34099616858237758</v>
      </c>
      <c r="Q561">
        <f t="shared" si="985"/>
        <v>-135355916.65900466</v>
      </c>
      <c r="R561">
        <f t="shared" si="986"/>
        <v>-358527641.34920824</v>
      </c>
      <c r="S561">
        <f t="shared" si="987"/>
        <v>-3585.2764134920822</v>
      </c>
      <c r="T561">
        <f t="shared" si="988"/>
        <v>-3.5852764134920823</v>
      </c>
      <c r="CZ561" t="s">
        <v>7</v>
      </c>
    </row>
    <row r="562" spans="1:104" x14ac:dyDescent="0.25">
      <c r="A562" s="5">
        <v>44031</v>
      </c>
      <c r="B562">
        <v>2.4099999999999998E-3</v>
      </c>
      <c r="C562">
        <v>2.555E-3</v>
      </c>
      <c r="D562">
        <v>2.382E-3</v>
      </c>
      <c r="E562">
        <v>2.542E-3</v>
      </c>
      <c r="F562">
        <v>178184350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0.84971098265895961</v>
      </c>
      <c r="Q562">
        <f t="shared" si="985"/>
        <v>151405199.13294798</v>
      </c>
      <c r="R562">
        <f t="shared" si="986"/>
        <v>-223171724.69020355</v>
      </c>
      <c r="S562">
        <f t="shared" si="987"/>
        <v>-2231.7172469020356</v>
      </c>
      <c r="T562">
        <f t="shared" si="988"/>
        <v>-2.2317172469020354</v>
      </c>
      <c r="CZ562" t="s">
        <v>7</v>
      </c>
    </row>
    <row r="563" spans="1:104" x14ac:dyDescent="0.25">
      <c r="A563" s="5">
        <v>44030</v>
      </c>
      <c r="B563">
        <v>2.3969999999999998E-3</v>
      </c>
      <c r="C563">
        <v>2.477E-3</v>
      </c>
      <c r="D563">
        <v>2.3340000000000001E-3</v>
      </c>
      <c r="E563">
        <v>2.415E-3</v>
      </c>
      <c r="F563">
        <v>174710722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0.13286713286713239</v>
      </c>
      <c r="Q563">
        <f t="shared" si="985"/>
        <v>23213312.713286631</v>
      </c>
      <c r="R563">
        <f t="shared" si="986"/>
        <v>-374576923.82315153</v>
      </c>
      <c r="S563">
        <f t="shared" si="987"/>
        <v>-3745.7692382315154</v>
      </c>
      <c r="T563">
        <f t="shared" si="988"/>
        <v>-3.7457692382315155</v>
      </c>
      <c r="CZ563" t="s">
        <v>7</v>
      </c>
    </row>
    <row r="564" spans="1:104" x14ac:dyDescent="0.25">
      <c r="A564" s="5">
        <v>44029</v>
      </c>
      <c r="B564">
        <v>2.464E-3</v>
      </c>
      <c r="C564">
        <v>2.5839999999999999E-3</v>
      </c>
      <c r="D564">
        <v>2.366E-3</v>
      </c>
      <c r="E564">
        <v>2.3969999999999998E-3</v>
      </c>
      <c r="F564">
        <v>301497850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-0.71559633027523128</v>
      </c>
      <c r="Q564">
        <f t="shared" si="985"/>
        <v>-215750755.04587215</v>
      </c>
      <c r="R564">
        <f t="shared" si="986"/>
        <v>-397790236.53643817</v>
      </c>
      <c r="S564">
        <f t="shared" si="987"/>
        <v>-3977.9023653643817</v>
      </c>
      <c r="T564">
        <f t="shared" si="988"/>
        <v>-3.9779023653643817</v>
      </c>
    </row>
    <row r="565" spans="1:104" x14ac:dyDescent="0.25">
      <c r="A565" s="5">
        <v>44028</v>
      </c>
      <c r="B565">
        <v>2.2139999999999998E-3</v>
      </c>
      <c r="C565">
        <v>2.7390000000000001E-3</v>
      </c>
      <c r="D565">
        <v>2.111E-3</v>
      </c>
      <c r="E565">
        <v>2.477E-3</v>
      </c>
      <c r="F565">
        <v>697913647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0.16560509554140113</v>
      </c>
      <c r="Q565">
        <f t="shared" si="985"/>
        <v>115578056.1910827</v>
      </c>
      <c r="R565">
        <f t="shared" si="986"/>
        <v>-182039481.49056602</v>
      </c>
      <c r="S565">
        <f t="shared" si="987"/>
        <v>-1820.39481490566</v>
      </c>
      <c r="T565">
        <f t="shared" si="988"/>
        <v>-1.8203948149056601</v>
      </c>
    </row>
    <row r="566" spans="1:104" x14ac:dyDescent="0.25">
      <c r="A566" s="5">
        <v>44027</v>
      </c>
      <c r="B566">
        <v>2.2490000000000001E-3</v>
      </c>
      <c r="C566">
        <v>2.2799999999999999E-3</v>
      </c>
      <c r="D566">
        <v>2.1979999999999999E-3</v>
      </c>
      <c r="E566">
        <v>2.2139999999999998E-3</v>
      </c>
      <c r="F566">
        <v>98236998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-0.60975609756097693</v>
      </c>
      <c r="Q566">
        <f t="shared" si="985"/>
        <v>-59900608.536585495</v>
      </c>
      <c r="R566">
        <f t="shared" si="986"/>
        <v>-297617537.68164873</v>
      </c>
      <c r="S566">
        <f t="shared" si="987"/>
        <v>-2976.1753768164872</v>
      </c>
      <c r="T566">
        <f t="shared" si="988"/>
        <v>-2.9761753768164874</v>
      </c>
    </row>
    <row r="567" spans="1:104" x14ac:dyDescent="0.25">
      <c r="A567" s="5">
        <v>44026</v>
      </c>
      <c r="B567">
        <v>2.2160000000000001E-3</v>
      </c>
      <c r="C567">
        <v>2.264E-3</v>
      </c>
      <c r="D567">
        <v>2.1909999999999998E-3</v>
      </c>
      <c r="E567">
        <v>2.2490000000000001E-3</v>
      </c>
      <c r="F567">
        <v>78700523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0.58904109589041664</v>
      </c>
      <c r="Q567">
        <f t="shared" si="985"/>
        <v>46357842.315068938</v>
      </c>
      <c r="R567">
        <f t="shared" si="986"/>
        <v>-237716929.14506325</v>
      </c>
      <c r="S567">
        <f t="shared" si="987"/>
        <v>-2377.1692914506325</v>
      </c>
      <c r="T567">
        <f t="shared" si="988"/>
        <v>-2.3771692914506324</v>
      </c>
    </row>
    <row r="568" spans="1:104" x14ac:dyDescent="0.25">
      <c r="A568" s="5">
        <v>44025</v>
      </c>
      <c r="B568">
        <v>2.398E-3</v>
      </c>
      <c r="C568">
        <v>2.4120000000000001E-3</v>
      </c>
      <c r="D568">
        <v>2.1810000000000002E-3</v>
      </c>
      <c r="E568">
        <v>2.2160000000000001E-3</v>
      </c>
      <c r="F568">
        <v>300046725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-0.6969696969696979</v>
      </c>
      <c r="Q568">
        <f t="shared" si="985"/>
        <v>-209123475.00000027</v>
      </c>
      <c r="R568">
        <f t="shared" si="986"/>
        <v>-284074771.46013218</v>
      </c>
      <c r="S568">
        <f t="shared" si="987"/>
        <v>-2840.7477146013216</v>
      </c>
      <c r="T568">
        <f t="shared" si="988"/>
        <v>-2.8407477146013216</v>
      </c>
    </row>
    <row r="569" spans="1:104" x14ac:dyDescent="0.25">
      <c r="A569" s="5">
        <v>44024</v>
      </c>
      <c r="B569">
        <v>2.362E-3</v>
      </c>
      <c r="C569">
        <v>2.506E-3</v>
      </c>
      <c r="D569">
        <v>2.3149999999999998E-3</v>
      </c>
      <c r="E569">
        <v>2.3809999999999999E-3</v>
      </c>
      <c r="F569">
        <v>344518279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-0.30890052356020925</v>
      </c>
      <c r="Q569">
        <f t="shared" si="985"/>
        <v>-106421876.75916225</v>
      </c>
      <c r="R569">
        <f t="shared" si="986"/>
        <v>-74951296.460131928</v>
      </c>
      <c r="S569">
        <f t="shared" si="987"/>
        <v>-749.51296460131925</v>
      </c>
      <c r="T569">
        <f t="shared" si="988"/>
        <v>-0.74951296460131922</v>
      </c>
    </row>
    <row r="570" spans="1:104" x14ac:dyDescent="0.25">
      <c r="A570" s="5">
        <v>44023</v>
      </c>
      <c r="B570">
        <v>2.3479999999999998E-3</v>
      </c>
      <c r="C570">
        <v>2.532E-3</v>
      </c>
      <c r="D570">
        <v>2.2179999999999999E-3</v>
      </c>
      <c r="E570">
        <v>2.3649999999999999E-3</v>
      </c>
      <c r="F570">
        <v>293852319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-6.3694267515923719E-2</v>
      </c>
      <c r="Q570">
        <f t="shared" si="985"/>
        <v>-18716708.216560554</v>
      </c>
      <c r="R570">
        <f t="shared" si="986"/>
        <v>31470580.299030323</v>
      </c>
      <c r="S570">
        <f t="shared" si="987"/>
        <v>314.7058029903032</v>
      </c>
      <c r="T570">
        <f t="shared" si="988"/>
        <v>0.31470580299030321</v>
      </c>
    </row>
    <row r="571" spans="1:104" x14ac:dyDescent="0.25">
      <c r="A571" s="5">
        <v>44022</v>
      </c>
      <c r="B571">
        <v>2.323E-3</v>
      </c>
      <c r="C571">
        <v>2.4139999999999999E-3</v>
      </c>
      <c r="D571">
        <v>2.1679999999999998E-3</v>
      </c>
      <c r="E571">
        <v>2.3470000000000001E-3</v>
      </c>
      <c r="F571">
        <v>352205502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0.45528455284553049</v>
      </c>
      <c r="Q571">
        <f t="shared" si="985"/>
        <v>160353724.4878056</v>
      </c>
      <c r="R571">
        <f t="shared" si="986"/>
        <v>50187288.515590876</v>
      </c>
      <c r="S571">
        <f t="shared" si="987"/>
        <v>501.87288515590876</v>
      </c>
      <c r="T571">
        <f t="shared" si="988"/>
        <v>0.50187288515590878</v>
      </c>
    </row>
    <row r="572" spans="1:104" x14ac:dyDescent="0.25">
      <c r="A572" s="5">
        <v>44021</v>
      </c>
      <c r="B572">
        <v>2.1840000000000002E-3</v>
      </c>
      <c r="C572">
        <v>2.5400000000000002E-3</v>
      </c>
      <c r="D572">
        <v>2.068E-3</v>
      </c>
      <c r="E572">
        <v>2.31E-3</v>
      </c>
      <c r="F572">
        <v>688597255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2.5423728813559011E-2</v>
      </c>
      <c r="Q572">
        <f t="shared" si="985"/>
        <v>17506709.872881141</v>
      </c>
      <c r="R572">
        <f t="shared" si="986"/>
        <v>-110166435.97221473</v>
      </c>
      <c r="S572">
        <f t="shared" si="987"/>
        <v>-1101.6643597221473</v>
      </c>
      <c r="T572">
        <f t="shared" si="988"/>
        <v>-1.1016643597221474</v>
      </c>
    </row>
    <row r="573" spans="1:104" x14ac:dyDescent="0.25">
      <c r="A573" s="5">
        <v>44020</v>
      </c>
      <c r="B573">
        <v>1.9629999999999999E-3</v>
      </c>
      <c r="C573">
        <v>2.2300000000000002E-3</v>
      </c>
      <c r="D573">
        <v>1.9380000000000001E-3</v>
      </c>
      <c r="E573">
        <v>2.183E-3</v>
      </c>
      <c r="F573">
        <v>527042780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0.67808219178082096</v>
      </c>
      <c r="Q573">
        <f t="shared" si="985"/>
        <v>357378323.42465705</v>
      </c>
      <c r="R573">
        <f t="shared" si="986"/>
        <v>-127673145.84509587</v>
      </c>
      <c r="S573">
        <f t="shared" si="987"/>
        <v>-1276.7314584509588</v>
      </c>
      <c r="T573">
        <f t="shared" si="988"/>
        <v>-1.2767314584509588</v>
      </c>
    </row>
    <row r="574" spans="1:104" x14ac:dyDescent="0.25">
      <c r="A574" s="5">
        <v>44019</v>
      </c>
      <c r="B574">
        <v>1.9250000000000001E-3</v>
      </c>
      <c r="C574">
        <v>1.9780000000000002E-3</v>
      </c>
      <c r="D574">
        <v>1.9E-3</v>
      </c>
      <c r="E574">
        <v>1.9629999999999999E-3</v>
      </c>
      <c r="F574">
        <v>117654414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0.61538461538460965</v>
      </c>
      <c r="Q574">
        <f t="shared" si="985"/>
        <v>72402716.307691634</v>
      </c>
      <c r="R574">
        <f t="shared" si="986"/>
        <v>-485051469.26975292</v>
      </c>
      <c r="S574">
        <f t="shared" si="987"/>
        <v>-4850.5146926975294</v>
      </c>
      <c r="T574">
        <f t="shared" si="988"/>
        <v>-4.8505146926975291</v>
      </c>
    </row>
    <row r="575" spans="1:104" x14ac:dyDescent="0.25">
      <c r="A575" s="5">
        <v>44018</v>
      </c>
      <c r="B575">
        <v>1.8890000000000001E-3</v>
      </c>
      <c r="C575">
        <v>1.9469999999999999E-3</v>
      </c>
      <c r="D575">
        <v>1.8680000000000001E-3</v>
      </c>
      <c r="E575">
        <v>1.9250000000000001E-3</v>
      </c>
      <c r="F575">
        <v>70193745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0.44303797468354628</v>
      </c>
      <c r="Q575">
        <f t="shared" si="985"/>
        <v>31098494.620253302</v>
      </c>
      <c r="R575">
        <f t="shared" si="986"/>
        <v>-557454185.57744455</v>
      </c>
      <c r="S575">
        <f t="shared" si="987"/>
        <v>-5574.5418557744451</v>
      </c>
      <c r="T575">
        <f t="shared" si="988"/>
        <v>-5.5745418557744451</v>
      </c>
    </row>
    <row r="576" spans="1:104" x14ac:dyDescent="0.25">
      <c r="A576" s="5">
        <v>44017</v>
      </c>
      <c r="B576">
        <v>1.928E-3</v>
      </c>
      <c r="C576">
        <v>1.9729999999999999E-3</v>
      </c>
      <c r="D576">
        <v>1.841E-3</v>
      </c>
      <c r="E576">
        <v>1.9009999999999999E-3</v>
      </c>
      <c r="F576">
        <v>57811303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-9.0909090909091508E-2</v>
      </c>
      <c r="Q576">
        <f t="shared" si="985"/>
        <v>-5255573.0000000345</v>
      </c>
      <c r="R576">
        <f t="shared" si="986"/>
        <v>-588552680.19769788</v>
      </c>
      <c r="S576">
        <f t="shared" si="987"/>
        <v>-5885.5268019769792</v>
      </c>
      <c r="T576">
        <f t="shared" si="988"/>
        <v>-5.8855268019769795</v>
      </c>
    </row>
    <row r="577" spans="1:20" x14ac:dyDescent="0.25">
      <c r="A577" s="5">
        <v>44016</v>
      </c>
      <c r="B577">
        <v>1.9289999999999999E-3</v>
      </c>
      <c r="C577">
        <v>1.9449999999999999E-3</v>
      </c>
      <c r="D577">
        <v>1.8990000000000001E-3</v>
      </c>
      <c r="E577">
        <v>1.926E-3</v>
      </c>
      <c r="F577">
        <v>28164947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0.17391304347826109</v>
      </c>
      <c r="Q577">
        <f t="shared" si="985"/>
        <v>4898251.6521739196</v>
      </c>
      <c r="R577">
        <f t="shared" si="986"/>
        <v>-583297107.19769788</v>
      </c>
      <c r="S577">
        <f t="shared" si="987"/>
        <v>-5832.9710719769791</v>
      </c>
      <c r="T577">
        <f t="shared" si="988"/>
        <v>-5.8329710719769787</v>
      </c>
    </row>
    <row r="578" spans="1:20" x14ac:dyDescent="0.25">
      <c r="A578" s="5">
        <v>44015</v>
      </c>
      <c r="B578">
        <v>1.8879999999999999E-3</v>
      </c>
      <c r="C578">
        <v>1.9499999999999999E-3</v>
      </c>
      <c r="D578">
        <v>1.882E-3</v>
      </c>
      <c r="E578">
        <v>1.9289999999999999E-3</v>
      </c>
      <c r="F578">
        <v>64396246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0.38235294117647078</v>
      </c>
      <c r="Q578">
        <f t="shared" si="985"/>
        <v>24622094.058823541</v>
      </c>
      <c r="R578">
        <f t="shared" si="986"/>
        <v>-588195358.84987175</v>
      </c>
      <c r="S578">
        <f t="shared" si="987"/>
        <v>-5881.9535884987172</v>
      </c>
      <c r="T578">
        <f t="shared" si="988"/>
        <v>-5.8819535884987175</v>
      </c>
    </row>
    <row r="579" spans="1:20" x14ac:dyDescent="0.25">
      <c r="A579" s="5">
        <v>44014</v>
      </c>
      <c r="B579">
        <v>1.9870000000000001E-3</v>
      </c>
      <c r="C579">
        <v>2E-3</v>
      </c>
      <c r="D579">
        <v>1.8320000000000001E-3</v>
      </c>
      <c r="E579">
        <v>1.8730000000000001E-3</v>
      </c>
      <c r="F579">
        <v>143152346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-0.51190476190476153</v>
      </c>
      <c r="Q579">
        <f t="shared" si="985"/>
        <v>-73280367.595238045</v>
      </c>
      <c r="R579">
        <f t="shared" si="986"/>
        <v>-612817452.90869534</v>
      </c>
      <c r="S579">
        <f t="shared" si="987"/>
        <v>-6128.174529086953</v>
      </c>
      <c r="T579">
        <f t="shared" si="988"/>
        <v>-6.1281745290869534</v>
      </c>
    </row>
    <row r="580" spans="1:20" x14ac:dyDescent="0.25">
      <c r="A580" s="5">
        <v>44013</v>
      </c>
      <c r="B580">
        <v>1.964E-3</v>
      </c>
      <c r="C580">
        <v>2.0170000000000001E-3</v>
      </c>
      <c r="D580">
        <v>1.892E-3</v>
      </c>
      <c r="E580">
        <v>1.9859999999999999E-3</v>
      </c>
      <c r="F580">
        <v>153955424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0.50399999999999701</v>
      </c>
      <c r="Q580">
        <f t="shared" si="985"/>
        <v>77593533.695999533</v>
      </c>
      <c r="R580">
        <f t="shared" si="986"/>
        <v>-539537085.31345725</v>
      </c>
      <c r="S580">
        <f t="shared" si="987"/>
        <v>-5395.3708531345728</v>
      </c>
      <c r="T580">
        <f t="shared" si="988"/>
        <v>-5.3953708531345725</v>
      </c>
    </row>
    <row r="581" spans="1:20" x14ac:dyDescent="0.25">
      <c r="A581" s="5">
        <v>44012</v>
      </c>
      <c r="B581">
        <v>1.928E-3</v>
      </c>
      <c r="C581">
        <v>1.9840000000000001E-3</v>
      </c>
      <c r="D581">
        <v>1.8320000000000001E-3</v>
      </c>
      <c r="E581">
        <v>1.9629999999999999E-3</v>
      </c>
      <c r="F581">
        <v>120132675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0.72368421052631338</v>
      </c>
      <c r="Q581">
        <f t="shared" si="985"/>
        <v>86938120.065789178</v>
      </c>
      <c r="R581">
        <f t="shared" si="986"/>
        <v>-617130619.00945675</v>
      </c>
      <c r="S581">
        <f t="shared" si="987"/>
        <v>-6171.3061900945677</v>
      </c>
      <c r="T581">
        <f t="shared" si="988"/>
        <v>-6.171306190094568</v>
      </c>
    </row>
    <row r="582" spans="1:20" x14ac:dyDescent="0.25">
      <c r="A582" s="5">
        <v>44011</v>
      </c>
      <c r="B582">
        <v>1.9009999999999999E-3</v>
      </c>
      <c r="C582">
        <v>1.9980000000000002E-3</v>
      </c>
      <c r="D582">
        <v>1.8699999999999999E-3</v>
      </c>
      <c r="E582">
        <v>1.923E-3</v>
      </c>
      <c r="F582">
        <v>93393533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-0.17187500000000039</v>
      </c>
      <c r="Q582">
        <f t="shared" ref="Q582:Q645" si="990">F582*P582</f>
        <v>-16052013.484375035</v>
      </c>
      <c r="R582">
        <f t="shared" ref="R582:R645" si="991">R583+Q582</f>
        <v>-704068739.07524598</v>
      </c>
      <c r="S582">
        <f t="shared" ref="S582:S645" si="992">R582/100000</f>
        <v>-7040.6873907524596</v>
      </c>
      <c r="T582">
        <f t="shared" ref="T582:T645" si="993">S582/1000</f>
        <v>-7.0406873907524599</v>
      </c>
    </row>
    <row r="583" spans="1:20" x14ac:dyDescent="0.25">
      <c r="A583" s="5">
        <v>44010</v>
      </c>
      <c r="B583">
        <v>1.8799999999999999E-3</v>
      </c>
      <c r="C583">
        <v>1.9589999999999998E-3</v>
      </c>
      <c r="D583">
        <v>1.8010000000000001E-3</v>
      </c>
      <c r="E583">
        <v>1.9059999999999999E-3</v>
      </c>
      <c r="F583">
        <v>122626352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0.32911392405063328</v>
      </c>
      <c r="Q583">
        <f t="shared" si="990"/>
        <v>40358039.898734219</v>
      </c>
      <c r="R583">
        <f t="shared" si="991"/>
        <v>-688016725.59087098</v>
      </c>
      <c r="S583">
        <f t="shared" si="992"/>
        <v>-6880.1672559087101</v>
      </c>
      <c r="T583">
        <f t="shared" si="993"/>
        <v>-6.8801672559087104</v>
      </c>
    </row>
    <row r="584" spans="1:20" x14ac:dyDescent="0.25">
      <c r="A584" s="5">
        <v>44009</v>
      </c>
      <c r="B584">
        <v>2.0209999999999998E-3</v>
      </c>
      <c r="C584">
        <v>2.0820000000000001E-3</v>
      </c>
      <c r="D584">
        <v>1.8240000000000001E-3</v>
      </c>
      <c r="E584">
        <v>1.8799999999999999E-3</v>
      </c>
      <c r="F584">
        <v>83653341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-0.56589147286821828</v>
      </c>
      <c r="Q584">
        <f t="shared" si="990"/>
        <v>-47338712.348837309</v>
      </c>
      <c r="R584">
        <f t="shared" si="991"/>
        <v>-728374765.48960519</v>
      </c>
      <c r="S584">
        <f t="shared" si="992"/>
        <v>-7283.7476548960522</v>
      </c>
      <c r="T584">
        <f t="shared" si="993"/>
        <v>-7.283747654896052</v>
      </c>
    </row>
    <row r="585" spans="1:20" x14ac:dyDescent="0.25">
      <c r="A585" s="5">
        <v>44008</v>
      </c>
      <c r="B585">
        <v>2.0999999999999999E-3</v>
      </c>
      <c r="C585">
        <v>2.1280000000000001E-3</v>
      </c>
      <c r="D585">
        <v>1.9499999999999999E-3</v>
      </c>
      <c r="E585">
        <v>2.0100000000000001E-3</v>
      </c>
      <c r="F585">
        <v>94277342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-0.3258426966292125</v>
      </c>
      <c r="Q585">
        <f t="shared" si="990"/>
        <v>-30719583.348314513</v>
      </c>
      <c r="R585">
        <f t="shared" si="991"/>
        <v>-681036053.14076793</v>
      </c>
      <c r="S585">
        <f t="shared" si="992"/>
        <v>-6810.3605314076794</v>
      </c>
      <c r="T585">
        <f t="shared" si="993"/>
        <v>-6.8103605314076798</v>
      </c>
    </row>
    <row r="586" spans="1:20" x14ac:dyDescent="0.25">
      <c r="A586" s="5">
        <v>44007</v>
      </c>
      <c r="B586">
        <v>2.127E-3</v>
      </c>
      <c r="C586">
        <v>2.1350000000000002E-3</v>
      </c>
      <c r="D586">
        <v>1.9889999999999999E-3</v>
      </c>
      <c r="E586">
        <v>2.0839999999999999E-3</v>
      </c>
      <c r="F586">
        <v>106675254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0.30136986301369645</v>
      </c>
      <c r="Q586">
        <f t="shared" si="990"/>
        <v>32148706.684931275</v>
      </c>
      <c r="R586">
        <f t="shared" si="991"/>
        <v>-650316469.79245341</v>
      </c>
      <c r="S586">
        <f t="shared" si="992"/>
        <v>-6503.1646979245343</v>
      </c>
      <c r="T586">
        <f t="shared" si="993"/>
        <v>-6.5031646979245341</v>
      </c>
    </row>
    <row r="587" spans="1:20" x14ac:dyDescent="0.25">
      <c r="A587" s="5">
        <v>44006</v>
      </c>
      <c r="B587">
        <v>2.2720000000000001E-3</v>
      </c>
      <c r="C587">
        <v>2.2929999999999999E-3</v>
      </c>
      <c r="D587">
        <v>2.0999999999999999E-3</v>
      </c>
      <c r="E587">
        <v>2.1410000000000001E-3</v>
      </c>
      <c r="F587">
        <v>107004483</v>
      </c>
      <c r="G587">
        <v>0</v>
      </c>
      <c r="L587" t="s">
        <v>7</v>
      </c>
      <c r="M587" t="s">
        <v>7</v>
      </c>
      <c r="N587" t="s">
        <v>7</v>
      </c>
      <c r="P587">
        <f t="shared" si="989"/>
        <v>-0.57512953367875408</v>
      </c>
      <c r="Q587">
        <f t="shared" si="990"/>
        <v>-61541438.409326166</v>
      </c>
      <c r="R587">
        <f t="shared" si="991"/>
        <v>-682465176.47738469</v>
      </c>
      <c r="S587">
        <f t="shared" si="992"/>
        <v>-6824.6517647738465</v>
      </c>
      <c r="T587">
        <f t="shared" si="993"/>
        <v>-6.8246517647738463</v>
      </c>
    </row>
    <row r="588" spans="1:20" x14ac:dyDescent="0.25">
      <c r="A588" s="5">
        <v>44005</v>
      </c>
      <c r="B588">
        <v>2.3400000000000001E-3</v>
      </c>
      <c r="C588">
        <v>2.3400000000000001E-3</v>
      </c>
      <c r="D588">
        <v>2.2439999999999999E-3</v>
      </c>
      <c r="E588">
        <v>2.2899999999999999E-3</v>
      </c>
      <c r="F588">
        <v>73375440</v>
      </c>
      <c r="G588">
        <v>0</v>
      </c>
      <c r="L588" t="s">
        <v>7</v>
      </c>
      <c r="M588" t="s">
        <v>8</v>
      </c>
      <c r="N588" t="s">
        <v>7</v>
      </c>
      <c r="P588">
        <f t="shared" si="989"/>
        <v>-4.1666666666667608E-2</v>
      </c>
      <c r="Q588">
        <f t="shared" si="990"/>
        <v>-3057310.0000000689</v>
      </c>
      <c r="R588">
        <f t="shared" si="991"/>
        <v>-620923738.06805849</v>
      </c>
      <c r="S588">
        <f t="shared" si="992"/>
        <v>-6209.2373806805845</v>
      </c>
      <c r="T588">
        <f t="shared" si="993"/>
        <v>-6.2092373806805847</v>
      </c>
    </row>
    <row r="589" spans="1:20" x14ac:dyDescent="0.25">
      <c r="A589" s="5">
        <v>44004</v>
      </c>
      <c r="B589">
        <v>2.3089999999999999E-3</v>
      </c>
      <c r="C589">
        <v>2.346E-3</v>
      </c>
      <c r="D589">
        <v>2.2899999999999999E-3</v>
      </c>
      <c r="E589">
        <v>2.3270000000000001E-3</v>
      </c>
      <c r="F589">
        <v>83204234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0.32142857142857501</v>
      </c>
      <c r="Q589">
        <f t="shared" si="990"/>
        <v>26744218.071428869</v>
      </c>
      <c r="R589">
        <f t="shared" si="991"/>
        <v>-617866428.06805837</v>
      </c>
      <c r="S589">
        <f t="shared" si="992"/>
        <v>-6178.6642806805839</v>
      </c>
      <c r="T589">
        <f t="shared" si="993"/>
        <v>-6.178664280680584</v>
      </c>
    </row>
    <row r="590" spans="1:20" x14ac:dyDescent="0.25">
      <c r="A590" s="5">
        <v>44003</v>
      </c>
      <c r="B590">
        <v>2.3609999999999998E-3</v>
      </c>
      <c r="C590">
        <v>2.3860000000000001E-3</v>
      </c>
      <c r="D590">
        <v>2.2929999999999999E-3</v>
      </c>
      <c r="E590">
        <v>2.2929999999999999E-3</v>
      </c>
      <c r="F590">
        <v>74292947</v>
      </c>
      <c r="G590">
        <v>0</v>
      </c>
      <c r="L590" t="s">
        <v>7</v>
      </c>
      <c r="M590" t="s">
        <v>8</v>
      </c>
      <c r="N590" t="s">
        <v>7</v>
      </c>
      <c r="P590">
        <f t="shared" si="989"/>
        <v>-1</v>
      </c>
      <c r="Q590">
        <f t="shared" si="990"/>
        <v>-74292947</v>
      </c>
      <c r="R590">
        <f t="shared" si="991"/>
        <v>-644610646.13948727</v>
      </c>
      <c r="S590">
        <f t="shared" si="992"/>
        <v>-6446.1064613948729</v>
      </c>
      <c r="T590">
        <f t="shared" si="993"/>
        <v>-6.4461064613948729</v>
      </c>
    </row>
    <row r="591" spans="1:20" x14ac:dyDescent="0.25">
      <c r="A591" s="5">
        <v>44002</v>
      </c>
      <c r="B591">
        <v>2.3089999999999999E-3</v>
      </c>
      <c r="C591">
        <v>2.4009999999999999E-3</v>
      </c>
      <c r="D591">
        <v>2.2799999999999999E-3</v>
      </c>
      <c r="E591">
        <v>2.3609999999999998E-3</v>
      </c>
      <c r="F591">
        <v>121924746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0.33884297520660989</v>
      </c>
      <c r="Q591">
        <f t="shared" si="990"/>
        <v>41313343.685950205</v>
      </c>
      <c r="R591">
        <f t="shared" si="991"/>
        <v>-570317699.13948727</v>
      </c>
      <c r="S591">
        <f t="shared" si="992"/>
        <v>-5703.1769913948729</v>
      </c>
      <c r="T591">
        <f t="shared" si="993"/>
        <v>-5.7031769913948729</v>
      </c>
    </row>
    <row r="592" spans="1:20" x14ac:dyDescent="0.25">
      <c r="A592" s="5">
        <v>44001</v>
      </c>
      <c r="B592">
        <v>2.3969999999999998E-3</v>
      </c>
      <c r="C592">
        <v>2.3969999999999998E-3</v>
      </c>
      <c r="D592">
        <v>2.2599999999999999E-3</v>
      </c>
      <c r="E592">
        <v>2.3080000000000002E-3</v>
      </c>
      <c r="F592">
        <v>144995225</v>
      </c>
      <c r="G592">
        <v>0</v>
      </c>
      <c r="L592" t="s">
        <v>7</v>
      </c>
      <c r="M592" t="s">
        <v>8</v>
      </c>
      <c r="N592" t="s">
        <v>7</v>
      </c>
      <c r="P592">
        <f t="shared" si="989"/>
        <v>-0.2992700729926962</v>
      </c>
      <c r="Q592">
        <f t="shared" si="990"/>
        <v>-43392731.569342412</v>
      </c>
      <c r="R592">
        <f t="shared" si="991"/>
        <v>-611631042.82543743</v>
      </c>
      <c r="S592">
        <f t="shared" si="992"/>
        <v>-6116.3104282543745</v>
      </c>
      <c r="T592">
        <f t="shared" si="993"/>
        <v>-6.1163104282543745</v>
      </c>
    </row>
    <row r="593" spans="1:20" x14ac:dyDescent="0.25">
      <c r="A593" s="5">
        <v>44000</v>
      </c>
      <c r="B593">
        <v>2.3649999999999999E-3</v>
      </c>
      <c r="C593">
        <v>2.5200000000000001E-3</v>
      </c>
      <c r="D593">
        <v>2.2499999999999998E-3</v>
      </c>
      <c r="E593">
        <v>2.3830000000000001E-3</v>
      </c>
      <c r="F593">
        <v>443705665</v>
      </c>
      <c r="G593">
        <v>0</v>
      </c>
      <c r="L593" t="s">
        <v>7</v>
      </c>
      <c r="M593" t="s">
        <v>8</v>
      </c>
      <c r="N593" t="s">
        <v>7</v>
      </c>
      <c r="P593">
        <f t="shared" si="989"/>
        <v>-1.4814814814813554E-2</v>
      </c>
      <c r="Q593">
        <f t="shared" si="990"/>
        <v>-6573417.2592586996</v>
      </c>
      <c r="R593">
        <f t="shared" si="991"/>
        <v>-568238311.25609505</v>
      </c>
      <c r="S593">
        <f t="shared" si="992"/>
        <v>-5682.3831125609504</v>
      </c>
      <c r="T593">
        <f t="shared" si="993"/>
        <v>-5.6823831125609505</v>
      </c>
    </row>
    <row r="594" spans="1:20" x14ac:dyDescent="0.25">
      <c r="A594" s="5">
        <v>43999</v>
      </c>
      <c r="B594">
        <v>2.2420000000000001E-3</v>
      </c>
      <c r="C594">
        <v>2.48E-3</v>
      </c>
      <c r="D594">
        <v>2.1679999999999998E-3</v>
      </c>
      <c r="E594">
        <v>2.366E-3</v>
      </c>
      <c r="F594">
        <v>349293482</v>
      </c>
      <c r="G594">
        <v>0</v>
      </c>
      <c r="L594" t="s">
        <v>8</v>
      </c>
      <c r="M594" t="s">
        <v>8</v>
      </c>
      <c r="N594" t="s">
        <v>7</v>
      </c>
      <c r="P594">
        <f t="shared" si="989"/>
        <v>0.26923076923077005</v>
      </c>
      <c r="Q594">
        <f t="shared" si="990"/>
        <v>94040552.846154138</v>
      </c>
      <c r="R594">
        <f t="shared" si="991"/>
        <v>-561664893.9968363</v>
      </c>
      <c r="S594">
        <f t="shared" si="992"/>
        <v>-5616.6489399683633</v>
      </c>
      <c r="T594">
        <f t="shared" si="993"/>
        <v>-5.6166489399683632</v>
      </c>
    </row>
    <row r="595" spans="1:20" x14ac:dyDescent="0.25">
      <c r="A595" s="5">
        <v>43998</v>
      </c>
      <c r="B595">
        <v>2.2950000000000002E-3</v>
      </c>
      <c r="C595">
        <v>2.2959999999999999E-3</v>
      </c>
      <c r="D595">
        <v>2.1549999999999998E-3</v>
      </c>
      <c r="E595">
        <v>2.2420000000000001E-3</v>
      </c>
      <c r="F595">
        <v>122648930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0.23404255319149264</v>
      </c>
      <c r="Q595">
        <f t="shared" si="990"/>
        <v>28705068.723404657</v>
      </c>
      <c r="R595">
        <f t="shared" si="991"/>
        <v>-655705446.8429904</v>
      </c>
      <c r="S595">
        <f t="shared" si="992"/>
        <v>-6557.0544684299039</v>
      </c>
      <c r="T595">
        <f t="shared" si="993"/>
        <v>-6.5570544684299037</v>
      </c>
    </row>
    <row r="596" spans="1:20" x14ac:dyDescent="0.25">
      <c r="A596" s="5">
        <v>43997</v>
      </c>
      <c r="B596">
        <v>2.3089999999999999E-3</v>
      </c>
      <c r="C596">
        <v>2.3800000000000002E-3</v>
      </c>
      <c r="D596">
        <v>1.9610000000000001E-3</v>
      </c>
      <c r="E596">
        <v>2.2899999999999999E-3</v>
      </c>
      <c r="F596">
        <v>300743409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0.57040572792362665</v>
      </c>
      <c r="Q596">
        <f t="shared" si="990"/>
        <v>171545763.12887797</v>
      </c>
      <c r="R596">
        <f t="shared" si="991"/>
        <v>-684410515.56639504</v>
      </c>
      <c r="S596">
        <f t="shared" si="992"/>
        <v>-6844.1051556639504</v>
      </c>
      <c r="T596">
        <f t="shared" si="993"/>
        <v>-6.8441051556639501</v>
      </c>
    </row>
    <row r="597" spans="1:20" x14ac:dyDescent="0.25">
      <c r="A597" s="5">
        <v>43996</v>
      </c>
      <c r="B597">
        <v>2.5049999999999998E-3</v>
      </c>
      <c r="C597">
        <v>2.5170000000000001E-3</v>
      </c>
      <c r="D597">
        <v>2.2880000000000001E-3</v>
      </c>
      <c r="E597">
        <v>2.313E-3</v>
      </c>
      <c r="F597">
        <v>191190700</v>
      </c>
      <c r="G597">
        <v>0</v>
      </c>
      <c r="L597" t="s">
        <v>7</v>
      </c>
      <c r="M597" t="s">
        <v>7</v>
      </c>
      <c r="N597" t="s">
        <v>7</v>
      </c>
      <c r="P597">
        <f t="shared" si="989"/>
        <v>-0.78165938864628959</v>
      </c>
      <c r="Q597">
        <f t="shared" si="990"/>
        <v>-149446005.67685616</v>
      </c>
      <c r="R597">
        <f t="shared" si="991"/>
        <v>-855956278.69527304</v>
      </c>
      <c r="S597">
        <f t="shared" si="992"/>
        <v>-8559.5627869527307</v>
      </c>
      <c r="T597">
        <f t="shared" si="993"/>
        <v>-8.5595627869527302</v>
      </c>
    </row>
    <row r="598" spans="1:20" x14ac:dyDescent="0.25">
      <c r="A598" s="5">
        <v>43995</v>
      </c>
      <c r="B598">
        <v>2.4789999999999999E-3</v>
      </c>
      <c r="C598">
        <v>2.6689999999999999E-3</v>
      </c>
      <c r="D598">
        <v>2.4099999999999998E-3</v>
      </c>
      <c r="E598">
        <v>2.5049999999999998E-3</v>
      </c>
      <c r="F598">
        <v>269305688</v>
      </c>
      <c r="G598">
        <v>0</v>
      </c>
      <c r="L598" t="s">
        <v>8</v>
      </c>
      <c r="M598" t="s">
        <v>7</v>
      </c>
      <c r="N598" t="s">
        <v>7</v>
      </c>
      <c r="P598">
        <f t="shared" si="989"/>
        <v>-0.26640926640926649</v>
      </c>
      <c r="Q598">
        <f t="shared" si="990"/>
        <v>-71745530.779922798</v>
      </c>
      <c r="R598">
        <f t="shared" si="991"/>
        <v>-706510273.01841688</v>
      </c>
      <c r="S598">
        <f t="shared" si="992"/>
        <v>-7065.1027301841686</v>
      </c>
      <c r="T598">
        <f t="shared" si="993"/>
        <v>-7.0651027301841687</v>
      </c>
    </row>
    <row r="599" spans="1:20" x14ac:dyDescent="0.25">
      <c r="A599" s="5">
        <v>43994</v>
      </c>
      <c r="B599">
        <v>2.3509999999999998E-3</v>
      </c>
      <c r="C599">
        <v>2.5799999999999998E-3</v>
      </c>
      <c r="D599">
        <v>2.3410000000000002E-3</v>
      </c>
      <c r="E599">
        <v>2.4789999999999999E-3</v>
      </c>
      <c r="F599">
        <v>318193837</v>
      </c>
      <c r="G599">
        <v>0</v>
      </c>
      <c r="L599" t="s">
        <v>7</v>
      </c>
      <c r="M599" t="s">
        <v>7</v>
      </c>
      <c r="N599" t="s">
        <v>7</v>
      </c>
      <c r="P599">
        <f t="shared" si="989"/>
        <v>0.15481171548117056</v>
      </c>
      <c r="Q599">
        <f t="shared" si="990"/>
        <v>49260133.761505961</v>
      </c>
      <c r="R599">
        <f t="shared" si="991"/>
        <v>-634764742.23849404</v>
      </c>
      <c r="S599">
        <f t="shared" si="992"/>
        <v>-6347.64742238494</v>
      </c>
      <c r="T599">
        <f t="shared" si="993"/>
        <v>-6.3476474223849397</v>
      </c>
    </row>
    <row r="600" spans="1:20" x14ac:dyDescent="0.25">
      <c r="A600" s="5">
        <v>43993</v>
      </c>
      <c r="B600">
        <v>3.3319999999999999E-3</v>
      </c>
      <c r="C600">
        <v>3.3999999999999998E-3</v>
      </c>
      <c r="D600">
        <v>2.3400000000000001E-3</v>
      </c>
      <c r="E600">
        <v>2.3400000000000001E-3</v>
      </c>
      <c r="F600">
        <v>684024876</v>
      </c>
      <c r="G600">
        <v>0</v>
      </c>
      <c r="P600">
        <f t="shared" si="989"/>
        <v>-1</v>
      </c>
      <c r="Q600">
        <f t="shared" si="990"/>
        <v>-684024876</v>
      </c>
      <c r="R600">
        <f t="shared" si="991"/>
        <v>-684024876</v>
      </c>
      <c r="S600">
        <f t="shared" si="992"/>
        <v>-6840.2487600000004</v>
      </c>
      <c r="T600">
        <f t="shared" si="993"/>
        <v>-6.8402487600000006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N805" sqref="KN80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$A$804</v>
      </c>
      <c r="D111" s="1" t="str">
        <f>ADDRESS(C121-1,D121,1,1)</f>
        <v>$KN$804</v>
      </c>
      <c r="E111"/>
    </row>
    <row r="112" spans="1:5" x14ac:dyDescent="0.25">
      <c r="A112" s="7">
        <v>12164.144957890772</v>
      </c>
      <c r="C112" s="1" t="str">
        <f>ADDRESS(C121,1,1,1)</f>
        <v>$A$805</v>
      </c>
      <c r="D112" s="1" t="str">
        <f>ADDRESS(C121,D121-1,1,1)</f>
        <v>$KM$805</v>
      </c>
      <c r="E112"/>
    </row>
    <row r="113" spans="1:5" x14ac:dyDescent="0.25">
      <c r="A113" s="7">
        <v>11925.63231165762</v>
      </c>
      <c r="C113" s="1" t="str">
        <f>ADDRESS(C121+1,1,1,1)</f>
        <v>$A$806</v>
      </c>
      <c r="D113" s="1" t="str">
        <f>ADDRESS(C121-1,D121+1,1,1)</f>
        <v>$KO$804</v>
      </c>
    </row>
    <row r="114" spans="1:5" x14ac:dyDescent="0.25">
      <c r="A114" s="7">
        <v>11691.796383978059</v>
      </c>
      <c r="C114" s="1" t="str">
        <f>ADDRESS(C121,D121,1,1)</f>
        <v>$KN$805</v>
      </c>
      <c r="D114" s="1" t="str">
        <f>ADDRESS(C121+1,D121+1,1,1)</f>
        <v>$KO$806</v>
      </c>
    </row>
    <row r="115" spans="1:5" x14ac:dyDescent="0.25">
      <c r="A115" s="7">
        <v>11462.545474488292</v>
      </c>
      <c r="C115" s="1" t="str">
        <f>ADDRESS(C121+1,D121,1,1)</f>
        <v>$KN$806</v>
      </c>
    </row>
    <row r="116" spans="1:5" x14ac:dyDescent="0.25">
      <c r="A116" s="7">
        <v>11237.789680870874</v>
      </c>
      <c r="C116" s="1">
        <f>C117-1</f>
        <v>804</v>
      </c>
    </row>
    <row r="117" spans="1:5" x14ac:dyDescent="0.25">
      <c r="A117" s="7">
        <v>11017.440863598895</v>
      </c>
      <c r="C117" s="1">
        <f>C121</f>
        <v>805</v>
      </c>
      <c r="D117" s="1">
        <f>D121</f>
        <v>300</v>
      </c>
    </row>
    <row r="118" spans="1:5" x14ac:dyDescent="0.25">
      <c r="A118" s="7">
        <v>10801.412611371465</v>
      </c>
      <c r="C118" s="1">
        <f>C117+1</f>
        <v>806</v>
      </c>
      <c r="D118" s="1">
        <f>D117+1</f>
        <v>301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805</v>
      </c>
      <c r="D121" s="19">
        <v>300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R805</v>
      </c>
      <c r="D123" s="1" t="str">
        <f>"C"&amp;D121</f>
        <v>C300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1.3340206610552614E-2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153" x14ac:dyDescent="0.25">
      <c r="A689" s="7">
        <v>0.13267297885212009</v>
      </c>
      <c r="B689"/>
      <c r="C689"/>
      <c r="D689"/>
      <c r="E689"/>
      <c r="F689" s="27" t="s">
        <v>7</v>
      </c>
    </row>
    <row r="690" spans="1:153" x14ac:dyDescent="0.25">
      <c r="A690" s="7">
        <v>0.13007154789423539</v>
      </c>
      <c r="B690"/>
      <c r="C690"/>
      <c r="D690"/>
      <c r="E690"/>
      <c r="F690" s="27" t="s">
        <v>7</v>
      </c>
    </row>
    <row r="691" spans="1:153" x14ac:dyDescent="0.25">
      <c r="A691" s="7">
        <v>0.12752112538650529</v>
      </c>
      <c r="B691"/>
      <c r="C691"/>
      <c r="D691"/>
      <c r="E691"/>
      <c r="F691" s="27" t="s">
        <v>7</v>
      </c>
    </row>
    <row r="692" spans="1:153" x14ac:dyDescent="0.25">
      <c r="A692" s="7">
        <v>0.12502071116324048</v>
      </c>
      <c r="B692"/>
      <c r="C692"/>
      <c r="D692"/>
      <c r="E692"/>
      <c r="F692" s="27" t="s">
        <v>7</v>
      </c>
    </row>
    <row r="693" spans="1:153" x14ac:dyDescent="0.25">
      <c r="A693" s="7">
        <v>0.1225693246698436</v>
      </c>
      <c r="B693"/>
      <c r="C693"/>
      <c r="D693"/>
      <c r="E693"/>
      <c r="F693" s="27" t="s">
        <v>7</v>
      </c>
    </row>
    <row r="694" spans="1:153" x14ac:dyDescent="0.25">
      <c r="A694" s="7">
        <v>0.12016600457827803</v>
      </c>
      <c r="B694"/>
      <c r="C694"/>
      <c r="D694"/>
      <c r="E694"/>
      <c r="F694" s="27" t="s">
        <v>7</v>
      </c>
    </row>
    <row r="695" spans="1:153" x14ac:dyDescent="0.25">
      <c r="A695" s="7">
        <v>0.1178098084100765</v>
      </c>
      <c r="B695"/>
      <c r="C695"/>
      <c r="D695"/>
      <c r="E695"/>
      <c r="F695" s="27" t="s">
        <v>7</v>
      </c>
    </row>
    <row r="696" spans="1:153" x14ac:dyDescent="0.25">
      <c r="A696" s="7">
        <v>0.11549981216674166</v>
      </c>
      <c r="B696"/>
      <c r="C696"/>
      <c r="D696"/>
      <c r="E696"/>
      <c r="F696" s="27" t="s">
        <v>7</v>
      </c>
    </row>
    <row r="697" spans="1:153" x14ac:dyDescent="0.25">
      <c r="A697" s="7">
        <v>0.11323510996739378</v>
      </c>
      <c r="B697"/>
      <c r="C697"/>
      <c r="D697"/>
      <c r="E697"/>
      <c r="F697" s="27" t="s">
        <v>7</v>
      </c>
    </row>
    <row r="698" spans="1:153" x14ac:dyDescent="0.25">
      <c r="A698" s="7">
        <v>0.11101481369352331</v>
      </c>
      <c r="B698"/>
      <c r="C698"/>
      <c r="D698"/>
      <c r="E698"/>
      <c r="F698" s="27" t="s">
        <v>7</v>
      </c>
    </row>
    <row r="699" spans="1:153" x14ac:dyDescent="0.25">
      <c r="A699" s="7">
        <v>0.10883805264070913</v>
      </c>
      <c r="B699"/>
      <c r="C699"/>
      <c r="D699"/>
      <c r="E699"/>
      <c r="F699" s="27" t="s">
        <v>7</v>
      </c>
    </row>
    <row r="700" spans="1:153" x14ac:dyDescent="0.25">
      <c r="A700" s="7">
        <v>0.10670397317716582</v>
      </c>
      <c r="B700"/>
      <c r="C700"/>
      <c r="D700"/>
      <c r="E700"/>
      <c r="F700" s="27" t="s">
        <v>7</v>
      </c>
    </row>
    <row r="701" spans="1:153" x14ac:dyDescent="0.25">
      <c r="A701" s="7">
        <v>0.1046117384089861</v>
      </c>
      <c r="B701"/>
      <c r="C701"/>
      <c r="D701"/>
      <c r="E701"/>
      <c r="F701" s="27" t="s">
        <v>7</v>
      </c>
    </row>
    <row r="702" spans="1:153" x14ac:dyDescent="0.25">
      <c r="A702" s="7">
        <v>0.10256052785194716</v>
      </c>
      <c r="B702"/>
      <c r="C702"/>
      <c r="D702"/>
      <c r="E702"/>
      <c r="F702" s="27" t="s">
        <v>7</v>
      </c>
    </row>
    <row r="703" spans="1:153" x14ac:dyDescent="0.25">
      <c r="A703" s="7">
        <v>0.10054953710975212</v>
      </c>
      <c r="B703"/>
      <c r="C703"/>
      <c r="D703"/>
      <c r="E703"/>
      <c r="F703" s="27" t="s">
        <v>7</v>
      </c>
    </row>
    <row r="704" spans="1:153" x14ac:dyDescent="0.25">
      <c r="A704" s="7">
        <v>9.8577977558580512E-2</v>
      </c>
      <c r="B704"/>
      <c r="C704"/>
      <c r="D704"/>
      <c r="E704"/>
      <c r="F704" s="27" t="s">
        <v>7</v>
      </c>
      <c r="EW704" s="27" t="s">
        <v>8</v>
      </c>
    </row>
    <row r="705" spans="1:162" x14ac:dyDescent="0.25">
      <c r="A705" s="7">
        <v>9.6645076037824032E-2</v>
      </c>
      <c r="B705"/>
      <c r="C705"/>
      <c r="D705"/>
      <c r="E705"/>
      <c r="F705" s="27" t="s">
        <v>7</v>
      </c>
      <c r="EW705" s="27" t="s">
        <v>8</v>
      </c>
      <c r="EX705" s="27" t="s">
        <v>7</v>
      </c>
    </row>
    <row r="706" spans="1:162" x14ac:dyDescent="0.25">
      <c r="A706" s="7">
        <v>9.4750074546886304E-2</v>
      </c>
      <c r="B706"/>
      <c r="C706"/>
      <c r="D706"/>
      <c r="E706"/>
      <c r="F706" s="27" t="s">
        <v>7</v>
      </c>
      <c r="EW706" s="27" t="s">
        <v>8</v>
      </c>
      <c r="EX706" s="27" t="s">
        <v>7</v>
      </c>
    </row>
    <row r="707" spans="1:162" x14ac:dyDescent="0.25">
      <c r="A707" s="7">
        <v>9.2892229947927743E-2</v>
      </c>
      <c r="B707"/>
      <c r="C707"/>
      <c r="D707"/>
      <c r="E707"/>
      <c r="F707" s="27" t="s">
        <v>7</v>
      </c>
      <c r="EW707" s="27" t="s">
        <v>8</v>
      </c>
      <c r="EX707" s="27" t="s">
        <v>7</v>
      </c>
    </row>
    <row r="708" spans="1:162" x14ac:dyDescent="0.25">
      <c r="A708" s="7">
        <v>9.1070813674438963E-2</v>
      </c>
      <c r="B708"/>
      <c r="C708"/>
      <c r="D708"/>
      <c r="E708"/>
      <c r="F708" s="27" t="s">
        <v>7</v>
      </c>
      <c r="EW708" s="27" t="s">
        <v>8</v>
      </c>
      <c r="EX708" s="27" t="s">
        <v>7</v>
      </c>
    </row>
    <row r="709" spans="1:162" x14ac:dyDescent="0.25">
      <c r="A709" s="7">
        <v>8.9285111445528392E-2</v>
      </c>
      <c r="B709"/>
      <c r="C709"/>
      <c r="D709"/>
      <c r="E709"/>
      <c r="F709" s="27" t="s">
        <v>7</v>
      </c>
      <c r="EW709" s="27" t="s">
        <v>8</v>
      </c>
      <c r="EX709" s="27" t="s">
        <v>7</v>
      </c>
    </row>
    <row r="710" spans="1:162" x14ac:dyDescent="0.25">
      <c r="A710" s="7">
        <v>8.7534422985812155E-2</v>
      </c>
      <c r="B710"/>
      <c r="C710"/>
      <c r="D710"/>
      <c r="E710"/>
      <c r="F710" s="27" t="s">
        <v>7</v>
      </c>
      <c r="EU710" s="27" t="s">
        <v>8</v>
      </c>
      <c r="EW710" s="27" t="s">
        <v>8</v>
      </c>
      <c r="EX710" s="27" t="s">
        <v>7</v>
      </c>
    </row>
    <row r="711" spans="1:162" x14ac:dyDescent="0.25">
      <c r="A711" s="7">
        <v>8.5818061750796232E-2</v>
      </c>
      <c r="B711"/>
      <c r="C711"/>
      <c r="D711"/>
      <c r="E711"/>
      <c r="F711" s="27" t="s">
        <v>7</v>
      </c>
      <c r="EU711" s="27" t="s">
        <v>8</v>
      </c>
      <c r="EV711" s="27" t="s">
        <v>7</v>
      </c>
      <c r="EW711" s="27" t="s">
        <v>8</v>
      </c>
      <c r="EX711" s="27" t="s">
        <v>7</v>
      </c>
    </row>
    <row r="712" spans="1:162" x14ac:dyDescent="0.25">
      <c r="A712" s="7">
        <v>8.4135354657643366E-2</v>
      </c>
      <c r="B712"/>
      <c r="C712"/>
      <c r="D712"/>
      <c r="E712"/>
      <c r="F712" s="27" t="s">
        <v>7</v>
      </c>
      <c r="EU712" s="27" t="s">
        <v>8</v>
      </c>
      <c r="EV712" s="27" t="s">
        <v>7</v>
      </c>
      <c r="EW712" s="27" t="s">
        <v>8</v>
      </c>
      <c r="EX712" s="27" t="s">
        <v>7</v>
      </c>
    </row>
    <row r="713" spans="1:162" x14ac:dyDescent="0.25">
      <c r="A713" s="7">
        <v>8.248564182121898E-2</v>
      </c>
      <c r="B713"/>
      <c r="C713"/>
      <c r="D713"/>
      <c r="E713"/>
      <c r="F713" s="27" t="s">
        <v>7</v>
      </c>
      <c r="EM713" s="27" t="s">
        <v>8</v>
      </c>
      <c r="EU713" s="27" t="s">
        <v>8</v>
      </c>
      <c r="EV713" s="27" t="s">
        <v>7</v>
      </c>
      <c r="EW713" s="27" t="s">
        <v>8</v>
      </c>
      <c r="EX713" s="27" t="s">
        <v>7</v>
      </c>
    </row>
    <row r="714" spans="1:162" x14ac:dyDescent="0.25">
      <c r="A714" s="7">
        <v>8.0868276295312735E-2</v>
      </c>
      <c r="B714"/>
      <c r="C714"/>
      <c r="D714"/>
      <c r="E714"/>
      <c r="F714" s="27" t="s">
        <v>7</v>
      </c>
      <c r="EM714" s="27" t="s">
        <v>8</v>
      </c>
      <c r="EN714" s="27" t="s">
        <v>7</v>
      </c>
      <c r="EU714" s="27" t="s">
        <v>8</v>
      </c>
      <c r="EV714" s="27" t="s">
        <v>7</v>
      </c>
      <c r="EW714" s="27" t="s">
        <v>8</v>
      </c>
      <c r="EX714" s="27" t="s">
        <v>7</v>
      </c>
    </row>
    <row r="715" spans="1:162" x14ac:dyDescent="0.25">
      <c r="A715" s="7">
        <v>7.9282623818934056E-2</v>
      </c>
      <c r="B715"/>
      <c r="C715"/>
      <c r="D715"/>
      <c r="E715"/>
      <c r="F715" s="27" t="s">
        <v>7</v>
      </c>
      <c r="EM715" s="27" t="s">
        <v>8</v>
      </c>
      <c r="EN715" s="27" t="s">
        <v>7</v>
      </c>
      <c r="EU715" s="27" t="s">
        <v>8</v>
      </c>
      <c r="EV715" s="27" t="s">
        <v>7</v>
      </c>
      <c r="EW715" s="27" t="s">
        <v>8</v>
      </c>
      <c r="EX715" s="27" t="s">
        <v>7</v>
      </c>
      <c r="EY715" s="27" t="s">
        <v>8</v>
      </c>
    </row>
    <row r="716" spans="1:162" x14ac:dyDescent="0.25">
      <c r="A716" s="7">
        <v>7.7728062567582412E-2</v>
      </c>
      <c r="B716"/>
      <c r="C716"/>
      <c r="D716"/>
      <c r="E716"/>
      <c r="F716" s="27" t="s">
        <v>7</v>
      </c>
      <c r="EM716" s="27" t="s">
        <v>8</v>
      </c>
      <c r="EN716" s="27" t="s">
        <v>7</v>
      </c>
      <c r="EU716" s="27" t="s">
        <v>8</v>
      </c>
      <c r="EV716" s="27" t="s">
        <v>7</v>
      </c>
      <c r="EW716" s="27" t="s">
        <v>8</v>
      </c>
      <c r="EX716" s="27" t="s">
        <v>7</v>
      </c>
      <c r="EY716" s="27" t="s">
        <v>8</v>
      </c>
      <c r="EZ716" s="27" t="s">
        <v>7</v>
      </c>
    </row>
    <row r="717" spans="1:162" x14ac:dyDescent="0.25">
      <c r="A717" s="7">
        <v>7.6203982909394521E-2</v>
      </c>
      <c r="B717"/>
      <c r="C717"/>
      <c r="D717"/>
      <c r="E717"/>
      <c r="F717" s="27" t="s">
        <v>7</v>
      </c>
      <c r="EM717" s="27" t="s">
        <v>8</v>
      </c>
      <c r="EN717" s="27" t="s">
        <v>7</v>
      </c>
      <c r="EU717" s="27" t="s">
        <v>8</v>
      </c>
      <c r="EV717" s="27" t="s">
        <v>7</v>
      </c>
      <c r="EW717" s="27" t="s">
        <v>8</v>
      </c>
      <c r="EX717" s="27" t="s">
        <v>7</v>
      </c>
      <c r="EY717" s="27" t="s">
        <v>8</v>
      </c>
      <c r="EZ717" s="27" t="s">
        <v>7</v>
      </c>
    </row>
    <row r="718" spans="1:162" x14ac:dyDescent="0.25">
      <c r="A718" s="7">
        <v>7.4709787166073058E-2</v>
      </c>
      <c r="B718"/>
      <c r="C718"/>
      <c r="D718"/>
      <c r="E718"/>
      <c r="F718" s="27" t="s">
        <v>7</v>
      </c>
      <c r="EM718" s="27" t="s">
        <v>8</v>
      </c>
      <c r="EN718" s="27" t="s">
        <v>7</v>
      </c>
      <c r="EU718" s="27" t="s">
        <v>8</v>
      </c>
      <c r="EV718" s="27" t="s">
        <v>7</v>
      </c>
      <c r="EW718" s="27" t="s">
        <v>8</v>
      </c>
      <c r="EX718" s="27" t="s">
        <v>7</v>
      </c>
      <c r="EY718" s="27" t="s">
        <v>8</v>
      </c>
      <c r="EZ718" s="27" t="s">
        <v>7</v>
      </c>
    </row>
    <row r="719" spans="1:162" x14ac:dyDescent="0.25">
      <c r="A719" s="7">
        <v>7.3244889378503E-2</v>
      </c>
      <c r="B719"/>
      <c r="C719"/>
      <c r="D719"/>
      <c r="E719"/>
      <c r="F719" s="27" t="s">
        <v>7</v>
      </c>
      <c r="EM719" s="27" t="s">
        <v>8</v>
      </c>
      <c r="EN719" s="27" t="s">
        <v>7</v>
      </c>
      <c r="EU719" s="27" t="s">
        <v>8</v>
      </c>
      <c r="EV719" s="27" t="s">
        <v>7</v>
      </c>
      <c r="EW719" s="27" t="s">
        <v>8</v>
      </c>
      <c r="EX719" s="27" t="s">
        <v>7</v>
      </c>
      <c r="EY719" s="27" t="s">
        <v>8</v>
      </c>
      <c r="EZ719" s="27" t="s">
        <v>7</v>
      </c>
      <c r="FE719" s="27" t="s">
        <v>8</v>
      </c>
    </row>
    <row r="720" spans="1:162" x14ac:dyDescent="0.25">
      <c r="A720" s="7">
        <v>7.1808715076963722E-2</v>
      </c>
      <c r="B720"/>
      <c r="C720"/>
      <c r="D720"/>
      <c r="E720"/>
      <c r="F720" s="27" t="s">
        <v>7</v>
      </c>
      <c r="EM720" s="27" t="s">
        <v>8</v>
      </c>
      <c r="EN720" s="27" t="s">
        <v>7</v>
      </c>
      <c r="EU720" s="27" t="s">
        <v>8</v>
      </c>
      <c r="EV720" s="27" t="s">
        <v>7</v>
      </c>
      <c r="EW720" s="27" t="s">
        <v>8</v>
      </c>
      <c r="EX720" s="27" t="s">
        <v>7</v>
      </c>
      <c r="EY720" s="27" t="s">
        <v>8</v>
      </c>
      <c r="EZ720" s="27" t="s">
        <v>7</v>
      </c>
      <c r="FA720" s="27" t="s">
        <v>8</v>
      </c>
      <c r="FE720" s="27" t="s">
        <v>8</v>
      </c>
      <c r="FF720" s="27" t="s">
        <v>7</v>
      </c>
    </row>
    <row r="721" spans="1:234" x14ac:dyDescent="0.25">
      <c r="A721" s="7">
        <v>7.0400701055846782E-2</v>
      </c>
      <c r="B721"/>
      <c r="C721"/>
      <c r="D721"/>
      <c r="E721"/>
      <c r="F721" s="27" t="s">
        <v>7</v>
      </c>
      <c r="EM721" s="27" t="s">
        <v>8</v>
      </c>
      <c r="EN721" s="27" t="s">
        <v>7</v>
      </c>
      <c r="ES721" s="27" t="s">
        <v>8</v>
      </c>
      <c r="EU721" s="27" t="s">
        <v>8</v>
      </c>
      <c r="EV721" s="27" t="s">
        <v>7</v>
      </c>
      <c r="EX721" s="27" t="s">
        <v>7</v>
      </c>
      <c r="EY721" s="27" t="s">
        <v>8</v>
      </c>
      <c r="EZ721" s="27" t="s">
        <v>7</v>
      </c>
      <c r="FA721" s="27" t="s">
        <v>8</v>
      </c>
      <c r="FB721" s="27" t="s">
        <v>7</v>
      </c>
      <c r="FE721" s="27" t="s">
        <v>8</v>
      </c>
      <c r="FF721" s="27" t="s">
        <v>7</v>
      </c>
    </row>
    <row r="722" spans="1:234" x14ac:dyDescent="0.25">
      <c r="A722" s="7">
        <v>6.9020295152790956E-2</v>
      </c>
      <c r="B722"/>
      <c r="C722"/>
      <c r="D722"/>
      <c r="E722"/>
      <c r="F722" s="27" t="s">
        <v>7</v>
      </c>
      <c r="EM722" s="27" t="s">
        <v>8</v>
      </c>
      <c r="EN722" s="27" t="s">
        <v>7</v>
      </c>
      <c r="ES722" s="27" t="s">
        <v>8</v>
      </c>
      <c r="ET722" s="27" t="s">
        <v>7</v>
      </c>
      <c r="EU722" s="27" t="s">
        <v>8</v>
      </c>
      <c r="EX722" s="27" t="s">
        <v>7</v>
      </c>
      <c r="EY722" s="27" t="s">
        <v>8</v>
      </c>
      <c r="EZ722" s="27" t="s">
        <v>7</v>
      </c>
      <c r="FA722" s="27" t="s">
        <v>8</v>
      </c>
      <c r="FB722" s="27" t="s">
        <v>7</v>
      </c>
      <c r="FE722" s="27" t="s">
        <v>8</v>
      </c>
      <c r="FF722" s="27" t="s">
        <v>7</v>
      </c>
    </row>
    <row r="723" spans="1:234" x14ac:dyDescent="0.25">
      <c r="A723" s="7">
        <v>6.7666956032147993E-2</v>
      </c>
      <c r="B723"/>
      <c r="C723"/>
      <c r="D723"/>
      <c r="E723"/>
      <c r="F723" s="27" t="s">
        <v>7</v>
      </c>
      <c r="EM723" s="27" t="s">
        <v>8</v>
      </c>
      <c r="EN723" s="27" t="s">
        <v>7</v>
      </c>
      <c r="ES723" s="27" t="s">
        <v>8</v>
      </c>
      <c r="ET723" s="27" t="s">
        <v>7</v>
      </c>
      <c r="EU723" s="27" t="s">
        <v>8</v>
      </c>
      <c r="EX723" s="27" t="s">
        <v>7</v>
      </c>
      <c r="EY723" s="27" t="s">
        <v>8</v>
      </c>
      <c r="EZ723" s="27" t="s">
        <v>7</v>
      </c>
      <c r="FA723" s="27" t="s">
        <v>8</v>
      </c>
      <c r="FB723" s="27" t="s">
        <v>7</v>
      </c>
      <c r="FE723" s="27" t="s">
        <v>8</v>
      </c>
      <c r="FF723" s="27" t="s">
        <v>7</v>
      </c>
    </row>
    <row r="724" spans="1:234" x14ac:dyDescent="0.25">
      <c r="A724" s="7">
        <v>6.6340152972694105E-2</v>
      </c>
      <c r="B724"/>
      <c r="C724"/>
      <c r="D724"/>
      <c r="E724"/>
      <c r="F724" s="27" t="s">
        <v>7</v>
      </c>
      <c r="EM724" s="27" t="s">
        <v>8</v>
      </c>
      <c r="EN724" s="27" t="s">
        <v>7</v>
      </c>
      <c r="ES724" s="27" t="s">
        <v>8</v>
      </c>
      <c r="ET724" s="27" t="s">
        <v>7</v>
      </c>
      <c r="EU724" s="27" t="s">
        <v>8</v>
      </c>
      <c r="EX724" s="27" t="s">
        <v>7</v>
      </c>
      <c r="EY724" s="27" t="s">
        <v>8</v>
      </c>
      <c r="EZ724" s="27" t="s">
        <v>7</v>
      </c>
      <c r="FA724" s="27" t="s">
        <v>8</v>
      </c>
      <c r="FB724" s="27" t="s">
        <v>7</v>
      </c>
      <c r="FC724" s="27" t="s">
        <v>8</v>
      </c>
      <c r="FE724" s="27" t="s">
        <v>8</v>
      </c>
      <c r="FF724" s="27" t="s">
        <v>7</v>
      </c>
    </row>
    <row r="725" spans="1:234" x14ac:dyDescent="0.25">
      <c r="A725" s="7">
        <v>6.5039365659504023E-2</v>
      </c>
      <c r="B725"/>
      <c r="C725"/>
      <c r="D725"/>
      <c r="E725"/>
      <c r="F725" s="27" t="s">
        <v>7</v>
      </c>
      <c r="EM725" s="27" t="s">
        <v>8</v>
      </c>
      <c r="EN725" s="27" t="s">
        <v>7</v>
      </c>
      <c r="EO725" s="27" t="s">
        <v>8</v>
      </c>
      <c r="ES725" s="27" t="s">
        <v>8</v>
      </c>
      <c r="ET725" s="27" t="s">
        <v>7</v>
      </c>
      <c r="EU725" s="27" t="s">
        <v>8</v>
      </c>
      <c r="EX725" s="27" t="s">
        <v>7</v>
      </c>
      <c r="EY725" s="27" t="s">
        <v>8</v>
      </c>
      <c r="EZ725" s="27" t="s">
        <v>7</v>
      </c>
      <c r="FA725" s="27" t="s">
        <v>8</v>
      </c>
      <c r="FB725" s="27" t="s">
        <v>7</v>
      </c>
      <c r="FC725" s="27" t="s">
        <v>8</v>
      </c>
      <c r="FD725" s="27" t="s">
        <v>7</v>
      </c>
      <c r="FE725" s="27" t="s">
        <v>8</v>
      </c>
      <c r="FF725" s="27" t="s">
        <v>7</v>
      </c>
    </row>
    <row r="726" spans="1:234" x14ac:dyDescent="0.25">
      <c r="A726" s="7">
        <v>6.3764083979905906E-2</v>
      </c>
      <c r="B726"/>
      <c r="C726"/>
      <c r="D726"/>
      <c r="E726"/>
      <c r="F726" s="27" t="s">
        <v>7</v>
      </c>
      <c r="EM726" s="27" t="s">
        <v>8</v>
      </c>
      <c r="EN726" s="27" t="s">
        <v>7</v>
      </c>
      <c r="EO726" s="27" t="s">
        <v>8</v>
      </c>
      <c r="EP726" s="27" t="s">
        <v>7</v>
      </c>
      <c r="ES726" s="27" t="s">
        <v>8</v>
      </c>
      <c r="ET726" s="27" t="s">
        <v>7</v>
      </c>
      <c r="EU726" s="27" t="s">
        <v>8</v>
      </c>
      <c r="EX726" s="27" t="s">
        <v>7</v>
      </c>
      <c r="EY726" s="27" t="s">
        <v>8</v>
      </c>
      <c r="EZ726" s="27" t="s">
        <v>7</v>
      </c>
      <c r="FB726" s="27" t="s">
        <v>7</v>
      </c>
      <c r="FC726" s="27" t="s">
        <v>8</v>
      </c>
      <c r="FD726" s="27" t="s">
        <v>7</v>
      </c>
      <c r="FE726" s="27" t="s">
        <v>8</v>
      </c>
      <c r="FF726" s="27" t="s">
        <v>7</v>
      </c>
    </row>
    <row r="727" spans="1:234" x14ac:dyDescent="0.25">
      <c r="A727" s="7">
        <v>6.251380782343717E-2</v>
      </c>
      <c r="B727"/>
      <c r="C727"/>
      <c r="D727"/>
      <c r="E727"/>
      <c r="F727" s="27" t="s">
        <v>7</v>
      </c>
      <c r="EM727" s="27" t="s">
        <v>8</v>
      </c>
      <c r="EN727" s="27" t="s">
        <v>7</v>
      </c>
      <c r="EO727" s="27" t="s">
        <v>8</v>
      </c>
      <c r="EP727" s="27" t="s">
        <v>7</v>
      </c>
      <c r="ES727" s="27" t="s">
        <v>8</v>
      </c>
      <c r="ET727" s="27" t="s">
        <v>7</v>
      </c>
      <c r="EU727" s="27" t="s">
        <v>8</v>
      </c>
      <c r="EX727" s="27" t="s">
        <v>7</v>
      </c>
      <c r="EY727" s="27" t="s">
        <v>8</v>
      </c>
      <c r="FB727" s="27" t="s">
        <v>7</v>
      </c>
      <c r="FC727" s="27" t="s">
        <v>8</v>
      </c>
      <c r="FD727" s="27" t="s">
        <v>7</v>
      </c>
      <c r="FE727" s="27" t="s">
        <v>8</v>
      </c>
      <c r="FF727" s="27" t="s">
        <v>7</v>
      </c>
      <c r="FO727" s="27" t="s">
        <v>8</v>
      </c>
    </row>
    <row r="728" spans="1:234" x14ac:dyDescent="0.25">
      <c r="A728" s="7">
        <v>6.1288046885722716E-2</v>
      </c>
      <c r="B728"/>
      <c r="C728"/>
      <c r="D728"/>
      <c r="E728"/>
      <c r="F728" s="27" t="s">
        <v>7</v>
      </c>
      <c r="EM728" s="27" t="s">
        <v>8</v>
      </c>
      <c r="EN728" s="27" t="s">
        <v>7</v>
      </c>
      <c r="EO728" s="27" t="s">
        <v>8</v>
      </c>
      <c r="EP728" s="27" t="s">
        <v>7</v>
      </c>
      <c r="ES728" s="27" t="s">
        <v>8</v>
      </c>
      <c r="ET728" s="27" t="s">
        <v>7</v>
      </c>
      <c r="EX728" s="27" t="s">
        <v>7</v>
      </c>
      <c r="EY728" s="27" t="s">
        <v>8</v>
      </c>
      <c r="FB728" s="27" t="s">
        <v>7</v>
      </c>
      <c r="FC728" s="27" t="s">
        <v>8</v>
      </c>
      <c r="FD728" s="27" t="s">
        <v>7</v>
      </c>
      <c r="FE728" s="27" t="s">
        <v>8</v>
      </c>
      <c r="FF728" s="27" t="s">
        <v>7</v>
      </c>
      <c r="FO728" s="27" t="s">
        <v>8</v>
      </c>
      <c r="FP728" s="27" t="s">
        <v>7</v>
      </c>
    </row>
    <row r="729" spans="1:234" x14ac:dyDescent="0.25">
      <c r="A729" s="7">
        <v>6.0086320476198739E-2</v>
      </c>
      <c r="B729"/>
      <c r="C729"/>
      <c r="D729"/>
      <c r="E729"/>
      <c r="F729" s="27" t="s">
        <v>7</v>
      </c>
      <c r="EM729" s="27" t="s">
        <v>8</v>
      </c>
      <c r="EN729" s="27" t="s">
        <v>7</v>
      </c>
      <c r="EO729" s="27" t="s">
        <v>8</v>
      </c>
      <c r="EP729" s="27" t="s">
        <v>7</v>
      </c>
      <c r="EQ729" s="27" t="s">
        <v>8</v>
      </c>
      <c r="ES729" s="27" t="s">
        <v>8</v>
      </c>
      <c r="EX729" s="27" t="s">
        <v>7</v>
      </c>
      <c r="EY729" s="27" t="s">
        <v>8</v>
      </c>
      <c r="FB729" s="27" t="s">
        <v>7</v>
      </c>
      <c r="FD729" s="27" t="s">
        <v>7</v>
      </c>
      <c r="FE729" s="27" t="s">
        <v>8</v>
      </c>
      <c r="FF729" s="27" t="s">
        <v>7</v>
      </c>
      <c r="FO729" s="27" t="s">
        <v>8</v>
      </c>
      <c r="FP729" s="27" t="s">
        <v>7</v>
      </c>
    </row>
    <row r="730" spans="1:234" x14ac:dyDescent="0.25">
      <c r="A730" s="7">
        <v>5.8908157329606609E-2</v>
      </c>
      <c r="B730"/>
      <c r="C730"/>
      <c r="D730"/>
      <c r="E730"/>
      <c r="F730" s="27" t="s">
        <v>7</v>
      </c>
      <c r="EM730" s="27" t="s">
        <v>8</v>
      </c>
      <c r="EN730" s="27" t="s">
        <v>7</v>
      </c>
      <c r="EO730" s="27" t="s">
        <v>8</v>
      </c>
      <c r="EP730" s="27" t="s">
        <v>7</v>
      </c>
      <c r="EQ730" s="27" t="s">
        <v>8</v>
      </c>
      <c r="ER730" s="27" t="s">
        <v>7</v>
      </c>
      <c r="ES730" s="27" t="s">
        <v>8</v>
      </c>
      <c r="EX730" s="27" t="s">
        <v>7</v>
      </c>
      <c r="EY730" s="27" t="s">
        <v>8</v>
      </c>
      <c r="FD730" s="27" t="s">
        <v>7</v>
      </c>
      <c r="FE730" s="27" t="s">
        <v>8</v>
      </c>
      <c r="FF730" s="27" t="s">
        <v>7</v>
      </c>
      <c r="FO730" s="27" t="s">
        <v>8</v>
      </c>
      <c r="FP730" s="27" t="s">
        <v>7</v>
      </c>
    </row>
    <row r="731" spans="1:234" x14ac:dyDescent="0.25">
      <c r="A731" s="7">
        <v>5.7753095421182947E-2</v>
      </c>
      <c r="B731"/>
      <c r="C731"/>
      <c r="D731"/>
      <c r="E731"/>
      <c r="F731" s="27" t="s">
        <v>7</v>
      </c>
      <c r="EM731" s="27" t="s">
        <v>8</v>
      </c>
      <c r="EN731" s="27" t="s">
        <v>7</v>
      </c>
      <c r="EO731" s="27" t="s">
        <v>8</v>
      </c>
      <c r="EP731" s="27" t="s">
        <v>7</v>
      </c>
      <c r="EQ731" s="27" t="s">
        <v>8</v>
      </c>
      <c r="ER731" s="27" t="s">
        <v>7</v>
      </c>
      <c r="ES731" s="27" t="s">
        <v>8</v>
      </c>
      <c r="EX731" s="27" t="s">
        <v>7</v>
      </c>
      <c r="EY731" s="27" t="s">
        <v>8</v>
      </c>
      <c r="FD731" s="27" t="s">
        <v>7</v>
      </c>
      <c r="FF731" s="27" t="s">
        <v>7</v>
      </c>
      <c r="FO731" s="27" t="s">
        <v>8</v>
      </c>
      <c r="FP731" s="27" t="s">
        <v>7</v>
      </c>
      <c r="HY731" s="27" t="s">
        <v>8</v>
      </c>
    </row>
    <row r="732" spans="1:234" x14ac:dyDescent="0.25">
      <c r="A732" s="7">
        <v>5.6620681785473484E-2</v>
      </c>
      <c r="B732"/>
      <c r="C732"/>
      <c r="D732"/>
      <c r="E732"/>
      <c r="F732" s="27" t="s">
        <v>7</v>
      </c>
      <c r="EM732" s="27" t="s">
        <v>8</v>
      </c>
      <c r="EN732" s="27" t="s">
        <v>7</v>
      </c>
      <c r="EO732" s="27" t="s">
        <v>8</v>
      </c>
      <c r="EP732" s="27" t="s">
        <v>7</v>
      </c>
      <c r="EQ732" s="27" t="s">
        <v>8</v>
      </c>
      <c r="ER732" s="27" t="s">
        <v>7</v>
      </c>
      <c r="ES732" s="27" t="s">
        <v>8</v>
      </c>
      <c r="EX732" s="27" t="s">
        <v>7</v>
      </c>
      <c r="FF732" s="27" t="s">
        <v>7</v>
      </c>
      <c r="FG732" s="27" t="s">
        <v>8</v>
      </c>
      <c r="FO732" s="27" t="s">
        <v>8</v>
      </c>
      <c r="FP732" s="27" t="s">
        <v>7</v>
      </c>
      <c r="HY732" s="27" t="s">
        <v>8</v>
      </c>
      <c r="HZ732" s="27" t="s">
        <v>7</v>
      </c>
    </row>
    <row r="733" spans="1:234" x14ac:dyDescent="0.25">
      <c r="A733" s="7">
        <v>5.5510472338699497E-2</v>
      </c>
      <c r="B733"/>
      <c r="C733"/>
      <c r="D733"/>
      <c r="E733"/>
      <c r="F733" s="27" t="s">
        <v>7</v>
      </c>
      <c r="EM733" s="27" t="s">
        <v>8</v>
      </c>
      <c r="EN733" s="27" t="s">
        <v>7</v>
      </c>
      <c r="EO733" s="27" t="s">
        <v>8</v>
      </c>
      <c r="EP733" s="27" t="s">
        <v>7</v>
      </c>
      <c r="EQ733" s="27" t="s">
        <v>8</v>
      </c>
      <c r="ER733" s="27" t="s">
        <v>7</v>
      </c>
      <c r="ES733" s="27" t="s">
        <v>8</v>
      </c>
      <c r="FF733" s="27" t="s">
        <v>7</v>
      </c>
      <c r="FG733" s="27" t="s">
        <v>8</v>
      </c>
      <c r="FH733" s="27" t="s">
        <v>7</v>
      </c>
      <c r="FI733" s="27" t="s">
        <v>8</v>
      </c>
      <c r="FM733" s="27" t="s">
        <v>8</v>
      </c>
      <c r="FO733" s="27" t="s">
        <v>8</v>
      </c>
      <c r="FP733" s="27" t="s">
        <v>7</v>
      </c>
      <c r="HY733" s="27" t="s">
        <v>8</v>
      </c>
      <c r="HZ733" s="27" t="s">
        <v>7</v>
      </c>
    </row>
    <row r="734" spans="1:234" x14ac:dyDescent="0.25">
      <c r="A734" s="7">
        <v>5.4422031704607354E-2</v>
      </c>
      <c r="B734"/>
      <c r="C734"/>
      <c r="D734"/>
      <c r="E734"/>
      <c r="F734" s="27" t="s">
        <v>7</v>
      </c>
      <c r="EM734" s="27" t="s">
        <v>8</v>
      </c>
      <c r="EN734" s="27" t="s">
        <v>7</v>
      </c>
      <c r="EO734" s="27" t="s">
        <v>8</v>
      </c>
      <c r="EP734" s="27" t="s">
        <v>7</v>
      </c>
      <c r="EQ734" s="27" t="s">
        <v>8</v>
      </c>
      <c r="ER734" s="27" t="s">
        <v>7</v>
      </c>
      <c r="ES734" s="27" t="s">
        <v>8</v>
      </c>
      <c r="FF734" s="27" t="s">
        <v>7</v>
      </c>
      <c r="FG734" s="27" t="s">
        <v>8</v>
      </c>
      <c r="FH734" s="27" t="s">
        <v>7</v>
      </c>
      <c r="FI734" s="27" t="s">
        <v>8</v>
      </c>
      <c r="FJ734" s="27" t="s">
        <v>7</v>
      </c>
      <c r="FM734" s="27" t="s">
        <v>8</v>
      </c>
      <c r="FN734" s="27" t="s">
        <v>7</v>
      </c>
      <c r="FO734" s="27" t="s">
        <v>8</v>
      </c>
      <c r="FP734" s="27" t="s">
        <v>7</v>
      </c>
      <c r="HY734" s="27" t="s">
        <v>8</v>
      </c>
      <c r="HZ734" s="27" t="s">
        <v>7</v>
      </c>
    </row>
    <row r="735" spans="1:234" x14ac:dyDescent="0.25">
      <c r="A735" s="7">
        <v>5.3354933043732705E-2</v>
      </c>
      <c r="B735"/>
      <c r="C735"/>
      <c r="D735"/>
      <c r="E735"/>
      <c r="F735" s="27" t="s">
        <v>7</v>
      </c>
      <c r="EM735" s="27" t="s">
        <v>8</v>
      </c>
      <c r="EN735" s="27" t="s">
        <v>7</v>
      </c>
      <c r="EO735" s="27" t="s">
        <v>8</v>
      </c>
      <c r="EP735" s="27" t="s">
        <v>7</v>
      </c>
      <c r="EQ735" s="27" t="s">
        <v>8</v>
      </c>
      <c r="ER735" s="27" t="s">
        <v>7</v>
      </c>
      <c r="FF735" s="27" t="s">
        <v>7</v>
      </c>
      <c r="FG735" s="27" t="s">
        <v>8</v>
      </c>
      <c r="FH735" s="27" t="s">
        <v>7</v>
      </c>
      <c r="FI735" s="27" t="s">
        <v>8</v>
      </c>
      <c r="FJ735" s="27" t="s">
        <v>7</v>
      </c>
      <c r="FM735" s="27" t="s">
        <v>8</v>
      </c>
      <c r="FN735" s="27" t="s">
        <v>7</v>
      </c>
      <c r="FO735" s="27" t="s">
        <v>8</v>
      </c>
      <c r="FP735" s="27" t="s">
        <v>7</v>
      </c>
      <c r="FQ735" s="27" t="s">
        <v>8</v>
      </c>
      <c r="FU735" s="27" t="s">
        <v>8</v>
      </c>
      <c r="HY735" s="27" t="s">
        <v>8</v>
      </c>
      <c r="HZ735" s="27" t="s">
        <v>7</v>
      </c>
    </row>
    <row r="736" spans="1:234" x14ac:dyDescent="0.25">
      <c r="A736" s="7">
        <v>5.2308757886012455E-2</v>
      </c>
      <c r="B736"/>
      <c r="C736"/>
      <c r="D736"/>
      <c r="E736"/>
      <c r="F736" s="27" t="s">
        <v>7</v>
      </c>
      <c r="EM736" s="27" t="s">
        <v>8</v>
      </c>
      <c r="EN736" s="27" t="s">
        <v>7</v>
      </c>
      <c r="EO736" s="27" t="s">
        <v>8</v>
      </c>
      <c r="EP736" s="27" t="s">
        <v>7</v>
      </c>
      <c r="EQ736" s="27" t="s">
        <v>8</v>
      </c>
      <c r="FF736" s="27" t="s">
        <v>7</v>
      </c>
      <c r="FG736" s="27" t="s">
        <v>8</v>
      </c>
      <c r="FH736" s="27" t="s">
        <v>7</v>
      </c>
      <c r="FI736" s="27" t="s">
        <v>8</v>
      </c>
      <c r="FJ736" s="27" t="s">
        <v>7</v>
      </c>
      <c r="FM736" s="27" t="s">
        <v>8</v>
      </c>
      <c r="FN736" s="27" t="s">
        <v>7</v>
      </c>
      <c r="FO736" s="27" t="s">
        <v>8</v>
      </c>
      <c r="FP736" s="27" t="s">
        <v>7</v>
      </c>
      <c r="FQ736" s="27" t="s">
        <v>8</v>
      </c>
      <c r="FR736" s="27" t="s">
        <v>7</v>
      </c>
      <c r="FU736" s="27" t="s">
        <v>8</v>
      </c>
      <c r="FV736" s="27" t="s">
        <v>7</v>
      </c>
      <c r="HY736" s="27" t="s">
        <v>8</v>
      </c>
      <c r="HZ736" s="27" t="s">
        <v>7</v>
      </c>
    </row>
    <row r="737" spans="1:252" x14ac:dyDescent="0.25">
      <c r="A737" s="7">
        <v>5.1283095966678877E-2</v>
      </c>
      <c r="B737"/>
      <c r="C737"/>
      <c r="D737"/>
      <c r="E737"/>
      <c r="F737" s="27" t="s">
        <v>7</v>
      </c>
      <c r="EM737" s="27" t="s">
        <v>8</v>
      </c>
      <c r="EN737" s="27" t="s">
        <v>7</v>
      </c>
      <c r="EO737" s="27" t="s">
        <v>8</v>
      </c>
      <c r="EP737" s="27" t="s">
        <v>7</v>
      </c>
      <c r="EQ737" s="27" t="s">
        <v>8</v>
      </c>
      <c r="FF737" s="27" t="s">
        <v>7</v>
      </c>
      <c r="FG737" s="27" t="s">
        <v>8</v>
      </c>
      <c r="FH737" s="27" t="s">
        <v>7</v>
      </c>
      <c r="FI737" s="27" t="s">
        <v>8</v>
      </c>
      <c r="FJ737" s="27" t="s">
        <v>7</v>
      </c>
      <c r="FM737" s="27" t="s">
        <v>8</v>
      </c>
      <c r="FN737" s="27" t="s">
        <v>7</v>
      </c>
      <c r="FO737" s="27" t="s">
        <v>8</v>
      </c>
      <c r="FP737" s="27" t="s">
        <v>7</v>
      </c>
      <c r="FQ737" s="27" t="s">
        <v>8</v>
      </c>
      <c r="FR737" s="27" t="s">
        <v>7</v>
      </c>
      <c r="FS737" s="27" t="s">
        <v>8</v>
      </c>
      <c r="FU737" s="27" t="s">
        <v>8</v>
      </c>
      <c r="FV737" s="27" t="s">
        <v>7</v>
      </c>
      <c r="HY737" s="27" t="s">
        <v>8</v>
      </c>
      <c r="HZ737" s="27" t="s">
        <v>7</v>
      </c>
    </row>
    <row r="738" spans="1:252" x14ac:dyDescent="0.25">
      <c r="A738" s="7">
        <v>5.0277545065371444E-2</v>
      </c>
      <c r="B738"/>
      <c r="C738"/>
      <c r="D738"/>
      <c r="E738"/>
      <c r="F738" s="27" t="s">
        <v>7</v>
      </c>
      <c r="EM738" s="27" t="s">
        <v>8</v>
      </c>
      <c r="EN738" s="27" t="s">
        <v>7</v>
      </c>
      <c r="EO738" s="27" t="s">
        <v>8</v>
      </c>
      <c r="EP738" s="27" t="s">
        <v>7</v>
      </c>
      <c r="EQ738" s="27" t="s">
        <v>8</v>
      </c>
      <c r="FF738" s="27" t="s">
        <v>7</v>
      </c>
      <c r="FG738" s="27" t="s">
        <v>8</v>
      </c>
      <c r="FH738" s="27" t="s">
        <v>7</v>
      </c>
      <c r="FI738" s="27" t="s">
        <v>8</v>
      </c>
      <c r="FJ738" s="27" t="s">
        <v>7</v>
      </c>
      <c r="FM738" s="27" t="s">
        <v>8</v>
      </c>
      <c r="FN738" s="27" t="s">
        <v>7</v>
      </c>
      <c r="FO738" s="27" t="s">
        <v>8</v>
      </c>
      <c r="FP738" s="27" t="s">
        <v>7</v>
      </c>
      <c r="FQ738" s="27" t="s">
        <v>8</v>
      </c>
      <c r="FR738" s="27" t="s">
        <v>7</v>
      </c>
      <c r="FS738" s="27" t="s">
        <v>8</v>
      </c>
      <c r="FT738" s="27" t="s">
        <v>7</v>
      </c>
      <c r="FU738" s="27" t="s">
        <v>8</v>
      </c>
      <c r="FV738" s="27" t="s">
        <v>7</v>
      </c>
      <c r="HY738" s="27" t="s">
        <v>8</v>
      </c>
      <c r="HZ738" s="27" t="s">
        <v>7</v>
      </c>
    </row>
    <row r="739" spans="1:252" x14ac:dyDescent="0.25">
      <c r="A739" s="7">
        <v>4.9291710848403378E-2</v>
      </c>
      <c r="B739"/>
      <c r="C739"/>
      <c r="D739"/>
      <c r="E739"/>
      <c r="F739" s="27" t="s">
        <v>7</v>
      </c>
      <c r="EM739" s="27" t="s">
        <v>8</v>
      </c>
      <c r="EN739" s="27" t="s">
        <v>7</v>
      </c>
      <c r="EO739" s="27" t="s">
        <v>8</v>
      </c>
      <c r="EP739" s="27" t="s">
        <v>7</v>
      </c>
      <c r="EQ739" s="27" t="s">
        <v>8</v>
      </c>
      <c r="FF739" s="27" t="s">
        <v>7</v>
      </c>
      <c r="FG739" s="27" t="s">
        <v>8</v>
      </c>
      <c r="FH739" s="27" t="s">
        <v>7</v>
      </c>
      <c r="FI739" s="27" t="s">
        <v>8</v>
      </c>
      <c r="FJ739" s="27" t="s">
        <v>7</v>
      </c>
      <c r="FM739" s="27" t="s">
        <v>8</v>
      </c>
      <c r="FN739" s="27" t="s">
        <v>7</v>
      </c>
      <c r="FO739" s="27" t="s">
        <v>8</v>
      </c>
      <c r="FP739" s="27" t="s">
        <v>7</v>
      </c>
      <c r="FQ739" s="27" t="s">
        <v>8</v>
      </c>
      <c r="FR739" s="27" t="s">
        <v>7</v>
      </c>
      <c r="FS739" s="27" t="s">
        <v>8</v>
      </c>
      <c r="FT739" s="27" t="s">
        <v>7</v>
      </c>
      <c r="FU739" s="27" t="s">
        <v>8</v>
      </c>
      <c r="FV739" s="27" t="s">
        <v>7</v>
      </c>
      <c r="HY739" s="27" t="s">
        <v>8</v>
      </c>
      <c r="HZ739" s="27" t="s">
        <v>7</v>
      </c>
    </row>
    <row r="740" spans="1:252" x14ac:dyDescent="0.25">
      <c r="A740" s="7">
        <v>4.8325206714120959E-2</v>
      </c>
      <c r="B740"/>
      <c r="C740"/>
      <c r="D740"/>
      <c r="E740"/>
      <c r="F740" s="27" t="s">
        <v>7</v>
      </c>
      <c r="EM740" s="27" t="s">
        <v>8</v>
      </c>
      <c r="EN740" s="27" t="s">
        <v>7</v>
      </c>
      <c r="EO740" s="27" t="s">
        <v>8</v>
      </c>
      <c r="EP740" s="27" t="s">
        <v>7</v>
      </c>
      <c r="FF740" s="27" t="s">
        <v>7</v>
      </c>
      <c r="FG740" s="27" t="s">
        <v>8</v>
      </c>
      <c r="FH740" s="27" t="s">
        <v>7</v>
      </c>
      <c r="FI740" s="27" t="s">
        <v>8</v>
      </c>
      <c r="FJ740" s="27" t="s">
        <v>7</v>
      </c>
      <c r="FK740" s="27" t="s">
        <v>8</v>
      </c>
      <c r="FM740" s="27" t="s">
        <v>8</v>
      </c>
      <c r="FN740" s="27" t="s">
        <v>7</v>
      </c>
      <c r="FO740" s="27" t="s">
        <v>8</v>
      </c>
      <c r="FP740" s="27" t="s">
        <v>7</v>
      </c>
      <c r="FQ740" s="27" t="s">
        <v>8</v>
      </c>
      <c r="FR740" s="27" t="s">
        <v>7</v>
      </c>
      <c r="FT740" s="27" t="s">
        <v>7</v>
      </c>
      <c r="FU740" s="27" t="s">
        <v>8</v>
      </c>
      <c r="FV740" s="27" t="s">
        <v>7</v>
      </c>
      <c r="HY740" s="27" t="s">
        <v>8</v>
      </c>
      <c r="HZ740" s="27" t="s">
        <v>7</v>
      </c>
    </row>
    <row r="741" spans="1:252" x14ac:dyDescent="0.25">
      <c r="A741" s="7">
        <v>4.7377653641295057E-2</v>
      </c>
      <c r="B741"/>
      <c r="C741"/>
      <c r="D741"/>
      <c r="E741"/>
      <c r="F741" s="27" t="s">
        <v>7</v>
      </c>
      <c r="EM741" s="27" t="s">
        <v>8</v>
      </c>
      <c r="EN741" s="27" t="s">
        <v>7</v>
      </c>
      <c r="EO741" s="27" t="s">
        <v>8</v>
      </c>
      <c r="FF741" s="27" t="s">
        <v>7</v>
      </c>
      <c r="FG741" s="27" t="s">
        <v>8</v>
      </c>
      <c r="FH741" s="27" t="s">
        <v>7</v>
      </c>
      <c r="FI741" s="27" t="s">
        <v>8</v>
      </c>
      <c r="FJ741" s="27" t="s">
        <v>7</v>
      </c>
      <c r="FK741" s="27" t="s">
        <v>8</v>
      </c>
      <c r="FL741" s="27" t="s">
        <v>7</v>
      </c>
      <c r="FM741" s="27" t="s">
        <v>8</v>
      </c>
      <c r="FN741" s="27" t="s">
        <v>7</v>
      </c>
      <c r="FO741" s="27" t="s">
        <v>8</v>
      </c>
      <c r="FP741" s="27" t="s">
        <v>7</v>
      </c>
      <c r="FT741" s="27" t="s">
        <v>7</v>
      </c>
      <c r="FU741" s="27" t="s">
        <v>8</v>
      </c>
      <c r="FV741" s="27" t="s">
        <v>7</v>
      </c>
      <c r="HY741" s="27" t="s">
        <v>8</v>
      </c>
      <c r="HZ741" s="27" t="s">
        <v>7</v>
      </c>
    </row>
    <row r="742" spans="1:252" x14ac:dyDescent="0.25">
      <c r="A742" s="7">
        <v>4.644868004048535E-2</v>
      </c>
      <c r="B742"/>
      <c r="C742"/>
      <c r="D742"/>
      <c r="E742"/>
      <c r="F742" s="27" t="s">
        <v>7</v>
      </c>
      <c r="EM742" s="27" t="s">
        <v>8</v>
      </c>
      <c r="EN742" s="27" t="s">
        <v>7</v>
      </c>
      <c r="EO742" s="27" t="s">
        <v>8</v>
      </c>
      <c r="FF742" s="27" t="s">
        <v>7</v>
      </c>
      <c r="FG742" s="27" t="s">
        <v>8</v>
      </c>
      <c r="FH742" s="27" t="s">
        <v>7</v>
      </c>
      <c r="FI742" s="27" t="s">
        <v>8</v>
      </c>
      <c r="FJ742" s="27" t="s">
        <v>7</v>
      </c>
      <c r="FK742" s="27" t="s">
        <v>8</v>
      </c>
      <c r="FL742" s="27" t="s">
        <v>7</v>
      </c>
      <c r="FM742" s="27" t="s">
        <v>8</v>
      </c>
      <c r="FN742" s="27" t="s">
        <v>7</v>
      </c>
      <c r="FT742" s="27" t="s">
        <v>7</v>
      </c>
      <c r="FU742" s="27" t="s">
        <v>8</v>
      </c>
      <c r="FV742" s="27" t="s">
        <v>7</v>
      </c>
      <c r="HY742" s="27" t="s">
        <v>8</v>
      </c>
      <c r="HZ742" s="27" t="s">
        <v>7</v>
      </c>
    </row>
    <row r="743" spans="1:252" x14ac:dyDescent="0.25">
      <c r="A743" s="7">
        <v>4.5537921608318974E-2</v>
      </c>
      <c r="B743"/>
      <c r="C743"/>
      <c r="D743"/>
      <c r="E743"/>
      <c r="F743" s="27" t="s">
        <v>7</v>
      </c>
      <c r="EM743" s="27" t="s">
        <v>8</v>
      </c>
      <c r="EN743" s="27" t="s">
        <v>7</v>
      </c>
      <c r="EO743" s="27" t="s">
        <v>8</v>
      </c>
      <c r="FF743" s="27" t="s">
        <v>7</v>
      </c>
      <c r="FH743" s="27" t="s">
        <v>7</v>
      </c>
      <c r="FI743" s="27" t="s">
        <v>8</v>
      </c>
      <c r="FJ743" s="27" t="s">
        <v>7</v>
      </c>
      <c r="FK743" s="27" t="s">
        <v>8</v>
      </c>
      <c r="FL743" s="27" t="s">
        <v>7</v>
      </c>
      <c r="FM743" s="27" t="s">
        <v>8</v>
      </c>
      <c r="FT743" s="27" t="s">
        <v>7</v>
      </c>
      <c r="FU743" s="27" t="s">
        <v>8</v>
      </c>
      <c r="FV743" s="27" t="s">
        <v>7</v>
      </c>
      <c r="HY743" s="27" t="s">
        <v>8</v>
      </c>
      <c r="HZ743" s="27" t="s">
        <v>7</v>
      </c>
    </row>
    <row r="744" spans="1:252" x14ac:dyDescent="0.25">
      <c r="A744" s="7">
        <v>4.4645021184626446E-2</v>
      </c>
      <c r="B744"/>
      <c r="C744"/>
      <c r="D744"/>
      <c r="E744"/>
      <c r="F744" s="27" t="s">
        <v>7</v>
      </c>
      <c r="EM744" s="27" t="s">
        <v>8</v>
      </c>
      <c r="EN744" s="27" t="s">
        <v>7</v>
      </c>
      <c r="EO744" s="27" t="s">
        <v>8</v>
      </c>
      <c r="FH744" s="27" t="s">
        <v>7</v>
      </c>
      <c r="FI744" s="27" t="s">
        <v>8</v>
      </c>
      <c r="FJ744" s="27" t="s">
        <v>7</v>
      </c>
      <c r="FK744" s="27" t="s">
        <v>8</v>
      </c>
      <c r="FL744" s="27" t="s">
        <v>7</v>
      </c>
      <c r="FM744" s="27" t="s">
        <v>8</v>
      </c>
      <c r="FT744" s="27" t="s">
        <v>7</v>
      </c>
      <c r="FU744" s="27" t="s">
        <v>8</v>
      </c>
      <c r="FV744" s="27" t="s">
        <v>7</v>
      </c>
      <c r="HY744" s="27" t="s">
        <v>8</v>
      </c>
      <c r="HZ744" s="27" t="s">
        <v>7</v>
      </c>
    </row>
    <row r="745" spans="1:252" x14ac:dyDescent="0.25">
      <c r="A745" s="7">
        <v>4.3769628612378868E-2</v>
      </c>
      <c r="B745"/>
      <c r="C745"/>
      <c r="D745"/>
      <c r="E745"/>
      <c r="F745" s="27" t="s">
        <v>7</v>
      </c>
      <c r="EM745" s="27" t="s">
        <v>8</v>
      </c>
      <c r="EN745" s="27" t="s">
        <v>7</v>
      </c>
      <c r="FH745" s="27" t="s">
        <v>7</v>
      </c>
      <c r="FI745" s="27" t="s">
        <v>8</v>
      </c>
      <c r="FJ745" s="27" t="s">
        <v>7</v>
      </c>
      <c r="FK745" s="27" t="s">
        <v>8</v>
      </c>
      <c r="FL745" s="27" t="s">
        <v>7</v>
      </c>
      <c r="FM745" s="27" t="s">
        <v>8</v>
      </c>
      <c r="FT745" s="27" t="s">
        <v>7</v>
      </c>
      <c r="FU745" s="27" t="s">
        <v>8</v>
      </c>
      <c r="FV745" s="27" t="s">
        <v>7</v>
      </c>
      <c r="HY745" s="27" t="s">
        <v>8</v>
      </c>
      <c r="HZ745" s="27" t="s">
        <v>7</v>
      </c>
    </row>
    <row r="746" spans="1:252" x14ac:dyDescent="0.25">
      <c r="A746" s="7">
        <v>4.2911400600371442E-2</v>
      </c>
      <c r="B746"/>
      <c r="C746"/>
      <c r="D746"/>
      <c r="E746"/>
      <c r="F746" s="27" t="s">
        <v>7</v>
      </c>
      <c r="EM746" s="27" t="s">
        <v>8</v>
      </c>
      <c r="FH746" s="27" t="s">
        <v>7</v>
      </c>
      <c r="FI746" s="27" t="s">
        <v>8</v>
      </c>
      <c r="FJ746" s="27" t="s">
        <v>7</v>
      </c>
      <c r="FK746" s="27" t="s">
        <v>8</v>
      </c>
      <c r="FL746" s="27" t="s">
        <v>7</v>
      </c>
      <c r="FM746" s="27" t="s">
        <v>8</v>
      </c>
      <c r="FT746" s="27" t="s">
        <v>7</v>
      </c>
      <c r="FU746" s="27" t="s">
        <v>8</v>
      </c>
      <c r="FV746" s="27" t="s">
        <v>7</v>
      </c>
      <c r="FW746" s="27" t="s">
        <v>8</v>
      </c>
      <c r="HY746" s="27" t="s">
        <v>8</v>
      </c>
      <c r="HZ746" s="27" t="s">
        <v>7</v>
      </c>
    </row>
    <row r="747" spans="1:252" x14ac:dyDescent="0.25">
      <c r="A747" s="7">
        <v>4.2070000588599457E-2</v>
      </c>
      <c r="B747"/>
      <c r="C747"/>
      <c r="D747"/>
      <c r="E747"/>
      <c r="F747" s="27" t="s">
        <v>7</v>
      </c>
      <c r="EM747" s="27" t="s">
        <v>8</v>
      </c>
      <c r="FH747" s="27" t="s">
        <v>7</v>
      </c>
      <c r="FJ747" s="27" t="s">
        <v>7</v>
      </c>
      <c r="FK747" s="27" t="s">
        <v>8</v>
      </c>
      <c r="FL747" s="27" t="s">
        <v>7</v>
      </c>
      <c r="FM747" s="27" t="s">
        <v>8</v>
      </c>
      <c r="FT747" s="27" t="s">
        <v>7</v>
      </c>
      <c r="FU747" s="27" t="s">
        <v>8</v>
      </c>
      <c r="FV747" s="27" t="s">
        <v>7</v>
      </c>
      <c r="FW747" s="27" t="s">
        <v>8</v>
      </c>
      <c r="FX747" s="27" t="s">
        <v>7</v>
      </c>
      <c r="HY747" s="27" t="s">
        <v>8</v>
      </c>
      <c r="HZ747" s="27" t="s">
        <v>7</v>
      </c>
      <c r="IQ747" s="27" t="s">
        <v>8</v>
      </c>
    </row>
    <row r="748" spans="1:252" x14ac:dyDescent="0.25">
      <c r="A748" s="7">
        <v>4.1245098616273977E-2</v>
      </c>
      <c r="B748"/>
      <c r="C748"/>
      <c r="D748"/>
      <c r="E748"/>
      <c r="F748" s="27" t="s">
        <v>7</v>
      </c>
      <c r="EM748" s="27" t="s">
        <v>8</v>
      </c>
      <c r="FJ748" s="27" t="s">
        <v>7</v>
      </c>
      <c r="FK748" s="27" t="s">
        <v>8</v>
      </c>
      <c r="FL748" s="27" t="s">
        <v>7</v>
      </c>
      <c r="FM748" s="27" t="s">
        <v>8</v>
      </c>
      <c r="FT748" s="27" t="s">
        <v>7</v>
      </c>
      <c r="FU748" s="27" t="s">
        <v>8</v>
      </c>
      <c r="FV748" s="27" t="s">
        <v>7</v>
      </c>
      <c r="FW748" s="27" t="s">
        <v>8</v>
      </c>
      <c r="FX748" s="27" t="s">
        <v>7</v>
      </c>
      <c r="HY748" s="27" t="s">
        <v>8</v>
      </c>
      <c r="HZ748" s="27" t="s">
        <v>7</v>
      </c>
      <c r="IQ748" s="27" t="s">
        <v>8</v>
      </c>
      <c r="IR748" s="27" t="s">
        <v>7</v>
      </c>
    </row>
    <row r="749" spans="1:252" x14ac:dyDescent="0.25">
      <c r="A749" s="7">
        <v>4.043637119242547E-2</v>
      </c>
      <c r="B749"/>
      <c r="C749"/>
      <c r="D749"/>
      <c r="E749"/>
      <c r="F749" s="27" t="s">
        <v>7</v>
      </c>
      <c r="EM749" s="27" t="s">
        <v>8</v>
      </c>
      <c r="FJ749" s="27" t="s">
        <v>7</v>
      </c>
      <c r="FK749" s="27" t="s">
        <v>8</v>
      </c>
      <c r="FL749" s="27" t="s">
        <v>7</v>
      </c>
      <c r="FM749" s="27" t="s">
        <v>8</v>
      </c>
      <c r="FT749" s="27" t="s">
        <v>7</v>
      </c>
      <c r="FU749" s="27" t="s">
        <v>8</v>
      </c>
      <c r="FV749" s="27" t="s">
        <v>7</v>
      </c>
      <c r="FW749" s="27" t="s">
        <v>8</v>
      </c>
      <c r="FX749" s="27" t="s">
        <v>7</v>
      </c>
      <c r="HY749" s="27" t="s">
        <v>8</v>
      </c>
      <c r="HZ749" s="27" t="s">
        <v>7</v>
      </c>
      <c r="IQ749" s="27" t="s">
        <v>8</v>
      </c>
      <c r="IR749" s="27" t="s">
        <v>7</v>
      </c>
    </row>
    <row r="750" spans="1:252" x14ac:dyDescent="0.25">
      <c r="A750" s="7">
        <v>3.9643501169044582E-2</v>
      </c>
      <c r="B750"/>
      <c r="C750"/>
      <c r="D750"/>
      <c r="E750"/>
      <c r="F750" s="27" t="s">
        <v>7</v>
      </c>
      <c r="EM750" s="27" t="s">
        <v>8</v>
      </c>
      <c r="FJ750" s="27" t="s">
        <v>7</v>
      </c>
      <c r="FK750" s="27" t="s">
        <v>8</v>
      </c>
      <c r="FL750" s="27" t="s">
        <v>7</v>
      </c>
      <c r="FM750" s="27" t="s">
        <v>8</v>
      </c>
      <c r="FT750" s="27" t="s">
        <v>7</v>
      </c>
      <c r="FU750" s="27" t="s">
        <v>8</v>
      </c>
      <c r="FV750" s="27" t="s">
        <v>7</v>
      </c>
      <c r="FW750" s="27" t="s">
        <v>8</v>
      </c>
      <c r="FX750" s="27" t="s">
        <v>7</v>
      </c>
      <c r="HY750" s="27" t="s">
        <v>8</v>
      </c>
      <c r="HZ750" s="27" t="s">
        <v>7</v>
      </c>
      <c r="IQ750" s="27" t="s">
        <v>8</v>
      </c>
      <c r="IR750" s="27" t="s">
        <v>7</v>
      </c>
    </row>
    <row r="751" spans="1:252" x14ac:dyDescent="0.25">
      <c r="A751" s="7">
        <v>3.8866177616710372E-2</v>
      </c>
      <c r="B751"/>
      <c r="C751"/>
      <c r="D751"/>
      <c r="E751"/>
      <c r="F751" s="27" t="s">
        <v>7</v>
      </c>
      <c r="EM751" s="27" t="s">
        <v>8</v>
      </c>
      <c r="FJ751" s="27" t="s">
        <v>7</v>
      </c>
      <c r="FK751" s="27" t="s">
        <v>8</v>
      </c>
      <c r="FL751" s="27" t="s">
        <v>7</v>
      </c>
      <c r="FM751" s="27" t="s">
        <v>8</v>
      </c>
      <c r="FT751" s="27" t="s">
        <v>7</v>
      </c>
      <c r="FU751" s="27" t="s">
        <v>8</v>
      </c>
      <c r="FV751" s="27" t="s">
        <v>7</v>
      </c>
      <c r="FW751" s="27" t="s">
        <v>8</v>
      </c>
      <c r="FX751" s="27" t="s">
        <v>7</v>
      </c>
      <c r="HY751" s="27" t="s">
        <v>8</v>
      </c>
      <c r="HZ751" s="27" t="s">
        <v>7</v>
      </c>
      <c r="IA751" s="27" t="s">
        <v>8</v>
      </c>
      <c r="IQ751" s="27" t="s">
        <v>8</v>
      </c>
      <c r="IR751" s="27" t="s">
        <v>7</v>
      </c>
    </row>
    <row r="752" spans="1:252" x14ac:dyDescent="0.25">
      <c r="A752" s="7">
        <v>3.8104095702657229E-2</v>
      </c>
      <c r="B752"/>
      <c r="C752"/>
      <c r="D752"/>
      <c r="E752"/>
      <c r="F752" s="27" t="s">
        <v>7</v>
      </c>
      <c r="EM752" s="27" t="s">
        <v>8</v>
      </c>
      <c r="FJ752" s="27" t="s">
        <v>7</v>
      </c>
      <c r="FK752" s="27" t="s">
        <v>8</v>
      </c>
      <c r="FL752" s="27" t="s">
        <v>7</v>
      </c>
      <c r="FM752" s="27" t="s">
        <v>8</v>
      </c>
      <c r="FT752" s="27" t="s">
        <v>7</v>
      </c>
      <c r="FV752" s="27" t="s">
        <v>7</v>
      </c>
      <c r="FW752" s="27" t="s">
        <v>8</v>
      </c>
      <c r="FX752" s="27" t="s">
        <v>7</v>
      </c>
      <c r="HY752" s="27" t="s">
        <v>8</v>
      </c>
      <c r="HZ752" s="27" t="s">
        <v>7</v>
      </c>
      <c r="IA752" s="27" t="s">
        <v>8</v>
      </c>
      <c r="IB752" s="27" t="s">
        <v>7</v>
      </c>
      <c r="IQ752" s="27" t="s">
        <v>8</v>
      </c>
      <c r="IR752" s="27" t="s">
        <v>7</v>
      </c>
    </row>
    <row r="753" spans="1:282" x14ac:dyDescent="0.25">
      <c r="A753" s="7">
        <v>3.7356956571232579E-2</v>
      </c>
      <c r="B753"/>
      <c r="C753"/>
      <c r="D753"/>
      <c r="E753"/>
      <c r="F753" s="27" t="s">
        <v>7</v>
      </c>
      <c r="EM753" s="27" t="s">
        <v>8</v>
      </c>
      <c r="FJ753" s="27" t="s">
        <v>7</v>
      </c>
      <c r="FK753" s="27" t="s">
        <v>8</v>
      </c>
      <c r="FL753" s="27" t="s">
        <v>7</v>
      </c>
      <c r="FV753" s="27" t="s">
        <v>7</v>
      </c>
      <c r="FW753" s="27" t="s">
        <v>8</v>
      </c>
      <c r="FX753" s="27" t="s">
        <v>7</v>
      </c>
      <c r="FY753" s="27" t="s">
        <v>8</v>
      </c>
      <c r="HY753" s="27" t="s">
        <v>8</v>
      </c>
      <c r="HZ753" s="27" t="s">
        <v>7</v>
      </c>
      <c r="IA753" s="27" t="s">
        <v>8</v>
      </c>
      <c r="IB753" s="27" t="s">
        <v>7</v>
      </c>
      <c r="IQ753" s="27" t="s">
        <v>8</v>
      </c>
      <c r="IR753" s="27" t="s">
        <v>7</v>
      </c>
    </row>
    <row r="754" spans="1:282" x14ac:dyDescent="0.25">
      <c r="A754" s="7">
        <v>3.6624467226698605E-2</v>
      </c>
      <c r="B754"/>
      <c r="C754"/>
      <c r="D754"/>
      <c r="E754"/>
      <c r="F754" s="27" t="s">
        <v>7</v>
      </c>
      <c r="EM754" s="27" t="s">
        <v>8</v>
      </c>
      <c r="FJ754" s="27" t="s">
        <v>7</v>
      </c>
      <c r="FK754" s="27" t="s">
        <v>8</v>
      </c>
      <c r="FV754" s="27" t="s">
        <v>7</v>
      </c>
      <c r="FW754" s="27" t="s">
        <v>8</v>
      </c>
      <c r="FX754" s="27" t="s">
        <v>7</v>
      </c>
      <c r="FY754" s="27" t="s">
        <v>8</v>
      </c>
      <c r="FZ754" s="27" t="s">
        <v>7</v>
      </c>
      <c r="HW754" s="27" t="s">
        <v>8</v>
      </c>
      <c r="HY754" s="27" t="s">
        <v>8</v>
      </c>
      <c r="HZ754" s="27" t="s">
        <v>7</v>
      </c>
      <c r="IA754" s="27" t="s">
        <v>8</v>
      </c>
      <c r="IB754" s="27" t="s">
        <v>7</v>
      </c>
      <c r="IG754" s="27" t="s">
        <v>8</v>
      </c>
      <c r="IQ754" s="27" t="s">
        <v>8</v>
      </c>
      <c r="IR754" s="27" t="s">
        <v>7</v>
      </c>
      <c r="JQ754" s="27" t="s">
        <v>8</v>
      </c>
    </row>
    <row r="755" spans="1:282" x14ac:dyDescent="0.25">
      <c r="A755" s="7">
        <v>3.5906340418331961E-2</v>
      </c>
      <c r="B755"/>
      <c r="C755"/>
      <c r="D755"/>
      <c r="E755"/>
      <c r="F755" s="27" t="s">
        <v>7</v>
      </c>
      <c r="EM755" s="27" t="s">
        <v>8</v>
      </c>
      <c r="FJ755" s="27" t="s">
        <v>7</v>
      </c>
      <c r="FK755" s="27" t="s">
        <v>8</v>
      </c>
      <c r="FV755" s="27" t="s">
        <v>7</v>
      </c>
      <c r="FX755" s="27" t="s">
        <v>7</v>
      </c>
      <c r="FY755" s="27" t="s">
        <v>8</v>
      </c>
      <c r="FZ755" s="27" t="s">
        <v>7</v>
      </c>
      <c r="HS755" s="27" t="s">
        <v>8</v>
      </c>
      <c r="HW755" s="27" t="s">
        <v>8</v>
      </c>
      <c r="HX755" s="27" t="s">
        <v>7</v>
      </c>
      <c r="HY755" s="27" t="s">
        <v>8</v>
      </c>
      <c r="HZ755" s="27" t="s">
        <v>7</v>
      </c>
      <c r="IA755" s="27" t="s">
        <v>8</v>
      </c>
      <c r="IB755" s="27" t="s">
        <v>7</v>
      </c>
      <c r="IC755" s="27" t="s">
        <v>8</v>
      </c>
      <c r="IG755" s="27" t="s">
        <v>8</v>
      </c>
      <c r="IH755" s="27" t="s">
        <v>7</v>
      </c>
      <c r="IQ755" s="27" t="s">
        <v>8</v>
      </c>
      <c r="IR755" s="27" t="s">
        <v>7</v>
      </c>
      <c r="JQ755" s="27" t="s">
        <v>8</v>
      </c>
      <c r="JR755" s="27" t="s">
        <v>7</v>
      </c>
    </row>
    <row r="756" spans="1:282" x14ac:dyDescent="0.25">
      <c r="A756" s="7">
        <v>3.5202294527776436E-2</v>
      </c>
      <c r="B756"/>
      <c r="C756"/>
      <c r="D756"/>
      <c r="E756"/>
      <c r="F756" s="27" t="s">
        <v>7</v>
      </c>
      <c r="EM756" s="27" t="s">
        <v>8</v>
      </c>
      <c r="FJ756" s="27" t="s">
        <v>7</v>
      </c>
      <c r="FK756" s="27" t="s">
        <v>8</v>
      </c>
      <c r="FX756" s="27" t="s">
        <v>7</v>
      </c>
      <c r="FY756" s="27" t="s">
        <v>8</v>
      </c>
      <c r="FZ756" s="27" t="s">
        <v>7</v>
      </c>
      <c r="HS756" s="27" t="s">
        <v>8</v>
      </c>
      <c r="HT756" s="27" t="s">
        <v>7</v>
      </c>
      <c r="HW756" s="27" t="s">
        <v>8</v>
      </c>
      <c r="HX756" s="27" t="s">
        <v>7</v>
      </c>
      <c r="HY756" s="27" t="s">
        <v>8</v>
      </c>
      <c r="HZ756" s="27" t="s">
        <v>7</v>
      </c>
      <c r="IA756" s="27" t="s">
        <v>8</v>
      </c>
      <c r="IB756" s="27" t="s">
        <v>7</v>
      </c>
      <c r="IC756" s="27" t="s">
        <v>8</v>
      </c>
      <c r="ID756" s="27" t="s">
        <v>7</v>
      </c>
      <c r="IE756" s="27" t="s">
        <v>8</v>
      </c>
      <c r="IG756" s="27" t="s">
        <v>8</v>
      </c>
      <c r="IH756" s="27" t="s">
        <v>7</v>
      </c>
      <c r="IQ756" s="27" t="s">
        <v>8</v>
      </c>
      <c r="IR756" s="27" t="s">
        <v>7</v>
      </c>
      <c r="JM756" s="27" t="s">
        <v>8</v>
      </c>
      <c r="JQ756" s="27" t="s">
        <v>8</v>
      </c>
      <c r="JR756" s="27" t="s">
        <v>7</v>
      </c>
    </row>
    <row r="757" spans="1:282" x14ac:dyDescent="0.25">
      <c r="A757" s="7">
        <v>3.451205345860435E-2</v>
      </c>
      <c r="B757"/>
      <c r="C757"/>
      <c r="D757"/>
      <c r="E757"/>
      <c r="F757" s="27" t="s">
        <v>7</v>
      </c>
      <c r="EM757" s="27" t="s">
        <v>8</v>
      </c>
      <c r="FJ757" s="27" t="s">
        <v>7</v>
      </c>
      <c r="FK757" s="27" t="s">
        <v>8</v>
      </c>
      <c r="FX757" s="27" t="s">
        <v>7</v>
      </c>
      <c r="FY757" s="27" t="s">
        <v>8</v>
      </c>
      <c r="FZ757" s="27" t="s">
        <v>7</v>
      </c>
      <c r="HS757" s="27" t="s">
        <v>8</v>
      </c>
      <c r="HT757" s="27" t="s">
        <v>7</v>
      </c>
      <c r="HU757" s="27" t="s">
        <v>8</v>
      </c>
      <c r="HW757" s="27" t="s">
        <v>8</v>
      </c>
      <c r="HX757" s="27" t="s">
        <v>7</v>
      </c>
      <c r="HZ757" s="27" t="s">
        <v>7</v>
      </c>
      <c r="IA757" s="27" t="s">
        <v>8</v>
      </c>
      <c r="IB757" s="27" t="s">
        <v>7</v>
      </c>
      <c r="IC757" s="27" t="s">
        <v>8</v>
      </c>
      <c r="ID757" s="27" t="s">
        <v>7</v>
      </c>
      <c r="IE757" s="27" t="s">
        <v>8</v>
      </c>
      <c r="IF757" s="27" t="s">
        <v>7</v>
      </c>
      <c r="IG757" s="27" t="s">
        <v>8</v>
      </c>
      <c r="IH757" s="27" t="s">
        <v>7</v>
      </c>
      <c r="IQ757" s="27" t="s">
        <v>8</v>
      </c>
      <c r="IR757" s="27" t="s">
        <v>7</v>
      </c>
      <c r="IW757" s="27" t="s">
        <v>8</v>
      </c>
      <c r="JC757" s="27" t="s">
        <v>8</v>
      </c>
      <c r="JE757" s="27" t="s">
        <v>8</v>
      </c>
      <c r="JM757" s="27" t="s">
        <v>8</v>
      </c>
      <c r="JN757" s="27" t="s">
        <v>7</v>
      </c>
      <c r="JQ757" s="27" t="s">
        <v>8</v>
      </c>
      <c r="JR757" s="27" t="s">
        <v>7</v>
      </c>
    </row>
    <row r="758" spans="1:282" x14ac:dyDescent="0.25">
      <c r="A758" s="7">
        <v>3.3835346528043479E-2</v>
      </c>
      <c r="B758"/>
      <c r="C758"/>
      <c r="D758"/>
      <c r="E758"/>
      <c r="F758" s="27" t="s">
        <v>7</v>
      </c>
      <c r="EM758" s="27" t="s">
        <v>8</v>
      </c>
      <c r="FJ758" s="27" t="s">
        <v>7</v>
      </c>
      <c r="FK758" s="27" t="s">
        <v>8</v>
      </c>
      <c r="FX758" s="27" t="s">
        <v>7</v>
      </c>
      <c r="FY758" s="27" t="s">
        <v>8</v>
      </c>
      <c r="FZ758" s="27" t="s">
        <v>7</v>
      </c>
      <c r="HS758" s="27" t="s">
        <v>8</v>
      </c>
      <c r="HT758" s="27" t="s">
        <v>7</v>
      </c>
      <c r="HU758" s="27" t="s">
        <v>8</v>
      </c>
      <c r="HV758" s="27" t="s">
        <v>7</v>
      </c>
      <c r="HW758" s="27" t="s">
        <v>8</v>
      </c>
      <c r="HZ758" s="27" t="s">
        <v>7</v>
      </c>
      <c r="IA758" s="27" t="s">
        <v>8</v>
      </c>
      <c r="IB758" s="27" t="s">
        <v>7</v>
      </c>
      <c r="IC758" s="27" t="s">
        <v>8</v>
      </c>
      <c r="ID758" s="27" t="s">
        <v>7</v>
      </c>
      <c r="IE758" s="27" t="s">
        <v>8</v>
      </c>
      <c r="IF758" s="27" t="s">
        <v>7</v>
      </c>
      <c r="IG758" s="27" t="s">
        <v>8</v>
      </c>
      <c r="IH758" s="27" t="s">
        <v>7</v>
      </c>
      <c r="IQ758" s="27" t="s">
        <v>8</v>
      </c>
      <c r="IR758" s="27" t="s">
        <v>7</v>
      </c>
      <c r="IW758" s="27" t="s">
        <v>8</v>
      </c>
      <c r="IX758" s="27" t="s">
        <v>7</v>
      </c>
      <c r="JA758" s="27" t="s">
        <v>8</v>
      </c>
      <c r="JC758" s="27" t="s">
        <v>8</v>
      </c>
      <c r="JD758" s="27" t="s">
        <v>7</v>
      </c>
      <c r="JE758" s="27" t="s">
        <v>8</v>
      </c>
      <c r="JF758" s="27" t="s">
        <v>7</v>
      </c>
      <c r="JI758" s="27" t="s">
        <v>8</v>
      </c>
      <c r="JK758" s="27" t="s">
        <v>8</v>
      </c>
      <c r="JM758" s="27" t="s">
        <v>8</v>
      </c>
      <c r="JN758" s="27" t="s">
        <v>7</v>
      </c>
      <c r="JQ758" s="27" t="s">
        <v>8</v>
      </c>
      <c r="JR758" s="27" t="s">
        <v>7</v>
      </c>
    </row>
    <row r="759" spans="1:282" x14ac:dyDescent="0.25">
      <c r="A759" s="7">
        <v>3.3171908360826938E-2</v>
      </c>
      <c r="B759"/>
      <c r="C759"/>
      <c r="D759"/>
      <c r="E759"/>
      <c r="F759" s="27" t="s">
        <v>7</v>
      </c>
      <c r="EM759" s="27" t="s">
        <v>8</v>
      </c>
      <c r="FJ759" s="27" t="s">
        <v>7</v>
      </c>
      <c r="FK759" s="27" t="s">
        <v>8</v>
      </c>
      <c r="FX759" s="27" t="s">
        <v>7</v>
      </c>
      <c r="FY759" s="27" t="s">
        <v>8</v>
      </c>
      <c r="FZ759" s="27" t="s">
        <v>7</v>
      </c>
      <c r="GA759" s="27" t="s">
        <v>8</v>
      </c>
      <c r="HQ759" s="27" t="s">
        <v>8</v>
      </c>
      <c r="HS759" s="27" t="s">
        <v>8</v>
      </c>
      <c r="HT759" s="27" t="s">
        <v>7</v>
      </c>
      <c r="HU759" s="27" t="s">
        <v>8</v>
      </c>
      <c r="HV759" s="27" t="s">
        <v>7</v>
      </c>
      <c r="HW759" s="27" t="s">
        <v>8</v>
      </c>
      <c r="HZ759" s="27" t="s">
        <v>7</v>
      </c>
      <c r="IA759" s="27" t="s">
        <v>8</v>
      </c>
      <c r="IB759" s="27" t="s">
        <v>7</v>
      </c>
      <c r="ID759" s="27" t="s">
        <v>7</v>
      </c>
      <c r="IE759" s="27" t="s">
        <v>8</v>
      </c>
      <c r="IF759" s="27" t="s">
        <v>7</v>
      </c>
      <c r="IH759" s="27" t="s">
        <v>7</v>
      </c>
      <c r="IQ759" s="27" t="s">
        <v>8</v>
      </c>
      <c r="IR759" s="27" t="s">
        <v>7</v>
      </c>
      <c r="IS759" s="27" t="s">
        <v>8</v>
      </c>
      <c r="IW759" s="27" t="s">
        <v>8</v>
      </c>
      <c r="IX759" s="27" t="s">
        <v>7</v>
      </c>
      <c r="IY759" s="27" t="s">
        <v>8</v>
      </c>
      <c r="JA759" s="27" t="s">
        <v>8</v>
      </c>
      <c r="JB759" s="27" t="s">
        <v>7</v>
      </c>
      <c r="JC759" s="27" t="s">
        <v>8</v>
      </c>
      <c r="JD759" s="27" t="s">
        <v>7</v>
      </c>
      <c r="JE759" s="27" t="s">
        <v>8</v>
      </c>
      <c r="JF759" s="27" t="s">
        <v>7</v>
      </c>
      <c r="JI759" s="27" t="s">
        <v>8</v>
      </c>
      <c r="JJ759" s="27" t="s">
        <v>7</v>
      </c>
      <c r="JK759" s="27" t="s">
        <v>8</v>
      </c>
      <c r="JL759" s="27" t="s">
        <v>7</v>
      </c>
      <c r="JM759" s="27" t="s">
        <v>8</v>
      </c>
      <c r="JN759" s="27" t="s">
        <v>7</v>
      </c>
      <c r="JQ759" s="27" t="s">
        <v>8</v>
      </c>
      <c r="JR759" s="27" t="s">
        <v>7</v>
      </c>
    </row>
    <row r="760" spans="1:282" x14ac:dyDescent="0.25">
      <c r="A760" s="7">
        <v>3.2521478785124451E-2</v>
      </c>
      <c r="B760"/>
      <c r="C760"/>
      <c r="D760"/>
      <c r="E760"/>
      <c r="F760" s="27" t="s">
        <v>7</v>
      </c>
      <c r="EM760" s="27" t="s">
        <v>8</v>
      </c>
      <c r="FJ760" s="27" t="s">
        <v>7</v>
      </c>
      <c r="FK760" s="27" t="s">
        <v>8</v>
      </c>
      <c r="FX760" s="27" t="s">
        <v>7</v>
      </c>
      <c r="FZ760" s="27" t="s">
        <v>7</v>
      </c>
      <c r="GA760" s="27" t="s">
        <v>8</v>
      </c>
      <c r="GB760" s="27" t="s">
        <v>7</v>
      </c>
      <c r="HM760" s="27" t="s">
        <v>8</v>
      </c>
      <c r="HQ760" s="27" t="s">
        <v>8</v>
      </c>
      <c r="HR760" s="27" t="s">
        <v>7</v>
      </c>
      <c r="HS760" s="27" t="s">
        <v>8</v>
      </c>
      <c r="HT760" s="27" t="s">
        <v>7</v>
      </c>
      <c r="HU760" s="27" t="s">
        <v>8</v>
      </c>
      <c r="HV760" s="27" t="s">
        <v>7</v>
      </c>
      <c r="HW760" s="27" t="s">
        <v>8</v>
      </c>
      <c r="HZ760" s="27" t="s">
        <v>7</v>
      </c>
      <c r="IA760" s="27" t="s">
        <v>8</v>
      </c>
      <c r="ID760" s="27" t="s">
        <v>7</v>
      </c>
      <c r="IE760" s="27" t="s">
        <v>8</v>
      </c>
      <c r="IH760" s="27" t="s">
        <v>7</v>
      </c>
      <c r="IQ760" s="27" t="s">
        <v>8</v>
      </c>
      <c r="IR760" s="27" t="s">
        <v>7</v>
      </c>
      <c r="IS760" s="27" t="s">
        <v>8</v>
      </c>
      <c r="IT760" s="27" t="s">
        <v>7</v>
      </c>
      <c r="IU760" s="27" t="s">
        <v>8</v>
      </c>
      <c r="IW760" s="27" t="s">
        <v>8</v>
      </c>
      <c r="IX760" s="27" t="s">
        <v>7</v>
      </c>
      <c r="IY760" s="27" t="s">
        <v>8</v>
      </c>
      <c r="IZ760" s="27" t="s">
        <v>7</v>
      </c>
      <c r="JA760" s="27" t="s">
        <v>8</v>
      </c>
      <c r="JB760" s="27" t="s">
        <v>7</v>
      </c>
      <c r="JC760" s="27" t="s">
        <v>8</v>
      </c>
      <c r="JD760" s="27" t="s">
        <v>7</v>
      </c>
      <c r="JE760" s="27" t="s">
        <v>8</v>
      </c>
      <c r="JF760" s="27" t="s">
        <v>7</v>
      </c>
      <c r="JI760" s="27" t="s">
        <v>8</v>
      </c>
      <c r="JJ760" s="27" t="s">
        <v>7</v>
      </c>
      <c r="JK760" s="27" t="s">
        <v>8</v>
      </c>
      <c r="JL760" s="27" t="s">
        <v>7</v>
      </c>
      <c r="JM760" s="27" t="s">
        <v>8</v>
      </c>
      <c r="JN760" s="27" t="s">
        <v>7</v>
      </c>
      <c r="JQ760" s="27" t="s">
        <v>8</v>
      </c>
      <c r="JR760" s="27" t="s">
        <v>7</v>
      </c>
    </row>
    <row r="761" spans="1:282" x14ac:dyDescent="0.25">
      <c r="A761" s="7">
        <v>3.1883802730514173E-2</v>
      </c>
      <c r="B761"/>
      <c r="C761"/>
      <c r="D761"/>
      <c r="E761"/>
      <c r="F761" s="27" t="s">
        <v>7</v>
      </c>
      <c r="EM761" s="27" t="s">
        <v>8</v>
      </c>
      <c r="FJ761" s="27" t="s">
        <v>7</v>
      </c>
      <c r="FK761" s="27" t="s">
        <v>8</v>
      </c>
      <c r="FZ761" s="27" t="s">
        <v>7</v>
      </c>
      <c r="GA761" s="27" t="s">
        <v>8</v>
      </c>
      <c r="GB761" s="27" t="s">
        <v>7</v>
      </c>
      <c r="GE761" s="27" t="s">
        <v>8</v>
      </c>
      <c r="HM761" s="27" t="s">
        <v>8</v>
      </c>
      <c r="HN761" s="27" t="s">
        <v>7</v>
      </c>
      <c r="HQ761" s="27" t="s">
        <v>8</v>
      </c>
      <c r="HR761" s="27" t="s">
        <v>7</v>
      </c>
      <c r="HS761" s="27" t="s">
        <v>8</v>
      </c>
      <c r="HT761" s="27" t="s">
        <v>7</v>
      </c>
      <c r="HU761" s="27" t="s">
        <v>8</v>
      </c>
      <c r="HV761" s="27" t="s">
        <v>7</v>
      </c>
      <c r="HW761" s="27" t="s">
        <v>8</v>
      </c>
      <c r="HZ761" s="27" t="s">
        <v>7</v>
      </c>
      <c r="IA761" s="27" t="s">
        <v>8</v>
      </c>
      <c r="ID761" s="27" t="s">
        <v>7</v>
      </c>
      <c r="IE761" s="27" t="s">
        <v>8</v>
      </c>
      <c r="IH761" s="27" t="s">
        <v>7</v>
      </c>
      <c r="IO761" s="27" t="s">
        <v>8</v>
      </c>
      <c r="IQ761" s="27" t="s">
        <v>8</v>
      </c>
      <c r="IR761" s="27" t="s">
        <v>7</v>
      </c>
      <c r="IS761" s="27" t="s">
        <v>8</v>
      </c>
      <c r="IT761" s="27" t="s">
        <v>7</v>
      </c>
      <c r="IU761" s="27" t="s">
        <v>8</v>
      </c>
      <c r="IV761" s="27" t="s">
        <v>7</v>
      </c>
      <c r="IW761" s="27" t="s">
        <v>8</v>
      </c>
      <c r="IX761" s="27" t="s">
        <v>7</v>
      </c>
      <c r="IY761" s="27" t="s">
        <v>8</v>
      </c>
      <c r="IZ761" s="27" t="s">
        <v>7</v>
      </c>
      <c r="JA761" s="27" t="s">
        <v>8</v>
      </c>
      <c r="JB761" s="27" t="s">
        <v>7</v>
      </c>
      <c r="JC761" s="27" t="s">
        <v>8</v>
      </c>
      <c r="JD761" s="27" t="s">
        <v>7</v>
      </c>
      <c r="JE761" s="27" t="s">
        <v>8</v>
      </c>
      <c r="JF761" s="27" t="s">
        <v>7</v>
      </c>
      <c r="JG761" s="27" t="s">
        <v>8</v>
      </c>
      <c r="JI761" s="27" t="s">
        <v>8</v>
      </c>
      <c r="JJ761" s="27" t="s">
        <v>7</v>
      </c>
      <c r="JK761" s="27" t="s">
        <v>8</v>
      </c>
      <c r="JL761" s="27" t="s">
        <v>7</v>
      </c>
      <c r="JM761" s="27" t="s">
        <v>8</v>
      </c>
      <c r="JN761" s="27" t="s">
        <v>7</v>
      </c>
      <c r="JO761" s="27" t="s">
        <v>8</v>
      </c>
      <c r="JQ761" s="27" t="s">
        <v>8</v>
      </c>
      <c r="JR761" s="27" t="s">
        <v>7</v>
      </c>
    </row>
    <row r="762" spans="1:282" x14ac:dyDescent="0.25">
      <c r="A762" s="7">
        <v>3.1258630127955073E-2</v>
      </c>
      <c r="B762"/>
      <c r="C762"/>
      <c r="D762"/>
      <c r="E762"/>
      <c r="F762" s="27" t="s">
        <v>7</v>
      </c>
      <c r="EM762" s="27" t="s">
        <v>8</v>
      </c>
      <c r="FJ762" s="27" t="s">
        <v>7</v>
      </c>
      <c r="FK762" s="27" t="s">
        <v>8</v>
      </c>
      <c r="FZ762" s="27" t="s">
        <v>7</v>
      </c>
      <c r="GA762" s="27" t="s">
        <v>8</v>
      </c>
      <c r="GB762" s="27" t="s">
        <v>7</v>
      </c>
      <c r="GE762" s="27" t="s">
        <v>8</v>
      </c>
      <c r="GF762" s="27" t="s">
        <v>7</v>
      </c>
      <c r="HM762" s="27" t="s">
        <v>8</v>
      </c>
      <c r="HN762" s="27" t="s">
        <v>7</v>
      </c>
      <c r="HO762" s="27" t="s">
        <v>8</v>
      </c>
      <c r="HQ762" s="27" t="s">
        <v>8</v>
      </c>
      <c r="HR762" s="27" t="s">
        <v>7</v>
      </c>
      <c r="HS762" s="27" t="s">
        <v>8</v>
      </c>
      <c r="HT762" s="27" t="s">
        <v>7</v>
      </c>
      <c r="HU762" s="27" t="s">
        <v>8</v>
      </c>
      <c r="HV762" s="27" t="s">
        <v>7</v>
      </c>
      <c r="HZ762" s="27" t="s">
        <v>7</v>
      </c>
      <c r="IA762" s="27" t="s">
        <v>8</v>
      </c>
      <c r="ID762" s="27" t="s">
        <v>7</v>
      </c>
      <c r="IH762" s="27" t="s">
        <v>7</v>
      </c>
      <c r="IO762" s="27" t="s">
        <v>8</v>
      </c>
      <c r="IP762" s="27" t="s">
        <v>7</v>
      </c>
      <c r="IQ762" s="27" t="s">
        <v>8</v>
      </c>
      <c r="IR762" s="27" t="s">
        <v>7</v>
      </c>
      <c r="IS762" s="27" t="s">
        <v>8</v>
      </c>
      <c r="IT762" s="27" t="s">
        <v>7</v>
      </c>
      <c r="IU762" s="27" t="s">
        <v>8</v>
      </c>
      <c r="IV762" s="27" t="s">
        <v>7</v>
      </c>
      <c r="IW762" s="27" t="s">
        <v>8</v>
      </c>
      <c r="IX762" s="27" t="s">
        <v>7</v>
      </c>
      <c r="IY762" s="27" t="s">
        <v>8</v>
      </c>
      <c r="IZ762" s="27" t="s">
        <v>7</v>
      </c>
      <c r="JA762" s="27" t="s">
        <v>8</v>
      </c>
      <c r="JB762" s="27" t="s">
        <v>7</v>
      </c>
      <c r="JC762" s="27" t="s">
        <v>8</v>
      </c>
      <c r="JD762" s="27" t="s">
        <v>7</v>
      </c>
      <c r="JF762" s="27" t="s">
        <v>7</v>
      </c>
      <c r="JG762" s="27" t="s">
        <v>8</v>
      </c>
      <c r="JH762" s="27" t="s">
        <v>7</v>
      </c>
      <c r="JI762" s="27" t="s">
        <v>8</v>
      </c>
      <c r="JJ762" s="27" t="s">
        <v>7</v>
      </c>
      <c r="JK762" s="27" t="s">
        <v>8</v>
      </c>
      <c r="JL762" s="27" t="s">
        <v>7</v>
      </c>
      <c r="JM762" s="27" t="s">
        <v>8</v>
      </c>
      <c r="JN762" s="27" t="s">
        <v>7</v>
      </c>
      <c r="JO762" s="27" t="s">
        <v>8</v>
      </c>
      <c r="JP762" s="27" t="s">
        <v>7</v>
      </c>
      <c r="JQ762" s="27" t="s">
        <v>8</v>
      </c>
      <c r="JR762" s="27" t="s">
        <v>7</v>
      </c>
    </row>
    <row r="763" spans="1:282" x14ac:dyDescent="0.25">
      <c r="A763" s="7">
        <v>3.064571581172066E-2</v>
      </c>
      <c r="B763"/>
      <c r="C763"/>
      <c r="D763"/>
      <c r="E763"/>
      <c r="F763" s="27" t="s">
        <v>7</v>
      </c>
      <c r="EM763" s="27" t="s">
        <v>8</v>
      </c>
      <c r="FJ763" s="27" t="s">
        <v>7</v>
      </c>
      <c r="FK763" s="27" t="s">
        <v>8</v>
      </c>
      <c r="FZ763" s="27" t="s">
        <v>7</v>
      </c>
      <c r="GA763" s="27" t="s">
        <v>8</v>
      </c>
      <c r="GB763" s="27" t="s">
        <v>7</v>
      </c>
      <c r="GE763" s="27" t="s">
        <v>8</v>
      </c>
      <c r="GF763" s="27" t="s">
        <v>7</v>
      </c>
      <c r="HM763" s="27" t="s">
        <v>8</v>
      </c>
      <c r="HN763" s="27" t="s">
        <v>7</v>
      </c>
      <c r="HO763" s="27" t="s">
        <v>8</v>
      </c>
      <c r="HP763" s="27" t="s">
        <v>7</v>
      </c>
      <c r="HQ763" s="27" t="s">
        <v>8</v>
      </c>
      <c r="HR763" s="27" t="s">
        <v>7</v>
      </c>
      <c r="HS763" s="27" t="s">
        <v>8</v>
      </c>
      <c r="HT763" s="27" t="s">
        <v>7</v>
      </c>
      <c r="HU763" s="27" t="s">
        <v>8</v>
      </c>
      <c r="HZ763" s="27" t="s">
        <v>7</v>
      </c>
      <c r="IA763" s="27" t="s">
        <v>8</v>
      </c>
      <c r="IH763" s="27" t="s">
        <v>7</v>
      </c>
      <c r="IO763" s="27" t="s">
        <v>8</v>
      </c>
      <c r="IP763" s="27" t="s">
        <v>7</v>
      </c>
      <c r="IQ763" s="27" t="s">
        <v>8</v>
      </c>
      <c r="IR763" s="27" t="s">
        <v>7</v>
      </c>
      <c r="IS763" s="27" t="s">
        <v>8</v>
      </c>
      <c r="IT763" s="27" t="s">
        <v>7</v>
      </c>
      <c r="IV763" s="27" t="s">
        <v>7</v>
      </c>
      <c r="IW763" s="27" t="s">
        <v>8</v>
      </c>
      <c r="IX763" s="27" t="s">
        <v>7</v>
      </c>
      <c r="IY763" s="27" t="s">
        <v>8</v>
      </c>
      <c r="IZ763" s="27" t="s">
        <v>7</v>
      </c>
      <c r="JA763" s="27" t="s">
        <v>8</v>
      </c>
      <c r="JB763" s="27" t="s">
        <v>7</v>
      </c>
      <c r="JF763" s="27" t="s">
        <v>7</v>
      </c>
      <c r="JG763" s="27" t="s">
        <v>8</v>
      </c>
      <c r="JH763" s="27" t="s">
        <v>7</v>
      </c>
      <c r="JI763" s="27" t="s">
        <v>8</v>
      </c>
      <c r="JJ763" s="27" t="s">
        <v>7</v>
      </c>
      <c r="JK763" s="27" t="s">
        <v>8</v>
      </c>
      <c r="JL763" s="27" t="s">
        <v>7</v>
      </c>
      <c r="JM763" s="27" t="s">
        <v>8</v>
      </c>
      <c r="JN763" s="27" t="s">
        <v>7</v>
      </c>
      <c r="JO763" s="27" t="s">
        <v>8</v>
      </c>
      <c r="JP763" s="27" t="s">
        <v>7</v>
      </c>
      <c r="JQ763" s="27" t="s">
        <v>8</v>
      </c>
      <c r="JR763" s="27" t="s">
        <v>7</v>
      </c>
    </row>
    <row r="764" spans="1:282" x14ac:dyDescent="0.25">
      <c r="A764" s="7">
        <v>3.0044819423255549E-2</v>
      </c>
      <c r="B764"/>
      <c r="C764"/>
      <c r="D764"/>
      <c r="E764"/>
      <c r="F764" s="27" t="s">
        <v>7</v>
      </c>
      <c r="EM764" s="27" t="s">
        <v>8</v>
      </c>
      <c r="FJ764" s="27" t="s">
        <v>7</v>
      </c>
      <c r="FZ764" s="27" t="s">
        <v>7</v>
      </c>
      <c r="GA764" s="27" t="s">
        <v>8</v>
      </c>
      <c r="GB764" s="27" t="s">
        <v>7</v>
      </c>
      <c r="GE764" s="27" t="s">
        <v>8</v>
      </c>
      <c r="GF764" s="27" t="s">
        <v>7</v>
      </c>
      <c r="HM764" s="27" t="s">
        <v>8</v>
      </c>
      <c r="HN764" s="27" t="s">
        <v>7</v>
      </c>
      <c r="HO764" s="27" t="s">
        <v>8</v>
      </c>
      <c r="HP764" s="27" t="s">
        <v>7</v>
      </c>
      <c r="HQ764" s="27" t="s">
        <v>8</v>
      </c>
      <c r="HR764" s="27" t="s">
        <v>7</v>
      </c>
      <c r="HS764" s="27" t="s">
        <v>8</v>
      </c>
      <c r="HT764" s="27" t="s">
        <v>7</v>
      </c>
      <c r="HU764" s="27" t="s">
        <v>8</v>
      </c>
      <c r="HZ764" s="27" t="s">
        <v>7</v>
      </c>
      <c r="IA764" s="27" t="s">
        <v>8</v>
      </c>
      <c r="IH764" s="27" t="s">
        <v>7</v>
      </c>
      <c r="IO764" s="27" t="s">
        <v>8</v>
      </c>
      <c r="IP764" s="27" t="s">
        <v>7</v>
      </c>
      <c r="IQ764" s="27" t="s">
        <v>8</v>
      </c>
      <c r="IR764" s="27" t="s">
        <v>7</v>
      </c>
      <c r="IV764" s="27" t="s">
        <v>7</v>
      </c>
      <c r="IW764" s="27" t="s">
        <v>8</v>
      </c>
      <c r="IX764" s="27" t="s">
        <v>7</v>
      </c>
      <c r="IZ764" s="27" t="s">
        <v>7</v>
      </c>
      <c r="JA764" s="27" t="s">
        <v>8</v>
      </c>
      <c r="JF764" s="27" t="s">
        <v>7</v>
      </c>
      <c r="JG764" s="27" t="s">
        <v>8</v>
      </c>
      <c r="JH764" s="27" t="s">
        <v>7</v>
      </c>
      <c r="JI764" s="27" t="s">
        <v>8</v>
      </c>
      <c r="JJ764" s="27" t="s">
        <v>7</v>
      </c>
      <c r="JK764" s="27" t="s">
        <v>8</v>
      </c>
      <c r="JL764" s="27" t="s">
        <v>7</v>
      </c>
      <c r="JM764" s="27" t="s">
        <v>8</v>
      </c>
      <c r="JN764" s="27" t="s">
        <v>7</v>
      </c>
      <c r="JP764" s="27" t="s">
        <v>7</v>
      </c>
      <c r="JQ764" s="27" t="s">
        <v>8</v>
      </c>
      <c r="JR764" s="27" t="s">
        <v>7</v>
      </c>
    </row>
    <row r="765" spans="1:282" x14ac:dyDescent="0.25">
      <c r="A765" s="7">
        <v>2.9455705316917203E-2</v>
      </c>
      <c r="B765"/>
      <c r="C765"/>
      <c r="D765"/>
      <c r="E765"/>
      <c r="F765" s="27" t="s">
        <v>7</v>
      </c>
      <c r="EM765" s="27" t="s">
        <v>8</v>
      </c>
      <c r="FZ765" s="27" t="s">
        <v>7</v>
      </c>
      <c r="GA765" s="27" t="s">
        <v>8</v>
      </c>
      <c r="GB765" s="27" t="s">
        <v>7</v>
      </c>
      <c r="GE765" s="27" t="s">
        <v>8</v>
      </c>
      <c r="GF765" s="27" t="s">
        <v>7</v>
      </c>
      <c r="HM765" s="27" t="s">
        <v>8</v>
      </c>
      <c r="HN765" s="27" t="s">
        <v>7</v>
      </c>
      <c r="HO765" s="27" t="s">
        <v>8</v>
      </c>
      <c r="HP765" s="27" t="s">
        <v>7</v>
      </c>
      <c r="HQ765" s="27" t="s">
        <v>8</v>
      </c>
      <c r="HR765" s="27" t="s">
        <v>7</v>
      </c>
      <c r="HS765" s="27" t="s">
        <v>8</v>
      </c>
      <c r="HT765" s="27" t="s">
        <v>7</v>
      </c>
      <c r="HU765" s="27" t="s">
        <v>8</v>
      </c>
      <c r="HZ765" s="27" t="s">
        <v>7</v>
      </c>
      <c r="IA765" s="27" t="s">
        <v>8</v>
      </c>
      <c r="IH765" s="27" t="s">
        <v>7</v>
      </c>
      <c r="IO765" s="27" t="s">
        <v>8</v>
      </c>
      <c r="IP765" s="27" t="s">
        <v>7</v>
      </c>
      <c r="IQ765" s="27" t="s">
        <v>8</v>
      </c>
      <c r="IV765" s="27" t="s">
        <v>7</v>
      </c>
      <c r="IW765" s="27" t="s">
        <v>8</v>
      </c>
      <c r="IZ765" s="27" t="s">
        <v>7</v>
      </c>
      <c r="JA765" s="27" t="s">
        <v>8</v>
      </c>
      <c r="JF765" s="27" t="s">
        <v>7</v>
      </c>
      <c r="JG765" s="27" t="s">
        <v>8</v>
      </c>
      <c r="JH765" s="27" t="s">
        <v>7</v>
      </c>
      <c r="JI765" s="27" t="s">
        <v>8</v>
      </c>
      <c r="JJ765" s="27" t="s">
        <v>7</v>
      </c>
      <c r="JK765" s="27" t="s">
        <v>8</v>
      </c>
      <c r="JL765" s="27" t="s">
        <v>7</v>
      </c>
      <c r="JM765" s="27" t="s">
        <v>8</v>
      </c>
      <c r="JP765" s="27" t="s">
        <v>7</v>
      </c>
      <c r="JQ765" s="27" t="s">
        <v>8</v>
      </c>
      <c r="JR765" s="27" t="s">
        <v>7</v>
      </c>
    </row>
    <row r="766" spans="1:282" x14ac:dyDescent="0.25">
      <c r="A766" s="7">
        <v>2.8878142467565884E-2</v>
      </c>
      <c r="B766"/>
      <c r="C766"/>
      <c r="D766"/>
      <c r="E766"/>
      <c r="F766" s="27" t="s">
        <v>7</v>
      </c>
      <c r="EM766" s="27" t="s">
        <v>8</v>
      </c>
      <c r="FZ766" s="27" t="s">
        <v>7</v>
      </c>
      <c r="GA766" s="27" t="s">
        <v>8</v>
      </c>
      <c r="GB766" s="27" t="s">
        <v>7</v>
      </c>
      <c r="GE766" s="27" t="s">
        <v>8</v>
      </c>
      <c r="GF766" s="27" t="s">
        <v>7</v>
      </c>
      <c r="GM766" s="27" t="s">
        <v>8</v>
      </c>
      <c r="HM766" s="27" t="s">
        <v>8</v>
      </c>
      <c r="HN766" s="27" t="s">
        <v>7</v>
      </c>
      <c r="HO766" s="27" t="s">
        <v>8</v>
      </c>
      <c r="HP766" s="27" t="s">
        <v>7</v>
      </c>
      <c r="HQ766" s="27" t="s">
        <v>8</v>
      </c>
      <c r="HR766" s="27" t="s">
        <v>7</v>
      </c>
      <c r="HS766" s="27" t="s">
        <v>8</v>
      </c>
      <c r="HT766" s="27" t="s">
        <v>7</v>
      </c>
      <c r="HU766" s="27" t="s">
        <v>8</v>
      </c>
      <c r="HZ766" s="27" t="s">
        <v>7</v>
      </c>
      <c r="IH766" s="27" t="s">
        <v>7</v>
      </c>
      <c r="II766" s="27" t="s">
        <v>8</v>
      </c>
      <c r="IO766" s="27" t="s">
        <v>8</v>
      </c>
      <c r="IP766" s="27" t="s">
        <v>7</v>
      </c>
      <c r="IQ766" s="27" t="s">
        <v>8</v>
      </c>
      <c r="IV766" s="27" t="s">
        <v>7</v>
      </c>
      <c r="IZ766" s="27" t="s">
        <v>7</v>
      </c>
      <c r="JA766" s="27" t="s">
        <v>8</v>
      </c>
      <c r="JF766" s="27" t="s">
        <v>7</v>
      </c>
      <c r="JG766" s="27" t="s">
        <v>8</v>
      </c>
      <c r="JH766" s="27" t="s">
        <v>7</v>
      </c>
      <c r="JI766" s="27" t="s">
        <v>8</v>
      </c>
      <c r="JJ766" s="27" t="s">
        <v>7</v>
      </c>
      <c r="JK766" s="27" t="s">
        <v>8</v>
      </c>
      <c r="JL766" s="27" t="s">
        <v>7</v>
      </c>
      <c r="JP766" s="27" t="s">
        <v>7</v>
      </c>
      <c r="JQ766" s="27" t="s">
        <v>8</v>
      </c>
      <c r="JR766" s="27" t="s">
        <v>7</v>
      </c>
      <c r="JU766" s="27" t="s">
        <v>8</v>
      </c>
    </row>
    <row r="767" spans="1:282" x14ac:dyDescent="0.25">
      <c r="A767" s="7">
        <v>2.8311904379966554E-2</v>
      </c>
      <c r="B767"/>
      <c r="C767"/>
      <c r="D767"/>
      <c r="E767"/>
      <c r="F767" s="27" t="s">
        <v>7</v>
      </c>
      <c r="EM767" s="27" t="s">
        <v>8</v>
      </c>
      <c r="FZ767" s="27" t="s">
        <v>7</v>
      </c>
      <c r="GA767" s="27" t="s">
        <v>8</v>
      </c>
      <c r="GB767" s="27" t="s">
        <v>7</v>
      </c>
      <c r="GE767" s="27" t="s">
        <v>8</v>
      </c>
      <c r="GF767" s="27" t="s">
        <v>7</v>
      </c>
      <c r="GM767" s="27" t="s">
        <v>8</v>
      </c>
      <c r="GN767" s="27" t="s">
        <v>7</v>
      </c>
      <c r="HK767" s="27" t="s">
        <v>8</v>
      </c>
      <c r="HM767" s="27" t="s">
        <v>8</v>
      </c>
      <c r="HN767" s="27" t="s">
        <v>7</v>
      </c>
      <c r="HO767" s="27" t="s">
        <v>8</v>
      </c>
      <c r="HP767" s="27" t="s">
        <v>7</v>
      </c>
      <c r="HR767" s="27" t="s">
        <v>7</v>
      </c>
      <c r="HS767" s="27" t="s">
        <v>8</v>
      </c>
      <c r="HT767" s="27" t="s">
        <v>7</v>
      </c>
      <c r="HU767" s="27" t="s">
        <v>8</v>
      </c>
      <c r="IH767" s="27" t="s">
        <v>7</v>
      </c>
      <c r="II767" s="27" t="s">
        <v>8</v>
      </c>
      <c r="IJ767" s="27" t="s">
        <v>7</v>
      </c>
      <c r="IO767" s="27" t="s">
        <v>8</v>
      </c>
      <c r="IP767" s="27" t="s">
        <v>7</v>
      </c>
      <c r="IZ767" s="27" t="s">
        <v>7</v>
      </c>
      <c r="JA767" s="27" t="s">
        <v>8</v>
      </c>
      <c r="JF767" s="27" t="s">
        <v>7</v>
      </c>
      <c r="JG767" s="27" t="s">
        <v>8</v>
      </c>
      <c r="JH767" s="27" t="s">
        <v>7</v>
      </c>
      <c r="JI767" s="27" t="s">
        <v>8</v>
      </c>
      <c r="JJ767" s="27" t="s">
        <v>7</v>
      </c>
      <c r="JK767" s="27" t="s">
        <v>8</v>
      </c>
      <c r="JP767" s="27" t="s">
        <v>7</v>
      </c>
      <c r="JR767" s="27" t="s">
        <v>7</v>
      </c>
      <c r="JU767" s="27" t="s">
        <v>8</v>
      </c>
      <c r="JV767" s="27" t="s">
        <v>7</v>
      </c>
    </row>
    <row r="768" spans="1:282" x14ac:dyDescent="0.25">
      <c r="A768" s="7">
        <v>2.7756768999967207E-2</v>
      </c>
      <c r="B768"/>
      <c r="C768"/>
      <c r="D768"/>
      <c r="E768"/>
      <c r="F768" s="27" t="s">
        <v>7</v>
      </c>
      <c r="EK768" s="27" t="s">
        <v>8</v>
      </c>
      <c r="EM768" s="27" t="s">
        <v>8</v>
      </c>
      <c r="FZ768" s="27" t="s">
        <v>7</v>
      </c>
      <c r="GA768" s="27" t="s">
        <v>8</v>
      </c>
      <c r="GB768" s="27" t="s">
        <v>7</v>
      </c>
      <c r="GC768" s="27" t="s">
        <v>8</v>
      </c>
      <c r="GE768" s="27" t="s">
        <v>8</v>
      </c>
      <c r="GF768" s="27" t="s">
        <v>7</v>
      </c>
      <c r="GK768" s="27" t="s">
        <v>8</v>
      </c>
      <c r="GM768" s="27" t="s">
        <v>8</v>
      </c>
      <c r="GN768" s="27" t="s">
        <v>7</v>
      </c>
      <c r="HK768" s="27" t="s">
        <v>8</v>
      </c>
      <c r="HL768" s="27" t="s">
        <v>7</v>
      </c>
      <c r="HM768" s="27" t="s">
        <v>8</v>
      </c>
      <c r="HN768" s="27" t="s">
        <v>7</v>
      </c>
      <c r="HR768" s="27" t="s">
        <v>7</v>
      </c>
      <c r="HS768" s="27" t="s">
        <v>8</v>
      </c>
      <c r="HT768" s="27" t="s">
        <v>7</v>
      </c>
      <c r="HU768" s="27" t="s">
        <v>8</v>
      </c>
      <c r="IH768" s="27" t="s">
        <v>7</v>
      </c>
      <c r="II768" s="27" t="s">
        <v>8</v>
      </c>
      <c r="IJ768" s="27" t="s">
        <v>7</v>
      </c>
      <c r="IK768" s="27" t="s">
        <v>8</v>
      </c>
      <c r="IO768" s="27" t="s">
        <v>8</v>
      </c>
      <c r="IZ768" s="27" t="s">
        <v>7</v>
      </c>
      <c r="JA768" s="27" t="s">
        <v>8</v>
      </c>
      <c r="JF768" s="27" t="s">
        <v>7</v>
      </c>
      <c r="JH768" s="27" t="s">
        <v>7</v>
      </c>
      <c r="JI768" s="27" t="s">
        <v>8</v>
      </c>
      <c r="JJ768" s="27" t="s">
        <v>7</v>
      </c>
      <c r="JR768" s="27" t="s">
        <v>7</v>
      </c>
      <c r="JU768" s="27" t="s">
        <v>8</v>
      </c>
      <c r="JV768" s="27" t="s">
        <v>7</v>
      </c>
    </row>
    <row r="769" spans="1:292" x14ac:dyDescent="0.25">
      <c r="A769" s="7">
        <v>2.7212518627418834E-2</v>
      </c>
      <c r="B769"/>
      <c r="C769"/>
      <c r="D769"/>
      <c r="E769"/>
      <c r="F769" s="27" t="s">
        <v>7</v>
      </c>
      <c r="EK769" s="27" t="s">
        <v>8</v>
      </c>
      <c r="EL769" s="27" t="s">
        <v>7</v>
      </c>
      <c r="EM769" s="27" t="s">
        <v>8</v>
      </c>
      <c r="FZ769" s="27" t="s">
        <v>7</v>
      </c>
      <c r="GA769" s="27" t="s">
        <v>8</v>
      </c>
      <c r="GB769" s="27" t="s">
        <v>7</v>
      </c>
      <c r="GC769" s="27" t="s">
        <v>8</v>
      </c>
      <c r="GD769" s="27" t="s">
        <v>7</v>
      </c>
      <c r="GE769" s="27" t="s">
        <v>8</v>
      </c>
      <c r="GF769" s="27" t="s">
        <v>7</v>
      </c>
      <c r="GI769" s="27" t="s">
        <v>8</v>
      </c>
      <c r="GK769" s="27" t="s">
        <v>8</v>
      </c>
      <c r="GL769" s="27" t="s">
        <v>7</v>
      </c>
      <c r="GM769" s="27" t="s">
        <v>8</v>
      </c>
      <c r="GN769" s="27" t="s">
        <v>7</v>
      </c>
      <c r="HK769" s="27" t="s">
        <v>8</v>
      </c>
      <c r="HL769" s="27" t="s">
        <v>7</v>
      </c>
      <c r="HM769" s="27" t="s">
        <v>8</v>
      </c>
      <c r="HR769" s="27" t="s">
        <v>7</v>
      </c>
      <c r="HS769" s="27" t="s">
        <v>8</v>
      </c>
      <c r="HT769" s="27" t="s">
        <v>7</v>
      </c>
      <c r="IH769" s="27" t="s">
        <v>7</v>
      </c>
      <c r="II769" s="27" t="s">
        <v>8</v>
      </c>
      <c r="IJ769" s="27" t="s">
        <v>7</v>
      </c>
      <c r="IK769" s="27" t="s">
        <v>8</v>
      </c>
      <c r="IL769" s="27" t="s">
        <v>7</v>
      </c>
      <c r="IO769" s="27" t="s">
        <v>8</v>
      </c>
      <c r="IZ769" s="27" t="s">
        <v>7</v>
      </c>
      <c r="JA769" s="27" t="s">
        <v>8</v>
      </c>
      <c r="JH769" s="27" t="s">
        <v>7</v>
      </c>
      <c r="JR769" s="27" t="s">
        <v>7</v>
      </c>
      <c r="JU769" s="27" t="s">
        <v>8</v>
      </c>
      <c r="JV769" s="27" t="s">
        <v>7</v>
      </c>
    </row>
    <row r="770" spans="1:292" x14ac:dyDescent="0.25">
      <c r="A770" s="7">
        <v>2.6678939830802779E-2</v>
      </c>
      <c r="B770"/>
      <c r="C770"/>
      <c r="D770"/>
      <c r="E770"/>
      <c r="F770" s="27" t="s">
        <v>7</v>
      </c>
      <c r="EK770" s="27" t="s">
        <v>8</v>
      </c>
      <c r="EL770" s="27" t="s">
        <v>7</v>
      </c>
      <c r="EM770" s="27" t="s">
        <v>8</v>
      </c>
      <c r="FZ770" s="27" t="s">
        <v>7</v>
      </c>
      <c r="GA770" s="27" t="s">
        <v>8</v>
      </c>
      <c r="GB770" s="27" t="s">
        <v>7</v>
      </c>
      <c r="GC770" s="27" t="s">
        <v>8</v>
      </c>
      <c r="GD770" s="27" t="s">
        <v>7</v>
      </c>
      <c r="GE770" s="27" t="s">
        <v>8</v>
      </c>
      <c r="GF770" s="27" t="s">
        <v>7</v>
      </c>
      <c r="GI770" s="27" t="s">
        <v>8</v>
      </c>
      <c r="GJ770" s="27" t="s">
        <v>7</v>
      </c>
      <c r="GK770" s="27" t="s">
        <v>8</v>
      </c>
      <c r="GL770" s="27" t="s">
        <v>7</v>
      </c>
      <c r="GM770" s="27" t="s">
        <v>8</v>
      </c>
      <c r="GN770" s="27" t="s">
        <v>7</v>
      </c>
      <c r="HK770" s="27" t="s">
        <v>8</v>
      </c>
      <c r="HL770" s="27" t="s">
        <v>7</v>
      </c>
      <c r="HM770" s="27" t="s">
        <v>8</v>
      </c>
      <c r="HR770" s="27" t="s">
        <v>7</v>
      </c>
      <c r="HS770" s="27" t="s">
        <v>8</v>
      </c>
      <c r="IH770" s="27" t="s">
        <v>7</v>
      </c>
      <c r="II770" s="27" t="s">
        <v>8</v>
      </c>
      <c r="IJ770" s="27" t="s">
        <v>7</v>
      </c>
      <c r="IK770" s="27" t="s">
        <v>8</v>
      </c>
      <c r="IL770" s="27" t="s">
        <v>7</v>
      </c>
      <c r="IO770" s="27" t="s">
        <v>8</v>
      </c>
      <c r="IZ770" s="27" t="s">
        <v>7</v>
      </c>
      <c r="JA770" s="27" t="s">
        <v>8</v>
      </c>
      <c r="JR770" s="27" t="s">
        <v>7</v>
      </c>
      <c r="JU770" s="27" t="s">
        <v>8</v>
      </c>
      <c r="JV770" s="27" t="s">
        <v>7</v>
      </c>
    </row>
    <row r="771" spans="1:292" x14ac:dyDescent="0.25">
      <c r="A771" s="7">
        <v>2.615582336353214E-2</v>
      </c>
      <c r="B771"/>
      <c r="C771"/>
      <c r="D771"/>
      <c r="E771"/>
      <c r="F771" s="27" t="s">
        <v>7</v>
      </c>
      <c r="EK771" s="27" t="s">
        <v>8</v>
      </c>
      <c r="EL771" s="27" t="s">
        <v>7</v>
      </c>
      <c r="EM771" s="27" t="s">
        <v>8</v>
      </c>
      <c r="FZ771" s="27" t="s">
        <v>7</v>
      </c>
      <c r="GA771" s="27" t="s">
        <v>8</v>
      </c>
      <c r="GB771" s="27" t="s">
        <v>7</v>
      </c>
      <c r="GC771" s="27" t="s">
        <v>8</v>
      </c>
      <c r="GD771" s="27" t="s">
        <v>7</v>
      </c>
      <c r="GE771" s="27" t="s">
        <v>8</v>
      </c>
      <c r="GF771" s="27" t="s">
        <v>7</v>
      </c>
      <c r="GI771" s="27" t="s">
        <v>8</v>
      </c>
      <c r="GJ771" s="27" t="s">
        <v>7</v>
      </c>
      <c r="GK771" s="27" t="s">
        <v>8</v>
      </c>
      <c r="GL771" s="27" t="s">
        <v>7</v>
      </c>
      <c r="GM771" s="27" t="s">
        <v>8</v>
      </c>
      <c r="GN771" s="27" t="s">
        <v>7</v>
      </c>
      <c r="HK771" s="27" t="s">
        <v>8</v>
      </c>
      <c r="HL771" s="27" t="s">
        <v>7</v>
      </c>
      <c r="HM771" s="27" t="s">
        <v>8</v>
      </c>
      <c r="HR771" s="27" t="s">
        <v>7</v>
      </c>
      <c r="IH771" s="27" t="s">
        <v>7</v>
      </c>
      <c r="II771" s="27" t="s">
        <v>8</v>
      </c>
      <c r="IJ771" s="27" t="s">
        <v>7</v>
      </c>
      <c r="IK771" s="27" t="s">
        <v>8</v>
      </c>
      <c r="IL771" s="27" t="s">
        <v>7</v>
      </c>
      <c r="IM771" s="27" t="s">
        <v>8</v>
      </c>
      <c r="IO771" s="27" t="s">
        <v>8</v>
      </c>
      <c r="IZ771" s="27" t="s">
        <v>7</v>
      </c>
      <c r="JA771" s="27" t="s">
        <v>8</v>
      </c>
      <c r="JR771" s="27" t="s">
        <v>7</v>
      </c>
      <c r="JU771" s="27" t="s">
        <v>8</v>
      </c>
      <c r="JV771" s="27" t="s">
        <v>7</v>
      </c>
    </row>
    <row r="772" spans="1:292" x14ac:dyDescent="0.25">
      <c r="A772" s="7">
        <v>2.5642964081894253E-2</v>
      </c>
      <c r="B772"/>
      <c r="C772"/>
      <c r="D772"/>
      <c r="E772"/>
      <c r="F772" s="27" t="s">
        <v>7</v>
      </c>
      <c r="EK772" s="27" t="s">
        <v>8</v>
      </c>
      <c r="EL772" s="27" t="s">
        <v>7</v>
      </c>
      <c r="EM772" s="27" t="s">
        <v>8</v>
      </c>
      <c r="FZ772" s="27" t="s">
        <v>7</v>
      </c>
      <c r="GA772" s="27" t="s">
        <v>8</v>
      </c>
      <c r="GB772" s="27" t="s">
        <v>7</v>
      </c>
      <c r="GC772" s="27" t="s">
        <v>8</v>
      </c>
      <c r="GD772" s="27" t="s">
        <v>7</v>
      </c>
      <c r="GE772" s="27" t="s">
        <v>8</v>
      </c>
      <c r="GF772" s="27" t="s">
        <v>7</v>
      </c>
      <c r="GG772" s="27" t="s">
        <v>8</v>
      </c>
      <c r="GI772" s="27" t="s">
        <v>8</v>
      </c>
      <c r="GJ772" s="27" t="s">
        <v>7</v>
      </c>
      <c r="GK772" s="27" t="s">
        <v>8</v>
      </c>
      <c r="GL772" s="27" t="s">
        <v>7</v>
      </c>
      <c r="GM772" s="27" t="s">
        <v>8</v>
      </c>
      <c r="GN772" s="27" t="s">
        <v>7</v>
      </c>
      <c r="HK772" s="27" t="s">
        <v>8</v>
      </c>
      <c r="HL772" s="27" t="s">
        <v>7</v>
      </c>
      <c r="HM772" s="27" t="s">
        <v>8</v>
      </c>
      <c r="IH772" s="27" t="s">
        <v>7</v>
      </c>
      <c r="II772" s="27" t="s">
        <v>8</v>
      </c>
      <c r="IJ772" s="27" t="s">
        <v>7</v>
      </c>
      <c r="IK772" s="27" t="s">
        <v>8</v>
      </c>
      <c r="IL772" s="27" t="s">
        <v>7</v>
      </c>
      <c r="IM772" s="27" t="s">
        <v>8</v>
      </c>
      <c r="IN772" s="27" t="s">
        <v>7</v>
      </c>
      <c r="IO772" s="27" t="s">
        <v>8</v>
      </c>
      <c r="IZ772" s="27" t="s">
        <v>7</v>
      </c>
      <c r="JA772" s="27" t="s">
        <v>8</v>
      </c>
      <c r="JR772" s="27" t="s">
        <v>7</v>
      </c>
      <c r="JS772" s="27" t="s">
        <v>8</v>
      </c>
      <c r="JU772" s="27" t="s">
        <v>8</v>
      </c>
      <c r="JV772" s="27" t="s">
        <v>7</v>
      </c>
    </row>
    <row r="773" spans="1:292" x14ac:dyDescent="0.25">
      <c r="A773" s="7">
        <v>2.5140160864602207E-2</v>
      </c>
      <c r="B773"/>
      <c r="C773"/>
      <c r="D773"/>
      <c r="E773"/>
      <c r="F773" s="27" t="s">
        <v>7</v>
      </c>
      <c r="EK773" s="27" t="s">
        <v>8</v>
      </c>
      <c r="EL773" s="27" t="s">
        <v>7</v>
      </c>
      <c r="EM773" s="27" t="s">
        <v>8</v>
      </c>
      <c r="FZ773" s="27" t="s">
        <v>7</v>
      </c>
      <c r="GA773" s="27" t="s">
        <v>8</v>
      </c>
      <c r="GB773" s="27" t="s">
        <v>7</v>
      </c>
      <c r="GC773" s="27" t="s">
        <v>8</v>
      </c>
      <c r="GD773" s="27" t="s">
        <v>7</v>
      </c>
      <c r="GE773" s="27" t="s">
        <v>8</v>
      </c>
      <c r="GF773" s="27" t="s">
        <v>7</v>
      </c>
      <c r="GG773" s="27" t="s">
        <v>8</v>
      </c>
      <c r="GH773" s="27" t="s">
        <v>7</v>
      </c>
      <c r="GI773" s="27" t="s">
        <v>8</v>
      </c>
      <c r="GJ773" s="27" t="s">
        <v>7</v>
      </c>
      <c r="GK773" s="27" t="s">
        <v>8</v>
      </c>
      <c r="GL773" s="27" t="s">
        <v>7</v>
      </c>
      <c r="GM773" s="27" t="s">
        <v>8</v>
      </c>
      <c r="GN773" s="27" t="s">
        <v>7</v>
      </c>
      <c r="HK773" s="27" t="s">
        <v>8</v>
      </c>
      <c r="HL773" s="27" t="s">
        <v>7</v>
      </c>
      <c r="HM773" s="27" t="s">
        <v>8</v>
      </c>
      <c r="IH773" s="27" t="s">
        <v>7</v>
      </c>
      <c r="II773" s="27" t="s">
        <v>8</v>
      </c>
      <c r="IJ773" s="27" t="s">
        <v>7</v>
      </c>
      <c r="IK773" s="27" t="s">
        <v>8</v>
      </c>
      <c r="IL773" s="27" t="s">
        <v>7</v>
      </c>
      <c r="IM773" s="27" t="s">
        <v>8</v>
      </c>
      <c r="IN773" s="27" t="s">
        <v>7</v>
      </c>
      <c r="IO773" s="27" t="s">
        <v>8</v>
      </c>
      <c r="IZ773" s="27" t="s">
        <v>7</v>
      </c>
      <c r="JR773" s="27" t="s">
        <v>7</v>
      </c>
      <c r="JS773" s="27" t="s">
        <v>8</v>
      </c>
      <c r="JT773" s="27" t="s">
        <v>7</v>
      </c>
      <c r="JU773" s="27" t="s">
        <v>8</v>
      </c>
      <c r="JV773" s="27" t="s">
        <v>7</v>
      </c>
      <c r="KA773" s="27" t="s">
        <v>8</v>
      </c>
      <c r="KC773" s="27" t="s">
        <v>8</v>
      </c>
    </row>
    <row r="774" spans="1:292" x14ac:dyDescent="0.25">
      <c r="A774" s="7">
        <v>2.4647216533923735E-2</v>
      </c>
      <c r="B774"/>
      <c r="C774"/>
      <c r="D774"/>
      <c r="E774"/>
      <c r="F774" s="27" t="s">
        <v>7</v>
      </c>
      <c r="EK774" s="27" t="s">
        <v>8</v>
      </c>
      <c r="EL774" s="27" t="s">
        <v>7</v>
      </c>
      <c r="EM774" s="27" t="s">
        <v>8</v>
      </c>
      <c r="FZ774" s="27" t="s">
        <v>7</v>
      </c>
      <c r="GA774" s="27" t="s">
        <v>8</v>
      </c>
      <c r="GB774" s="27" t="s">
        <v>7</v>
      </c>
      <c r="GC774" s="27" t="s">
        <v>8</v>
      </c>
      <c r="GD774" s="27" t="s">
        <v>7</v>
      </c>
      <c r="GE774" s="27" t="s">
        <v>8</v>
      </c>
      <c r="GF774" s="27" t="s">
        <v>7</v>
      </c>
      <c r="GG774" s="27" t="s">
        <v>8</v>
      </c>
      <c r="GH774" s="27" t="s">
        <v>7</v>
      </c>
      <c r="GI774" s="27" t="s">
        <v>8</v>
      </c>
      <c r="GJ774" s="27" t="s">
        <v>7</v>
      </c>
      <c r="GK774" s="27" t="s">
        <v>8</v>
      </c>
      <c r="GL774" s="27" t="s">
        <v>7</v>
      </c>
      <c r="GM774" s="27" t="s">
        <v>8</v>
      </c>
      <c r="GN774" s="27" t="s">
        <v>7</v>
      </c>
      <c r="HK774" s="27" t="s">
        <v>8</v>
      </c>
      <c r="HL774" s="27" t="s">
        <v>7</v>
      </c>
      <c r="HM774" s="27" t="s">
        <v>8</v>
      </c>
      <c r="IH774" s="27" t="s">
        <v>7</v>
      </c>
      <c r="II774" s="27" t="s">
        <v>8</v>
      </c>
      <c r="IJ774" s="27" t="s">
        <v>7</v>
      </c>
      <c r="IL774" s="27" t="s">
        <v>7</v>
      </c>
      <c r="IM774" s="27" t="s">
        <v>8</v>
      </c>
      <c r="IN774" s="27" t="s">
        <v>7</v>
      </c>
      <c r="IO774" s="27" t="s">
        <v>8</v>
      </c>
      <c r="JR774" s="27" t="s">
        <v>7</v>
      </c>
      <c r="JS774" s="27" t="s">
        <v>8</v>
      </c>
      <c r="JT774" s="27" t="s">
        <v>7</v>
      </c>
      <c r="JU774" s="27" t="s">
        <v>8</v>
      </c>
      <c r="JV774" s="27" t="s">
        <v>7</v>
      </c>
      <c r="KA774" s="27" t="s">
        <v>8</v>
      </c>
      <c r="KB774" s="27" t="s">
        <v>7</v>
      </c>
      <c r="KC774" s="27" t="s">
        <v>8</v>
      </c>
      <c r="KD774" s="27" t="s">
        <v>7</v>
      </c>
    </row>
    <row r="775" spans="1:292" x14ac:dyDescent="0.25">
      <c r="A775" s="7">
        <v>2.4163937778356601E-2</v>
      </c>
      <c r="B775"/>
      <c r="C775"/>
      <c r="D775"/>
      <c r="E775"/>
      <c r="F775" s="27" t="s">
        <v>7</v>
      </c>
      <c r="EK775" s="27" t="s">
        <v>8</v>
      </c>
      <c r="EL775" s="27" t="s">
        <v>7</v>
      </c>
      <c r="EM775" s="27" t="s">
        <v>8</v>
      </c>
      <c r="FZ775" s="27" t="s">
        <v>7</v>
      </c>
      <c r="GA775" s="27" t="s">
        <v>8</v>
      </c>
      <c r="GB775" s="27" t="s">
        <v>7</v>
      </c>
      <c r="GC775" s="27" t="s">
        <v>8</v>
      </c>
      <c r="GD775" s="27" t="s">
        <v>7</v>
      </c>
      <c r="GE775" s="27" t="s">
        <v>8</v>
      </c>
      <c r="GF775" s="27" t="s">
        <v>7</v>
      </c>
      <c r="GG775" s="27" t="s">
        <v>8</v>
      </c>
      <c r="GH775" s="27" t="s">
        <v>7</v>
      </c>
      <c r="GI775" s="27" t="s">
        <v>8</v>
      </c>
      <c r="GJ775" s="27" t="s">
        <v>7</v>
      </c>
      <c r="GK775" s="27" t="s">
        <v>8</v>
      </c>
      <c r="GL775" s="27" t="s">
        <v>7</v>
      </c>
      <c r="GM775" s="27" t="s">
        <v>8</v>
      </c>
      <c r="GN775" s="27" t="s">
        <v>7</v>
      </c>
      <c r="GO775" s="27" t="s">
        <v>8</v>
      </c>
      <c r="HI775" s="27" t="s">
        <v>8</v>
      </c>
      <c r="HK775" s="27" t="s">
        <v>8</v>
      </c>
      <c r="HL775" s="27" t="s">
        <v>7</v>
      </c>
      <c r="IH775" s="27" t="s">
        <v>7</v>
      </c>
      <c r="IL775" s="27" t="s">
        <v>7</v>
      </c>
      <c r="IN775" s="27" t="s">
        <v>7</v>
      </c>
      <c r="IO775" s="27" t="s">
        <v>8</v>
      </c>
      <c r="JR775" s="27" t="s">
        <v>7</v>
      </c>
      <c r="JS775" s="27" t="s">
        <v>8</v>
      </c>
      <c r="JT775" s="27" t="s">
        <v>7</v>
      </c>
      <c r="JU775" s="27" t="s">
        <v>8</v>
      </c>
      <c r="JV775" s="27" t="s">
        <v>7</v>
      </c>
      <c r="KA775" s="27" t="s">
        <v>8</v>
      </c>
      <c r="KB775" s="27" t="s">
        <v>7</v>
      </c>
      <c r="KC775" s="27" t="s">
        <v>8</v>
      </c>
      <c r="KD775" s="27" t="s">
        <v>7</v>
      </c>
    </row>
    <row r="776" spans="1:292" x14ac:dyDescent="0.25">
      <c r="A776" s="7">
        <v>2.3690135076820197E-2</v>
      </c>
      <c r="B776"/>
      <c r="C776"/>
      <c r="D776"/>
      <c r="E776"/>
      <c r="F776" s="27" t="s">
        <v>7</v>
      </c>
      <c r="EK776" s="27" t="s">
        <v>8</v>
      </c>
      <c r="EL776" s="27" t="s">
        <v>7</v>
      </c>
      <c r="EM776" s="27" t="s">
        <v>8</v>
      </c>
      <c r="FZ776" s="27" t="s">
        <v>7</v>
      </c>
      <c r="GA776" s="27" t="s">
        <v>8</v>
      </c>
      <c r="GB776" s="27" t="s">
        <v>7</v>
      </c>
      <c r="GC776" s="27" t="s">
        <v>8</v>
      </c>
      <c r="GD776" s="27" t="s">
        <v>7</v>
      </c>
      <c r="GE776" s="27" t="s">
        <v>8</v>
      </c>
      <c r="GF776" s="27" t="s">
        <v>7</v>
      </c>
      <c r="GG776" s="27" t="s">
        <v>8</v>
      </c>
      <c r="GH776" s="27" t="s">
        <v>7</v>
      </c>
      <c r="GJ776" s="27" t="s">
        <v>7</v>
      </c>
      <c r="GK776" s="27" t="s">
        <v>8</v>
      </c>
      <c r="GL776" s="27" t="s">
        <v>7</v>
      </c>
      <c r="GM776" s="27" t="s">
        <v>8</v>
      </c>
      <c r="GN776" s="27" t="s">
        <v>7</v>
      </c>
      <c r="GO776" s="27" t="s">
        <v>8</v>
      </c>
      <c r="GP776" s="27" t="s">
        <v>7</v>
      </c>
      <c r="GW776" s="27" t="s">
        <v>8</v>
      </c>
      <c r="HI776" s="27" t="s">
        <v>8</v>
      </c>
      <c r="HJ776" s="27" t="s">
        <v>7</v>
      </c>
      <c r="HK776" s="27" t="s">
        <v>8</v>
      </c>
      <c r="IN776" s="27" t="s">
        <v>7</v>
      </c>
      <c r="IO776" s="27" t="s">
        <v>8</v>
      </c>
      <c r="JR776" s="27" t="s">
        <v>7</v>
      </c>
      <c r="JS776" s="27" t="s">
        <v>8</v>
      </c>
      <c r="JT776" s="27" t="s">
        <v>7</v>
      </c>
      <c r="JU776" s="27" t="s">
        <v>8</v>
      </c>
      <c r="JV776" s="27" t="s">
        <v>7</v>
      </c>
      <c r="KA776" s="27" t="s">
        <v>8</v>
      </c>
      <c r="KB776" s="27" t="s">
        <v>7</v>
      </c>
      <c r="KD776" s="27" t="s">
        <v>7</v>
      </c>
      <c r="KE776" s="27" t="s">
        <v>8</v>
      </c>
    </row>
    <row r="777" spans="1:292" x14ac:dyDescent="0.25">
      <c r="A777" s="7">
        <v>2.3225622624333527E-2</v>
      </c>
      <c r="B777"/>
      <c r="C777"/>
      <c r="D777"/>
      <c r="E777"/>
      <c r="F777" s="27" t="s">
        <v>7</v>
      </c>
      <c r="EK777" s="27" t="s">
        <v>8</v>
      </c>
      <c r="EL777" s="27" t="s">
        <v>7</v>
      </c>
      <c r="EM777" s="27" t="s">
        <v>8</v>
      </c>
      <c r="FZ777" s="27" t="s">
        <v>7</v>
      </c>
      <c r="GA777" s="27" t="s">
        <v>8</v>
      </c>
      <c r="GB777" s="27" t="s">
        <v>7</v>
      </c>
      <c r="GC777" s="27" t="s">
        <v>8</v>
      </c>
      <c r="GD777" s="27" t="s">
        <v>7</v>
      </c>
      <c r="GE777" s="27" t="s">
        <v>8</v>
      </c>
      <c r="GF777" s="27" t="s">
        <v>7</v>
      </c>
      <c r="GG777" s="27" t="s">
        <v>8</v>
      </c>
      <c r="GJ777" s="27" t="s">
        <v>7</v>
      </c>
      <c r="GL777" s="27" t="s">
        <v>7</v>
      </c>
      <c r="GM777" s="27" t="s">
        <v>8</v>
      </c>
      <c r="GN777" s="27" t="s">
        <v>7</v>
      </c>
      <c r="GO777" s="27" t="s">
        <v>8</v>
      </c>
      <c r="GP777" s="27" t="s">
        <v>7</v>
      </c>
      <c r="GW777" s="27" t="s">
        <v>8</v>
      </c>
      <c r="GX777" s="27" t="s">
        <v>7</v>
      </c>
      <c r="HI777" s="27" t="s">
        <v>8</v>
      </c>
      <c r="HJ777" s="27" t="s">
        <v>7</v>
      </c>
      <c r="HK777" s="27" t="s">
        <v>8</v>
      </c>
      <c r="IN777" s="27" t="s">
        <v>7</v>
      </c>
      <c r="JR777" s="27" t="s">
        <v>7</v>
      </c>
      <c r="JS777" s="27" t="s">
        <v>8</v>
      </c>
      <c r="JT777" s="27" t="s">
        <v>7</v>
      </c>
      <c r="JU777" s="27" t="s">
        <v>8</v>
      </c>
      <c r="JV777" s="27" t="s">
        <v>7</v>
      </c>
      <c r="JW777" s="27" t="s">
        <v>8</v>
      </c>
      <c r="KA777" s="27" t="s">
        <v>8</v>
      </c>
      <c r="KD777" s="27" t="s">
        <v>7</v>
      </c>
      <c r="KE777" s="27" t="s">
        <v>8</v>
      </c>
      <c r="KF777" s="27" t="s">
        <v>7</v>
      </c>
    </row>
    <row r="778" spans="1:292" x14ac:dyDescent="0.25">
      <c r="A778" s="7">
        <v>2.2770218259150519E-2</v>
      </c>
      <c r="B778"/>
      <c r="C778"/>
      <c r="D778"/>
      <c r="E778"/>
      <c r="F778" s="27" t="s">
        <v>7</v>
      </c>
      <c r="EK778" s="27" t="s">
        <v>8</v>
      </c>
      <c r="EL778" s="27" t="s">
        <v>7</v>
      </c>
      <c r="EM778" s="27" t="s">
        <v>8</v>
      </c>
      <c r="FZ778" s="27" t="s">
        <v>7</v>
      </c>
      <c r="GA778" s="27" t="s">
        <v>8</v>
      </c>
      <c r="GB778" s="27" t="s">
        <v>7</v>
      </c>
      <c r="GC778" s="27" t="s">
        <v>8</v>
      </c>
      <c r="GD778" s="27" t="s">
        <v>7</v>
      </c>
      <c r="GF778" s="27" t="s">
        <v>7</v>
      </c>
      <c r="GG778" s="27" t="s">
        <v>8</v>
      </c>
      <c r="GL778" s="27" t="s">
        <v>7</v>
      </c>
      <c r="GM778" s="27" t="s">
        <v>8</v>
      </c>
      <c r="GN778" s="27" t="s">
        <v>7</v>
      </c>
      <c r="GO778" s="27" t="s">
        <v>8</v>
      </c>
      <c r="GP778" s="27" t="s">
        <v>7</v>
      </c>
      <c r="GW778" s="27" t="s">
        <v>8</v>
      </c>
      <c r="GX778" s="27" t="s">
        <v>7</v>
      </c>
      <c r="HI778" s="27" t="s">
        <v>8</v>
      </c>
      <c r="HJ778" s="27" t="s">
        <v>7</v>
      </c>
      <c r="HK778" s="27" t="s">
        <v>8</v>
      </c>
      <c r="JR778" s="27" t="s">
        <v>7</v>
      </c>
      <c r="JS778" s="27" t="s">
        <v>8</v>
      </c>
      <c r="JT778" s="27" t="s">
        <v>7</v>
      </c>
      <c r="JU778" s="27" t="s">
        <v>8</v>
      </c>
      <c r="JV778" s="27" t="s">
        <v>7</v>
      </c>
      <c r="JW778" s="27" t="s">
        <v>8</v>
      </c>
      <c r="JX778" s="27" t="s">
        <v>7</v>
      </c>
      <c r="JY778" s="27" t="s">
        <v>8</v>
      </c>
      <c r="KA778" s="27" t="s">
        <v>8</v>
      </c>
      <c r="KD778" s="27" t="s">
        <v>7</v>
      </c>
      <c r="KE778" s="27" t="s">
        <v>8</v>
      </c>
      <c r="KF778" s="27" t="s">
        <v>7</v>
      </c>
    </row>
    <row r="779" spans="1:292" x14ac:dyDescent="0.25">
      <c r="A779" s="7">
        <v>2.2323743391324039E-2</v>
      </c>
      <c r="B779"/>
      <c r="C779"/>
      <c r="D779"/>
      <c r="E779"/>
      <c r="F779" s="27" t="s">
        <v>7</v>
      </c>
      <c r="EK779" s="27" t="s">
        <v>8</v>
      </c>
      <c r="EL779" s="27" t="s">
        <v>7</v>
      </c>
      <c r="EM779" s="27" t="s">
        <v>8</v>
      </c>
      <c r="FZ779" s="27" t="s">
        <v>7</v>
      </c>
      <c r="GA779" s="27" t="s">
        <v>8</v>
      </c>
      <c r="GB779" s="27" t="s">
        <v>7</v>
      </c>
      <c r="GC779" s="27" t="s">
        <v>8</v>
      </c>
      <c r="GF779" s="27" t="s">
        <v>7</v>
      </c>
      <c r="GG779" s="27" t="s">
        <v>8</v>
      </c>
      <c r="GL779" s="27" t="s">
        <v>7</v>
      </c>
      <c r="GM779" s="27" t="s">
        <v>8</v>
      </c>
      <c r="GN779" s="27" t="s">
        <v>7</v>
      </c>
      <c r="GO779" s="27" t="s">
        <v>8</v>
      </c>
      <c r="GP779" s="27" t="s">
        <v>7</v>
      </c>
      <c r="GW779" s="27" t="s">
        <v>8</v>
      </c>
      <c r="GX779" s="27" t="s">
        <v>7</v>
      </c>
      <c r="GY779" s="27" t="s">
        <v>8</v>
      </c>
      <c r="HI779" s="27" t="s">
        <v>8</v>
      </c>
      <c r="HJ779" s="27" t="s">
        <v>7</v>
      </c>
      <c r="HK779" s="27" t="s">
        <v>8</v>
      </c>
      <c r="JR779" s="27" t="s">
        <v>7</v>
      </c>
      <c r="JS779" s="27" t="s">
        <v>8</v>
      </c>
      <c r="JT779" s="27" t="s">
        <v>7</v>
      </c>
      <c r="JU779" s="27" t="s">
        <v>8</v>
      </c>
      <c r="JV779" s="27" t="s">
        <v>7</v>
      </c>
      <c r="JW779" s="27" t="s">
        <v>8</v>
      </c>
      <c r="JX779" s="27" t="s">
        <v>7</v>
      </c>
      <c r="JY779" s="27" t="s">
        <v>8</v>
      </c>
      <c r="JZ779" s="27" t="s">
        <v>7</v>
      </c>
      <c r="KA779" s="27" t="s">
        <v>8</v>
      </c>
      <c r="KD779" s="27" t="s">
        <v>7</v>
      </c>
      <c r="KE779" s="27" t="s">
        <v>8</v>
      </c>
      <c r="KF779" s="27" t="s">
        <v>7</v>
      </c>
    </row>
    <row r="780" spans="1:292" x14ac:dyDescent="0.25">
      <c r="A780" s="7">
        <v>2.188602293267063E-2</v>
      </c>
      <c r="B780"/>
      <c r="C780"/>
      <c r="D780"/>
      <c r="E780"/>
      <c r="F780" s="27" t="s">
        <v>7</v>
      </c>
      <c r="EK780" s="27" t="s">
        <v>8</v>
      </c>
      <c r="EL780" s="27" t="s">
        <v>7</v>
      </c>
      <c r="EM780" s="27" t="s">
        <v>8</v>
      </c>
      <c r="FZ780" s="27" t="s">
        <v>7</v>
      </c>
      <c r="GA780" s="27" t="s">
        <v>8</v>
      </c>
      <c r="GB780" s="27" t="s">
        <v>7</v>
      </c>
      <c r="GC780" s="27" t="s">
        <v>8</v>
      </c>
      <c r="GF780" s="27" t="s">
        <v>7</v>
      </c>
      <c r="GG780" s="27" t="s">
        <v>8</v>
      </c>
      <c r="GL780" s="27" t="s">
        <v>7</v>
      </c>
      <c r="GM780" s="27" t="s">
        <v>8</v>
      </c>
      <c r="GN780" s="27" t="s">
        <v>7</v>
      </c>
      <c r="GO780" s="27" t="s">
        <v>8</v>
      </c>
      <c r="GP780" s="27" t="s">
        <v>7</v>
      </c>
      <c r="GW780" s="27" t="s">
        <v>8</v>
      </c>
      <c r="GX780" s="27" t="s">
        <v>7</v>
      </c>
      <c r="GY780" s="27" t="s">
        <v>8</v>
      </c>
      <c r="GZ780" s="27" t="s">
        <v>7</v>
      </c>
      <c r="HI780" s="27" t="s">
        <v>8</v>
      </c>
      <c r="HJ780" s="27" t="s">
        <v>7</v>
      </c>
      <c r="HK780" s="27" t="s">
        <v>8</v>
      </c>
      <c r="JR780" s="27" t="s">
        <v>7</v>
      </c>
      <c r="JS780" s="27" t="s">
        <v>8</v>
      </c>
      <c r="JT780" s="27" t="s">
        <v>7</v>
      </c>
      <c r="JU780" s="27" t="s">
        <v>8</v>
      </c>
      <c r="JV780" s="27" t="s">
        <v>7</v>
      </c>
      <c r="JW780" s="27" t="s">
        <v>8</v>
      </c>
      <c r="JX780" s="27" t="s">
        <v>7</v>
      </c>
      <c r="JY780" s="27" t="s">
        <v>8</v>
      </c>
      <c r="JZ780" s="27" t="s">
        <v>7</v>
      </c>
      <c r="KA780" s="27" t="s">
        <v>8</v>
      </c>
      <c r="KD780" s="27" t="s">
        <v>7</v>
      </c>
      <c r="KE780" s="27" t="s">
        <v>8</v>
      </c>
      <c r="KF780" s="27" t="s">
        <v>7</v>
      </c>
    </row>
    <row r="781" spans="1:292" x14ac:dyDescent="0.25">
      <c r="A781" s="7">
        <v>2.1456885228108461E-2</v>
      </c>
      <c r="B781"/>
      <c r="C781"/>
      <c r="D781"/>
      <c r="E781"/>
      <c r="F781" s="27" t="s">
        <v>7</v>
      </c>
      <c r="EK781" s="27" t="s">
        <v>8</v>
      </c>
      <c r="EL781" s="27" t="s">
        <v>7</v>
      </c>
      <c r="EM781" s="27" t="s">
        <v>8</v>
      </c>
      <c r="FZ781" s="27" t="s">
        <v>7</v>
      </c>
      <c r="GA781" s="27" t="s">
        <v>8</v>
      </c>
      <c r="GB781" s="27" t="s">
        <v>7</v>
      </c>
      <c r="GC781" s="27" t="s">
        <v>8</v>
      </c>
      <c r="GF781" s="27" t="s">
        <v>7</v>
      </c>
      <c r="GL781" s="27" t="s">
        <v>7</v>
      </c>
      <c r="GM781" s="27" t="s">
        <v>8</v>
      </c>
      <c r="GN781" s="27" t="s">
        <v>7</v>
      </c>
      <c r="GO781" s="27" t="s">
        <v>8</v>
      </c>
      <c r="GP781" s="27" t="s">
        <v>7</v>
      </c>
      <c r="GW781" s="27" t="s">
        <v>8</v>
      </c>
      <c r="GX781" s="27" t="s">
        <v>7</v>
      </c>
      <c r="GY781" s="27" t="s">
        <v>8</v>
      </c>
      <c r="GZ781" s="27" t="s">
        <v>7</v>
      </c>
      <c r="HA781" s="27" t="s">
        <v>8</v>
      </c>
      <c r="HI781" s="27" t="s">
        <v>8</v>
      </c>
      <c r="HJ781" s="27" t="s">
        <v>7</v>
      </c>
      <c r="HK781" s="27" t="s">
        <v>8</v>
      </c>
      <c r="JR781" s="27" t="s">
        <v>7</v>
      </c>
      <c r="JS781" s="27" t="s">
        <v>8</v>
      </c>
      <c r="JT781" s="27" t="s">
        <v>7</v>
      </c>
      <c r="JU781" s="27" t="s">
        <v>8</v>
      </c>
      <c r="JV781" s="27" t="s">
        <v>7</v>
      </c>
      <c r="JW781" s="27" t="s">
        <v>8</v>
      </c>
      <c r="JX781" s="27" t="s">
        <v>7</v>
      </c>
      <c r="JY781" s="27" t="s">
        <v>8</v>
      </c>
      <c r="JZ781" s="27" t="s">
        <v>7</v>
      </c>
      <c r="KA781" s="27" t="s">
        <v>8</v>
      </c>
      <c r="KD781" s="27" t="s">
        <v>7</v>
      </c>
      <c r="KE781" s="27" t="s">
        <v>8</v>
      </c>
      <c r="KF781" s="27" t="s">
        <v>7</v>
      </c>
    </row>
    <row r="782" spans="1:292" x14ac:dyDescent="0.25">
      <c r="A782" s="7">
        <v>2.1036161988341632E-2</v>
      </c>
      <c r="B782"/>
      <c r="C782"/>
      <c r="D782"/>
      <c r="E782"/>
      <c r="F782" s="27" t="s">
        <v>7</v>
      </c>
      <c r="EK782" s="27" t="s">
        <v>8</v>
      </c>
      <c r="EL782" s="27" t="s">
        <v>7</v>
      </c>
      <c r="EM782" s="27" t="s">
        <v>8</v>
      </c>
      <c r="FZ782" s="27" t="s">
        <v>7</v>
      </c>
      <c r="GA782" s="27" t="s">
        <v>8</v>
      </c>
      <c r="GB782" s="27" t="s">
        <v>7</v>
      </c>
      <c r="GC782" s="27" t="s">
        <v>8</v>
      </c>
      <c r="GL782" s="27" t="s">
        <v>7</v>
      </c>
      <c r="GM782" s="27" t="s">
        <v>8</v>
      </c>
      <c r="GN782" s="27" t="s">
        <v>7</v>
      </c>
      <c r="GO782" s="27" t="s">
        <v>8</v>
      </c>
      <c r="GP782" s="27" t="s">
        <v>7</v>
      </c>
      <c r="GW782" s="27" t="s">
        <v>8</v>
      </c>
      <c r="GX782" s="27" t="s">
        <v>7</v>
      </c>
      <c r="GY782" s="27" t="s">
        <v>8</v>
      </c>
      <c r="GZ782" s="27" t="s">
        <v>7</v>
      </c>
      <c r="HA782" s="27" t="s">
        <v>8</v>
      </c>
      <c r="HB782" s="27" t="s">
        <v>7</v>
      </c>
      <c r="HI782" s="27" t="s">
        <v>8</v>
      </c>
      <c r="HJ782" s="27" t="s">
        <v>7</v>
      </c>
      <c r="JR782" s="27" t="s">
        <v>7</v>
      </c>
      <c r="JS782" s="27" t="s">
        <v>8</v>
      </c>
      <c r="JT782" s="27" t="s">
        <v>7</v>
      </c>
      <c r="JU782" s="27" t="s">
        <v>8</v>
      </c>
      <c r="JV782" s="27" t="s">
        <v>7</v>
      </c>
      <c r="JW782" s="27" t="s">
        <v>8</v>
      </c>
      <c r="JX782" s="27" t="s">
        <v>7</v>
      </c>
      <c r="JY782" s="27" t="s">
        <v>8</v>
      </c>
      <c r="JZ782" s="27" t="s">
        <v>7</v>
      </c>
      <c r="KA782" s="27" t="s">
        <v>8</v>
      </c>
      <c r="KD782" s="27" t="s">
        <v>7</v>
      </c>
      <c r="KE782" s="27" t="s">
        <v>8</v>
      </c>
      <c r="KF782" s="27" t="s">
        <v>7</v>
      </c>
    </row>
    <row r="783" spans="1:292" x14ac:dyDescent="0.25">
      <c r="A783" s="7">
        <v>2.0623688223864345E-2</v>
      </c>
      <c r="B783"/>
      <c r="C783"/>
      <c r="D783"/>
      <c r="E783"/>
      <c r="F783" s="27" t="s">
        <v>7</v>
      </c>
      <c r="EK783" s="27" t="s">
        <v>8</v>
      </c>
      <c r="EL783" s="27" t="s">
        <v>7</v>
      </c>
      <c r="EM783" s="27" t="s">
        <v>8</v>
      </c>
      <c r="FZ783" s="27" t="s">
        <v>7</v>
      </c>
      <c r="GA783" s="27" t="s">
        <v>8</v>
      </c>
      <c r="GB783" s="27" t="s">
        <v>7</v>
      </c>
      <c r="GC783" s="27" t="s">
        <v>8</v>
      </c>
      <c r="GL783" s="27" t="s">
        <v>7</v>
      </c>
      <c r="GM783" s="27" t="s">
        <v>8</v>
      </c>
      <c r="GN783" s="27" t="s">
        <v>7</v>
      </c>
      <c r="GO783" s="27" t="s">
        <v>8</v>
      </c>
      <c r="GP783" s="27" t="s">
        <v>7</v>
      </c>
      <c r="GW783" s="27" t="s">
        <v>8</v>
      </c>
      <c r="GX783" s="27" t="s">
        <v>7</v>
      </c>
      <c r="GY783" s="27" t="s">
        <v>8</v>
      </c>
      <c r="GZ783" s="27" t="s">
        <v>7</v>
      </c>
      <c r="HA783" s="27" t="s">
        <v>8</v>
      </c>
      <c r="HB783" s="27" t="s">
        <v>7</v>
      </c>
      <c r="HC783" s="27" t="s">
        <v>8</v>
      </c>
      <c r="HI783" s="27" t="s">
        <v>8</v>
      </c>
      <c r="JR783" s="27" t="s">
        <v>7</v>
      </c>
      <c r="JS783" s="27" t="s">
        <v>8</v>
      </c>
      <c r="JT783" s="27" t="s">
        <v>7</v>
      </c>
      <c r="JU783" s="27" t="s">
        <v>8</v>
      </c>
      <c r="JV783" s="27" t="s">
        <v>7</v>
      </c>
      <c r="JX783" s="27" t="s">
        <v>7</v>
      </c>
      <c r="JY783" s="27" t="s">
        <v>8</v>
      </c>
      <c r="JZ783" s="27" t="s">
        <v>7</v>
      </c>
      <c r="KD783" s="27" t="s">
        <v>7</v>
      </c>
      <c r="KF783" s="27" t="s">
        <v>7</v>
      </c>
    </row>
    <row r="784" spans="1:292" x14ac:dyDescent="0.25">
      <c r="A784" s="7">
        <v>2.021930218025916E-2</v>
      </c>
      <c r="B784"/>
      <c r="C784"/>
      <c r="D784"/>
      <c r="E784"/>
      <c r="F784" s="27" t="s">
        <v>7</v>
      </c>
      <c r="EK784" s="27" t="s">
        <v>8</v>
      </c>
      <c r="EL784" s="27" t="s">
        <v>7</v>
      </c>
      <c r="EM784" s="27" t="s">
        <v>8</v>
      </c>
      <c r="FZ784" s="27" t="s">
        <v>7</v>
      </c>
      <c r="GA784" s="27" t="s">
        <v>8</v>
      </c>
      <c r="GB784" s="27" t="s">
        <v>7</v>
      </c>
      <c r="GC784" s="27" t="s">
        <v>8</v>
      </c>
      <c r="GL784" s="27" t="s">
        <v>7</v>
      </c>
      <c r="GN784" s="27" t="s">
        <v>7</v>
      </c>
      <c r="GO784" s="27" t="s">
        <v>8</v>
      </c>
      <c r="GP784" s="27" t="s">
        <v>7</v>
      </c>
      <c r="GQ784" s="27" t="s">
        <v>8</v>
      </c>
      <c r="GW784" s="27" t="s">
        <v>8</v>
      </c>
      <c r="GX784" s="27" t="s">
        <v>7</v>
      </c>
      <c r="GZ784" s="27" t="s">
        <v>7</v>
      </c>
      <c r="HA784" s="27" t="s">
        <v>8</v>
      </c>
      <c r="HB784" s="27" t="s">
        <v>7</v>
      </c>
      <c r="HC784" s="27" t="s">
        <v>8</v>
      </c>
      <c r="HD784" s="27" t="s">
        <v>7</v>
      </c>
      <c r="HI784" s="27" t="s">
        <v>8</v>
      </c>
      <c r="JR784" s="27" t="s">
        <v>7</v>
      </c>
      <c r="JS784" s="27" t="s">
        <v>8</v>
      </c>
      <c r="JT784" s="27" t="s">
        <v>7</v>
      </c>
      <c r="JX784" s="27" t="s">
        <v>7</v>
      </c>
      <c r="KF784" s="27" t="s">
        <v>7</v>
      </c>
    </row>
    <row r="785" spans="1:296" x14ac:dyDescent="0.25">
      <c r="A785" s="7">
        <v>1.9822845274763884E-2</v>
      </c>
      <c r="B785"/>
      <c r="C785"/>
      <c r="D785"/>
      <c r="E785"/>
      <c r="F785" s="27" t="s">
        <v>7</v>
      </c>
      <c r="EK785" s="27" t="s">
        <v>8</v>
      </c>
      <c r="EL785" s="27" t="s">
        <v>7</v>
      </c>
      <c r="EM785" s="27" t="s">
        <v>8</v>
      </c>
      <c r="FZ785" s="27" t="s">
        <v>7</v>
      </c>
      <c r="GA785" s="27" t="s">
        <v>8</v>
      </c>
      <c r="GB785" s="27" t="s">
        <v>7</v>
      </c>
      <c r="GC785" s="27" t="s">
        <v>8</v>
      </c>
      <c r="GN785" s="27" t="s">
        <v>7</v>
      </c>
      <c r="GO785" s="27" t="s">
        <v>8</v>
      </c>
      <c r="GP785" s="27" t="s">
        <v>7</v>
      </c>
      <c r="GQ785" s="27" t="s">
        <v>8</v>
      </c>
      <c r="GR785" s="27" t="s">
        <v>7</v>
      </c>
      <c r="GW785" s="27" t="s">
        <v>8</v>
      </c>
      <c r="GZ785" s="27" t="s">
        <v>7</v>
      </c>
      <c r="HB785" s="27" t="s">
        <v>7</v>
      </c>
      <c r="HC785" s="27" t="s">
        <v>8</v>
      </c>
      <c r="HD785" s="27" t="s">
        <v>7</v>
      </c>
      <c r="HI785" s="27" t="s">
        <v>8</v>
      </c>
      <c r="JR785" s="27" t="s">
        <v>7</v>
      </c>
      <c r="JS785" s="27" t="s">
        <v>8</v>
      </c>
      <c r="KF785" s="27" t="s">
        <v>7</v>
      </c>
      <c r="KI785" s="27" t="s">
        <v>8</v>
      </c>
    </row>
    <row r="786" spans="1:296" x14ac:dyDescent="0.25">
      <c r="A786" s="7">
        <v>1.9434162034082238E-2</v>
      </c>
      <c r="B786"/>
      <c r="C786"/>
      <c r="D786"/>
      <c r="E786"/>
      <c r="F786" s="27" t="s">
        <v>7</v>
      </c>
      <c r="EK786" s="27" t="s">
        <v>8</v>
      </c>
      <c r="EL786" s="27" t="s">
        <v>7</v>
      </c>
      <c r="FZ786" s="27" t="s">
        <v>7</v>
      </c>
      <c r="GA786" s="27" t="s">
        <v>8</v>
      </c>
      <c r="GB786" s="27" t="s">
        <v>7</v>
      </c>
      <c r="GC786" s="27" t="s">
        <v>8</v>
      </c>
      <c r="GN786" s="27" t="s">
        <v>7</v>
      </c>
      <c r="GP786" s="27" t="s">
        <v>7</v>
      </c>
      <c r="GQ786" s="27" t="s">
        <v>8</v>
      </c>
      <c r="GR786" s="27" t="s">
        <v>7</v>
      </c>
      <c r="GW786" s="27" t="s">
        <v>8</v>
      </c>
      <c r="HB786" s="27" t="s">
        <v>7</v>
      </c>
      <c r="HC786" s="27" t="s">
        <v>8</v>
      </c>
      <c r="HD786" s="27" t="s">
        <v>7</v>
      </c>
      <c r="HG786" s="27" t="s">
        <v>8</v>
      </c>
      <c r="HI786" s="27" t="s">
        <v>8</v>
      </c>
      <c r="JR786" s="27" t="s">
        <v>7</v>
      </c>
      <c r="JS786" s="27" t="s">
        <v>8</v>
      </c>
      <c r="KF786" s="27" t="s">
        <v>7</v>
      </c>
      <c r="KI786" s="27" t="s">
        <v>8</v>
      </c>
      <c r="KJ786" s="27" t="s">
        <v>7</v>
      </c>
    </row>
    <row r="787" spans="1:296" x14ac:dyDescent="0.25">
      <c r="A787" s="7">
        <v>1.9053100033413959E-2</v>
      </c>
      <c r="B787"/>
      <c r="C787"/>
      <c r="D787"/>
      <c r="E787"/>
      <c r="F787" s="27" t="s">
        <v>7</v>
      </c>
      <c r="EK787" s="27" t="s">
        <v>8</v>
      </c>
      <c r="FZ787" s="27" t="s">
        <v>7</v>
      </c>
      <c r="GA787" s="27" t="s">
        <v>8</v>
      </c>
      <c r="GB787" s="27" t="s">
        <v>7</v>
      </c>
      <c r="GC787" s="27" t="s">
        <v>8</v>
      </c>
      <c r="GP787" s="27" t="s">
        <v>7</v>
      </c>
      <c r="GQ787" s="27" t="s">
        <v>8</v>
      </c>
      <c r="GR787" s="27" t="s">
        <v>7</v>
      </c>
      <c r="GW787" s="27" t="s">
        <v>8</v>
      </c>
      <c r="HB787" s="27" t="s">
        <v>7</v>
      </c>
      <c r="HC787" s="27" t="s">
        <v>8</v>
      </c>
      <c r="HD787" s="27" t="s">
        <v>7</v>
      </c>
      <c r="HG787" s="27" t="s">
        <v>8</v>
      </c>
      <c r="HH787" s="27" t="s">
        <v>7</v>
      </c>
      <c r="HI787" s="27" t="s">
        <v>8</v>
      </c>
      <c r="JR787" s="27" t="s">
        <v>7</v>
      </c>
      <c r="JS787" s="27" t="s">
        <v>8</v>
      </c>
      <c r="KF787" s="27" t="s">
        <v>7</v>
      </c>
      <c r="KG787" s="27" t="s">
        <v>8</v>
      </c>
      <c r="KI787" s="27" t="s">
        <v>8</v>
      </c>
      <c r="KJ787" s="27" t="s">
        <v>7</v>
      </c>
    </row>
    <row r="788" spans="1:296" x14ac:dyDescent="0.25">
      <c r="A788" s="7">
        <v>1.867950983668035E-2</v>
      </c>
      <c r="B788"/>
      <c r="C788"/>
      <c r="D788"/>
      <c r="E788"/>
      <c r="F788" s="27" t="s">
        <v>7</v>
      </c>
      <c r="EK788" s="27" t="s">
        <v>8</v>
      </c>
      <c r="FZ788" s="27" t="s">
        <v>7</v>
      </c>
      <c r="GA788" s="27" t="s">
        <v>8</v>
      </c>
      <c r="GB788" s="27" t="s">
        <v>7</v>
      </c>
      <c r="GP788" s="27" t="s">
        <v>7</v>
      </c>
      <c r="GR788" s="27" t="s">
        <v>7</v>
      </c>
      <c r="GW788" s="27" t="s">
        <v>8</v>
      </c>
      <c r="HB788" s="27" t="s">
        <v>7</v>
      </c>
      <c r="HC788" s="27" t="s">
        <v>8</v>
      </c>
      <c r="HD788" s="27" t="s">
        <v>7</v>
      </c>
      <c r="HG788" s="27" t="s">
        <v>8</v>
      </c>
      <c r="HH788" s="27" t="s">
        <v>7</v>
      </c>
      <c r="HI788" s="27" t="s">
        <v>8</v>
      </c>
      <c r="JR788" s="27" t="s">
        <v>7</v>
      </c>
      <c r="JS788" s="27" t="s">
        <v>8</v>
      </c>
      <c r="KF788" s="27" t="s">
        <v>7</v>
      </c>
      <c r="KG788" s="27" t="s">
        <v>8</v>
      </c>
      <c r="KH788" s="27" t="s">
        <v>7</v>
      </c>
      <c r="KI788" s="27" t="s">
        <v>8</v>
      </c>
      <c r="KJ788" s="27" t="s">
        <v>7</v>
      </c>
    </row>
    <row r="789" spans="1:296" x14ac:dyDescent="0.25">
      <c r="A789" s="7">
        <v>1.8313244937921913E-2</v>
      </c>
      <c r="B789"/>
      <c r="C789"/>
      <c r="D789"/>
      <c r="E789"/>
      <c r="F789" s="27" t="s">
        <v>7</v>
      </c>
      <c r="EK789" s="27" t="s">
        <v>8</v>
      </c>
      <c r="FZ789" s="27" t="s">
        <v>7</v>
      </c>
      <c r="GA789" s="27" t="s">
        <v>8</v>
      </c>
      <c r="GR789" s="27" t="s">
        <v>7</v>
      </c>
      <c r="GW789" s="27" t="s">
        <v>8</v>
      </c>
      <c r="HB789" s="27" t="s">
        <v>7</v>
      </c>
      <c r="HC789" s="27" t="s">
        <v>8</v>
      </c>
      <c r="HD789" s="27" t="s">
        <v>7</v>
      </c>
      <c r="HG789" s="27" t="s">
        <v>8</v>
      </c>
      <c r="HH789" s="27" t="s">
        <v>7</v>
      </c>
      <c r="HI789" s="27" t="s">
        <v>8</v>
      </c>
      <c r="JR789" s="27" t="s">
        <v>7</v>
      </c>
      <c r="JS789" s="27" t="s">
        <v>8</v>
      </c>
      <c r="KF789" s="27" t="s">
        <v>7</v>
      </c>
      <c r="KG789" s="27" t="s">
        <v>8</v>
      </c>
      <c r="KH789" s="27" t="s">
        <v>7</v>
      </c>
      <c r="KI789" s="27" t="s">
        <v>8</v>
      </c>
      <c r="KJ789" s="27" t="s">
        <v>7</v>
      </c>
    </row>
    <row r="790" spans="1:296" x14ac:dyDescent="0.25">
      <c r="A790" s="7">
        <v>1.7954161703845013E-2</v>
      </c>
      <c r="B790"/>
      <c r="C790"/>
      <c r="D790"/>
      <c r="E790"/>
      <c r="F790" s="27" t="s">
        <v>7</v>
      </c>
      <c r="EK790" s="27" t="s">
        <v>8</v>
      </c>
      <c r="FZ790" s="27" t="s">
        <v>7</v>
      </c>
      <c r="GA790" s="27" t="s">
        <v>8</v>
      </c>
      <c r="GR790" s="27" t="s">
        <v>7</v>
      </c>
      <c r="GW790" s="27" t="s">
        <v>8</v>
      </c>
      <c r="HB790" s="27" t="s">
        <v>7</v>
      </c>
      <c r="HC790" s="27" t="s">
        <v>8</v>
      </c>
      <c r="HD790" s="27" t="s">
        <v>7</v>
      </c>
      <c r="HG790" s="27" t="s">
        <v>8</v>
      </c>
      <c r="HH790" s="27" t="s">
        <v>7</v>
      </c>
      <c r="HI790" s="27" t="s">
        <v>8</v>
      </c>
      <c r="JR790" s="27" t="s">
        <v>7</v>
      </c>
      <c r="KF790" s="27" t="s">
        <v>7</v>
      </c>
      <c r="KG790" s="27" t="s">
        <v>8</v>
      </c>
      <c r="KH790" s="27" t="s">
        <v>7</v>
      </c>
      <c r="KI790" s="27" t="s">
        <v>8</v>
      </c>
      <c r="KJ790" s="27" t="s">
        <v>7</v>
      </c>
    </row>
    <row r="791" spans="1:296" x14ac:dyDescent="0.25">
      <c r="A791" s="7">
        <v>1.7602119317495109E-2</v>
      </c>
      <c r="B791"/>
      <c r="C791"/>
      <c r="D791"/>
      <c r="E791"/>
      <c r="F791" s="27" t="s">
        <v>7</v>
      </c>
      <c r="EK791" s="27" t="s">
        <v>8</v>
      </c>
      <c r="FZ791" s="27" t="s">
        <v>7</v>
      </c>
      <c r="GA791" s="27" t="s">
        <v>8</v>
      </c>
      <c r="GR791" s="27" t="s">
        <v>7</v>
      </c>
      <c r="GW791" s="27" t="s">
        <v>8</v>
      </c>
      <c r="HB791" s="27" t="s">
        <v>7</v>
      </c>
      <c r="HC791" s="27" t="s">
        <v>8</v>
      </c>
      <c r="HD791" s="27" t="s">
        <v>7</v>
      </c>
      <c r="HG791" s="27" t="s">
        <v>8</v>
      </c>
      <c r="HH791" s="27" t="s">
        <v>7</v>
      </c>
      <c r="HI791" s="27" t="s">
        <v>8</v>
      </c>
      <c r="KF791" s="27" t="s">
        <v>7</v>
      </c>
      <c r="KH791" s="27" t="s">
        <v>7</v>
      </c>
      <c r="KI791" s="27" t="s">
        <v>8</v>
      </c>
      <c r="KJ791" s="27" t="s">
        <v>7</v>
      </c>
    </row>
    <row r="792" spans="1:296" x14ac:dyDescent="0.25">
      <c r="A792" s="7">
        <v>1.7256979723034419E-2</v>
      </c>
      <c r="B792"/>
      <c r="C792"/>
      <c r="D792"/>
      <c r="E792"/>
      <c r="F792" s="27" t="s">
        <v>7</v>
      </c>
      <c r="DO792" s="27" t="s">
        <v>8</v>
      </c>
      <c r="EK792" s="27" t="s">
        <v>8</v>
      </c>
      <c r="FZ792" s="27" t="s">
        <v>7</v>
      </c>
      <c r="GA792" s="27" t="s">
        <v>8</v>
      </c>
      <c r="GR792" s="27" t="s">
        <v>7</v>
      </c>
      <c r="GW792" s="27" t="s">
        <v>8</v>
      </c>
      <c r="HB792" s="27" t="s">
        <v>7</v>
      </c>
      <c r="HD792" s="27" t="s">
        <v>7</v>
      </c>
      <c r="HE792" s="18" t="s">
        <v>8</v>
      </c>
      <c r="HG792" s="27" t="s">
        <v>8</v>
      </c>
      <c r="HH792" s="27" t="s">
        <v>7</v>
      </c>
      <c r="KH792" s="27" t="s">
        <v>7</v>
      </c>
      <c r="KI792" s="27" t="s">
        <v>8</v>
      </c>
      <c r="KJ792" s="27" t="s">
        <v>7</v>
      </c>
    </row>
    <row r="793" spans="1:296" x14ac:dyDescent="0.25">
      <c r="A793" s="7">
        <v>1.6918607571602372E-2</v>
      </c>
      <c r="B793"/>
      <c r="C793"/>
      <c r="D793"/>
      <c r="E793"/>
      <c r="F793" s="27" t="s">
        <v>7</v>
      </c>
      <c r="DO793" s="27" t="s">
        <v>8</v>
      </c>
      <c r="DP793" s="27" t="s">
        <v>7</v>
      </c>
      <c r="EK793" s="27" t="s">
        <v>8</v>
      </c>
      <c r="FZ793" s="27" t="s">
        <v>7</v>
      </c>
      <c r="GA793" s="27" t="s">
        <v>8</v>
      </c>
      <c r="GR793" s="27" t="s">
        <v>7</v>
      </c>
      <c r="GW793" s="27" t="s">
        <v>8</v>
      </c>
      <c r="HD793" s="27" t="s">
        <v>7</v>
      </c>
      <c r="HE793" s="27" t="s">
        <v>8</v>
      </c>
      <c r="HF793" s="27" t="s">
        <v>7</v>
      </c>
      <c r="HG793" s="27" t="s">
        <v>8</v>
      </c>
      <c r="KH793" s="27" t="s">
        <v>7</v>
      </c>
      <c r="KJ793" s="27" t="s">
        <v>7</v>
      </c>
    </row>
    <row r="794" spans="1:296" x14ac:dyDescent="0.25">
      <c r="A794" s="7">
        <v>1.6586870168237622E-2</v>
      </c>
      <c r="B794"/>
      <c r="C794"/>
      <c r="D794"/>
      <c r="E794"/>
      <c r="F794" s="27" t="s">
        <v>7</v>
      </c>
      <c r="DO794" s="27" t="s">
        <v>8</v>
      </c>
      <c r="DP794" s="27" t="s">
        <v>7</v>
      </c>
      <c r="EK794" s="27" t="s">
        <v>8</v>
      </c>
      <c r="FZ794" s="27" t="s">
        <v>7</v>
      </c>
      <c r="GA794" s="27" t="s">
        <v>8</v>
      </c>
      <c r="GR794" s="27" t="s">
        <v>7</v>
      </c>
      <c r="GW794" s="27" t="s">
        <v>8</v>
      </c>
      <c r="HD794" s="27" t="s">
        <v>7</v>
      </c>
      <c r="HE794" s="27" t="s">
        <v>8</v>
      </c>
      <c r="HF794" s="27" t="s">
        <v>7</v>
      </c>
      <c r="HG794" s="27" t="s">
        <v>8</v>
      </c>
      <c r="KJ794" s="27" t="s">
        <v>7</v>
      </c>
    </row>
    <row r="795" spans="1:296" x14ac:dyDescent="0.25">
      <c r="A795" s="7">
        <v>1.6261637419840807E-2</v>
      </c>
      <c r="B795"/>
      <c r="C795"/>
      <c r="D795"/>
      <c r="E795"/>
      <c r="F795" s="27" t="s">
        <v>7</v>
      </c>
      <c r="DO795" s="27" t="s">
        <v>8</v>
      </c>
      <c r="DP795" s="27" t="s">
        <v>7</v>
      </c>
      <c r="EK795" s="27" t="s">
        <v>8</v>
      </c>
      <c r="FZ795" s="27" t="s">
        <v>7</v>
      </c>
      <c r="GA795" s="27" t="s">
        <v>8</v>
      </c>
      <c r="GR795" s="27" t="s">
        <v>7</v>
      </c>
      <c r="GW795" s="27" t="s">
        <v>8</v>
      </c>
      <c r="HD795" s="27" t="s">
        <v>7</v>
      </c>
      <c r="HE795" s="27" t="s">
        <v>8</v>
      </c>
      <c r="HF795" s="27" t="s">
        <v>7</v>
      </c>
      <c r="HG795" s="27" t="s">
        <v>8</v>
      </c>
      <c r="KJ795" s="27" t="s">
        <v>7</v>
      </c>
    </row>
    <row r="796" spans="1:296" x14ac:dyDescent="0.25">
      <c r="A796" s="7">
        <v>1.5942781784157655E-2</v>
      </c>
      <c r="B796"/>
      <c r="C796"/>
      <c r="D796"/>
      <c r="E796"/>
      <c r="F796" s="27" t="s">
        <v>7</v>
      </c>
      <c r="DO796" s="27" t="s">
        <v>8</v>
      </c>
      <c r="DP796" s="27" t="s">
        <v>7</v>
      </c>
      <c r="EK796" s="27" t="s">
        <v>8</v>
      </c>
      <c r="FZ796" s="27" t="s">
        <v>7</v>
      </c>
      <c r="GA796" s="27" t="s">
        <v>8</v>
      </c>
      <c r="GR796" s="27" t="s">
        <v>7</v>
      </c>
      <c r="GW796" s="27" t="s">
        <v>8</v>
      </c>
      <c r="HD796" s="27" t="s">
        <v>7</v>
      </c>
      <c r="HE796" s="27" t="s">
        <v>8</v>
      </c>
      <c r="HF796" s="27" t="s">
        <v>7</v>
      </c>
      <c r="HG796" s="27" t="s">
        <v>8</v>
      </c>
      <c r="KJ796" s="27" t="s">
        <v>7</v>
      </c>
    </row>
    <row r="797" spans="1:296" x14ac:dyDescent="0.25">
      <c r="A797" s="7">
        <v>1.5630178219762408E-2</v>
      </c>
      <c r="B797"/>
      <c r="C797"/>
      <c r="D797"/>
      <c r="E797"/>
      <c r="F797" s="27" t="s">
        <v>7</v>
      </c>
      <c r="DO797" s="27" t="s">
        <v>8</v>
      </c>
      <c r="DP797" s="27" t="s">
        <v>7</v>
      </c>
      <c r="EK797" s="27" t="s">
        <v>8</v>
      </c>
      <c r="FZ797" s="27" t="s">
        <v>7</v>
      </c>
      <c r="GR797" s="27" t="s">
        <v>7</v>
      </c>
      <c r="GW797" s="27" t="s">
        <v>8</v>
      </c>
      <c r="HD797" s="27" t="s">
        <v>7</v>
      </c>
      <c r="HE797" s="27" t="s">
        <v>8</v>
      </c>
      <c r="HF797" s="27" t="s">
        <v>7</v>
      </c>
      <c r="HG797" s="27" t="s">
        <v>8</v>
      </c>
      <c r="KJ797" s="27" t="s">
        <v>7</v>
      </c>
    </row>
    <row r="798" spans="1:296" x14ac:dyDescent="0.25">
      <c r="A798" s="7">
        <v>1.5323704137021967E-2</v>
      </c>
      <c r="B798"/>
      <c r="C798"/>
      <c r="D798"/>
      <c r="E798"/>
      <c r="F798" s="27" t="s">
        <v>7</v>
      </c>
      <c r="DO798" s="27" t="s">
        <v>8</v>
      </c>
      <c r="DP798" s="27" t="s">
        <v>7</v>
      </c>
      <c r="EK798" s="27" t="s">
        <v>8</v>
      </c>
      <c r="GR798" s="27" t="s">
        <v>7</v>
      </c>
      <c r="GW798" s="27" t="s">
        <v>8</v>
      </c>
      <c r="HD798" s="27" t="s">
        <v>7</v>
      </c>
      <c r="HF798" s="27" t="s">
        <v>7</v>
      </c>
      <c r="HG798" s="27" t="s">
        <v>8</v>
      </c>
      <c r="KJ798" s="27" t="s">
        <v>7</v>
      </c>
    </row>
    <row r="799" spans="1:296" x14ac:dyDescent="0.25">
      <c r="A799" s="7">
        <v>1.5023239350021535E-2</v>
      </c>
      <c r="B799"/>
      <c r="C799"/>
      <c r="D799"/>
      <c r="E799"/>
      <c r="F799" s="27" t="s">
        <v>7</v>
      </c>
      <c r="DO799" s="27" t="s">
        <v>8</v>
      </c>
      <c r="DP799" s="27" t="s">
        <v>7</v>
      </c>
      <c r="EK799" s="27" t="s">
        <v>8</v>
      </c>
      <c r="GR799" s="27" t="s">
        <v>7</v>
      </c>
      <c r="GU799" s="27" t="s">
        <v>8</v>
      </c>
      <c r="GW799" s="27" t="s">
        <v>8</v>
      </c>
      <c r="HF799" s="27" t="s">
        <v>7</v>
      </c>
      <c r="HG799" s="27" t="s">
        <v>8</v>
      </c>
      <c r="KJ799" s="27" t="s">
        <v>7</v>
      </c>
    </row>
    <row r="800" spans="1:296" x14ac:dyDescent="0.25">
      <c r="A800" s="7">
        <v>1.4728666029432878E-2</v>
      </c>
      <c r="B800"/>
      <c r="C800"/>
      <c r="D800"/>
      <c r="E800"/>
      <c r="F800" s="27" t="s">
        <v>7</v>
      </c>
      <c r="DO800" s="27" t="s">
        <v>8</v>
      </c>
      <c r="DP800" s="27" t="s">
        <v>7</v>
      </c>
      <c r="EA800" s="27" t="s">
        <v>8</v>
      </c>
      <c r="EK800" s="27" t="s">
        <v>8</v>
      </c>
      <c r="GR800" s="27" t="s">
        <v>7</v>
      </c>
      <c r="GU800" s="27" t="s">
        <v>8</v>
      </c>
      <c r="GV800" s="27" t="s">
        <v>7</v>
      </c>
      <c r="GW800" s="27" t="s">
        <v>8</v>
      </c>
      <c r="HF800" s="27" t="s">
        <v>7</v>
      </c>
      <c r="HG800" s="27" t="s">
        <v>8</v>
      </c>
      <c r="KJ800" s="27" t="s">
        <v>7</v>
      </c>
    </row>
    <row r="801" spans="1:300" x14ac:dyDescent="0.25">
      <c r="A801" s="7">
        <v>1.4439868656306743E-2</v>
      </c>
      <c r="B801"/>
      <c r="C801"/>
      <c r="D801"/>
      <c r="E801"/>
      <c r="F801" s="27" t="s">
        <v>7</v>
      </c>
      <c r="DO801" s="27" t="s">
        <v>8</v>
      </c>
      <c r="DP801" s="27" t="s">
        <v>7</v>
      </c>
      <c r="EA801" s="27" t="s">
        <v>8</v>
      </c>
      <c r="EB801" s="27" t="s">
        <v>7</v>
      </c>
      <c r="EK801" s="27" t="s">
        <v>8</v>
      </c>
      <c r="GR801" s="27" t="s">
        <v>7</v>
      </c>
      <c r="GU801" s="27" t="s">
        <v>8</v>
      </c>
      <c r="GV801" s="27" t="s">
        <v>7</v>
      </c>
      <c r="GW801" s="27" t="s">
        <v>8</v>
      </c>
      <c r="HF801" s="27" t="s">
        <v>7</v>
      </c>
      <c r="HG801" s="27" t="s">
        <v>8</v>
      </c>
      <c r="KJ801" s="27" t="s">
        <v>7</v>
      </c>
      <c r="KM801" s="27" t="s">
        <v>8</v>
      </c>
    </row>
    <row r="802" spans="1:300" x14ac:dyDescent="0.25">
      <c r="A802" s="7">
        <v>1.4156733976771318E-2</v>
      </c>
      <c r="B802"/>
      <c r="C802"/>
      <c r="D802"/>
      <c r="E802"/>
      <c r="F802" s="27" t="s">
        <v>7</v>
      </c>
      <c r="DO802" s="27" t="s">
        <v>8</v>
      </c>
      <c r="DP802" s="27" t="s">
        <v>7</v>
      </c>
      <c r="EA802" s="27" t="s">
        <v>8</v>
      </c>
      <c r="EB802" s="27" t="s">
        <v>7</v>
      </c>
      <c r="EK802" s="27" t="s">
        <v>8</v>
      </c>
      <c r="GR802" s="27" t="s">
        <v>7</v>
      </c>
      <c r="GS802" s="27" t="s">
        <v>8</v>
      </c>
      <c r="GU802" s="27" t="s">
        <v>8</v>
      </c>
      <c r="GV802" s="27" t="s">
        <v>7</v>
      </c>
      <c r="GW802" s="27" t="s">
        <v>8</v>
      </c>
      <c r="HF802" s="27" t="s">
        <v>7</v>
      </c>
      <c r="HG802" s="27" t="s">
        <v>8</v>
      </c>
      <c r="KJ802" s="27" t="s">
        <v>7</v>
      </c>
      <c r="KM802" s="27" t="s">
        <v>8</v>
      </c>
      <c r="KN802" s="27" t="s">
        <v>7</v>
      </c>
    </row>
    <row r="803" spans="1:300" x14ac:dyDescent="0.25">
      <c r="A803" s="7">
        <v>1.3879150957618939E-2</v>
      </c>
      <c r="B803"/>
      <c r="C803"/>
      <c r="D803"/>
      <c r="E803"/>
      <c r="F803" s="27" t="s">
        <v>7</v>
      </c>
      <c r="DO803" s="27" t="s">
        <v>8</v>
      </c>
      <c r="DP803" s="27" t="s">
        <v>7</v>
      </c>
      <c r="EA803" s="27" t="s">
        <v>8</v>
      </c>
      <c r="EB803" s="27" t="s">
        <v>7</v>
      </c>
      <c r="EK803" s="27" t="s">
        <v>8</v>
      </c>
      <c r="GR803" s="27" t="s">
        <v>7</v>
      </c>
      <c r="GS803" s="27" t="s">
        <v>8</v>
      </c>
      <c r="GT803" s="27" t="s">
        <v>7</v>
      </c>
      <c r="GU803" s="27" t="s">
        <v>8</v>
      </c>
      <c r="GV803" s="27" t="s">
        <v>7</v>
      </c>
      <c r="GW803" s="27" t="s">
        <v>8</v>
      </c>
      <c r="HF803" s="27" t="s">
        <v>7</v>
      </c>
      <c r="HG803" s="27" t="s">
        <v>8</v>
      </c>
      <c r="KJ803" s="27" t="s">
        <v>7</v>
      </c>
      <c r="KM803" s="27" t="s">
        <v>8</v>
      </c>
      <c r="KN803" s="27" t="s">
        <v>7</v>
      </c>
    </row>
    <row r="804" spans="1:300" x14ac:dyDescent="0.25">
      <c r="A804" s="7">
        <v>1.3607010742763666E-2</v>
      </c>
      <c r="B804"/>
      <c r="C804"/>
      <c r="D804"/>
      <c r="E804"/>
      <c r="F804" s="27" t="s">
        <v>7</v>
      </c>
      <c r="DO804" s="27" t="s">
        <v>8</v>
      </c>
      <c r="DP804" s="27" t="s">
        <v>7</v>
      </c>
      <c r="EA804" s="27" t="s">
        <v>8</v>
      </c>
      <c r="EB804" s="27" t="s">
        <v>7</v>
      </c>
      <c r="EK804" s="27" t="s">
        <v>8</v>
      </c>
      <c r="GR804" s="27" t="s">
        <v>7</v>
      </c>
      <c r="GS804" s="27" t="s">
        <v>8</v>
      </c>
      <c r="GT804" s="27" t="s">
        <v>7</v>
      </c>
      <c r="GU804" s="27" t="s">
        <v>8</v>
      </c>
      <c r="GV804" s="27" t="s">
        <v>7</v>
      </c>
      <c r="GW804" s="27" t="s">
        <v>8</v>
      </c>
      <c r="HF804" s="27" t="s">
        <v>7</v>
      </c>
      <c r="KJ804" s="27" t="s">
        <v>7</v>
      </c>
      <c r="KM804" s="27" t="s">
        <v>8</v>
      </c>
      <c r="KN804" s="27" t="s">
        <v>7</v>
      </c>
    </row>
    <row r="805" spans="1:300" x14ac:dyDescent="0.25">
      <c r="A805" s="7">
        <v>1.3340206610552614E-2</v>
      </c>
      <c r="B805"/>
      <c r="C805"/>
      <c r="D805"/>
      <c r="E805"/>
      <c r="F805" s="27" t="s">
        <v>7</v>
      </c>
      <c r="DO805" s="27" t="s">
        <v>8</v>
      </c>
      <c r="DP805" s="27" t="s">
        <v>7</v>
      </c>
      <c r="EA805" s="27" t="s">
        <v>8</v>
      </c>
      <c r="EB805" s="27" t="s">
        <v>7</v>
      </c>
      <c r="EI805" s="27" t="s">
        <v>8</v>
      </c>
      <c r="EK805" s="27" t="s">
        <v>8</v>
      </c>
      <c r="GR805" s="27" t="s">
        <v>7</v>
      </c>
      <c r="GS805" s="27" t="s">
        <v>8</v>
      </c>
      <c r="GT805" s="27" t="s">
        <v>7</v>
      </c>
      <c r="GU805" s="27" t="s">
        <v>8</v>
      </c>
      <c r="GV805" s="27" t="s">
        <v>7</v>
      </c>
      <c r="GW805" s="27" t="s">
        <v>8</v>
      </c>
      <c r="KJ805" s="27" t="s">
        <v>7</v>
      </c>
      <c r="KK805" s="27" t="s">
        <v>8</v>
      </c>
      <c r="KM805" s="27" t="s">
        <v>8</v>
      </c>
      <c r="KN805" s="27" t="s">
        <v>7</v>
      </c>
    </row>
    <row r="806" spans="1:300" x14ac:dyDescent="0.25">
      <c r="A806" s="7">
        <v>1.3078633931914328E-2</v>
      </c>
      <c r="B806"/>
      <c r="C806"/>
      <c r="D806"/>
      <c r="E806"/>
      <c r="F806" s="27" t="s">
        <v>7</v>
      </c>
      <c r="DO806" s="27" t="s">
        <v>8</v>
      </c>
      <c r="DP806" s="27" t="s">
        <v>7</v>
      </c>
      <c r="EA806" s="27" t="s">
        <v>8</v>
      </c>
      <c r="EB806" s="27" t="s">
        <v>7</v>
      </c>
      <c r="EI806" s="27" t="s">
        <v>8</v>
      </c>
      <c r="EJ806" s="27" t="s">
        <v>7</v>
      </c>
      <c r="EK806" s="27" t="s">
        <v>8</v>
      </c>
      <c r="GR806" s="27" t="s">
        <v>7</v>
      </c>
      <c r="GS806" s="27" t="s">
        <v>8</v>
      </c>
      <c r="GT806" s="27" t="s">
        <v>7</v>
      </c>
      <c r="GU806" s="27" t="s">
        <v>8</v>
      </c>
      <c r="GV806" s="27" t="s">
        <v>7</v>
      </c>
      <c r="GW806" s="27" t="s">
        <v>8</v>
      </c>
      <c r="KJ806" s="27" t="s">
        <v>7</v>
      </c>
      <c r="KK806" s="27" t="s">
        <v>8</v>
      </c>
      <c r="KL806" s="27" t="s">
        <v>7</v>
      </c>
      <c r="KM806" s="27" t="s">
        <v>8</v>
      </c>
    </row>
    <row r="807" spans="1:300" x14ac:dyDescent="0.25">
      <c r="A807" s="7">
        <v>1.2822190129327771E-2</v>
      </c>
      <c r="B807"/>
      <c r="C807"/>
      <c r="D807"/>
      <c r="E807"/>
      <c r="F807" s="27" t="s">
        <v>7</v>
      </c>
      <c r="DO807" s="27" t="s">
        <v>8</v>
      </c>
      <c r="DP807" s="27" t="s">
        <v>7</v>
      </c>
      <c r="EA807" s="27" t="s">
        <v>8</v>
      </c>
      <c r="EB807" s="27" t="s">
        <v>7</v>
      </c>
      <c r="EI807" s="27" t="s">
        <v>8</v>
      </c>
      <c r="EJ807" s="27" t="s">
        <v>7</v>
      </c>
      <c r="EK807" s="27" t="s">
        <v>8</v>
      </c>
      <c r="GR807" s="27" t="s">
        <v>7</v>
      </c>
      <c r="GS807" s="27" t="s">
        <v>8</v>
      </c>
      <c r="GT807" s="27" t="s">
        <v>7</v>
      </c>
      <c r="GU807" s="27" t="s">
        <v>8</v>
      </c>
      <c r="GV807" s="27" t="s">
        <v>7</v>
      </c>
      <c r="GW807" s="27" t="s">
        <v>8</v>
      </c>
      <c r="KJ807" s="27" t="s">
        <v>7</v>
      </c>
      <c r="KK807" s="27" t="s">
        <v>8</v>
      </c>
      <c r="KL807" s="27" t="s">
        <v>7</v>
      </c>
      <c r="KM807" s="27" t="s">
        <v>8</v>
      </c>
    </row>
    <row r="808" spans="1:300" x14ac:dyDescent="0.25">
      <c r="A808" s="7">
        <v>1.2570774636595854E-2</v>
      </c>
      <c r="B808"/>
      <c r="C808"/>
      <c r="D808"/>
      <c r="E808"/>
      <c r="F808" s="27" t="s">
        <v>7</v>
      </c>
      <c r="DO808" s="27" t="s">
        <v>8</v>
      </c>
      <c r="DP808" s="27" t="s">
        <v>7</v>
      </c>
      <c r="EA808" s="27" t="s">
        <v>8</v>
      </c>
      <c r="EB808" s="27" t="s">
        <v>7</v>
      </c>
      <c r="EI808" s="27" t="s">
        <v>8</v>
      </c>
      <c r="EJ808" s="27" t="s">
        <v>7</v>
      </c>
      <c r="EK808" s="27" t="s">
        <v>8</v>
      </c>
      <c r="GR808" s="27" t="s">
        <v>7</v>
      </c>
      <c r="GS808" s="27" t="s">
        <v>8</v>
      </c>
      <c r="GT808" s="27" t="s">
        <v>7</v>
      </c>
      <c r="GU808" s="27" t="s">
        <v>8</v>
      </c>
      <c r="GV808" s="27" t="s">
        <v>7</v>
      </c>
      <c r="KJ808" s="27" t="s">
        <v>7</v>
      </c>
      <c r="KK808" s="27" t="s">
        <v>8</v>
      </c>
      <c r="KL808" s="27" t="s">
        <v>7</v>
      </c>
      <c r="KM808" s="27" t="s">
        <v>8</v>
      </c>
    </row>
    <row r="809" spans="1:300" x14ac:dyDescent="0.25">
      <c r="A809" s="7">
        <v>1.23242888594077E-2</v>
      </c>
      <c r="B809"/>
      <c r="C809"/>
      <c r="D809"/>
      <c r="E809"/>
      <c r="F809" s="27" t="s">
        <v>7</v>
      </c>
      <c r="DO809" s="27" t="s">
        <v>8</v>
      </c>
      <c r="DP809" s="27" t="s">
        <v>7</v>
      </c>
      <c r="EA809" s="27" t="s">
        <v>8</v>
      </c>
      <c r="EB809" s="27" t="s">
        <v>7</v>
      </c>
      <c r="EI809" s="27" t="s">
        <v>8</v>
      </c>
      <c r="EJ809" s="27" t="s">
        <v>7</v>
      </c>
      <c r="EK809" s="27" t="s">
        <v>8</v>
      </c>
      <c r="GR809" s="27" t="s">
        <v>7</v>
      </c>
      <c r="GS809" s="27" t="s">
        <v>8</v>
      </c>
      <c r="GT809" s="27" t="s">
        <v>7</v>
      </c>
      <c r="KJ809" s="27" t="s">
        <v>7</v>
      </c>
      <c r="KK809" s="27" t="s">
        <v>8</v>
      </c>
      <c r="KL809" s="27" t="s">
        <v>7</v>
      </c>
      <c r="KM809" s="27" t="s">
        <v>8</v>
      </c>
    </row>
    <row r="810" spans="1:300" x14ac:dyDescent="0.25">
      <c r="A810" s="7">
        <v>1.2082636136674216E-2</v>
      </c>
      <c r="B810"/>
      <c r="C810"/>
      <c r="D810"/>
      <c r="E810"/>
      <c r="F810" s="27" t="s">
        <v>7</v>
      </c>
      <c r="DO810" s="27" t="s">
        <v>8</v>
      </c>
      <c r="DP810" s="27" t="s">
        <v>7</v>
      </c>
      <c r="EA810" s="27" t="s">
        <v>8</v>
      </c>
      <c r="EB810" s="27" t="s">
        <v>7</v>
      </c>
      <c r="EI810" s="27" t="s">
        <v>8</v>
      </c>
      <c r="EJ810" s="27" t="s">
        <v>7</v>
      </c>
      <c r="EK810" s="27" t="s">
        <v>8</v>
      </c>
      <c r="GR810" s="27" t="s">
        <v>7</v>
      </c>
      <c r="GS810" s="27" t="s">
        <v>8</v>
      </c>
      <c r="KJ810" s="27" t="s">
        <v>7</v>
      </c>
      <c r="KK810" s="27" t="s">
        <v>8</v>
      </c>
      <c r="KL810" s="27" t="s">
        <v>7</v>
      </c>
      <c r="KM810" s="27" t="s">
        <v>8</v>
      </c>
    </row>
    <row r="811" spans="1:300" x14ac:dyDescent="0.25">
      <c r="A811" s="7">
        <v>1.184572170262178E-2</v>
      </c>
      <c r="B811"/>
      <c r="C811"/>
      <c r="D811"/>
      <c r="E811"/>
      <c r="F811" s="27" t="s">
        <v>7</v>
      </c>
      <c r="DO811" s="27" t="s">
        <v>8</v>
      </c>
      <c r="DP811" s="27" t="s">
        <v>7</v>
      </c>
      <c r="EA811" s="27" t="s">
        <v>8</v>
      </c>
      <c r="EB811" s="27" t="s">
        <v>7</v>
      </c>
      <c r="EI811" s="27" t="s">
        <v>8</v>
      </c>
      <c r="EJ811" s="27" t="s">
        <v>7</v>
      </c>
      <c r="EK811" s="27" t="s">
        <v>8</v>
      </c>
      <c r="GR811" s="27" t="s">
        <v>7</v>
      </c>
      <c r="GS811" s="27" t="s">
        <v>8</v>
      </c>
      <c r="KJ811" s="27" t="s">
        <v>7</v>
      </c>
      <c r="KK811" s="27" t="s">
        <v>8</v>
      </c>
      <c r="KL811" s="27" t="s">
        <v>7</v>
      </c>
      <c r="KM811" s="27" t="s">
        <v>8</v>
      </c>
    </row>
    <row r="812" spans="1:300" x14ac:dyDescent="0.25">
      <c r="A812" s="7">
        <v>1.1613452649629196E-2</v>
      </c>
      <c r="B812"/>
      <c r="C812"/>
      <c r="D812"/>
      <c r="E812"/>
      <c r="F812" s="27" t="s">
        <v>7</v>
      </c>
      <c r="DO812" s="27" t="s">
        <v>8</v>
      </c>
      <c r="DP812" s="27" t="s">
        <v>7</v>
      </c>
      <c r="DU812" s="27" t="s">
        <v>8</v>
      </c>
      <c r="DW812" s="27" t="s">
        <v>8</v>
      </c>
      <c r="EA812" s="27" t="s">
        <v>8</v>
      </c>
      <c r="EB812" s="27" t="s">
        <v>7</v>
      </c>
      <c r="EI812" s="27" t="s">
        <v>8</v>
      </c>
      <c r="EJ812" s="27" t="s">
        <v>7</v>
      </c>
      <c r="EK812" s="27" t="s">
        <v>8</v>
      </c>
      <c r="GR812" s="27" t="s">
        <v>7</v>
      </c>
      <c r="GS812" s="27" t="s">
        <v>8</v>
      </c>
      <c r="KJ812" s="27" t="s">
        <v>7</v>
      </c>
      <c r="KK812" s="27" t="s">
        <v>8</v>
      </c>
      <c r="KL812" s="27" t="s">
        <v>7</v>
      </c>
      <c r="KM812" s="27" t="s">
        <v>8</v>
      </c>
    </row>
    <row r="813" spans="1:300" x14ac:dyDescent="0.25">
      <c r="A813" s="7">
        <v>1.138573789179333E-2</v>
      </c>
      <c r="B813"/>
      <c r="C813"/>
      <c r="D813"/>
      <c r="E813"/>
      <c r="F813" s="27" t="s">
        <v>7</v>
      </c>
      <c r="DO813" s="27" t="s">
        <v>8</v>
      </c>
      <c r="DP813" s="27" t="s">
        <v>7</v>
      </c>
      <c r="DU813" s="27" t="s">
        <v>8</v>
      </c>
      <c r="DV813" s="27" t="s">
        <v>7</v>
      </c>
      <c r="DW813" s="27" t="s">
        <v>8</v>
      </c>
      <c r="DX813" s="27" t="s">
        <v>7</v>
      </c>
      <c r="DY813" s="27" t="s">
        <v>8</v>
      </c>
      <c r="EA813" s="27" t="s">
        <v>8</v>
      </c>
      <c r="EB813" s="27" t="s">
        <v>7</v>
      </c>
      <c r="EI813" s="27" t="s">
        <v>8</v>
      </c>
      <c r="EJ813" s="27" t="s">
        <v>7</v>
      </c>
      <c r="GR813" s="27" t="s">
        <v>7</v>
      </c>
      <c r="GS813" s="27" t="s">
        <v>8</v>
      </c>
      <c r="KJ813" s="27" t="s">
        <v>7</v>
      </c>
      <c r="KK813" s="27" t="s">
        <v>8</v>
      </c>
      <c r="KL813" s="27" t="s">
        <v>7</v>
      </c>
    </row>
    <row r="814" spans="1:300" x14ac:dyDescent="0.25">
      <c r="A814" s="7">
        <v>1.1162488129209149E-2</v>
      </c>
      <c r="B814"/>
      <c r="C814"/>
      <c r="D814"/>
      <c r="E814"/>
      <c r="F814" s="27" t="s">
        <v>7</v>
      </c>
      <c r="DO814" s="27" t="s">
        <v>8</v>
      </c>
      <c r="DP814" s="27" t="s">
        <v>7</v>
      </c>
      <c r="DU814" s="27" t="s">
        <v>8</v>
      </c>
      <c r="DV814" s="27" t="s">
        <v>7</v>
      </c>
      <c r="DW814" s="27" t="s">
        <v>8</v>
      </c>
      <c r="DX814" s="27" t="s">
        <v>7</v>
      </c>
      <c r="DY814" s="27" t="s">
        <v>8</v>
      </c>
      <c r="DZ814" s="27" t="s">
        <v>7</v>
      </c>
      <c r="EA814" s="27" t="s">
        <v>8</v>
      </c>
      <c r="EB814" s="27" t="s">
        <v>7</v>
      </c>
      <c r="EI814" s="27" t="s">
        <v>8</v>
      </c>
      <c r="GR814" s="27" t="s">
        <v>7</v>
      </c>
      <c r="GS814" s="27" t="s">
        <v>8</v>
      </c>
      <c r="KJ814" s="27" t="s">
        <v>7</v>
      </c>
    </row>
    <row r="815" spans="1:300" x14ac:dyDescent="0.25">
      <c r="A815" s="7">
        <v>1.0943615812950145E-2</v>
      </c>
      <c r="B815"/>
      <c r="C815"/>
      <c r="D815"/>
      <c r="E815"/>
      <c r="F815" s="27" t="s">
        <v>7</v>
      </c>
      <c r="DO815" s="27" t="s">
        <v>8</v>
      </c>
      <c r="DP815" s="27" t="s">
        <v>7</v>
      </c>
      <c r="DU815" s="27" t="s">
        <v>8</v>
      </c>
      <c r="DV815" s="27" t="s">
        <v>7</v>
      </c>
      <c r="DW815" s="27" t="s">
        <v>8</v>
      </c>
      <c r="DX815" s="27" t="s">
        <v>7</v>
      </c>
      <c r="DY815" s="27" t="s">
        <v>8</v>
      </c>
      <c r="DZ815" s="27" t="s">
        <v>7</v>
      </c>
      <c r="EA815" s="27" t="s">
        <v>8</v>
      </c>
      <c r="EB815" s="27" t="s">
        <v>7</v>
      </c>
      <c r="EI815" s="27" t="s">
        <v>8</v>
      </c>
      <c r="GR815" s="27" t="s">
        <v>7</v>
      </c>
      <c r="GS815" s="27" t="s">
        <v>8</v>
      </c>
    </row>
    <row r="816" spans="1:300" x14ac:dyDescent="0.25">
      <c r="A816" s="7">
        <v>1.0729035110735436E-2</v>
      </c>
      <c r="B816"/>
      <c r="C816"/>
      <c r="D816"/>
      <c r="E816"/>
      <c r="F816" s="27" t="s">
        <v>7</v>
      </c>
      <c r="DO816" s="27" t="s">
        <v>8</v>
      </c>
      <c r="DP816" s="27" t="s">
        <v>7</v>
      </c>
      <c r="DS816" s="27" t="s">
        <v>8</v>
      </c>
      <c r="DU816" s="27" t="s">
        <v>8</v>
      </c>
      <c r="DV816" s="27" t="s">
        <v>7</v>
      </c>
      <c r="DW816" s="27" t="s">
        <v>8</v>
      </c>
      <c r="DX816" s="27" t="s">
        <v>7</v>
      </c>
      <c r="DY816" s="27" t="s">
        <v>8</v>
      </c>
      <c r="DZ816" s="27" t="s">
        <v>7</v>
      </c>
      <c r="EA816" s="27" t="s">
        <v>8</v>
      </c>
      <c r="EB816" s="27" t="s">
        <v>7</v>
      </c>
      <c r="EE816" s="27" t="s">
        <v>8</v>
      </c>
      <c r="EI816" s="27" t="s">
        <v>8</v>
      </c>
      <c r="GR816" s="27" t="s">
        <v>7</v>
      </c>
    </row>
    <row r="817" spans="1:139" x14ac:dyDescent="0.25">
      <c r="A817" s="7">
        <v>1.0518661873270036E-2</v>
      </c>
      <c r="B817"/>
      <c r="C817"/>
      <c r="D817"/>
      <c r="E817"/>
      <c r="F817" s="27" t="s">
        <v>7</v>
      </c>
      <c r="DO817" s="27" t="s">
        <v>8</v>
      </c>
      <c r="DP817" s="27" t="s">
        <v>7</v>
      </c>
      <c r="DS817" s="27" t="s">
        <v>8</v>
      </c>
      <c r="DT817" s="27" t="s">
        <v>7</v>
      </c>
      <c r="DU817" s="27" t="s">
        <v>8</v>
      </c>
      <c r="DV817" s="27" t="s">
        <v>7</v>
      </c>
      <c r="DW817" s="27" t="s">
        <v>8</v>
      </c>
      <c r="DX817" s="27" t="s">
        <v>7</v>
      </c>
      <c r="DY817" s="27" t="s">
        <v>8</v>
      </c>
      <c r="DZ817" s="27" t="s">
        <v>7</v>
      </c>
      <c r="EB817" s="27" t="s">
        <v>7</v>
      </c>
      <c r="EE817" s="27" t="s">
        <v>8</v>
      </c>
      <c r="EF817" s="27" t="s">
        <v>7</v>
      </c>
      <c r="EI817" s="27" t="s">
        <v>8</v>
      </c>
    </row>
    <row r="818" spans="1:139" x14ac:dyDescent="0.25">
      <c r="A818" s="7">
        <v>1.0312413601245135E-2</v>
      </c>
      <c r="B818"/>
      <c r="C818"/>
      <c r="D818"/>
      <c r="E818"/>
      <c r="F818" s="27" t="s">
        <v>7</v>
      </c>
      <c r="DO818" s="27" t="s">
        <v>8</v>
      </c>
      <c r="DP818" s="27" t="s">
        <v>7</v>
      </c>
      <c r="DQ818" s="27" t="s">
        <v>8</v>
      </c>
      <c r="DS818" s="27" t="s">
        <v>8</v>
      </c>
      <c r="DT818" s="27" t="s">
        <v>7</v>
      </c>
      <c r="DU818" s="27" t="s">
        <v>8</v>
      </c>
      <c r="DV818" s="27" t="s">
        <v>7</v>
      </c>
      <c r="DW818" s="27" t="s">
        <v>8</v>
      </c>
      <c r="DX818" s="27" t="s">
        <v>7</v>
      </c>
      <c r="DY818" s="27" t="s">
        <v>8</v>
      </c>
      <c r="EB818" s="27" t="s">
        <v>7</v>
      </c>
      <c r="EC818" s="27" t="s">
        <v>8</v>
      </c>
      <c r="EE818" s="27" t="s">
        <v>8</v>
      </c>
      <c r="EF818" s="27" t="s">
        <v>7</v>
      </c>
      <c r="EI818" s="27" t="s">
        <v>8</v>
      </c>
    </row>
    <row r="819" spans="1:139" x14ac:dyDescent="0.25">
      <c r="A819" s="7">
        <v>1.0110209412985426E-2</v>
      </c>
      <c r="B819"/>
      <c r="C819"/>
      <c r="D819"/>
      <c r="E819"/>
      <c r="F819" s="27" t="s">
        <v>7</v>
      </c>
      <c r="DO819" s="27" t="s">
        <v>8</v>
      </c>
      <c r="DP819" s="27" t="s">
        <v>7</v>
      </c>
      <c r="DQ819" s="27" t="s">
        <v>8</v>
      </c>
      <c r="DR819" s="27" t="s">
        <v>7</v>
      </c>
      <c r="DS819" s="27" t="s">
        <v>8</v>
      </c>
      <c r="DT819" s="27" t="s">
        <v>7</v>
      </c>
      <c r="DU819" s="27" t="s">
        <v>8</v>
      </c>
      <c r="DV819" s="27" t="s">
        <v>7</v>
      </c>
      <c r="DX819" s="27" t="s">
        <v>7</v>
      </c>
      <c r="DY819" s="27" t="s">
        <v>8</v>
      </c>
      <c r="EB819" s="27" t="s">
        <v>7</v>
      </c>
      <c r="EC819" s="27" t="s">
        <v>8</v>
      </c>
      <c r="ED819" s="27" t="s">
        <v>7</v>
      </c>
      <c r="EE819" s="27" t="s">
        <v>8</v>
      </c>
      <c r="EF819" s="27" t="s">
        <v>7</v>
      </c>
      <c r="EI819" s="27" t="s">
        <v>8</v>
      </c>
    </row>
    <row r="820" spans="1:139" x14ac:dyDescent="0.25">
      <c r="A820" s="7">
        <v>9.9119700127308103E-3</v>
      </c>
      <c r="B820"/>
      <c r="C820"/>
      <c r="D820"/>
      <c r="E820"/>
      <c r="F820" s="27" t="s">
        <v>7</v>
      </c>
      <c r="DO820" s="27" t="s">
        <v>8</v>
      </c>
      <c r="DP820" s="27" t="s">
        <v>7</v>
      </c>
      <c r="DQ820" s="27" t="s">
        <v>8</v>
      </c>
      <c r="DR820" s="27" t="s">
        <v>7</v>
      </c>
      <c r="DS820" s="27" t="s">
        <v>8</v>
      </c>
      <c r="DT820" s="27" t="s">
        <v>7</v>
      </c>
      <c r="DU820" s="27" t="s">
        <v>8</v>
      </c>
      <c r="DX820" s="27" t="s">
        <v>7</v>
      </c>
      <c r="DY820" s="27" t="s">
        <v>8</v>
      </c>
      <c r="EB820" s="27" t="s">
        <v>7</v>
      </c>
      <c r="EC820" s="27" t="s">
        <v>8</v>
      </c>
      <c r="ED820" s="27" t="s">
        <v>7</v>
      </c>
      <c r="EE820" s="27" t="s">
        <v>8</v>
      </c>
      <c r="EF820" s="27" t="s">
        <v>7</v>
      </c>
      <c r="EG820" s="27" t="s">
        <v>8</v>
      </c>
      <c r="EI820" s="27" t="s">
        <v>8</v>
      </c>
    </row>
    <row r="821" spans="1:139" x14ac:dyDescent="0.25">
      <c r="A821" s="7">
        <v>9.717617659540009E-3</v>
      </c>
      <c r="B821"/>
      <c r="C821"/>
      <c r="D821"/>
      <c r="E821"/>
      <c r="F821" s="27" t="s">
        <v>7</v>
      </c>
      <c r="DO821" s="27" t="s">
        <v>8</v>
      </c>
      <c r="DP821" s="27" t="s">
        <v>7</v>
      </c>
      <c r="DQ821" s="27" t="s">
        <v>8</v>
      </c>
      <c r="DR821" s="27" t="s">
        <v>7</v>
      </c>
      <c r="DS821" s="27" t="s">
        <v>8</v>
      </c>
      <c r="DT821" s="27" t="s">
        <v>7</v>
      </c>
      <c r="DU821" s="27" t="s">
        <v>8</v>
      </c>
      <c r="DX821" s="27" t="s">
        <v>7</v>
      </c>
      <c r="DY821" s="27" t="s">
        <v>8</v>
      </c>
      <c r="EB821" s="27" t="s">
        <v>7</v>
      </c>
      <c r="EC821" s="27" t="s">
        <v>8</v>
      </c>
      <c r="ED821" s="27" t="s">
        <v>7</v>
      </c>
      <c r="EE821" s="27" t="s">
        <v>8</v>
      </c>
      <c r="EF821" s="27" t="s">
        <v>7</v>
      </c>
      <c r="EG821" s="27" t="s">
        <v>8</v>
      </c>
      <c r="EH821" s="27" t="s">
        <v>7</v>
      </c>
      <c r="EI821" s="27" t="s">
        <v>8</v>
      </c>
    </row>
    <row r="822" spans="1:139" x14ac:dyDescent="0.25">
      <c r="A822" s="7">
        <v>9.5270761368039299E-3</v>
      </c>
      <c r="B822"/>
      <c r="C822"/>
      <c r="D822"/>
      <c r="E822"/>
      <c r="F822" s="27" t="s">
        <v>7</v>
      </c>
      <c r="DO822" s="27" t="s">
        <v>8</v>
      </c>
      <c r="DP822" s="27" t="s">
        <v>7</v>
      </c>
      <c r="DQ822" s="27" t="s">
        <v>8</v>
      </c>
      <c r="DR822" s="27" t="s">
        <v>7</v>
      </c>
      <c r="DS822" s="27" t="s">
        <v>8</v>
      </c>
      <c r="DT822" s="27" t="s">
        <v>7</v>
      </c>
      <c r="DU822" s="27" t="s">
        <v>8</v>
      </c>
      <c r="DX822" s="27" t="s">
        <v>7</v>
      </c>
      <c r="DY822" s="27" t="s">
        <v>8</v>
      </c>
      <c r="EB822" s="27" t="s">
        <v>7</v>
      </c>
      <c r="EC822" s="27" t="s">
        <v>8</v>
      </c>
      <c r="ED822" s="27" t="s">
        <v>7</v>
      </c>
      <c r="EE822" s="27" t="s">
        <v>8</v>
      </c>
      <c r="EF822" s="27" t="s">
        <v>7</v>
      </c>
      <c r="EG822" s="27" t="s">
        <v>8</v>
      </c>
      <c r="EH822" s="27" t="s">
        <v>7</v>
      </c>
      <c r="EI822" s="27" t="s">
        <v>8</v>
      </c>
    </row>
    <row r="823" spans="1:139" x14ac:dyDescent="0.25">
      <c r="A823" s="7">
        <v>9.3402707223567936E-3</v>
      </c>
      <c r="B823"/>
      <c r="C823"/>
      <c r="D823"/>
      <c r="E823"/>
      <c r="F823" s="27" t="s">
        <v>7</v>
      </c>
      <c r="DO823" s="27" t="s">
        <v>8</v>
      </c>
      <c r="DP823" s="27" t="s">
        <v>7</v>
      </c>
      <c r="DQ823" s="27" t="s">
        <v>8</v>
      </c>
      <c r="DR823" s="27" t="s">
        <v>7</v>
      </c>
      <c r="DS823" s="27" t="s">
        <v>8</v>
      </c>
      <c r="DT823" s="27" t="s">
        <v>7</v>
      </c>
      <c r="DU823" s="27" t="s">
        <v>8</v>
      </c>
      <c r="DX823" s="27" t="s">
        <v>7</v>
      </c>
      <c r="DY823" s="27" t="s">
        <v>8</v>
      </c>
      <c r="EB823" s="27" t="s">
        <v>7</v>
      </c>
      <c r="EC823" s="27" t="s">
        <v>8</v>
      </c>
      <c r="ED823" s="27" t="s">
        <v>7</v>
      </c>
      <c r="EE823" s="27" t="s">
        <v>8</v>
      </c>
      <c r="EF823" s="27" t="s">
        <v>7</v>
      </c>
      <c r="EG823" s="27" t="s">
        <v>8</v>
      </c>
      <c r="EH823" s="27" t="s">
        <v>7</v>
      </c>
    </row>
    <row r="824" spans="1:139" x14ac:dyDescent="0.25">
      <c r="A824" s="7">
        <v>9.1571281591733261E-3</v>
      </c>
      <c r="B824"/>
      <c r="C824"/>
      <c r="D824"/>
      <c r="E824"/>
      <c r="F824" s="27" t="s">
        <v>7</v>
      </c>
      <c r="DO824" s="27" t="s">
        <v>8</v>
      </c>
      <c r="DP824" s="27" t="s">
        <v>7</v>
      </c>
      <c r="DR824" s="27" t="s">
        <v>7</v>
      </c>
      <c r="DS824" s="27" t="s">
        <v>8</v>
      </c>
      <c r="DT824" s="27" t="s">
        <v>7</v>
      </c>
      <c r="DX824" s="27" t="s">
        <v>7</v>
      </c>
      <c r="DY824" s="27" t="s">
        <v>8</v>
      </c>
      <c r="EB824" s="27" t="s">
        <v>7</v>
      </c>
      <c r="EC824" s="27" t="s">
        <v>8</v>
      </c>
      <c r="ED824" s="27" t="s">
        <v>7</v>
      </c>
      <c r="EE824" s="27" t="s">
        <v>8</v>
      </c>
      <c r="EF824" s="27" t="s">
        <v>7</v>
      </c>
      <c r="EG824" s="27" t="s">
        <v>8</v>
      </c>
    </row>
    <row r="825" spans="1:139" x14ac:dyDescent="0.25">
      <c r="A825" s="7">
        <v>8.9775766266405148E-3</v>
      </c>
      <c r="B825"/>
      <c r="C825"/>
      <c r="D825"/>
      <c r="E825"/>
      <c r="F825" s="27" t="s">
        <v>7</v>
      </c>
      <c r="DO825" s="27" t="s">
        <v>8</v>
      </c>
      <c r="DR825" s="27" t="s">
        <v>7</v>
      </c>
      <c r="DS825" s="27" t="s">
        <v>8</v>
      </c>
      <c r="DX825" s="27" t="s">
        <v>7</v>
      </c>
      <c r="DY825" s="27" t="s">
        <v>8</v>
      </c>
      <c r="EB825" s="27" t="s">
        <v>7</v>
      </c>
      <c r="EC825" s="27" t="s">
        <v>8</v>
      </c>
      <c r="ED825" s="27" t="s">
        <v>7</v>
      </c>
      <c r="EE825" s="27" t="s">
        <v>8</v>
      </c>
      <c r="EF825" s="27" t="s">
        <v>7</v>
      </c>
      <c r="EG825" s="27" t="s">
        <v>8</v>
      </c>
    </row>
    <row r="826" spans="1:139" x14ac:dyDescent="0.25">
      <c r="A826" s="7">
        <v>8.8015457123926614E-3</v>
      </c>
      <c r="B826"/>
      <c r="C826"/>
      <c r="D826"/>
      <c r="E826"/>
      <c r="F826" s="27" t="s">
        <v>7</v>
      </c>
      <c r="DO826" s="27" t="s">
        <v>8</v>
      </c>
      <c r="DR826" s="27" t="s">
        <v>7</v>
      </c>
      <c r="DS826" s="27" t="s">
        <v>8</v>
      </c>
      <c r="DX826" s="27" t="s">
        <v>7</v>
      </c>
      <c r="DY826" s="27" t="s">
        <v>8</v>
      </c>
      <c r="EB826" s="27" t="s">
        <v>7</v>
      </c>
      <c r="EC826" s="27" t="s">
        <v>8</v>
      </c>
      <c r="ED826" s="27" t="s">
        <v>7</v>
      </c>
      <c r="EE826" s="27" t="s">
        <v>8</v>
      </c>
      <c r="EF826" s="27" t="s">
        <v>7</v>
      </c>
      <c r="EG826" s="27" t="s">
        <v>8</v>
      </c>
    </row>
    <row r="827" spans="1:139" x14ac:dyDescent="0.25">
      <c r="A827" s="7">
        <v>8.6289663846986879E-3</v>
      </c>
      <c r="B827"/>
      <c r="C827"/>
      <c r="D827"/>
      <c r="E827"/>
      <c r="F827" s="27" t="s">
        <v>7</v>
      </c>
      <c r="DO827" s="27" t="s">
        <v>8</v>
      </c>
      <c r="DR827" s="27" t="s">
        <v>7</v>
      </c>
      <c r="DS827" s="27" t="s">
        <v>8</v>
      </c>
      <c r="DX827" s="27" t="s">
        <v>7</v>
      </c>
      <c r="EB827" s="27" t="s">
        <v>7</v>
      </c>
      <c r="EC827" s="27" t="s">
        <v>8</v>
      </c>
      <c r="ED827" s="27" t="s">
        <v>7</v>
      </c>
      <c r="EE827" s="27" t="s">
        <v>8</v>
      </c>
      <c r="EF827" s="27" t="s">
        <v>7</v>
      </c>
    </row>
    <row r="828" spans="1:139" x14ac:dyDescent="0.25">
      <c r="A828" s="7">
        <v>8.4597709653908715E-3</v>
      </c>
      <c r="B828"/>
      <c r="C828"/>
      <c r="D828"/>
      <c r="E828"/>
      <c r="F828" s="27" t="s">
        <v>7</v>
      </c>
      <c r="DO828" s="27" t="s">
        <v>8</v>
      </c>
      <c r="DR828" s="27" t="s">
        <v>7</v>
      </c>
      <c r="DS828" s="27" t="s">
        <v>8</v>
      </c>
      <c r="EB828" s="27" t="s">
        <v>7</v>
      </c>
      <c r="EC828" s="27" t="s">
        <v>8</v>
      </c>
      <c r="ED828" s="27" t="s">
        <v>7</v>
      </c>
    </row>
    <row r="829" spans="1:139" x14ac:dyDescent="0.25">
      <c r="A829" s="7">
        <v>8.2938931033243839E-3</v>
      </c>
      <c r="B829"/>
      <c r="C829"/>
      <c r="D829"/>
      <c r="E829"/>
      <c r="F829" s="27" t="s">
        <v>7</v>
      </c>
      <c r="DO829" s="27" t="s">
        <v>8</v>
      </c>
      <c r="DR829" s="27" t="s">
        <v>7</v>
      </c>
      <c r="DS829" s="27" t="s">
        <v>8</v>
      </c>
      <c r="EB829" s="27" t="s">
        <v>7</v>
      </c>
      <c r="EC829" s="27" t="s">
        <v>8</v>
      </c>
    </row>
    <row r="830" spans="1:139" x14ac:dyDescent="0.25">
      <c r="A830" s="7">
        <v>8.1312677483572383E-3</v>
      </c>
      <c r="B830"/>
      <c r="C830"/>
      <c r="D830"/>
      <c r="E830"/>
      <c r="F830" s="27" t="s">
        <v>7</v>
      </c>
      <c r="DO830" s="27" t="s">
        <v>8</v>
      </c>
      <c r="DR830" s="27" t="s">
        <v>7</v>
      </c>
      <c r="EB830" s="27" t="s">
        <v>7</v>
      </c>
      <c r="EC830" s="27" t="s">
        <v>8</v>
      </c>
    </row>
    <row r="831" spans="1:139" x14ac:dyDescent="0.25">
      <c r="A831" s="7">
        <v>7.9718311258404305E-3</v>
      </c>
      <c r="B831"/>
      <c r="C831"/>
      <c r="D831"/>
      <c r="E831"/>
      <c r="F831" s="27" t="s">
        <v>7</v>
      </c>
      <c r="DO831" s="27" t="s">
        <v>8</v>
      </c>
      <c r="EB831" s="27" t="s">
        <v>7</v>
      </c>
      <c r="EC831" s="27" t="s">
        <v>8</v>
      </c>
    </row>
    <row r="832" spans="1:139" x14ac:dyDescent="0.25">
      <c r="A832" s="7">
        <v>7.8155207116082648E-3</v>
      </c>
      <c r="B832"/>
      <c r="C832"/>
      <c r="D832"/>
      <c r="E832"/>
      <c r="F832" s="27" t="s">
        <v>7</v>
      </c>
      <c r="DO832" s="27" t="s">
        <v>8</v>
      </c>
      <c r="EB832" s="27" t="s">
        <v>7</v>
      </c>
      <c r="EC832" s="27" t="s">
        <v>8</v>
      </c>
    </row>
    <row r="833" spans="1:132" x14ac:dyDescent="0.25">
      <c r="A833" s="7">
        <v>7.6622752074590825E-3</v>
      </c>
      <c r="B833"/>
      <c r="C833"/>
      <c r="D833"/>
      <c r="E833"/>
      <c r="F833" s="27" t="s">
        <v>7</v>
      </c>
      <c r="DO833" s="27" t="s">
        <v>8</v>
      </c>
      <c r="EB833" s="27" t="s">
        <v>7</v>
      </c>
    </row>
    <row r="834" spans="1:132" x14ac:dyDescent="0.25">
      <c r="A834" s="7">
        <v>7.5120345171167469E-3</v>
      </c>
      <c r="B834"/>
      <c r="C834"/>
      <c r="D834"/>
      <c r="E834"/>
      <c r="F834" s="27" t="s">
        <v>7</v>
      </c>
      <c r="DO834" s="27" t="s">
        <v>8</v>
      </c>
    </row>
    <row r="835" spans="1:132" x14ac:dyDescent="0.25">
      <c r="A835" s="7">
        <v>7.3647397226634772E-3</v>
      </c>
      <c r="B835"/>
      <c r="C835"/>
      <c r="D835"/>
      <c r="E835"/>
      <c r="F835" s="27" t="s">
        <v>7</v>
      </c>
      <c r="DO835" s="27" t="s">
        <v>8</v>
      </c>
    </row>
    <row r="836" spans="1:132" x14ac:dyDescent="0.25">
      <c r="A836" s="7">
        <v>7.2203330614347815E-3</v>
      </c>
      <c r="B836"/>
      <c r="C836"/>
      <c r="D836"/>
      <c r="E836"/>
      <c r="F836" s="27" t="s">
        <v>7</v>
      </c>
      <c r="DO836" s="27" t="s">
        <v>8</v>
      </c>
    </row>
    <row r="837" spans="1:132" x14ac:dyDescent="0.25">
      <c r="A837" s="7">
        <v>7.0787579033674327E-3</v>
      </c>
      <c r="B837"/>
      <c r="C837"/>
      <c r="D837"/>
      <c r="E837"/>
      <c r="F837" s="27" t="s">
        <v>7</v>
      </c>
      <c r="DO837" s="27" t="s">
        <v>8</v>
      </c>
    </row>
    <row r="838" spans="1:132" x14ac:dyDescent="0.25">
      <c r="A838" s="7">
        <v>6.9399587287916013E-3</v>
      </c>
      <c r="B838"/>
      <c r="C838"/>
      <c r="D838"/>
      <c r="E838"/>
      <c r="F838" s="27" t="s">
        <v>7</v>
      </c>
      <c r="DO838" s="27" t="s">
        <v>8</v>
      </c>
    </row>
    <row r="839" spans="1:132" x14ac:dyDescent="0.25">
      <c r="A839" s="7">
        <v>6.8038811066584333E-3</v>
      </c>
      <c r="B839"/>
      <c r="C839"/>
      <c r="D839"/>
      <c r="E839"/>
      <c r="F839" s="27" t="s">
        <v>7</v>
      </c>
      <c r="DO839" s="27" t="s">
        <v>8</v>
      </c>
    </row>
    <row r="840" spans="1:132" x14ac:dyDescent="0.25">
      <c r="A840" s="7">
        <v>6.6704716731945425E-3</v>
      </c>
      <c r="B840"/>
      <c r="C840"/>
      <c r="D840"/>
      <c r="E840"/>
      <c r="F840" s="27" t="s">
        <v>7</v>
      </c>
      <c r="DO840" s="27" t="s">
        <v>8</v>
      </c>
    </row>
    <row r="841" spans="1:132" x14ac:dyDescent="0.25">
      <c r="A841" s="7">
        <v>6.5396781109750427E-3</v>
      </c>
      <c r="B841"/>
      <c r="C841"/>
      <c r="D841"/>
      <c r="E841"/>
      <c r="F841" s="27" t="s">
        <v>7</v>
      </c>
      <c r="DO841" s="27" t="s">
        <v>8</v>
      </c>
    </row>
    <row r="842" spans="1:132" x14ac:dyDescent="0.25">
      <c r="A842" s="7">
        <v>6.4114491284069045E-3</v>
      </c>
      <c r="B842"/>
      <c r="C842"/>
      <c r="D842"/>
      <c r="E842"/>
      <c r="F842" s="27" t="s">
        <v>7</v>
      </c>
      <c r="DO842" s="27" t="s">
        <v>8</v>
      </c>
    </row>
    <row r="843" spans="1:132" x14ac:dyDescent="0.25">
      <c r="A843" s="7">
        <v>6.2857344396146115E-3</v>
      </c>
      <c r="B843"/>
      <c r="C843"/>
      <c r="D843"/>
      <c r="E843"/>
      <c r="F843" s="27" t="s">
        <v>7</v>
      </c>
      <c r="DO843" s="27" t="s">
        <v>8</v>
      </c>
    </row>
    <row r="844" spans="1:132" x14ac:dyDescent="0.25">
      <c r="A844" s="7">
        <v>6.1624847447202076E-3</v>
      </c>
      <c r="B844"/>
      <c r="C844"/>
      <c r="D844"/>
      <c r="E844"/>
      <c r="F844" s="27" t="s">
        <v>7</v>
      </c>
      <c r="DO844" s="27" t="s">
        <v>8</v>
      </c>
    </row>
    <row r="845" spans="1:132" x14ac:dyDescent="0.25">
      <c r="A845" s="7">
        <v>6.0416517105100079E-3</v>
      </c>
      <c r="B845"/>
      <c r="C845"/>
      <c r="D845"/>
      <c r="E845"/>
      <c r="F845" s="27" t="s">
        <v>7</v>
      </c>
      <c r="DO845" s="27" t="s">
        <v>8</v>
      </c>
    </row>
    <row r="846" spans="1:132" x14ac:dyDescent="0.25">
      <c r="A846" s="7">
        <v>5.9231879514803996E-3</v>
      </c>
      <c r="B846"/>
      <c r="C846"/>
      <c r="D846"/>
      <c r="E846"/>
      <c r="F846" s="27" t="s">
        <v>7</v>
      </c>
      <c r="DO846" s="27" t="s">
        <v>8</v>
      </c>
    </row>
    <row r="847" spans="1:132" x14ac:dyDescent="0.25">
      <c r="A847" s="7">
        <v>5.8070470112552936E-3</v>
      </c>
      <c r="B847"/>
      <c r="C847"/>
      <c r="D847"/>
      <c r="E847"/>
      <c r="F847" s="27" t="s">
        <v>7</v>
      </c>
      <c r="DO847" s="27" t="s">
        <v>8</v>
      </c>
    </row>
    <row r="848" spans="1:132" x14ac:dyDescent="0.25">
      <c r="A848" s="7">
        <v>5.6931833443679353E-3</v>
      </c>
      <c r="B848"/>
      <c r="C848"/>
      <c r="D848"/>
      <c r="E848"/>
      <c r="F848" s="27" t="s">
        <v>7</v>
      </c>
      <c r="DO848" s="27" t="s">
        <v>8</v>
      </c>
    </row>
    <row r="849" spans="1:119" x14ac:dyDescent="0.25">
      <c r="A849" s="7">
        <v>5.5815522983999367E-3</v>
      </c>
      <c r="B849"/>
      <c r="C849"/>
      <c r="D849"/>
      <c r="E849"/>
      <c r="F849" s="27" t="s">
        <v>7</v>
      </c>
      <c r="DO849" s="27" t="s">
        <v>8</v>
      </c>
    </row>
    <row r="850" spans="1:119" x14ac:dyDescent="0.25">
      <c r="A850" s="7">
        <v>5.4721100964705257E-3</v>
      </c>
      <c r="B850"/>
      <c r="C850"/>
      <c r="D850"/>
      <c r="E850"/>
      <c r="F850" s="27" t="s">
        <v>7</v>
      </c>
      <c r="DO850" s="27" t="s">
        <v>8</v>
      </c>
    </row>
    <row r="851" spans="1:119" x14ac:dyDescent="0.25">
      <c r="A851" s="7">
        <v>5.3648138200691423E-3</v>
      </c>
      <c r="B851"/>
      <c r="C851"/>
      <c r="D851"/>
      <c r="E851"/>
      <c r="F851" s="27" t="s">
        <v>7</v>
      </c>
      <c r="DO851" s="27" t="s">
        <v>8</v>
      </c>
    </row>
    <row r="852" spans="1:119" x14ac:dyDescent="0.25">
      <c r="A852" s="7">
        <v>5.2596213922246494E-3</v>
      </c>
      <c r="B852"/>
      <c r="C852"/>
      <c r="D852"/>
      <c r="E852"/>
      <c r="F852" s="27" t="s">
        <v>7</v>
      </c>
      <c r="DO852" s="27" t="s">
        <v>8</v>
      </c>
    </row>
    <row r="853" spans="1:119" x14ac:dyDescent="0.25">
      <c r="A853" s="7">
        <v>5.1564915610045588E-3</v>
      </c>
      <c r="B853"/>
      <c r="C853"/>
      <c r="D853"/>
      <c r="E853"/>
      <c r="F853" s="27" t="s">
        <v>7</v>
      </c>
      <c r="DO853" s="27" t="s">
        <v>8</v>
      </c>
    </row>
    <row r="854" spans="1:119" x14ac:dyDescent="0.25">
      <c r="A854" s="7">
        <v>5.0553838833378023E-3</v>
      </c>
      <c r="B854"/>
      <c r="C854"/>
      <c r="D854"/>
      <c r="E854"/>
      <c r="F854" s="27" t="s">
        <v>7</v>
      </c>
      <c r="DO854" s="27" t="s">
        <v>8</v>
      </c>
    </row>
    <row r="855" spans="1:119" x14ac:dyDescent="0.25">
      <c r="A855" s="7">
        <v>4.9562587091547079E-3</v>
      </c>
      <c r="B855"/>
      <c r="C855"/>
      <c r="D855"/>
      <c r="E855"/>
      <c r="F855" s="27" t="s">
        <v>7</v>
      </c>
      <c r="DO855" s="27" t="s">
        <v>8</v>
      </c>
    </row>
    <row r="856" spans="1:119" x14ac:dyDescent="0.25">
      <c r="A856" s="7">
        <v>4.8590771658379491E-3</v>
      </c>
      <c r="B856"/>
      <c r="C856"/>
      <c r="D856"/>
      <c r="E856"/>
      <c r="F856" s="27" t="s">
        <v>7</v>
      </c>
      <c r="DO856" s="27" t="s">
        <v>8</v>
      </c>
    </row>
    <row r="857" spans="1:119" x14ac:dyDescent="0.25">
      <c r="A857" s="7">
        <v>4.7638011429783815E-3</v>
      </c>
      <c r="B857"/>
      <c r="C857"/>
      <c r="D857"/>
      <c r="E857"/>
      <c r="F857" s="27" t="s">
        <v>7</v>
      </c>
      <c r="DO857" s="27" t="s">
        <v>8</v>
      </c>
    </row>
    <row r="858" spans="1:119" x14ac:dyDescent="0.25">
      <c r="A858" s="7">
        <v>4.6703932774297859E-3</v>
      </c>
      <c r="B858"/>
      <c r="C858"/>
      <c r="D858"/>
      <c r="E858"/>
      <c r="F858" s="27" t="s">
        <v>7</v>
      </c>
      <c r="DO858" s="27" t="s">
        <v>8</v>
      </c>
    </row>
    <row r="859" spans="1:119" x14ac:dyDescent="0.25">
      <c r="A859" s="7">
        <v>4.5788169386566527E-3</v>
      </c>
      <c r="B859"/>
      <c r="C859"/>
      <c r="D859"/>
      <c r="E859"/>
      <c r="F859" s="27" t="s">
        <v>7</v>
      </c>
      <c r="DO859" s="27" t="s">
        <v>8</v>
      </c>
    </row>
    <row r="860" spans="1:119" x14ac:dyDescent="0.25">
      <c r="A860" s="7">
        <v>4.4890362143692672E-3</v>
      </c>
      <c r="B860"/>
      <c r="C860"/>
      <c r="D860"/>
      <c r="E860"/>
      <c r="F860" s="27" t="s">
        <v>7</v>
      </c>
      <c r="DO860" s="27" t="s">
        <v>8</v>
      </c>
    </row>
    <row r="861" spans="1:119" x14ac:dyDescent="0.25">
      <c r="A861" s="7">
        <v>4.4010158964404578E-3</v>
      </c>
      <c r="B861"/>
      <c r="C861"/>
      <c r="D861"/>
      <c r="E861"/>
      <c r="F861" s="27" t="s">
        <v>7</v>
      </c>
      <c r="DO861" s="27" t="s">
        <v>8</v>
      </c>
    </row>
    <row r="862" spans="1:119" x14ac:dyDescent="0.25">
      <c r="A862" s="7">
        <v>4.314721467098488E-3</v>
      </c>
      <c r="B862"/>
      <c r="C862"/>
      <c r="D862"/>
      <c r="E862"/>
      <c r="F862" s="27" t="s">
        <v>7</v>
      </c>
      <c r="AA862" s="27" t="s">
        <v>8</v>
      </c>
      <c r="DO862" s="27" t="s">
        <v>8</v>
      </c>
    </row>
    <row r="863" spans="1:119" x14ac:dyDescent="0.25">
      <c r="A863" s="7">
        <v>4.2301190853906746E-3</v>
      </c>
      <c r="B863"/>
      <c r="C863"/>
      <c r="D863"/>
      <c r="E863"/>
      <c r="F863" s="27" t="s">
        <v>7</v>
      </c>
      <c r="AA863" s="27" t="s">
        <v>8</v>
      </c>
      <c r="AB863" s="27" t="s">
        <v>7</v>
      </c>
      <c r="DO863" s="27" t="s">
        <v>8</v>
      </c>
    </row>
    <row r="864" spans="1:119" x14ac:dyDescent="0.25">
      <c r="A864" s="7">
        <v>4.1471755739124266E-3</v>
      </c>
      <c r="B864"/>
      <c r="C864"/>
      <c r="D864"/>
      <c r="E864"/>
      <c r="F864" s="27" t="s">
        <v>7</v>
      </c>
      <c r="AA864" s="27" t="s">
        <v>8</v>
      </c>
      <c r="AB864" s="27" t="s">
        <v>7</v>
      </c>
      <c r="AK864" s="27" t="s">
        <v>8</v>
      </c>
      <c r="DO864" s="27" t="s">
        <v>8</v>
      </c>
    </row>
    <row r="865" spans="1:119" x14ac:dyDescent="0.25">
      <c r="A865" s="7">
        <v>4.0658584057964966E-3</v>
      </c>
      <c r="B865"/>
      <c r="C865"/>
      <c r="D865"/>
      <c r="E865"/>
      <c r="F865" s="27" t="s">
        <v>7</v>
      </c>
      <c r="AA865" s="27" t="s">
        <v>8</v>
      </c>
      <c r="AB865" s="27" t="s">
        <v>7</v>
      </c>
      <c r="AK865" s="27" t="s">
        <v>8</v>
      </c>
      <c r="AL865" s="27" t="s">
        <v>7</v>
      </c>
      <c r="DO865" s="27" t="s">
        <v>8</v>
      </c>
    </row>
    <row r="866" spans="1:119" x14ac:dyDescent="0.25">
      <c r="A866" s="7">
        <v>3.9861356919573491E-3</v>
      </c>
      <c r="B866"/>
      <c r="C866"/>
      <c r="D866"/>
      <c r="E866"/>
      <c r="F866" s="27" t="s">
        <v>7</v>
      </c>
      <c r="AA866" s="27" t="s">
        <v>8</v>
      </c>
      <c r="AB866" s="27" t="s">
        <v>7</v>
      </c>
      <c r="AK866" s="27" t="s">
        <v>8</v>
      </c>
      <c r="AL866" s="27" t="s">
        <v>7</v>
      </c>
      <c r="DO866" s="27" t="s">
        <v>8</v>
      </c>
    </row>
    <row r="867" spans="1:119" x14ac:dyDescent="0.25">
      <c r="A867" s="7">
        <v>3.9079761685856364E-3</v>
      </c>
      <c r="B867"/>
      <c r="C867"/>
      <c r="D867"/>
      <c r="E867"/>
      <c r="F867" s="27" t="s">
        <v>7</v>
      </c>
      <c r="AA867" s="27" t="s">
        <v>8</v>
      </c>
      <c r="AB867" s="27" t="s">
        <v>7</v>
      </c>
      <c r="AK867" s="27" t="s">
        <v>8</v>
      </c>
      <c r="AL867" s="27" t="s">
        <v>7</v>
      </c>
      <c r="DM867" s="27" t="s">
        <v>8</v>
      </c>
      <c r="DO867" s="27" t="s">
        <v>8</v>
      </c>
    </row>
    <row r="868" spans="1:119" x14ac:dyDescent="0.25">
      <c r="A868" s="7">
        <v>3.8313491848878793E-3</v>
      </c>
      <c r="B868"/>
      <c r="C868"/>
      <c r="D868"/>
      <c r="E868"/>
      <c r="F868" s="27" t="s">
        <v>7</v>
      </c>
      <c r="AA868" s="27" t="s">
        <v>8</v>
      </c>
      <c r="AB868" s="27" t="s">
        <v>7</v>
      </c>
      <c r="AI868" s="27" t="s">
        <v>8</v>
      </c>
      <c r="AK868" s="27" t="s">
        <v>8</v>
      </c>
      <c r="AL868" s="27" t="s">
        <v>7</v>
      </c>
      <c r="DM868" s="27" t="s">
        <v>8</v>
      </c>
      <c r="DN868" s="27" t="s">
        <v>7</v>
      </c>
      <c r="DO868" s="27" t="s">
        <v>8</v>
      </c>
    </row>
    <row r="869" spans="1:119" x14ac:dyDescent="0.25">
      <c r="A869" s="7">
        <v>3.7562246910665485E-3</v>
      </c>
      <c r="B869"/>
      <c r="C869"/>
      <c r="D869"/>
      <c r="E869"/>
      <c r="F869" s="27" t="s">
        <v>7</v>
      </c>
      <c r="AA869" s="27" t="s">
        <v>8</v>
      </c>
      <c r="AB869" s="27" t="s">
        <v>7</v>
      </c>
      <c r="AI869" s="27" t="s">
        <v>8</v>
      </c>
      <c r="AJ869" s="27" t="s">
        <v>7</v>
      </c>
      <c r="AK869" s="27" t="s">
        <v>8</v>
      </c>
      <c r="AL869" s="27" t="s">
        <v>7</v>
      </c>
      <c r="DM869" s="27" t="s">
        <v>8</v>
      </c>
      <c r="DN869" s="27" t="s">
        <v>7</v>
      </c>
      <c r="DO869" s="27" t="s">
        <v>8</v>
      </c>
    </row>
    <row r="870" spans="1:119" x14ac:dyDescent="0.25">
      <c r="A870" s="7">
        <v>3.6825732265358315E-3</v>
      </c>
      <c r="B870"/>
      <c r="C870"/>
      <c r="D870"/>
      <c r="E870"/>
      <c r="F870" s="27" t="s">
        <v>7</v>
      </c>
      <c r="AA870" s="27" t="s">
        <v>8</v>
      </c>
      <c r="AB870" s="27" t="s">
        <v>7</v>
      </c>
      <c r="AI870" s="27" t="s">
        <v>8</v>
      </c>
      <c r="AJ870" s="27" t="s">
        <v>7</v>
      </c>
      <c r="AK870" s="27" t="s">
        <v>8</v>
      </c>
      <c r="AL870" s="27" t="s">
        <v>7</v>
      </c>
      <c r="DM870" s="27" t="s">
        <v>8</v>
      </c>
      <c r="DN870" s="27" t="s">
        <v>7</v>
      </c>
      <c r="DO870" s="27" t="s">
        <v>8</v>
      </c>
    </row>
    <row r="871" spans="1:119" x14ac:dyDescent="0.25">
      <c r="A871" s="7">
        <v>3.6103659083684624E-3</v>
      </c>
      <c r="B871"/>
      <c r="C871"/>
      <c r="D871"/>
      <c r="E871"/>
      <c r="F871" s="27" t="s">
        <v>7</v>
      </c>
      <c r="AA871" s="27" t="s">
        <v>8</v>
      </c>
      <c r="AB871" s="27" t="s">
        <v>7</v>
      </c>
      <c r="AI871" s="27" t="s">
        <v>8</v>
      </c>
      <c r="AJ871" s="27" t="s">
        <v>7</v>
      </c>
      <c r="AK871" s="27" t="s">
        <v>8</v>
      </c>
      <c r="AL871" s="27" t="s">
        <v>7</v>
      </c>
      <c r="DM871" s="27" t="s">
        <v>8</v>
      </c>
      <c r="DN871" s="27" t="s">
        <v>7</v>
      </c>
      <c r="DO871" s="27" t="s">
        <v>8</v>
      </c>
    </row>
    <row r="872" spans="1:119" x14ac:dyDescent="0.25">
      <c r="A872" s="7">
        <v>3.539574419969081E-3</v>
      </c>
      <c r="B872"/>
      <c r="C872"/>
      <c r="D872"/>
      <c r="E872"/>
      <c r="F872" s="27" t="s">
        <v>7</v>
      </c>
      <c r="AA872" s="27" t="s">
        <v>8</v>
      </c>
      <c r="AB872" s="27" t="s">
        <v>7</v>
      </c>
      <c r="AI872" s="27" t="s">
        <v>8</v>
      </c>
      <c r="AJ872" s="27" t="s">
        <v>7</v>
      </c>
      <c r="AK872" s="27" t="s">
        <v>8</v>
      </c>
      <c r="AL872" s="27" t="s">
        <v>7</v>
      </c>
      <c r="DM872" s="27" t="s">
        <v>8</v>
      </c>
      <c r="DN872" s="27" t="s">
        <v>7</v>
      </c>
      <c r="DO872" s="27" t="s">
        <v>8</v>
      </c>
    </row>
    <row r="873" spans="1:119" x14ac:dyDescent="0.25">
      <c r="A873" s="7">
        <v>3.4701709999696872E-3</v>
      </c>
      <c r="B873"/>
      <c r="C873"/>
      <c r="D873"/>
      <c r="E873"/>
      <c r="F873" s="27" t="s">
        <v>7</v>
      </c>
      <c r="AA873" s="27" t="s">
        <v>8</v>
      </c>
      <c r="AB873" s="27" t="s">
        <v>7</v>
      </c>
      <c r="AI873" s="27" t="s">
        <v>8</v>
      </c>
      <c r="AJ873" s="27" t="s">
        <v>7</v>
      </c>
      <c r="AK873" s="27" t="s">
        <v>8</v>
      </c>
      <c r="AL873" s="27" t="s">
        <v>7</v>
      </c>
      <c r="DM873" s="27" t="s">
        <v>8</v>
      </c>
      <c r="DN873" s="27" t="s">
        <v>7</v>
      </c>
      <c r="DO873" s="27" t="s">
        <v>8</v>
      </c>
    </row>
    <row r="874" spans="1:119" x14ac:dyDescent="0.25">
      <c r="A874" s="7">
        <v>3.4021284313428307E-3</v>
      </c>
      <c r="B874"/>
      <c r="C874"/>
      <c r="D874"/>
      <c r="E874"/>
      <c r="F874" s="27" t="s">
        <v>7</v>
      </c>
      <c r="AA874" s="27" t="s">
        <v>8</v>
      </c>
      <c r="AB874" s="27" t="s">
        <v>7</v>
      </c>
      <c r="AI874" s="27" t="s">
        <v>8</v>
      </c>
      <c r="AJ874" s="27" t="s">
        <v>7</v>
      </c>
      <c r="AK874" s="27" t="s">
        <v>8</v>
      </c>
      <c r="AL874" s="27" t="s">
        <v>7</v>
      </c>
      <c r="AM874" s="27" t="s">
        <v>8</v>
      </c>
      <c r="DM874" s="27" t="s">
        <v>8</v>
      </c>
      <c r="DN874" s="27" t="s">
        <v>7</v>
      </c>
      <c r="DO874" s="27" t="s">
        <v>8</v>
      </c>
    </row>
    <row r="875" spans="1:119" x14ac:dyDescent="0.25">
      <c r="A875" s="7">
        <v>3.3354200307282654E-3</v>
      </c>
      <c r="B875"/>
      <c r="C875"/>
      <c r="D875"/>
      <c r="E875"/>
      <c r="F875" s="27" t="s">
        <v>7</v>
      </c>
      <c r="AA875" s="27" t="s">
        <v>8</v>
      </c>
      <c r="AB875" s="27" t="s">
        <v>7</v>
      </c>
      <c r="AI875" s="27" t="s">
        <v>8</v>
      </c>
      <c r="AJ875" s="27" t="s">
        <v>7</v>
      </c>
      <c r="AK875" s="27" t="s">
        <v>8</v>
      </c>
      <c r="AL875" s="27" t="s">
        <v>7</v>
      </c>
      <c r="AM875" s="27" t="s">
        <v>8</v>
      </c>
      <c r="AN875" s="27" t="s">
        <v>7</v>
      </c>
      <c r="DM875" s="27" t="s">
        <v>8</v>
      </c>
      <c r="DN875" s="27" t="s">
        <v>7</v>
      </c>
      <c r="DO875" s="27" t="s">
        <v>8</v>
      </c>
    </row>
    <row r="876" spans="1:119" x14ac:dyDescent="0.25">
      <c r="A876" s="7">
        <v>3.2700196379688881E-3</v>
      </c>
      <c r="B876"/>
      <c r="C876"/>
      <c r="D876"/>
      <c r="E876"/>
      <c r="F876" s="27" t="s">
        <v>7</v>
      </c>
      <c r="AA876" s="27" t="s">
        <v>8</v>
      </c>
      <c r="AB876" s="27" t="s">
        <v>7</v>
      </c>
      <c r="AI876" s="27" t="s">
        <v>8</v>
      </c>
      <c r="AJ876" s="27" t="s">
        <v>7</v>
      </c>
      <c r="AK876" s="27" t="s">
        <v>8</v>
      </c>
      <c r="AL876" s="27" t="s">
        <v>7</v>
      </c>
      <c r="AM876" s="27" t="s">
        <v>8</v>
      </c>
      <c r="AN876" s="27" t="s">
        <v>7</v>
      </c>
      <c r="DC876" s="27" t="s">
        <v>8</v>
      </c>
      <c r="DG876" s="27" t="s">
        <v>8</v>
      </c>
      <c r="DI876" s="27" t="s">
        <v>8</v>
      </c>
      <c r="DM876" s="27" t="s">
        <v>8</v>
      </c>
      <c r="DN876" s="27" t="s">
        <v>7</v>
      </c>
      <c r="DO876" s="27" t="s">
        <v>8</v>
      </c>
    </row>
    <row r="877" spans="1:119" x14ac:dyDescent="0.25">
      <c r="A877" s="7">
        <v>3.205901605851851E-3</v>
      </c>
      <c r="B877"/>
      <c r="C877"/>
      <c r="D877"/>
      <c r="E877"/>
      <c r="F877" s="27" t="s">
        <v>7</v>
      </c>
      <c r="AA877" s="27" t="s">
        <v>8</v>
      </c>
      <c r="AB877" s="27" t="s">
        <v>7</v>
      </c>
      <c r="AI877" s="27" t="s">
        <v>8</v>
      </c>
      <c r="AJ877" s="27" t="s">
        <v>7</v>
      </c>
      <c r="AK877" s="27" t="s">
        <v>8</v>
      </c>
      <c r="AL877" s="27" t="s">
        <v>7</v>
      </c>
      <c r="AN877" s="27" t="s">
        <v>7</v>
      </c>
      <c r="AO877" s="27" t="s">
        <v>8</v>
      </c>
      <c r="AQ877" s="27" t="s">
        <v>8</v>
      </c>
      <c r="AU877" s="27" t="s">
        <v>8</v>
      </c>
      <c r="DC877" s="27" t="s">
        <v>8</v>
      </c>
      <c r="DD877" s="27" t="s">
        <v>7</v>
      </c>
      <c r="DG877" s="27" t="s">
        <v>8</v>
      </c>
      <c r="DH877" s="27" t="s">
        <v>7</v>
      </c>
      <c r="DI877" s="27" t="s">
        <v>8</v>
      </c>
      <c r="DJ877" s="27" t="s">
        <v>7</v>
      </c>
      <c r="DM877" s="27" t="s">
        <v>8</v>
      </c>
      <c r="DN877" s="27" t="s">
        <v>7</v>
      </c>
      <c r="DO877" s="27" t="s">
        <v>8</v>
      </c>
    </row>
    <row r="878" spans="1:119" x14ac:dyDescent="0.25">
      <c r="A878" s="7">
        <v>3.1430407900508344E-3</v>
      </c>
      <c r="B878"/>
      <c r="C878"/>
      <c r="D878"/>
      <c r="E878"/>
      <c r="F878" s="27" t="s">
        <v>7</v>
      </c>
      <c r="AA878" s="27" t="s">
        <v>8</v>
      </c>
      <c r="AB878" s="27" t="s">
        <v>7</v>
      </c>
      <c r="AC878" s="27" t="s">
        <v>8</v>
      </c>
      <c r="AI878" s="27" t="s">
        <v>8</v>
      </c>
      <c r="AJ878" s="27" t="s">
        <v>7</v>
      </c>
      <c r="AK878" s="27" t="s">
        <v>8</v>
      </c>
      <c r="AN878" s="27" t="s">
        <v>7</v>
      </c>
      <c r="AO878" s="27" t="s">
        <v>8</v>
      </c>
      <c r="AP878" s="27" t="s">
        <v>7</v>
      </c>
      <c r="AQ878" s="27" t="s">
        <v>8</v>
      </c>
      <c r="AR878" s="27" t="s">
        <v>7</v>
      </c>
      <c r="AU878" s="27" t="s">
        <v>8</v>
      </c>
      <c r="AV878" s="27" t="s">
        <v>7</v>
      </c>
      <c r="DC878" s="27" t="s">
        <v>8</v>
      </c>
      <c r="DD878" s="27" t="s">
        <v>7</v>
      </c>
      <c r="DG878" s="27" t="s">
        <v>8</v>
      </c>
      <c r="DH878" s="27" t="s">
        <v>7</v>
      </c>
      <c r="DI878" s="27" t="s">
        <v>8</v>
      </c>
      <c r="DJ878" s="27" t="s">
        <v>7</v>
      </c>
      <c r="DM878" s="27" t="s">
        <v>8</v>
      </c>
      <c r="DN878" s="27" t="s">
        <v>7</v>
      </c>
      <c r="DO878" s="27" t="s">
        <v>8</v>
      </c>
    </row>
    <row r="879" spans="1:119" x14ac:dyDescent="0.25">
      <c r="A879" s="7">
        <v>3.0814125392655241E-3</v>
      </c>
      <c r="B879"/>
      <c r="C879"/>
      <c r="D879"/>
      <c r="E879"/>
      <c r="F879" s="27" t="s">
        <v>7</v>
      </c>
      <c r="AA879" s="27" t="s">
        <v>8</v>
      </c>
      <c r="AB879" s="27" t="s">
        <v>7</v>
      </c>
      <c r="AC879" s="27" t="s">
        <v>8</v>
      </c>
      <c r="AD879" s="27" t="s">
        <v>7</v>
      </c>
      <c r="AI879" s="27" t="s">
        <v>8</v>
      </c>
      <c r="AJ879" s="27" t="s">
        <v>7</v>
      </c>
      <c r="AK879" s="27" t="s">
        <v>8</v>
      </c>
      <c r="AN879" s="27" t="s">
        <v>7</v>
      </c>
      <c r="AO879" s="27" t="s">
        <v>8</v>
      </c>
      <c r="AP879" s="27" t="s">
        <v>7</v>
      </c>
      <c r="AQ879" s="27" t="s">
        <v>8</v>
      </c>
      <c r="AR879" s="27" t="s">
        <v>7</v>
      </c>
      <c r="AS879" s="27" t="s">
        <v>8</v>
      </c>
      <c r="AU879" s="27" t="s">
        <v>8</v>
      </c>
      <c r="AV879" s="27" t="s">
        <v>7</v>
      </c>
      <c r="DC879" s="27" t="s">
        <v>8</v>
      </c>
      <c r="DD879" s="27" t="s">
        <v>7</v>
      </c>
      <c r="DG879" s="27" t="s">
        <v>8</v>
      </c>
      <c r="DH879" s="27" t="s">
        <v>7</v>
      </c>
      <c r="DI879" s="27" t="s">
        <v>8</v>
      </c>
      <c r="DJ879" s="27" t="s">
        <v>7</v>
      </c>
      <c r="DM879" s="27" t="s">
        <v>8</v>
      </c>
      <c r="DN879" s="27" t="s">
        <v>7</v>
      </c>
      <c r="DO879" s="27" t="s">
        <v>8</v>
      </c>
    </row>
    <row r="880" spans="1:119" x14ac:dyDescent="0.25">
      <c r="A880" s="7">
        <v>3.0209926855544354E-3</v>
      </c>
      <c r="B880"/>
      <c r="C880"/>
      <c r="D880"/>
      <c r="E880"/>
      <c r="F880" s="27" t="s">
        <v>7</v>
      </c>
      <c r="AA880" s="27" t="s">
        <v>8</v>
      </c>
      <c r="AB880" s="27" t="s">
        <v>7</v>
      </c>
      <c r="AC880" s="27" t="s">
        <v>8</v>
      </c>
      <c r="AD880" s="27" t="s">
        <v>7</v>
      </c>
      <c r="AE880" s="27" t="s">
        <v>8</v>
      </c>
      <c r="AI880" s="27" t="s">
        <v>8</v>
      </c>
      <c r="AJ880" s="27" t="s">
        <v>7</v>
      </c>
      <c r="AN880" s="27" t="s">
        <v>7</v>
      </c>
      <c r="AO880" s="27" t="s">
        <v>8</v>
      </c>
      <c r="AP880" s="27" t="s">
        <v>7</v>
      </c>
      <c r="AQ880" s="27" t="s">
        <v>8</v>
      </c>
      <c r="AR880" s="27" t="s">
        <v>7</v>
      </c>
      <c r="AS880" s="27" t="s">
        <v>8</v>
      </c>
      <c r="AT880" s="27" t="s">
        <v>7</v>
      </c>
      <c r="AU880" s="27" t="s">
        <v>8</v>
      </c>
      <c r="AV880" s="27" t="s">
        <v>7</v>
      </c>
      <c r="CY880" s="27" t="s">
        <v>8</v>
      </c>
      <c r="DC880" s="27" t="s">
        <v>8</v>
      </c>
      <c r="DD880" s="27" t="s">
        <v>7</v>
      </c>
      <c r="DG880" s="27" t="s">
        <v>8</v>
      </c>
      <c r="DH880" s="27" t="s">
        <v>7</v>
      </c>
      <c r="DI880" s="27" t="s">
        <v>8</v>
      </c>
      <c r="DJ880" s="27" t="s">
        <v>7</v>
      </c>
      <c r="DM880" s="27" t="s">
        <v>8</v>
      </c>
      <c r="DN880" s="27" t="s">
        <v>7</v>
      </c>
      <c r="DO880" s="27" t="s">
        <v>8</v>
      </c>
    </row>
    <row r="881" spans="1:118" x14ac:dyDescent="0.25">
      <c r="A881" s="7">
        <v>2.9617575348572897E-3</v>
      </c>
      <c r="B881"/>
      <c r="C881"/>
      <c r="D881"/>
      <c r="E881"/>
      <c r="F881" s="27" t="s">
        <v>7</v>
      </c>
      <c r="AA881" s="27" t="s">
        <v>8</v>
      </c>
      <c r="AB881" s="27" t="s">
        <v>7</v>
      </c>
      <c r="AD881" s="27" t="s">
        <v>7</v>
      </c>
      <c r="AE881" s="27" t="s">
        <v>8</v>
      </c>
      <c r="AF881" s="27" t="s">
        <v>7</v>
      </c>
      <c r="AG881" s="27" t="s">
        <v>8</v>
      </c>
      <c r="AI881" s="27" t="s">
        <v>8</v>
      </c>
      <c r="AN881" s="27" t="s">
        <v>7</v>
      </c>
      <c r="AP881" s="27" t="s">
        <v>7</v>
      </c>
      <c r="AQ881" s="27" t="s">
        <v>8</v>
      </c>
      <c r="AR881" s="27" t="s">
        <v>7</v>
      </c>
      <c r="AS881" s="27" t="s">
        <v>8</v>
      </c>
      <c r="AT881" s="27" t="s">
        <v>7</v>
      </c>
      <c r="AU881" s="27" t="s">
        <v>8</v>
      </c>
      <c r="AV881" s="27" t="s">
        <v>7</v>
      </c>
      <c r="CY881" s="27" t="s">
        <v>8</v>
      </c>
      <c r="CZ881" s="27" t="s">
        <v>7</v>
      </c>
      <c r="DC881" s="27" t="s">
        <v>8</v>
      </c>
      <c r="DD881" s="27" t="s">
        <v>7</v>
      </c>
      <c r="DG881" s="27" t="s">
        <v>8</v>
      </c>
      <c r="DH881" s="27" t="s">
        <v>7</v>
      </c>
      <c r="DI881" s="27" t="s">
        <v>8</v>
      </c>
      <c r="DJ881" s="27" t="s">
        <v>7</v>
      </c>
      <c r="DK881" s="27" t="s">
        <v>8</v>
      </c>
      <c r="DM881" s="27" t="s">
        <v>8</v>
      </c>
      <c r="DN881" s="27" t="s">
        <v>7</v>
      </c>
    </row>
    <row r="882" spans="1:118" x14ac:dyDescent="0.25">
      <c r="A882" s="7">
        <v>2.9036838577032251E-3</v>
      </c>
      <c r="B882"/>
      <c r="C882"/>
      <c r="D882"/>
      <c r="E882"/>
      <c r="F882" s="27" t="s">
        <v>7</v>
      </c>
      <c r="AA882" s="27" t="s">
        <v>8</v>
      </c>
      <c r="AD882" s="27" t="s">
        <v>7</v>
      </c>
      <c r="AE882" s="27" t="s">
        <v>8</v>
      </c>
      <c r="AF882" s="27" t="s">
        <v>7</v>
      </c>
      <c r="AG882" s="27" t="s">
        <v>8</v>
      </c>
      <c r="AH882" s="27" t="s">
        <v>7</v>
      </c>
      <c r="AI882" s="27" t="s">
        <v>8</v>
      </c>
      <c r="AP882" s="27" t="s">
        <v>7</v>
      </c>
      <c r="AQ882" s="27" t="s">
        <v>8</v>
      </c>
      <c r="AR882" s="27" t="s">
        <v>7</v>
      </c>
      <c r="AS882" s="27" t="s">
        <v>8</v>
      </c>
      <c r="AT882" s="27" t="s">
        <v>7</v>
      </c>
      <c r="AU882" s="27" t="s">
        <v>8</v>
      </c>
      <c r="AV882" s="27" t="s">
        <v>7</v>
      </c>
      <c r="CO882" s="27" t="s">
        <v>8</v>
      </c>
      <c r="CY882" s="27" t="s">
        <v>8</v>
      </c>
      <c r="CZ882" s="27" t="s">
        <v>7</v>
      </c>
      <c r="DC882" s="27" t="s">
        <v>8</v>
      </c>
      <c r="DD882" s="27" t="s">
        <v>7</v>
      </c>
      <c r="DG882" s="27" t="s">
        <v>8</v>
      </c>
      <c r="DH882" s="27" t="s">
        <v>7</v>
      </c>
      <c r="DI882" s="27" t="s">
        <v>8</v>
      </c>
      <c r="DJ882" s="27" t="s">
        <v>7</v>
      </c>
      <c r="DK882" s="27" t="s">
        <v>8</v>
      </c>
      <c r="DL882" s="27" t="s">
        <v>7</v>
      </c>
      <c r="DM882" s="27" t="s">
        <v>8</v>
      </c>
    </row>
    <row r="883" spans="1:118" x14ac:dyDescent="0.25">
      <c r="A883" s="7">
        <v>2.8467488801012012E-3</v>
      </c>
      <c r="B883"/>
      <c r="C883"/>
      <c r="D883"/>
      <c r="E883"/>
      <c r="F883" s="27" t="s">
        <v>7</v>
      </c>
      <c r="W883" s="27" t="s">
        <v>8</v>
      </c>
      <c r="Y883" s="27" t="s">
        <v>8</v>
      </c>
      <c r="AA883" s="27" t="s">
        <v>8</v>
      </c>
      <c r="AD883" s="27" t="s">
        <v>7</v>
      </c>
      <c r="AE883" s="27" t="s">
        <v>8</v>
      </c>
      <c r="AF883" s="27" t="s">
        <v>7</v>
      </c>
      <c r="AG883" s="27" t="s">
        <v>8</v>
      </c>
      <c r="AH883" s="27" t="s">
        <v>7</v>
      </c>
      <c r="AI883" s="27" t="s">
        <v>8</v>
      </c>
      <c r="AP883" s="27" t="s">
        <v>7</v>
      </c>
      <c r="AR883" s="27" t="s">
        <v>7</v>
      </c>
      <c r="AT883" s="27" t="s">
        <v>7</v>
      </c>
      <c r="AV883" s="27" t="s">
        <v>7</v>
      </c>
      <c r="CA883" s="27" t="s">
        <v>8</v>
      </c>
      <c r="CG883" s="27" t="s">
        <v>8</v>
      </c>
      <c r="CO883" s="27" t="s">
        <v>8</v>
      </c>
      <c r="CP883" s="27" t="s">
        <v>7</v>
      </c>
      <c r="CY883" s="27" t="s">
        <v>8</v>
      </c>
      <c r="CZ883" s="27" t="s">
        <v>7</v>
      </c>
      <c r="DC883" s="27" t="s">
        <v>8</v>
      </c>
      <c r="DD883" s="27" t="s">
        <v>7</v>
      </c>
      <c r="DG883" s="27" t="s">
        <v>8</v>
      </c>
      <c r="DH883" s="27" t="s">
        <v>7</v>
      </c>
      <c r="DI883" s="27" t="s">
        <v>8</v>
      </c>
      <c r="DJ883" s="27" t="s">
        <v>7</v>
      </c>
      <c r="DK883" s="27" t="s">
        <v>8</v>
      </c>
      <c r="DL883" s="27" t="s">
        <v>7</v>
      </c>
      <c r="DM883" s="27" t="s">
        <v>8</v>
      </c>
    </row>
    <row r="884" spans="1:118" x14ac:dyDescent="0.25">
      <c r="A884" s="7">
        <v>2.7909302746090209E-3</v>
      </c>
      <c r="B884"/>
      <c r="C884"/>
      <c r="D884"/>
      <c r="E884"/>
      <c r="F884" s="27" t="s">
        <v>7</v>
      </c>
      <c r="U884" s="27" t="s">
        <v>8</v>
      </c>
      <c r="W884" s="27" t="s">
        <v>8</v>
      </c>
      <c r="X884" s="27" t="s">
        <v>7</v>
      </c>
      <c r="Y884" s="27" t="s">
        <v>8</v>
      </c>
      <c r="Z884" s="27" t="s">
        <v>7</v>
      </c>
      <c r="AA884" s="27" t="s">
        <v>8</v>
      </c>
      <c r="AD884" s="27" t="s">
        <v>7</v>
      </c>
      <c r="AE884" s="27" t="s">
        <v>8</v>
      </c>
      <c r="AF884" s="27" t="s">
        <v>7</v>
      </c>
      <c r="AG884" s="27" t="s">
        <v>8</v>
      </c>
      <c r="AH884" s="27" t="s">
        <v>7</v>
      </c>
      <c r="AV884" s="27" t="s">
        <v>7</v>
      </c>
      <c r="AW884" s="27" t="s">
        <v>8</v>
      </c>
      <c r="CA884" s="27" t="s">
        <v>8</v>
      </c>
      <c r="CB884" s="27" t="s">
        <v>7</v>
      </c>
      <c r="CG884" s="27" t="s">
        <v>8</v>
      </c>
      <c r="CH884" s="27" t="s">
        <v>7</v>
      </c>
      <c r="CM884" s="27" t="s">
        <v>8</v>
      </c>
      <c r="CO884" s="27" t="s">
        <v>8</v>
      </c>
      <c r="CP884" s="27" t="s">
        <v>7</v>
      </c>
      <c r="CW884" s="27" t="s">
        <v>8</v>
      </c>
      <c r="CY884" s="27" t="s">
        <v>8</v>
      </c>
      <c r="CZ884" s="27" t="s">
        <v>7</v>
      </c>
      <c r="DC884" s="27" t="s">
        <v>8</v>
      </c>
      <c r="DD884" s="27" t="s">
        <v>7</v>
      </c>
      <c r="DE884" s="27" t="s">
        <v>8</v>
      </c>
      <c r="DG884" s="27" t="s">
        <v>8</v>
      </c>
      <c r="DH884" s="27" t="s">
        <v>7</v>
      </c>
      <c r="DI884" s="27" t="s">
        <v>8</v>
      </c>
      <c r="DJ884" s="27" t="s">
        <v>7</v>
      </c>
      <c r="DK884" s="27" t="s">
        <v>8</v>
      </c>
      <c r="DL884" s="27" t="s">
        <v>7</v>
      </c>
      <c r="DM884" s="27" t="s">
        <v>8</v>
      </c>
    </row>
    <row r="885" spans="1:118" x14ac:dyDescent="0.25">
      <c r="A885" s="7">
        <v>2.7362061515774716E-3</v>
      </c>
      <c r="B885"/>
      <c r="C885"/>
      <c r="D885"/>
      <c r="E885"/>
      <c r="F885" s="27" t="s">
        <v>7</v>
      </c>
      <c r="U885" s="27" t="s">
        <v>8</v>
      </c>
      <c r="V885" s="27" t="s">
        <v>7</v>
      </c>
      <c r="W885" s="27" t="s">
        <v>8</v>
      </c>
      <c r="X885" s="27" t="s">
        <v>7</v>
      </c>
      <c r="Y885" s="27" t="s">
        <v>8</v>
      </c>
      <c r="Z885" s="27" t="s">
        <v>7</v>
      </c>
      <c r="AA885" s="27" t="s">
        <v>8</v>
      </c>
      <c r="AD885" s="27" t="s">
        <v>7</v>
      </c>
      <c r="AE885" s="27" t="s">
        <v>8</v>
      </c>
      <c r="AF885" s="27" t="s">
        <v>7</v>
      </c>
      <c r="AV885" s="27" t="s">
        <v>7</v>
      </c>
      <c r="AW885" s="27" t="s">
        <v>8</v>
      </c>
      <c r="AX885" s="27" t="s">
        <v>7</v>
      </c>
      <c r="CA885" s="27" t="s">
        <v>8</v>
      </c>
      <c r="CB885" s="27" t="s">
        <v>7</v>
      </c>
      <c r="CG885" s="27" t="s">
        <v>8</v>
      </c>
      <c r="CH885" s="27" t="s">
        <v>7</v>
      </c>
      <c r="CM885" s="27" t="s">
        <v>8</v>
      </c>
      <c r="CN885" s="27" t="s">
        <v>7</v>
      </c>
      <c r="CO885" s="27" t="s">
        <v>8</v>
      </c>
      <c r="CP885" s="27" t="s">
        <v>7</v>
      </c>
      <c r="CW885" s="27" t="s">
        <v>8</v>
      </c>
      <c r="CX885" s="27" t="s">
        <v>7</v>
      </c>
      <c r="CY885" s="27" t="s">
        <v>8</v>
      </c>
      <c r="CZ885" s="27" t="s">
        <v>7</v>
      </c>
      <c r="DA885" s="27" t="s">
        <v>8</v>
      </c>
      <c r="DC885" s="27" t="s">
        <v>8</v>
      </c>
      <c r="DD885" s="27" t="s">
        <v>7</v>
      </c>
      <c r="DE885" s="27" t="s">
        <v>8</v>
      </c>
      <c r="DF885" s="27" t="s">
        <v>7</v>
      </c>
      <c r="DG885" s="27" t="s">
        <v>8</v>
      </c>
      <c r="DH885" s="27" t="s">
        <v>7</v>
      </c>
      <c r="DI885" s="27" t="s">
        <v>8</v>
      </c>
      <c r="DJ885" s="27" t="s">
        <v>7</v>
      </c>
      <c r="DK885" s="27" t="s">
        <v>8</v>
      </c>
      <c r="DL885" s="27" t="s">
        <v>7</v>
      </c>
      <c r="DM885" s="27" t="s">
        <v>8</v>
      </c>
    </row>
    <row r="886" spans="1:118" x14ac:dyDescent="0.25">
      <c r="A886" s="7">
        <v>2.6825550505661486E-3</v>
      </c>
      <c r="B886"/>
      <c r="C886"/>
      <c r="D886"/>
      <c r="E886"/>
      <c r="F886" s="27" t="s">
        <v>7</v>
      </c>
      <c r="U886" s="27" t="s">
        <v>8</v>
      </c>
      <c r="V886" s="27" t="s">
        <v>7</v>
      </c>
      <c r="W886" s="27" t="s">
        <v>8</v>
      </c>
      <c r="X886" s="27" t="s">
        <v>7</v>
      </c>
      <c r="Y886" s="27" t="s">
        <v>8</v>
      </c>
      <c r="Z886" s="27" t="s">
        <v>7</v>
      </c>
      <c r="AA886" s="27" t="s">
        <v>8</v>
      </c>
      <c r="AD886" s="27" t="s">
        <v>7</v>
      </c>
      <c r="AV886" s="27" t="s">
        <v>7</v>
      </c>
      <c r="AW886" s="27" t="s">
        <v>8</v>
      </c>
      <c r="AX886" s="27" t="s">
        <v>7</v>
      </c>
      <c r="CA886" s="27" t="s">
        <v>8</v>
      </c>
      <c r="CB886" s="27" t="s">
        <v>7</v>
      </c>
      <c r="CE886" s="27" t="s">
        <v>8</v>
      </c>
      <c r="CG886" s="27" t="s">
        <v>8</v>
      </c>
      <c r="CH886" s="27" t="s">
        <v>7</v>
      </c>
      <c r="CI886" s="27" t="s">
        <v>8</v>
      </c>
      <c r="CM886" s="27" t="s">
        <v>8</v>
      </c>
      <c r="CN886" s="27" t="s">
        <v>7</v>
      </c>
      <c r="CO886" s="27" t="s">
        <v>8</v>
      </c>
      <c r="CP886" s="27" t="s">
        <v>7</v>
      </c>
      <c r="CW886" s="27" t="s">
        <v>8</v>
      </c>
      <c r="CX886" s="27" t="s">
        <v>7</v>
      </c>
      <c r="CY886" s="27" t="s">
        <v>8</v>
      </c>
      <c r="CZ886" s="27" t="s">
        <v>7</v>
      </c>
      <c r="DA886" s="27" t="s">
        <v>8</v>
      </c>
      <c r="DB886" s="27" t="s">
        <v>7</v>
      </c>
      <c r="DC886" s="27" t="s">
        <v>8</v>
      </c>
      <c r="DD886" s="27" t="s">
        <v>7</v>
      </c>
      <c r="DE886" s="27" t="s">
        <v>8</v>
      </c>
      <c r="DF886" s="27" t="s">
        <v>7</v>
      </c>
      <c r="DG886" s="27" t="s">
        <v>8</v>
      </c>
      <c r="DH886" s="27" t="s">
        <v>7</v>
      </c>
      <c r="DI886" s="27" t="s">
        <v>8</v>
      </c>
      <c r="DJ886" s="27" t="s">
        <v>7</v>
      </c>
      <c r="DK886" s="27" t="s">
        <v>8</v>
      </c>
      <c r="DL886" s="27" t="s">
        <v>7</v>
      </c>
      <c r="DM886" s="27" t="s">
        <v>8</v>
      </c>
    </row>
    <row r="887" spans="1:118" x14ac:dyDescent="0.25">
      <c r="A887" s="7">
        <v>2.6299559319275965E-3</v>
      </c>
      <c r="B887"/>
      <c r="C887"/>
      <c r="D887"/>
      <c r="E887"/>
      <c r="F887" s="27" t="s">
        <v>7</v>
      </c>
      <c r="G887" s="27" t="s">
        <v>8</v>
      </c>
      <c r="U887" s="27" t="s">
        <v>8</v>
      </c>
      <c r="V887" s="27" t="s">
        <v>7</v>
      </c>
      <c r="W887" s="27" t="s">
        <v>8</v>
      </c>
      <c r="X887" s="27" t="s">
        <v>7</v>
      </c>
      <c r="Y887" s="27" t="s">
        <v>8</v>
      </c>
      <c r="Z887" s="27" t="s">
        <v>7</v>
      </c>
      <c r="AA887" s="27" t="s">
        <v>8</v>
      </c>
      <c r="AV887" s="27" t="s">
        <v>7</v>
      </c>
      <c r="AW887" s="27" t="s">
        <v>8</v>
      </c>
      <c r="AX887" s="27" t="s">
        <v>7</v>
      </c>
      <c r="BE887" s="27" t="s">
        <v>8</v>
      </c>
      <c r="CA887" s="27" t="s">
        <v>8</v>
      </c>
      <c r="CB887" s="27" t="s">
        <v>7</v>
      </c>
      <c r="CE887" s="27" t="s">
        <v>8</v>
      </c>
      <c r="CF887" s="27" t="s">
        <v>7</v>
      </c>
      <c r="CG887" s="27" t="s">
        <v>8</v>
      </c>
      <c r="CH887" s="27" t="s">
        <v>7</v>
      </c>
      <c r="CI887" s="27" t="s">
        <v>8</v>
      </c>
      <c r="CJ887" s="27" t="s">
        <v>7</v>
      </c>
      <c r="CM887" s="27" t="s">
        <v>8</v>
      </c>
      <c r="CN887" s="27" t="s">
        <v>7</v>
      </c>
      <c r="CO887" s="27" t="s">
        <v>8</v>
      </c>
      <c r="CP887" s="27" t="s">
        <v>7</v>
      </c>
      <c r="CW887" s="27" t="s">
        <v>8</v>
      </c>
      <c r="CX887" s="27" t="s">
        <v>7</v>
      </c>
      <c r="CY887" s="27" t="s">
        <v>8</v>
      </c>
      <c r="CZ887" s="27" t="s">
        <v>7</v>
      </c>
      <c r="DA887" s="27" t="s">
        <v>8</v>
      </c>
      <c r="DB887" s="27" t="s">
        <v>7</v>
      </c>
      <c r="DC887" s="27" t="s">
        <v>8</v>
      </c>
      <c r="DD887" s="27" t="s">
        <v>7</v>
      </c>
      <c r="DE887" s="27" t="s">
        <v>8</v>
      </c>
      <c r="DF887" s="27" t="s">
        <v>7</v>
      </c>
      <c r="DG887" s="27" t="s">
        <v>8</v>
      </c>
      <c r="DH887" s="27" t="s">
        <v>7</v>
      </c>
      <c r="DJ887" s="27" t="s">
        <v>7</v>
      </c>
      <c r="DK887" s="27" t="s">
        <v>8</v>
      </c>
      <c r="DL887" s="27" t="s">
        <v>7</v>
      </c>
      <c r="DM887" s="27" t="s">
        <v>8</v>
      </c>
    </row>
    <row r="888" spans="1:118" x14ac:dyDescent="0.25">
      <c r="A888" s="7">
        <v>2.578388168556467E-3</v>
      </c>
      <c r="B888"/>
      <c r="C888"/>
      <c r="D888"/>
      <c r="E888"/>
      <c r="F888" s="27" t="s">
        <v>7</v>
      </c>
      <c r="G888" s="27" t="s">
        <v>8</v>
      </c>
      <c r="H888" s="27" t="s">
        <v>7</v>
      </c>
      <c r="S888" s="27" t="s">
        <v>8</v>
      </c>
      <c r="U888" s="27" t="s">
        <v>8</v>
      </c>
      <c r="V888" s="27" t="s">
        <v>7</v>
      </c>
      <c r="W888" s="27" t="s">
        <v>8</v>
      </c>
      <c r="X888" s="27" t="s">
        <v>7</v>
      </c>
      <c r="Z888" s="27" t="s">
        <v>7</v>
      </c>
      <c r="AA888" s="27" t="s">
        <v>8</v>
      </c>
      <c r="AV888" s="27" t="s">
        <v>7</v>
      </c>
      <c r="AW888" s="27" t="s">
        <v>8</v>
      </c>
      <c r="AX888" s="27" t="s">
        <v>7</v>
      </c>
      <c r="BE888" s="27" t="s">
        <v>8</v>
      </c>
      <c r="BF888" s="27" t="s">
        <v>7</v>
      </c>
      <c r="CA888" s="27" t="s">
        <v>8</v>
      </c>
      <c r="CB888" s="27" t="s">
        <v>7</v>
      </c>
      <c r="CE888" s="27" t="s">
        <v>8</v>
      </c>
      <c r="CF888" s="27" t="s">
        <v>7</v>
      </c>
      <c r="CG888" s="27" t="s">
        <v>8</v>
      </c>
      <c r="CH888" s="27" t="s">
        <v>7</v>
      </c>
      <c r="CI888" s="27" t="s">
        <v>8</v>
      </c>
      <c r="CJ888" s="27" t="s">
        <v>7</v>
      </c>
      <c r="CM888" s="27" t="s">
        <v>8</v>
      </c>
      <c r="CN888" s="27" t="s">
        <v>7</v>
      </c>
      <c r="CO888" s="27" t="s">
        <v>8</v>
      </c>
      <c r="CP888" s="27" t="s">
        <v>7</v>
      </c>
      <c r="CW888" s="27" t="s">
        <v>8</v>
      </c>
      <c r="CX888" s="27" t="s">
        <v>7</v>
      </c>
      <c r="CY888" s="27" t="s">
        <v>8</v>
      </c>
      <c r="CZ888" s="27" t="s">
        <v>7</v>
      </c>
      <c r="DA888" s="27" t="s">
        <v>8</v>
      </c>
      <c r="DB888" s="27" t="s">
        <v>7</v>
      </c>
      <c r="DC888" s="27" t="s">
        <v>8</v>
      </c>
      <c r="DD888" s="27" t="s">
        <v>7</v>
      </c>
      <c r="DE888" s="27" t="s">
        <v>8</v>
      </c>
      <c r="DF888" s="27" t="s">
        <v>7</v>
      </c>
      <c r="DG888" s="27" t="s">
        <v>8</v>
      </c>
      <c r="DJ888" s="27" t="s">
        <v>7</v>
      </c>
      <c r="DK888" s="27" t="s">
        <v>8</v>
      </c>
      <c r="DL888" s="27" t="s">
        <v>7</v>
      </c>
      <c r="DM888" s="27" t="s">
        <v>8</v>
      </c>
    </row>
    <row r="889" spans="1:118" x14ac:dyDescent="0.25">
      <c r="A889" s="7">
        <v>2.5278315378004577E-3</v>
      </c>
      <c r="B889"/>
      <c r="C889"/>
      <c r="D889"/>
      <c r="E889"/>
      <c r="F889" s="27" t="s">
        <v>7</v>
      </c>
      <c r="G889" s="27" t="s">
        <v>8</v>
      </c>
      <c r="H889" s="27" t="s">
        <v>7</v>
      </c>
      <c r="O889" s="27" t="s">
        <v>8</v>
      </c>
      <c r="Q889" s="27" t="s">
        <v>8</v>
      </c>
      <c r="S889" s="27" t="s">
        <v>8</v>
      </c>
      <c r="T889" s="27" t="s">
        <v>7</v>
      </c>
      <c r="U889" s="27" t="s">
        <v>8</v>
      </c>
      <c r="V889" s="27" t="s">
        <v>7</v>
      </c>
      <c r="W889" s="27" t="s">
        <v>8</v>
      </c>
      <c r="Z889" s="27" t="s">
        <v>7</v>
      </c>
      <c r="AA889" s="27" t="s">
        <v>8</v>
      </c>
      <c r="AV889" s="27" t="s">
        <v>7</v>
      </c>
      <c r="AW889" s="27" t="s">
        <v>8</v>
      </c>
      <c r="AX889" s="27" t="s">
        <v>7</v>
      </c>
      <c r="BE889" s="27" t="s">
        <v>8</v>
      </c>
      <c r="BF889" s="27" t="s">
        <v>7</v>
      </c>
      <c r="BY889" s="27" t="s">
        <v>8</v>
      </c>
      <c r="CA889" s="27" t="s">
        <v>8</v>
      </c>
      <c r="CB889" s="27" t="s">
        <v>7</v>
      </c>
      <c r="CE889" s="27" t="s">
        <v>8</v>
      </c>
      <c r="CF889" s="27" t="s">
        <v>7</v>
      </c>
      <c r="CG889" s="27" t="s">
        <v>8</v>
      </c>
      <c r="CH889" s="27" t="s">
        <v>7</v>
      </c>
      <c r="CI889" s="27" t="s">
        <v>8</v>
      </c>
      <c r="CJ889" s="27" t="s">
        <v>7</v>
      </c>
      <c r="CK889" s="27" t="s">
        <v>8</v>
      </c>
      <c r="CM889" s="27" t="s">
        <v>8</v>
      </c>
      <c r="CN889" s="27" t="s">
        <v>7</v>
      </c>
      <c r="CO889" s="27" t="s">
        <v>8</v>
      </c>
      <c r="CP889" s="27" t="s">
        <v>7</v>
      </c>
      <c r="CW889" s="27" t="s">
        <v>8</v>
      </c>
      <c r="CX889" s="27" t="s">
        <v>7</v>
      </c>
      <c r="CY889" s="27" t="s">
        <v>8</v>
      </c>
      <c r="CZ889" s="27" t="s">
        <v>7</v>
      </c>
      <c r="DA889" s="27" t="s">
        <v>8</v>
      </c>
      <c r="DB889" s="27" t="s">
        <v>7</v>
      </c>
      <c r="DC889" s="27" t="s">
        <v>8</v>
      </c>
      <c r="DD889" s="27" t="s">
        <v>7</v>
      </c>
      <c r="DE889" s="27" t="s">
        <v>8</v>
      </c>
      <c r="DF889" s="27" t="s">
        <v>7</v>
      </c>
      <c r="DG889" s="27" t="s">
        <v>8</v>
      </c>
      <c r="DJ889" s="27" t="s">
        <v>7</v>
      </c>
      <c r="DK889" s="27" t="s">
        <v>8</v>
      </c>
      <c r="DL889" s="27" t="s">
        <v>7</v>
      </c>
      <c r="DM889" s="27" t="s">
        <v>8</v>
      </c>
    </row>
    <row r="890" spans="1:118" x14ac:dyDescent="0.25">
      <c r="A890" s="7">
        <v>2.4782662135298603E-3</v>
      </c>
      <c r="B890"/>
      <c r="C890"/>
      <c r="D890"/>
      <c r="E890"/>
      <c r="F890" s="27" t="s">
        <v>7</v>
      </c>
      <c r="G890" s="27" t="s">
        <v>8</v>
      </c>
      <c r="H890" s="27" t="s">
        <v>7</v>
      </c>
      <c r="I890" s="27" t="s">
        <v>8</v>
      </c>
      <c r="O890" s="27" t="s">
        <v>8</v>
      </c>
      <c r="P890" s="27" t="s">
        <v>7</v>
      </c>
      <c r="Q890" s="27" t="s">
        <v>8</v>
      </c>
      <c r="R890" s="27" t="s">
        <v>7</v>
      </c>
      <c r="S890" s="27" t="s">
        <v>8</v>
      </c>
      <c r="T890" s="27" t="s">
        <v>7</v>
      </c>
      <c r="U890" s="27" t="s">
        <v>8</v>
      </c>
      <c r="V890" s="27" t="s">
        <v>7</v>
      </c>
      <c r="W890" s="27" t="s">
        <v>8</v>
      </c>
      <c r="Z890" s="27" t="s">
        <v>7</v>
      </c>
      <c r="AV890" s="27" t="s">
        <v>7</v>
      </c>
      <c r="AW890" s="27" t="s">
        <v>8</v>
      </c>
      <c r="AX890" s="27" t="s">
        <v>7</v>
      </c>
      <c r="BE890" s="27" t="s">
        <v>8</v>
      </c>
      <c r="BF890" s="27" t="s">
        <v>7</v>
      </c>
      <c r="BY890" s="27" t="s">
        <v>8</v>
      </c>
      <c r="BZ890" s="27" t="s">
        <v>7</v>
      </c>
      <c r="CA890" s="27" t="s">
        <v>8</v>
      </c>
      <c r="CB890" s="27" t="s">
        <v>7</v>
      </c>
      <c r="CE890" s="27" t="s">
        <v>8</v>
      </c>
      <c r="CF890" s="27" t="s">
        <v>7</v>
      </c>
      <c r="CG890" s="27" t="s">
        <v>8</v>
      </c>
      <c r="CH890" s="27" t="s">
        <v>7</v>
      </c>
      <c r="CI890" s="27" t="s">
        <v>8</v>
      </c>
      <c r="CJ890" s="27" t="s">
        <v>7</v>
      </c>
      <c r="CK890" s="27" t="s">
        <v>8</v>
      </c>
      <c r="CL890" s="27" t="s">
        <v>7</v>
      </c>
      <c r="CM890" s="27" t="s">
        <v>8</v>
      </c>
      <c r="CN890" s="27" t="s">
        <v>7</v>
      </c>
      <c r="CP890" s="27" t="s">
        <v>7</v>
      </c>
      <c r="CW890" s="27" t="s">
        <v>8</v>
      </c>
      <c r="CX890" s="27" t="s">
        <v>7</v>
      </c>
      <c r="CY890" s="27" t="s">
        <v>8</v>
      </c>
      <c r="CZ890" s="27" t="s">
        <v>7</v>
      </c>
      <c r="DA890" s="27" t="s">
        <v>8</v>
      </c>
      <c r="DB890" s="27" t="s">
        <v>7</v>
      </c>
      <c r="DC890" s="27" t="s">
        <v>8</v>
      </c>
      <c r="DD890" s="27" t="s">
        <v>7</v>
      </c>
      <c r="DE890" s="27" t="s">
        <v>8</v>
      </c>
      <c r="DF890" s="27" t="s">
        <v>7</v>
      </c>
      <c r="DJ890" s="27" t="s">
        <v>7</v>
      </c>
      <c r="DK890" s="27" t="s">
        <v>8</v>
      </c>
      <c r="DL890" s="27" t="s">
        <v>7</v>
      </c>
    </row>
    <row r="891" spans="1:118" x14ac:dyDescent="0.25">
      <c r="A891" s="7">
        <v>2.4296727583626083E-3</v>
      </c>
      <c r="B891"/>
      <c r="C891"/>
      <c r="D891"/>
      <c r="E891"/>
      <c r="F891" s="27" t="s">
        <v>7</v>
      </c>
      <c r="G891" s="27" t="s">
        <v>8</v>
      </c>
      <c r="H891" s="27" t="s">
        <v>7</v>
      </c>
      <c r="I891" s="27" t="s">
        <v>8</v>
      </c>
      <c r="J891" s="27" t="s">
        <v>7</v>
      </c>
      <c r="O891" s="27" t="s">
        <v>8</v>
      </c>
      <c r="P891" s="27" t="s">
        <v>7</v>
      </c>
      <c r="Q891" s="27" t="s">
        <v>8</v>
      </c>
      <c r="R891" s="27" t="s">
        <v>7</v>
      </c>
      <c r="S891" s="27" t="s">
        <v>8</v>
      </c>
      <c r="T891" s="27" t="s">
        <v>7</v>
      </c>
      <c r="U891" s="27" t="s">
        <v>8</v>
      </c>
      <c r="V891" s="27" t="s">
        <v>7</v>
      </c>
      <c r="AV891" s="27" t="s">
        <v>7</v>
      </c>
      <c r="AW891" s="27" t="s">
        <v>8</v>
      </c>
      <c r="AX891" s="27" t="s">
        <v>7</v>
      </c>
      <c r="BE891" s="27" t="s">
        <v>8</v>
      </c>
      <c r="BF891" s="27" t="s">
        <v>7</v>
      </c>
      <c r="BY891" s="27" t="s">
        <v>8</v>
      </c>
      <c r="BZ891" s="27" t="s">
        <v>7</v>
      </c>
      <c r="CA891" s="27" t="s">
        <v>8</v>
      </c>
      <c r="CB891" s="27" t="s">
        <v>7</v>
      </c>
      <c r="CE891" s="27" t="s">
        <v>8</v>
      </c>
      <c r="CF891" s="27" t="s">
        <v>7</v>
      </c>
      <c r="CG891" s="27" t="s">
        <v>8</v>
      </c>
      <c r="CH891" s="27" t="s">
        <v>7</v>
      </c>
      <c r="CI891" s="27" t="s">
        <v>8</v>
      </c>
      <c r="CJ891" s="27" t="s">
        <v>7</v>
      </c>
      <c r="CK891" s="27" t="s">
        <v>8</v>
      </c>
      <c r="CL891" s="27" t="s">
        <v>7</v>
      </c>
      <c r="CM891" s="27" t="s">
        <v>8</v>
      </c>
      <c r="CP891" s="27" t="s">
        <v>7</v>
      </c>
      <c r="CQ891" s="27" t="s">
        <v>8</v>
      </c>
      <c r="CW891" s="27" t="s">
        <v>8</v>
      </c>
      <c r="CX891" s="27" t="s">
        <v>7</v>
      </c>
      <c r="CY891" s="27" t="s">
        <v>8</v>
      </c>
      <c r="CZ891" s="27" t="s">
        <v>7</v>
      </c>
      <c r="DA891" s="27" t="s">
        <v>8</v>
      </c>
      <c r="DB891" s="27" t="s">
        <v>7</v>
      </c>
      <c r="DC891" s="27" t="s">
        <v>8</v>
      </c>
      <c r="DD891" s="27" t="s">
        <v>7</v>
      </c>
      <c r="DE891" s="27" t="s">
        <v>8</v>
      </c>
      <c r="DJ891" s="27" t="s">
        <v>7</v>
      </c>
    </row>
    <row r="892" spans="1:118" x14ac:dyDescent="0.25">
      <c r="A892" s="7">
        <v>2.3820321160417726E-3</v>
      </c>
      <c r="B892"/>
      <c r="C892"/>
      <c r="D892"/>
      <c r="E892"/>
      <c r="F892" s="27" t="s">
        <v>7</v>
      </c>
      <c r="H892" s="27" t="s">
        <v>7</v>
      </c>
      <c r="I892" s="27" t="s">
        <v>8</v>
      </c>
      <c r="J892" s="27" t="s">
        <v>7</v>
      </c>
      <c r="O892" s="27" t="s">
        <v>8</v>
      </c>
      <c r="P892" s="27" t="s">
        <v>7</v>
      </c>
      <c r="Q892" s="27" t="s">
        <v>8</v>
      </c>
      <c r="R892" s="27" t="s">
        <v>7</v>
      </c>
      <c r="S892" s="27" t="s">
        <v>8</v>
      </c>
      <c r="T892" s="27" t="s">
        <v>7</v>
      </c>
      <c r="U892" s="27" t="s">
        <v>8</v>
      </c>
      <c r="AV892" s="27" t="s">
        <v>7</v>
      </c>
      <c r="AW892" s="27" t="s">
        <v>8</v>
      </c>
      <c r="AX892" s="27" t="s">
        <v>7</v>
      </c>
      <c r="AY892" s="27" t="s">
        <v>8</v>
      </c>
      <c r="BE892" s="27" t="s">
        <v>8</v>
      </c>
      <c r="BF892" s="27" t="s">
        <v>7</v>
      </c>
      <c r="BG892" s="27" t="s">
        <v>8</v>
      </c>
      <c r="BW892" s="27" t="s">
        <v>8</v>
      </c>
      <c r="BY892" s="27" t="s">
        <v>8</v>
      </c>
      <c r="BZ892" s="27" t="s">
        <v>7</v>
      </c>
      <c r="CA892" s="27" t="s">
        <v>8</v>
      </c>
      <c r="CB892" s="27" t="s">
        <v>7</v>
      </c>
      <c r="CC892" s="27" t="s">
        <v>8</v>
      </c>
      <c r="CE892" s="27" t="s">
        <v>8</v>
      </c>
      <c r="CF892" s="27" t="s">
        <v>7</v>
      </c>
      <c r="CH892" s="27" t="s">
        <v>7</v>
      </c>
      <c r="CJ892" s="27" t="s">
        <v>7</v>
      </c>
      <c r="CK892" s="27" t="s">
        <v>8</v>
      </c>
      <c r="CL892" s="27" t="s">
        <v>7</v>
      </c>
      <c r="CM892" s="27" t="s">
        <v>8</v>
      </c>
      <c r="CP892" s="27" t="s">
        <v>7</v>
      </c>
      <c r="CQ892" s="27" t="s">
        <v>8</v>
      </c>
      <c r="CR892" s="27" t="s">
        <v>7</v>
      </c>
      <c r="CS892" s="27" t="s">
        <v>8</v>
      </c>
      <c r="CW892" s="27" t="s">
        <v>8</v>
      </c>
      <c r="CX892" s="27" t="s">
        <v>7</v>
      </c>
      <c r="CY892" s="27" t="s">
        <v>8</v>
      </c>
      <c r="CZ892" s="27" t="s">
        <v>7</v>
      </c>
      <c r="DB892" s="27" t="s">
        <v>7</v>
      </c>
      <c r="DC892" s="27" t="s">
        <v>8</v>
      </c>
      <c r="DD892" s="27" t="s">
        <v>7</v>
      </c>
      <c r="DE892" s="27" t="s">
        <v>8</v>
      </c>
    </row>
    <row r="893" spans="1:118" x14ac:dyDescent="0.25">
      <c r="A893" s="7">
        <v>2.3353256039625224E-3</v>
      </c>
      <c r="B893"/>
      <c r="C893"/>
      <c r="D893"/>
      <c r="E893"/>
      <c r="H893" s="27" t="s">
        <v>7</v>
      </c>
      <c r="I893" s="27" t="s">
        <v>8</v>
      </c>
      <c r="J893" s="27" t="s">
        <v>7</v>
      </c>
      <c r="O893" s="27" t="s">
        <v>8</v>
      </c>
      <c r="P893" s="27" t="s">
        <v>7</v>
      </c>
      <c r="Q893" s="27" t="s">
        <v>8</v>
      </c>
      <c r="R893" s="27" t="s">
        <v>7</v>
      </c>
      <c r="S893" s="27" t="s">
        <v>8</v>
      </c>
      <c r="T893" s="27" t="s">
        <v>7</v>
      </c>
      <c r="AV893" s="27" t="s">
        <v>7</v>
      </c>
      <c r="AW893" s="27" t="s">
        <v>8</v>
      </c>
      <c r="AX893" s="27" t="s">
        <v>7</v>
      </c>
      <c r="AY893" s="27" t="s">
        <v>8</v>
      </c>
      <c r="AZ893" s="27" t="s">
        <v>7</v>
      </c>
      <c r="BA893" s="27" t="s">
        <v>8</v>
      </c>
      <c r="BE893" s="27" t="s">
        <v>8</v>
      </c>
      <c r="BF893" s="27" t="s">
        <v>7</v>
      </c>
      <c r="BG893" s="27" t="s">
        <v>8</v>
      </c>
      <c r="BH893" s="27" t="s">
        <v>7</v>
      </c>
      <c r="BK893" s="27" t="s">
        <v>8</v>
      </c>
      <c r="BU893" s="27" t="s">
        <v>8</v>
      </c>
      <c r="BW893" s="27" t="s">
        <v>8</v>
      </c>
      <c r="BX893" s="27" t="s">
        <v>7</v>
      </c>
      <c r="BY893" s="27" t="s">
        <v>8</v>
      </c>
      <c r="BZ893" s="27" t="s">
        <v>7</v>
      </c>
      <c r="CB893" s="27" t="s">
        <v>7</v>
      </c>
      <c r="CC893" s="27" t="s">
        <v>8</v>
      </c>
      <c r="CD893" s="27" t="s">
        <v>7</v>
      </c>
      <c r="CE893" s="27" t="s">
        <v>8</v>
      </c>
      <c r="CJ893" s="27" t="s">
        <v>7</v>
      </c>
      <c r="CK893" s="27" t="s">
        <v>8</v>
      </c>
      <c r="CL893" s="27" t="s">
        <v>7</v>
      </c>
      <c r="CM893" s="27" t="s">
        <v>8</v>
      </c>
      <c r="CP893" s="27" t="s">
        <v>7</v>
      </c>
      <c r="CQ893" s="27" t="s">
        <v>8</v>
      </c>
      <c r="CR893" s="27" t="s">
        <v>7</v>
      </c>
      <c r="CS893" s="27" t="s">
        <v>8</v>
      </c>
      <c r="CT893" s="27" t="s">
        <v>7</v>
      </c>
      <c r="CW893" s="27" t="s">
        <v>8</v>
      </c>
      <c r="CX893" s="27" t="s">
        <v>7</v>
      </c>
      <c r="DB893" s="27" t="s">
        <v>7</v>
      </c>
      <c r="DD893" s="27" t="s">
        <v>7</v>
      </c>
      <c r="DE893" s="27" t="s">
        <v>8</v>
      </c>
    </row>
    <row r="894" spans="1:118" x14ac:dyDescent="0.25">
      <c r="A894" s="7">
        <v>2.2895349058456101E-3</v>
      </c>
      <c r="B894"/>
      <c r="C894"/>
      <c r="D894"/>
      <c r="E894"/>
      <c r="H894" s="27" t="s">
        <v>7</v>
      </c>
      <c r="I894" s="27" t="s">
        <v>8</v>
      </c>
      <c r="J894" s="27" t="s">
        <v>7</v>
      </c>
      <c r="O894" s="27" t="s">
        <v>8</v>
      </c>
      <c r="P894" s="27" t="s">
        <v>7</v>
      </c>
      <c r="Q894" s="27" t="s">
        <v>8</v>
      </c>
      <c r="R894" s="27" t="s">
        <v>7</v>
      </c>
      <c r="S894" s="27" t="s">
        <v>8</v>
      </c>
      <c r="AV894" s="27" t="s">
        <v>7</v>
      </c>
      <c r="AW894" s="27" t="s">
        <v>8</v>
      </c>
      <c r="AX894" s="27" t="s">
        <v>7</v>
      </c>
      <c r="AY894" s="27" t="s">
        <v>8</v>
      </c>
      <c r="AZ894" s="27" t="s">
        <v>7</v>
      </c>
      <c r="BA894" s="27" t="s">
        <v>8</v>
      </c>
      <c r="BB894" s="27" t="s">
        <v>7</v>
      </c>
      <c r="BE894" s="27" t="s">
        <v>8</v>
      </c>
      <c r="BF894" s="27" t="s">
        <v>7</v>
      </c>
      <c r="BG894" s="27" t="s">
        <v>8</v>
      </c>
      <c r="BH894" s="27" t="s">
        <v>7</v>
      </c>
      <c r="BI894" s="27" t="s">
        <v>8</v>
      </c>
      <c r="BK894" s="27" t="s">
        <v>8</v>
      </c>
      <c r="BL894" s="27" t="s">
        <v>7</v>
      </c>
      <c r="BU894" s="27" t="s">
        <v>8</v>
      </c>
      <c r="BV894" s="27" t="s">
        <v>7</v>
      </c>
      <c r="BW894" s="27" t="s">
        <v>8</v>
      </c>
      <c r="BX894" s="27" t="s">
        <v>7</v>
      </c>
      <c r="BY894" s="27" t="s">
        <v>8</v>
      </c>
      <c r="CB894" s="27" t="s">
        <v>7</v>
      </c>
      <c r="CC894" s="27" t="s">
        <v>8</v>
      </c>
      <c r="CD894" s="27" t="s">
        <v>7</v>
      </c>
      <c r="CE894" s="27" t="s">
        <v>8</v>
      </c>
      <c r="CJ894" s="27" t="s">
        <v>7</v>
      </c>
      <c r="CK894" s="27" t="s">
        <v>8</v>
      </c>
      <c r="CL894" s="27" t="s">
        <v>7</v>
      </c>
      <c r="CM894" s="27" t="s">
        <v>8</v>
      </c>
      <c r="CP894" s="27" t="s">
        <v>7</v>
      </c>
      <c r="CQ894" s="27" t="s">
        <v>8</v>
      </c>
      <c r="CR894" s="27" t="s">
        <v>7</v>
      </c>
      <c r="CS894" s="27" t="s">
        <v>8</v>
      </c>
      <c r="CT894" s="27" t="s">
        <v>7</v>
      </c>
      <c r="CU894" s="27" t="s">
        <v>8</v>
      </c>
      <c r="CW894" s="27" t="s">
        <v>8</v>
      </c>
      <c r="DD894" s="27" t="s">
        <v>7</v>
      </c>
      <c r="DE894" s="27" t="s">
        <v>8</v>
      </c>
    </row>
    <row r="895" spans="1:118" x14ac:dyDescent="0.25">
      <c r="A895" s="7">
        <v>2.24464206455452E-3</v>
      </c>
      <c r="B895"/>
      <c r="C895"/>
      <c r="D895"/>
      <c r="E895"/>
      <c r="H895" s="27" t="s">
        <v>7</v>
      </c>
      <c r="I895" s="27" t="s">
        <v>8</v>
      </c>
      <c r="J895" s="27" t="s">
        <v>7</v>
      </c>
      <c r="O895" s="27" t="s">
        <v>8</v>
      </c>
      <c r="P895" s="27" t="s">
        <v>7</v>
      </c>
      <c r="Q895" s="27" t="s">
        <v>8</v>
      </c>
      <c r="R895" s="27" t="s">
        <v>7</v>
      </c>
      <c r="S895" s="27" t="s">
        <v>8</v>
      </c>
      <c r="AV895" s="27" t="s">
        <v>7</v>
      </c>
      <c r="AW895" s="27" t="s">
        <v>8</v>
      </c>
      <c r="AX895" s="27" t="s">
        <v>7</v>
      </c>
      <c r="AY895" s="27" t="s">
        <v>8</v>
      </c>
      <c r="AZ895" s="27" t="s">
        <v>7</v>
      </c>
      <c r="BA895" s="27" t="s">
        <v>8</v>
      </c>
      <c r="BB895" s="27" t="s">
        <v>7</v>
      </c>
      <c r="BE895" s="27" t="s">
        <v>8</v>
      </c>
      <c r="BF895" s="27" t="s">
        <v>7</v>
      </c>
      <c r="BH895" s="27" t="s">
        <v>7</v>
      </c>
      <c r="BI895" s="27" t="s">
        <v>8</v>
      </c>
      <c r="BJ895" s="27" t="s">
        <v>7</v>
      </c>
      <c r="BK895" s="27" t="s">
        <v>8</v>
      </c>
      <c r="BL895" s="27" t="s">
        <v>7</v>
      </c>
      <c r="BU895" s="27" t="s">
        <v>8</v>
      </c>
      <c r="BV895" s="27" t="s">
        <v>7</v>
      </c>
      <c r="BW895" s="27" t="s">
        <v>8</v>
      </c>
      <c r="BX895" s="27" t="s">
        <v>7</v>
      </c>
      <c r="BY895" s="27" t="s">
        <v>8</v>
      </c>
      <c r="CB895" s="27" t="s">
        <v>7</v>
      </c>
      <c r="CC895" s="27" t="s">
        <v>8</v>
      </c>
      <c r="CD895" s="27" t="s">
        <v>7</v>
      </c>
      <c r="CJ895" s="27" t="s">
        <v>7</v>
      </c>
      <c r="CL895" s="27" t="s">
        <v>7</v>
      </c>
      <c r="CM895" s="27" t="s">
        <v>8</v>
      </c>
      <c r="CP895" s="27" t="s">
        <v>7</v>
      </c>
      <c r="CQ895" s="27" t="s">
        <v>8</v>
      </c>
      <c r="CR895" s="27" t="s">
        <v>7</v>
      </c>
      <c r="CS895" s="27" t="s">
        <v>8</v>
      </c>
      <c r="CT895" s="27" t="s">
        <v>7</v>
      </c>
      <c r="CU895" s="27" t="s">
        <v>8</v>
      </c>
      <c r="CV895" s="27" t="s">
        <v>7</v>
      </c>
      <c r="CW895" s="27" t="s">
        <v>8</v>
      </c>
      <c r="DD895" s="27" t="s">
        <v>7</v>
      </c>
      <c r="DE895" s="27" t="s">
        <v>8</v>
      </c>
    </row>
    <row r="896" spans="1:118" x14ac:dyDescent="0.25">
      <c r="A896" s="7">
        <v>2.200629475053451E-3</v>
      </c>
      <c r="B896"/>
      <c r="C896"/>
      <c r="D896"/>
      <c r="E896"/>
      <c r="H896" s="27" t="s">
        <v>7</v>
      </c>
      <c r="I896" s="27" t="s">
        <v>8</v>
      </c>
      <c r="J896" s="27" t="s">
        <v>7</v>
      </c>
      <c r="O896" s="27" t="s">
        <v>8</v>
      </c>
      <c r="P896" s="27" t="s">
        <v>7</v>
      </c>
      <c r="R896" s="27" t="s">
        <v>7</v>
      </c>
      <c r="S896" s="27" t="s">
        <v>8</v>
      </c>
      <c r="AV896" s="27" t="s">
        <v>7</v>
      </c>
      <c r="AW896" s="27" t="s">
        <v>8</v>
      </c>
      <c r="AX896" s="27" t="s">
        <v>7</v>
      </c>
      <c r="AY896" s="27" t="s">
        <v>8</v>
      </c>
      <c r="AZ896" s="27" t="s">
        <v>7</v>
      </c>
      <c r="BA896" s="27" t="s">
        <v>8</v>
      </c>
      <c r="BB896" s="27" t="s">
        <v>7</v>
      </c>
      <c r="BE896" s="27" t="s">
        <v>8</v>
      </c>
      <c r="BH896" s="27" t="s">
        <v>7</v>
      </c>
      <c r="BI896" s="27" t="s">
        <v>8</v>
      </c>
      <c r="BJ896" s="27" t="s">
        <v>7</v>
      </c>
      <c r="BK896" s="27" t="s">
        <v>8</v>
      </c>
      <c r="BL896" s="27" t="s">
        <v>7</v>
      </c>
      <c r="BU896" s="27" t="s">
        <v>8</v>
      </c>
      <c r="BV896" s="27" t="s">
        <v>7</v>
      </c>
      <c r="BW896" s="27" t="s">
        <v>8</v>
      </c>
      <c r="BX896" s="27" t="s">
        <v>7</v>
      </c>
      <c r="BY896" s="27" t="s">
        <v>8</v>
      </c>
      <c r="CB896" s="27" t="s">
        <v>7</v>
      </c>
      <c r="CC896" s="27" t="s">
        <v>8</v>
      </c>
      <c r="CL896" s="27" t="s">
        <v>7</v>
      </c>
      <c r="CP896" s="27" t="s">
        <v>7</v>
      </c>
      <c r="CQ896" s="27" t="s">
        <v>8</v>
      </c>
      <c r="CR896" s="27" t="s">
        <v>7</v>
      </c>
      <c r="CT896" s="27" t="s">
        <v>7</v>
      </c>
      <c r="CU896" s="27" t="s">
        <v>8</v>
      </c>
      <c r="CV896" s="27" t="s">
        <v>7</v>
      </c>
      <c r="CW896" s="27" t="s">
        <v>8</v>
      </c>
      <c r="DD896" s="27" t="s">
        <v>7</v>
      </c>
      <c r="DE896" s="27" t="s">
        <v>8</v>
      </c>
    </row>
    <row r="897" spans="1:109" x14ac:dyDescent="0.25">
      <c r="A897" s="7">
        <v>2.1574798775033832E-3</v>
      </c>
      <c r="B897"/>
      <c r="C897"/>
      <c r="D897"/>
      <c r="E897"/>
      <c r="H897" s="27" t="s">
        <v>7</v>
      </c>
      <c r="I897" s="27" t="s">
        <v>8</v>
      </c>
      <c r="J897" s="27" t="s">
        <v>7</v>
      </c>
      <c r="O897" s="27" t="s">
        <v>8</v>
      </c>
      <c r="R897" s="27" t="s">
        <v>7</v>
      </c>
      <c r="S897" s="27" t="s">
        <v>8</v>
      </c>
      <c r="AV897" s="27" t="s">
        <v>7</v>
      </c>
      <c r="AW897" s="27" t="s">
        <v>8</v>
      </c>
      <c r="AX897" s="27" t="s">
        <v>7</v>
      </c>
      <c r="AY897" s="27" t="s">
        <v>8</v>
      </c>
      <c r="AZ897" s="27" t="s">
        <v>7</v>
      </c>
      <c r="BA897" s="27" t="s">
        <v>8</v>
      </c>
      <c r="BB897" s="27" t="s">
        <v>7</v>
      </c>
      <c r="BE897" s="27" t="s">
        <v>8</v>
      </c>
      <c r="BH897" s="27" t="s">
        <v>7</v>
      </c>
      <c r="BI897" s="27" t="s">
        <v>8</v>
      </c>
      <c r="BJ897" s="27" t="s">
        <v>7</v>
      </c>
      <c r="BK897" s="27" t="s">
        <v>8</v>
      </c>
      <c r="BL897" s="27" t="s">
        <v>7</v>
      </c>
      <c r="BU897" s="27" t="s">
        <v>8</v>
      </c>
      <c r="BV897" s="27" t="s">
        <v>7</v>
      </c>
      <c r="BW897" s="27" t="s">
        <v>8</v>
      </c>
      <c r="BX897" s="27" t="s">
        <v>7</v>
      </c>
      <c r="BY897" s="27" t="s">
        <v>8</v>
      </c>
      <c r="CB897" s="27" t="s">
        <v>7</v>
      </c>
      <c r="CC897" s="27" t="s">
        <v>8</v>
      </c>
      <c r="CP897" s="27" t="s">
        <v>7</v>
      </c>
      <c r="CQ897" s="27" t="s">
        <v>8</v>
      </c>
      <c r="CT897" s="27" t="s">
        <v>7</v>
      </c>
      <c r="CU897" s="27" t="s">
        <v>8</v>
      </c>
      <c r="CV897" s="27" t="s">
        <v>7</v>
      </c>
      <c r="DD897" s="27" t="s">
        <v>7</v>
      </c>
      <c r="DE897" s="27" t="s">
        <v>8</v>
      </c>
    </row>
    <row r="898" spans="1:109" x14ac:dyDescent="0.25">
      <c r="A898" s="7">
        <v>2.115176350493513E-3</v>
      </c>
      <c r="B898"/>
      <c r="C898"/>
      <c r="D898"/>
      <c r="E898"/>
      <c r="H898" s="27" t="s">
        <v>7</v>
      </c>
      <c r="I898" s="27" t="s">
        <v>8</v>
      </c>
      <c r="J898" s="27" t="s">
        <v>7</v>
      </c>
      <c r="O898" s="27" t="s">
        <v>8</v>
      </c>
      <c r="R898" s="27" t="s">
        <v>7</v>
      </c>
      <c r="AV898" s="27" t="s">
        <v>7</v>
      </c>
      <c r="AW898" s="27" t="s">
        <v>8</v>
      </c>
      <c r="AX898" s="27" t="s">
        <v>7</v>
      </c>
      <c r="AZ898" s="27" t="s">
        <v>7</v>
      </c>
      <c r="BA898" s="27" t="s">
        <v>8</v>
      </c>
      <c r="BB898" s="27" t="s">
        <v>7</v>
      </c>
      <c r="BE898" s="27" t="s">
        <v>8</v>
      </c>
      <c r="BH898" s="27" t="s">
        <v>7</v>
      </c>
      <c r="BI898" s="27" t="s">
        <v>8</v>
      </c>
      <c r="BJ898" s="27" t="s">
        <v>7</v>
      </c>
      <c r="BL898" s="27" t="s">
        <v>7</v>
      </c>
      <c r="BQ898" s="27" t="s">
        <v>8</v>
      </c>
      <c r="BU898" s="27" t="s">
        <v>8</v>
      </c>
      <c r="BV898" s="27" t="s">
        <v>7</v>
      </c>
      <c r="BW898" s="27" t="s">
        <v>8</v>
      </c>
      <c r="BX898" s="27" t="s">
        <v>7</v>
      </c>
      <c r="CB898" s="27" t="s">
        <v>7</v>
      </c>
      <c r="CP898" s="27" t="s">
        <v>7</v>
      </c>
      <c r="CT898" s="27" t="s">
        <v>7</v>
      </c>
      <c r="DD898" s="27" t="s">
        <v>7</v>
      </c>
      <c r="DE898" s="27" t="s">
        <v>8</v>
      </c>
    </row>
    <row r="899" spans="1:109" x14ac:dyDescent="0.25">
      <c r="A899" s="7">
        <v>2.0737023044054047E-3</v>
      </c>
      <c r="B899"/>
      <c r="C899"/>
      <c r="D899"/>
      <c r="E899"/>
      <c r="H899" s="27" t="s">
        <v>7</v>
      </c>
      <c r="I899" s="27" t="s">
        <v>8</v>
      </c>
      <c r="J899" s="27" t="s">
        <v>7</v>
      </c>
      <c r="O899" s="27" t="s">
        <v>8</v>
      </c>
      <c r="AV899" s="27" t="s">
        <v>7</v>
      </c>
      <c r="AW899" s="27" t="s">
        <v>8</v>
      </c>
      <c r="AZ899" s="27" t="s">
        <v>7</v>
      </c>
      <c r="BA899" s="27" t="s">
        <v>8</v>
      </c>
      <c r="BB899" s="27" t="s">
        <v>7</v>
      </c>
      <c r="BC899" s="27" t="s">
        <v>8</v>
      </c>
      <c r="BE899" s="27" t="s">
        <v>8</v>
      </c>
      <c r="BH899" s="27" t="s">
        <v>7</v>
      </c>
      <c r="BI899" s="27" t="s">
        <v>8</v>
      </c>
      <c r="BL899" s="27" t="s">
        <v>7</v>
      </c>
      <c r="BO899" s="27" t="s">
        <v>8</v>
      </c>
      <c r="BQ899" s="27" t="s">
        <v>8</v>
      </c>
      <c r="BR899" s="27" t="s">
        <v>7</v>
      </c>
      <c r="BS899" s="27" t="s">
        <v>8</v>
      </c>
      <c r="BU899" s="27" t="s">
        <v>8</v>
      </c>
      <c r="BV899" s="27" t="s">
        <v>7</v>
      </c>
      <c r="BW899" s="27" t="s">
        <v>8</v>
      </c>
      <c r="DD899" s="27" t="s">
        <v>7</v>
      </c>
    </row>
    <row r="900" spans="1:109" x14ac:dyDescent="0.25">
      <c r="A900" s="7">
        <v>2.0330414749072595E-3</v>
      </c>
      <c r="B900"/>
      <c r="C900"/>
      <c r="D900"/>
      <c r="E900"/>
      <c r="H900" s="27" t="s">
        <v>7</v>
      </c>
      <c r="I900" s="27" t="s">
        <v>8</v>
      </c>
      <c r="J900" s="27" t="s">
        <v>7</v>
      </c>
      <c r="O900" s="27" t="s">
        <v>8</v>
      </c>
      <c r="AV900" s="27" t="s">
        <v>7</v>
      </c>
      <c r="AW900" s="27" t="s">
        <v>8</v>
      </c>
      <c r="AZ900" s="27" t="s">
        <v>7</v>
      </c>
      <c r="BA900" s="27" t="s">
        <v>8</v>
      </c>
      <c r="BB900" s="27" t="s">
        <v>7</v>
      </c>
      <c r="BC900" s="27" t="s">
        <v>8</v>
      </c>
      <c r="BD900" s="27" t="s">
        <v>7</v>
      </c>
      <c r="BE900" s="27" t="s">
        <v>8</v>
      </c>
      <c r="BH900" s="27" t="s">
        <v>7</v>
      </c>
      <c r="BI900" s="27" t="s">
        <v>8</v>
      </c>
      <c r="BL900" s="27" t="s">
        <v>7</v>
      </c>
      <c r="BO900" s="27" t="s">
        <v>8</v>
      </c>
      <c r="BP900" s="27" t="s">
        <v>7</v>
      </c>
      <c r="BQ900" s="27" t="s">
        <v>8</v>
      </c>
      <c r="BR900" s="27" t="s">
        <v>7</v>
      </c>
      <c r="BS900" s="27" t="s">
        <v>8</v>
      </c>
      <c r="BT900" s="27" t="s">
        <v>7</v>
      </c>
      <c r="BU900" s="27" t="s">
        <v>8</v>
      </c>
      <c r="BV900" s="27" t="s">
        <v>7</v>
      </c>
    </row>
    <row r="901" spans="1:109" x14ac:dyDescent="0.25">
      <c r="A901" s="7">
        <v>1.9931779165757446E-3</v>
      </c>
      <c r="B901"/>
      <c r="C901"/>
      <c r="D901"/>
      <c r="E901"/>
      <c r="H901" s="27" t="s">
        <v>7</v>
      </c>
      <c r="J901" s="27" t="s">
        <v>7</v>
      </c>
      <c r="K901" s="27" t="s">
        <v>8</v>
      </c>
      <c r="M901" s="27" t="s">
        <v>8</v>
      </c>
      <c r="O901" s="27" t="s">
        <v>8</v>
      </c>
      <c r="AV901" s="27" t="s">
        <v>7</v>
      </c>
      <c r="AW901" s="27" t="s">
        <v>8</v>
      </c>
      <c r="AZ901" s="27" t="s">
        <v>7</v>
      </c>
      <c r="BA901" s="27" t="s">
        <v>8</v>
      </c>
      <c r="BB901" s="27" t="s">
        <v>7</v>
      </c>
      <c r="BC901" s="27" t="s">
        <v>8</v>
      </c>
      <c r="BD901" s="27" t="s">
        <v>7</v>
      </c>
      <c r="BE901" s="27" t="s">
        <v>8</v>
      </c>
      <c r="BH901" s="27" t="s">
        <v>7</v>
      </c>
      <c r="BI901" s="27" t="s">
        <v>8</v>
      </c>
      <c r="BL901" s="27" t="s">
        <v>7</v>
      </c>
      <c r="BM901" s="27" t="s">
        <v>8</v>
      </c>
      <c r="BO901" s="27" t="s">
        <v>8</v>
      </c>
      <c r="BP901" s="27" t="s">
        <v>7</v>
      </c>
      <c r="BQ901" s="27" t="s">
        <v>8</v>
      </c>
      <c r="BR901" s="27" t="s">
        <v>7</v>
      </c>
      <c r="BS901" s="27" t="s">
        <v>8</v>
      </c>
      <c r="BT901" s="27" t="s">
        <v>7</v>
      </c>
      <c r="BU901" s="27" t="s">
        <v>8</v>
      </c>
    </row>
    <row r="902" spans="1:109" x14ac:dyDescent="0.25">
      <c r="A902" s="7">
        <v>1.954095996642887E-3</v>
      </c>
      <c r="B902"/>
      <c r="C902"/>
      <c r="D902"/>
      <c r="E902"/>
      <c r="J902" s="27" t="s">
        <v>7</v>
      </c>
      <c r="K902" s="27" t="s">
        <v>8</v>
      </c>
      <c r="L902" s="27" t="s">
        <v>7</v>
      </c>
      <c r="M902" s="27" t="s">
        <v>8</v>
      </c>
      <c r="N902" s="27" t="s">
        <v>7</v>
      </c>
      <c r="O902" s="27" t="s">
        <v>8</v>
      </c>
      <c r="AV902" s="27" t="s">
        <v>7</v>
      </c>
      <c r="AW902" s="27" t="s">
        <v>8</v>
      </c>
      <c r="AZ902" s="27" t="s">
        <v>7</v>
      </c>
      <c r="BB902" s="27" t="s">
        <v>7</v>
      </c>
      <c r="BD902" s="27" t="s">
        <v>7</v>
      </c>
      <c r="BE902" s="27" t="s">
        <v>8</v>
      </c>
      <c r="BH902" s="27" t="s">
        <v>7</v>
      </c>
      <c r="BL902" s="27" t="s">
        <v>7</v>
      </c>
      <c r="BM902" s="27" t="s">
        <v>8</v>
      </c>
      <c r="BN902" s="27" t="s">
        <v>7</v>
      </c>
      <c r="BO902" s="27" t="s">
        <v>8</v>
      </c>
      <c r="BP902" s="27" t="s">
        <v>7</v>
      </c>
      <c r="BQ902" s="27" t="s">
        <v>8</v>
      </c>
      <c r="BR902" s="27" t="s">
        <v>7</v>
      </c>
      <c r="BS902" s="27" t="s">
        <v>8</v>
      </c>
      <c r="BT902" s="27" t="s">
        <v>7</v>
      </c>
    </row>
    <row r="903" spans="1:109" x14ac:dyDescent="0.25">
      <c r="A903" s="7">
        <v>1.9157803888655755E-3</v>
      </c>
      <c r="B903"/>
      <c r="C903"/>
      <c r="D903"/>
      <c r="E903"/>
      <c r="J903" s="27" t="s">
        <v>7</v>
      </c>
      <c r="K903" s="27" t="s">
        <v>8</v>
      </c>
      <c r="L903" s="27" t="s">
        <v>7</v>
      </c>
      <c r="M903" s="27" t="s">
        <v>8</v>
      </c>
      <c r="N903" s="27" t="s">
        <v>7</v>
      </c>
      <c r="O903" s="27" t="s">
        <v>8</v>
      </c>
      <c r="AV903" s="27" t="s">
        <v>7</v>
      </c>
      <c r="BD903" s="27" t="s">
        <v>7</v>
      </c>
      <c r="BL903" s="27" t="s">
        <v>7</v>
      </c>
      <c r="BM903" s="27" t="s">
        <v>8</v>
      </c>
      <c r="BN903" s="27" t="s">
        <v>7</v>
      </c>
      <c r="BO903" s="27" t="s">
        <v>8</v>
      </c>
      <c r="BP903" s="27" t="s">
        <v>7</v>
      </c>
      <c r="BQ903" s="27" t="s">
        <v>8</v>
      </c>
      <c r="BR903" s="27" t="s">
        <v>7</v>
      </c>
    </row>
    <row r="904" spans="1:109" x14ac:dyDescent="0.25">
      <c r="A904" s="7">
        <v>1.8782160675152703E-3</v>
      </c>
      <c r="B904"/>
      <c r="C904"/>
      <c r="D904"/>
      <c r="E904"/>
      <c r="J904" s="27" t="s">
        <v>7</v>
      </c>
      <c r="K904" s="27" t="s">
        <v>8</v>
      </c>
      <c r="L904" s="27" t="s">
        <v>7</v>
      </c>
      <c r="M904" s="27" t="s">
        <v>8</v>
      </c>
      <c r="N904" s="27" t="s">
        <v>7</v>
      </c>
      <c r="O904" s="27" t="s">
        <v>8</v>
      </c>
      <c r="BL904" s="27" t="s">
        <v>7</v>
      </c>
      <c r="BM904" s="27" t="s">
        <v>8</v>
      </c>
      <c r="BN904" s="27" t="s">
        <v>7</v>
      </c>
      <c r="BP904" s="27" t="s">
        <v>7</v>
      </c>
      <c r="BQ904" s="27" t="s">
        <v>8</v>
      </c>
    </row>
    <row r="905" spans="1:109" x14ac:dyDescent="0.25">
      <c r="A905" s="7">
        <v>1.8413883014855592E-3</v>
      </c>
      <c r="B905"/>
      <c r="C905"/>
      <c r="D905"/>
      <c r="E905"/>
      <c r="J905" s="27" t="s">
        <v>7</v>
      </c>
      <c r="K905" s="27" t="s">
        <v>8</v>
      </c>
      <c r="L905" s="27" t="s">
        <v>7</v>
      </c>
      <c r="N905" s="27" t="s">
        <v>7</v>
      </c>
      <c r="BL905" s="27" t="s">
        <v>7</v>
      </c>
      <c r="BP905" s="27" t="s">
        <v>7</v>
      </c>
      <c r="BQ905" s="27" t="s">
        <v>8</v>
      </c>
    </row>
    <row r="906" spans="1:109" x14ac:dyDescent="0.25">
      <c r="A906" s="7">
        <v>1.8052826485152542E-3</v>
      </c>
      <c r="B906"/>
      <c r="C906"/>
      <c r="D906"/>
      <c r="E906"/>
      <c r="J906" s="27" t="s">
        <v>7</v>
      </c>
      <c r="BP906" s="27" t="s">
        <v>7</v>
      </c>
      <c r="BQ906" s="27" t="s">
        <v>8</v>
      </c>
    </row>
    <row r="907" spans="1:109" x14ac:dyDescent="0.25">
      <c r="A907" s="7">
        <v>1.7698849495247592E-3</v>
      </c>
      <c r="B907"/>
      <c r="C907"/>
      <c r="D907"/>
      <c r="E907"/>
      <c r="BP907" s="27" t="s">
        <v>7</v>
      </c>
    </row>
    <row r="908" spans="1:109" x14ac:dyDescent="0.25">
      <c r="A908" s="7">
        <v>1.7351813230634893E-3</v>
      </c>
      <c r="B908"/>
      <c r="C908"/>
      <c r="D908"/>
      <c r="E908"/>
    </row>
    <row r="909" spans="1:109" x14ac:dyDescent="0.25">
      <c r="A909" s="7">
        <v>1.701158159866166E-3</v>
      </c>
      <c r="B909"/>
      <c r="C909"/>
      <c r="D909"/>
      <c r="E909"/>
    </row>
    <row r="910" spans="1:109" x14ac:dyDescent="0.25">
      <c r="A910" s="7">
        <v>1.6678021175158492E-3</v>
      </c>
      <c r="B910"/>
      <c r="C910"/>
      <c r="D910"/>
      <c r="E910"/>
    </row>
    <row r="911" spans="1:109" x14ac:dyDescent="0.25">
      <c r="A911" s="7">
        <v>1.6351001152116167E-3</v>
      </c>
      <c r="B911"/>
      <c r="C911"/>
      <c r="D911"/>
      <c r="E911"/>
    </row>
    <row r="912" spans="1:109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01" operator="equal">
      <formula>$U$1</formula>
    </cfRule>
    <cfRule type="cellIs" dxfId="89" priority="1002" operator="equal">
      <formula>$S$1</formula>
    </cfRule>
  </conditionalFormatting>
  <conditionalFormatting sqref="D27">
    <cfRule type="cellIs" dxfId="88" priority="999" operator="equal">
      <formula>$S$1</formula>
    </cfRule>
    <cfRule type="cellIs" dxfId="87" priority="1000" operator="equal">
      <formula>$U$1</formula>
    </cfRule>
  </conditionalFormatting>
  <conditionalFormatting sqref="C164">
    <cfRule type="cellIs" dxfId="86" priority="997" operator="equal">
      <formula>$U$1</formula>
    </cfRule>
    <cfRule type="cellIs" dxfId="85" priority="998" operator="equal">
      <formula>$S$1</formula>
    </cfRule>
  </conditionalFormatting>
  <conditionalFormatting sqref="D164">
    <cfRule type="cellIs" dxfId="84" priority="995" operator="equal">
      <formula>$S$1</formula>
    </cfRule>
    <cfRule type="cellIs" dxfId="83" priority="996" operator="equal">
      <formula>$U$1</formula>
    </cfRule>
  </conditionalFormatting>
  <conditionalFormatting sqref="C55">
    <cfRule type="cellIs" dxfId="82" priority="993" operator="equal">
      <formula>$U$1</formula>
    </cfRule>
    <cfRule type="cellIs" dxfId="81" priority="994" operator="equal">
      <formula>$S$1</formula>
    </cfRule>
  </conditionalFormatting>
  <conditionalFormatting sqref="D55">
    <cfRule type="cellIs" dxfId="80" priority="991" operator="equal">
      <formula>$S$1</formula>
    </cfRule>
    <cfRule type="cellIs" dxfId="79" priority="992" operator="equal">
      <formula>$U$1</formula>
    </cfRule>
  </conditionalFormatting>
  <conditionalFormatting sqref="C89">
    <cfRule type="cellIs" dxfId="78" priority="989" operator="equal">
      <formula>$U$1</formula>
    </cfRule>
    <cfRule type="cellIs" dxfId="77" priority="990" operator="equal">
      <formula>$S$1</formula>
    </cfRule>
  </conditionalFormatting>
  <conditionalFormatting sqref="D89">
    <cfRule type="cellIs" dxfId="76" priority="987" operator="equal">
      <formula>$S$1</formula>
    </cfRule>
    <cfRule type="cellIs" dxfId="75" priority="988" operator="equal">
      <formula>$U$1</formula>
    </cfRule>
  </conditionalFormatting>
  <conditionalFormatting sqref="C136">
    <cfRule type="cellIs" dxfId="74" priority="985" operator="equal">
      <formula>$U$1</formula>
    </cfRule>
    <cfRule type="cellIs" dxfId="73" priority="986" operator="equal">
      <formula>$S$1</formula>
    </cfRule>
  </conditionalFormatting>
  <conditionalFormatting sqref="D136">
    <cfRule type="cellIs" dxfId="72" priority="983" operator="equal">
      <formula>$S$1</formula>
    </cfRule>
    <cfRule type="cellIs" dxfId="71" priority="984" operator="equal">
      <formula>$U$1</formula>
    </cfRule>
  </conditionalFormatting>
  <conditionalFormatting sqref="C1">
    <cfRule type="cellIs" dxfId="70" priority="98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94" zoomScale="90" zoomScaleNormal="90" workbookViewId="0">
      <pane xSplit="4" topLeftCell="CM1" activePane="topRight" state="frozen"/>
      <selection activeCell="A109" sqref="A109"/>
      <selection pane="topRight" activeCell="EO327" sqref="EO32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$A$326</v>
      </c>
      <c r="D111" s="1" t="str">
        <f>ADDRESS(C121-1,D121,1,1)</f>
        <v>$EO$326</v>
      </c>
      <c r="E111"/>
    </row>
    <row r="112" spans="1:5" x14ac:dyDescent="0.25">
      <c r="A112" s="30">
        <v>515.50191262726139</v>
      </c>
      <c r="C112" s="1" t="str">
        <f>ADDRESS(C121,1,1,1)</f>
        <v>$A$327</v>
      </c>
      <c r="D112" s="1" t="str">
        <f>ADDRESS(C121,D121-1,1,1)</f>
        <v>$EN$327</v>
      </c>
      <c r="E112"/>
    </row>
    <row r="113" spans="1:5" x14ac:dyDescent="0.25">
      <c r="A113" s="30">
        <v>490.95420250215363</v>
      </c>
      <c r="C113" s="1" t="str">
        <f>ADDRESS(C121+1,1,1,1)</f>
        <v>$A$328</v>
      </c>
      <c r="D113" s="1" t="str">
        <f>ADDRESS(C121-1,D121+1,1,1)</f>
        <v>$EP$326</v>
      </c>
    </row>
    <row r="114" spans="1:5" x14ac:dyDescent="0.25">
      <c r="A114" s="30">
        <v>467.57543095443202</v>
      </c>
      <c r="C114" s="1" t="str">
        <f>ADDRESS(C121,D121,1,1)</f>
        <v>$EO$327</v>
      </c>
      <c r="D114" s="1" t="str">
        <f>ADDRESS(C121+1,D121+1,1,1)</f>
        <v>$EP$328</v>
      </c>
    </row>
    <row r="115" spans="1:5" x14ac:dyDescent="0.25">
      <c r="A115" s="30">
        <v>445.30993424231622</v>
      </c>
      <c r="C115" s="1" t="str">
        <f>ADDRESS(C121+1,D121,1,1)</f>
        <v>$EO$328</v>
      </c>
    </row>
    <row r="116" spans="1:5" x14ac:dyDescent="0.25">
      <c r="A116" s="30">
        <v>424.10469927839637</v>
      </c>
      <c r="C116" s="1">
        <f>C117-1</f>
        <v>326</v>
      </c>
    </row>
    <row r="117" spans="1:5" x14ac:dyDescent="0.25">
      <c r="A117" s="30">
        <v>403.9092374079965</v>
      </c>
      <c r="C117" s="1">
        <f>C121</f>
        <v>327</v>
      </c>
      <c r="D117" s="1">
        <f>D121</f>
        <v>145</v>
      </c>
    </row>
    <row r="118" spans="1:5" x14ac:dyDescent="0.25">
      <c r="A118" s="30">
        <v>384.6754641980919</v>
      </c>
      <c r="C118" s="1">
        <f>C117+1</f>
        <v>328</v>
      </c>
      <c r="D118" s="1">
        <f>D117+1</f>
        <v>146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327</v>
      </c>
      <c r="D121" s="19">
        <v>145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R327</v>
      </c>
      <c r="D123" s="1" t="str">
        <f>"C"&amp;D121</f>
        <v>C145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1.4339400042295308E-2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9" x14ac:dyDescent="0.25">
      <c r="A273" s="30">
        <v>0.19987253960121379</v>
      </c>
      <c r="B273"/>
      <c r="C273"/>
      <c r="D273"/>
      <c r="E273"/>
      <c r="F273" s="27" t="s">
        <v>7</v>
      </c>
    </row>
    <row r="274" spans="1:69" x14ac:dyDescent="0.25">
      <c r="A274" s="30">
        <v>0.19035479962020352</v>
      </c>
      <c r="B274"/>
      <c r="C274"/>
      <c r="D274"/>
      <c r="E274"/>
      <c r="F274" s="27" t="s">
        <v>7</v>
      </c>
    </row>
    <row r="275" spans="1:69" x14ac:dyDescent="0.25">
      <c r="A275" s="30">
        <v>0.18129028535257471</v>
      </c>
      <c r="B275"/>
      <c r="C275"/>
      <c r="D275"/>
      <c r="E275"/>
      <c r="F275" s="27" t="s">
        <v>7</v>
      </c>
    </row>
    <row r="276" spans="1:69" x14ac:dyDescent="0.25">
      <c r="A276" s="30">
        <v>0.17265741462149967</v>
      </c>
      <c r="B276"/>
      <c r="C276"/>
      <c r="D276"/>
      <c r="E276"/>
      <c r="F276" s="27" t="s">
        <v>7</v>
      </c>
    </row>
    <row r="277" spans="1:69" x14ac:dyDescent="0.25">
      <c r="A277" s="30">
        <v>0.16443563297285677</v>
      </c>
      <c r="B277"/>
      <c r="C277"/>
      <c r="D277"/>
      <c r="E277"/>
      <c r="F277" s="27" t="s">
        <v>7</v>
      </c>
    </row>
    <row r="278" spans="1:69" x14ac:dyDescent="0.25">
      <c r="A278" s="30">
        <v>0.15660536473605399</v>
      </c>
      <c r="B278"/>
      <c r="C278"/>
      <c r="D278"/>
      <c r="E278"/>
      <c r="F278" s="27" t="s">
        <v>7</v>
      </c>
    </row>
    <row r="279" spans="1:69" x14ac:dyDescent="0.25">
      <c r="A279" s="30">
        <v>0.14914796641528946</v>
      </c>
      <c r="B279"/>
      <c r="C279"/>
      <c r="D279"/>
      <c r="E279"/>
      <c r="F279" s="27" t="s">
        <v>7</v>
      </c>
    </row>
    <row r="280" spans="1:69" x14ac:dyDescent="0.25">
      <c r="A280" s="30">
        <v>0.14204568230027562</v>
      </c>
      <c r="B280"/>
      <c r="C280"/>
      <c r="D280"/>
      <c r="E280"/>
      <c r="F280" s="27" t="s">
        <v>7</v>
      </c>
    </row>
    <row r="281" spans="1:69" x14ac:dyDescent="0.25">
      <c r="A281" s="30">
        <v>0.13528160219073862</v>
      </c>
      <c r="B281"/>
      <c r="C281"/>
      <c r="D281"/>
      <c r="E281"/>
      <c r="F281" s="27" t="s">
        <v>7</v>
      </c>
    </row>
    <row r="282" spans="1:69" x14ac:dyDescent="0.25">
      <c r="A282" s="30">
        <v>0.12883962113403674</v>
      </c>
      <c r="B282"/>
      <c r="C282"/>
      <c r="D282"/>
      <c r="E282"/>
      <c r="F282" s="27" t="s">
        <v>7</v>
      </c>
    </row>
    <row r="283" spans="1:69" x14ac:dyDescent="0.25">
      <c r="A283" s="30">
        <v>0.12270440108003494</v>
      </c>
      <c r="B283"/>
      <c r="C283"/>
      <c r="D283"/>
      <c r="E283"/>
      <c r="F283" s="27" t="s">
        <v>7</v>
      </c>
    </row>
    <row r="284" spans="1:69" x14ac:dyDescent="0.25">
      <c r="A284" s="30">
        <v>0.11686133436193799</v>
      </c>
      <c r="B284"/>
      <c r="C284"/>
      <c r="D284"/>
      <c r="E284"/>
      <c r="F284" s="27" t="s">
        <v>7</v>
      </c>
    </row>
    <row r="285" spans="1:69" x14ac:dyDescent="0.25">
      <c r="A285" s="30">
        <v>0.11129650891613138</v>
      </c>
      <c r="B285"/>
      <c r="C285"/>
      <c r="D285"/>
      <c r="E285"/>
      <c r="F285" s="27" t="s">
        <v>7</v>
      </c>
    </row>
    <row r="286" spans="1:69" x14ac:dyDescent="0.25">
      <c r="A286" s="30">
        <v>0.10599667515822032</v>
      </c>
      <c r="B286"/>
      <c r="C286"/>
      <c r="D286"/>
      <c r="E286"/>
      <c r="F286" s="27" t="s">
        <v>7</v>
      </c>
    </row>
    <row r="287" spans="1:69" x14ac:dyDescent="0.25">
      <c r="A287" s="30">
        <v>0.10094921443640027</v>
      </c>
      <c r="B287"/>
      <c r="C287"/>
      <c r="D287"/>
      <c r="E287"/>
      <c r="F287" s="27" t="s">
        <v>7</v>
      </c>
    </row>
    <row r="288" spans="1:69" x14ac:dyDescent="0.25">
      <c r="A288" s="30">
        <v>9.6142108987047836E-2</v>
      </c>
      <c r="B288"/>
      <c r="C288"/>
      <c r="D288"/>
      <c r="E288"/>
      <c r="F288" s="27" t="s">
        <v>7</v>
      </c>
      <c r="BQ288" s="27" t="s">
        <v>8</v>
      </c>
    </row>
    <row r="289" spans="1:118" x14ac:dyDescent="0.25">
      <c r="A289" s="30">
        <v>9.1563913320997906E-2</v>
      </c>
      <c r="B289"/>
      <c r="C289"/>
      <c r="D289"/>
      <c r="E289"/>
      <c r="F289" s="27" t="s">
        <v>7</v>
      </c>
      <c r="BQ289" s="27" t="s">
        <v>8</v>
      </c>
      <c r="BR289" s="27" t="s">
        <v>7</v>
      </c>
    </row>
    <row r="290" spans="1:118" x14ac:dyDescent="0.25">
      <c r="A290" s="30">
        <v>8.7203726972378923E-2</v>
      </c>
      <c r="B290"/>
      <c r="C290"/>
      <c r="D290"/>
      <c r="E290"/>
      <c r="F290" s="27" t="s">
        <v>7</v>
      </c>
      <c r="BO290" s="27" t="s">
        <v>8</v>
      </c>
      <c r="BQ290" s="27" t="s">
        <v>8</v>
      </c>
      <c r="BR290" s="27" t="s">
        <v>7</v>
      </c>
    </row>
    <row r="291" spans="1:118" x14ac:dyDescent="0.25">
      <c r="A291" s="30">
        <v>8.3051168545122747E-2</v>
      </c>
      <c r="B291"/>
      <c r="C291"/>
      <c r="D291"/>
      <c r="E291"/>
      <c r="F291" s="27" t="s">
        <v>7</v>
      </c>
      <c r="BO291" s="27" t="s">
        <v>8</v>
      </c>
      <c r="BP291" s="27" t="s">
        <v>7</v>
      </c>
      <c r="BQ291" s="27" t="s">
        <v>8</v>
      </c>
      <c r="BR291" s="27" t="s">
        <v>7</v>
      </c>
    </row>
    <row r="292" spans="1:118" x14ac:dyDescent="0.25">
      <c r="A292" s="30">
        <v>7.9096350995354961E-2</v>
      </c>
      <c r="B292"/>
      <c r="C292"/>
      <c r="D292"/>
      <c r="E292"/>
      <c r="F292" s="27" t="s">
        <v>7</v>
      </c>
      <c r="BK292" s="27" t="s">
        <v>8</v>
      </c>
      <c r="BO292" s="27" t="s">
        <v>8</v>
      </c>
      <c r="BP292" s="27" t="s">
        <v>7</v>
      </c>
      <c r="BQ292" s="27" t="s">
        <v>8</v>
      </c>
      <c r="BR292" s="27" t="s">
        <v>7</v>
      </c>
      <c r="BS292" s="27" t="s">
        <v>8</v>
      </c>
    </row>
    <row r="293" spans="1:118" x14ac:dyDescent="0.25">
      <c r="A293" s="30">
        <v>7.5329858090814217E-2</v>
      </c>
      <c r="B293"/>
      <c r="C293"/>
      <c r="D293"/>
      <c r="E293"/>
      <c r="F293" s="27" t="s">
        <v>7</v>
      </c>
      <c r="BK293" s="27" t="s">
        <v>8</v>
      </c>
      <c r="BL293" s="27" t="s">
        <v>7</v>
      </c>
      <c r="BO293" s="27" t="s">
        <v>8</v>
      </c>
      <c r="BP293" s="27" t="s">
        <v>7</v>
      </c>
      <c r="BQ293" s="27" t="s">
        <v>8</v>
      </c>
      <c r="BR293" s="27" t="s">
        <v>7</v>
      </c>
      <c r="BS293" s="27" t="s">
        <v>8</v>
      </c>
      <c r="BT293" s="27" t="s">
        <v>7</v>
      </c>
    </row>
    <row r="294" spans="1:118" x14ac:dyDescent="0.25">
      <c r="A294" s="30">
        <v>7.1742721991251604E-2</v>
      </c>
      <c r="B294"/>
      <c r="C294"/>
      <c r="D294"/>
      <c r="E294"/>
      <c r="F294" s="27" t="s">
        <v>7</v>
      </c>
      <c r="BK294" s="27" t="s">
        <v>8</v>
      </c>
      <c r="BL294" s="27" t="s">
        <v>7</v>
      </c>
      <c r="BO294" s="27" t="s">
        <v>8</v>
      </c>
      <c r="BP294" s="27" t="s">
        <v>7</v>
      </c>
      <c r="BR294" s="27" t="s">
        <v>7</v>
      </c>
      <c r="BS294" s="27" t="s">
        <v>8</v>
      </c>
      <c r="BT294" s="27" t="s">
        <v>7</v>
      </c>
      <c r="BU294" s="27" t="s">
        <v>8</v>
      </c>
    </row>
    <row r="295" spans="1:118" x14ac:dyDescent="0.25">
      <c r="A295" s="30">
        <v>6.8326401896430078E-2</v>
      </c>
      <c r="B295"/>
      <c r="C295"/>
      <c r="D295"/>
      <c r="E295"/>
      <c r="F295" s="27" t="s">
        <v>7</v>
      </c>
      <c r="BK295" s="27" t="s">
        <v>8</v>
      </c>
      <c r="BL295" s="27" t="s">
        <v>7</v>
      </c>
      <c r="BO295" s="27" t="s">
        <v>8</v>
      </c>
      <c r="BR295" s="27" t="s">
        <v>7</v>
      </c>
      <c r="BS295" s="27" t="s">
        <v>8</v>
      </c>
      <c r="BT295" s="27" t="s">
        <v>7</v>
      </c>
      <c r="BU295" s="27" t="s">
        <v>8</v>
      </c>
      <c r="BV295" s="27" t="s">
        <v>7</v>
      </c>
    </row>
    <row r="296" spans="1:118" x14ac:dyDescent="0.25">
      <c r="A296" s="30">
        <v>6.5072763710885759E-2</v>
      </c>
      <c r="B296"/>
      <c r="C296"/>
      <c r="D296"/>
      <c r="E296"/>
      <c r="F296" s="27" t="s">
        <v>7</v>
      </c>
      <c r="BK296" s="27" t="s">
        <v>8</v>
      </c>
      <c r="BL296" s="27" t="s">
        <v>7</v>
      </c>
      <c r="BM296" s="27" t="s">
        <v>8</v>
      </c>
      <c r="BO296" s="27" t="s">
        <v>8</v>
      </c>
      <c r="BR296" s="27" t="s">
        <v>7</v>
      </c>
      <c r="BS296" s="27" t="s">
        <v>8</v>
      </c>
      <c r="BT296" s="27" t="s">
        <v>7</v>
      </c>
      <c r="BU296" s="27" t="s">
        <v>8</v>
      </c>
      <c r="BV296" s="27" t="s">
        <v>7</v>
      </c>
    </row>
    <row r="297" spans="1:118" x14ac:dyDescent="0.25">
      <c r="A297" s="30">
        <v>6.197406067703403E-2</v>
      </c>
      <c r="B297"/>
      <c r="C297"/>
      <c r="D297"/>
      <c r="E297"/>
      <c r="F297" s="27" t="s">
        <v>7</v>
      </c>
      <c r="BK297" s="27" t="s">
        <v>8</v>
      </c>
      <c r="BL297" s="27" t="s">
        <v>7</v>
      </c>
      <c r="BM297" s="27" t="s">
        <v>8</v>
      </c>
      <c r="BN297" s="27" t="s">
        <v>7</v>
      </c>
      <c r="BO297" s="27" t="s">
        <v>8</v>
      </c>
      <c r="BR297" s="27" t="s">
        <v>7</v>
      </c>
      <c r="BS297" s="27" t="s">
        <v>8</v>
      </c>
      <c r="BT297" s="27" t="s">
        <v>7</v>
      </c>
      <c r="BU297" s="27" t="s">
        <v>8</v>
      </c>
      <c r="BV297" s="27" t="s">
        <v>7</v>
      </c>
      <c r="CE297" s="27" t="s">
        <v>8</v>
      </c>
    </row>
    <row r="298" spans="1:118" x14ac:dyDescent="0.25">
      <c r="A298" s="30">
        <v>5.9022914930508576E-2</v>
      </c>
      <c r="B298"/>
      <c r="C298"/>
      <c r="D298"/>
      <c r="E298"/>
      <c r="F298" s="27" t="s">
        <v>7</v>
      </c>
      <c r="BK298" s="27" t="s">
        <v>8</v>
      </c>
      <c r="BL298" s="27" t="s">
        <v>7</v>
      </c>
      <c r="BM298" s="27" t="s">
        <v>8</v>
      </c>
      <c r="BN298" s="27" t="s">
        <v>7</v>
      </c>
      <c r="BO298" s="27" t="s">
        <v>8</v>
      </c>
      <c r="BR298" s="27" t="s">
        <v>7</v>
      </c>
      <c r="BT298" s="27" t="s">
        <v>7</v>
      </c>
      <c r="BV298" s="27" t="s">
        <v>7</v>
      </c>
      <c r="CE298" s="27" t="s">
        <v>8</v>
      </c>
      <c r="CF298" s="27" t="s">
        <v>7</v>
      </c>
    </row>
    <row r="299" spans="1:118" x14ac:dyDescent="0.25">
      <c r="A299" s="30">
        <v>5.6212299933817669E-2</v>
      </c>
      <c r="B299"/>
      <c r="C299"/>
      <c r="D299"/>
      <c r="E299"/>
      <c r="F299" s="27" t="s">
        <v>7</v>
      </c>
      <c r="BK299" s="27" t="s">
        <v>8</v>
      </c>
      <c r="BL299" s="27" t="s">
        <v>7</v>
      </c>
      <c r="BM299" s="27" t="s">
        <v>8</v>
      </c>
      <c r="BN299" s="27" t="s">
        <v>7</v>
      </c>
      <c r="BO299" s="27" t="s">
        <v>8</v>
      </c>
      <c r="BV299" s="27" t="s">
        <v>7</v>
      </c>
      <c r="BW299" s="27" t="s">
        <v>8</v>
      </c>
      <c r="CC299" s="27" t="s">
        <v>8</v>
      </c>
      <c r="CE299" s="27" t="s">
        <v>8</v>
      </c>
      <c r="CF299" s="27" t="s">
        <v>7</v>
      </c>
      <c r="DM299" s="27" t="s">
        <v>8</v>
      </c>
    </row>
    <row r="300" spans="1:118" x14ac:dyDescent="0.25">
      <c r="A300" s="30">
        <v>5.3535523746492994E-2</v>
      </c>
      <c r="B300"/>
      <c r="C300"/>
      <c r="D300"/>
      <c r="E300"/>
      <c r="F300" s="27" t="s">
        <v>7</v>
      </c>
      <c r="BK300" s="27" t="s">
        <v>8</v>
      </c>
      <c r="BL300" s="27" t="s">
        <v>7</v>
      </c>
      <c r="BM300" s="27" t="s">
        <v>8</v>
      </c>
      <c r="BN300" s="27" t="s">
        <v>7</v>
      </c>
      <c r="BO300" s="27" t="s">
        <v>8</v>
      </c>
      <c r="BV300" s="27" t="s">
        <v>7</v>
      </c>
      <c r="BW300" s="27" t="s">
        <v>8</v>
      </c>
      <c r="BX300" s="27" t="s">
        <v>7</v>
      </c>
      <c r="BY300" s="27" t="s">
        <v>8</v>
      </c>
      <c r="CC300" s="27" t="s">
        <v>8</v>
      </c>
      <c r="CD300" s="27" t="s">
        <v>7</v>
      </c>
      <c r="CE300" s="27" t="s">
        <v>8</v>
      </c>
      <c r="CF300" s="27" t="s">
        <v>7</v>
      </c>
      <c r="CG300" s="27" t="s">
        <v>8</v>
      </c>
      <c r="DM300" s="27" t="s">
        <v>8</v>
      </c>
      <c r="DN300" s="27" t="s">
        <v>7</v>
      </c>
    </row>
    <row r="301" spans="1:118" x14ac:dyDescent="0.25">
      <c r="A301" s="30">
        <v>5.0986213091898068E-2</v>
      </c>
      <c r="B301"/>
      <c r="C301"/>
      <c r="D301"/>
      <c r="E301"/>
      <c r="F301" s="27" t="s">
        <v>7</v>
      </c>
      <c r="BK301" s="27" t="s">
        <v>8</v>
      </c>
      <c r="BL301" s="27" t="s">
        <v>7</v>
      </c>
      <c r="BM301" s="27" t="s">
        <v>8</v>
      </c>
      <c r="BN301" s="27" t="s">
        <v>7</v>
      </c>
      <c r="BO301" s="27" t="s">
        <v>8</v>
      </c>
      <c r="BV301" s="27" t="s">
        <v>7</v>
      </c>
      <c r="BW301" s="27" t="s">
        <v>8</v>
      </c>
      <c r="BX301" s="27" t="s">
        <v>7</v>
      </c>
      <c r="BY301" s="27" t="s">
        <v>8</v>
      </c>
      <c r="BZ301" s="27" t="s">
        <v>7</v>
      </c>
      <c r="CC301" s="27" t="s">
        <v>8</v>
      </c>
      <c r="CD301" s="27" t="s">
        <v>7</v>
      </c>
      <c r="CE301" s="27" t="s">
        <v>8</v>
      </c>
      <c r="CF301" s="27" t="s">
        <v>7</v>
      </c>
      <c r="CG301" s="27" t="s">
        <v>8</v>
      </c>
      <c r="CH301" s="27" t="s">
        <v>7</v>
      </c>
      <c r="DM301" s="27" t="s">
        <v>8</v>
      </c>
      <c r="DN301" s="27" t="s">
        <v>7</v>
      </c>
    </row>
    <row r="302" spans="1:118" x14ac:dyDescent="0.25">
      <c r="A302" s="30">
        <v>4.8558298182760043E-2</v>
      </c>
      <c r="B302"/>
      <c r="C302"/>
      <c r="D302"/>
      <c r="E302"/>
      <c r="F302" s="27" t="s">
        <v>7</v>
      </c>
      <c r="BK302" s="27" t="s">
        <v>8</v>
      </c>
      <c r="BL302" s="27" t="s">
        <v>7</v>
      </c>
      <c r="BM302" s="27" t="s">
        <v>8</v>
      </c>
      <c r="BN302" s="27" t="s">
        <v>7</v>
      </c>
      <c r="BV302" s="27" t="s">
        <v>7</v>
      </c>
      <c r="BW302" s="27" t="s">
        <v>8</v>
      </c>
      <c r="BX302" s="27" t="s">
        <v>7</v>
      </c>
      <c r="BY302" s="27" t="s">
        <v>8</v>
      </c>
      <c r="BZ302" s="27" t="s">
        <v>7</v>
      </c>
      <c r="CA302" s="27" t="s">
        <v>8</v>
      </c>
      <c r="CC302" s="27" t="s">
        <v>8</v>
      </c>
      <c r="CD302" s="27" t="s">
        <v>7</v>
      </c>
      <c r="CF302" s="27" t="s">
        <v>7</v>
      </c>
      <c r="CG302" s="27" t="s">
        <v>8</v>
      </c>
      <c r="CH302" s="27" t="s">
        <v>7</v>
      </c>
      <c r="DM302" s="27" t="s">
        <v>8</v>
      </c>
      <c r="DN302" s="27" t="s">
        <v>7</v>
      </c>
    </row>
    <row r="303" spans="1:118" x14ac:dyDescent="0.25">
      <c r="A303" s="30">
        <v>4.6245998269295263E-2</v>
      </c>
      <c r="B303"/>
      <c r="C303"/>
      <c r="D303"/>
      <c r="E303"/>
      <c r="F303" s="27" t="s">
        <v>7</v>
      </c>
      <c r="BK303" s="27" t="s">
        <v>8</v>
      </c>
      <c r="BL303" s="27" t="s">
        <v>7</v>
      </c>
      <c r="BM303" s="27" t="s">
        <v>8</v>
      </c>
      <c r="BV303" s="27" t="s">
        <v>7</v>
      </c>
      <c r="BX303" s="27" t="s">
        <v>7</v>
      </c>
      <c r="BY303" s="27" t="s">
        <v>8</v>
      </c>
      <c r="BZ303" s="27" t="s">
        <v>7</v>
      </c>
      <c r="CA303" s="27" t="s">
        <v>8</v>
      </c>
      <c r="CB303" s="27" t="s">
        <v>7</v>
      </c>
      <c r="CC303" s="27" t="s">
        <v>8</v>
      </c>
      <c r="CF303" s="27" t="s">
        <v>7</v>
      </c>
      <c r="CG303" s="27" t="s">
        <v>8</v>
      </c>
      <c r="CH303" s="27" t="s">
        <v>7</v>
      </c>
      <c r="DM303" s="27" t="s">
        <v>8</v>
      </c>
      <c r="DN303" s="27" t="s">
        <v>7</v>
      </c>
    </row>
    <row r="304" spans="1:118" x14ac:dyDescent="0.25">
      <c r="A304" s="30">
        <v>4.4043807875519279E-2</v>
      </c>
      <c r="B304"/>
      <c r="C304"/>
      <c r="D304"/>
      <c r="E304"/>
      <c r="F304" s="27" t="s">
        <v>7</v>
      </c>
      <c r="BK304" s="27" t="s">
        <v>8</v>
      </c>
      <c r="BL304" s="27" t="s">
        <v>7</v>
      </c>
      <c r="BX304" s="27" t="s">
        <v>7</v>
      </c>
      <c r="BY304" s="27" t="s">
        <v>8</v>
      </c>
      <c r="BZ304" s="27" t="s">
        <v>7</v>
      </c>
      <c r="CA304" s="27" t="s">
        <v>8</v>
      </c>
      <c r="CB304" s="27" t="s">
        <v>7</v>
      </c>
      <c r="CC304" s="27" t="s">
        <v>8</v>
      </c>
      <c r="CF304" s="27" t="s">
        <v>7</v>
      </c>
      <c r="CG304" s="27" t="s">
        <v>8</v>
      </c>
      <c r="CH304" s="27" t="s">
        <v>7</v>
      </c>
      <c r="DM304" s="27" t="s">
        <v>8</v>
      </c>
      <c r="DN304" s="27" t="s">
        <v>7</v>
      </c>
    </row>
    <row r="305" spans="1:143" x14ac:dyDescent="0.25">
      <c r="A305" s="30">
        <v>4.1946483690970725E-2</v>
      </c>
      <c r="B305"/>
      <c r="C305"/>
      <c r="D305"/>
      <c r="E305"/>
      <c r="F305" s="27" t="s">
        <v>7</v>
      </c>
      <c r="BK305" s="27" t="s">
        <v>8</v>
      </c>
      <c r="BX305" s="27" t="s">
        <v>7</v>
      </c>
      <c r="BZ305" s="27" t="s">
        <v>7</v>
      </c>
      <c r="CA305" s="27" t="s">
        <v>8</v>
      </c>
      <c r="CB305" s="27" t="s">
        <v>7</v>
      </c>
      <c r="CC305" s="27" t="s">
        <v>8</v>
      </c>
      <c r="CF305" s="27" t="s">
        <v>7</v>
      </c>
      <c r="CG305" s="27" t="s">
        <v>8</v>
      </c>
      <c r="CH305" s="27" t="s">
        <v>7</v>
      </c>
      <c r="CI305" s="27" t="s">
        <v>8</v>
      </c>
      <c r="DM305" s="27" t="s">
        <v>8</v>
      </c>
      <c r="DN305" s="27" t="s">
        <v>7</v>
      </c>
      <c r="DU305" s="27" t="s">
        <v>8</v>
      </c>
    </row>
    <row r="306" spans="1:143" x14ac:dyDescent="0.25">
      <c r="A306" s="30">
        <v>3.9949032086638768E-2</v>
      </c>
      <c r="B306"/>
      <c r="C306"/>
      <c r="D306"/>
      <c r="E306"/>
      <c r="F306" s="27" t="s">
        <v>7</v>
      </c>
      <c r="BK306" s="27" t="s">
        <v>8</v>
      </c>
      <c r="BZ306" s="27" t="s">
        <v>7</v>
      </c>
      <c r="CA306" s="27" t="s">
        <v>8</v>
      </c>
      <c r="CB306" s="27" t="s">
        <v>7</v>
      </c>
      <c r="CC306" s="27" t="s">
        <v>8</v>
      </c>
      <c r="CF306" s="27" t="s">
        <v>7</v>
      </c>
      <c r="CG306" s="27" t="s">
        <v>8</v>
      </c>
      <c r="CH306" s="27" t="s">
        <v>7</v>
      </c>
      <c r="CI306" s="27" t="s">
        <v>8</v>
      </c>
      <c r="CJ306" s="27" t="s">
        <v>7</v>
      </c>
      <c r="DM306" s="27" t="s">
        <v>8</v>
      </c>
      <c r="DN306" s="27" t="s">
        <v>7</v>
      </c>
      <c r="DU306" s="27" t="s">
        <v>8</v>
      </c>
      <c r="DV306" s="27" t="s">
        <v>7</v>
      </c>
    </row>
    <row r="307" spans="1:143" x14ac:dyDescent="0.25">
      <c r="A307" s="30">
        <v>3.8046697225370241E-2</v>
      </c>
      <c r="B307"/>
      <c r="C307"/>
      <c r="D307"/>
      <c r="E307"/>
      <c r="F307" s="27" t="s">
        <v>7</v>
      </c>
      <c r="BK307" s="27" t="s">
        <v>8</v>
      </c>
      <c r="BZ307" s="27" t="s">
        <v>7</v>
      </c>
      <c r="CA307" s="27" t="s">
        <v>8</v>
      </c>
      <c r="CB307" s="27" t="s">
        <v>7</v>
      </c>
      <c r="CF307" s="27" t="s">
        <v>7</v>
      </c>
      <c r="CH307" s="27" t="s">
        <v>7</v>
      </c>
      <c r="CI307" s="27" t="s">
        <v>8</v>
      </c>
      <c r="CJ307" s="27" t="s">
        <v>7</v>
      </c>
      <c r="DM307" s="27" t="s">
        <v>8</v>
      </c>
      <c r="DN307" s="27" t="s">
        <v>7</v>
      </c>
      <c r="DO307" s="27" t="s">
        <v>8</v>
      </c>
      <c r="DU307" s="27" t="s">
        <v>8</v>
      </c>
      <c r="DV307" s="27" t="s">
        <v>7</v>
      </c>
    </row>
    <row r="308" spans="1:143" x14ac:dyDescent="0.25">
      <c r="A308" s="30">
        <v>3.6234949738447833E-2</v>
      </c>
      <c r="B308"/>
      <c r="C308"/>
      <c r="D308"/>
      <c r="E308"/>
      <c r="F308" s="27" t="s">
        <v>7</v>
      </c>
      <c r="BK308" s="27" t="s">
        <v>8</v>
      </c>
      <c r="BZ308" s="27" t="s">
        <v>7</v>
      </c>
      <c r="CA308" s="27" t="s">
        <v>8</v>
      </c>
      <c r="CH308" s="27" t="s">
        <v>7</v>
      </c>
      <c r="CJ308" s="27" t="s">
        <v>7</v>
      </c>
      <c r="DM308" s="27" t="s">
        <v>8</v>
      </c>
      <c r="DN308" s="27" t="s">
        <v>7</v>
      </c>
      <c r="DO308" s="27" t="s">
        <v>8</v>
      </c>
      <c r="DP308" s="27" t="s">
        <v>7</v>
      </c>
      <c r="DQ308" s="27" t="s">
        <v>8</v>
      </c>
      <c r="DU308" s="27" t="s">
        <v>8</v>
      </c>
      <c r="DV308" s="27" t="s">
        <v>7</v>
      </c>
      <c r="EE308" s="27" t="s">
        <v>8</v>
      </c>
    </row>
    <row r="309" spans="1:143" x14ac:dyDescent="0.25">
      <c r="A309" s="30">
        <v>3.4509475941378875E-2</v>
      </c>
      <c r="B309"/>
      <c r="C309"/>
      <c r="D309"/>
      <c r="E309"/>
      <c r="F309" s="27" t="s">
        <v>7</v>
      </c>
      <c r="BK309" s="27" t="s">
        <v>8</v>
      </c>
      <c r="BZ309" s="27" t="s">
        <v>7</v>
      </c>
      <c r="CA309" s="27" t="s">
        <v>8</v>
      </c>
      <c r="CJ309" s="27" t="s">
        <v>7</v>
      </c>
      <c r="DK309" s="27" t="s">
        <v>8</v>
      </c>
      <c r="DM309" s="27" t="s">
        <v>8</v>
      </c>
      <c r="DN309" s="27" t="s">
        <v>7</v>
      </c>
      <c r="DO309" s="27" t="s">
        <v>8</v>
      </c>
      <c r="DP309" s="27" t="s">
        <v>7</v>
      </c>
      <c r="DQ309" s="27" t="s">
        <v>8</v>
      </c>
      <c r="DR309" s="27" t="s">
        <v>7</v>
      </c>
      <c r="DU309" s="27" t="s">
        <v>8</v>
      </c>
      <c r="DV309" s="27" t="s">
        <v>7</v>
      </c>
      <c r="DW309" s="27" t="s">
        <v>8</v>
      </c>
      <c r="DY309" s="27" t="s">
        <v>8</v>
      </c>
      <c r="EC309" s="27" t="s">
        <v>8</v>
      </c>
      <c r="EE309" s="27" t="s">
        <v>8</v>
      </c>
      <c r="EF309" s="27" t="s">
        <v>7</v>
      </c>
    </row>
    <row r="310" spans="1:143" x14ac:dyDescent="0.25">
      <c r="A310" s="30">
        <v>3.286616756321796E-2</v>
      </c>
      <c r="B310"/>
      <c r="C310"/>
      <c r="D310"/>
      <c r="E310"/>
      <c r="F310" s="27" t="s">
        <v>7</v>
      </c>
      <c r="BK310" s="27" t="s">
        <v>8</v>
      </c>
      <c r="BZ310" s="27" t="s">
        <v>7</v>
      </c>
      <c r="CA310" s="27" t="s">
        <v>8</v>
      </c>
      <c r="CJ310" s="27" t="s">
        <v>7</v>
      </c>
      <c r="CK310" s="27" t="s">
        <v>8</v>
      </c>
      <c r="DG310" s="27" t="s">
        <v>8</v>
      </c>
      <c r="DI310" s="27" t="s">
        <v>8</v>
      </c>
      <c r="DK310" s="27" t="s">
        <v>8</v>
      </c>
      <c r="DL310" s="27" t="s">
        <v>7</v>
      </c>
      <c r="DM310" s="27" t="s">
        <v>8</v>
      </c>
      <c r="DN310" s="27" t="s">
        <v>7</v>
      </c>
      <c r="DO310" s="27" t="s">
        <v>8</v>
      </c>
      <c r="DP310" s="27" t="s">
        <v>7</v>
      </c>
      <c r="DQ310" s="27" t="s">
        <v>8</v>
      </c>
      <c r="DR310" s="27" t="s">
        <v>7</v>
      </c>
      <c r="DU310" s="27" t="s">
        <v>8</v>
      </c>
      <c r="DV310" s="27" t="s">
        <v>7</v>
      </c>
      <c r="DW310" s="27" t="s">
        <v>8</v>
      </c>
      <c r="DX310" s="27" t="s">
        <v>7</v>
      </c>
      <c r="DY310" s="27" t="s">
        <v>8</v>
      </c>
      <c r="DZ310" s="27" t="s">
        <v>7</v>
      </c>
      <c r="EA310" s="27" t="s">
        <v>8</v>
      </c>
      <c r="EC310" s="27" t="s">
        <v>8</v>
      </c>
      <c r="ED310" s="27" t="s">
        <v>7</v>
      </c>
      <c r="EE310" s="27" t="s">
        <v>8</v>
      </c>
      <c r="EF310" s="27" t="s">
        <v>7</v>
      </c>
    </row>
    <row r="311" spans="1:143" x14ac:dyDescent="0.25">
      <c r="A311" s="30">
        <v>3.1301111964969472E-2</v>
      </c>
      <c r="B311"/>
      <c r="C311"/>
      <c r="D311"/>
      <c r="E311"/>
      <c r="F311" s="27" t="s">
        <v>7</v>
      </c>
      <c r="BK311" s="27" t="s">
        <v>8</v>
      </c>
      <c r="BZ311" s="27" t="s">
        <v>7</v>
      </c>
      <c r="CJ311" s="27" t="s">
        <v>7</v>
      </c>
      <c r="CK311" s="27" t="s">
        <v>8</v>
      </c>
      <c r="CL311" s="27" t="s">
        <v>7</v>
      </c>
      <c r="CO311" s="27" t="s">
        <v>8</v>
      </c>
      <c r="DG311" s="27" t="s">
        <v>8</v>
      </c>
      <c r="DH311" s="27" t="s">
        <v>7</v>
      </c>
      <c r="DI311" s="27" t="s">
        <v>8</v>
      </c>
      <c r="DJ311" s="27" t="s">
        <v>7</v>
      </c>
      <c r="DK311" s="27" t="s">
        <v>8</v>
      </c>
      <c r="DL311" s="27" t="s">
        <v>7</v>
      </c>
      <c r="DM311" s="27" t="s">
        <v>8</v>
      </c>
      <c r="DN311" s="27" t="s">
        <v>7</v>
      </c>
      <c r="DO311" s="27" t="s">
        <v>8</v>
      </c>
      <c r="DP311" s="27" t="s">
        <v>7</v>
      </c>
      <c r="DR311" s="27" t="s">
        <v>7</v>
      </c>
      <c r="DU311" s="27" t="s">
        <v>8</v>
      </c>
      <c r="DV311" s="27" t="s">
        <v>7</v>
      </c>
      <c r="DW311" s="27" t="s">
        <v>8</v>
      </c>
      <c r="DX311" s="27" t="s">
        <v>7</v>
      </c>
      <c r="DY311" s="27" t="s">
        <v>8</v>
      </c>
      <c r="DZ311" s="27" t="s">
        <v>7</v>
      </c>
      <c r="EA311" s="27" t="s">
        <v>8</v>
      </c>
      <c r="EB311" s="27" t="s">
        <v>7</v>
      </c>
      <c r="EC311" s="27" t="s">
        <v>8</v>
      </c>
      <c r="ED311" s="27" t="s">
        <v>7</v>
      </c>
      <c r="EE311" s="27" t="s">
        <v>8</v>
      </c>
      <c r="EF311" s="27" t="s">
        <v>7</v>
      </c>
    </row>
    <row r="312" spans="1:143" x14ac:dyDescent="0.25">
      <c r="A312" s="30">
        <v>2.9810582823780438E-2</v>
      </c>
      <c r="B312"/>
      <c r="C312"/>
      <c r="D312"/>
      <c r="E312"/>
      <c r="F312" s="27" t="s">
        <v>7</v>
      </c>
      <c r="BK312" s="27" t="s">
        <v>8</v>
      </c>
      <c r="CJ312" s="27" t="s">
        <v>7</v>
      </c>
      <c r="CK312" s="27" t="s">
        <v>8</v>
      </c>
      <c r="CL312" s="27" t="s">
        <v>7</v>
      </c>
      <c r="CO312" s="27" t="s">
        <v>8</v>
      </c>
      <c r="CP312" s="27" t="s">
        <v>7</v>
      </c>
      <c r="DG312" s="27" t="s">
        <v>8</v>
      </c>
      <c r="DH312" s="27" t="s">
        <v>7</v>
      </c>
      <c r="DI312" s="27" t="s">
        <v>8</v>
      </c>
      <c r="DJ312" s="27" t="s">
        <v>7</v>
      </c>
      <c r="DK312" s="27" t="s">
        <v>8</v>
      </c>
      <c r="DL312" s="27" t="s">
        <v>7</v>
      </c>
      <c r="DM312" s="27" t="s">
        <v>8</v>
      </c>
      <c r="DN312" s="27" t="s">
        <v>7</v>
      </c>
      <c r="DR312" s="31" t="s">
        <v>7</v>
      </c>
      <c r="DU312" s="32" t="s">
        <v>8</v>
      </c>
      <c r="DV312" s="27" t="s">
        <v>7</v>
      </c>
      <c r="DX312" s="27" t="s">
        <v>7</v>
      </c>
      <c r="DY312" s="27" t="s">
        <v>8</v>
      </c>
      <c r="DZ312" s="27" t="s">
        <v>7</v>
      </c>
      <c r="EA312" s="33" t="s">
        <v>8</v>
      </c>
      <c r="EB312" s="27" t="s">
        <v>7</v>
      </c>
      <c r="EC312" s="27" t="s">
        <v>8</v>
      </c>
      <c r="ED312" s="27" t="s">
        <v>7</v>
      </c>
      <c r="EE312" s="27" t="s">
        <v>8</v>
      </c>
      <c r="EF312" s="27" t="s">
        <v>7</v>
      </c>
    </row>
    <row r="313" spans="1:143" x14ac:dyDescent="0.25">
      <c r="A313" s="30">
        <v>2.8391031260743264E-2</v>
      </c>
      <c r="B313"/>
      <c r="C313"/>
      <c r="D313"/>
      <c r="E313"/>
      <c r="F313" s="27" t="s">
        <v>7</v>
      </c>
      <c r="BK313" s="27" t="s">
        <v>8</v>
      </c>
      <c r="CJ313" s="27" t="s">
        <v>7</v>
      </c>
      <c r="CK313" s="27" t="s">
        <v>8</v>
      </c>
      <c r="CL313" s="27" t="s">
        <v>7</v>
      </c>
      <c r="CO313" s="27" t="s">
        <v>8</v>
      </c>
      <c r="CP313" s="27" t="s">
        <v>7</v>
      </c>
      <c r="CU313" s="27" t="s">
        <v>8</v>
      </c>
      <c r="DE313" s="27" t="s">
        <v>8</v>
      </c>
      <c r="DG313" s="27" t="s">
        <v>8</v>
      </c>
      <c r="DH313" s="27" t="s">
        <v>7</v>
      </c>
      <c r="DJ313" s="27" t="s">
        <v>7</v>
      </c>
      <c r="DK313" s="27" t="s">
        <v>8</v>
      </c>
      <c r="DL313" s="27" t="s">
        <v>7</v>
      </c>
      <c r="DR313" s="27" t="s">
        <v>7</v>
      </c>
      <c r="DS313" s="27" t="s">
        <v>8</v>
      </c>
      <c r="DU313" s="27" t="s">
        <v>8</v>
      </c>
      <c r="DX313" s="31" t="s">
        <v>7</v>
      </c>
      <c r="DY313" s="27" t="s">
        <v>8</v>
      </c>
      <c r="DZ313" s="33" t="s">
        <v>7</v>
      </c>
      <c r="EB313" s="27" t="s">
        <v>7</v>
      </c>
      <c r="ED313" s="27" t="s">
        <v>7</v>
      </c>
      <c r="EF313" s="27" t="s">
        <v>7</v>
      </c>
      <c r="EI313" s="27" t="s">
        <v>8</v>
      </c>
    </row>
    <row r="314" spans="1:143" x14ac:dyDescent="0.25">
      <c r="A314" s="30">
        <v>2.7039077391184052E-2</v>
      </c>
      <c r="B314"/>
      <c r="C314"/>
      <c r="D314"/>
      <c r="E314"/>
      <c r="F314" s="27" t="s">
        <v>7</v>
      </c>
      <c r="BI314" s="27" t="s">
        <v>8</v>
      </c>
      <c r="BK314" s="27" t="s">
        <v>8</v>
      </c>
      <c r="CJ314" s="27" t="s">
        <v>7</v>
      </c>
      <c r="CK314" s="27" t="s">
        <v>8</v>
      </c>
      <c r="CL314" s="27" t="s">
        <v>7</v>
      </c>
      <c r="CM314" s="27" t="s">
        <v>8</v>
      </c>
      <c r="CO314" s="27" t="s">
        <v>8</v>
      </c>
      <c r="CP314" s="27" t="s">
        <v>7</v>
      </c>
      <c r="CQ314" s="27" t="s">
        <v>8</v>
      </c>
      <c r="CS314" s="27" t="s">
        <v>8</v>
      </c>
      <c r="CU314" s="27" t="s">
        <v>8</v>
      </c>
      <c r="CV314" s="27" t="s">
        <v>7</v>
      </c>
      <c r="DE314" s="27" t="s">
        <v>8</v>
      </c>
      <c r="DF314" s="27" t="s">
        <v>7</v>
      </c>
      <c r="DG314" s="27" t="s">
        <v>8</v>
      </c>
      <c r="DJ314" s="27" t="s">
        <v>7</v>
      </c>
      <c r="DQ314" s="33"/>
      <c r="DR314" s="27" t="s">
        <v>7</v>
      </c>
      <c r="DS314" s="27" t="s">
        <v>8</v>
      </c>
      <c r="DT314" s="27" t="s">
        <v>7</v>
      </c>
      <c r="DU314" s="27" t="s">
        <v>8</v>
      </c>
      <c r="DW314" s="33"/>
      <c r="DX314" s="27" t="s">
        <v>7</v>
      </c>
      <c r="DY314" s="33" t="s">
        <v>8</v>
      </c>
      <c r="EF314" s="27" t="s">
        <v>7</v>
      </c>
      <c r="EI314" s="27" t="s">
        <v>8</v>
      </c>
      <c r="EJ314" s="27" t="s">
        <v>7</v>
      </c>
    </row>
    <row r="315" spans="1:143" x14ac:dyDescent="0.25">
      <c r="A315" s="30">
        <v>2.5751502277318133E-2</v>
      </c>
      <c r="B315"/>
      <c r="C315"/>
      <c r="D315"/>
      <c r="E315"/>
      <c r="F315" s="27" t="s">
        <v>7</v>
      </c>
      <c r="BI315" s="27" t="s">
        <v>8</v>
      </c>
      <c r="BJ315" s="27" t="s">
        <v>7</v>
      </c>
      <c r="BK315" s="27" t="s">
        <v>8</v>
      </c>
      <c r="CJ315" s="27" t="s">
        <v>7</v>
      </c>
      <c r="CK315" s="27" t="s">
        <v>8</v>
      </c>
      <c r="CL315" s="27" t="s">
        <v>7</v>
      </c>
      <c r="CM315" s="27" t="s">
        <v>8</v>
      </c>
      <c r="CN315" s="27" t="s">
        <v>7</v>
      </c>
      <c r="CO315" s="27" t="s">
        <v>8</v>
      </c>
      <c r="CP315" s="27" t="s">
        <v>7</v>
      </c>
      <c r="CQ315" s="27" t="s">
        <v>8</v>
      </c>
      <c r="CR315" s="27" t="s">
        <v>7</v>
      </c>
      <c r="CS315" s="27" t="s">
        <v>8</v>
      </c>
      <c r="CT315" s="27" t="s">
        <v>7</v>
      </c>
      <c r="CU315" s="27" t="s">
        <v>8</v>
      </c>
      <c r="CV315" s="27" t="s">
        <v>7</v>
      </c>
      <c r="DE315" s="27" t="s">
        <v>8</v>
      </c>
      <c r="DF315" s="27" t="s">
        <v>7</v>
      </c>
      <c r="DG315" s="27" t="s">
        <v>8</v>
      </c>
      <c r="DP315" s="33"/>
      <c r="DR315" s="27" t="s">
        <v>7</v>
      </c>
      <c r="DS315" s="27" t="s">
        <v>8</v>
      </c>
      <c r="DT315" s="27" t="s">
        <v>7</v>
      </c>
      <c r="DU315" s="27" t="s">
        <v>8</v>
      </c>
      <c r="DV315" s="33"/>
      <c r="DX315" s="33" t="s">
        <v>7</v>
      </c>
      <c r="EF315" s="27" t="s">
        <v>7</v>
      </c>
      <c r="EG315" s="27" t="s">
        <v>8</v>
      </c>
      <c r="EI315" s="27" t="s">
        <v>8</v>
      </c>
      <c r="EJ315" s="27" t="s">
        <v>7</v>
      </c>
    </row>
    <row r="316" spans="1:143" x14ac:dyDescent="0.25">
      <c r="A316" s="30">
        <v>2.4525240264112496E-2</v>
      </c>
      <c r="B316"/>
      <c r="C316"/>
      <c r="D316"/>
      <c r="E316"/>
      <c r="F316" s="27" t="s">
        <v>7</v>
      </c>
      <c r="BI316" s="27" t="s">
        <v>8</v>
      </c>
      <c r="BJ316" s="27" t="s">
        <v>7</v>
      </c>
      <c r="BK316" s="27" t="s">
        <v>8</v>
      </c>
      <c r="CJ316" s="27" t="s">
        <v>7</v>
      </c>
      <c r="CK316" s="27" t="s">
        <v>8</v>
      </c>
      <c r="CL316" s="27" t="s">
        <v>7</v>
      </c>
      <c r="CM316" s="27" t="s">
        <v>8</v>
      </c>
      <c r="CN316" s="27" t="s">
        <v>7</v>
      </c>
      <c r="CO316" s="27" t="s">
        <v>8</v>
      </c>
      <c r="CP316" s="27" t="s">
        <v>7</v>
      </c>
      <c r="CQ316" s="27" t="s">
        <v>8</v>
      </c>
      <c r="CR316" s="27" t="s">
        <v>7</v>
      </c>
      <c r="CS316" s="27" t="s">
        <v>8</v>
      </c>
      <c r="CT316" s="27" t="s">
        <v>7</v>
      </c>
      <c r="CU316" s="27" t="s">
        <v>8</v>
      </c>
      <c r="CV316" s="27" t="s">
        <v>7</v>
      </c>
      <c r="DC316" s="27" t="s">
        <v>8</v>
      </c>
      <c r="DE316" s="27" t="s">
        <v>8</v>
      </c>
      <c r="DF316" s="27" t="s">
        <v>7</v>
      </c>
      <c r="DO316" s="33"/>
      <c r="DR316" s="27" t="s">
        <v>7</v>
      </c>
      <c r="DT316" s="27" t="s">
        <v>7</v>
      </c>
      <c r="DU316" s="33" t="s">
        <v>8</v>
      </c>
      <c r="EF316" s="27" t="s">
        <v>7</v>
      </c>
      <c r="EG316" s="27" t="s">
        <v>8</v>
      </c>
      <c r="EH316" s="27" t="s">
        <v>7</v>
      </c>
      <c r="EI316" s="27" t="s">
        <v>8</v>
      </c>
      <c r="EJ316" s="27" t="s">
        <v>7</v>
      </c>
      <c r="EK316" s="27" t="s">
        <v>8</v>
      </c>
    </row>
    <row r="317" spans="1:143" x14ac:dyDescent="0.25">
      <c r="A317" s="30">
        <v>2.3357371680107129E-2</v>
      </c>
      <c r="B317"/>
      <c r="C317"/>
      <c r="D317"/>
      <c r="E317"/>
      <c r="F317" s="27" t="s">
        <v>7</v>
      </c>
      <c r="BI317" s="27" t="s">
        <v>8</v>
      </c>
      <c r="BJ317" s="27" t="s">
        <v>7</v>
      </c>
      <c r="BK317" s="27" t="s">
        <v>8</v>
      </c>
      <c r="CJ317" s="27" t="s">
        <v>7</v>
      </c>
      <c r="CK317" s="27" t="s">
        <v>8</v>
      </c>
      <c r="CL317" s="27" t="s">
        <v>7</v>
      </c>
      <c r="CM317" s="27" t="s">
        <v>8</v>
      </c>
      <c r="CN317" s="27" t="s">
        <v>7</v>
      </c>
      <c r="CP317" s="27" t="s">
        <v>7</v>
      </c>
      <c r="CQ317" s="27" t="s">
        <v>8</v>
      </c>
      <c r="CR317" s="27" t="s">
        <v>7</v>
      </c>
      <c r="CT317" s="27" t="s">
        <v>7</v>
      </c>
      <c r="CU317" s="27" t="s">
        <v>8</v>
      </c>
      <c r="CV317" s="27" t="s">
        <v>7</v>
      </c>
      <c r="CW317" s="27" t="s">
        <v>8</v>
      </c>
      <c r="CY317" s="27" t="s">
        <v>8</v>
      </c>
      <c r="DC317" s="27" t="s">
        <v>8</v>
      </c>
      <c r="DD317" s="27" t="s">
        <v>7</v>
      </c>
      <c r="DE317" s="27" t="s">
        <v>8</v>
      </c>
      <c r="DN317" s="33"/>
      <c r="DT317" s="33" t="s">
        <v>7</v>
      </c>
      <c r="EF317" s="27" t="s">
        <v>7</v>
      </c>
      <c r="EG317" s="27" t="s">
        <v>8</v>
      </c>
      <c r="EH317" s="27" t="s">
        <v>7</v>
      </c>
      <c r="EI317" s="27" t="s">
        <v>8</v>
      </c>
      <c r="EJ317" s="27" t="s">
        <v>7</v>
      </c>
      <c r="EK317" s="27" t="s">
        <v>8</v>
      </c>
      <c r="EL317" s="27" t="s">
        <v>7</v>
      </c>
    </row>
    <row r="318" spans="1:143" x14ac:dyDescent="0.25">
      <c r="A318" s="30">
        <v>2.2245115885816305E-2</v>
      </c>
      <c r="B318"/>
      <c r="C318"/>
      <c r="D318"/>
      <c r="E318"/>
      <c r="F318" s="27" t="s">
        <v>7</v>
      </c>
      <c r="BI318" s="27" t="s">
        <v>8</v>
      </c>
      <c r="BJ318" s="27" t="s">
        <v>7</v>
      </c>
      <c r="BK318" s="27" t="s">
        <v>8</v>
      </c>
      <c r="CJ318" s="27" t="s">
        <v>7</v>
      </c>
      <c r="CK318" s="27" t="s">
        <v>8</v>
      </c>
      <c r="CL318" s="27" t="s">
        <v>7</v>
      </c>
      <c r="CM318" s="27" t="s">
        <v>8</v>
      </c>
      <c r="CP318" s="27" t="s">
        <v>7</v>
      </c>
      <c r="CT318" s="27" t="s">
        <v>7</v>
      </c>
      <c r="CU318" s="27" t="s">
        <v>8</v>
      </c>
      <c r="CV318" s="27" t="s">
        <v>7</v>
      </c>
      <c r="CW318" s="27" t="s">
        <v>8</v>
      </c>
      <c r="CX318" s="27" t="s">
        <v>7</v>
      </c>
      <c r="CY318" s="27" t="s">
        <v>8</v>
      </c>
      <c r="CZ318" s="27" t="s">
        <v>7</v>
      </c>
      <c r="DC318" s="27" t="s">
        <v>8</v>
      </c>
      <c r="DD318" s="27" t="s">
        <v>7</v>
      </c>
      <c r="DE318" s="27" t="s">
        <v>8</v>
      </c>
      <c r="DM318" s="33"/>
      <c r="EF318" s="27" t="s">
        <v>7</v>
      </c>
      <c r="EG318" s="27" t="s">
        <v>8</v>
      </c>
      <c r="EH318" s="27" t="s">
        <v>7</v>
      </c>
      <c r="EI318" s="27" t="s">
        <v>8</v>
      </c>
      <c r="EJ318" s="27" t="s">
        <v>7</v>
      </c>
      <c r="EK318" s="27" t="s">
        <v>8</v>
      </c>
      <c r="EL318" s="27" t="s">
        <v>7</v>
      </c>
    </row>
    <row r="319" spans="1:143" x14ac:dyDescent="0.25">
      <c r="A319" s="30">
        <v>2.1185824653158377E-2</v>
      </c>
      <c r="B319"/>
      <c r="C319"/>
      <c r="D319"/>
      <c r="E319"/>
      <c r="F319" s="27" t="s">
        <v>7</v>
      </c>
      <c r="BI319" s="27" t="s">
        <v>8</v>
      </c>
      <c r="BJ319" s="27" t="s">
        <v>7</v>
      </c>
      <c r="BK319" s="27" t="s">
        <v>8</v>
      </c>
      <c r="CJ319" s="27" t="s">
        <v>7</v>
      </c>
      <c r="CK319" s="27" t="s">
        <v>8</v>
      </c>
      <c r="CL319" s="27" t="s">
        <v>7</v>
      </c>
      <c r="CM319" s="27" t="s">
        <v>8</v>
      </c>
      <c r="CT319" s="27" t="s">
        <v>7</v>
      </c>
      <c r="CU319" s="27" t="s">
        <v>8</v>
      </c>
      <c r="CV319" s="27" t="s">
        <v>7</v>
      </c>
      <c r="CW319" s="27" t="s">
        <v>8</v>
      </c>
      <c r="CX319" s="27" t="s">
        <v>7</v>
      </c>
      <c r="CY319" s="27" t="s">
        <v>8</v>
      </c>
      <c r="CZ319" s="27" t="s">
        <v>7</v>
      </c>
      <c r="DC319" s="32" t="s">
        <v>8</v>
      </c>
      <c r="DD319" s="27" t="s">
        <v>7</v>
      </c>
      <c r="DL319" s="33"/>
      <c r="EF319" s="27" t="s">
        <v>7</v>
      </c>
      <c r="EG319" s="27" t="s">
        <v>8</v>
      </c>
      <c r="EH319" s="27" t="s">
        <v>7</v>
      </c>
      <c r="EI319" s="27" t="s">
        <v>8</v>
      </c>
      <c r="EJ319" s="27" t="s">
        <v>7</v>
      </c>
      <c r="EK319" s="27" t="s">
        <v>8</v>
      </c>
      <c r="EL319" s="27" t="s">
        <v>7</v>
      </c>
    </row>
    <row r="320" spans="1:143" x14ac:dyDescent="0.25">
      <c r="A320" s="30">
        <v>2.0176975860150829E-2</v>
      </c>
      <c r="B320"/>
      <c r="C320"/>
      <c r="D320"/>
      <c r="E320"/>
      <c r="F320" s="27" t="s">
        <v>7</v>
      </c>
      <c r="BI320" s="27" t="s">
        <v>8</v>
      </c>
      <c r="BJ320" s="27" t="s">
        <v>7</v>
      </c>
      <c r="BK320" s="27" t="s">
        <v>8</v>
      </c>
      <c r="CJ320" s="27" t="s">
        <v>7</v>
      </c>
      <c r="CK320" s="27" t="s">
        <v>8</v>
      </c>
      <c r="CL320" s="27" t="s">
        <v>7</v>
      </c>
      <c r="CM320" s="27" t="s">
        <v>8</v>
      </c>
      <c r="CT320" s="27" t="s">
        <v>7</v>
      </c>
      <c r="CV320" s="27" t="s">
        <v>7</v>
      </c>
      <c r="CX320" s="27" t="s">
        <v>7</v>
      </c>
      <c r="CY320" s="27" t="s">
        <v>8</v>
      </c>
      <c r="CZ320" s="27" t="s">
        <v>7</v>
      </c>
      <c r="DA320" s="27" t="s">
        <v>8</v>
      </c>
      <c r="DC320" s="27" t="s">
        <v>8</v>
      </c>
      <c r="DK320" s="33"/>
      <c r="EF320" s="27" t="s">
        <v>7</v>
      </c>
      <c r="EG320" s="27" t="s">
        <v>8</v>
      </c>
      <c r="EH320" s="27" t="s">
        <v>7</v>
      </c>
      <c r="EJ320" s="27" t="s">
        <v>7</v>
      </c>
      <c r="EL320" s="27" t="s">
        <v>7</v>
      </c>
      <c r="EM320" s="27" t="s">
        <v>8</v>
      </c>
    </row>
    <row r="321" spans="1:145" x14ac:dyDescent="0.25">
      <c r="A321" s="30">
        <v>1.9216167485857926E-2</v>
      </c>
      <c r="B321"/>
      <c r="C321"/>
      <c r="D321"/>
      <c r="E321"/>
      <c r="F321" s="27" t="s">
        <v>7</v>
      </c>
      <c r="BI321" s="27" t="s">
        <v>8</v>
      </c>
      <c r="BJ321" s="27" t="s">
        <v>7</v>
      </c>
      <c r="CJ321" s="27" t="s">
        <v>7</v>
      </c>
      <c r="CK321" s="27" t="s">
        <v>8</v>
      </c>
      <c r="CL321" s="27" t="s">
        <v>7</v>
      </c>
      <c r="CX321" s="31" t="s">
        <v>7</v>
      </c>
      <c r="CY321" s="27" t="s">
        <v>8</v>
      </c>
      <c r="CZ321" s="27" t="s">
        <v>7</v>
      </c>
      <c r="DA321" s="27" t="s">
        <v>8</v>
      </c>
      <c r="DB321" s="27" t="s">
        <v>7</v>
      </c>
      <c r="DC321" s="27" t="s">
        <v>8</v>
      </c>
      <c r="DJ321" s="33"/>
      <c r="EF321" s="27" t="s">
        <v>7</v>
      </c>
      <c r="EG321" s="27" t="s">
        <v>8</v>
      </c>
      <c r="EL321" s="27" t="s">
        <v>7</v>
      </c>
      <c r="EM321" s="27" t="s">
        <v>8</v>
      </c>
      <c r="EN321" s="27" t="s">
        <v>7</v>
      </c>
    </row>
    <row r="322" spans="1:145" x14ac:dyDescent="0.25">
      <c r="A322" s="30">
        <v>1.8301111891293256E-2</v>
      </c>
      <c r="B322"/>
      <c r="C322"/>
      <c r="D322"/>
      <c r="E322"/>
      <c r="F322" s="27" t="s">
        <v>7</v>
      </c>
      <c r="BI322" s="27" t="s">
        <v>8</v>
      </c>
      <c r="CJ322" s="27" t="s">
        <v>7</v>
      </c>
      <c r="CK322" s="27" t="s">
        <v>8</v>
      </c>
      <c r="CX322" s="27" t="s">
        <v>7</v>
      </c>
      <c r="CY322" s="27" t="s">
        <v>8</v>
      </c>
      <c r="CZ322" s="27" t="s">
        <v>7</v>
      </c>
      <c r="DA322" s="27" t="s">
        <v>8</v>
      </c>
      <c r="DB322" s="27" t="s">
        <v>7</v>
      </c>
      <c r="DC322" s="27" t="s">
        <v>8</v>
      </c>
      <c r="DI322" s="33"/>
      <c r="EF322" s="27" t="s">
        <v>7</v>
      </c>
      <c r="EL322" s="27" t="s">
        <v>7</v>
      </c>
      <c r="EM322" s="27" t="s">
        <v>8</v>
      </c>
      <c r="EN322" s="27" t="s">
        <v>7</v>
      </c>
    </row>
    <row r="323" spans="1:145" x14ac:dyDescent="0.25">
      <c r="A323" s="30">
        <v>1.7429630372660238E-2</v>
      </c>
      <c r="B323"/>
      <c r="C323"/>
      <c r="D323"/>
      <c r="E323"/>
      <c r="F323" s="27" t="s">
        <v>7</v>
      </c>
      <c r="AW323" s="27" t="s">
        <v>8</v>
      </c>
      <c r="BI323" s="27" t="s">
        <v>8</v>
      </c>
      <c r="CJ323" s="27" t="s">
        <v>7</v>
      </c>
      <c r="CK323" s="27" t="s">
        <v>8</v>
      </c>
      <c r="CX323" s="27" t="s">
        <v>7</v>
      </c>
      <c r="CY323" s="27" t="s">
        <v>8</v>
      </c>
      <c r="CZ323" s="27" t="s">
        <v>7</v>
      </c>
      <c r="DB323" s="27" t="s">
        <v>7</v>
      </c>
      <c r="DC323" s="27" t="s">
        <v>8</v>
      </c>
      <c r="DH323" s="33"/>
      <c r="EL323" s="27" t="s">
        <v>7</v>
      </c>
      <c r="EN323" s="27" t="s">
        <v>7</v>
      </c>
    </row>
    <row r="324" spans="1:145" x14ac:dyDescent="0.25">
      <c r="A324" s="30">
        <v>1.6599647973962125E-2</v>
      </c>
      <c r="B324"/>
      <c r="C324"/>
      <c r="D324"/>
      <c r="E324"/>
      <c r="F324" s="27" t="s">
        <v>7</v>
      </c>
      <c r="AW324" s="27" t="s">
        <v>8</v>
      </c>
      <c r="AX324" s="27" t="s">
        <v>7</v>
      </c>
      <c r="BI324" s="27" t="s">
        <v>8</v>
      </c>
      <c r="CJ324" s="27" t="s">
        <v>7</v>
      </c>
      <c r="CK324" s="27" t="s">
        <v>8</v>
      </c>
      <c r="CX324" s="27" t="s">
        <v>7</v>
      </c>
      <c r="CY324" s="27" t="s">
        <v>8</v>
      </c>
      <c r="DB324" s="27" t="s">
        <v>7</v>
      </c>
      <c r="DC324" s="27" t="s">
        <v>8</v>
      </c>
      <c r="DG324" s="33"/>
      <c r="EN324" s="27" t="s">
        <v>7</v>
      </c>
    </row>
    <row r="325" spans="1:145" x14ac:dyDescent="0.25">
      <c r="A325" s="30">
        <v>1.580918854663059E-2</v>
      </c>
      <c r="B325"/>
      <c r="C325"/>
      <c r="D325"/>
      <c r="E325"/>
      <c r="F325" s="27" t="s">
        <v>7</v>
      </c>
      <c r="AW325" s="27" t="s">
        <v>8</v>
      </c>
      <c r="AX325" s="27" t="s">
        <v>7</v>
      </c>
      <c r="BI325" s="27" t="s">
        <v>8</v>
      </c>
      <c r="CJ325" s="27" t="s">
        <v>7</v>
      </c>
      <c r="CX325" s="27" t="s">
        <v>7</v>
      </c>
      <c r="CY325" s="27" t="s">
        <v>8</v>
      </c>
      <c r="DB325" s="18" t="s">
        <v>7</v>
      </c>
      <c r="DC325" s="27" t="s">
        <v>8</v>
      </c>
      <c r="DF325" s="33"/>
      <c r="EN325" s="27" t="s">
        <v>7</v>
      </c>
    </row>
    <row r="326" spans="1:145" x14ac:dyDescent="0.25">
      <c r="A326" s="30">
        <v>1.5056370044410079E-2</v>
      </c>
      <c r="B326"/>
      <c r="C326"/>
      <c r="D326"/>
      <c r="E326"/>
      <c r="F326" s="27" t="s">
        <v>7</v>
      </c>
      <c r="AW326" s="27" t="s">
        <v>8</v>
      </c>
      <c r="AX326" s="27" t="s">
        <v>7</v>
      </c>
      <c r="BI326" s="27" t="s">
        <v>8</v>
      </c>
      <c r="CX326" s="27" t="s">
        <v>7</v>
      </c>
      <c r="CY326" s="27" t="s">
        <v>8</v>
      </c>
      <c r="DB326" s="27" t="s">
        <v>7</v>
      </c>
      <c r="DC326" s="27" t="s">
        <v>8</v>
      </c>
      <c r="DE326" s="33"/>
      <c r="EN326" s="27" t="s">
        <v>7</v>
      </c>
    </row>
    <row r="327" spans="1:145" x14ac:dyDescent="0.25">
      <c r="A327" s="30">
        <v>1.4339400042295308E-2</v>
      </c>
      <c r="B327"/>
      <c r="C327"/>
      <c r="D327"/>
      <c r="E327"/>
      <c r="F327" s="27" t="s">
        <v>7</v>
      </c>
      <c r="AW327" s="27" t="s">
        <v>8</v>
      </c>
      <c r="AX327" s="27" t="s">
        <v>7</v>
      </c>
      <c r="BC327" s="27" t="s">
        <v>8</v>
      </c>
      <c r="BI327" s="27" t="s">
        <v>8</v>
      </c>
      <c r="CX327" s="27" t="s">
        <v>7</v>
      </c>
      <c r="CY327" s="27" t="s">
        <v>8</v>
      </c>
      <c r="DB327" s="27" t="s">
        <v>7</v>
      </c>
      <c r="DC327" s="27" t="s">
        <v>8</v>
      </c>
      <c r="DD327" s="33"/>
      <c r="EN327" s="27" t="s">
        <v>7</v>
      </c>
      <c r="EO327" s="27" t="s">
        <v>8</v>
      </c>
    </row>
    <row r="328" spans="1:145" x14ac:dyDescent="0.25">
      <c r="A328" s="30">
        <v>1.365657146885267E-2</v>
      </c>
      <c r="B328"/>
      <c r="C328"/>
      <c r="D328"/>
      <c r="E328"/>
      <c r="F328" s="27" t="s">
        <v>7</v>
      </c>
      <c r="AW328" s="27" t="s">
        <v>8</v>
      </c>
      <c r="AX328" s="27" t="s">
        <v>7</v>
      </c>
      <c r="BC328" s="27" t="s">
        <v>8</v>
      </c>
      <c r="BD328" s="27" t="s">
        <v>7</v>
      </c>
      <c r="BI328" s="27" t="s">
        <v>8</v>
      </c>
      <c r="CX328" s="27" t="s">
        <v>7</v>
      </c>
      <c r="CY328" s="27" t="s">
        <v>8</v>
      </c>
      <c r="DB328" s="27" t="s">
        <v>7</v>
      </c>
      <c r="DC328" s="33"/>
      <c r="EN328" s="27" t="s">
        <v>7</v>
      </c>
      <c r="EO328" s="27" t="s">
        <v>8</v>
      </c>
    </row>
    <row r="329" spans="1:145" x14ac:dyDescent="0.25">
      <c r="A329" s="30">
        <v>1.3006258541764442E-2</v>
      </c>
      <c r="B329"/>
      <c r="C329"/>
      <c r="D329"/>
      <c r="E329"/>
      <c r="F329" s="27" t="s">
        <v>7</v>
      </c>
      <c r="AW329" s="27" t="s">
        <v>8</v>
      </c>
      <c r="AX329" s="27" t="s">
        <v>7</v>
      </c>
      <c r="BC329" s="27" t="s">
        <v>8</v>
      </c>
      <c r="BD329" s="27" t="s">
        <v>7</v>
      </c>
      <c r="BI329" s="27" t="s">
        <v>8</v>
      </c>
      <c r="CX329" s="27" t="s">
        <v>7</v>
      </c>
      <c r="CY329" s="27" t="s">
        <v>8</v>
      </c>
      <c r="DB329" s="33"/>
      <c r="EN329" s="27" t="s">
        <v>7</v>
      </c>
      <c r="EO329" s="27" t="s">
        <v>8</v>
      </c>
    </row>
    <row r="330" spans="1:145" x14ac:dyDescent="0.25">
      <c r="A330" s="30">
        <v>1.2386912896918512E-2</v>
      </c>
      <c r="B330"/>
      <c r="C330"/>
      <c r="D330"/>
      <c r="E330"/>
      <c r="F330" s="27" t="s">
        <v>7</v>
      </c>
      <c r="AW330" s="27" t="s">
        <v>8</v>
      </c>
      <c r="AX330" s="27" t="s">
        <v>7</v>
      </c>
      <c r="BC330" s="27" t="s">
        <v>8</v>
      </c>
      <c r="BD330" s="27" t="s">
        <v>7</v>
      </c>
      <c r="BI330" s="27" t="s">
        <v>8</v>
      </c>
      <c r="CX330" s="27" t="s">
        <v>7</v>
      </c>
      <c r="CY330" s="27" t="s">
        <v>8</v>
      </c>
      <c r="DA330" s="33"/>
      <c r="EN330" s="27" t="s">
        <v>7</v>
      </c>
      <c r="EO330" s="27" t="s">
        <v>8</v>
      </c>
    </row>
    <row r="331" spans="1:145" x14ac:dyDescent="0.25">
      <c r="A331" s="30">
        <v>1.179705990182715E-2</v>
      </c>
      <c r="B331"/>
      <c r="C331"/>
      <c r="D331"/>
      <c r="E331"/>
      <c r="F331" s="27" t="s">
        <v>7</v>
      </c>
      <c r="AW331" s="27" t="s">
        <v>8</v>
      </c>
      <c r="AX331" s="27" t="s">
        <v>7</v>
      </c>
      <c r="BC331" s="27" t="s">
        <v>8</v>
      </c>
      <c r="BD331" s="27" t="s">
        <v>7</v>
      </c>
      <c r="BI331" s="27" t="s">
        <v>8</v>
      </c>
      <c r="CX331" s="27" t="s">
        <v>7</v>
      </c>
      <c r="CY331" s="27" t="s">
        <v>8</v>
      </c>
      <c r="CZ331" s="33"/>
      <c r="EN331" s="27" t="s">
        <v>7</v>
      </c>
      <c r="EO331" s="27" t="s">
        <v>8</v>
      </c>
    </row>
    <row r="332" spans="1:145" x14ac:dyDescent="0.25">
      <c r="A332" s="30">
        <v>1.1235295144597281E-2</v>
      </c>
      <c r="B332"/>
      <c r="C332"/>
      <c r="D332"/>
      <c r="E332"/>
      <c r="F332" s="27" t="s">
        <v>7</v>
      </c>
      <c r="AW332" s="27" t="s">
        <v>8</v>
      </c>
      <c r="AX332" s="27" t="s">
        <v>7</v>
      </c>
      <c r="BA332" s="27" t="s">
        <v>8</v>
      </c>
      <c r="BC332" s="27" t="s">
        <v>8</v>
      </c>
      <c r="BD332" s="27" t="s">
        <v>7</v>
      </c>
      <c r="BI332" s="27" t="s">
        <v>8</v>
      </c>
      <c r="CX332" s="27" t="s">
        <v>7</v>
      </c>
      <c r="CY332" s="33" t="s">
        <v>8</v>
      </c>
      <c r="EN332" s="27" t="s">
        <v>7</v>
      </c>
    </row>
    <row r="333" spans="1:145" x14ac:dyDescent="0.25">
      <c r="A333" s="30">
        <v>1.0700281090092644E-2</v>
      </c>
      <c r="B333"/>
      <c r="C333"/>
      <c r="D333"/>
      <c r="E333"/>
      <c r="F333" s="27" t="s">
        <v>7</v>
      </c>
      <c r="AW333" s="27" t="s">
        <v>8</v>
      </c>
      <c r="AX333" s="27" t="s">
        <v>7</v>
      </c>
      <c r="AY333" s="27" t="s">
        <v>8</v>
      </c>
      <c r="BA333" s="27" t="s">
        <v>8</v>
      </c>
      <c r="BB333" s="27" t="s">
        <v>7</v>
      </c>
      <c r="BC333" s="27" t="s">
        <v>8</v>
      </c>
      <c r="BD333" s="27" t="s">
        <v>7</v>
      </c>
      <c r="BG333" s="27" t="s">
        <v>8</v>
      </c>
      <c r="BI333" s="27" t="s">
        <v>8</v>
      </c>
      <c r="CX333" s="33" t="s">
        <v>7</v>
      </c>
    </row>
    <row r="334" spans="1:145" x14ac:dyDescent="0.25">
      <c r="A334" s="30">
        <v>1.0190743895326324E-2</v>
      </c>
      <c r="B334"/>
      <c r="C334"/>
      <c r="D334"/>
      <c r="E334"/>
      <c r="F334" s="27" t="s">
        <v>7</v>
      </c>
      <c r="AW334" s="27" t="s">
        <v>8</v>
      </c>
      <c r="AX334" s="27" t="s">
        <v>7</v>
      </c>
      <c r="AY334" s="27" t="s">
        <v>8</v>
      </c>
      <c r="AZ334" s="27" t="s">
        <v>7</v>
      </c>
      <c r="BA334" s="27" t="s">
        <v>8</v>
      </c>
      <c r="BB334" s="27" t="s">
        <v>7</v>
      </c>
      <c r="BC334" s="27" t="s">
        <v>8</v>
      </c>
      <c r="BD334" s="27" t="s">
        <v>7</v>
      </c>
      <c r="BE334" s="27" t="s">
        <v>8</v>
      </c>
      <c r="BG334" s="27" t="s">
        <v>8</v>
      </c>
      <c r="BH334" s="27" t="s">
        <v>7</v>
      </c>
      <c r="BI334" s="27" t="s">
        <v>8</v>
      </c>
    </row>
    <row r="335" spans="1:145" x14ac:dyDescent="0.25">
      <c r="A335" s="30">
        <v>9.7054703765012563E-3</v>
      </c>
      <c r="B335"/>
      <c r="C335"/>
      <c r="D335"/>
      <c r="E335"/>
      <c r="F335" s="27" t="s">
        <v>7</v>
      </c>
      <c r="AW335" s="27" t="s">
        <v>8</v>
      </c>
      <c r="AX335" s="27" t="s">
        <v>7</v>
      </c>
      <c r="AY335" s="27" t="s">
        <v>8</v>
      </c>
      <c r="AZ335" s="27" t="s">
        <v>7</v>
      </c>
      <c r="BA335" s="27" t="s">
        <v>8</v>
      </c>
      <c r="BB335" s="27" t="s">
        <v>7</v>
      </c>
      <c r="BC335" s="27" t="s">
        <v>8</v>
      </c>
      <c r="BD335" s="27" t="s">
        <v>7</v>
      </c>
      <c r="BE335" s="27" t="s">
        <v>8</v>
      </c>
      <c r="BF335" s="27" t="s">
        <v>7</v>
      </c>
      <c r="BG335" s="27" t="s">
        <v>8</v>
      </c>
      <c r="BH335" s="27" t="s">
        <v>7</v>
      </c>
      <c r="BI335" s="27" t="s">
        <v>8</v>
      </c>
    </row>
    <row r="336" spans="1:145" x14ac:dyDescent="0.25">
      <c r="A336" s="30">
        <v>9.2433051204773835E-3</v>
      </c>
      <c r="B336"/>
      <c r="C336"/>
      <c r="D336"/>
      <c r="E336"/>
      <c r="F336" s="27" t="s">
        <v>7</v>
      </c>
      <c r="AW336" s="27" t="s">
        <v>8</v>
      </c>
      <c r="AX336" s="27" t="s">
        <v>7</v>
      </c>
      <c r="AY336" s="27" t="s">
        <v>8</v>
      </c>
      <c r="AZ336" s="27" t="s">
        <v>7</v>
      </c>
      <c r="BB336" s="27" t="s">
        <v>7</v>
      </c>
      <c r="BC336" s="27" t="s">
        <v>8</v>
      </c>
      <c r="BD336" s="27" t="s">
        <v>7</v>
      </c>
      <c r="BE336" s="27" t="s">
        <v>8</v>
      </c>
      <c r="BF336" s="27" t="s">
        <v>7</v>
      </c>
      <c r="BG336" s="27" t="s">
        <v>8</v>
      </c>
      <c r="BH336" s="27" t="s">
        <v>7</v>
      </c>
      <c r="BI336" s="27" t="s">
        <v>8</v>
      </c>
    </row>
    <row r="337" spans="1:60" x14ac:dyDescent="0.25">
      <c r="A337" s="30">
        <v>8.8031477337879808E-3</v>
      </c>
      <c r="B337"/>
      <c r="C337"/>
      <c r="D337"/>
      <c r="E337"/>
      <c r="F337" s="27" t="s">
        <v>7</v>
      </c>
      <c r="AW337" s="27" t="s">
        <v>8</v>
      </c>
      <c r="AX337" s="27" t="s">
        <v>7</v>
      </c>
      <c r="AY337" s="27" t="s">
        <v>8</v>
      </c>
      <c r="BB337" s="27" t="s">
        <v>7</v>
      </c>
      <c r="BD337" s="27" t="s">
        <v>7</v>
      </c>
      <c r="BE337" s="27" t="s">
        <v>8</v>
      </c>
      <c r="BF337" s="27" t="s">
        <v>7</v>
      </c>
      <c r="BH337" s="27" t="s">
        <v>7</v>
      </c>
    </row>
    <row r="338" spans="1:60" x14ac:dyDescent="0.25">
      <c r="A338" s="30">
        <v>8.3839502226552166E-3</v>
      </c>
      <c r="B338"/>
      <c r="C338"/>
      <c r="D338"/>
      <c r="E338"/>
      <c r="F338" s="27" t="s">
        <v>7</v>
      </c>
      <c r="AW338" s="27" t="s">
        <v>8</v>
      </c>
      <c r="AX338" s="27" t="s">
        <v>7</v>
      </c>
      <c r="BD338" s="27" t="s">
        <v>7</v>
      </c>
      <c r="BE338" s="27" t="s">
        <v>8</v>
      </c>
    </row>
    <row r="339" spans="1:60" x14ac:dyDescent="0.25">
      <c r="A339" s="30">
        <v>7.9847144977668698E-3</v>
      </c>
      <c r="B339"/>
      <c r="C339"/>
      <c r="D339"/>
      <c r="E339"/>
      <c r="F339" s="27" t="s">
        <v>7</v>
      </c>
      <c r="AW339" s="27" t="s">
        <v>8</v>
      </c>
      <c r="BD339" s="27" t="s">
        <v>7</v>
      </c>
      <c r="BE339" s="27" t="s">
        <v>8</v>
      </c>
    </row>
    <row r="340" spans="1:60" x14ac:dyDescent="0.25">
      <c r="A340" s="30">
        <v>7.6044899978732058E-3</v>
      </c>
      <c r="B340"/>
      <c r="C340"/>
      <c r="D340"/>
      <c r="E340"/>
      <c r="F340" s="27" t="s">
        <v>7</v>
      </c>
      <c r="AW340" s="27" t="s">
        <v>8</v>
      </c>
      <c r="BD340" s="27" t="s">
        <v>7</v>
      </c>
    </row>
    <row r="341" spans="1:60" x14ac:dyDescent="0.25">
      <c r="A341" s="30">
        <v>7.2423714265459072E-3</v>
      </c>
      <c r="B341"/>
      <c r="C341"/>
      <c r="D341"/>
      <c r="E341"/>
      <c r="F341" s="27" t="s">
        <v>7</v>
      </c>
      <c r="AW341" s="27" t="s">
        <v>8</v>
      </c>
    </row>
    <row r="342" spans="1:60" x14ac:dyDescent="0.25">
      <c r="A342" s="30">
        <v>6.8974965967103846E-3</v>
      </c>
      <c r="B342"/>
      <c r="C342"/>
      <c r="D342"/>
      <c r="E342"/>
      <c r="F342" s="27" t="s">
        <v>7</v>
      </c>
      <c r="AW342" s="27" t="s">
        <v>8</v>
      </c>
    </row>
    <row r="343" spans="1:60" x14ac:dyDescent="0.25">
      <c r="A343" s="30">
        <v>6.5690443778194116E-3</v>
      </c>
      <c r="B343"/>
      <c r="C343"/>
      <c r="D343"/>
      <c r="E343"/>
      <c r="F343" s="27" t="s">
        <v>7</v>
      </c>
      <c r="AW343" s="27" t="s">
        <v>8</v>
      </c>
    </row>
    <row r="344" spans="1:60" x14ac:dyDescent="0.25">
      <c r="A344" s="30">
        <v>6.2562327407803897E-3</v>
      </c>
      <c r="B344"/>
      <c r="C344"/>
      <c r="D344"/>
      <c r="E344"/>
      <c r="F344" s="27" t="s">
        <v>7</v>
      </c>
      <c r="AW344" s="27" t="s">
        <v>8</v>
      </c>
    </row>
    <row r="345" spans="1:60" x14ac:dyDescent="0.25">
      <c r="A345" s="30">
        <v>5.9583168959813212E-3</v>
      </c>
      <c r="B345"/>
      <c r="C345"/>
      <c r="D345"/>
      <c r="E345"/>
      <c r="F345" s="27" t="s">
        <v>7</v>
      </c>
      <c r="AW345" s="27" t="s">
        <v>8</v>
      </c>
    </row>
    <row r="346" spans="1:60" x14ac:dyDescent="0.25">
      <c r="A346" s="30">
        <v>5.6745875199822084E-3</v>
      </c>
      <c r="B346"/>
      <c r="C346"/>
      <c r="D346"/>
      <c r="E346"/>
      <c r="F346" s="27" t="s">
        <v>7</v>
      </c>
      <c r="AW346" s="27" t="s">
        <v>8</v>
      </c>
    </row>
    <row r="347" spans="1:60" x14ac:dyDescent="0.25">
      <c r="A347" s="30">
        <v>5.4043690666497205E-3</v>
      </c>
      <c r="B347"/>
      <c r="C347"/>
      <c r="D347"/>
      <c r="E347"/>
      <c r="F347" s="27" t="s">
        <v>7</v>
      </c>
      <c r="AW347" s="27" t="s">
        <v>8</v>
      </c>
    </row>
    <row r="348" spans="1:60" x14ac:dyDescent="0.25">
      <c r="A348" s="30">
        <v>5.1470181587140174E-3</v>
      </c>
      <c r="B348"/>
      <c r="C348"/>
      <c r="D348"/>
      <c r="E348"/>
      <c r="F348" s="27" t="s">
        <v>7</v>
      </c>
      <c r="AW348" s="27" t="s">
        <v>8</v>
      </c>
    </row>
    <row r="349" spans="1:60" x14ac:dyDescent="0.25">
      <c r="A349" s="30">
        <v>4.9019220559181099E-3</v>
      </c>
      <c r="B349"/>
      <c r="C349"/>
      <c r="D349"/>
      <c r="E349"/>
      <c r="F349" s="27" t="s">
        <v>7</v>
      </c>
      <c r="AW349" s="27" t="s">
        <v>8</v>
      </c>
    </row>
    <row r="350" spans="1:60" x14ac:dyDescent="0.25">
      <c r="A350" s="30">
        <v>4.6684971961124836E-3</v>
      </c>
      <c r="B350"/>
      <c r="C350"/>
      <c r="D350"/>
      <c r="E350"/>
      <c r="F350" s="27" t="s">
        <v>7</v>
      </c>
      <c r="AW350" s="27" t="s">
        <v>8</v>
      </c>
    </row>
    <row r="351" spans="1:60" x14ac:dyDescent="0.25">
      <c r="A351" s="30">
        <v>4.4461878058214112E-3</v>
      </c>
      <c r="B351"/>
      <c r="C351"/>
      <c r="D351"/>
      <c r="E351"/>
      <c r="F351" s="27" t="s">
        <v>7</v>
      </c>
      <c r="AW351" s="27" t="s">
        <v>8</v>
      </c>
    </row>
    <row r="352" spans="1:60" x14ac:dyDescent="0.25">
      <c r="A352" s="30">
        <v>4.2344645769727711E-3</v>
      </c>
      <c r="B352"/>
      <c r="C352"/>
      <c r="D352"/>
      <c r="E352"/>
      <c r="F352" s="27" t="s">
        <v>7</v>
      </c>
      <c r="M352" s="27" t="s">
        <v>8</v>
      </c>
      <c r="AW352" s="27" t="s">
        <v>8</v>
      </c>
    </row>
    <row r="353" spans="1:49" x14ac:dyDescent="0.25">
      <c r="A353" s="30">
        <v>4.0328234066407329E-3</v>
      </c>
      <c r="B353"/>
      <c r="C353"/>
      <c r="D353"/>
      <c r="E353"/>
      <c r="F353" s="27" t="s">
        <v>7</v>
      </c>
      <c r="M353" s="27" t="s">
        <v>8</v>
      </c>
      <c r="N353" s="27" t="s">
        <v>7</v>
      </c>
      <c r="Q353" s="27" t="s">
        <v>8</v>
      </c>
      <c r="AW353" s="27" t="s">
        <v>8</v>
      </c>
    </row>
    <row r="354" spans="1:49" x14ac:dyDescent="0.25">
      <c r="A354" s="30">
        <v>3.8407841968006963E-3</v>
      </c>
      <c r="B354"/>
      <c r="C354"/>
      <c r="D354"/>
      <c r="E354"/>
      <c r="F354" s="27" t="s">
        <v>7</v>
      </c>
      <c r="M354" s="27" t="s">
        <v>8</v>
      </c>
      <c r="N354" s="27" t="s">
        <v>7</v>
      </c>
      <c r="O354" s="27" t="s">
        <v>8</v>
      </c>
      <c r="Q354" s="27" t="s">
        <v>8</v>
      </c>
      <c r="R354" s="27" t="s">
        <v>7</v>
      </c>
      <c r="AU354" s="27" t="s">
        <v>8</v>
      </c>
      <c r="AW354" s="27" t="s">
        <v>8</v>
      </c>
    </row>
    <row r="355" spans="1:49" x14ac:dyDescent="0.25">
      <c r="A355" s="30">
        <v>3.6578897112387568E-3</v>
      </c>
      <c r="B355"/>
      <c r="C355"/>
      <c r="D355"/>
      <c r="E355"/>
      <c r="F355" s="27" t="s">
        <v>7</v>
      </c>
      <c r="M355" s="27" t="s">
        <v>8</v>
      </c>
      <c r="N355" s="27" t="s">
        <v>7</v>
      </c>
      <c r="O355" s="27" t="s">
        <v>8</v>
      </c>
      <c r="P355" s="27" t="s">
        <v>7</v>
      </c>
      <c r="Q355" s="27" t="s">
        <v>8</v>
      </c>
      <c r="R355" s="27" t="s">
        <v>7</v>
      </c>
      <c r="AU355" s="27" t="s">
        <v>8</v>
      </c>
      <c r="AV355" s="27" t="s">
        <v>7</v>
      </c>
      <c r="AW355" s="27" t="s">
        <v>8</v>
      </c>
    </row>
    <row r="356" spans="1:49" x14ac:dyDescent="0.25">
      <c r="A356" s="30">
        <v>3.4837044868940526E-3</v>
      </c>
      <c r="B356"/>
      <c r="C356"/>
      <c r="D356"/>
      <c r="E356"/>
      <c r="F356" s="27" t="s">
        <v>7</v>
      </c>
      <c r="M356" s="27" t="s">
        <v>8</v>
      </c>
      <c r="N356" s="27" t="s">
        <v>7</v>
      </c>
      <c r="O356" s="27" t="s">
        <v>8</v>
      </c>
      <c r="P356" s="27" t="s">
        <v>7</v>
      </c>
      <c r="Q356" s="27" t="s">
        <v>8</v>
      </c>
      <c r="R356" s="27" t="s">
        <v>7</v>
      </c>
      <c r="AU356" s="27" t="s">
        <v>8</v>
      </c>
      <c r="AV356" s="27" t="s">
        <v>7</v>
      </c>
      <c r="AW356" s="27" t="s">
        <v>8</v>
      </c>
    </row>
    <row r="357" spans="1:49" x14ac:dyDescent="0.25">
      <c r="A357" s="30">
        <v>3.3178137970419535E-3</v>
      </c>
      <c r="B357"/>
      <c r="C357"/>
      <c r="D357"/>
      <c r="E357"/>
      <c r="F357" s="27" t="s">
        <v>7</v>
      </c>
      <c r="M357" s="27" t="s">
        <v>8</v>
      </c>
      <c r="N357" s="27" t="s">
        <v>7</v>
      </c>
      <c r="O357" s="27" t="s">
        <v>8</v>
      </c>
      <c r="P357" s="27" t="s">
        <v>7</v>
      </c>
      <c r="Q357" s="27" t="s">
        <v>8</v>
      </c>
      <c r="R357" s="27" t="s">
        <v>7</v>
      </c>
      <c r="AU357" s="27" t="s">
        <v>8</v>
      </c>
      <c r="AV357" s="27" t="s">
        <v>7</v>
      </c>
      <c r="AW357" s="27" t="s">
        <v>8</v>
      </c>
    </row>
    <row r="358" spans="1:49" x14ac:dyDescent="0.25">
      <c r="A358" s="30">
        <v>3.1598226638494781E-3</v>
      </c>
      <c r="B358"/>
      <c r="C358"/>
      <c r="D358"/>
      <c r="E358"/>
      <c r="F358" s="27" t="s">
        <v>7</v>
      </c>
      <c r="M358" s="27" t="s">
        <v>8</v>
      </c>
      <c r="N358" s="27" t="s">
        <v>7</v>
      </c>
      <c r="O358" s="27" t="s">
        <v>8</v>
      </c>
      <c r="P358" s="27" t="s">
        <v>7</v>
      </c>
      <c r="Q358" s="27" t="s">
        <v>8</v>
      </c>
      <c r="R358" s="27" t="s">
        <v>7</v>
      </c>
      <c r="AM358" s="27" t="s">
        <v>8</v>
      </c>
      <c r="AO358" s="27" t="s">
        <v>8</v>
      </c>
      <c r="AQ358" s="27" t="s">
        <v>8</v>
      </c>
      <c r="AU358" s="27" t="s">
        <v>8</v>
      </c>
      <c r="AV358" s="27" t="s">
        <v>7</v>
      </c>
      <c r="AW358" s="27" t="s">
        <v>8</v>
      </c>
    </row>
    <row r="359" spans="1:49" x14ac:dyDescent="0.25">
      <c r="A359" s="30">
        <v>3.0093549179518826E-3</v>
      </c>
      <c r="B359"/>
      <c r="C359"/>
      <c r="D359"/>
      <c r="E359"/>
      <c r="F359" s="27" t="s">
        <v>7</v>
      </c>
      <c r="M359" s="27" t="s">
        <v>8</v>
      </c>
      <c r="N359" s="27" t="s">
        <v>7</v>
      </c>
      <c r="O359" s="27" t="s">
        <v>8</v>
      </c>
      <c r="P359" s="27" t="s">
        <v>7</v>
      </c>
      <c r="R359" s="27" t="s">
        <v>7</v>
      </c>
      <c r="AM359" s="27" t="s">
        <v>8</v>
      </c>
      <c r="AN359" s="27" t="s">
        <v>7</v>
      </c>
      <c r="AO359" s="27" t="s">
        <v>8</v>
      </c>
      <c r="AP359" s="27" t="s">
        <v>7</v>
      </c>
      <c r="AQ359" s="27" t="s">
        <v>8</v>
      </c>
      <c r="AR359" s="27" t="s">
        <v>7</v>
      </c>
      <c r="AU359" s="27" t="s">
        <v>8</v>
      </c>
      <c r="AV359" s="27" t="s">
        <v>7</v>
      </c>
    </row>
    <row r="360" spans="1:49" x14ac:dyDescent="0.25">
      <c r="A360" s="30">
        <v>2.8660523028113155E-3</v>
      </c>
      <c r="B360"/>
      <c r="C360"/>
      <c r="D360"/>
      <c r="E360"/>
      <c r="F360" s="27" t="s">
        <v>7</v>
      </c>
      <c r="K360" s="27" t="s">
        <v>8</v>
      </c>
      <c r="M360" s="27" t="s">
        <v>8</v>
      </c>
      <c r="N360" s="27" t="s">
        <v>7</v>
      </c>
      <c r="O360" s="27" t="s">
        <v>8</v>
      </c>
      <c r="R360" s="27" t="s">
        <v>7</v>
      </c>
      <c r="AC360" s="27" t="s">
        <v>8</v>
      </c>
      <c r="AE360" s="27" t="s">
        <v>8</v>
      </c>
      <c r="AG360" s="27" t="s">
        <v>8</v>
      </c>
      <c r="AM360" s="27" t="s">
        <v>8</v>
      </c>
      <c r="AN360" s="27" t="s">
        <v>7</v>
      </c>
      <c r="AO360" s="27" t="s">
        <v>8</v>
      </c>
      <c r="AP360" s="27" t="s">
        <v>7</v>
      </c>
      <c r="AQ360" s="27" t="s">
        <v>8</v>
      </c>
      <c r="AR360" s="27" t="s">
        <v>7</v>
      </c>
      <c r="AS360" s="27" t="s">
        <v>8</v>
      </c>
      <c r="AU360" s="27" t="s">
        <v>8</v>
      </c>
    </row>
    <row r="361" spans="1:49" x14ac:dyDescent="0.25">
      <c r="A361" s="30">
        <v>2.7295736217250611E-3</v>
      </c>
      <c r="B361"/>
      <c r="C361"/>
      <c r="D361"/>
      <c r="E361"/>
      <c r="F361" s="27" t="s">
        <v>7</v>
      </c>
      <c r="I361" s="27" t="s">
        <v>8</v>
      </c>
      <c r="K361" s="27" t="s">
        <v>8</v>
      </c>
      <c r="L361" s="27" t="s">
        <v>7</v>
      </c>
      <c r="M361" s="27" t="s">
        <v>8</v>
      </c>
      <c r="N361" s="27" t="s">
        <v>7</v>
      </c>
      <c r="R361" s="27" t="s">
        <v>7</v>
      </c>
      <c r="S361" s="27" t="s">
        <v>8</v>
      </c>
      <c r="AC361" s="27" t="s">
        <v>8</v>
      </c>
      <c r="AD361" s="27" t="s">
        <v>7</v>
      </c>
      <c r="AE361" s="27" t="s">
        <v>8</v>
      </c>
      <c r="AF361" s="27" t="s">
        <v>7</v>
      </c>
      <c r="AG361" s="27" t="s">
        <v>8</v>
      </c>
      <c r="AH361" s="27" t="s">
        <v>7</v>
      </c>
      <c r="AI361" s="27" t="s">
        <v>8</v>
      </c>
      <c r="AK361" s="27" t="s">
        <v>8</v>
      </c>
      <c r="AM361" s="27" t="s">
        <v>8</v>
      </c>
      <c r="AN361" s="27" t="s">
        <v>7</v>
      </c>
      <c r="AO361" s="27" t="s">
        <v>8</v>
      </c>
      <c r="AP361" s="27" t="s">
        <v>7</v>
      </c>
      <c r="AR361" s="27" t="s">
        <v>7</v>
      </c>
      <c r="AS361" s="27" t="s">
        <v>8</v>
      </c>
      <c r="AT361" s="27" t="s">
        <v>7</v>
      </c>
      <c r="AU361" s="27" t="s">
        <v>8</v>
      </c>
    </row>
    <row r="362" spans="1:49" x14ac:dyDescent="0.25">
      <c r="A362" s="30">
        <v>2.5995939254524381E-3</v>
      </c>
      <c r="B362"/>
      <c r="C362"/>
      <c r="D362"/>
      <c r="E362"/>
      <c r="F362" s="27" t="s">
        <v>7</v>
      </c>
      <c r="I362" s="27" t="s">
        <v>8</v>
      </c>
      <c r="J362" s="27" t="s">
        <v>7</v>
      </c>
      <c r="K362" s="27" t="s">
        <v>8</v>
      </c>
      <c r="L362" s="27" t="s">
        <v>7</v>
      </c>
      <c r="M362" s="27" t="s">
        <v>8</v>
      </c>
      <c r="R362" s="27" t="s">
        <v>7</v>
      </c>
      <c r="S362" s="27" t="s">
        <v>8</v>
      </c>
      <c r="T362" s="27" t="s">
        <v>7</v>
      </c>
      <c r="W362" s="27" t="s">
        <v>8</v>
      </c>
      <c r="AC362" s="27" t="s">
        <v>8</v>
      </c>
      <c r="AD362" s="27" t="s">
        <v>7</v>
      </c>
      <c r="AE362" s="27" t="s">
        <v>8</v>
      </c>
      <c r="AF362" s="27" t="s">
        <v>7</v>
      </c>
      <c r="AG362" s="27" t="s">
        <v>8</v>
      </c>
      <c r="AH362" s="27" t="s">
        <v>7</v>
      </c>
      <c r="AI362" s="27" t="s">
        <v>8</v>
      </c>
      <c r="AJ362" s="27" t="s">
        <v>7</v>
      </c>
      <c r="AK362" s="27" t="s">
        <v>8</v>
      </c>
      <c r="AL362" s="27" t="s">
        <v>7</v>
      </c>
      <c r="AM362" s="27" t="s">
        <v>8</v>
      </c>
      <c r="AN362" s="27" t="s">
        <v>7</v>
      </c>
      <c r="AO362" s="27" t="s">
        <v>8</v>
      </c>
      <c r="AR362" s="27" t="s">
        <v>7</v>
      </c>
      <c r="AS362" s="27" t="s">
        <v>8</v>
      </c>
      <c r="AT362" s="27" t="s">
        <v>7</v>
      </c>
      <c r="AU362" s="27" t="s">
        <v>8</v>
      </c>
    </row>
    <row r="363" spans="1:49" x14ac:dyDescent="0.25">
      <c r="A363" s="30">
        <v>2.4758037385261304E-3</v>
      </c>
      <c r="B363"/>
      <c r="C363"/>
      <c r="D363"/>
      <c r="E363"/>
      <c r="F363" s="27" t="s">
        <v>7</v>
      </c>
      <c r="G363" s="27" t="s">
        <v>8</v>
      </c>
      <c r="I363" s="27" t="s">
        <v>8</v>
      </c>
      <c r="J363" s="27" t="s">
        <v>7</v>
      </c>
      <c r="K363" s="27" t="s">
        <v>8</v>
      </c>
      <c r="L363" s="27" t="s">
        <v>7</v>
      </c>
      <c r="R363" s="27" t="s">
        <v>7</v>
      </c>
      <c r="S363" s="27" t="s">
        <v>8</v>
      </c>
      <c r="T363" s="27" t="s">
        <v>7</v>
      </c>
      <c r="W363" s="27" t="s">
        <v>8</v>
      </c>
      <c r="X363" s="27" t="s">
        <v>7</v>
      </c>
      <c r="AC363" s="27" t="s">
        <v>8</v>
      </c>
      <c r="AD363" s="27" t="s">
        <v>7</v>
      </c>
      <c r="AE363" s="27" t="s">
        <v>8</v>
      </c>
      <c r="AF363" s="27" t="s">
        <v>7</v>
      </c>
      <c r="AG363" s="27" t="s">
        <v>8</v>
      </c>
      <c r="AH363" s="27" t="s">
        <v>7</v>
      </c>
      <c r="AI363" s="27" t="s">
        <v>8</v>
      </c>
      <c r="AJ363" s="27" t="s">
        <v>7</v>
      </c>
      <c r="AK363" s="27" t="s">
        <v>8</v>
      </c>
      <c r="AL363" s="27" t="s">
        <v>7</v>
      </c>
      <c r="AM363" s="27" t="s">
        <v>8</v>
      </c>
      <c r="AN363" s="27" t="s">
        <v>7</v>
      </c>
      <c r="AO363" s="27" t="s">
        <v>8</v>
      </c>
      <c r="AR363" s="27" t="s">
        <v>7</v>
      </c>
      <c r="AT363" s="27" t="s">
        <v>7</v>
      </c>
    </row>
    <row r="364" spans="1:49" x14ac:dyDescent="0.25">
      <c r="A364" s="30">
        <v>2.3579083224058374E-3</v>
      </c>
      <c r="B364"/>
      <c r="C364"/>
      <c r="D364"/>
      <c r="E364"/>
      <c r="F364" s="27" t="s">
        <v>7</v>
      </c>
      <c r="G364" s="27" t="s">
        <v>8</v>
      </c>
      <c r="H364" s="27" t="s">
        <v>7</v>
      </c>
      <c r="I364" s="27" t="s">
        <v>8</v>
      </c>
      <c r="J364" s="27" t="s">
        <v>7</v>
      </c>
      <c r="R364" s="27" t="s">
        <v>7</v>
      </c>
      <c r="S364" s="27" t="s">
        <v>8</v>
      </c>
      <c r="T364" s="27" t="s">
        <v>7</v>
      </c>
      <c r="W364" s="27" t="s">
        <v>8</v>
      </c>
      <c r="X364" s="27" t="s">
        <v>7</v>
      </c>
      <c r="Y364" s="27" t="s">
        <v>8</v>
      </c>
      <c r="AA364" s="27" t="s">
        <v>8</v>
      </c>
      <c r="AC364" s="27" t="s">
        <v>8</v>
      </c>
      <c r="AD364" s="27" t="s">
        <v>7</v>
      </c>
      <c r="AE364" s="27" t="s">
        <v>8</v>
      </c>
      <c r="AF364" s="27" t="s">
        <v>7</v>
      </c>
      <c r="AG364" s="27" t="s">
        <v>8</v>
      </c>
      <c r="AH364" s="27" t="s">
        <v>7</v>
      </c>
      <c r="AI364" s="27" t="s">
        <v>8</v>
      </c>
      <c r="AJ364" s="27" t="s">
        <v>7</v>
      </c>
      <c r="AK364" s="27" t="s">
        <v>8</v>
      </c>
      <c r="AL364" s="27" t="s">
        <v>7</v>
      </c>
      <c r="AN364" s="27" t="s">
        <v>7</v>
      </c>
      <c r="AO364" s="27" t="s">
        <v>8</v>
      </c>
    </row>
    <row r="365" spans="1:49" x14ac:dyDescent="0.25">
      <c r="A365" s="30">
        <v>2.245626973719844E-3</v>
      </c>
      <c r="B365"/>
      <c r="C365"/>
      <c r="D365"/>
      <c r="E365"/>
      <c r="F365" s="27" t="s">
        <v>7</v>
      </c>
      <c r="G365" s="27" t="s">
        <v>8</v>
      </c>
      <c r="H365" s="27" t="s">
        <v>7</v>
      </c>
      <c r="I365" s="27" t="s">
        <v>8</v>
      </c>
      <c r="R365" s="27" t="s">
        <v>7</v>
      </c>
      <c r="S365" s="27" t="s">
        <v>8</v>
      </c>
      <c r="T365" s="27" t="s">
        <v>7</v>
      </c>
      <c r="U365" s="27" t="s">
        <v>8</v>
      </c>
      <c r="W365" s="27" t="s">
        <v>8</v>
      </c>
      <c r="X365" s="27" t="s">
        <v>7</v>
      </c>
      <c r="Y365" s="27" t="s">
        <v>8</v>
      </c>
      <c r="Z365" s="27" t="s">
        <v>7</v>
      </c>
      <c r="AA365" s="27" t="s">
        <v>8</v>
      </c>
      <c r="AB365" s="27" t="s">
        <v>7</v>
      </c>
      <c r="AC365" s="27" t="s">
        <v>8</v>
      </c>
      <c r="AD365" s="27" t="s">
        <v>7</v>
      </c>
      <c r="AE365" s="27" t="s">
        <v>8</v>
      </c>
      <c r="AF365" s="27" t="s">
        <v>7</v>
      </c>
      <c r="AH365" s="27" t="s">
        <v>7</v>
      </c>
      <c r="AI365" s="27" t="s">
        <v>8</v>
      </c>
      <c r="AJ365" s="27" t="s">
        <v>7</v>
      </c>
      <c r="AK365" s="27" t="s">
        <v>8</v>
      </c>
      <c r="AN365" s="27" t="s">
        <v>7</v>
      </c>
      <c r="AO365" s="27" t="s">
        <v>8</v>
      </c>
    </row>
    <row r="366" spans="1:49" x14ac:dyDescent="0.25">
      <c r="A366" s="30">
        <v>2.1386923559236601E-3</v>
      </c>
      <c r="B366"/>
      <c r="C366"/>
      <c r="D366"/>
      <c r="E366"/>
      <c r="F366" s="27" t="s">
        <v>7</v>
      </c>
      <c r="G366" s="27" t="s">
        <v>8</v>
      </c>
      <c r="H366" s="27" t="s">
        <v>7</v>
      </c>
      <c r="I366" s="27" t="s">
        <v>8</v>
      </c>
      <c r="R366" s="27" t="s">
        <v>7</v>
      </c>
      <c r="S366" s="27" t="s">
        <v>8</v>
      </c>
      <c r="T366" s="27" t="s">
        <v>7</v>
      </c>
      <c r="U366" s="27" t="s">
        <v>8</v>
      </c>
      <c r="V366" s="27" t="s">
        <v>7</v>
      </c>
      <c r="W366" s="27" t="s">
        <v>8</v>
      </c>
      <c r="X366" s="27" t="s">
        <v>7</v>
      </c>
      <c r="Y366" s="27" t="s">
        <v>8</v>
      </c>
      <c r="Z366" s="27" t="s">
        <v>7</v>
      </c>
      <c r="AA366" s="27" t="s">
        <v>8</v>
      </c>
      <c r="AB366" s="27" t="s">
        <v>7</v>
      </c>
      <c r="AC366" s="27" t="s">
        <v>8</v>
      </c>
      <c r="AD366" s="27" t="s">
        <v>7</v>
      </c>
      <c r="AH366" s="27" t="s">
        <v>7</v>
      </c>
      <c r="AJ366" s="27" t="s">
        <v>7</v>
      </c>
      <c r="AK366" s="27" t="s">
        <v>8</v>
      </c>
      <c r="AN366" s="27" t="s">
        <v>7</v>
      </c>
      <c r="AO366" s="27" t="s">
        <v>8</v>
      </c>
    </row>
    <row r="367" spans="1:49" x14ac:dyDescent="0.25">
      <c r="A367" s="30">
        <v>2.0368498627844375E-3</v>
      </c>
      <c r="B367"/>
      <c r="C367"/>
      <c r="D367"/>
      <c r="E367"/>
      <c r="F367" s="27" t="s">
        <v>7</v>
      </c>
      <c r="H367" s="27" t="s">
        <v>7</v>
      </c>
      <c r="I367" s="27" t="s">
        <v>8</v>
      </c>
      <c r="R367" s="27" t="s">
        <v>7</v>
      </c>
      <c r="S367" s="27" t="s">
        <v>8</v>
      </c>
      <c r="T367" s="27" t="s">
        <v>7</v>
      </c>
      <c r="U367" s="27" t="s">
        <v>8</v>
      </c>
      <c r="V367" s="27" t="s">
        <v>7</v>
      </c>
      <c r="W367" s="27" t="s">
        <v>8</v>
      </c>
      <c r="X367" s="27" t="s">
        <v>7</v>
      </c>
      <c r="Z367" s="27" t="s">
        <v>7</v>
      </c>
      <c r="AA367" s="27" t="s">
        <v>8</v>
      </c>
      <c r="AB367" s="27" t="s">
        <v>7</v>
      </c>
      <c r="AJ367" s="27" t="s">
        <v>7</v>
      </c>
      <c r="AN367" s="27" t="s">
        <v>7</v>
      </c>
    </row>
    <row r="368" spans="1:49" x14ac:dyDescent="0.25">
      <c r="A368" s="30">
        <v>1.9398570121756541E-3</v>
      </c>
      <c r="B368"/>
      <c r="C368"/>
      <c r="D368"/>
      <c r="E368"/>
      <c r="H368" s="27" t="s">
        <v>7</v>
      </c>
      <c r="I368" s="27" t="s">
        <v>8</v>
      </c>
      <c r="R368" s="27" t="s">
        <v>7</v>
      </c>
      <c r="T368" s="27" t="s">
        <v>7</v>
      </c>
      <c r="V368" s="27" t="s">
        <v>7</v>
      </c>
      <c r="Z368" s="27" t="s">
        <v>7</v>
      </c>
      <c r="AA368" s="27" t="s">
        <v>8</v>
      </c>
    </row>
    <row r="369" spans="1:27" x14ac:dyDescent="0.25">
      <c r="A369" s="30">
        <v>1.8474828687387174E-3</v>
      </c>
      <c r="B369"/>
      <c r="C369"/>
      <c r="D369"/>
      <c r="E369"/>
      <c r="H369" s="27" t="s">
        <v>7</v>
      </c>
      <c r="Z369" s="27" t="s">
        <v>7</v>
      </c>
      <c r="AA369" s="27" t="s">
        <v>8</v>
      </c>
    </row>
    <row r="370" spans="1:27" x14ac:dyDescent="0.25">
      <c r="A370" s="30">
        <v>1.759507494036873E-3</v>
      </c>
      <c r="B370"/>
      <c r="C370"/>
      <c r="D370"/>
      <c r="E370"/>
      <c r="Z370" s="27" t="s">
        <v>7</v>
      </c>
    </row>
    <row r="371" spans="1:27" x14ac:dyDescent="0.25">
      <c r="A371" s="30">
        <v>1.6757214228922594E-3</v>
      </c>
      <c r="B371"/>
      <c r="C371"/>
      <c r="D371"/>
      <c r="E371"/>
    </row>
    <row r="372" spans="1:27" x14ac:dyDescent="0.25">
      <c r="A372" s="30">
        <v>1.595925164659294E-3</v>
      </c>
      <c r="B372"/>
      <c r="C372"/>
      <c r="D372"/>
      <c r="E372"/>
    </row>
    <row r="373" spans="1:27" x14ac:dyDescent="0.25">
      <c r="A373" s="30">
        <v>1.5199287282469461E-3</v>
      </c>
      <c r="B373"/>
      <c r="C373"/>
      <c r="D373"/>
      <c r="E373"/>
    </row>
    <row r="374" spans="1:27" x14ac:dyDescent="0.25">
      <c r="A374" s="30">
        <v>1.4475511697589958E-3</v>
      </c>
      <c r="B374"/>
      <c r="C374"/>
      <c r="D374"/>
      <c r="E374"/>
    </row>
    <row r="375" spans="1:27" x14ac:dyDescent="0.25">
      <c r="A375" s="30">
        <v>1.3786201616752334E-3</v>
      </c>
      <c r="B375"/>
      <c r="C375"/>
      <c r="D375"/>
      <c r="E375"/>
    </row>
    <row r="376" spans="1:27" x14ac:dyDescent="0.25">
      <c r="A376" s="30">
        <v>1.3129715825478407E-3</v>
      </c>
      <c r="B376"/>
      <c r="C376"/>
      <c r="D376"/>
      <c r="E376"/>
    </row>
    <row r="377" spans="1:27" x14ac:dyDescent="0.25">
      <c r="A377" s="30">
        <v>1.2504491262360382E-3</v>
      </c>
      <c r="B377"/>
      <c r="C377"/>
      <c r="D377"/>
      <c r="E377"/>
    </row>
    <row r="378" spans="1:27" x14ac:dyDescent="0.25">
      <c r="A378" s="30">
        <v>1.1909039297486072E-3</v>
      </c>
      <c r="B378"/>
      <c r="C378"/>
      <c r="D378"/>
      <c r="E378"/>
    </row>
    <row r="379" spans="1:27" x14ac:dyDescent="0.25">
      <c r="A379" s="30">
        <v>1.1341942188081969E-3</v>
      </c>
      <c r="B379"/>
      <c r="C379"/>
      <c r="D379"/>
      <c r="E379"/>
    </row>
    <row r="380" spans="1:27" x14ac:dyDescent="0.25">
      <c r="A380" s="30">
        <v>1.0801849702935203E-3</v>
      </c>
      <c r="B380"/>
      <c r="C380"/>
      <c r="D380"/>
      <c r="E380"/>
    </row>
    <row r="381" spans="1:27" x14ac:dyDescent="0.25">
      <c r="A381" s="30">
        <v>1.0287475907557332E-3</v>
      </c>
      <c r="B381"/>
      <c r="C381"/>
      <c r="D381"/>
      <c r="E381"/>
    </row>
    <row r="382" spans="1:27" x14ac:dyDescent="0.25">
      <c r="A382" s="30">
        <v>9.7731021121794646E-4</v>
      </c>
    </row>
    <row r="383" spans="1:27" x14ac:dyDescent="0.25">
      <c r="A383" s="30">
        <v>9.2844470065704904E-4</v>
      </c>
    </row>
    <row r="384" spans="1:27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16" operator="equal">
      <formula>$U$1</formula>
    </cfRule>
    <cfRule type="cellIs" dxfId="67" priority="1017" operator="equal">
      <formula>$S$1</formula>
    </cfRule>
  </conditionalFormatting>
  <conditionalFormatting sqref="D136">
    <cfRule type="cellIs" dxfId="66" priority="1014" operator="equal">
      <formula>$S$1</formula>
    </cfRule>
    <cfRule type="cellIs" dxfId="65" priority="1015" operator="equal">
      <formula>$U$1</formula>
    </cfRule>
  </conditionalFormatting>
  <conditionalFormatting sqref="C162">
    <cfRule type="cellIs" dxfId="64" priority="1012" operator="equal">
      <formula>$U$1</formula>
    </cfRule>
    <cfRule type="cellIs" dxfId="63" priority="1013" operator="equal">
      <formula>$S$1</formula>
    </cfRule>
  </conditionalFormatting>
  <conditionalFormatting sqref="D162">
    <cfRule type="cellIs" dxfId="62" priority="1010" operator="equal">
      <formula>$S$1</formula>
    </cfRule>
    <cfRule type="cellIs" dxfId="61" priority="1011" operator="equal">
      <formula>$U$1</formula>
    </cfRule>
  </conditionalFormatting>
  <conditionalFormatting sqref="C187">
    <cfRule type="cellIs" dxfId="60" priority="1008" operator="equal">
      <formula>$U$1</formula>
    </cfRule>
    <cfRule type="cellIs" dxfId="59" priority="1009" operator="equal">
      <formula>$S$1</formula>
    </cfRule>
  </conditionalFormatting>
  <conditionalFormatting sqref="D187">
    <cfRule type="cellIs" dxfId="58" priority="1006" operator="equal">
      <formula>$S$1</formula>
    </cfRule>
    <cfRule type="cellIs" dxfId="57" priority="1007" operator="equal">
      <formula>$U$1</formula>
    </cfRule>
  </conditionalFormatting>
  <conditionalFormatting sqref="C212">
    <cfRule type="cellIs" dxfId="56" priority="1004" operator="equal">
      <formula>$U$1</formula>
    </cfRule>
    <cfRule type="cellIs" dxfId="55" priority="1005" operator="equal">
      <formula>$S$1</formula>
    </cfRule>
  </conditionalFormatting>
  <conditionalFormatting sqref="D212">
    <cfRule type="cellIs" dxfId="54" priority="1002" operator="equal">
      <formula>$S$1</formula>
    </cfRule>
    <cfRule type="cellIs" dxfId="53" priority="1003" operator="equal">
      <formula>$U$1</formula>
    </cfRule>
  </conditionalFormatting>
  <conditionalFormatting sqref="C237">
    <cfRule type="cellIs" dxfId="52" priority="1000" operator="equal">
      <formula>$U$1</formula>
    </cfRule>
    <cfRule type="cellIs" dxfId="51" priority="1001" operator="equal">
      <formula>$S$1</formula>
    </cfRule>
  </conditionalFormatting>
  <conditionalFormatting sqref="D237">
    <cfRule type="cellIs" dxfId="50" priority="998" operator="equal">
      <formula>$S$1</formula>
    </cfRule>
    <cfRule type="cellIs" dxfId="49" priority="999" operator="equal">
      <formula>$U$1</formula>
    </cfRule>
  </conditionalFormatting>
  <conditionalFormatting sqref="C106">
    <cfRule type="cellIs" dxfId="48" priority="996" operator="equal">
      <formula>$U$1</formula>
    </cfRule>
    <cfRule type="cellIs" dxfId="47" priority="997" operator="equal">
      <formula>$S$1</formula>
    </cfRule>
  </conditionalFormatting>
  <conditionalFormatting sqref="D106">
    <cfRule type="cellIs" dxfId="46" priority="994" operator="equal">
      <formula>$S$1</formula>
    </cfRule>
    <cfRule type="cellIs" dxfId="45" priority="995" operator="equal">
      <formula>$U$1</formula>
    </cfRule>
  </conditionalFormatting>
  <conditionalFormatting sqref="C81">
    <cfRule type="cellIs" dxfId="44" priority="992" operator="equal">
      <formula>$U$1</formula>
    </cfRule>
    <cfRule type="cellIs" dxfId="43" priority="993" operator="equal">
      <formula>$S$1</formula>
    </cfRule>
  </conditionalFormatting>
  <conditionalFormatting sqref="D81">
    <cfRule type="cellIs" dxfId="42" priority="990" operator="equal">
      <formula>$S$1</formula>
    </cfRule>
    <cfRule type="cellIs" dxfId="41" priority="991" operator="equal">
      <formula>$U$1</formula>
    </cfRule>
  </conditionalFormatting>
  <conditionalFormatting sqref="C56">
    <cfRule type="cellIs" dxfId="40" priority="988" operator="equal">
      <formula>$U$1</formula>
    </cfRule>
    <cfRule type="cellIs" dxfId="39" priority="989" operator="equal">
      <formula>$S$1</formula>
    </cfRule>
  </conditionalFormatting>
  <conditionalFormatting sqref="D56">
    <cfRule type="cellIs" dxfId="38" priority="986" operator="equal">
      <formula>$S$1</formula>
    </cfRule>
    <cfRule type="cellIs" dxfId="37" priority="987" operator="equal">
      <formula>$U$1</formula>
    </cfRule>
  </conditionalFormatting>
  <conditionalFormatting sqref="C31">
    <cfRule type="cellIs" dxfId="36" priority="984" operator="equal">
      <formula>$U$1</formula>
    </cfRule>
    <cfRule type="cellIs" dxfId="35" priority="985" operator="equal">
      <formula>$S$1</formula>
    </cfRule>
  </conditionalFormatting>
  <conditionalFormatting sqref="D31">
    <cfRule type="cellIs" dxfId="34" priority="982" operator="equal">
      <formula>$S$1</formula>
    </cfRule>
    <cfRule type="cellIs" dxfId="33" priority="98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40" zoomScale="90" zoomScaleNormal="90" workbookViewId="0">
      <pane xSplit="4" topLeftCell="G1" activePane="topRight" state="frozen"/>
      <selection activeCell="A109" sqref="A109"/>
      <selection pane="topRight" activeCell="AZ168" sqref="AZ16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$A$167</v>
      </c>
      <c r="D111" s="1" t="str">
        <f>ADDRESS(C121-1,D121,1,1)</f>
        <v>$AZ$167</v>
      </c>
      <c r="E111"/>
    </row>
    <row r="112" spans="1:5" x14ac:dyDescent="0.25">
      <c r="A112" s="30">
        <v>2.3579476910000019</v>
      </c>
      <c r="C112" s="1" t="str">
        <f>ADDRESS(C121,1,1,1)</f>
        <v>$A$168</v>
      </c>
      <c r="D112" s="1" t="str">
        <f>ADDRESS(C121,D121-1,1,1)</f>
        <v>$AY$168</v>
      </c>
      <c r="E112"/>
    </row>
    <row r="113" spans="1:6" x14ac:dyDescent="0.25">
      <c r="A113" s="30">
        <v>2.1435888100000016</v>
      </c>
      <c r="C113" s="1" t="str">
        <f>ADDRESS(C121+1,1,1,1)</f>
        <v>$A$169</v>
      </c>
      <c r="D113" s="1" t="str">
        <f>ADDRESS(C121-1,D121+1,1,1)</f>
        <v>$BA$167</v>
      </c>
    </row>
    <row r="114" spans="1:6" x14ac:dyDescent="0.25">
      <c r="A114" s="30">
        <v>1.9487171000000014</v>
      </c>
      <c r="C114" s="1" t="str">
        <f>ADDRESS(C121,D121,1,1)</f>
        <v>$AZ$168</v>
      </c>
      <c r="D114" s="1" t="str">
        <f>ADDRESS(C121+1,D121+1,1,1)</f>
        <v>$BA$169</v>
      </c>
    </row>
    <row r="115" spans="1:6" x14ac:dyDescent="0.25">
      <c r="A115" s="30">
        <v>1.7715610000000011</v>
      </c>
      <c r="C115" s="1" t="str">
        <f>ADDRESS(C121+1,D121,1,1)</f>
        <v>$AZ$169</v>
      </c>
    </row>
    <row r="116" spans="1:6" x14ac:dyDescent="0.25">
      <c r="A116" s="30">
        <v>1.6105100000000008</v>
      </c>
      <c r="C116" s="1">
        <f>C117-1</f>
        <v>167</v>
      </c>
    </row>
    <row r="117" spans="1:6" x14ac:dyDescent="0.25">
      <c r="A117" s="30">
        <v>1.4641000000000006</v>
      </c>
      <c r="C117" s="1">
        <f>C121</f>
        <v>168</v>
      </c>
      <c r="D117" s="1">
        <f>D121</f>
        <v>52</v>
      </c>
    </row>
    <row r="118" spans="1:6" x14ac:dyDescent="0.25">
      <c r="A118" s="30">
        <v>1.3310000000000004</v>
      </c>
      <c r="C118" s="1">
        <f>C117+1</f>
        <v>169</v>
      </c>
      <c r="D118" s="1">
        <f>D117+1</f>
        <v>53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168</v>
      </c>
      <c r="D121" s="19">
        <v>52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R168</v>
      </c>
      <c r="D123" s="1" t="str">
        <f>"C"&amp;D121</f>
        <v>C52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1.1338191753015267E-2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52" x14ac:dyDescent="0.25">
      <c r="A145" s="30">
        <v>0.10152559799477026</v>
      </c>
      <c r="B145"/>
      <c r="C145"/>
      <c r="D145"/>
      <c r="E145"/>
      <c r="F145" s="27" t="s">
        <v>7</v>
      </c>
    </row>
    <row r="146" spans="1:52" x14ac:dyDescent="0.25">
      <c r="A146" s="30">
        <v>9.2295998177063854E-2</v>
      </c>
      <c r="B146"/>
      <c r="C146"/>
      <c r="D146"/>
      <c r="E146"/>
      <c r="F146" s="27" t="s">
        <v>7</v>
      </c>
      <c r="AA146" s="27" t="s">
        <v>8</v>
      </c>
    </row>
    <row r="147" spans="1:52" x14ac:dyDescent="0.25">
      <c r="A147" s="30">
        <v>8.3905452888239848E-2</v>
      </c>
      <c r="B147"/>
      <c r="C147"/>
      <c r="D147"/>
      <c r="E147"/>
      <c r="F147" s="27" t="s">
        <v>7</v>
      </c>
      <c r="AA147" s="27" t="s">
        <v>8</v>
      </c>
      <c r="AB147" s="27" t="s">
        <v>7</v>
      </c>
    </row>
    <row r="148" spans="1:52" x14ac:dyDescent="0.25">
      <c r="A148" s="30">
        <v>7.6277684443854396E-2</v>
      </c>
      <c r="B148"/>
      <c r="C148"/>
      <c r="D148"/>
      <c r="E148"/>
      <c r="F148" s="27" t="s">
        <v>7</v>
      </c>
      <c r="Y148" s="27" t="s">
        <v>8</v>
      </c>
      <c r="AA148" s="27" t="s">
        <v>8</v>
      </c>
      <c r="AB148" s="27" t="s">
        <v>7</v>
      </c>
      <c r="AC148" s="27" t="s">
        <v>8</v>
      </c>
    </row>
    <row r="149" spans="1:52" x14ac:dyDescent="0.25">
      <c r="A149" s="30">
        <v>6.9343349494413078E-2</v>
      </c>
      <c r="B149"/>
      <c r="C149"/>
      <c r="D149"/>
      <c r="E149"/>
      <c r="F149" s="27" t="s">
        <v>7</v>
      </c>
      <c r="Y149" s="27" t="s">
        <v>8</v>
      </c>
      <c r="Z149" s="27" t="s">
        <v>7</v>
      </c>
      <c r="AA149" s="27" t="s">
        <v>8</v>
      </c>
      <c r="AB149" s="27" t="s">
        <v>7</v>
      </c>
      <c r="AC149" s="27" t="s">
        <v>8</v>
      </c>
      <c r="AD149" s="27" t="s">
        <v>7</v>
      </c>
    </row>
    <row r="150" spans="1:52" x14ac:dyDescent="0.25">
      <c r="A150" s="30">
        <v>6.3039408631284613E-2</v>
      </c>
      <c r="B150"/>
      <c r="C150"/>
      <c r="D150"/>
      <c r="E150"/>
      <c r="F150" s="27" t="s">
        <v>7</v>
      </c>
      <c r="Y150" s="27" t="s">
        <v>8</v>
      </c>
      <c r="Z150" s="27" t="s">
        <v>7</v>
      </c>
      <c r="AA150" s="27" t="s">
        <v>8</v>
      </c>
      <c r="AB150" s="27" t="s">
        <v>7</v>
      </c>
      <c r="AC150" s="27" t="s">
        <v>8</v>
      </c>
      <c r="AD150" s="27" t="s">
        <v>7</v>
      </c>
    </row>
    <row r="151" spans="1:52" x14ac:dyDescent="0.25">
      <c r="A151" s="30">
        <v>5.7308553301167818E-2</v>
      </c>
      <c r="B151"/>
      <c r="C151"/>
      <c r="D151"/>
      <c r="E151"/>
      <c r="F151" s="27" t="s">
        <v>7</v>
      </c>
      <c r="Y151" s="27" t="s">
        <v>8</v>
      </c>
      <c r="Z151" s="27" t="s">
        <v>7</v>
      </c>
      <c r="AA151" s="27" t="s">
        <v>8</v>
      </c>
      <c r="AB151" s="27" t="s">
        <v>7</v>
      </c>
      <c r="AD151" s="27" t="s">
        <v>7</v>
      </c>
      <c r="AE151" s="27" t="s">
        <v>8</v>
      </c>
      <c r="AQ151" s="27" t="s">
        <v>8</v>
      </c>
    </row>
    <row r="152" spans="1:52" x14ac:dyDescent="0.25">
      <c r="A152" s="30">
        <v>5.2098684819243464E-2</v>
      </c>
      <c r="B152"/>
      <c r="C152"/>
      <c r="D152"/>
      <c r="E152"/>
      <c r="F152" s="27" t="s">
        <v>7</v>
      </c>
      <c r="Y152" s="27" t="s">
        <v>8</v>
      </c>
      <c r="Z152" s="27" t="s">
        <v>7</v>
      </c>
      <c r="AA152" s="27" t="s">
        <v>8</v>
      </c>
      <c r="AD152" s="31" t="s">
        <v>7</v>
      </c>
      <c r="AE152" s="27" t="s">
        <v>8</v>
      </c>
      <c r="AF152" s="27" t="s">
        <v>7</v>
      </c>
      <c r="AG152" s="27" t="s">
        <v>8</v>
      </c>
      <c r="AQ152" s="27" t="s">
        <v>8</v>
      </c>
      <c r="AR152" s="27" t="s">
        <v>7</v>
      </c>
    </row>
    <row r="153" spans="1:52" x14ac:dyDescent="0.25">
      <c r="A153" s="30">
        <v>4.7362440744766775E-2</v>
      </c>
      <c r="B153"/>
      <c r="C153"/>
      <c r="D153"/>
      <c r="E153"/>
      <c r="F153" s="27" t="s">
        <v>7</v>
      </c>
      <c r="Y153" s="27" t="s">
        <v>8</v>
      </c>
      <c r="Z153" s="27" t="s">
        <v>7</v>
      </c>
      <c r="AD153" s="27" t="s">
        <v>7</v>
      </c>
      <c r="AE153" s="27" t="s">
        <v>8</v>
      </c>
      <c r="AF153" s="27" t="s">
        <v>7</v>
      </c>
      <c r="AG153" s="27" t="s">
        <v>8</v>
      </c>
      <c r="AH153" s="27" t="s">
        <v>7</v>
      </c>
      <c r="AQ153" s="27" t="s">
        <v>8</v>
      </c>
      <c r="AR153" s="27" t="s">
        <v>7</v>
      </c>
    </row>
    <row r="154" spans="1:52" x14ac:dyDescent="0.25">
      <c r="A154" s="30">
        <v>4.3056764313424332E-2</v>
      </c>
      <c r="B154"/>
      <c r="C154"/>
      <c r="D154"/>
      <c r="E154"/>
      <c r="F154" s="27" t="s">
        <v>7</v>
      </c>
      <c r="Y154" s="27" t="s">
        <v>8</v>
      </c>
      <c r="AD154" s="27" t="s">
        <v>7</v>
      </c>
      <c r="AE154" s="27" t="s">
        <v>8</v>
      </c>
      <c r="AF154" s="27" t="s">
        <v>7</v>
      </c>
      <c r="AG154" s="27" t="s">
        <v>8</v>
      </c>
      <c r="AH154" s="27" t="s">
        <v>7</v>
      </c>
      <c r="AQ154" s="27" t="s">
        <v>8</v>
      </c>
      <c r="AR154" s="27" t="s">
        <v>7</v>
      </c>
    </row>
    <row r="155" spans="1:52" x14ac:dyDescent="0.25">
      <c r="A155" s="30">
        <v>3.9142513012203929E-2</v>
      </c>
      <c r="B155"/>
      <c r="C155"/>
      <c r="D155"/>
      <c r="E155"/>
      <c r="F155" s="27" t="s">
        <v>7</v>
      </c>
      <c r="Y155" s="27" t="s">
        <v>8</v>
      </c>
      <c r="AD155" s="27" t="s">
        <v>7</v>
      </c>
      <c r="AE155" s="27" t="s">
        <v>8</v>
      </c>
      <c r="AF155" s="27" t="s">
        <v>7</v>
      </c>
      <c r="AH155" s="27" t="s">
        <v>7</v>
      </c>
      <c r="AQ155" s="27" t="s">
        <v>8</v>
      </c>
      <c r="AR155" s="27" t="s">
        <v>7</v>
      </c>
      <c r="AS155" s="34" t="s">
        <v>8</v>
      </c>
      <c r="AU155" s="34" t="s">
        <v>8</v>
      </c>
    </row>
    <row r="156" spans="1:52" x14ac:dyDescent="0.25">
      <c r="A156" s="30">
        <v>3.55841027383672E-2</v>
      </c>
      <c r="B156"/>
      <c r="C156"/>
      <c r="D156"/>
      <c r="E156"/>
      <c r="F156" s="27" t="s">
        <v>7</v>
      </c>
      <c r="Y156" s="27" t="s">
        <v>8</v>
      </c>
      <c r="AD156" s="27" t="s">
        <v>7</v>
      </c>
      <c r="AE156" s="27" t="s">
        <v>8</v>
      </c>
      <c r="AH156" s="27" t="s">
        <v>7</v>
      </c>
      <c r="AQ156" s="27" t="s">
        <v>8</v>
      </c>
      <c r="AR156" s="27" t="s">
        <v>7</v>
      </c>
      <c r="AS156" s="27" t="s">
        <v>8</v>
      </c>
      <c r="AT156" s="27" t="s">
        <v>7</v>
      </c>
      <c r="AU156" s="27" t="s">
        <v>8</v>
      </c>
      <c r="AV156" s="27" t="s">
        <v>7</v>
      </c>
      <c r="AW156" s="27" t="s">
        <v>8</v>
      </c>
    </row>
    <row r="157" spans="1:52" x14ac:dyDescent="0.25">
      <c r="A157" s="30">
        <v>3.2349184307606541E-2</v>
      </c>
      <c r="B157"/>
      <c r="C157"/>
      <c r="D157"/>
      <c r="E157"/>
      <c r="F157" s="27" t="s">
        <v>7</v>
      </c>
      <c r="Y157" s="27" t="s">
        <v>8</v>
      </c>
      <c r="AD157" s="27" t="s">
        <v>7</v>
      </c>
      <c r="AH157" s="27" t="s">
        <v>7</v>
      </c>
      <c r="AI157" s="27" t="s">
        <v>8</v>
      </c>
      <c r="AQ157" s="27" t="s">
        <v>8</v>
      </c>
      <c r="AR157" s="27" t="s">
        <v>7</v>
      </c>
      <c r="AS157" s="27" t="s">
        <v>8</v>
      </c>
      <c r="AT157" s="27" t="s">
        <v>7</v>
      </c>
      <c r="AU157" s="27" t="s">
        <v>8</v>
      </c>
      <c r="AV157" s="27" t="s">
        <v>7</v>
      </c>
      <c r="AW157" s="27" t="s">
        <v>8</v>
      </c>
      <c r="AX157" s="27" t="s">
        <v>7</v>
      </c>
    </row>
    <row r="158" spans="1:52" x14ac:dyDescent="0.25">
      <c r="A158" s="30">
        <v>2.9408349370551395E-2</v>
      </c>
      <c r="B158"/>
      <c r="C158"/>
      <c r="D158"/>
      <c r="E158"/>
      <c r="F158" s="27" t="s">
        <v>7</v>
      </c>
      <c r="Y158" s="27" t="s">
        <v>8</v>
      </c>
      <c r="AH158" s="27" t="s">
        <v>7</v>
      </c>
      <c r="AI158" s="27" t="s">
        <v>8</v>
      </c>
      <c r="AJ158" s="27" t="s">
        <v>7</v>
      </c>
      <c r="AK158" s="27" t="s">
        <v>8</v>
      </c>
      <c r="AQ158" s="27" t="s">
        <v>8</v>
      </c>
      <c r="AR158" s="27" t="s">
        <v>7</v>
      </c>
      <c r="AT158" s="27" t="s">
        <v>7</v>
      </c>
      <c r="AU158" s="27" t="s">
        <v>8</v>
      </c>
      <c r="AV158" s="27" t="s">
        <v>7</v>
      </c>
      <c r="AW158" s="27" t="s">
        <v>8</v>
      </c>
      <c r="AX158" s="27" t="s">
        <v>7</v>
      </c>
    </row>
    <row r="159" spans="1:52" x14ac:dyDescent="0.25">
      <c r="A159" s="30">
        <v>2.6734863064137627E-2</v>
      </c>
      <c r="B159"/>
      <c r="C159"/>
      <c r="D159"/>
      <c r="E159"/>
      <c r="F159" s="27" t="s">
        <v>7</v>
      </c>
      <c r="W159" s="27" t="s">
        <v>8</v>
      </c>
      <c r="Y159" s="27" t="s">
        <v>8</v>
      </c>
      <c r="AH159" s="27" t="s">
        <v>7</v>
      </c>
      <c r="AI159" s="27" t="s">
        <v>8</v>
      </c>
      <c r="AJ159" s="27" t="s">
        <v>7</v>
      </c>
      <c r="AK159" s="27" t="s">
        <v>8</v>
      </c>
      <c r="AL159" s="27" t="s">
        <v>7</v>
      </c>
      <c r="AM159" s="27" t="s">
        <v>8</v>
      </c>
      <c r="AQ159" s="27" t="s">
        <v>8</v>
      </c>
      <c r="AT159" s="31" t="s">
        <v>7</v>
      </c>
      <c r="AU159" s="27" t="s">
        <v>8</v>
      </c>
      <c r="AV159" s="27" t="s">
        <v>7</v>
      </c>
      <c r="AW159" s="33"/>
      <c r="AX159" s="27" t="s">
        <v>7</v>
      </c>
      <c r="AY159" s="27" t="s">
        <v>8</v>
      </c>
    </row>
    <row r="160" spans="1:52" x14ac:dyDescent="0.25">
      <c r="A160" s="30">
        <v>2.4304420967397839E-2</v>
      </c>
      <c r="B160"/>
      <c r="C160"/>
      <c r="D160"/>
      <c r="E160"/>
      <c r="F160" s="27" t="s">
        <v>7</v>
      </c>
      <c r="W160" s="27" t="s">
        <v>8</v>
      </c>
      <c r="X160" s="27" t="s">
        <v>7</v>
      </c>
      <c r="Y160" s="27" t="s">
        <v>8</v>
      </c>
      <c r="AH160" s="27" t="s">
        <v>7</v>
      </c>
      <c r="AI160" s="27" t="s">
        <v>8</v>
      </c>
      <c r="AJ160" s="27" t="s">
        <v>7</v>
      </c>
      <c r="AK160" s="27" t="s">
        <v>8</v>
      </c>
      <c r="AL160" s="27" t="s">
        <v>7</v>
      </c>
      <c r="AM160" s="27" t="s">
        <v>8</v>
      </c>
      <c r="AN160" s="27" t="s">
        <v>7</v>
      </c>
      <c r="AQ160" s="32" t="s">
        <v>8</v>
      </c>
      <c r="AT160" s="27" t="s">
        <v>7</v>
      </c>
      <c r="AV160" s="33"/>
      <c r="AX160" s="27" t="s">
        <v>7</v>
      </c>
      <c r="AY160" s="27" t="s">
        <v>8</v>
      </c>
      <c r="AZ160" s="27" t="s">
        <v>7</v>
      </c>
    </row>
    <row r="161" spans="1:52" x14ac:dyDescent="0.25">
      <c r="A161" s="30">
        <v>2.2094928152179852E-2</v>
      </c>
      <c r="B161"/>
      <c r="C161"/>
      <c r="D161"/>
      <c r="E161"/>
      <c r="F161" s="27" t="s">
        <v>7</v>
      </c>
      <c r="W161" s="27" t="s">
        <v>8</v>
      </c>
      <c r="X161" s="27" t="s">
        <v>7</v>
      </c>
      <c r="Y161" s="27" t="s">
        <v>8</v>
      </c>
      <c r="AH161" s="27" t="s">
        <v>7</v>
      </c>
      <c r="AI161" s="27" t="s">
        <v>8</v>
      </c>
      <c r="AJ161" s="27" t="s">
        <v>7</v>
      </c>
      <c r="AK161" s="27" t="s">
        <v>8</v>
      </c>
      <c r="AL161" s="27" t="s">
        <v>7</v>
      </c>
      <c r="AM161" s="33" t="s">
        <v>8</v>
      </c>
      <c r="AN161" s="27" t="s">
        <v>7</v>
      </c>
      <c r="AO161" s="27" t="s">
        <v>8</v>
      </c>
      <c r="AQ161" s="27" t="s">
        <v>8</v>
      </c>
      <c r="AU161" s="33"/>
      <c r="AX161" s="27" t="s">
        <v>7</v>
      </c>
      <c r="AY161" s="27" t="s">
        <v>8</v>
      </c>
      <c r="AZ161" s="27" t="s">
        <v>7</v>
      </c>
    </row>
    <row r="162" spans="1:52" x14ac:dyDescent="0.25">
      <c r="A162" s="30">
        <v>2.0086298320163499E-2</v>
      </c>
      <c r="B162"/>
      <c r="C162"/>
      <c r="D162"/>
      <c r="E162"/>
      <c r="F162" s="27" t="s">
        <v>7</v>
      </c>
      <c r="W162" s="27" t="s">
        <v>8</v>
      </c>
      <c r="X162" s="27" t="s">
        <v>7</v>
      </c>
      <c r="AH162" s="27" t="s">
        <v>7</v>
      </c>
      <c r="AI162" s="27" t="s">
        <v>8</v>
      </c>
      <c r="AJ162" s="34" t="s">
        <v>7</v>
      </c>
      <c r="AL162" s="34" t="s">
        <v>7</v>
      </c>
      <c r="AN162" s="27" t="s">
        <v>7</v>
      </c>
      <c r="AO162" s="27" t="s">
        <v>8</v>
      </c>
      <c r="AP162" s="27" t="s">
        <v>7</v>
      </c>
      <c r="AQ162" s="27" t="s">
        <v>8</v>
      </c>
      <c r="AT162" s="33"/>
      <c r="AX162" s="27" t="s">
        <v>7</v>
      </c>
      <c r="AY162" s="27" t="s">
        <v>8</v>
      </c>
      <c r="AZ162" s="27" t="s">
        <v>7</v>
      </c>
    </row>
    <row r="163" spans="1:52" x14ac:dyDescent="0.25">
      <c r="A163" s="30">
        <v>1.8260271200148632E-2</v>
      </c>
      <c r="B163"/>
      <c r="C163"/>
      <c r="D163"/>
      <c r="E163"/>
      <c r="F163" s="27" t="s">
        <v>7</v>
      </c>
      <c r="W163" s="27" t="s">
        <v>8</v>
      </c>
      <c r="AH163" s="27" t="s">
        <v>7</v>
      </c>
      <c r="AI163" s="27" t="s">
        <v>8</v>
      </c>
      <c r="AK163" s="33"/>
      <c r="AN163" s="27" t="s">
        <v>7</v>
      </c>
      <c r="AO163" s="27" t="s">
        <v>8</v>
      </c>
      <c r="AP163" s="27" t="s">
        <v>7</v>
      </c>
      <c r="AQ163" s="27" t="s">
        <v>8</v>
      </c>
      <c r="AS163" s="33"/>
      <c r="AX163" s="27" t="s">
        <v>7</v>
      </c>
      <c r="AZ163" s="27" t="s">
        <v>7</v>
      </c>
    </row>
    <row r="164" spans="1:52" x14ac:dyDescent="0.25">
      <c r="A164" s="30">
        <v>1.6600246545589663E-2</v>
      </c>
      <c r="B164"/>
      <c r="C164"/>
      <c r="D164"/>
      <c r="E164"/>
      <c r="F164" s="27" t="s">
        <v>7</v>
      </c>
      <c r="S164" s="27" t="s">
        <v>8</v>
      </c>
      <c r="W164" s="27" t="s">
        <v>8</v>
      </c>
      <c r="AH164" s="27" t="s">
        <v>7</v>
      </c>
      <c r="AJ164" s="33"/>
      <c r="AN164" s="27" t="s">
        <v>7</v>
      </c>
      <c r="AO164" s="27" t="s">
        <v>8</v>
      </c>
      <c r="AP164" s="27" t="s">
        <v>7</v>
      </c>
      <c r="AQ164" s="27" t="s">
        <v>8</v>
      </c>
      <c r="AR164" s="33"/>
      <c r="AZ164" s="27" t="s">
        <v>7</v>
      </c>
    </row>
    <row r="165" spans="1:52" x14ac:dyDescent="0.25">
      <c r="A165" s="30">
        <v>1.5091133223263328E-2</v>
      </c>
      <c r="B165"/>
      <c r="C165"/>
      <c r="D165"/>
      <c r="E165"/>
      <c r="F165" s="27" t="s">
        <v>7</v>
      </c>
      <c r="S165" s="27" t="s">
        <v>8</v>
      </c>
      <c r="T165" s="27" t="s">
        <v>7</v>
      </c>
      <c r="W165" s="27" t="s">
        <v>8</v>
      </c>
      <c r="AI165" s="33"/>
      <c r="AN165" s="27" t="s">
        <v>7</v>
      </c>
      <c r="AO165" s="27" t="s">
        <v>8</v>
      </c>
      <c r="AP165" s="18" t="s">
        <v>7</v>
      </c>
      <c r="AQ165" s="33" t="s">
        <v>8</v>
      </c>
      <c r="AZ165" s="27" t="s">
        <v>7</v>
      </c>
    </row>
    <row r="166" spans="1:52" x14ac:dyDescent="0.25">
      <c r="A166" s="30">
        <v>1.3719212021148477E-2</v>
      </c>
      <c r="B166"/>
      <c r="C166"/>
      <c r="D166"/>
      <c r="E166"/>
      <c r="F166" s="27" t="s">
        <v>7</v>
      </c>
      <c r="S166" s="27" t="s">
        <v>8</v>
      </c>
      <c r="T166" s="27" t="s">
        <v>7</v>
      </c>
      <c r="U166" s="27" t="s">
        <v>8</v>
      </c>
      <c r="W166" s="27" t="s">
        <v>8</v>
      </c>
      <c r="AH166" s="33"/>
      <c r="AN166" s="27" t="s">
        <v>7</v>
      </c>
      <c r="AO166" s="27" t="s">
        <v>8</v>
      </c>
      <c r="AP166" s="33" t="s">
        <v>7</v>
      </c>
      <c r="AZ166" s="27" t="s">
        <v>7</v>
      </c>
    </row>
    <row r="167" spans="1:52" x14ac:dyDescent="0.25">
      <c r="A167" s="30">
        <v>1.2472010928316795E-2</v>
      </c>
      <c r="B167"/>
      <c r="C167"/>
      <c r="D167"/>
      <c r="E167"/>
      <c r="F167" s="27" t="s">
        <v>7</v>
      </c>
      <c r="S167" s="27" t="s">
        <v>8</v>
      </c>
      <c r="T167" s="27" t="s">
        <v>7</v>
      </c>
      <c r="U167" s="27" t="s">
        <v>8</v>
      </c>
      <c r="V167" s="27" t="s">
        <v>7</v>
      </c>
      <c r="W167" s="27" t="s">
        <v>8</v>
      </c>
      <c r="AG167" s="33"/>
      <c r="AN167" s="27" t="s">
        <v>7</v>
      </c>
      <c r="AO167" s="33" t="s">
        <v>8</v>
      </c>
      <c r="AZ167" s="27" t="s">
        <v>7</v>
      </c>
    </row>
    <row r="168" spans="1:52" x14ac:dyDescent="0.25">
      <c r="A168" s="30">
        <v>1.1338191753015267E-2</v>
      </c>
      <c r="B168"/>
      <c r="C168"/>
      <c r="D168"/>
      <c r="E168"/>
      <c r="F168" s="27" t="s">
        <v>7</v>
      </c>
      <c r="S168" s="27" t="s">
        <v>8</v>
      </c>
      <c r="T168" s="27" t="s">
        <v>7</v>
      </c>
      <c r="U168" s="27" t="s">
        <v>8</v>
      </c>
      <c r="V168" s="27" t="s">
        <v>7</v>
      </c>
      <c r="W168" s="27" t="s">
        <v>8</v>
      </c>
      <c r="AF168" s="33"/>
      <c r="AN168" s="33" t="s">
        <v>7</v>
      </c>
      <c r="AZ168" s="27" t="s">
        <v>7</v>
      </c>
    </row>
    <row r="169" spans="1:52" x14ac:dyDescent="0.25">
      <c r="A169" s="30">
        <v>1.0307447048195697E-2</v>
      </c>
      <c r="B169"/>
      <c r="C169"/>
      <c r="D169"/>
      <c r="E169"/>
      <c r="F169" s="27" t="s">
        <v>7</v>
      </c>
      <c r="S169" s="27" t="s">
        <v>8</v>
      </c>
      <c r="T169" s="27" t="s">
        <v>7</v>
      </c>
      <c r="U169" s="27" t="s">
        <v>8</v>
      </c>
      <c r="V169" s="27" t="s">
        <v>7</v>
      </c>
      <c r="W169" s="27" t="s">
        <v>8</v>
      </c>
      <c r="AE169" s="33"/>
    </row>
    <row r="170" spans="1:52" x14ac:dyDescent="0.25">
      <c r="A170" s="30">
        <v>9.3704064074506318E-3</v>
      </c>
      <c r="B170"/>
      <c r="C170"/>
      <c r="D170"/>
      <c r="E170"/>
      <c r="F170" s="27" t="s">
        <v>7</v>
      </c>
      <c r="S170" s="27" t="s">
        <v>8</v>
      </c>
      <c r="T170" s="27" t="s">
        <v>7</v>
      </c>
      <c r="U170" s="27" t="s">
        <v>8</v>
      </c>
      <c r="V170" s="27" t="s">
        <v>7</v>
      </c>
      <c r="W170" s="27" t="s">
        <v>8</v>
      </c>
      <c r="AD170" s="33"/>
    </row>
    <row r="171" spans="1:52" x14ac:dyDescent="0.25">
      <c r="A171" s="30">
        <v>8.5185512795005747E-3</v>
      </c>
      <c r="F171" s="27" t="s">
        <v>7</v>
      </c>
      <c r="S171" s="27" t="s">
        <v>8</v>
      </c>
      <c r="T171" s="27" t="s">
        <v>7</v>
      </c>
      <c r="V171" s="27" t="s">
        <v>7</v>
      </c>
      <c r="W171" s="27" t="s">
        <v>8</v>
      </c>
      <c r="AC171" s="33"/>
    </row>
    <row r="172" spans="1:52" x14ac:dyDescent="0.25">
      <c r="A172" s="30">
        <v>7.744137526818704E-3</v>
      </c>
      <c r="F172" s="27" t="s">
        <v>7</v>
      </c>
      <c r="S172" s="27" t="s">
        <v>8</v>
      </c>
      <c r="V172" s="27" t="s">
        <v>7</v>
      </c>
      <c r="AB172" s="33"/>
    </row>
    <row r="173" spans="1:52" x14ac:dyDescent="0.25">
      <c r="A173" s="30">
        <v>7.0401250243806394E-3</v>
      </c>
      <c r="F173" s="27" t="s">
        <v>7</v>
      </c>
      <c r="S173" s="27" t="s">
        <v>8</v>
      </c>
      <c r="AA173" s="33"/>
    </row>
    <row r="174" spans="1:52" x14ac:dyDescent="0.25">
      <c r="A174" s="30">
        <v>6.4001136585278536E-3</v>
      </c>
      <c r="F174" s="27" t="s">
        <v>7</v>
      </c>
      <c r="S174" s="27" t="s">
        <v>8</v>
      </c>
      <c r="Z174" s="33"/>
    </row>
    <row r="175" spans="1:52" x14ac:dyDescent="0.25">
      <c r="A175" s="30">
        <v>5.8182851441162305E-3</v>
      </c>
      <c r="F175" s="27" t="s">
        <v>7</v>
      </c>
      <c r="S175" s="27" t="s">
        <v>8</v>
      </c>
      <c r="Y175" s="33"/>
    </row>
    <row r="176" spans="1:52" x14ac:dyDescent="0.25">
      <c r="A176" s="30">
        <v>5.2893501310147546E-3</v>
      </c>
      <c r="F176" s="27" t="s">
        <v>7</v>
      </c>
      <c r="S176" s="27" t="s">
        <v>8</v>
      </c>
      <c r="X176" s="33"/>
    </row>
    <row r="177" spans="1:23" x14ac:dyDescent="0.25">
      <c r="A177" s="30">
        <v>4.8085001191043222E-3</v>
      </c>
      <c r="F177" s="27" t="s">
        <v>7</v>
      </c>
      <c r="S177" s="27" t="s">
        <v>8</v>
      </c>
      <c r="W177" s="33"/>
    </row>
    <row r="178" spans="1:23" x14ac:dyDescent="0.25">
      <c r="A178" s="30">
        <v>4.3713637446402926E-3</v>
      </c>
      <c r="F178" s="27" t="s">
        <v>7</v>
      </c>
      <c r="G178" s="27" t="s">
        <v>8</v>
      </c>
      <c r="S178" s="27" t="s">
        <v>8</v>
      </c>
      <c r="V178" s="33"/>
    </row>
    <row r="179" spans="1:23" x14ac:dyDescent="0.25">
      <c r="A179" s="30">
        <v>3.9739670405820838E-3</v>
      </c>
      <c r="F179" s="27" t="s">
        <v>7</v>
      </c>
      <c r="G179" s="27" t="s">
        <v>8</v>
      </c>
      <c r="H179" s="27" t="s">
        <v>7</v>
      </c>
      <c r="I179" s="27" t="s">
        <v>8</v>
      </c>
      <c r="Q179" s="27" t="s">
        <v>8</v>
      </c>
      <c r="S179" s="27" t="s">
        <v>8</v>
      </c>
      <c r="U179" s="33"/>
    </row>
    <row r="180" spans="1:23" x14ac:dyDescent="0.25">
      <c r="A180" s="30">
        <v>3.6126973096200759E-3</v>
      </c>
      <c r="F180" s="27" t="s">
        <v>7</v>
      </c>
      <c r="G180" s="27" t="s">
        <v>8</v>
      </c>
      <c r="H180" s="27" t="s">
        <v>7</v>
      </c>
      <c r="I180" s="27" t="s">
        <v>8</v>
      </c>
      <c r="J180" s="27" t="s">
        <v>7</v>
      </c>
      <c r="Q180" s="27" t="s">
        <v>8</v>
      </c>
      <c r="R180" s="27" t="s">
        <v>7</v>
      </c>
      <c r="S180" s="27" t="s">
        <v>8</v>
      </c>
      <c r="T180" s="33"/>
    </row>
    <row r="181" spans="1:23" x14ac:dyDescent="0.25">
      <c r="A181" s="30">
        <v>3.2842702814727962E-3</v>
      </c>
      <c r="F181" s="27" t="s">
        <v>7</v>
      </c>
      <c r="G181" s="27" t="s">
        <v>8</v>
      </c>
      <c r="H181" s="27" t="s">
        <v>7</v>
      </c>
      <c r="I181" s="27" t="s">
        <v>8</v>
      </c>
      <c r="J181" s="27" t="s">
        <v>7</v>
      </c>
      <c r="M181" s="27" t="s">
        <v>8</v>
      </c>
      <c r="O181" s="27" t="s">
        <v>8</v>
      </c>
      <c r="Q181" s="27" t="s">
        <v>8</v>
      </c>
      <c r="R181" s="27" t="s">
        <v>7</v>
      </c>
      <c r="S181" s="33" t="s">
        <v>8</v>
      </c>
    </row>
    <row r="182" spans="1:23" x14ac:dyDescent="0.25">
      <c r="A182" s="30">
        <v>2.9857002558843601E-3</v>
      </c>
      <c r="F182" s="27" t="s">
        <v>7</v>
      </c>
      <c r="G182" s="27" t="s">
        <v>8</v>
      </c>
      <c r="H182" s="27" t="s">
        <v>7</v>
      </c>
      <c r="I182" s="27" t="s">
        <v>8</v>
      </c>
      <c r="J182" s="27" t="s">
        <v>7</v>
      </c>
      <c r="M182" s="27" t="s">
        <v>8</v>
      </c>
      <c r="N182" s="27" t="s">
        <v>7</v>
      </c>
      <c r="O182" s="27" t="s">
        <v>8</v>
      </c>
      <c r="P182" s="27" t="s">
        <v>7</v>
      </c>
      <c r="Q182" s="27" t="s">
        <v>8</v>
      </c>
      <c r="R182" s="33" t="s">
        <v>7</v>
      </c>
    </row>
    <row r="183" spans="1:23" x14ac:dyDescent="0.25">
      <c r="A183" s="30">
        <v>2.7142729598948726E-3</v>
      </c>
      <c r="F183" s="27" t="s">
        <v>7</v>
      </c>
      <c r="G183" s="27" t="s">
        <v>8</v>
      </c>
      <c r="H183" s="27" t="s">
        <v>7</v>
      </c>
      <c r="J183" s="27" t="s">
        <v>7</v>
      </c>
      <c r="K183" s="27" t="s">
        <v>8</v>
      </c>
      <c r="M183" s="27" t="s">
        <v>8</v>
      </c>
      <c r="N183" s="27" t="s">
        <v>7</v>
      </c>
      <c r="O183" s="27" t="s">
        <v>8</v>
      </c>
      <c r="P183" s="27" t="s">
        <v>7</v>
      </c>
      <c r="Q183" s="33" t="s">
        <v>8</v>
      </c>
    </row>
    <row r="184" spans="1:23" x14ac:dyDescent="0.25">
      <c r="A184" s="30">
        <v>2.4675208726317021E-3</v>
      </c>
      <c r="F184" s="27" t="s">
        <v>7</v>
      </c>
      <c r="G184" s="27" t="s">
        <v>8</v>
      </c>
      <c r="J184" s="27" t="s">
        <v>7</v>
      </c>
      <c r="K184" s="27" t="s">
        <v>8</v>
      </c>
      <c r="L184" s="27" t="s">
        <v>7</v>
      </c>
      <c r="M184" s="27" t="s">
        <v>8</v>
      </c>
      <c r="N184" s="27" t="s">
        <v>7</v>
      </c>
      <c r="O184" s="27" t="s">
        <v>8</v>
      </c>
      <c r="P184" s="33" t="s">
        <v>7</v>
      </c>
    </row>
    <row r="185" spans="1:23" x14ac:dyDescent="0.25">
      <c r="A185" s="30">
        <v>2.2432007933015472E-3</v>
      </c>
      <c r="F185" s="27" t="s">
        <v>7</v>
      </c>
      <c r="G185" s="27" t="s">
        <v>8</v>
      </c>
      <c r="J185" s="27" t="s">
        <v>7</v>
      </c>
      <c r="K185" s="27" t="s">
        <v>8</v>
      </c>
      <c r="L185" s="27" t="s">
        <v>7</v>
      </c>
      <c r="M185" s="27" t="s">
        <v>8</v>
      </c>
      <c r="N185" s="27" t="s">
        <v>7</v>
      </c>
      <c r="O185" s="33" t="s">
        <v>8</v>
      </c>
    </row>
    <row r="186" spans="1:23" x14ac:dyDescent="0.25">
      <c r="A186" s="30">
        <v>2.0392734484559519E-3</v>
      </c>
      <c r="F186" s="27" t="s">
        <v>7</v>
      </c>
      <c r="G186" s="27" t="s">
        <v>8</v>
      </c>
      <c r="J186" s="27" t="s">
        <v>7</v>
      </c>
      <c r="L186" s="27" t="s">
        <v>7</v>
      </c>
      <c r="M186" s="27" t="s">
        <v>8</v>
      </c>
      <c r="N186" s="33" t="s">
        <v>7</v>
      </c>
    </row>
    <row r="187" spans="1:23" x14ac:dyDescent="0.25">
      <c r="A187" s="30">
        <v>1.8538849531417744E-3</v>
      </c>
      <c r="F187" s="27" t="s">
        <v>7</v>
      </c>
      <c r="L187" s="27" t="s">
        <v>7</v>
      </c>
    </row>
    <row r="188" spans="1:23" x14ac:dyDescent="0.25">
      <c r="A188" s="30">
        <v>1.6853499574016129E-3</v>
      </c>
    </row>
    <row r="189" spans="1:23" x14ac:dyDescent="0.25">
      <c r="A189" s="30">
        <v>1.5321363249105571E-3</v>
      </c>
    </row>
    <row r="190" spans="1:23" x14ac:dyDescent="0.25">
      <c r="A190" s="30">
        <v>1.3928512044641427E-3</v>
      </c>
    </row>
    <row r="191" spans="1:23" x14ac:dyDescent="0.25">
      <c r="A191" s="30">
        <v>1.2662283676946752E-3</v>
      </c>
    </row>
    <row r="192" spans="1:23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00" operator="equal">
      <formula>$U$1</formula>
    </cfRule>
    <cfRule type="cellIs" dxfId="30" priority="1001" operator="equal">
      <formula>$S$1</formula>
    </cfRule>
  </conditionalFormatting>
  <conditionalFormatting sqref="D136">
    <cfRule type="cellIs" dxfId="29" priority="998" operator="equal">
      <formula>$S$1</formula>
    </cfRule>
    <cfRule type="cellIs" dxfId="28" priority="999" operator="equal">
      <formula>$U$1</formula>
    </cfRule>
  </conditionalFormatting>
  <conditionalFormatting sqref="C102">
    <cfRule type="cellIs" dxfId="27" priority="996" operator="equal">
      <formula>$U$1</formula>
    </cfRule>
    <cfRule type="cellIs" dxfId="26" priority="997" operator="equal">
      <formula>$S$1</formula>
    </cfRule>
  </conditionalFormatting>
  <conditionalFormatting sqref="D102">
    <cfRule type="cellIs" dxfId="25" priority="994" operator="equal">
      <formula>$S$1</formula>
    </cfRule>
    <cfRule type="cellIs" dxfId="24" priority="995" operator="equal">
      <formula>$U$1</formula>
    </cfRule>
  </conditionalFormatting>
  <conditionalFormatting sqref="C77">
    <cfRule type="cellIs" dxfId="23" priority="992" operator="equal">
      <formula>$U$1</formula>
    </cfRule>
    <cfRule type="cellIs" dxfId="22" priority="993" operator="equal">
      <formula>$S$1</formula>
    </cfRule>
  </conditionalFormatting>
  <conditionalFormatting sqref="D77">
    <cfRule type="cellIs" dxfId="21" priority="990" operator="equal">
      <formula>$S$1</formula>
    </cfRule>
    <cfRule type="cellIs" dxfId="20" priority="991" operator="equal">
      <formula>$U$1</formula>
    </cfRule>
  </conditionalFormatting>
  <conditionalFormatting sqref="C52">
    <cfRule type="cellIs" dxfId="19" priority="988" operator="equal">
      <formula>$U$1</formula>
    </cfRule>
    <cfRule type="cellIs" dxfId="18" priority="989" operator="equal">
      <formula>$S$1</formula>
    </cfRule>
  </conditionalFormatting>
  <conditionalFormatting sqref="D52">
    <cfRule type="cellIs" dxfId="17" priority="986" operator="equal">
      <formula>$S$1</formula>
    </cfRule>
    <cfRule type="cellIs" dxfId="16" priority="987" operator="equal">
      <formula>$U$1</formula>
    </cfRule>
  </conditionalFormatting>
  <conditionalFormatting sqref="C26">
    <cfRule type="cellIs" dxfId="15" priority="984" operator="equal">
      <formula>$U$1</formula>
    </cfRule>
    <cfRule type="cellIs" dxfId="14" priority="985" operator="equal">
      <formula>$S$1</formula>
    </cfRule>
  </conditionalFormatting>
  <conditionalFormatting sqref="D26">
    <cfRule type="cellIs" dxfId="13" priority="982" operator="equal">
      <formula>$S$1</formula>
    </cfRule>
    <cfRule type="cellIs" dxfId="12" priority="98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1.0700281090092644E-2</v>
      </c>
      <c r="F3" s="30">
        <v>1.4339400042295308E-2</v>
      </c>
      <c r="G3" s="30">
        <v>2.4525240264112496E-2</v>
      </c>
      <c r="H3" s="25">
        <f>IF(G3="","",(3*(G3-F3))+E3)</f>
        <v>4.1257801755544207E-2</v>
      </c>
      <c r="I3" s="7"/>
      <c r="J3" s="7">
        <f>(E3+G3)/2</f>
        <v>1.761276067710257E-2</v>
      </c>
      <c r="K3" s="7">
        <f>H3/2</f>
        <v>2.0628900877772104E-2</v>
      </c>
      <c r="M3" s="26">
        <f>IF(OR(J3="",H3=""),"",H3/J3)</f>
        <v>2.3424948826552399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1.1338191753015267E-2</v>
      </c>
      <c r="F4" s="30">
        <v>1.5091133223263328E-2</v>
      </c>
      <c r="G4" s="30">
        <v>5.7308553301167818E-2</v>
      </c>
      <c r="H4" s="25">
        <f t="shared" ref="H4:H25" si="0">IF(G4="","",(3*(G4-F4))+E4)</f>
        <v>0.13799045198672874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2022-01-28T01:21:29Z</dcterms:modified>
</cp:coreProperties>
</file>