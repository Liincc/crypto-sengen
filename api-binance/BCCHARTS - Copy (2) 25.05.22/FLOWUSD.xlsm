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9D93814-E7F1-473C-A3F6-7740CEF8874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44" i="1"/>
  <c r="T74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8" i="5"/>
  <c r="C116" i="4"/>
  <c r="C116" i="5"/>
  <c r="C122" i="3"/>
  <c r="C133" i="3" s="1"/>
  <c r="D136" i="3" s="1"/>
  <c r="C116" i="3"/>
  <c r="R743" i="1"/>
  <c r="D136" i="5"/>
  <c r="C136" i="5"/>
  <c r="D136" i="4" l="1"/>
  <c r="C138" i="4" s="1"/>
  <c r="C138" i="5"/>
  <c r="C136" i="3"/>
  <c r="C138" i="3" s="1"/>
  <c r="R742" i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S661" i="1" l="1"/>
  <c r="T661" i="1" s="1"/>
  <c r="R660" i="1"/>
  <c r="R659" i="1" l="1"/>
  <c r="S660" i="1"/>
  <c r="T660" i="1" s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R637" i="1" l="1"/>
  <c r="S638" i="1"/>
  <c r="T638" i="1" s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S547" i="1" l="1"/>
  <c r="T547" i="1" s="1"/>
  <c r="R546" i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S474" i="1" l="1"/>
  <c r="T474" i="1" s="1"/>
  <c r="R473" i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S436" i="1" l="1"/>
  <c r="T436" i="1" s="1"/>
  <c r="R435" i="1"/>
  <c r="R434" i="1" l="1"/>
  <c r="S435" i="1"/>
  <c r="T435" i="1" s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R425" i="1" l="1"/>
  <c r="S426" i="1"/>
  <c r="T426" i="1" s="1"/>
  <c r="S425" i="1" l="1"/>
  <c r="T425" i="1" s="1"/>
  <c r="R424" i="1"/>
  <c r="R423" i="1" l="1"/>
  <c r="S424" i="1"/>
  <c r="T424" i="1" s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S408" i="1" l="1"/>
  <c r="T408" i="1" s="1"/>
  <c r="R407" i="1"/>
  <c r="R406" i="1" l="1"/>
  <c r="S407" i="1"/>
  <c r="T407" i="1" s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S197" i="1" l="1"/>
  <c r="T197" i="1" s="1"/>
  <c r="R196" i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<sst xmlns="http://schemas.openxmlformats.org/spreadsheetml/2006/main" count="1813" uniqueCount="34">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</sst>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4.8600000000000003</c:v>
                </c:pt>
                <c:pt idx="1">
                  <c:v>4.95</c:v>
                </c:pt>
                <c:pt idx="2">
                  <c:v>4.91</c:v>
                </c:pt>
                <c:pt idx="3">
                  <c:v>4.8499999999999996</c:v>
                </c:pt>
                <c:pt idx="4">
                  <c:v>5.22</c:v>
                </c:pt>
                <c:pt idx="5">
                  <c:v>5.0599999999999996</c:v>
                </c:pt>
                <c:pt idx="6">
                  <c:v>5.8</c:v>
                </c:pt>
                <c:pt idx="7">
                  <c:v>6.61</c:v>
                </c:pt>
                <c:pt idx="8">
                  <c:v>7.17</c:v>
                </c:pt>
                <c:pt idx="9">
                  <c:v>6.98</c:v>
                </c:pt>
                <c:pt idx="10">
                  <c:v>7.34</c:v>
                </c:pt>
                <c:pt idx="11">
                  <c:v>7.62</c:v>
                </c:pt>
                <c:pt idx="12">
                  <c:v>7.73</c:v>
                </c:pt>
                <c:pt idx="13">
                  <c:v>7.73</c:v>
                </c:pt>
                <c:pt idx="14">
                  <c:v>7.72</c:v>
                </c:pt>
                <c:pt idx="15">
                  <c:v>7.93</c:v>
                </c:pt>
                <c:pt idx="16">
                  <c:v>7.64</c:v>
                </c:pt>
                <c:pt idx="17">
                  <c:v>7.48</c:v>
                </c:pt>
                <c:pt idx="18">
                  <c:v>7.79</c:v>
                </c:pt>
                <c:pt idx="19">
                  <c:v>7.72</c:v>
                </c:pt>
                <c:pt idx="20">
                  <c:v>7.98</c:v>
                </c:pt>
                <c:pt idx="21">
                  <c:v>8.32</c:v>
                </c:pt>
                <c:pt idx="22">
                  <c:v>8.44</c:v>
                </c:pt>
                <c:pt idx="23">
                  <c:v>8.93</c:v>
                </c:pt>
                <c:pt idx="24">
                  <c:v>8.9499999999999993</c:v>
                </c:pt>
                <c:pt idx="25">
                  <c:v>9.26</c:v>
                </c:pt>
                <c:pt idx="26">
                  <c:v>9.17</c:v>
                </c:pt>
                <c:pt idx="27">
                  <c:v>8.82</c:v>
                </c:pt>
                <c:pt idx="28">
                  <c:v>8.73</c:v>
                </c:pt>
                <c:pt idx="29">
                  <c:v>8.6</c:v>
                </c:pt>
                <c:pt idx="30">
                  <c:v>8.7200000000000006</c:v>
                </c:pt>
                <c:pt idx="31">
                  <c:v>9.42</c:v>
                </c:pt>
                <c:pt idx="32">
                  <c:v>9.25</c:v>
                </c:pt>
                <c:pt idx="33">
                  <c:v>9.19</c:v>
                </c:pt>
                <c:pt idx="34">
                  <c:v>9.1</c:v>
                </c:pt>
                <c:pt idx="35">
                  <c:v>9.2899999999999991</c:v>
                </c:pt>
                <c:pt idx="36">
                  <c:v>8.5</c:v>
                </c:pt>
                <c:pt idx="37">
                  <c:v>8.35</c:v>
                </c:pt>
                <c:pt idx="38">
                  <c:v>8.1300000000000008</c:v>
                </c:pt>
                <c:pt idx="39">
                  <c:v>8.34</c:v>
                </c:pt>
                <c:pt idx="40">
                  <c:v>8.48</c:v>
                </c:pt>
                <c:pt idx="41">
                  <c:v>8.35</c:v>
                </c:pt>
                <c:pt idx="42">
                  <c:v>8.5399999999999991</c:v>
                </c:pt>
                <c:pt idx="43">
                  <c:v>8.83</c:v>
                </c:pt>
                <c:pt idx="44">
                  <c:v>8.67</c:v>
                </c:pt>
                <c:pt idx="45">
                  <c:v>8.61</c:v>
                </c:pt>
                <c:pt idx="46">
                  <c:v>9.2100000000000009</c:v>
                </c:pt>
                <c:pt idx="47">
                  <c:v>8.9</c:v>
                </c:pt>
                <c:pt idx="48">
                  <c:v>8.81</c:v>
                </c:pt>
                <c:pt idx="49">
                  <c:v>9.24</c:v>
                </c:pt>
                <c:pt idx="50">
                  <c:v>10.029999999999999</c:v>
                </c:pt>
                <c:pt idx="51">
                  <c:v>10.050000000000001</c:v>
                </c:pt>
                <c:pt idx="52">
                  <c:v>9.64</c:v>
                </c:pt>
                <c:pt idx="53">
                  <c:v>9.25</c:v>
                </c:pt>
                <c:pt idx="54">
                  <c:v>9.92</c:v>
                </c:pt>
                <c:pt idx="55">
                  <c:v>11.55</c:v>
                </c:pt>
                <c:pt idx="56">
                  <c:v>12.04</c:v>
                </c:pt>
                <c:pt idx="57">
                  <c:v>12.26</c:v>
                </c:pt>
                <c:pt idx="58">
                  <c:v>12.39</c:v>
                </c:pt>
                <c:pt idx="59">
                  <c:v>12.81</c:v>
                </c:pt>
                <c:pt idx="60">
                  <c:v>12.32</c:v>
                </c:pt>
                <c:pt idx="61">
                  <c:v>11.88</c:v>
                </c:pt>
                <c:pt idx="62">
                  <c:v>11.7</c:v>
                </c:pt>
                <c:pt idx="63">
                  <c:v>13.25</c:v>
                </c:pt>
                <c:pt idx="64">
                  <c:v>12.87</c:v>
                </c:pt>
                <c:pt idx="65">
                  <c:v>13.2</c:v>
                </c:pt>
                <c:pt idx="66">
                  <c:v>13.48</c:v>
                </c:pt>
                <c:pt idx="67">
                  <c:v>14.61</c:v>
                </c:pt>
                <c:pt idx="68">
                  <c:v>13.23</c:v>
                </c:pt>
                <c:pt idx="69">
                  <c:v>12.6</c:v>
                </c:pt>
                <c:pt idx="70">
                  <c:v>11.79</c:v>
                </c:pt>
                <c:pt idx="71">
                  <c:v>12.63</c:v>
                </c:pt>
                <c:pt idx="72">
                  <c:v>12.65</c:v>
                </c:pt>
                <c:pt idx="73">
                  <c:v>13.29</c:v>
                </c:pt>
                <c:pt idx="74">
                  <c:v>12.97</c:v>
                </c:pt>
                <c:pt idx="75">
                  <c:v>13.15</c:v>
                </c:pt>
                <c:pt idx="76">
                  <c:v>12.86</c:v>
                </c:pt>
                <c:pt idx="77">
                  <c:v>13.15</c:v>
                </c:pt>
                <c:pt idx="78">
                  <c:v>12.85</c:v>
                </c:pt>
                <c:pt idx="79">
                  <c:v>13.7</c:v>
                </c:pt>
                <c:pt idx="80">
                  <c:v>13.92</c:v>
                </c:pt>
                <c:pt idx="81">
                  <c:v>13.77</c:v>
                </c:pt>
                <c:pt idx="82">
                  <c:v>13.83</c:v>
                </c:pt>
                <c:pt idx="83">
                  <c:v>13.89</c:v>
                </c:pt>
                <c:pt idx="84">
                  <c:v>13.8</c:v>
                </c:pt>
                <c:pt idx="85">
                  <c:v>13.92</c:v>
                </c:pt>
                <c:pt idx="86">
                  <c:v>14.44</c:v>
                </c:pt>
                <c:pt idx="87">
                  <c:v>13.95</c:v>
                </c:pt>
                <c:pt idx="88">
                  <c:v>14</c:v>
                </c:pt>
                <c:pt idx="89">
                  <c:v>15</c:v>
                </c:pt>
                <c:pt idx="90">
                  <c:v>13.74</c:v>
                </c:pt>
                <c:pt idx="91">
                  <c:v>12.78</c:v>
                </c:pt>
                <c:pt idx="92">
                  <c:v>11.89</c:v>
                </c:pt>
                <c:pt idx="93">
                  <c:v>13.13</c:v>
                </c:pt>
                <c:pt idx="94">
                  <c:v>13.46</c:v>
                </c:pt>
                <c:pt idx="95">
                  <c:v>13.13</c:v>
                </c:pt>
                <c:pt idx="96">
                  <c:v>13.38</c:v>
                </c:pt>
                <c:pt idx="97">
                  <c:v>13.69</c:v>
                </c:pt>
                <c:pt idx="98">
                  <c:v>14.07</c:v>
                </c:pt>
                <c:pt idx="99">
                  <c:v>14.21</c:v>
                </c:pt>
                <c:pt idx="100">
                  <c:v>13.2</c:v>
                </c:pt>
                <c:pt idx="101">
                  <c:v>14.79</c:v>
                </c:pt>
                <c:pt idx="102">
                  <c:v>15.72</c:v>
                </c:pt>
                <c:pt idx="103">
                  <c:v>16.63</c:v>
                </c:pt>
                <c:pt idx="104">
                  <c:v>17.71</c:v>
                </c:pt>
                <c:pt idx="105">
                  <c:v>18.66</c:v>
                </c:pt>
                <c:pt idx="106">
                  <c:v>17.32</c:v>
                </c:pt>
                <c:pt idx="107">
                  <c:v>17.11</c:v>
                </c:pt>
                <c:pt idx="108">
                  <c:v>17.579999999999998</c:v>
                </c:pt>
                <c:pt idx="109">
                  <c:v>18.260000000000002</c:v>
                </c:pt>
                <c:pt idx="110">
                  <c:v>18.87</c:v>
                </c:pt>
                <c:pt idx="111">
                  <c:v>18.149999999999999</c:v>
                </c:pt>
                <c:pt idx="112">
                  <c:v>18.3</c:v>
                </c:pt>
                <c:pt idx="113">
                  <c:v>19.100000000000001</c:v>
                </c:pt>
                <c:pt idx="114">
                  <c:v>19.579999999999998</c:v>
                </c:pt>
                <c:pt idx="115">
                  <c:v>20.2</c:v>
                </c:pt>
                <c:pt idx="116">
                  <c:v>18.899999999999999</c:v>
                </c:pt>
                <c:pt idx="117">
                  <c:v>18.55</c:v>
                </c:pt>
                <c:pt idx="118">
                  <c:v>17.64</c:v>
                </c:pt>
                <c:pt idx="119">
                  <c:v>15.82</c:v>
                </c:pt>
                <c:pt idx="120">
                  <c:v>15.07</c:v>
                </c:pt>
                <c:pt idx="121">
                  <c:v>15.2</c:v>
                </c:pt>
                <c:pt idx="122">
                  <c:v>15.58</c:v>
                </c:pt>
                <c:pt idx="123">
                  <c:v>15.65</c:v>
                </c:pt>
                <c:pt idx="124">
                  <c:v>16.579999999999998</c:v>
                </c:pt>
                <c:pt idx="125">
                  <c:v>16.75</c:v>
                </c:pt>
                <c:pt idx="126">
                  <c:v>18.34</c:v>
                </c:pt>
                <c:pt idx="127">
                  <c:v>17.55</c:v>
                </c:pt>
                <c:pt idx="128">
                  <c:v>15.65</c:v>
                </c:pt>
                <c:pt idx="129">
                  <c:v>18.28</c:v>
                </c:pt>
                <c:pt idx="130">
                  <c:v>20.16</c:v>
                </c:pt>
                <c:pt idx="131">
                  <c:v>20.71</c:v>
                </c:pt>
                <c:pt idx="132">
                  <c:v>20.58</c:v>
                </c:pt>
                <c:pt idx="133">
                  <c:v>21.19</c:v>
                </c:pt>
                <c:pt idx="134">
                  <c:v>22.02</c:v>
                </c:pt>
                <c:pt idx="135">
                  <c:v>22.7</c:v>
                </c:pt>
                <c:pt idx="136">
                  <c:v>19.600000000000001</c:v>
                </c:pt>
                <c:pt idx="137">
                  <c:v>20.76</c:v>
                </c:pt>
                <c:pt idx="138">
                  <c:v>20.420000000000002</c:v>
                </c:pt>
                <c:pt idx="139">
                  <c:v>20.079999999999998</c:v>
                </c:pt>
                <c:pt idx="140">
                  <c:v>21.47</c:v>
                </c:pt>
                <c:pt idx="141">
                  <c:v>21.05</c:v>
                </c:pt>
                <c:pt idx="142">
                  <c:v>21.38</c:v>
                </c:pt>
                <c:pt idx="143">
                  <c:v>25.86</c:v>
                </c:pt>
                <c:pt idx="144">
                  <c:v>26.72</c:v>
                </c:pt>
                <c:pt idx="145">
                  <c:v>25.71</c:v>
                </c:pt>
                <c:pt idx="146">
                  <c:v>25.46</c:v>
                </c:pt>
                <c:pt idx="147">
                  <c:v>25.19</c:v>
                </c:pt>
                <c:pt idx="148">
                  <c:v>25.67</c:v>
                </c:pt>
                <c:pt idx="149">
                  <c:v>25.14</c:v>
                </c:pt>
                <c:pt idx="150">
                  <c:v>25.17</c:v>
                </c:pt>
                <c:pt idx="151">
                  <c:v>27.61</c:v>
                </c:pt>
                <c:pt idx="152">
                  <c:v>21.65</c:v>
                </c:pt>
                <c:pt idx="153">
                  <c:v>21.84</c:v>
                </c:pt>
                <c:pt idx="154">
                  <c:v>21.29</c:v>
                </c:pt>
                <c:pt idx="155">
                  <c:v>22.34</c:v>
                </c:pt>
                <c:pt idx="156">
                  <c:v>21.78</c:v>
                </c:pt>
                <c:pt idx="157">
                  <c:v>23.94</c:v>
                </c:pt>
                <c:pt idx="158">
                  <c:v>23.03</c:v>
                </c:pt>
                <c:pt idx="159">
                  <c:v>23.2</c:v>
                </c:pt>
                <c:pt idx="160">
                  <c:v>23.43</c:v>
                </c:pt>
                <c:pt idx="161">
                  <c:v>22.83</c:v>
                </c:pt>
                <c:pt idx="162">
                  <c:v>22.36</c:v>
                </c:pt>
                <c:pt idx="163">
                  <c:v>22.22</c:v>
                </c:pt>
                <c:pt idx="164">
                  <c:v>22.78</c:v>
                </c:pt>
                <c:pt idx="165">
                  <c:v>23.06</c:v>
                </c:pt>
                <c:pt idx="166">
                  <c:v>23.31</c:v>
                </c:pt>
                <c:pt idx="167">
                  <c:v>23.67</c:v>
                </c:pt>
                <c:pt idx="168">
                  <c:v>22.56</c:v>
                </c:pt>
                <c:pt idx="169">
                  <c:v>23.8</c:v>
                </c:pt>
                <c:pt idx="170">
                  <c:v>23.09</c:v>
                </c:pt>
                <c:pt idx="171">
                  <c:v>22.19</c:v>
                </c:pt>
                <c:pt idx="172">
                  <c:v>21.46</c:v>
                </c:pt>
                <c:pt idx="173">
                  <c:v>22.67</c:v>
                </c:pt>
                <c:pt idx="174">
                  <c:v>22.42</c:v>
                </c:pt>
                <c:pt idx="175">
                  <c:v>22.32</c:v>
                </c:pt>
                <c:pt idx="176">
                  <c:v>22.3</c:v>
                </c:pt>
                <c:pt idx="177">
                  <c:v>20.84</c:v>
                </c:pt>
                <c:pt idx="178">
                  <c:v>22.15</c:v>
                </c:pt>
                <c:pt idx="179">
                  <c:v>21.09</c:v>
                </c:pt>
                <c:pt idx="180">
                  <c:v>24.36</c:v>
                </c:pt>
                <c:pt idx="181">
                  <c:v>23.9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0-440B-9EDB-806D625EBD0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-0.26983599083123599</c:v>
                </c:pt>
                <c:pt idx="1">
                  <c:v>-0.26716647541399463</c:v>
                </c:pt>
                <c:pt idx="2">
                  <c:v>-0.25371274821940004</c:v>
                </c:pt>
                <c:pt idx="3">
                  <c:v>-0.26619205791351769</c:v>
                </c:pt>
                <c:pt idx="4">
                  <c:v>-0.27682766525967156</c:v>
                </c:pt>
                <c:pt idx="5">
                  <c:v>-0.28660965417674472</c:v>
                </c:pt>
                <c:pt idx="6">
                  <c:v>-0.27626776391487418</c:v>
                </c:pt>
                <c:pt idx="7">
                  <c:v>-0.24631490569894501</c:v>
                </c:pt>
                <c:pt idx="8">
                  <c:v>-0.21923058462751641</c:v>
                </c:pt>
                <c:pt idx="9">
                  <c:v>-0.21276171893608781</c:v>
                </c:pt>
                <c:pt idx="10">
                  <c:v>-0.20846468379894498</c:v>
                </c:pt>
                <c:pt idx="11">
                  <c:v>-0.20386312735450057</c:v>
                </c:pt>
                <c:pt idx="12">
                  <c:v>-0.20475723787950056</c:v>
                </c:pt>
                <c:pt idx="13">
                  <c:v>-0.21049521286131886</c:v>
                </c:pt>
                <c:pt idx="14">
                  <c:v>-0.2112850346925689</c:v>
                </c:pt>
                <c:pt idx="15">
                  <c:v>-0.19680805583542599</c:v>
                </c:pt>
                <c:pt idx="16">
                  <c:v>-0.20791384374653707</c:v>
                </c:pt>
                <c:pt idx="17">
                  <c:v>-0.21795910125764817</c:v>
                </c:pt>
                <c:pt idx="18">
                  <c:v>-0.2155276160776482</c:v>
                </c:pt>
                <c:pt idx="19">
                  <c:v>-0.21586212903690744</c:v>
                </c:pt>
                <c:pt idx="20">
                  <c:v>-0.21212830217024078</c:v>
                </c:pt>
                <c:pt idx="21">
                  <c:v>-0.20610725820231626</c:v>
                </c:pt>
                <c:pt idx="22">
                  <c:v>-0.20934579224231625</c:v>
                </c:pt>
                <c:pt idx="23">
                  <c:v>-0.19584489647795983</c:v>
                </c:pt>
                <c:pt idx="24">
                  <c:v>-0.19216965234719058</c:v>
                </c:pt>
                <c:pt idx="25">
                  <c:v>-0.18654076618528578</c:v>
                </c:pt>
                <c:pt idx="26">
                  <c:v>-0.18840763468528579</c:v>
                </c:pt>
                <c:pt idx="27">
                  <c:v>-0.19763202556220891</c:v>
                </c:pt>
                <c:pt idx="28">
                  <c:v>-0.19975472936220889</c:v>
                </c:pt>
                <c:pt idx="29">
                  <c:v>-0.20345170646792324</c:v>
                </c:pt>
                <c:pt idx="30">
                  <c:v>-0.19859534147062585</c:v>
                </c:pt>
                <c:pt idx="31">
                  <c:v>-0.1854081921185711</c:v>
                </c:pt>
                <c:pt idx="32">
                  <c:v>-0.18435649816301553</c:v>
                </c:pt>
                <c:pt idx="33">
                  <c:v>-0.19209303496301555</c:v>
                </c:pt>
                <c:pt idx="34">
                  <c:v>-0.19562173773574279</c:v>
                </c:pt>
                <c:pt idx="35">
                  <c:v>-0.18083929385338982</c:v>
                </c:pt>
                <c:pt idx="36">
                  <c:v>-0.20433784998597407</c:v>
                </c:pt>
                <c:pt idx="37">
                  <c:v>-0.2092467313827483</c:v>
                </c:pt>
                <c:pt idx="38">
                  <c:v>-0.21850773070093008</c:v>
                </c:pt>
                <c:pt idx="39">
                  <c:v>-0.21524119645882483</c:v>
                </c:pt>
                <c:pt idx="40">
                  <c:v>-0.20837315301054896</c:v>
                </c:pt>
                <c:pt idx="41">
                  <c:v>-0.21144323234085197</c:v>
                </c:pt>
                <c:pt idx="42">
                  <c:v>-0.20875717608271244</c:v>
                </c:pt>
                <c:pt idx="43">
                  <c:v>-0.19625757862437909</c:v>
                </c:pt>
                <c:pt idx="44">
                  <c:v>-0.20696083136049018</c:v>
                </c:pt>
                <c:pt idx="45">
                  <c:v>-0.22070675717972091</c:v>
                </c:pt>
                <c:pt idx="46">
                  <c:v>-0.20477444175894172</c:v>
                </c:pt>
                <c:pt idx="47">
                  <c:v>-0.20728174457658882</c:v>
                </c:pt>
                <c:pt idx="48">
                  <c:v>-0.20812003972658882</c:v>
                </c:pt>
                <c:pt idx="49">
                  <c:v>-0.18425102360351198</c:v>
                </c:pt>
                <c:pt idx="50">
                  <c:v>-0.16853929059517864</c:v>
                </c:pt>
                <c:pt idx="51">
                  <c:v>-0.16532358696691771</c:v>
                </c:pt>
                <c:pt idx="52">
                  <c:v>-0.16917609834282135</c:v>
                </c:pt>
                <c:pt idx="53">
                  <c:v>-0.19840621055633487</c:v>
                </c:pt>
                <c:pt idx="54">
                  <c:v>-0.1816484569763348</c:v>
                </c:pt>
                <c:pt idx="55">
                  <c:v>-0.17531656405081758</c:v>
                </c:pt>
                <c:pt idx="56">
                  <c:v>-0.1705666238663516</c:v>
                </c:pt>
                <c:pt idx="57">
                  <c:v>-0.17099999468550045</c:v>
                </c:pt>
                <c:pt idx="58">
                  <c:v>-0.15703234881158734</c:v>
                </c:pt>
                <c:pt idx="59">
                  <c:v>-0.14492582582800526</c:v>
                </c:pt>
                <c:pt idx="60">
                  <c:v>-0.15727013434969209</c:v>
                </c:pt>
                <c:pt idx="61">
                  <c:v>-0.15515581240428669</c:v>
                </c:pt>
                <c:pt idx="62">
                  <c:v>-0.15072275426235124</c:v>
                </c:pt>
                <c:pt idx="63">
                  <c:v>-0.13509942289509455</c:v>
                </c:pt>
                <c:pt idx="64">
                  <c:v>-0.12497395136122358</c:v>
                </c:pt>
                <c:pt idx="65">
                  <c:v>-0.12220179891677913</c:v>
                </c:pt>
                <c:pt idx="66">
                  <c:v>-0.11706339776895293</c:v>
                </c:pt>
                <c:pt idx="67">
                  <c:v>-6.1066986170722905E-2</c:v>
                </c:pt>
                <c:pt idx="68">
                  <c:v>-4.7730648943119999E-2</c:v>
                </c:pt>
                <c:pt idx="69">
                  <c:v>-5.5502214668120026E-2</c:v>
                </c:pt>
                <c:pt idx="70">
                  <c:v>-5.9318918271823715E-2</c:v>
                </c:pt>
                <c:pt idx="71">
                  <c:v>-4.0777786295079464E-2</c:v>
                </c:pt>
                <c:pt idx="72">
                  <c:v>-4.730036517507949E-2</c:v>
                </c:pt>
                <c:pt idx="73">
                  <c:v>-4.8771517175079514E-2</c:v>
                </c:pt>
                <c:pt idx="74">
                  <c:v>-2.4500809501746143E-2</c:v>
                </c:pt>
                <c:pt idx="75">
                  <c:v>-2.4917819901746158E-2</c:v>
                </c:pt>
                <c:pt idx="76">
                  <c:v>-3.1014804384504786E-2</c:v>
                </c:pt>
                <c:pt idx="77">
                  <c:v>-3.0109487161427854E-2</c:v>
                </c:pt>
                <c:pt idx="78">
                  <c:v>-3.7596822121427849E-2</c:v>
                </c:pt>
                <c:pt idx="79">
                  <c:v>-2.4828360060923652E-2</c:v>
                </c:pt>
                <c:pt idx="80">
                  <c:v>-2.1668049365271416E-2</c:v>
                </c:pt>
                <c:pt idx="81">
                  <c:v>-2.9581745029787526E-2</c:v>
                </c:pt>
                <c:pt idx="82">
                  <c:v>-3.2693499757060249E-2</c:v>
                </c:pt>
                <c:pt idx="83">
                  <c:v>-4.1168307580589654E-2</c:v>
                </c:pt>
                <c:pt idx="84">
                  <c:v>-3.5491515060589653E-2</c:v>
                </c:pt>
                <c:pt idx="85">
                  <c:v>-3.1082259752392982E-2</c:v>
                </c:pt>
                <c:pt idx="86">
                  <c:v>-2.8514192109839794E-2</c:v>
                </c:pt>
                <c:pt idx="87">
                  <c:v>-3.3837974148371877E-2</c:v>
                </c:pt>
                <c:pt idx="88">
                  <c:v>-3.5403637119525697E-2</c:v>
                </c:pt>
                <c:pt idx="89">
                  <c:v>-4.7695076750812583E-3</c:v>
                </c:pt>
                <c:pt idx="90">
                  <c:v>-4.0210647482773546E-2</c:v>
                </c:pt>
                <c:pt idx="91">
                  <c:v>-4.9877065673249739E-2</c:v>
                </c:pt>
                <c:pt idx="92">
                  <c:v>-6.9362496119530687E-2</c:v>
                </c:pt>
                <c:pt idx="93">
                  <c:v>-5.3373958101451589E-2</c:v>
                </c:pt>
                <c:pt idx="94">
                  <c:v>-4.7894671301451648E-2</c:v>
                </c:pt>
                <c:pt idx="95">
                  <c:v>-5.2773231874784998E-2</c:v>
                </c:pt>
                <c:pt idx="96">
                  <c:v>-5.0308287253951686E-2</c:v>
                </c:pt>
                <c:pt idx="97">
                  <c:v>-4.5601249270900882E-2</c:v>
                </c:pt>
                <c:pt idx="98">
                  <c:v>-3.9604228447760362E-2</c:v>
                </c:pt>
                <c:pt idx="99">
                  <c:v>-1.8562102450986169E-2</c:v>
                </c:pt>
                <c:pt idx="100">
                  <c:v>-0.100631854683863</c:v>
                </c:pt>
                <c:pt idx="101">
                  <c:v>-7.751299512501128E-2</c:v>
                </c:pt>
                <c:pt idx="102">
                  <c:v>-7.3061046844329458E-2</c:v>
                </c:pt>
                <c:pt idx="103">
                  <c:v>-6.9308063897971853E-2</c:v>
                </c:pt>
                <c:pt idx="104">
                  <c:v>-6.3471901469480188E-2</c:v>
                </c:pt>
                <c:pt idx="105">
                  <c:v>-6.185659895876592E-2</c:v>
                </c:pt>
                <c:pt idx="106">
                  <c:v>-7.039705197563341E-2</c:v>
                </c:pt>
                <c:pt idx="107">
                  <c:v>-6.5215521359128586E-2</c:v>
                </c:pt>
                <c:pt idx="108">
                  <c:v>-6.6374080301985716E-2</c:v>
                </c:pt>
                <c:pt idx="109">
                  <c:v>-6.1560237384338648E-2</c:v>
                </c:pt>
                <c:pt idx="110">
                  <c:v>-5.6763273127195799E-2</c:v>
                </c:pt>
                <c:pt idx="111">
                  <c:v>-5.8110743270052952E-2</c:v>
                </c:pt>
                <c:pt idx="112">
                  <c:v>-5.5530790179143856E-2</c:v>
                </c:pt>
                <c:pt idx="113">
                  <c:v>-5.1557301649670192E-2</c:v>
                </c:pt>
                <c:pt idx="114">
                  <c:v>-5.1331387798241632E-2</c:v>
                </c:pt>
                <c:pt idx="115">
                  <c:v>-4.7291658247221195E-2</c:v>
                </c:pt>
                <c:pt idx="116">
                  <c:v>-5.1355264175014105E-2</c:v>
                </c:pt>
                <c:pt idx="117">
                  <c:v>-5.4327647890610418E-2</c:v>
                </c:pt>
                <c:pt idx="118">
                  <c:v>-5.6312789424857013E-2</c:v>
                </c:pt>
                <c:pt idx="119">
                  <c:v>-6.1449187428560717E-2</c:v>
                </c:pt>
                <c:pt idx="120">
                  <c:v>-6.5008720697526237E-2</c:v>
                </c:pt>
                <c:pt idx="121">
                  <c:v>-6.3146881037526248E-2</c:v>
                </c:pt>
                <c:pt idx="122">
                  <c:v>-6.1859876731643879E-2</c:v>
                </c:pt>
                <c:pt idx="123">
                  <c:v>-5.8958794095135943E-2</c:v>
                </c:pt>
                <c:pt idx="124">
                  <c:v>-5.6879100275974273E-2</c:v>
                </c:pt>
                <c:pt idx="125">
                  <c:v>-5.7202691231743479E-2</c:v>
                </c:pt>
                <c:pt idx="126">
                  <c:v>-5.5287511790567012E-2</c:v>
                </c:pt>
                <c:pt idx="127">
                  <c:v>-6.2036530062698186E-2</c:v>
                </c:pt>
                <c:pt idx="128">
                  <c:v>-6.3272995364176021E-2</c:v>
                </c:pt>
                <c:pt idx="129">
                  <c:v>-5.8595176265938145E-2</c:v>
                </c:pt>
                <c:pt idx="130">
                  <c:v>-5.6200149181727624E-2</c:v>
                </c:pt>
                <c:pt idx="131">
                  <c:v>-5.4277052648394303E-2</c:v>
                </c:pt>
                <c:pt idx="132">
                  <c:v>-5.2860231751097012E-2</c:v>
                </c:pt>
                <c:pt idx="133">
                  <c:v>-5.0964124871097E-2</c:v>
                </c:pt>
                <c:pt idx="134">
                  <c:v>-4.8524894383486387E-2</c:v>
                </c:pt>
                <c:pt idx="135">
                  <c:v>-4.6311574803190814E-2</c:v>
                </c:pt>
                <c:pt idx="136">
                  <c:v>-4.6961184833590804E-2</c:v>
                </c:pt>
                <c:pt idx="137">
                  <c:v>-4.6444091674712314E-2</c:v>
                </c:pt>
                <c:pt idx="138">
                  <c:v>-4.7691240154712308E-2</c:v>
                </c:pt>
                <c:pt idx="139">
                  <c:v>-4.840176763306283E-2</c:v>
                </c:pt>
                <c:pt idx="140">
                  <c:v>-4.5652327843589142E-2</c:v>
                </c:pt>
                <c:pt idx="141">
                  <c:v>-4.5790886872160555E-2</c:v>
                </c:pt>
                <c:pt idx="142">
                  <c:v>-4.7898938829810229E-2</c:v>
                </c:pt>
                <c:pt idx="143">
                  <c:v>-4.2489375022144719E-2</c:v>
                </c:pt>
                <c:pt idx="144">
                  <c:v>-4.1848787044095934E-2</c:v>
                </c:pt>
                <c:pt idx="145">
                  <c:v>-4.4530131033364229E-2</c:v>
                </c:pt>
                <c:pt idx="146">
                  <c:v>-4.2606192939747212E-2</c:v>
                </c:pt>
                <c:pt idx="147">
                  <c:v>-4.3272400429220891E-2</c:v>
                </c:pt>
                <c:pt idx="148">
                  <c:v>-4.1427799442473906E-2</c:v>
                </c:pt>
                <c:pt idx="149">
                  <c:v>-4.8355903896794915E-2</c:v>
                </c:pt>
                <c:pt idx="150">
                  <c:v>-4.2610805081577531E-2</c:v>
                </c:pt>
                <c:pt idx="151">
                  <c:v>-2.8512690899322863E-2</c:v>
                </c:pt>
                <c:pt idx="152">
                  <c:v>-4.5165314853596941E-2</c:v>
                </c:pt>
                <c:pt idx="153">
                  <c:v>-4.3023336056986772E-2</c:v>
                </c:pt>
                <c:pt idx="154">
                  <c:v>-4.5657571464679074E-2</c:v>
                </c:pt>
                <c:pt idx="155">
                  <c:v>-4.2682795765674089E-2</c:v>
                </c:pt>
                <c:pt idx="156">
                  <c:v>-4.6304754117025435E-2</c:v>
                </c:pt>
                <c:pt idx="157">
                  <c:v>-4.0634227925042309E-2</c:v>
                </c:pt>
                <c:pt idx="158">
                  <c:v>-4.222916024585157E-2</c:v>
                </c:pt>
                <c:pt idx="159">
                  <c:v>-4.2241323829909548E-2</c:v>
                </c:pt>
                <c:pt idx="160">
                  <c:v>-3.6113299168892596E-2</c:v>
                </c:pt>
                <c:pt idx="161">
                  <c:v>-3.7988038707354135E-2</c:v>
                </c:pt>
                <c:pt idx="162">
                  <c:v>-3.959976710961402E-2</c:v>
                </c:pt>
                <c:pt idx="163">
                  <c:v>-3.9043884623502903E-2</c:v>
                </c:pt>
                <c:pt idx="164">
                  <c:v>-3.4355618146272138E-2</c:v>
                </c:pt>
                <c:pt idx="165">
                  <c:v>-3.2792333555795951E-2</c:v>
                </c:pt>
                <c:pt idx="166">
                  <c:v>-3.4086226793891186E-2</c:v>
                </c:pt>
                <c:pt idx="167">
                  <c:v>-3.4591258087508202E-2</c:v>
                </c:pt>
                <c:pt idx="168">
                  <c:v>-3.6083787737508213E-2</c:v>
                </c:pt>
                <c:pt idx="169">
                  <c:v>-3.4654004317508202E-2</c:v>
                </c:pt>
                <c:pt idx="170">
                  <c:v>-3.0160886651379178E-2</c:v>
                </c:pt>
                <c:pt idx="171">
                  <c:v>-3.1350952233011826E-2</c:v>
                </c:pt>
                <c:pt idx="172">
                  <c:v>-3.5195690903402903E-2</c:v>
                </c:pt>
                <c:pt idx="173">
                  <c:v>-3.2589052738697021E-2</c:v>
                </c:pt>
                <c:pt idx="174">
                  <c:v>-3.2722847821455646E-2</c:v>
                </c:pt>
                <c:pt idx="175">
                  <c:v>-3.4860627071013173E-2</c:v>
                </c:pt>
                <c:pt idx="176">
                  <c:v>-3.5426526539352944E-2</c:v>
                </c:pt>
                <c:pt idx="177">
                  <c:v>-4.0967921360619913E-2</c:v>
                </c:pt>
                <c:pt idx="178">
                  <c:v>-3.8555766576409391E-2</c:v>
                </c:pt>
                <c:pt idx="179">
                  <c:v>-4.2281936945640149E-2</c:v>
                </c:pt>
                <c:pt idx="180">
                  <c:v>-3.0998115525341638E-2</c:v>
                </c:pt>
                <c:pt idx="181">
                  <c:v>-1.5859091750982664E-2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A0-440B-9EDB-806D625EB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16559"/>
        <c:axId val="172215727"/>
      </c:lineChart>
      <c:dateAx>
        <c:axId val="172216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15727"/>
        <c:crosses val="autoZero"/>
        <c:auto val="1"/>
        <c:lblOffset val="100"/>
        <c:baseTimeUnit val="days"/>
      </c:dateAx>
      <c:valAx>
        <c:axId val="17221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1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D671AE2-522C-4615-8EE8-48BF58F1CBDF}">
  <sheetPr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ED5943-C357-4DFA-821C-D9133B953E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35.61</v>
      </c>
      <c r="D2" s="4">
        <f>MIN(D3:D1890)</f>
        <v>4.3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4.9400000000000004</v>
      </c>
      <c r="C5">
        <v>5.14</v>
      </c>
      <c r="D5">
        <v>4.8499999999999996</v>
      </c>
      <c r="E5">
        <v>4.8600000000000003</v>
      </c>
      <c r="F5">
        <v>286725.73</v>
      </c>
      <c r="G5">
        <v>4.8600000000000003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-0.931034482758616</v>
      </c>
      <c r="Q5">
        <f t="shared" ref="Q5" si="1">F5*P5</f>
        <v>-266951.54172413656</v>
      </c>
      <c r="R5">
        <f t="shared" ref="R5" si="2">R6+Q5</f>
        <v>-26983599.083123602</v>
      </c>
      <c r="S5">
        <f t="shared" ref="S5" si="3">R5/100000</f>
        <v>-269.83599083123602</v>
      </c>
      <c r="T5">
        <f t="shared" ref="T5" si="4">S5/1000</f>
        <v>-0.26983599083123599</v>
      </c>
    </row>
    <row r="6" spans="1:20" x14ac:dyDescent="0.25">
      <c r="A6" s="5">
        <v>44587</v>
      </c>
      <c r="B6">
        <v>4.91</v>
      </c>
      <c r="C6">
        <v>5.45</v>
      </c>
      <c r="D6">
        <v>4.71</v>
      </c>
      <c r="E6">
        <v>4.95</v>
      </c>
      <c r="F6">
        <v>3829137.74</v>
      </c>
      <c r="G6">
        <v>4.95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-0.35135135135135098</v>
      </c>
      <c r="Q6">
        <f t="shared" ref="Q6" si="6">F6*P6</f>
        <v>-1345372.719459458</v>
      </c>
      <c r="R6">
        <f t="shared" ref="R6" si="7">R7+Q6</f>
        <v>-26716647.541399464</v>
      </c>
      <c r="S6">
        <f t="shared" ref="S6" si="8">R6/100000</f>
        <v>-267.16647541399465</v>
      </c>
      <c r="T6">
        <f t="shared" ref="T6" si="9">S6/1000</f>
        <v>-0.26716647541399463</v>
      </c>
    </row>
    <row r="7" spans="1:20" x14ac:dyDescent="0.25">
      <c r="A7" s="5">
        <v>44586</v>
      </c>
      <c r="B7">
        <v>4.84</v>
      </c>
      <c r="C7">
        <v>5.05</v>
      </c>
      <c r="D7">
        <v>4.54</v>
      </c>
      <c r="E7">
        <v>4.91</v>
      </c>
      <c r="F7">
        <v>2767151.28</v>
      </c>
      <c r="G7">
        <v>4.91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0.45098039215686375</v>
      </c>
      <c r="Q7">
        <f t="shared" ref="Q7" si="11">F7*P7</f>
        <v>1247930.9694117673</v>
      </c>
      <c r="R7">
        <f t="shared" ref="R7" si="12">R8+Q7</f>
        <v>-25371274.821940005</v>
      </c>
      <c r="S7">
        <f t="shared" ref="S7" si="13">R7/100000</f>
        <v>-253.71274821940005</v>
      </c>
      <c r="T7">
        <f t="shared" ref="T7" si="14">S7/1000</f>
        <v>-0.25371274821940004</v>
      </c>
    </row>
    <row r="8" spans="1:20" x14ac:dyDescent="0.25">
      <c r="A8" s="5">
        <v>44585</v>
      </c>
      <c r="B8">
        <v>5.21</v>
      </c>
      <c r="C8">
        <v>5.21</v>
      </c>
      <c r="D8">
        <v>4.3</v>
      </c>
      <c r="E8">
        <v>4.8499999999999996</v>
      </c>
      <c r="F8">
        <v>5093896.1500000004</v>
      </c>
      <c r="G8">
        <v>4.8499999999999996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0.20879120879120822</v>
      </c>
      <c r="Q8">
        <f t="shared" ref="Q8" si="16">F8*P8</f>
        <v>1063560.7346153818</v>
      </c>
      <c r="R8">
        <f t="shared" ref="R8" si="17">R9+Q8</f>
        <v>-26619205.791351773</v>
      </c>
      <c r="S8">
        <f t="shared" ref="S8" si="18">R8/100000</f>
        <v>-266.19205791351771</v>
      </c>
      <c r="T8">
        <f t="shared" ref="T8" si="19">S8/1000</f>
        <v>-0.26619205791351769</v>
      </c>
    </row>
    <row r="9" spans="1:20" x14ac:dyDescent="0.25">
      <c r="A9" s="5">
        <v>44584</v>
      </c>
      <c r="B9">
        <v>5.0599999999999996</v>
      </c>
      <c r="C9">
        <v>5.33</v>
      </c>
      <c r="D9">
        <v>4.92</v>
      </c>
      <c r="E9">
        <v>5.22</v>
      </c>
      <c r="F9">
        <v>2110850.2400000002</v>
      </c>
      <c r="G9">
        <v>5.22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0.4634146341463401</v>
      </c>
      <c r="Q9">
        <f t="shared" ref="Q9" si="21">F9*P9</f>
        <v>978198.89170731429</v>
      </c>
      <c r="R9">
        <f t="shared" ref="R9" si="22">R10+Q9</f>
        <v>-27682766.525967155</v>
      </c>
      <c r="S9">
        <f t="shared" ref="S9" si="23">R9/100000</f>
        <v>-276.82766525967156</v>
      </c>
      <c r="T9">
        <f t="shared" ref="T9" si="24">S9/1000</f>
        <v>-0.27682766525967156</v>
      </c>
    </row>
    <row r="10" spans="1:20" x14ac:dyDescent="0.25">
      <c r="A10" s="5">
        <v>44583</v>
      </c>
      <c r="B10">
        <v>5.8</v>
      </c>
      <c r="C10">
        <v>5.89</v>
      </c>
      <c r="D10">
        <v>4.5</v>
      </c>
      <c r="E10">
        <v>5.0599999999999996</v>
      </c>
      <c r="F10">
        <v>5324158.32</v>
      </c>
      <c r="G10">
        <v>5.0599999999999996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-0.19424460431654714</v>
      </c>
      <c r="Q10">
        <f t="shared" ref="Q10" si="26">F10*P10</f>
        <v>-1034189.0261870524</v>
      </c>
      <c r="R10">
        <f t="shared" ref="R10" si="27">R11+Q10</f>
        <v>-28660965.417674471</v>
      </c>
      <c r="S10">
        <f t="shared" ref="S10" si="28">R10/100000</f>
        <v>-286.6096541767447</v>
      </c>
      <c r="T10">
        <f t="shared" ref="T10" si="29">S10/1000</f>
        <v>-0.28660965417674472</v>
      </c>
    </row>
    <row r="11" spans="1:20" x14ac:dyDescent="0.25">
      <c r="A11" s="5">
        <v>44582</v>
      </c>
      <c r="B11">
        <v>6.61</v>
      </c>
      <c r="C11">
        <v>6.72</v>
      </c>
      <c r="D11">
        <v>5.59</v>
      </c>
      <c r="E11">
        <v>5.8</v>
      </c>
      <c r="F11">
        <v>4767145.04</v>
      </c>
      <c r="G11">
        <v>5.8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-0.62831858407079644</v>
      </c>
      <c r="Q11">
        <f t="shared" ref="Q11" si="31">F11*P11</f>
        <v>-2995285.8215929205</v>
      </c>
      <c r="R11">
        <f t="shared" ref="R11" si="32">R12+Q11</f>
        <v>-27626776.39148742</v>
      </c>
      <c r="S11">
        <f t="shared" ref="S11" si="33">R11/100000</f>
        <v>-276.26776391487419</v>
      </c>
      <c r="T11">
        <f t="shared" ref="T11" si="34">S11/1000</f>
        <v>-0.27626776391487418</v>
      </c>
    </row>
    <row r="12" spans="1:20" x14ac:dyDescent="0.25">
      <c r="A12" s="5">
        <v>44581</v>
      </c>
      <c r="B12">
        <v>7.16</v>
      </c>
      <c r="C12">
        <v>7.58</v>
      </c>
      <c r="D12">
        <v>6.53</v>
      </c>
      <c r="E12">
        <v>6.61</v>
      </c>
      <c r="F12">
        <v>3195341.25</v>
      </c>
      <c r="G12">
        <v>6.61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-0.84761904761904749</v>
      </c>
      <c r="Q12">
        <f t="shared" ref="Q12" si="36">F12*P12</f>
        <v>-2708432.1071428568</v>
      </c>
      <c r="R12">
        <f t="shared" ref="R12" si="37">R13+Q12</f>
        <v>-24631490.5698945</v>
      </c>
      <c r="S12">
        <f t="shared" ref="S12" si="38">R12/100000</f>
        <v>-246.31490569894501</v>
      </c>
      <c r="T12">
        <f t="shared" ref="T12" si="39">S12/1000</f>
        <v>-0.24631490569894501</v>
      </c>
    </row>
    <row r="13" spans="1:20" x14ac:dyDescent="0.25">
      <c r="A13" s="5">
        <v>44580</v>
      </c>
      <c r="B13">
        <v>6.98</v>
      </c>
      <c r="C13">
        <v>7.6</v>
      </c>
      <c r="D13">
        <v>6.9</v>
      </c>
      <c r="E13">
        <v>7.17</v>
      </c>
      <c r="F13">
        <v>2830128.74</v>
      </c>
      <c r="G13">
        <v>7.17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-0.22857142857142901</v>
      </c>
      <c r="Q13">
        <f t="shared" ref="Q13" si="41">F13*P13</f>
        <v>-646886.56914285838</v>
      </c>
      <c r="R13">
        <f t="shared" ref="R13" si="42">R14+Q13</f>
        <v>-21923058.462751642</v>
      </c>
      <c r="S13">
        <f t="shared" ref="S13" si="43">R13/100000</f>
        <v>-219.23058462751641</v>
      </c>
      <c r="T13">
        <f t="shared" ref="T13" si="44">S13/1000</f>
        <v>-0.21923058462751641</v>
      </c>
    </row>
    <row r="14" spans="1:20" x14ac:dyDescent="0.25">
      <c r="A14" s="5">
        <v>44579</v>
      </c>
      <c r="B14">
        <v>7.35</v>
      </c>
      <c r="C14">
        <v>7.39</v>
      </c>
      <c r="D14">
        <v>6.69</v>
      </c>
      <c r="E14">
        <v>6.98</v>
      </c>
      <c r="F14">
        <v>2506603.83</v>
      </c>
      <c r="G14">
        <v>6.98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-0.17142857142857049</v>
      </c>
      <c r="Q14">
        <f t="shared" ref="Q14" si="46">F14*P14</f>
        <v>-429703.51371428336</v>
      </c>
      <c r="R14">
        <f t="shared" ref="R14" si="47">R15+Q14</f>
        <v>-21276171.893608782</v>
      </c>
      <c r="S14">
        <f t="shared" ref="S14" si="48">R14/100000</f>
        <v>-212.76171893608782</v>
      </c>
      <c r="T14">
        <f t="shared" ref="T14" si="49">S14/1000</f>
        <v>-0.21276171893608781</v>
      </c>
    </row>
    <row r="15" spans="1:20" x14ac:dyDescent="0.25">
      <c r="A15" s="5">
        <v>44578</v>
      </c>
      <c r="B15">
        <v>7.62</v>
      </c>
      <c r="C15">
        <v>7.62</v>
      </c>
      <c r="D15">
        <v>7.26</v>
      </c>
      <c r="E15">
        <v>7.34</v>
      </c>
      <c r="F15">
        <v>828280.16</v>
      </c>
      <c r="G15">
        <v>7.34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-0.55555555555555558</v>
      </c>
      <c r="Q15">
        <f t="shared" ref="Q15" si="51">F15*P15</f>
        <v>-460155.64444444451</v>
      </c>
      <c r="R15">
        <f t="shared" ref="R15" si="52">R16+Q15</f>
        <v>-20846468.379894499</v>
      </c>
      <c r="S15">
        <f t="shared" ref="S15" si="53">R15/100000</f>
        <v>-208.46468379894498</v>
      </c>
      <c r="T15">
        <f t="shared" ref="T15" si="54">S15/1000</f>
        <v>-0.20846468379894498</v>
      </c>
    </row>
    <row r="16" spans="1:20" x14ac:dyDescent="0.25">
      <c r="A16" s="5">
        <v>44577</v>
      </c>
      <c r="B16">
        <v>7.72</v>
      </c>
      <c r="C16">
        <v>7.81</v>
      </c>
      <c r="D16">
        <v>7.41</v>
      </c>
      <c r="E16">
        <v>7.62</v>
      </c>
      <c r="F16">
        <v>1788221.05</v>
      </c>
      <c r="G16">
        <v>7.62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5.0000000000001224E-2</v>
      </c>
      <c r="Q16">
        <f t="shared" ref="Q16" si="56">F16*P16</f>
        <v>89411.052500002188</v>
      </c>
      <c r="R16">
        <f t="shared" ref="R16" si="57">R17+Q16</f>
        <v>-20386312.735450055</v>
      </c>
      <c r="S16">
        <f t="shared" ref="S16" si="58">R16/100000</f>
        <v>-203.86312735450056</v>
      </c>
      <c r="T16">
        <f t="shared" ref="T16" si="59">S16/1000</f>
        <v>-0.20386312735450057</v>
      </c>
    </row>
    <row r="17" spans="1:20" x14ac:dyDescent="0.25">
      <c r="A17" s="5">
        <v>44576</v>
      </c>
      <c r="B17">
        <v>7.73</v>
      </c>
      <c r="C17">
        <v>7.8</v>
      </c>
      <c r="D17">
        <v>7.58</v>
      </c>
      <c r="E17">
        <v>7.73</v>
      </c>
      <c r="F17">
        <v>1577943.12</v>
      </c>
      <c r="G17">
        <v>7.73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0.36363636363636842</v>
      </c>
      <c r="Q17">
        <f t="shared" ref="Q17" si="61">F17*P17</f>
        <v>573797.49818182574</v>
      </c>
      <c r="R17">
        <f t="shared" ref="R17" si="62">R18+Q17</f>
        <v>-20475723.787950058</v>
      </c>
      <c r="S17">
        <f t="shared" ref="S17" si="63">R17/100000</f>
        <v>-204.75723787950056</v>
      </c>
      <c r="T17">
        <f t="shared" ref="T17" si="64">S17/1000</f>
        <v>-0.20475723787950056</v>
      </c>
    </row>
    <row r="18" spans="1:20" x14ac:dyDescent="0.25">
      <c r="A18" s="5">
        <v>44575</v>
      </c>
      <c r="B18">
        <v>7.72</v>
      </c>
      <c r="C18">
        <v>7.88</v>
      </c>
      <c r="D18">
        <v>7.56</v>
      </c>
      <c r="E18">
        <v>7.73</v>
      </c>
      <c r="F18">
        <v>1263714.93</v>
      </c>
      <c r="G18">
        <v>7.73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6.2500000000004163E-2</v>
      </c>
      <c r="Q18">
        <f t="shared" ref="Q18" si="66">F18*P18</f>
        <v>78982.183125005264</v>
      </c>
      <c r="R18">
        <f t="shared" ref="R18" si="67">R19+Q18</f>
        <v>-21049521.286131885</v>
      </c>
      <c r="S18">
        <f t="shared" ref="S18" si="68">R18/100000</f>
        <v>-210.49521286131886</v>
      </c>
      <c r="T18">
        <f t="shared" ref="T18" si="69">S18/1000</f>
        <v>-0.21049521286131886</v>
      </c>
    </row>
    <row r="19" spans="1:20" x14ac:dyDescent="0.25">
      <c r="A19" s="5">
        <v>44574</v>
      </c>
      <c r="B19">
        <v>7.92</v>
      </c>
      <c r="C19">
        <v>8.1300000000000008</v>
      </c>
      <c r="D19">
        <v>7.71</v>
      </c>
      <c r="E19">
        <v>7.72</v>
      </c>
      <c r="F19">
        <v>1520082.78</v>
      </c>
      <c r="G19">
        <v>7.72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-0.95238095238095344</v>
      </c>
      <c r="Q19">
        <f t="shared" ref="Q19" si="71">F19*P19</f>
        <v>-1447697.8857142874</v>
      </c>
      <c r="R19">
        <f t="shared" ref="R19" si="72">R20+Q19</f>
        <v>-21128503.469256889</v>
      </c>
      <c r="S19">
        <f t="shared" ref="S19" si="73">R19/100000</f>
        <v>-211.2850346925689</v>
      </c>
      <c r="T19">
        <f t="shared" ref="T19" si="74">S19/1000</f>
        <v>-0.2112850346925689</v>
      </c>
    </row>
    <row r="20" spans="1:20" x14ac:dyDescent="0.25">
      <c r="A20" s="5">
        <v>44573</v>
      </c>
      <c r="B20">
        <v>7.64</v>
      </c>
      <c r="C20">
        <v>7.95</v>
      </c>
      <c r="D20">
        <v>7.59</v>
      </c>
      <c r="E20">
        <v>7.93</v>
      </c>
      <c r="F20">
        <v>1249401.1399999999</v>
      </c>
      <c r="G20">
        <v>7.93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0.8888888888888864</v>
      </c>
      <c r="Q20">
        <f t="shared" ref="Q20" si="76">F20*P20</f>
        <v>1110578.7911111079</v>
      </c>
      <c r="R20">
        <f t="shared" ref="R20" si="77">R21+Q20</f>
        <v>-19680805.5835426</v>
      </c>
      <c r="S20">
        <f t="shared" ref="S20" si="78">R20/100000</f>
        <v>-196.80805583542599</v>
      </c>
      <c r="T20">
        <f t="shared" ref="T20" si="79">S20/1000</f>
        <v>-0.19680805583542599</v>
      </c>
    </row>
    <row r="21" spans="1:20" x14ac:dyDescent="0.25">
      <c r="A21" s="5">
        <v>44572</v>
      </c>
      <c r="B21">
        <v>7.48</v>
      </c>
      <c r="C21">
        <v>7.66</v>
      </c>
      <c r="D21">
        <v>7.3</v>
      </c>
      <c r="E21">
        <v>7.64</v>
      </c>
      <c r="F21">
        <v>1130091.47</v>
      </c>
      <c r="G21">
        <v>7.64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0.8888888888888864</v>
      </c>
      <c r="Q21">
        <f t="shared" ref="Q21" si="81">F21*P21</f>
        <v>1004525.7511111082</v>
      </c>
      <c r="R21">
        <f t="shared" ref="R21" si="82">R22+Q21</f>
        <v>-20791384.374653708</v>
      </c>
      <c r="S21">
        <f t="shared" ref="S21" si="83">R21/100000</f>
        <v>-207.91384374653708</v>
      </c>
      <c r="T21">
        <f t="shared" ref="T21" si="84">S21/1000</f>
        <v>-0.20791384374653707</v>
      </c>
    </row>
    <row r="22" spans="1:20" x14ac:dyDescent="0.25">
      <c r="A22" s="5">
        <v>44571</v>
      </c>
      <c r="B22">
        <v>7.8</v>
      </c>
      <c r="C22">
        <v>7.93</v>
      </c>
      <c r="D22">
        <v>7.18</v>
      </c>
      <c r="E22">
        <v>7.48</v>
      </c>
      <c r="F22">
        <v>1215742.5900000001</v>
      </c>
      <c r="G22">
        <v>7.48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-0.1999999999999981</v>
      </c>
      <c r="Q22">
        <f t="shared" ref="Q22" si="86">F22*P22</f>
        <v>-243148.51799999771</v>
      </c>
      <c r="R22">
        <f t="shared" ref="R22" si="87">R23+Q22</f>
        <v>-21795910.125764817</v>
      </c>
      <c r="S22">
        <f t="shared" ref="S22" si="88">R22/100000</f>
        <v>-217.95910125764817</v>
      </c>
      <c r="T22">
        <f t="shared" ref="T22" si="89">S22/1000</f>
        <v>-0.21795910125764817</v>
      </c>
    </row>
    <row r="23" spans="1:20" x14ac:dyDescent="0.25">
      <c r="A23" s="5">
        <v>44570</v>
      </c>
      <c r="B23">
        <v>7.71</v>
      </c>
      <c r="C23">
        <v>7.92</v>
      </c>
      <c r="D23">
        <v>7.65</v>
      </c>
      <c r="E23">
        <v>7.79</v>
      </c>
      <c r="F23">
        <v>903184.99</v>
      </c>
      <c r="G23">
        <v>7.79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3.7037037037036306E-2</v>
      </c>
      <c r="Q23">
        <f t="shared" ref="Q23" si="91">F23*P23</f>
        <v>33451.295925925268</v>
      </c>
      <c r="R23">
        <f t="shared" ref="R23" si="92">R24+Q23</f>
        <v>-21552761.607764818</v>
      </c>
      <c r="S23">
        <f t="shared" ref="S23" si="93">R23/100000</f>
        <v>-215.52761607764819</v>
      </c>
      <c r="T23">
        <f t="shared" ref="T23" si="94">S23/1000</f>
        <v>-0.2155276160776482</v>
      </c>
    </row>
    <row r="24" spans="1:20" x14ac:dyDescent="0.25">
      <c r="A24" s="5">
        <v>44569</v>
      </c>
      <c r="B24">
        <v>7.99</v>
      </c>
      <c r="C24">
        <v>8.06</v>
      </c>
      <c r="D24">
        <v>7.55</v>
      </c>
      <c r="E24">
        <v>7.72</v>
      </c>
      <c r="F24">
        <v>1120148.06</v>
      </c>
      <c r="G24">
        <v>7.72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-0.33333333333333448</v>
      </c>
      <c r="Q24">
        <f t="shared" ref="Q24" si="96">F24*P24</f>
        <v>-373382.68666666799</v>
      </c>
      <c r="R24">
        <f t="shared" ref="R24" si="97">R25+Q24</f>
        <v>-21586212.903690744</v>
      </c>
      <c r="S24">
        <f t="shared" ref="S24" si="98">R24/100000</f>
        <v>-215.86212903690745</v>
      </c>
      <c r="T24">
        <f t="shared" ref="T24" si="99">S24/1000</f>
        <v>-0.21586212903690744</v>
      </c>
    </row>
    <row r="25" spans="1:20" x14ac:dyDescent="0.25">
      <c r="A25" s="5">
        <v>44568</v>
      </c>
      <c r="B25">
        <v>8.31</v>
      </c>
      <c r="C25">
        <v>8.34</v>
      </c>
      <c r="D25">
        <v>7.81</v>
      </c>
      <c r="E25">
        <v>7.98</v>
      </c>
      <c r="F25">
        <v>1679554.37</v>
      </c>
      <c r="G25">
        <v>7.98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-0.35849056603773305</v>
      </c>
      <c r="Q25">
        <f t="shared" ref="Q25" si="101">F25*P25</f>
        <v>-602104.39679244813</v>
      </c>
      <c r="R25">
        <f t="shared" ref="R25" si="102">R26+Q25</f>
        <v>-21212830.217024077</v>
      </c>
      <c r="S25">
        <f t="shared" ref="S25" si="103">R25/100000</f>
        <v>-212.12830217024077</v>
      </c>
      <c r="T25">
        <f t="shared" ref="T25" si="104">S25/1000</f>
        <v>-0.21212830217024078</v>
      </c>
    </row>
    <row r="26" spans="1:20" x14ac:dyDescent="0.25">
      <c r="A26" s="5">
        <v>44567</v>
      </c>
      <c r="B26">
        <v>8.42</v>
      </c>
      <c r="C26">
        <v>8.48</v>
      </c>
      <c r="D26">
        <v>8.08</v>
      </c>
      <c r="E26">
        <v>8.32</v>
      </c>
      <c r="F26">
        <v>1619267.02</v>
      </c>
      <c r="G26">
        <v>8.32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</v>
      </c>
      <c r="Q26">
        <f t="shared" ref="Q26" si="106">F26*P26</f>
        <v>323853.40400000004</v>
      </c>
      <c r="R26">
        <f t="shared" ref="R26" si="107">R27+Q26</f>
        <v>-20610725.820231628</v>
      </c>
      <c r="S26">
        <f t="shared" ref="S26" si="108">R26/100000</f>
        <v>-206.10725820231627</v>
      </c>
      <c r="T26">
        <f t="shared" ref="T26" si="109">S26/1000</f>
        <v>-0.20610725820231626</v>
      </c>
    </row>
    <row r="27" spans="1:20" x14ac:dyDescent="0.25">
      <c r="A27" s="5">
        <v>44566</v>
      </c>
      <c r="B27">
        <v>8.93</v>
      </c>
      <c r="C27">
        <v>9.2799999999999994</v>
      </c>
      <c r="D27">
        <v>8.27</v>
      </c>
      <c r="E27">
        <v>8.44</v>
      </c>
      <c r="F27">
        <v>2035209.66</v>
      </c>
      <c r="G27">
        <v>8.44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-0.6633663366336634</v>
      </c>
      <c r="Q27">
        <f t="shared" ref="Q27" si="111">F27*P27</f>
        <v>-1350089.5764356435</v>
      </c>
      <c r="R27">
        <f t="shared" ref="R27" si="112">R28+Q27</f>
        <v>-20934579.224231627</v>
      </c>
      <c r="S27">
        <f t="shared" ref="S27" si="113">R27/100000</f>
        <v>-209.34579224231626</v>
      </c>
      <c r="T27">
        <f t="shared" ref="T27" si="114">S27/1000</f>
        <v>-0.20934579224231625</v>
      </c>
    </row>
    <row r="28" spans="1:20" x14ac:dyDescent="0.25">
      <c r="A28" s="5">
        <v>44565</v>
      </c>
      <c r="B28">
        <v>8.94</v>
      </c>
      <c r="C28">
        <v>9.25</v>
      </c>
      <c r="D28">
        <v>8.73</v>
      </c>
      <c r="E28">
        <v>8.93</v>
      </c>
      <c r="F28">
        <v>1592605.79</v>
      </c>
      <c r="G28">
        <v>8.93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-0.23076923076923286</v>
      </c>
      <c r="Q28">
        <f t="shared" ref="Q28" si="116">F28*P28</f>
        <v>-367524.41307692643</v>
      </c>
      <c r="R28">
        <f t="shared" ref="R28" si="117">R29+Q28</f>
        <v>-19584489.647795983</v>
      </c>
      <c r="S28">
        <f t="shared" ref="S28" si="118">R28/100000</f>
        <v>-195.84489647795982</v>
      </c>
      <c r="T28">
        <f t="shared" ref="T28" si="119">S28/1000</f>
        <v>-0.19584489647795983</v>
      </c>
    </row>
    <row r="29" spans="1:20" x14ac:dyDescent="0.25">
      <c r="A29" s="5">
        <v>44564</v>
      </c>
      <c r="B29">
        <v>9.26</v>
      </c>
      <c r="C29">
        <v>9.27</v>
      </c>
      <c r="D29">
        <v>8.85</v>
      </c>
      <c r="E29">
        <v>8.9499999999999993</v>
      </c>
      <c r="F29">
        <v>1074605.54</v>
      </c>
      <c r="G29">
        <v>8.9499999999999993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-0.52380952380952539</v>
      </c>
      <c r="Q29">
        <f t="shared" ref="Q29" si="121">F29*P29</f>
        <v>-562888.61619047786</v>
      </c>
      <c r="R29">
        <f t="shared" ref="R29" si="122">R30+Q29</f>
        <v>-19216965.234719057</v>
      </c>
      <c r="S29">
        <f t="shared" ref="S29" si="123">R29/100000</f>
        <v>-192.16965234719058</v>
      </c>
      <c r="T29">
        <f t="shared" ref="T29" si="124">S29/1000</f>
        <v>-0.19216965234719058</v>
      </c>
    </row>
    <row r="30" spans="1:20" x14ac:dyDescent="0.25">
      <c r="A30" s="5">
        <v>44563</v>
      </c>
      <c r="B30">
        <v>9.17</v>
      </c>
      <c r="C30">
        <v>9.4499999999999993</v>
      </c>
      <c r="D30">
        <v>9</v>
      </c>
      <c r="E30">
        <v>9.26</v>
      </c>
      <c r="F30">
        <v>1200129.75</v>
      </c>
      <c r="G30">
        <v>9.26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0.15555555555555645</v>
      </c>
      <c r="Q30">
        <f t="shared" ref="Q30" si="126">F30*P30</f>
        <v>186686.85000000108</v>
      </c>
      <c r="R30">
        <f t="shared" ref="R30" si="127">R31+Q30</f>
        <v>-18654076.618528578</v>
      </c>
      <c r="S30">
        <f t="shared" ref="S30" si="128">R30/100000</f>
        <v>-186.54076618528578</v>
      </c>
      <c r="T30">
        <f t="shared" ref="T30" si="129">S30/1000</f>
        <v>-0.18654076618528578</v>
      </c>
    </row>
    <row r="31" spans="1:20" x14ac:dyDescent="0.25">
      <c r="A31" s="5">
        <v>44562</v>
      </c>
      <c r="B31">
        <v>8.83</v>
      </c>
      <c r="C31">
        <v>9.18</v>
      </c>
      <c r="D31">
        <v>8.7899999999999991</v>
      </c>
      <c r="E31">
        <v>9.17</v>
      </c>
      <c r="F31">
        <v>972300.66</v>
      </c>
      <c r="G31">
        <v>9.17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0.9487179487179499</v>
      </c>
      <c r="Q31">
        <f t="shared" ref="Q31" si="131">F31*P31</f>
        <v>922439.08769230882</v>
      </c>
      <c r="R31">
        <f t="shared" ref="R31" si="132">R32+Q31</f>
        <v>-18840763.46852858</v>
      </c>
      <c r="S31">
        <f t="shared" ref="S31" si="133">R31/100000</f>
        <v>-188.40763468528579</v>
      </c>
      <c r="T31">
        <f t="shared" ref="T31" si="134">S31/1000</f>
        <v>-0.18840763468528579</v>
      </c>
    </row>
    <row r="32" spans="1:20" x14ac:dyDescent="0.25">
      <c r="A32" s="5">
        <v>44561</v>
      </c>
      <c r="B32">
        <v>8.74</v>
      </c>
      <c r="C32">
        <v>8.92</v>
      </c>
      <c r="D32">
        <v>8.67</v>
      </c>
      <c r="E32">
        <v>8.82</v>
      </c>
      <c r="F32">
        <v>1061351.8999999999</v>
      </c>
      <c r="G32">
        <v>8.82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0.20000000000000284</v>
      </c>
      <c r="Q32">
        <f t="shared" ref="Q32" si="136">F32*P32</f>
        <v>212270.380000003</v>
      </c>
      <c r="R32">
        <f t="shared" ref="R32" si="137">R33+Q32</f>
        <v>-19763202.556220889</v>
      </c>
      <c r="S32">
        <f t="shared" ref="S32" si="138">R32/100000</f>
        <v>-197.6320255622089</v>
      </c>
      <c r="T32">
        <f t="shared" ref="T32" si="139">S32/1000</f>
        <v>-0.19763202556220891</v>
      </c>
    </row>
    <row r="33" spans="1:20" x14ac:dyDescent="0.25">
      <c r="A33" s="5">
        <v>44560</v>
      </c>
      <c r="B33">
        <v>8.6</v>
      </c>
      <c r="C33">
        <v>8.84</v>
      </c>
      <c r="D33">
        <v>8.49</v>
      </c>
      <c r="E33">
        <v>8.73</v>
      </c>
      <c r="F33">
        <v>995339.99</v>
      </c>
      <c r="G33">
        <v>8.73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0.37142857142857405</v>
      </c>
      <c r="Q33">
        <f t="shared" ref="Q33" si="141">F33*P33</f>
        <v>369697.71057143121</v>
      </c>
      <c r="R33">
        <f t="shared" ref="R33" si="142">R34+Q33</f>
        <v>-19975472.936220892</v>
      </c>
      <c r="S33">
        <f t="shared" ref="S33" si="143">R33/100000</f>
        <v>-199.75472936220891</v>
      </c>
      <c r="T33">
        <f t="shared" ref="T33" si="144">S33/1000</f>
        <v>-0.19975472936220889</v>
      </c>
    </row>
    <row r="34" spans="1:20" x14ac:dyDescent="0.25">
      <c r="A34" s="5">
        <v>44559</v>
      </c>
      <c r="B34">
        <v>8.7100000000000009</v>
      </c>
      <c r="C34">
        <v>8.84</v>
      </c>
      <c r="D34">
        <v>8.4700000000000006</v>
      </c>
      <c r="E34">
        <v>8.6</v>
      </c>
      <c r="F34">
        <v>1633504.59</v>
      </c>
      <c r="G34">
        <v>8.6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-0.2972972972973012</v>
      </c>
      <c r="Q34">
        <f t="shared" ref="Q34" si="146">F34*P34</f>
        <v>-485636.49972973613</v>
      </c>
      <c r="R34">
        <f t="shared" ref="R34" si="147">R35+Q34</f>
        <v>-20345170.646792322</v>
      </c>
      <c r="S34">
        <f t="shared" ref="S34" si="148">R34/100000</f>
        <v>-203.45170646792323</v>
      </c>
      <c r="T34">
        <f t="shared" ref="T34" si="149">S34/1000</f>
        <v>-0.20345170646792324</v>
      </c>
    </row>
    <row r="35" spans="1:20" x14ac:dyDescent="0.25">
      <c r="A35" s="5">
        <v>44558</v>
      </c>
      <c r="B35">
        <v>9.42</v>
      </c>
      <c r="C35">
        <v>9.42</v>
      </c>
      <c r="D35">
        <v>8.69</v>
      </c>
      <c r="E35">
        <v>8.7200000000000006</v>
      </c>
      <c r="F35">
        <v>1436808.81</v>
      </c>
      <c r="G35">
        <v>8.7200000000000006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-0.91780821917807909</v>
      </c>
      <c r="Q35">
        <f t="shared" ref="Q35" si="151">F35*P35</f>
        <v>-1318714.935205475</v>
      </c>
      <c r="R35">
        <f t="shared" ref="R35" si="152">R36+Q35</f>
        <v>-19859534.147062585</v>
      </c>
      <c r="S35">
        <f t="shared" ref="S35" si="153">R35/100000</f>
        <v>-198.59534147062584</v>
      </c>
      <c r="T35">
        <f t="shared" ref="T35" si="154">S35/1000</f>
        <v>-0.19859534147062585</v>
      </c>
    </row>
    <row r="36" spans="1:20" x14ac:dyDescent="0.25">
      <c r="A36" s="5">
        <v>44557</v>
      </c>
      <c r="B36">
        <v>9.24</v>
      </c>
      <c r="C36">
        <v>9.7100000000000009</v>
      </c>
      <c r="D36">
        <v>9.17</v>
      </c>
      <c r="E36">
        <v>9.42</v>
      </c>
      <c r="F36">
        <v>1419786.84</v>
      </c>
      <c r="G36">
        <v>9.42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-7.4074074074075652E-2</v>
      </c>
      <c r="Q36">
        <f t="shared" ref="Q36" si="156">F36*P36</f>
        <v>-105169.3955555578</v>
      </c>
      <c r="R36">
        <f t="shared" ref="R36" si="157">R37+Q36</f>
        <v>-18540819.21185711</v>
      </c>
      <c r="S36">
        <f t="shared" ref="S36" si="158">R36/100000</f>
        <v>-185.40819211857109</v>
      </c>
      <c r="T36">
        <f t="shared" ref="T36" si="159">S36/1000</f>
        <v>-0.1854081921185711</v>
      </c>
    </row>
    <row r="37" spans="1:20" x14ac:dyDescent="0.25">
      <c r="A37" s="5">
        <v>44556</v>
      </c>
      <c r="B37">
        <v>9.19</v>
      </c>
      <c r="C37">
        <v>9.2799999999999994</v>
      </c>
      <c r="D37">
        <v>8.9499999999999993</v>
      </c>
      <c r="E37">
        <v>9.25</v>
      </c>
      <c r="F37">
        <v>945576.72</v>
      </c>
      <c r="G37">
        <v>9.25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0.81818181818182212</v>
      </c>
      <c r="Q37">
        <f t="shared" ref="Q37" si="161">F37*P37</f>
        <v>773653.68000000366</v>
      </c>
      <c r="R37">
        <f t="shared" ref="R37" si="162">R38+Q37</f>
        <v>-18435649.816301551</v>
      </c>
      <c r="S37">
        <f t="shared" ref="S37" si="163">R37/100000</f>
        <v>-184.35649816301552</v>
      </c>
      <c r="T37">
        <f t="shared" ref="T37" si="164">S37/1000</f>
        <v>-0.18435649816301553</v>
      </c>
    </row>
    <row r="38" spans="1:20" x14ac:dyDescent="0.25">
      <c r="A38" s="5">
        <v>44555</v>
      </c>
      <c r="B38">
        <v>9.1</v>
      </c>
      <c r="C38">
        <v>9.25</v>
      </c>
      <c r="D38">
        <v>9.0299999999999994</v>
      </c>
      <c r="E38">
        <v>9.19</v>
      </c>
      <c r="F38">
        <v>776314.61</v>
      </c>
      <c r="G38">
        <v>9.19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0.45454545454545159</v>
      </c>
      <c r="Q38">
        <f t="shared" ref="Q38" si="166">F38*P38</f>
        <v>352870.27727272495</v>
      </c>
      <c r="R38">
        <f t="shared" ref="R38" si="167">R39+Q38</f>
        <v>-19209303.496301554</v>
      </c>
      <c r="S38">
        <f t="shared" ref="S38" si="168">R38/100000</f>
        <v>-192.09303496301555</v>
      </c>
      <c r="T38">
        <f t="shared" ref="T38" si="169">S38/1000</f>
        <v>-0.19209303496301555</v>
      </c>
    </row>
    <row r="39" spans="1:20" x14ac:dyDescent="0.25">
      <c r="A39" s="5">
        <v>44554</v>
      </c>
      <c r="B39">
        <v>9.2899999999999991</v>
      </c>
      <c r="C39">
        <v>9.58</v>
      </c>
      <c r="D39">
        <v>9.07</v>
      </c>
      <c r="E39">
        <v>9.1</v>
      </c>
      <c r="F39">
        <v>1675343.64</v>
      </c>
      <c r="G39">
        <v>9.1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-0.882352941176473</v>
      </c>
      <c r="Q39">
        <f t="shared" ref="Q39" si="171">F39*P39</f>
        <v>-1478244.388235298</v>
      </c>
      <c r="R39">
        <f t="shared" ref="R39" si="172">R40+Q39</f>
        <v>-19562173.773574278</v>
      </c>
      <c r="S39">
        <f t="shared" ref="S39" si="173">R39/100000</f>
        <v>-195.62173773574278</v>
      </c>
      <c r="T39">
        <f t="shared" ref="T39" si="174">S39/1000</f>
        <v>-0.19562173773574279</v>
      </c>
    </row>
    <row r="40" spans="1:20" x14ac:dyDescent="0.25">
      <c r="A40" s="5">
        <v>44553</v>
      </c>
      <c r="B40">
        <v>8.5</v>
      </c>
      <c r="C40">
        <v>9.3699999999999992</v>
      </c>
      <c r="D40">
        <v>8.48</v>
      </c>
      <c r="E40">
        <v>9.2899999999999991</v>
      </c>
      <c r="F40">
        <v>2864892.46</v>
      </c>
      <c r="G40">
        <v>9.2899999999999991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0.82022471910112316</v>
      </c>
      <c r="Q40">
        <f t="shared" ref="Q40" si="176">F40*P40</f>
        <v>2349855.6132584256</v>
      </c>
      <c r="R40">
        <f t="shared" ref="R40" si="177">R41+Q40</f>
        <v>-18083929.385338981</v>
      </c>
      <c r="S40">
        <f t="shared" ref="S40" si="178">R40/100000</f>
        <v>-180.83929385338982</v>
      </c>
      <c r="T40">
        <f t="shared" ref="T40" si="179">S40/1000</f>
        <v>-0.18083929385338982</v>
      </c>
    </row>
    <row r="41" spans="1:20" x14ac:dyDescent="0.25">
      <c r="A41" s="5">
        <v>44552</v>
      </c>
      <c r="B41">
        <v>8.34</v>
      </c>
      <c r="C41">
        <v>8.6</v>
      </c>
      <c r="D41">
        <v>8.2899999999999991</v>
      </c>
      <c r="E41">
        <v>8.5</v>
      </c>
      <c r="F41">
        <v>1383412.03</v>
      </c>
      <c r="G41">
        <v>8.5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0.3548387096774227</v>
      </c>
      <c r="Q41">
        <f t="shared" ref="Q41" si="181">F41*P41</f>
        <v>490888.13967742398</v>
      </c>
      <c r="R41">
        <f t="shared" ref="R41" si="182">R42+Q41</f>
        <v>-20433784.998597406</v>
      </c>
      <c r="S41">
        <f t="shared" ref="S41" si="183">R41/100000</f>
        <v>-204.33784998597406</v>
      </c>
      <c r="T41">
        <f t="shared" ref="T41" si="184">S41/1000</f>
        <v>-0.20433784998597407</v>
      </c>
    </row>
    <row r="42" spans="1:20" x14ac:dyDescent="0.25">
      <c r="A42" s="5">
        <v>44551</v>
      </c>
      <c r="B42">
        <v>8.1300000000000008</v>
      </c>
      <c r="C42">
        <v>8.39</v>
      </c>
      <c r="D42">
        <v>8.06</v>
      </c>
      <c r="E42">
        <v>8.35</v>
      </c>
      <c r="F42">
        <v>1222451.9099999999</v>
      </c>
      <c r="G42">
        <v>8.35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0.75757575757575202</v>
      </c>
      <c r="Q42">
        <f t="shared" ref="Q42" si="186">F42*P42</f>
        <v>926099.93181817501</v>
      </c>
      <c r="R42">
        <f t="shared" ref="R42" si="187">R43+Q42</f>
        <v>-20924673.13827483</v>
      </c>
      <c r="S42">
        <f t="shared" ref="S42" si="188">R42/100000</f>
        <v>-209.24673138274829</v>
      </c>
      <c r="T42">
        <f t="shared" ref="T42" si="189">S42/1000</f>
        <v>-0.2092467313827483</v>
      </c>
    </row>
    <row r="43" spans="1:20" x14ac:dyDescent="0.25">
      <c r="A43" s="5">
        <v>44550</v>
      </c>
      <c r="B43">
        <v>8.33</v>
      </c>
      <c r="C43">
        <v>8.3800000000000008</v>
      </c>
      <c r="D43">
        <v>8</v>
      </c>
      <c r="E43">
        <v>8.1300000000000008</v>
      </c>
      <c r="F43">
        <v>1034402.51</v>
      </c>
      <c r="G43">
        <v>8.1300000000000008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-0.31578947368420784</v>
      </c>
      <c r="Q43">
        <f t="shared" ref="Q43" si="191">F43*P43</f>
        <v>-326653.42421052355</v>
      </c>
      <c r="R43">
        <f t="shared" ref="R43" si="192">R44+Q43</f>
        <v>-21850773.070093006</v>
      </c>
      <c r="S43">
        <f t="shared" ref="S43" si="193">R43/100000</f>
        <v>-218.50773070093007</v>
      </c>
      <c r="T43">
        <f t="shared" ref="T43" si="194">S43/1000</f>
        <v>-0.21850773070093008</v>
      </c>
    </row>
    <row r="44" spans="1:20" x14ac:dyDescent="0.25">
      <c r="A44" s="5">
        <v>44549</v>
      </c>
      <c r="B44">
        <v>8.4700000000000006</v>
      </c>
      <c r="C44">
        <v>8.61</v>
      </c>
      <c r="D44">
        <v>8.32</v>
      </c>
      <c r="E44">
        <v>8.34</v>
      </c>
      <c r="F44">
        <v>796693.04</v>
      </c>
      <c r="G44">
        <v>8.34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-0.86206896551724388</v>
      </c>
      <c r="Q44">
        <f t="shared" ref="Q44" si="196">F44*P44</f>
        <v>-686804.34482758818</v>
      </c>
      <c r="R44">
        <f t="shared" ref="R44" si="197">R45+Q44</f>
        <v>-21524119.645882484</v>
      </c>
      <c r="S44">
        <f t="shared" ref="S44" si="198">R44/100000</f>
        <v>-215.24119645882485</v>
      </c>
      <c r="T44">
        <f t="shared" ref="T44" si="199">S44/1000</f>
        <v>-0.21524119645882483</v>
      </c>
    </row>
    <row r="45" spans="1:20" x14ac:dyDescent="0.25">
      <c r="A45" s="5">
        <v>44548</v>
      </c>
      <c r="B45">
        <v>8.36</v>
      </c>
      <c r="C45">
        <v>8.58</v>
      </c>
      <c r="D45">
        <v>8.25</v>
      </c>
      <c r="E45">
        <v>8.48</v>
      </c>
      <c r="F45">
        <v>779327.83</v>
      </c>
      <c r="G45">
        <v>8.48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0.3939393939393962</v>
      </c>
      <c r="Q45">
        <f t="shared" ref="Q45" si="201">F45*P45</f>
        <v>307007.93303030479</v>
      </c>
      <c r="R45">
        <f t="shared" ref="R45" si="202">R46+Q45</f>
        <v>-20837315.301054895</v>
      </c>
      <c r="S45">
        <f t="shared" ref="S45" si="203">R45/100000</f>
        <v>-208.37315301054895</v>
      </c>
      <c r="T45">
        <f t="shared" ref="T45" si="204">S45/1000</f>
        <v>-0.20837315301054896</v>
      </c>
    </row>
    <row r="46" spans="1:20" x14ac:dyDescent="0.25">
      <c r="A46" s="5">
        <v>44547</v>
      </c>
      <c r="B46">
        <v>8.5399999999999991</v>
      </c>
      <c r="C46">
        <v>8.6199999999999992</v>
      </c>
      <c r="D46">
        <v>8.19</v>
      </c>
      <c r="E46">
        <v>8.35</v>
      </c>
      <c r="F46">
        <v>1050003.81</v>
      </c>
      <c r="G46">
        <v>8.35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-0.25581395348837094</v>
      </c>
      <c r="Q46">
        <f t="shared" ref="Q46" si="206">F46*P46</f>
        <v>-268605.6258139523</v>
      </c>
      <c r="R46">
        <f t="shared" ref="R46" si="207">R47+Q46</f>
        <v>-21144323.234085198</v>
      </c>
      <c r="S46">
        <f t="shared" ref="S46" si="208">R46/100000</f>
        <v>-211.44323234085198</v>
      </c>
      <c r="T46">
        <f t="shared" ref="T46" si="209">S46/1000</f>
        <v>-0.21144323234085197</v>
      </c>
    </row>
    <row r="47" spans="1:20" x14ac:dyDescent="0.25">
      <c r="A47" s="5">
        <v>44546</v>
      </c>
      <c r="B47">
        <v>8.83</v>
      </c>
      <c r="C47">
        <v>9</v>
      </c>
      <c r="D47">
        <v>8.52</v>
      </c>
      <c r="E47">
        <v>8.5399999999999991</v>
      </c>
      <c r="F47">
        <v>1363592.45</v>
      </c>
      <c r="G47">
        <v>8.5399999999999991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-0.91666666666666852</v>
      </c>
      <c r="Q47">
        <f t="shared" ref="Q47" si="211">F47*P47</f>
        <v>-1249959.7458333359</v>
      </c>
      <c r="R47">
        <f t="shared" ref="R47" si="212">R48+Q47</f>
        <v>-20875717.608271245</v>
      </c>
      <c r="S47">
        <f t="shared" ref="S47" si="213">R47/100000</f>
        <v>-208.75717608271245</v>
      </c>
      <c r="T47">
        <f t="shared" ref="T47" si="214">S47/1000</f>
        <v>-0.20875717608271244</v>
      </c>
    </row>
    <row r="48" spans="1:20" x14ac:dyDescent="0.25">
      <c r="A48" s="5">
        <v>44545</v>
      </c>
      <c r="B48">
        <v>8.67</v>
      </c>
      <c r="C48">
        <v>8.9</v>
      </c>
      <c r="D48">
        <v>8.18</v>
      </c>
      <c r="E48">
        <v>8.83</v>
      </c>
      <c r="F48">
        <v>1328679.6499999999</v>
      </c>
      <c r="G48">
        <v>8.83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0.80555555555555491</v>
      </c>
      <c r="Q48">
        <f t="shared" ref="Q48" si="216">F48*P48</f>
        <v>1070325.2736111102</v>
      </c>
      <c r="R48">
        <f t="shared" ref="R48" si="217">R49+Q48</f>
        <v>-19625757.862437908</v>
      </c>
      <c r="S48">
        <f t="shared" ref="S48" si="218">R48/100000</f>
        <v>-196.25757862437908</v>
      </c>
      <c r="T48">
        <f t="shared" ref="T48" si="219">S48/1000</f>
        <v>-0.19625757862437909</v>
      </c>
    </row>
    <row r="49" spans="1:20" x14ac:dyDescent="0.25">
      <c r="A49" s="5">
        <v>44544</v>
      </c>
      <c r="B49">
        <v>8.6199999999999992</v>
      </c>
      <c r="C49">
        <v>8.7200000000000006</v>
      </c>
      <c r="D49">
        <v>8.1999999999999993</v>
      </c>
      <c r="E49">
        <v>8.67</v>
      </c>
      <c r="F49">
        <v>1701876.53</v>
      </c>
      <c r="G49">
        <v>8.67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0.80769230769230549</v>
      </c>
      <c r="Q49">
        <f t="shared" ref="Q49" si="221">F49*P49</f>
        <v>1374592.5819230732</v>
      </c>
      <c r="R49">
        <f t="shared" ref="R49" si="222">R50+Q49</f>
        <v>-20696083.136049017</v>
      </c>
      <c r="S49">
        <f t="shared" ref="S49" si="223">R49/100000</f>
        <v>-206.96083136049018</v>
      </c>
      <c r="T49">
        <f t="shared" ref="T49" si="224">S49/1000</f>
        <v>-0.20696083136049018</v>
      </c>
    </row>
    <row r="50" spans="1:20" x14ac:dyDescent="0.25">
      <c r="A50" s="5">
        <v>44543</v>
      </c>
      <c r="B50">
        <v>9.2100000000000009</v>
      </c>
      <c r="C50">
        <v>9.3000000000000007</v>
      </c>
      <c r="D50">
        <v>8.5299999999999994</v>
      </c>
      <c r="E50">
        <v>8.61</v>
      </c>
      <c r="F50">
        <v>2011128.34</v>
      </c>
      <c r="G50">
        <v>8.61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-0.79220779220779236</v>
      </c>
      <c r="Q50">
        <f t="shared" ref="Q50" si="226">F50*P50</f>
        <v>-1593231.5420779225</v>
      </c>
      <c r="R50">
        <f t="shared" ref="R50" si="227">R51+Q50</f>
        <v>-22070675.717972092</v>
      </c>
      <c r="S50">
        <f t="shared" ref="S50" si="228">R50/100000</f>
        <v>-220.70675717972091</v>
      </c>
      <c r="T50">
        <f t="shared" ref="T50" si="229">S50/1000</f>
        <v>-0.22070675717972091</v>
      </c>
    </row>
    <row r="51" spans="1:20" x14ac:dyDescent="0.25">
      <c r="A51" s="5">
        <v>44542</v>
      </c>
      <c r="B51">
        <v>9.2100000000000009</v>
      </c>
      <c r="C51">
        <v>9.42</v>
      </c>
      <c r="D51">
        <v>8.91</v>
      </c>
      <c r="E51">
        <v>9.2100000000000009</v>
      </c>
      <c r="F51">
        <v>1420804.93</v>
      </c>
      <c r="G51">
        <v>9.2100000000000009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0.1764705882352974</v>
      </c>
      <c r="Q51">
        <f t="shared" ref="Q51" si="231">F51*P51</f>
        <v>250730.28176471055</v>
      </c>
      <c r="R51">
        <f t="shared" ref="R51" si="232">R52+Q51</f>
        <v>-20477444.175894171</v>
      </c>
      <c r="S51">
        <f t="shared" ref="S51" si="233">R51/100000</f>
        <v>-204.77444175894172</v>
      </c>
      <c r="T51">
        <f t="shared" ref="T51" si="234">S51/1000</f>
        <v>-0.20477444175894172</v>
      </c>
    </row>
    <row r="52" spans="1:20" x14ac:dyDescent="0.25">
      <c r="A52" s="5">
        <v>44541</v>
      </c>
      <c r="B52">
        <v>8.8000000000000007</v>
      </c>
      <c r="C52">
        <v>8.93</v>
      </c>
      <c r="D52">
        <v>8.73</v>
      </c>
      <c r="E52">
        <v>8.9</v>
      </c>
      <c r="F52">
        <v>119756.45</v>
      </c>
      <c r="G52">
        <v>8.9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0.70000000000000528</v>
      </c>
      <c r="Q52">
        <f t="shared" ref="Q52" si="236">F52*P52</f>
        <v>83829.515000000625</v>
      </c>
      <c r="R52">
        <f t="shared" ref="R52" si="237">R53+Q52</f>
        <v>-20728174.457658883</v>
      </c>
      <c r="S52">
        <f t="shared" ref="S52" si="238">R52/100000</f>
        <v>-207.28174457658884</v>
      </c>
      <c r="T52">
        <f t="shared" ref="T52" si="239">S52/1000</f>
        <v>-0.20728174457658882</v>
      </c>
    </row>
    <row r="53" spans="1:20" x14ac:dyDescent="0.25">
      <c r="A53" s="5">
        <v>44540</v>
      </c>
      <c r="B53">
        <v>9.23</v>
      </c>
      <c r="C53">
        <v>9.56</v>
      </c>
      <c r="D53">
        <v>8.7799999999999994</v>
      </c>
      <c r="E53">
        <v>8.81</v>
      </c>
      <c r="F53">
        <v>2585810.08</v>
      </c>
      <c r="G53">
        <v>8.81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-0.92307692307692024</v>
      </c>
      <c r="Q53">
        <f t="shared" ref="Q53" si="241">F53*P53</f>
        <v>-2386901.612307685</v>
      </c>
      <c r="R53">
        <f t="shared" ref="R53" si="242">R54+Q53</f>
        <v>-20812003.972658884</v>
      </c>
      <c r="S53">
        <f t="shared" ref="S53" si="243">R53/100000</f>
        <v>-208.12003972658883</v>
      </c>
      <c r="T53">
        <f t="shared" ref="T53" si="244">S53/1000</f>
        <v>-0.20812003972658882</v>
      </c>
    </row>
    <row r="54" spans="1:20" x14ac:dyDescent="0.25">
      <c r="A54" s="5">
        <v>44539</v>
      </c>
      <c r="B54">
        <v>10.029999999999999</v>
      </c>
      <c r="C54">
        <v>10.19</v>
      </c>
      <c r="D54">
        <v>9.23</v>
      </c>
      <c r="E54">
        <v>9.24</v>
      </c>
      <c r="F54">
        <v>1604602.52</v>
      </c>
      <c r="G54">
        <v>9.24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-0.97916666666666707</v>
      </c>
      <c r="Q54">
        <f t="shared" ref="Q54" si="246">F54*P54</f>
        <v>-1571173.300833334</v>
      </c>
      <c r="R54">
        <f t="shared" ref="R54" si="247">R55+Q54</f>
        <v>-18425102.360351197</v>
      </c>
      <c r="S54">
        <f t="shared" ref="S54" si="248">R54/100000</f>
        <v>-184.25102360351198</v>
      </c>
      <c r="T54">
        <f t="shared" ref="T54" si="249">S54/1000</f>
        <v>-0.18425102360351198</v>
      </c>
    </row>
    <row r="55" spans="1:20" x14ac:dyDescent="0.25">
      <c r="A55" s="5">
        <v>44538</v>
      </c>
      <c r="B55">
        <v>10.050000000000001</v>
      </c>
      <c r="C55">
        <v>10.56</v>
      </c>
      <c r="D55">
        <v>9.64</v>
      </c>
      <c r="E55">
        <v>10.029999999999999</v>
      </c>
      <c r="F55">
        <v>2113176.67</v>
      </c>
      <c r="G55">
        <v>10.029999999999999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-0.15217391304348082</v>
      </c>
      <c r="Q55">
        <f t="shared" ref="Q55" si="251">F55*P55</f>
        <v>-321570.36282609234</v>
      </c>
      <c r="R55">
        <f t="shared" ref="R55" si="252">R56+Q55</f>
        <v>-16853929.059517864</v>
      </c>
      <c r="S55">
        <f t="shared" ref="S55" si="253">R55/100000</f>
        <v>-168.53929059517864</v>
      </c>
      <c r="T55">
        <f t="shared" ref="T55" si="254">S55/1000</f>
        <v>-0.16853929059517864</v>
      </c>
    </row>
    <row r="56" spans="1:20" x14ac:dyDescent="0.25">
      <c r="A56" s="5">
        <v>44537</v>
      </c>
      <c r="B56">
        <v>9.64</v>
      </c>
      <c r="C56">
        <v>10.4</v>
      </c>
      <c r="D56">
        <v>9.57</v>
      </c>
      <c r="E56">
        <v>10.050000000000001</v>
      </c>
      <c r="F56">
        <v>2459680.34</v>
      </c>
      <c r="G56">
        <v>10.050000000000001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0.15662650602409731</v>
      </c>
      <c r="Q56">
        <f t="shared" ref="Q56" si="256">F56*P56</f>
        <v>385251.13759036368</v>
      </c>
      <c r="R56">
        <f t="shared" ref="R56" si="257">R57+Q56</f>
        <v>-16532358.69669177</v>
      </c>
      <c r="S56">
        <f t="shared" ref="S56" si="258">R56/100000</f>
        <v>-165.3235869669177</v>
      </c>
      <c r="T56">
        <f t="shared" ref="T56" si="259">S56/1000</f>
        <v>-0.16532358696691771</v>
      </c>
    </row>
    <row r="57" spans="1:20" x14ac:dyDescent="0.25">
      <c r="A57" s="5">
        <v>44536</v>
      </c>
      <c r="B57">
        <v>9.25</v>
      </c>
      <c r="C57">
        <v>9.74</v>
      </c>
      <c r="D57">
        <v>8.6300000000000008</v>
      </c>
      <c r="E57">
        <v>9.64</v>
      </c>
      <c r="F57">
        <v>3565431.27</v>
      </c>
      <c r="G57">
        <v>9.64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0.81981981981982033</v>
      </c>
      <c r="Q57">
        <f t="shared" ref="Q57" si="261">F57*P57</f>
        <v>2923011.221351353</v>
      </c>
      <c r="R57">
        <f t="shared" ref="R57" si="262">R58+Q57</f>
        <v>-16917609.834282134</v>
      </c>
      <c r="S57">
        <f t="shared" ref="S57" si="263">R57/100000</f>
        <v>-169.17609834282135</v>
      </c>
      <c r="T57">
        <f t="shared" ref="T57" si="264">S57/1000</f>
        <v>-0.16917609834282135</v>
      </c>
    </row>
    <row r="58" spans="1:20" x14ac:dyDescent="0.25">
      <c r="A58" s="5">
        <v>44535</v>
      </c>
      <c r="B58">
        <v>9.92</v>
      </c>
      <c r="C58">
        <v>10.18</v>
      </c>
      <c r="D58">
        <v>9.1300000000000008</v>
      </c>
      <c r="E58">
        <v>9.25</v>
      </c>
      <c r="F58">
        <v>2172301.39</v>
      </c>
      <c r="G58">
        <v>9.25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-0.77142857142857268</v>
      </c>
      <c r="Q58">
        <f t="shared" ref="Q58" si="266">F58*P58</f>
        <v>-1675775.3580000028</v>
      </c>
      <c r="R58">
        <f t="shared" ref="R58" si="267">R59+Q58</f>
        <v>-19840621.055633485</v>
      </c>
      <c r="S58">
        <f t="shared" ref="S58" si="268">R58/100000</f>
        <v>-198.40621055633486</v>
      </c>
      <c r="T58">
        <f t="shared" ref="T58" si="269">S58/1000</f>
        <v>-0.19840621055633487</v>
      </c>
    </row>
    <row r="59" spans="1:20" x14ac:dyDescent="0.25">
      <c r="A59" s="5">
        <v>44534</v>
      </c>
      <c r="B59">
        <v>11.55</v>
      </c>
      <c r="C59">
        <v>11.6</v>
      </c>
      <c r="D59">
        <v>8.6999999999999993</v>
      </c>
      <c r="E59">
        <v>9.92</v>
      </c>
      <c r="F59">
        <v>3991845.54</v>
      </c>
      <c r="G59">
        <v>9.92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-0.15862068965517206</v>
      </c>
      <c r="Q59">
        <f t="shared" ref="Q59" si="271">F59*P59</f>
        <v>-633189.29255172273</v>
      </c>
      <c r="R59">
        <f t="shared" ref="R59" si="272">R60+Q59</f>
        <v>-18164845.697633483</v>
      </c>
      <c r="S59">
        <f t="shared" ref="S59" si="273">R59/100000</f>
        <v>-181.64845697633481</v>
      </c>
      <c r="T59">
        <f t="shared" ref="T59" si="274">S59/1000</f>
        <v>-0.1816484569763348</v>
      </c>
    </row>
    <row r="60" spans="1:20" x14ac:dyDescent="0.25">
      <c r="A60" s="5">
        <v>44533</v>
      </c>
      <c r="B60">
        <v>12.03</v>
      </c>
      <c r="C60">
        <v>12.24</v>
      </c>
      <c r="D60">
        <v>11.21</v>
      </c>
      <c r="E60">
        <v>11.55</v>
      </c>
      <c r="F60">
        <v>1397839.54</v>
      </c>
      <c r="G60">
        <v>11.55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-0.3398058252427183</v>
      </c>
      <c r="Q60">
        <f t="shared" ref="Q60" si="276">F60*P60</f>
        <v>-474994.01844660175</v>
      </c>
      <c r="R60">
        <f t="shared" ref="R60" si="277">R61+Q60</f>
        <v>-17531656.40508176</v>
      </c>
      <c r="S60">
        <f t="shared" ref="S60" si="278">R60/100000</f>
        <v>-175.31656405081759</v>
      </c>
      <c r="T60">
        <f t="shared" ref="T60" si="279">S60/1000</f>
        <v>-0.17531656405081758</v>
      </c>
    </row>
    <row r="61" spans="1:20" x14ac:dyDescent="0.25">
      <c r="A61" s="5">
        <v>44532</v>
      </c>
      <c r="B61">
        <v>12.26</v>
      </c>
      <c r="C61">
        <v>12.27</v>
      </c>
      <c r="D61">
        <v>11.8</v>
      </c>
      <c r="E61">
        <v>12.04</v>
      </c>
      <c r="F61">
        <v>2036842.85</v>
      </c>
      <c r="G61">
        <v>12.04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2.127659574467667E-2</v>
      </c>
      <c r="Q61">
        <f t="shared" ref="Q61" si="281">F61*P61</f>
        <v>43337.081914885101</v>
      </c>
      <c r="R61">
        <f t="shared" ref="R61" si="282">R62+Q61</f>
        <v>-17056662.386635158</v>
      </c>
      <c r="S61">
        <f t="shared" ref="S61" si="283">R61/100000</f>
        <v>-170.56662386635159</v>
      </c>
      <c r="T61">
        <f t="shared" ref="T61" si="284">S61/1000</f>
        <v>-0.1705666238663516</v>
      </c>
    </row>
    <row r="62" spans="1:20" x14ac:dyDescent="0.25">
      <c r="A62" s="5">
        <v>44531</v>
      </c>
      <c r="B62">
        <v>12.4</v>
      </c>
      <c r="C62">
        <v>12.68</v>
      </c>
      <c r="D62">
        <v>12.22</v>
      </c>
      <c r="E62">
        <v>12.26</v>
      </c>
      <c r="F62">
        <v>1690820.29</v>
      </c>
      <c r="G62">
        <v>12.26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-0.82608695652174247</v>
      </c>
      <c r="Q62">
        <f t="shared" ref="Q62" si="286">F62*P62</f>
        <v>-1396764.5873913099</v>
      </c>
      <c r="R62">
        <f t="shared" ref="R62" si="287">R63+Q62</f>
        <v>-17099999.468550045</v>
      </c>
      <c r="S62">
        <f t="shared" ref="S62" si="288">R62/100000</f>
        <v>-170.99999468550044</v>
      </c>
      <c r="T62">
        <f t="shared" ref="T62" si="289">S62/1000</f>
        <v>-0.17099999468550045</v>
      </c>
    </row>
    <row r="63" spans="1:20" x14ac:dyDescent="0.25">
      <c r="A63" s="5">
        <v>44530</v>
      </c>
      <c r="B63">
        <v>12.82</v>
      </c>
      <c r="C63">
        <v>12.89</v>
      </c>
      <c r="D63">
        <v>12.22</v>
      </c>
      <c r="E63">
        <v>12.39</v>
      </c>
      <c r="F63">
        <v>2457991.0299999998</v>
      </c>
      <c r="G63">
        <v>12.39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-0.49253731343283597</v>
      </c>
      <c r="Q63">
        <f t="shared" ref="Q63" si="291">F63*P63</f>
        <v>-1210652.2983582092</v>
      </c>
      <c r="R63">
        <f t="shared" ref="R63" si="292">R64+Q63</f>
        <v>-15703234.881158736</v>
      </c>
      <c r="S63">
        <f t="shared" ref="S63" si="293">R63/100000</f>
        <v>-157.03234881158735</v>
      </c>
      <c r="T63">
        <f t="shared" ref="T63" si="294">S63/1000</f>
        <v>-0.15703234881158734</v>
      </c>
    </row>
    <row r="64" spans="1:20" x14ac:dyDescent="0.25">
      <c r="A64" s="5">
        <v>44529</v>
      </c>
      <c r="B64">
        <v>12.32</v>
      </c>
      <c r="C64">
        <v>13.03</v>
      </c>
      <c r="D64">
        <v>12.2</v>
      </c>
      <c r="E64">
        <v>12.81</v>
      </c>
      <c r="F64">
        <v>2627122.0699999998</v>
      </c>
      <c r="G64">
        <v>12.81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0.46987951807229195</v>
      </c>
      <c r="Q64">
        <f t="shared" ref="Q64" si="296">F64*P64</f>
        <v>1234430.852168682</v>
      </c>
      <c r="R64">
        <f t="shared" ref="R64" si="297">R65+Q64</f>
        <v>-14492582.582800526</v>
      </c>
      <c r="S64">
        <f t="shared" ref="S64" si="298">R64/100000</f>
        <v>-144.92582582800526</v>
      </c>
      <c r="T64">
        <f t="shared" ref="T64" si="299">S64/1000</f>
        <v>-0.14492582582800526</v>
      </c>
    </row>
    <row r="65" spans="1:20" x14ac:dyDescent="0.25">
      <c r="A65" s="5">
        <v>44528</v>
      </c>
      <c r="B65">
        <v>11.87</v>
      </c>
      <c r="C65">
        <v>13.3</v>
      </c>
      <c r="D65">
        <v>11.45</v>
      </c>
      <c r="E65">
        <v>12.32</v>
      </c>
      <c r="F65">
        <v>3555905.09</v>
      </c>
      <c r="G65">
        <v>12.32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-5.9459459459459109E-2</v>
      </c>
      <c r="Q65">
        <f t="shared" ref="Q65" si="301">F65*P65</f>
        <v>-211432.19454053929</v>
      </c>
      <c r="R65">
        <f t="shared" ref="R65" si="302">R66+Q65</f>
        <v>-15727013.434969207</v>
      </c>
      <c r="S65">
        <f t="shared" ref="S65" si="303">R65/100000</f>
        <v>-157.27013434969209</v>
      </c>
      <c r="T65">
        <f t="shared" ref="T65" si="304">S65/1000</f>
        <v>-0.15727013434969209</v>
      </c>
    </row>
    <row r="66" spans="1:20" x14ac:dyDescent="0.25">
      <c r="A66" s="5">
        <v>44527</v>
      </c>
      <c r="B66">
        <v>11.73</v>
      </c>
      <c r="C66">
        <v>12.27</v>
      </c>
      <c r="D66">
        <v>11.65</v>
      </c>
      <c r="E66">
        <v>11.88</v>
      </c>
      <c r="F66">
        <v>1717810.03</v>
      </c>
      <c r="G66">
        <v>11.88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-0.25806451612902997</v>
      </c>
      <c r="Q66">
        <f t="shared" ref="Q66" si="306">F66*P66</f>
        <v>-443305.81419354444</v>
      </c>
      <c r="R66">
        <f t="shared" ref="R66" si="307">R67+Q66</f>
        <v>-15515581.240428668</v>
      </c>
      <c r="S66">
        <f t="shared" ref="S66" si="308">R66/100000</f>
        <v>-155.15581240428668</v>
      </c>
      <c r="T66">
        <f t="shared" ref="T66" si="309">S66/1000</f>
        <v>-0.15515581240428669</v>
      </c>
    </row>
    <row r="67" spans="1:20" x14ac:dyDescent="0.25">
      <c r="A67" s="5">
        <v>44526</v>
      </c>
      <c r="B67">
        <v>13.25</v>
      </c>
      <c r="C67">
        <v>13.26</v>
      </c>
      <c r="D67">
        <v>11</v>
      </c>
      <c r="E67">
        <v>11.7</v>
      </c>
      <c r="F67">
        <v>4105666.15</v>
      </c>
      <c r="G67">
        <v>11.7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-0.38053097345132803</v>
      </c>
      <c r="Q67">
        <f t="shared" ref="Q67" si="311">F67*P67</f>
        <v>-1562333.136725666</v>
      </c>
      <c r="R67">
        <f t="shared" ref="R67" si="312">R68+Q67</f>
        <v>-15072275.426235123</v>
      </c>
      <c r="S67">
        <f t="shared" ref="S67" si="313">R67/100000</f>
        <v>-150.72275426235123</v>
      </c>
      <c r="T67">
        <f t="shared" ref="T67" si="314">S67/1000</f>
        <v>-0.15072275426235124</v>
      </c>
    </row>
    <row r="68" spans="1:20" x14ac:dyDescent="0.25">
      <c r="A68" s="5">
        <v>44525</v>
      </c>
      <c r="B68">
        <v>12.96</v>
      </c>
      <c r="C68">
        <v>14.04</v>
      </c>
      <c r="D68">
        <v>12.8</v>
      </c>
      <c r="E68">
        <v>13.25</v>
      </c>
      <c r="F68">
        <v>3692819.03</v>
      </c>
      <c r="G68">
        <v>13.25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-0.27419354838709703</v>
      </c>
      <c r="Q68">
        <f t="shared" ref="Q68" si="316">F68*P68</f>
        <v>-1012547.1533870976</v>
      </c>
      <c r="R68">
        <f t="shared" ref="R68" si="317">R69+Q68</f>
        <v>-13509942.289509457</v>
      </c>
      <c r="S68">
        <f t="shared" ref="S68" si="318">R68/100000</f>
        <v>-135.09942289509456</v>
      </c>
      <c r="T68">
        <f t="shared" ref="T68" si="319">S68/1000</f>
        <v>-0.13509942289509455</v>
      </c>
    </row>
    <row r="69" spans="1:20" x14ac:dyDescent="0.25">
      <c r="A69" s="5">
        <v>44524</v>
      </c>
      <c r="B69">
        <v>13.2</v>
      </c>
      <c r="C69">
        <v>13.22</v>
      </c>
      <c r="D69">
        <v>12.68</v>
      </c>
      <c r="E69">
        <v>12.87</v>
      </c>
      <c r="F69">
        <v>935601.45</v>
      </c>
      <c r="G69">
        <v>12.87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-0.29629629629629933</v>
      </c>
      <c r="Q69">
        <f t="shared" ref="Q69" si="321">F69*P69</f>
        <v>-277215.24444444728</v>
      </c>
      <c r="R69">
        <f t="shared" ref="R69" si="322">R70+Q69</f>
        <v>-12497395.136122359</v>
      </c>
      <c r="S69">
        <f t="shared" ref="S69" si="323">R69/100000</f>
        <v>-124.97395136122358</v>
      </c>
      <c r="T69">
        <f t="shared" ref="T69" si="324">S69/1000</f>
        <v>-0.12497395136122358</v>
      </c>
    </row>
    <row r="70" spans="1:20" x14ac:dyDescent="0.25">
      <c r="A70" s="5">
        <v>44523</v>
      </c>
      <c r="B70">
        <v>13.48</v>
      </c>
      <c r="C70">
        <v>13.72</v>
      </c>
      <c r="D70">
        <v>12.8</v>
      </c>
      <c r="E70">
        <v>13.2</v>
      </c>
      <c r="F70">
        <v>3939440.88</v>
      </c>
      <c r="G70">
        <v>13.2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-0.13043478260869867</v>
      </c>
      <c r="Q70">
        <f t="shared" ref="Q70" si="326">F70*P70</f>
        <v>-513840.11478262057</v>
      </c>
      <c r="R70">
        <f t="shared" ref="R70" si="327">R71+Q70</f>
        <v>-12220179.891677912</v>
      </c>
      <c r="S70">
        <f t="shared" ref="S70" si="328">R70/100000</f>
        <v>-122.20179891677913</v>
      </c>
      <c r="T70">
        <f t="shared" ref="T70" si="329">S70/1000</f>
        <v>-0.12220179891677913</v>
      </c>
    </row>
    <row r="71" spans="1:20" x14ac:dyDescent="0.25">
      <c r="A71" s="5">
        <v>44522</v>
      </c>
      <c r="B71">
        <v>14.62</v>
      </c>
      <c r="C71">
        <v>15.63</v>
      </c>
      <c r="D71">
        <v>13.37</v>
      </c>
      <c r="E71">
        <v>13.48</v>
      </c>
      <c r="F71">
        <v>6203524.0300000003</v>
      </c>
      <c r="G71">
        <v>13.48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-0.90265486725663613</v>
      </c>
      <c r="Q71">
        <f t="shared" ref="Q71" si="331">F71*P71</f>
        <v>-5599641.1598230023</v>
      </c>
      <c r="R71">
        <f t="shared" ref="R71" si="332">R72+Q71</f>
        <v>-11706339.776895292</v>
      </c>
      <c r="S71">
        <f t="shared" ref="S71" si="333">R71/100000</f>
        <v>-117.06339776895292</v>
      </c>
      <c r="T71">
        <f t="shared" ref="T71" si="334">S71/1000</f>
        <v>-0.11706339776895293</v>
      </c>
    </row>
    <row r="72" spans="1:20" x14ac:dyDescent="0.25">
      <c r="A72" s="5">
        <v>44521</v>
      </c>
      <c r="B72">
        <v>13.23</v>
      </c>
      <c r="C72">
        <v>17</v>
      </c>
      <c r="D72">
        <v>12.87</v>
      </c>
      <c r="E72">
        <v>14.61</v>
      </c>
      <c r="F72">
        <v>8473703.5</v>
      </c>
      <c r="G72">
        <v>14.61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-0.15738498789346253</v>
      </c>
      <c r="Q72">
        <f t="shared" ref="Q72" si="336">F72*P72</f>
        <v>-1333633.7227602911</v>
      </c>
      <c r="R72">
        <f t="shared" ref="R72" si="337">R73+Q72</f>
        <v>-6106698.6170722907</v>
      </c>
      <c r="S72">
        <f t="shared" ref="S72" si="338">R72/100000</f>
        <v>-61.066986170722906</v>
      </c>
      <c r="T72">
        <f t="shared" ref="T72" si="339">S72/1000</f>
        <v>-6.1066986170722905E-2</v>
      </c>
    </row>
    <row r="73" spans="1:20" x14ac:dyDescent="0.25">
      <c r="A73" s="5">
        <v>44520</v>
      </c>
      <c r="B73">
        <v>12.6</v>
      </c>
      <c r="C73">
        <v>13.52</v>
      </c>
      <c r="D73">
        <v>12.56</v>
      </c>
      <c r="E73">
        <v>13.23</v>
      </c>
      <c r="F73">
        <v>1963342.92</v>
      </c>
      <c r="G73">
        <v>13.23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0.39583333333333454</v>
      </c>
      <c r="Q73">
        <f t="shared" ref="Q73" si="341">F73*P73</f>
        <v>777156.57250000234</v>
      </c>
      <c r="R73">
        <f t="shared" ref="R73" si="342">R74+Q73</f>
        <v>-4773064.8943119999</v>
      </c>
      <c r="S73">
        <f t="shared" ref="S73" si="343">R73/100000</f>
        <v>-47.730648943120002</v>
      </c>
      <c r="T73">
        <f t="shared" ref="T73" si="344">S73/1000</f>
        <v>-4.7730648943119999E-2</v>
      </c>
    </row>
    <row r="74" spans="1:20" x14ac:dyDescent="0.25">
      <c r="A74" s="5">
        <v>44519</v>
      </c>
      <c r="B74">
        <v>11.8</v>
      </c>
      <c r="C74">
        <v>13.22</v>
      </c>
      <c r="D74">
        <v>11.6</v>
      </c>
      <c r="E74">
        <v>12.6</v>
      </c>
      <c r="F74">
        <v>1627121.01</v>
      </c>
      <c r="G74">
        <v>12.6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0.23456790123456714</v>
      </c>
      <c r="Q74">
        <f t="shared" ref="Q74" si="346">F74*P74</f>
        <v>381670.3603703691</v>
      </c>
      <c r="R74">
        <f t="shared" ref="R74" si="347">R75+Q74</f>
        <v>-5550221.4668120025</v>
      </c>
      <c r="S74">
        <f t="shared" ref="S74" si="348">R74/100000</f>
        <v>-55.502214668120025</v>
      </c>
      <c r="T74">
        <f t="shared" ref="T74" si="349">S74/1000</f>
        <v>-5.5502214668120026E-2</v>
      </c>
    </row>
    <row r="75" spans="1:20" x14ac:dyDescent="0.25">
      <c r="A75" s="5">
        <v>44518</v>
      </c>
      <c r="B75">
        <v>12.63</v>
      </c>
      <c r="C75">
        <v>13</v>
      </c>
      <c r="D75">
        <v>11.71</v>
      </c>
      <c r="E75">
        <v>11.79</v>
      </c>
      <c r="F75">
        <v>2116642.5</v>
      </c>
      <c r="G75">
        <v>11.79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-0.87596899224806457</v>
      </c>
      <c r="Q75">
        <f t="shared" ref="Q75" si="351">F75*P75</f>
        <v>-1854113.1976744239</v>
      </c>
      <c r="R75">
        <f t="shared" ref="R75" si="352">R76+Q75</f>
        <v>-5931891.8271823712</v>
      </c>
      <c r="S75">
        <f t="shared" ref="S75" si="353">R75/100000</f>
        <v>-59.318918271823712</v>
      </c>
      <c r="T75">
        <f t="shared" ref="T75" si="354">S75/1000</f>
        <v>-5.9318918271823715E-2</v>
      </c>
    </row>
    <row r="76" spans="1:20" x14ac:dyDescent="0.25">
      <c r="A76" s="5">
        <v>44517</v>
      </c>
      <c r="B76">
        <v>12.66</v>
      </c>
      <c r="C76">
        <v>12.9</v>
      </c>
      <c r="D76">
        <v>12</v>
      </c>
      <c r="E76">
        <v>12.63</v>
      </c>
      <c r="F76">
        <v>1630644.72</v>
      </c>
      <c r="G76">
        <v>12.63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0.40000000000000119</v>
      </c>
      <c r="Q76">
        <f t="shared" ref="Q76" si="356">F76*P76</f>
        <v>652257.8880000019</v>
      </c>
      <c r="R76">
        <f t="shared" ref="R76" si="357">R77+Q76</f>
        <v>-4077778.6295079468</v>
      </c>
      <c r="S76">
        <f t="shared" ref="S76" si="358">R76/100000</f>
        <v>-40.777786295079466</v>
      </c>
      <c r="T76">
        <f t="shared" ref="T76" si="359">S76/1000</f>
        <v>-4.0777786295079464E-2</v>
      </c>
    </row>
    <row r="77" spans="1:20" x14ac:dyDescent="0.25">
      <c r="A77" s="5">
        <v>44516</v>
      </c>
      <c r="B77">
        <v>13.28</v>
      </c>
      <c r="C77">
        <v>13.28</v>
      </c>
      <c r="D77">
        <v>11.94</v>
      </c>
      <c r="E77">
        <v>12.65</v>
      </c>
      <c r="F77">
        <v>2464179.6</v>
      </c>
      <c r="G77">
        <v>12.65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5.9701492537314819E-2</v>
      </c>
      <c r="Q77">
        <f t="shared" ref="Q77" si="361">F77*P77</f>
        <v>147115.20000000342</v>
      </c>
      <c r="R77">
        <f t="shared" ref="R77" si="362">R78+Q77</f>
        <v>-4730036.5175079489</v>
      </c>
      <c r="S77">
        <f t="shared" ref="S77" si="363">R77/100000</f>
        <v>-47.300365175079492</v>
      </c>
      <c r="T77">
        <f t="shared" ref="T77" si="364">S77/1000</f>
        <v>-4.730036517507949E-2</v>
      </c>
    </row>
    <row r="78" spans="1:20" x14ac:dyDescent="0.25">
      <c r="A78" s="5">
        <v>44515</v>
      </c>
      <c r="B78">
        <v>12.98</v>
      </c>
      <c r="C78">
        <v>14.7</v>
      </c>
      <c r="D78">
        <v>12.9</v>
      </c>
      <c r="E78">
        <v>13.29</v>
      </c>
      <c r="F78">
        <v>4283066.0599999996</v>
      </c>
      <c r="G78">
        <v>13.29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-0.56666666666666776</v>
      </c>
      <c r="Q78">
        <f t="shared" ref="Q78" si="366">F78*P78</f>
        <v>-2427070.7673333376</v>
      </c>
      <c r="R78">
        <f t="shared" ref="R78" si="367">R79+Q78</f>
        <v>-4877151.7175079519</v>
      </c>
      <c r="S78">
        <f t="shared" ref="S78" si="368">R78/100000</f>
        <v>-48.771517175079516</v>
      </c>
      <c r="T78">
        <f t="shared" ref="T78" si="369">S78/1000</f>
        <v>-4.8771517175079514E-2</v>
      </c>
    </row>
    <row r="79" spans="1:20" x14ac:dyDescent="0.25">
      <c r="A79" s="5">
        <v>44514</v>
      </c>
      <c r="B79">
        <v>13.14</v>
      </c>
      <c r="C79">
        <v>13.18</v>
      </c>
      <c r="D79">
        <v>12.73</v>
      </c>
      <c r="E79">
        <v>12.97</v>
      </c>
      <c r="F79">
        <v>625515.6</v>
      </c>
      <c r="G79">
        <v>12.97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6.6666666666669303E-2</v>
      </c>
      <c r="Q79">
        <f t="shared" ref="Q79" si="371">F79*P79</f>
        <v>41701.040000001645</v>
      </c>
      <c r="R79">
        <f t="shared" ref="R79" si="372">R80+Q79</f>
        <v>-2450080.9501746143</v>
      </c>
      <c r="S79">
        <f t="shared" ref="S79" si="373">R79/100000</f>
        <v>-24.500809501746144</v>
      </c>
      <c r="T79">
        <f t="shared" ref="T79" si="374">S79/1000</f>
        <v>-2.4500809501746143E-2</v>
      </c>
    </row>
    <row r="80" spans="1:20" x14ac:dyDescent="0.25">
      <c r="A80" s="5">
        <v>44513</v>
      </c>
      <c r="B80">
        <v>12.87</v>
      </c>
      <c r="C80">
        <v>13.24</v>
      </c>
      <c r="D80">
        <v>12.66</v>
      </c>
      <c r="E80">
        <v>13.15</v>
      </c>
      <c r="F80">
        <v>884062.75</v>
      </c>
      <c r="G80">
        <v>13.15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0.68965517241379359</v>
      </c>
      <c r="Q80">
        <f t="shared" ref="Q80" si="376">F80*P80</f>
        <v>609698.44827586249</v>
      </c>
      <c r="R80">
        <f t="shared" ref="R80" si="377">R81+Q80</f>
        <v>-2491781.9901746158</v>
      </c>
      <c r="S80">
        <f t="shared" ref="S80" si="378">R80/100000</f>
        <v>-24.917819901746157</v>
      </c>
      <c r="T80">
        <f t="shared" ref="T80" si="379">S80/1000</f>
        <v>-2.4917819901746158E-2</v>
      </c>
    </row>
    <row r="81" spans="1:20" x14ac:dyDescent="0.25">
      <c r="A81" s="5">
        <v>44512</v>
      </c>
      <c r="B81">
        <v>13.14</v>
      </c>
      <c r="C81">
        <v>13.28</v>
      </c>
      <c r="D81">
        <v>12.5</v>
      </c>
      <c r="E81">
        <v>12.86</v>
      </c>
      <c r="F81">
        <v>1176912.3899999999</v>
      </c>
      <c r="G81">
        <v>12.86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-7.6923076923077621E-2</v>
      </c>
      <c r="Q81">
        <f t="shared" ref="Q81" si="381">F81*P81</f>
        <v>-90531.722307693126</v>
      </c>
      <c r="R81">
        <f t="shared" ref="R81" si="382">R82+Q81</f>
        <v>-3101480.4384504785</v>
      </c>
      <c r="S81">
        <f t="shared" ref="S81" si="383">R81/100000</f>
        <v>-31.014804384504785</v>
      </c>
      <c r="T81">
        <f t="shared" ref="T81" si="384">S81/1000</f>
        <v>-3.1014804384504786E-2</v>
      </c>
    </row>
    <row r="82" spans="1:20" x14ac:dyDescent="0.25">
      <c r="A82" s="5">
        <v>44511</v>
      </c>
      <c r="B82">
        <v>12.86</v>
      </c>
      <c r="C82">
        <v>13.23</v>
      </c>
      <c r="D82">
        <v>12.83</v>
      </c>
      <c r="E82">
        <v>13.15</v>
      </c>
      <c r="F82">
        <v>1247889.1599999999</v>
      </c>
      <c r="G82">
        <v>13.15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0.6</v>
      </c>
      <c r="Q82">
        <f t="shared" ref="Q82" si="386">F82*P82</f>
        <v>748733.49599999993</v>
      </c>
      <c r="R82">
        <f t="shared" ref="R82" si="387">R83+Q82</f>
        <v>-3010948.7161427853</v>
      </c>
      <c r="S82">
        <f t="shared" ref="S82" si="388">R82/100000</f>
        <v>-30.109487161427854</v>
      </c>
      <c r="T82">
        <f t="shared" ref="T82" si="389">S82/1000</f>
        <v>-3.0109487161427854E-2</v>
      </c>
    </row>
    <row r="83" spans="1:20" x14ac:dyDescent="0.25">
      <c r="A83" s="5">
        <v>44510</v>
      </c>
      <c r="B83">
        <v>13.68</v>
      </c>
      <c r="C83">
        <v>13.79</v>
      </c>
      <c r="D83">
        <v>12.6</v>
      </c>
      <c r="E83">
        <v>12.85</v>
      </c>
      <c r="F83">
        <v>2202097.08</v>
      </c>
      <c r="G83">
        <v>12.85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-0.57983193277310907</v>
      </c>
      <c r="Q83">
        <f t="shared" ref="Q83" si="391">F83*P83</f>
        <v>-1276846.2060504199</v>
      </c>
      <c r="R83">
        <f t="shared" ref="R83" si="392">R84+Q83</f>
        <v>-3759682.2121427851</v>
      </c>
      <c r="S83">
        <f t="shared" ref="S83" si="393">R83/100000</f>
        <v>-37.596822121427849</v>
      </c>
      <c r="T83">
        <f t="shared" ref="T83" si="394">S83/1000</f>
        <v>-3.7596822121427849E-2</v>
      </c>
    </row>
    <row r="84" spans="1:20" x14ac:dyDescent="0.25">
      <c r="A84" s="5">
        <v>44509</v>
      </c>
      <c r="B84">
        <v>13.91</v>
      </c>
      <c r="C84">
        <v>13.97</v>
      </c>
      <c r="D84">
        <v>13.51</v>
      </c>
      <c r="E84">
        <v>13.7</v>
      </c>
      <c r="F84">
        <v>1817178.65</v>
      </c>
      <c r="G84">
        <v>13.7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-0.17391304347826456</v>
      </c>
      <c r="Q84">
        <f t="shared" ref="Q84" si="396">F84*P84</f>
        <v>-316031.06956522405</v>
      </c>
      <c r="R84">
        <f t="shared" ref="R84" si="397">R85+Q84</f>
        <v>-2482836.0060923654</v>
      </c>
      <c r="S84">
        <f t="shared" ref="S84" si="398">R84/100000</f>
        <v>-24.828360060923654</v>
      </c>
      <c r="T84">
        <f t="shared" ref="T84" si="399">S84/1000</f>
        <v>-2.4828360060923652E-2</v>
      </c>
    </row>
    <row r="85" spans="1:20" x14ac:dyDescent="0.25">
      <c r="A85" s="5">
        <v>44508</v>
      </c>
      <c r="B85">
        <v>13.77</v>
      </c>
      <c r="C85">
        <v>13.99</v>
      </c>
      <c r="D85">
        <v>13.68</v>
      </c>
      <c r="E85">
        <v>13.92</v>
      </c>
      <c r="F85">
        <v>1443085.68</v>
      </c>
      <c r="G85">
        <v>13.92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0.5483870967741924</v>
      </c>
      <c r="Q85">
        <f t="shared" ref="Q85" si="401">F85*P85</f>
        <v>791369.56645161123</v>
      </c>
      <c r="R85">
        <f t="shared" ref="R85" si="402">R86+Q85</f>
        <v>-2166804.9365271414</v>
      </c>
      <c r="S85">
        <f t="shared" ref="S85" si="403">R85/100000</f>
        <v>-21.668049365271415</v>
      </c>
      <c r="T85">
        <f t="shared" ref="T85" si="404">S85/1000</f>
        <v>-2.1668049365271416E-2</v>
      </c>
    </row>
    <row r="86" spans="1:20" x14ac:dyDescent="0.25">
      <c r="A86" s="5">
        <v>44507</v>
      </c>
      <c r="B86">
        <v>13.81</v>
      </c>
      <c r="C86">
        <v>13.84</v>
      </c>
      <c r="D86">
        <v>13.62</v>
      </c>
      <c r="E86">
        <v>13.77</v>
      </c>
      <c r="F86">
        <v>855732.55</v>
      </c>
      <c r="G86">
        <v>13.77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0.36363636363636292</v>
      </c>
      <c r="Q86">
        <f t="shared" ref="Q86" si="406">F86*P86</f>
        <v>311175.47272727214</v>
      </c>
      <c r="R86">
        <f t="shared" ref="R86" si="407">R87+Q86</f>
        <v>-2958174.5029787528</v>
      </c>
      <c r="S86">
        <f t="shared" ref="S86" si="408">R86/100000</f>
        <v>-29.581745029787527</v>
      </c>
      <c r="T86">
        <f t="shared" ref="T86" si="409">S86/1000</f>
        <v>-2.9581745029787526E-2</v>
      </c>
    </row>
    <row r="87" spans="1:20" x14ac:dyDescent="0.25">
      <c r="A87" s="5">
        <v>44506</v>
      </c>
      <c r="B87">
        <v>13.89</v>
      </c>
      <c r="C87">
        <v>13.97</v>
      </c>
      <c r="D87">
        <v>13.29</v>
      </c>
      <c r="E87">
        <v>13.83</v>
      </c>
      <c r="F87">
        <v>1440717.33</v>
      </c>
      <c r="G87">
        <v>13.83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0.5882352941176463</v>
      </c>
      <c r="Q87">
        <f t="shared" ref="Q87" si="411">F87*P87</f>
        <v>847480.78235294018</v>
      </c>
      <c r="R87">
        <f t="shared" ref="R87" si="412">R88+Q87</f>
        <v>-3269349.975706025</v>
      </c>
      <c r="S87">
        <f t="shared" ref="S87" si="413">R87/100000</f>
        <v>-32.693499757060252</v>
      </c>
      <c r="T87">
        <f t="shared" ref="T87" si="414">S87/1000</f>
        <v>-3.2693499757060249E-2</v>
      </c>
    </row>
    <row r="88" spans="1:20" x14ac:dyDescent="0.25">
      <c r="A88" s="5">
        <v>44505</v>
      </c>
      <c r="B88">
        <v>13.8</v>
      </c>
      <c r="C88">
        <v>14.43</v>
      </c>
      <c r="D88">
        <v>13.63</v>
      </c>
      <c r="E88">
        <v>13.89</v>
      </c>
      <c r="F88">
        <v>1621940.72</v>
      </c>
      <c r="G88">
        <v>13.89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-0.34999999999999964</v>
      </c>
      <c r="Q88">
        <f t="shared" ref="Q88" si="416">F88*P88</f>
        <v>-567679.2519999994</v>
      </c>
      <c r="R88">
        <f t="shared" ref="R88" si="417">R89+Q88</f>
        <v>-4116830.7580589652</v>
      </c>
      <c r="S88">
        <f t="shared" ref="S88" si="418">R88/100000</f>
        <v>-41.168307580589655</v>
      </c>
      <c r="T88">
        <f t="shared" ref="T88" si="419">S88/1000</f>
        <v>-4.1168307580589654E-2</v>
      </c>
    </row>
    <row r="89" spans="1:20" x14ac:dyDescent="0.25">
      <c r="A89" s="5">
        <v>44504</v>
      </c>
      <c r="B89">
        <v>13.93</v>
      </c>
      <c r="C89">
        <v>14.2</v>
      </c>
      <c r="D89">
        <v>13.59</v>
      </c>
      <c r="E89">
        <v>13.8</v>
      </c>
      <c r="F89">
        <v>1415603.02</v>
      </c>
      <c r="G89">
        <v>13.8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-0.31147540983606214</v>
      </c>
      <c r="Q89">
        <f t="shared" ref="Q89" si="421">F89*P89</f>
        <v>-440925.53081966727</v>
      </c>
      <c r="R89">
        <f t="shared" ref="R89" si="422">R90+Q89</f>
        <v>-3549151.5060589658</v>
      </c>
      <c r="S89">
        <f t="shared" ref="S89" si="423">R89/100000</f>
        <v>-35.491515060589656</v>
      </c>
      <c r="T89">
        <f t="shared" ref="T89" si="424">S89/1000</f>
        <v>-3.5491515060589653E-2</v>
      </c>
    </row>
    <row r="90" spans="1:20" x14ac:dyDescent="0.25">
      <c r="A90" s="5">
        <v>44503</v>
      </c>
      <c r="B90">
        <v>14.45</v>
      </c>
      <c r="C90">
        <v>14.47</v>
      </c>
      <c r="D90">
        <v>13.53</v>
      </c>
      <c r="E90">
        <v>13.92</v>
      </c>
      <c r="F90">
        <v>1508739.74</v>
      </c>
      <c r="G90">
        <v>13.92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-0.17021276595744672</v>
      </c>
      <c r="Q90">
        <f t="shared" ref="Q90" si="426">F90*P90</f>
        <v>-256806.76425531902</v>
      </c>
      <c r="R90">
        <f t="shared" ref="R90" si="427">R91+Q90</f>
        <v>-3108225.9752392983</v>
      </c>
      <c r="S90">
        <f t="shared" ref="S90" si="428">R90/100000</f>
        <v>-31.082259752392982</v>
      </c>
      <c r="T90">
        <f t="shared" ref="T90" si="429">S90/1000</f>
        <v>-3.1082259752392982E-2</v>
      </c>
    </row>
    <row r="91" spans="1:20" x14ac:dyDescent="0.25">
      <c r="A91" s="5">
        <v>44502</v>
      </c>
      <c r="B91">
        <v>13.94</v>
      </c>
      <c r="C91">
        <v>14.82</v>
      </c>
      <c r="D91">
        <v>13.73</v>
      </c>
      <c r="E91">
        <v>14.44</v>
      </c>
      <c r="F91">
        <v>1758461.34</v>
      </c>
      <c r="G91">
        <v>14.44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0.30275229357798011</v>
      </c>
      <c r="Q91">
        <f t="shared" ref="Q91" si="431">F91*P91</f>
        <v>532378.20385320834</v>
      </c>
      <c r="R91">
        <f t="shared" ref="R91" si="432">R92+Q91</f>
        <v>-2851419.2109839795</v>
      </c>
      <c r="S91">
        <f t="shared" ref="S91" si="433">R91/100000</f>
        <v>-28.514192109839794</v>
      </c>
      <c r="T91">
        <f t="shared" ref="T91" si="434">S91/1000</f>
        <v>-2.8514192109839794E-2</v>
      </c>
    </row>
    <row r="92" spans="1:20" x14ac:dyDescent="0.25">
      <c r="A92" s="5">
        <v>44501</v>
      </c>
      <c r="B92">
        <v>14.01</v>
      </c>
      <c r="C92">
        <v>14.42</v>
      </c>
      <c r="D92">
        <v>13.38</v>
      </c>
      <c r="E92">
        <v>13.95</v>
      </c>
      <c r="F92">
        <v>1628289.49</v>
      </c>
      <c r="G92">
        <v>13.95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9.6153846153844189E-2</v>
      </c>
      <c r="Q92">
        <f t="shared" ref="Q92" si="436">F92*P92</f>
        <v>156566.29711538143</v>
      </c>
      <c r="R92">
        <f t="shared" ref="R92" si="437">R93+Q92</f>
        <v>-3383797.4148371881</v>
      </c>
      <c r="S92">
        <f t="shared" ref="S92" si="438">R92/100000</f>
        <v>-33.837974148371877</v>
      </c>
      <c r="T92">
        <f t="shared" ref="T92" si="439">S92/1000</f>
        <v>-3.3837974148371877E-2</v>
      </c>
    </row>
    <row r="93" spans="1:20" x14ac:dyDescent="0.25">
      <c r="A93" s="5">
        <v>44500</v>
      </c>
      <c r="B93">
        <v>15.03</v>
      </c>
      <c r="C93">
        <v>16.78</v>
      </c>
      <c r="D93">
        <v>13.45</v>
      </c>
      <c r="E93">
        <v>14</v>
      </c>
      <c r="F93">
        <v>4574513.5</v>
      </c>
      <c r="G93">
        <v>14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-0.66966966966966945</v>
      </c>
      <c r="Q93">
        <f t="shared" ref="Q93" si="441">F93*P93</f>
        <v>-3063412.9444444436</v>
      </c>
      <c r="R93">
        <f t="shared" ref="R93" si="442">R94+Q93</f>
        <v>-3540363.7119525694</v>
      </c>
      <c r="S93">
        <f t="shared" ref="S93" si="443">R93/100000</f>
        <v>-35.403637119525698</v>
      </c>
      <c r="T93">
        <f t="shared" ref="T93" si="444">S93/1000</f>
        <v>-3.5403637119525697E-2</v>
      </c>
    </row>
    <row r="94" spans="1:20" x14ac:dyDescent="0.25">
      <c r="A94" s="5">
        <v>44499</v>
      </c>
      <c r="B94">
        <v>13.75</v>
      </c>
      <c r="C94">
        <v>15.14</v>
      </c>
      <c r="D94">
        <v>13.06</v>
      </c>
      <c r="E94">
        <v>15</v>
      </c>
      <c r="F94">
        <v>4095420.6</v>
      </c>
      <c r="G94">
        <v>15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0.86538461538461486</v>
      </c>
      <c r="Q94">
        <f t="shared" ref="Q94" si="446">F94*P94</f>
        <v>3544113.9807692287</v>
      </c>
      <c r="R94">
        <f t="shared" ref="R94" si="447">R95+Q94</f>
        <v>-476950.76750812586</v>
      </c>
      <c r="S94">
        <f t="shared" ref="S94" si="448">R94/100000</f>
        <v>-4.7695076750812584</v>
      </c>
      <c r="T94">
        <f t="shared" ref="T94" si="449">S94/1000</f>
        <v>-4.7695076750812583E-3</v>
      </c>
    </row>
    <row r="95" spans="1:20" x14ac:dyDescent="0.25">
      <c r="A95" s="5">
        <v>44498</v>
      </c>
      <c r="B95">
        <v>12.77</v>
      </c>
      <c r="C95">
        <v>14.38</v>
      </c>
      <c r="D95">
        <v>12.7</v>
      </c>
      <c r="E95">
        <v>13.74</v>
      </c>
      <c r="F95">
        <v>4059895.64</v>
      </c>
      <c r="G95">
        <v>13.74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0.23809523809523808</v>
      </c>
      <c r="Q95">
        <f t="shared" ref="Q95" si="451">F95*P95</f>
        <v>966641.81904761901</v>
      </c>
      <c r="R95">
        <f t="shared" ref="R95" si="452">R96+Q95</f>
        <v>-4021064.7482773545</v>
      </c>
      <c r="S95">
        <f t="shared" ref="S95" si="453">R95/100000</f>
        <v>-40.210647482773545</v>
      </c>
      <c r="T95">
        <f t="shared" ref="T95" si="454">S95/1000</f>
        <v>-4.0210647482773546E-2</v>
      </c>
    </row>
    <row r="96" spans="1:20" x14ac:dyDescent="0.25">
      <c r="A96" s="5">
        <v>44497</v>
      </c>
      <c r="B96">
        <v>11.88</v>
      </c>
      <c r="C96">
        <v>12.81</v>
      </c>
      <c r="D96">
        <v>11.6</v>
      </c>
      <c r="E96">
        <v>12.78</v>
      </c>
      <c r="F96">
        <v>2050206.16</v>
      </c>
      <c r="G96">
        <v>12.78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0.95041322314049403</v>
      </c>
      <c r="Q96">
        <f t="shared" ref="Q96" si="456">F96*P96</f>
        <v>1948543.0446280953</v>
      </c>
      <c r="R96">
        <f t="shared" ref="R96" si="457">R97+Q96</f>
        <v>-4987706.5673249736</v>
      </c>
      <c r="S96">
        <f t="shared" ref="S96" si="458">R96/100000</f>
        <v>-49.877065673249739</v>
      </c>
      <c r="T96">
        <f t="shared" ref="T96" si="459">S96/1000</f>
        <v>-4.9877065673249739E-2</v>
      </c>
    </row>
    <row r="97" spans="1:20" x14ac:dyDescent="0.25">
      <c r="A97" s="5">
        <v>44496</v>
      </c>
      <c r="B97">
        <v>13.14</v>
      </c>
      <c r="C97">
        <v>13.32</v>
      </c>
      <c r="D97">
        <v>11.55</v>
      </c>
      <c r="E97">
        <v>11.89</v>
      </c>
      <c r="F97">
        <v>2596303.88</v>
      </c>
      <c r="G97">
        <v>11.89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-0.61581920903954812</v>
      </c>
      <c r="Q97">
        <f t="shared" ref="Q97" si="461">F97*P97</f>
        <v>-1598853.8018079097</v>
      </c>
      <c r="R97">
        <f t="shared" ref="R97" si="462">R98+Q97</f>
        <v>-6936249.6119530685</v>
      </c>
      <c r="S97">
        <f t="shared" ref="S97" si="463">R97/100000</f>
        <v>-69.362496119530689</v>
      </c>
      <c r="T97">
        <f t="shared" ref="T97" si="464">S97/1000</f>
        <v>-6.9362496119530687E-2</v>
      </c>
    </row>
    <row r="98" spans="1:20" x14ac:dyDescent="0.25">
      <c r="A98" s="5">
        <v>44495</v>
      </c>
      <c r="B98">
        <v>13.45</v>
      </c>
      <c r="C98">
        <v>13.55</v>
      </c>
      <c r="D98">
        <v>12.95</v>
      </c>
      <c r="E98">
        <v>13.13</v>
      </c>
      <c r="F98">
        <v>1369821.7</v>
      </c>
      <c r="G98">
        <v>13.13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-0.39999999999999647</v>
      </c>
      <c r="Q98">
        <f t="shared" ref="Q98" si="466">F98*P98</f>
        <v>-547928.67999999516</v>
      </c>
      <c r="R98">
        <f t="shared" ref="R98" si="467">R99+Q98</f>
        <v>-5337395.8101451593</v>
      </c>
      <c r="S98">
        <f t="shared" ref="S98" si="468">R98/100000</f>
        <v>-53.373958101451592</v>
      </c>
      <c r="T98">
        <f t="shared" ref="T98" si="469">S98/1000</f>
        <v>-5.3373958101451589E-2</v>
      </c>
    </row>
    <row r="99" spans="1:20" x14ac:dyDescent="0.25">
      <c r="A99" s="5">
        <v>44494</v>
      </c>
      <c r="B99">
        <v>13.14</v>
      </c>
      <c r="C99">
        <v>13.65</v>
      </c>
      <c r="D99">
        <v>13.05</v>
      </c>
      <c r="E99">
        <v>13.46</v>
      </c>
      <c r="F99">
        <v>1330516.52</v>
      </c>
      <c r="G99">
        <v>13.46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0.36666666666666797</v>
      </c>
      <c r="Q99">
        <f t="shared" ref="Q99" si="471">F99*P99</f>
        <v>487856.05733333511</v>
      </c>
      <c r="R99">
        <f t="shared" ref="R99" si="472">R100+Q99</f>
        <v>-4789467.1301451642</v>
      </c>
      <c r="S99">
        <f t="shared" ref="S99" si="473">R99/100000</f>
        <v>-47.894671301451645</v>
      </c>
      <c r="T99">
        <f t="shared" ref="T99" si="474">S99/1000</f>
        <v>-4.7894671301451648E-2</v>
      </c>
    </row>
    <row r="100" spans="1:20" x14ac:dyDescent="0.25">
      <c r="A100" s="5">
        <v>44493</v>
      </c>
      <c r="B100">
        <v>13.38</v>
      </c>
      <c r="C100">
        <v>13.68</v>
      </c>
      <c r="D100">
        <v>12.72</v>
      </c>
      <c r="E100">
        <v>13.13</v>
      </c>
      <c r="F100">
        <v>1690247.74</v>
      </c>
      <c r="G100">
        <v>13.13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-0.1458333333333322</v>
      </c>
      <c r="Q100">
        <f t="shared" ref="Q100" si="476">F100*P100</f>
        <v>-246494.46208333143</v>
      </c>
      <c r="R100">
        <f t="shared" ref="R100" si="477">R101+Q100</f>
        <v>-5277323.1874784995</v>
      </c>
      <c r="S100">
        <f t="shared" ref="S100" si="478">R100/100000</f>
        <v>-52.773231874784997</v>
      </c>
      <c r="T100">
        <f t="shared" ref="T100" si="479">S100/1000</f>
        <v>-5.2773231874784998E-2</v>
      </c>
    </row>
    <row r="101" spans="1:20" x14ac:dyDescent="0.25">
      <c r="A101" s="5">
        <v>44492</v>
      </c>
      <c r="B101">
        <v>13.67</v>
      </c>
      <c r="C101">
        <v>13.75</v>
      </c>
      <c r="D101">
        <v>13.16</v>
      </c>
      <c r="E101">
        <v>13.38</v>
      </c>
      <c r="F101">
        <v>1851434.94</v>
      </c>
      <c r="G101">
        <v>13.38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-0.25423728813559088</v>
      </c>
      <c r="Q101">
        <f t="shared" ref="Q101" si="481">F101*P101</f>
        <v>-470703.79830508039</v>
      </c>
      <c r="R101">
        <f t="shared" ref="R101" si="482">R102+Q101</f>
        <v>-5030828.7253951682</v>
      </c>
      <c r="S101">
        <f t="shared" ref="S101" si="483">R101/100000</f>
        <v>-50.308287253951683</v>
      </c>
      <c r="T101">
        <f t="shared" ref="T101" si="484">S101/1000</f>
        <v>-5.0308287253951686E-2</v>
      </c>
    </row>
    <row r="102" spans="1:20" x14ac:dyDescent="0.25">
      <c r="A102" s="5">
        <v>44491</v>
      </c>
      <c r="B102">
        <v>14.08</v>
      </c>
      <c r="C102">
        <v>14.44</v>
      </c>
      <c r="D102">
        <v>13.23</v>
      </c>
      <c r="E102">
        <v>13.69</v>
      </c>
      <c r="F102">
        <v>2502205.2400000002</v>
      </c>
      <c r="G102">
        <v>13.69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-0.23966942148760426</v>
      </c>
      <c r="Q102">
        <f t="shared" ref="Q102" si="486">F102*P102</f>
        <v>-599702.08231405204</v>
      </c>
      <c r="R102">
        <f t="shared" ref="R102" si="487">R103+Q102</f>
        <v>-4560124.9270900879</v>
      </c>
      <c r="S102">
        <f t="shared" ref="S102" si="488">R102/100000</f>
        <v>-45.60124927090088</v>
      </c>
      <c r="T102">
        <f t="shared" ref="T102" si="489">S102/1000</f>
        <v>-4.5601249270900882E-2</v>
      </c>
    </row>
    <row r="103" spans="1:20" x14ac:dyDescent="0.25">
      <c r="A103" s="5">
        <v>44490</v>
      </c>
      <c r="B103">
        <v>14.2</v>
      </c>
      <c r="C103">
        <v>14.98</v>
      </c>
      <c r="D103">
        <v>13.74</v>
      </c>
      <c r="E103">
        <v>14.07</v>
      </c>
      <c r="F103">
        <v>4498661.42</v>
      </c>
      <c r="G103">
        <v>14.07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-0.46774193548387094</v>
      </c>
      <c r="Q103">
        <f t="shared" ref="Q103" si="491">F103*P103</f>
        <v>-2104212.5996774193</v>
      </c>
      <c r="R103">
        <f t="shared" ref="R103" si="492">R104+Q103</f>
        <v>-3960422.8447760362</v>
      </c>
      <c r="S103">
        <f t="shared" ref="S103" si="493">R103/100000</f>
        <v>-39.604228447760363</v>
      </c>
      <c r="T103">
        <f t="shared" ref="T103" si="494">S103/1000</f>
        <v>-3.9604228447760362E-2</v>
      </c>
    </row>
    <row r="104" spans="1:20" x14ac:dyDescent="0.25">
      <c r="A104" s="5">
        <v>44489</v>
      </c>
      <c r="B104">
        <v>13.2</v>
      </c>
      <c r="C104">
        <v>14.28</v>
      </c>
      <c r="D104">
        <v>12.09</v>
      </c>
      <c r="E104">
        <v>14.21</v>
      </c>
      <c r="F104">
        <v>8767451.5800000001</v>
      </c>
      <c r="G104">
        <v>14.21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0.93607305936073193</v>
      </c>
      <c r="Q104">
        <f t="shared" ref="Q104" si="496">F104*P104</f>
        <v>8206975.223287683</v>
      </c>
      <c r="R104">
        <f t="shared" ref="R104" si="497">R105+Q104</f>
        <v>-1856210.2450986169</v>
      </c>
      <c r="S104">
        <f t="shared" ref="S104" si="498">R104/100000</f>
        <v>-18.562102450986171</v>
      </c>
      <c r="T104">
        <f t="shared" ref="T104" si="499">S104/1000</f>
        <v>-1.8562102450986169E-2</v>
      </c>
    </row>
    <row r="105" spans="1:20" x14ac:dyDescent="0.25">
      <c r="A105" s="5">
        <v>44488</v>
      </c>
      <c r="B105">
        <v>14.79</v>
      </c>
      <c r="C105">
        <v>14.81</v>
      </c>
      <c r="D105">
        <v>12.72</v>
      </c>
      <c r="E105">
        <v>13.2</v>
      </c>
      <c r="F105">
        <v>4275966.0599999996</v>
      </c>
      <c r="G105">
        <v>13.2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-0.54066985645933141</v>
      </c>
      <c r="Q105">
        <f t="shared" ref="Q105" si="501">F105*P105</f>
        <v>-2311885.9558851728</v>
      </c>
      <c r="R105">
        <f t="shared" ref="R105" si="502">R106+Q105</f>
        <v>-10063185.4683863</v>
      </c>
      <c r="S105">
        <f t="shared" ref="S105" si="503">R105/100000</f>
        <v>-100.631854683863</v>
      </c>
      <c r="T105">
        <f t="shared" ref="T105" si="504">S105/1000</f>
        <v>-0.100631854683863</v>
      </c>
    </row>
    <row r="106" spans="1:20" x14ac:dyDescent="0.25">
      <c r="A106" s="5">
        <v>44487</v>
      </c>
      <c r="B106">
        <v>15.72</v>
      </c>
      <c r="C106">
        <v>15.96</v>
      </c>
      <c r="D106">
        <v>14.2</v>
      </c>
      <c r="E106">
        <v>14.79</v>
      </c>
      <c r="F106">
        <v>1350936.03</v>
      </c>
      <c r="G106">
        <v>14.79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-0.32954545454545531</v>
      </c>
      <c r="Q106">
        <f t="shared" ref="Q106" si="506">F106*P106</f>
        <v>-445194.82806818286</v>
      </c>
      <c r="R106">
        <f t="shared" ref="R106" si="507">R107+Q106</f>
        <v>-7751299.512501128</v>
      </c>
      <c r="S106">
        <f t="shared" ref="S106" si="508">R106/100000</f>
        <v>-77.512995125011287</v>
      </c>
      <c r="T106">
        <f t="shared" ref="T106" si="509">S106/1000</f>
        <v>-7.751299512501128E-2</v>
      </c>
    </row>
    <row r="107" spans="1:20" x14ac:dyDescent="0.25">
      <c r="A107" s="5">
        <v>44486</v>
      </c>
      <c r="B107">
        <v>16.64</v>
      </c>
      <c r="C107">
        <v>16.66</v>
      </c>
      <c r="D107">
        <v>15.15</v>
      </c>
      <c r="E107">
        <v>15.72</v>
      </c>
      <c r="F107">
        <v>1531622.77</v>
      </c>
      <c r="G107">
        <v>15.72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-0.24503311258278099</v>
      </c>
      <c r="Q107">
        <f t="shared" ref="Q107" si="511">F107*P107</f>
        <v>-375298.29463576089</v>
      </c>
      <c r="R107">
        <f t="shared" ref="R107" si="512">R108+Q107</f>
        <v>-7306104.6844329452</v>
      </c>
      <c r="S107">
        <f t="shared" ref="S107" si="513">R107/100000</f>
        <v>-73.061046844329454</v>
      </c>
      <c r="T107">
        <f t="shared" ref="T107" si="514">S107/1000</f>
        <v>-7.3061046844329458E-2</v>
      </c>
    </row>
    <row r="108" spans="1:20" x14ac:dyDescent="0.25">
      <c r="A108" s="5">
        <v>44485</v>
      </c>
      <c r="B108">
        <v>17.71</v>
      </c>
      <c r="C108">
        <v>17.82</v>
      </c>
      <c r="D108">
        <v>16.03</v>
      </c>
      <c r="E108">
        <v>16.63</v>
      </c>
      <c r="F108">
        <v>1770632.33</v>
      </c>
      <c r="G108">
        <v>16.63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-0.32960893854748807</v>
      </c>
      <c r="Q108">
        <f t="shared" ref="Q108" si="516">F108*P108</f>
        <v>-583616.24284916569</v>
      </c>
      <c r="R108">
        <f t="shared" ref="R108" si="517">R109+Q108</f>
        <v>-6930806.3897971846</v>
      </c>
      <c r="S108">
        <f t="shared" ref="S108" si="518">R108/100000</f>
        <v>-69.308063897971849</v>
      </c>
      <c r="T108">
        <f t="shared" ref="T108" si="519">S108/1000</f>
        <v>-6.9308063897971853E-2</v>
      </c>
    </row>
    <row r="109" spans="1:20" x14ac:dyDescent="0.25">
      <c r="A109" s="5">
        <v>44484</v>
      </c>
      <c r="B109">
        <v>18.66</v>
      </c>
      <c r="C109">
        <v>18.68</v>
      </c>
      <c r="D109">
        <v>17</v>
      </c>
      <c r="E109">
        <v>17.71</v>
      </c>
      <c r="F109">
        <v>1043733.93</v>
      </c>
      <c r="G109">
        <v>17.71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-0.1547619047619036</v>
      </c>
      <c r="Q109">
        <f t="shared" ref="Q109" si="521">F109*P109</f>
        <v>-161530.25107142737</v>
      </c>
      <c r="R109">
        <f t="shared" ref="R109" si="522">R110+Q109</f>
        <v>-6347190.146948019</v>
      </c>
      <c r="S109">
        <f t="shared" ref="S109" si="523">R109/100000</f>
        <v>-63.471901469480187</v>
      </c>
      <c r="T109">
        <f t="shared" ref="T109" si="524">S109/1000</f>
        <v>-6.3471901469480188E-2</v>
      </c>
    </row>
    <row r="110" spans="1:20" x14ac:dyDescent="0.25">
      <c r="A110" s="5">
        <v>44483</v>
      </c>
      <c r="B110">
        <v>17.32</v>
      </c>
      <c r="C110">
        <v>18.88</v>
      </c>
      <c r="D110">
        <v>17.22</v>
      </c>
      <c r="E110">
        <v>18.66</v>
      </c>
      <c r="F110">
        <v>1162061.6399999999</v>
      </c>
      <c r="G110">
        <v>18.66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0.73493975903614595</v>
      </c>
      <c r="Q110">
        <f t="shared" ref="Q110" si="526">F110*P110</f>
        <v>854045.30168674851</v>
      </c>
      <c r="R110">
        <f t="shared" ref="R110" si="527">R111+Q110</f>
        <v>-6185659.895876592</v>
      </c>
      <c r="S110">
        <f t="shared" ref="S110" si="528">R110/100000</f>
        <v>-61.856598958765922</v>
      </c>
      <c r="T110">
        <f t="shared" ref="T110" si="529">S110/1000</f>
        <v>-6.185659895876592E-2</v>
      </c>
    </row>
    <row r="111" spans="1:20" x14ac:dyDescent="0.25">
      <c r="A111" s="5">
        <v>44482</v>
      </c>
      <c r="B111">
        <v>17.11</v>
      </c>
      <c r="C111">
        <v>18.11</v>
      </c>
      <c r="D111">
        <v>17.079999999999998</v>
      </c>
      <c r="E111">
        <v>17.32</v>
      </c>
      <c r="F111">
        <v>970359.37</v>
      </c>
      <c r="G111">
        <v>17.32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-0.5339805825242685</v>
      </c>
      <c r="Q111">
        <f t="shared" ref="Q111" si="531">F111*P111</f>
        <v>-518153.06165048218</v>
      </c>
      <c r="R111">
        <f t="shared" ref="R111" si="532">R112+Q111</f>
        <v>-7039705.1975633409</v>
      </c>
      <c r="S111">
        <f t="shared" ref="S111" si="533">R111/100000</f>
        <v>-70.397051975633403</v>
      </c>
      <c r="T111">
        <f t="shared" ref="T111" si="534">S111/1000</f>
        <v>-7.039705197563341E-2</v>
      </c>
    </row>
    <row r="112" spans="1:20" x14ac:dyDescent="0.25">
      <c r="A112" s="5">
        <v>44481</v>
      </c>
      <c r="B112">
        <v>17.579999999999998</v>
      </c>
      <c r="C112">
        <v>17.75</v>
      </c>
      <c r="D112">
        <v>16.350000000000001</v>
      </c>
      <c r="E112">
        <v>17.11</v>
      </c>
      <c r="F112">
        <v>1351652.1</v>
      </c>
      <c r="G112">
        <v>17.11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8.571428571428398E-2</v>
      </c>
      <c r="Q112">
        <f t="shared" ref="Q112" si="536">F112*P112</f>
        <v>115855.89428571195</v>
      </c>
      <c r="R112">
        <f t="shared" ref="R112" si="537">R113+Q112</f>
        <v>-6521552.1359128589</v>
      </c>
      <c r="S112">
        <f t="shared" ref="S112" si="538">R112/100000</f>
        <v>-65.215521359128587</v>
      </c>
      <c r="T112">
        <f t="shared" ref="T112" si="539">S112/1000</f>
        <v>-6.5215521359128586E-2</v>
      </c>
    </row>
    <row r="113" spans="1:20" x14ac:dyDescent="0.25">
      <c r="A113" s="5">
        <v>44480</v>
      </c>
      <c r="B113">
        <v>18.260000000000002</v>
      </c>
      <c r="C113">
        <v>19.03</v>
      </c>
      <c r="D113">
        <v>17.329999999999998</v>
      </c>
      <c r="E113">
        <v>17.579999999999998</v>
      </c>
      <c r="F113">
        <v>681961.08</v>
      </c>
      <c r="G113">
        <v>17.579999999999998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-0.70588235294117696</v>
      </c>
      <c r="Q113">
        <f t="shared" ref="Q113" si="541">F113*P113</f>
        <v>-481384.2917647062</v>
      </c>
      <c r="R113">
        <f t="shared" ref="R113" si="542">R114+Q113</f>
        <v>-6637408.0301985713</v>
      </c>
      <c r="S113">
        <f t="shared" ref="S113" si="543">R113/100000</f>
        <v>-66.374080301985714</v>
      </c>
      <c r="T113">
        <f t="shared" ref="T113" si="544">S113/1000</f>
        <v>-6.6374080301985716E-2</v>
      </c>
    </row>
    <row r="114" spans="1:20" x14ac:dyDescent="0.25">
      <c r="A114" s="5">
        <v>44479</v>
      </c>
      <c r="B114">
        <v>18.850000000000001</v>
      </c>
      <c r="C114">
        <v>19.5</v>
      </c>
      <c r="D114">
        <v>18.100000000000001</v>
      </c>
      <c r="E114">
        <v>18.260000000000002</v>
      </c>
      <c r="F114">
        <v>621828.69999999995</v>
      </c>
      <c r="G114">
        <v>18.260000000000002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-0.77142857142857102</v>
      </c>
      <c r="Q114">
        <f t="shared" ref="Q114" si="546">F114*P114</f>
        <v>-479696.4257142854</v>
      </c>
      <c r="R114">
        <f t="shared" ref="R114" si="547">R115+Q114</f>
        <v>-6156023.7384338649</v>
      </c>
      <c r="S114">
        <f t="shared" ref="S114" si="548">R114/100000</f>
        <v>-61.560237384338649</v>
      </c>
      <c r="T114">
        <f t="shared" ref="T114" si="549">S114/1000</f>
        <v>-6.1560237384338648E-2</v>
      </c>
    </row>
    <row r="115" spans="1:20" x14ac:dyDescent="0.25">
      <c r="A115" s="5">
        <v>44478</v>
      </c>
      <c r="B115">
        <v>18.18</v>
      </c>
      <c r="C115">
        <v>19.32</v>
      </c>
      <c r="D115">
        <v>18.059999999999999</v>
      </c>
      <c r="E115">
        <v>18.87</v>
      </c>
      <c r="F115">
        <v>471614.55</v>
      </c>
      <c r="G115">
        <v>18.87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0.28571428571428775</v>
      </c>
      <c r="Q115">
        <f t="shared" ref="Q115" si="551">F115*P115</f>
        <v>134747.01428571524</v>
      </c>
      <c r="R115">
        <f t="shared" ref="R115" si="552">R116+Q115</f>
        <v>-5676327.3127195798</v>
      </c>
      <c r="S115">
        <f t="shared" ref="S115" si="553">R115/100000</f>
        <v>-56.763273127195795</v>
      </c>
      <c r="T115">
        <f t="shared" ref="T115" si="554">S115/1000</f>
        <v>-5.6763273127195799E-2</v>
      </c>
    </row>
    <row r="116" spans="1:20" x14ac:dyDescent="0.25">
      <c r="A116" s="5">
        <v>44477</v>
      </c>
      <c r="B116">
        <v>18.3</v>
      </c>
      <c r="C116">
        <v>19</v>
      </c>
      <c r="D116">
        <v>17.899999999999999</v>
      </c>
      <c r="E116">
        <v>18.149999999999999</v>
      </c>
      <c r="F116">
        <v>472991.4</v>
      </c>
      <c r="G116">
        <v>18.149999999999999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-0.54545454545454608</v>
      </c>
      <c r="Q116">
        <f t="shared" ref="Q116" si="556">F116*P116</f>
        <v>-257995.3090909094</v>
      </c>
      <c r="R116">
        <f t="shared" ref="R116" si="557">R117+Q116</f>
        <v>-5811074.3270052951</v>
      </c>
      <c r="S116">
        <f t="shared" ref="S116" si="558">R116/100000</f>
        <v>-58.11074327005295</v>
      </c>
      <c r="T116">
        <f t="shared" ref="T116" si="559">S116/1000</f>
        <v>-5.8110743270052952E-2</v>
      </c>
    </row>
    <row r="117" spans="1:20" x14ac:dyDescent="0.25">
      <c r="A117" s="5">
        <v>44476</v>
      </c>
      <c r="B117">
        <v>19.100000000000001</v>
      </c>
      <c r="C117">
        <v>19.170000000000002</v>
      </c>
      <c r="D117">
        <v>18.22</v>
      </c>
      <c r="E117">
        <v>18.3</v>
      </c>
      <c r="F117">
        <v>477824.57</v>
      </c>
      <c r="G117">
        <v>18.3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-0.83157894736841764</v>
      </c>
      <c r="Q117">
        <f t="shared" ref="Q117" si="561">F117*P117</f>
        <v>-397348.85294736677</v>
      </c>
      <c r="R117">
        <f t="shared" ref="R117" si="562">R118+Q117</f>
        <v>-5553079.0179143855</v>
      </c>
      <c r="S117">
        <f t="shared" ref="S117" si="563">R117/100000</f>
        <v>-55.530790179143857</v>
      </c>
      <c r="T117">
        <f t="shared" ref="T117" si="564">S117/1000</f>
        <v>-5.5530790179143856E-2</v>
      </c>
    </row>
    <row r="118" spans="1:20" x14ac:dyDescent="0.25">
      <c r="A118" s="5">
        <v>44475</v>
      </c>
      <c r="B118">
        <v>19.559999999999999</v>
      </c>
      <c r="C118">
        <v>20</v>
      </c>
      <c r="D118">
        <v>18.25</v>
      </c>
      <c r="E118">
        <v>19.100000000000001</v>
      </c>
      <c r="F118">
        <v>790698.48</v>
      </c>
      <c r="G118">
        <v>19.100000000000001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-2.8571428571426947E-2</v>
      </c>
      <c r="Q118">
        <f t="shared" ref="Q118" si="566">F118*P118</f>
        <v>-22591.385142855859</v>
      </c>
      <c r="R118">
        <f t="shared" ref="R118" si="567">R119+Q118</f>
        <v>-5155730.1649670191</v>
      </c>
      <c r="S118">
        <f t="shared" ref="S118" si="568">R118/100000</f>
        <v>-51.557301649670194</v>
      </c>
      <c r="T118">
        <f t="shared" ref="T118" si="569">S118/1000</f>
        <v>-5.1557301649670192E-2</v>
      </c>
    </row>
    <row r="119" spans="1:20" x14ac:dyDescent="0.25">
      <c r="A119" s="5">
        <v>44474</v>
      </c>
      <c r="B119">
        <v>20.29</v>
      </c>
      <c r="C119">
        <v>20.96</v>
      </c>
      <c r="D119">
        <v>19</v>
      </c>
      <c r="E119">
        <v>19.579999999999998</v>
      </c>
      <c r="F119">
        <v>989733.74</v>
      </c>
      <c r="G119">
        <v>19.579999999999998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-0.40816326530612446</v>
      </c>
      <c r="Q119">
        <f t="shared" ref="Q119" si="571">F119*P119</f>
        <v>-403972.95510204282</v>
      </c>
      <c r="R119">
        <f t="shared" ref="R119" si="572">R120+Q119</f>
        <v>-5133138.7798241628</v>
      </c>
      <c r="S119">
        <f t="shared" ref="S119" si="573">R119/100000</f>
        <v>-51.331387798241629</v>
      </c>
      <c r="T119">
        <f t="shared" ref="T119" si="574">S119/1000</f>
        <v>-5.1331387798241632E-2</v>
      </c>
    </row>
    <row r="120" spans="1:20" x14ac:dyDescent="0.25">
      <c r="A120" s="5">
        <v>44473</v>
      </c>
      <c r="B120">
        <v>19.02</v>
      </c>
      <c r="C120">
        <v>21.54</v>
      </c>
      <c r="D120">
        <v>17.87</v>
      </c>
      <c r="E120">
        <v>20.2</v>
      </c>
      <c r="F120">
        <v>1506407.45</v>
      </c>
      <c r="G120">
        <v>20.2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0.26975476839237028</v>
      </c>
      <c r="Q120">
        <f t="shared" ref="Q120" si="576">F120*P120</f>
        <v>406360.5927792911</v>
      </c>
      <c r="R120">
        <f t="shared" ref="R120" si="577">R121+Q120</f>
        <v>-4729165.8247221196</v>
      </c>
      <c r="S120">
        <f t="shared" ref="S120" si="578">R120/100000</f>
        <v>-47.291658247221193</v>
      </c>
      <c r="T120">
        <f t="shared" ref="T120" si="579">S120/1000</f>
        <v>-4.7291658247221195E-2</v>
      </c>
    </row>
    <row r="121" spans="1:20" x14ac:dyDescent="0.25">
      <c r="A121" s="5">
        <v>44472</v>
      </c>
      <c r="B121">
        <v>18.559999999999999</v>
      </c>
      <c r="C121">
        <v>19.02</v>
      </c>
      <c r="D121">
        <v>17.93</v>
      </c>
      <c r="E121">
        <v>18.899999999999999</v>
      </c>
      <c r="F121">
        <v>381164.5</v>
      </c>
      <c r="G121">
        <v>18.899999999999999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0.77981651376146599</v>
      </c>
      <c r="Q121">
        <f t="shared" ref="Q121" si="581">F121*P121</f>
        <v>297238.3715596323</v>
      </c>
      <c r="R121">
        <f t="shared" ref="R121" si="582">R122+Q121</f>
        <v>-5135526.4175014105</v>
      </c>
      <c r="S121">
        <f t="shared" ref="S121" si="583">R121/100000</f>
        <v>-51.355264175014106</v>
      </c>
      <c r="T121">
        <f t="shared" ref="T121" si="584">S121/1000</f>
        <v>-5.1355264175014105E-2</v>
      </c>
    </row>
    <row r="122" spans="1:20" x14ac:dyDescent="0.25">
      <c r="A122" s="5">
        <v>44471</v>
      </c>
      <c r="B122">
        <v>17.62</v>
      </c>
      <c r="C122">
        <v>19.079999999999998</v>
      </c>
      <c r="D122">
        <v>17.62</v>
      </c>
      <c r="E122">
        <v>18.55</v>
      </c>
      <c r="F122">
        <v>724576.66</v>
      </c>
      <c r="G122">
        <v>18.55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0.27397260273972801</v>
      </c>
      <c r="Q122">
        <f t="shared" ref="Q122" si="586">F122*P122</f>
        <v>198514.15342465899</v>
      </c>
      <c r="R122">
        <f t="shared" ref="R122" si="587">R123+Q122</f>
        <v>-5432764.7890610425</v>
      </c>
      <c r="S122">
        <f t="shared" ref="S122" si="588">R122/100000</f>
        <v>-54.327647890610422</v>
      </c>
      <c r="T122">
        <f t="shared" ref="T122" si="589">S122/1000</f>
        <v>-5.4327647890610418E-2</v>
      </c>
    </row>
    <row r="123" spans="1:20" x14ac:dyDescent="0.25">
      <c r="A123" s="5">
        <v>44470</v>
      </c>
      <c r="B123">
        <v>15.82</v>
      </c>
      <c r="C123">
        <v>18</v>
      </c>
      <c r="D123">
        <v>15.57</v>
      </c>
      <c r="E123">
        <v>17.64</v>
      </c>
      <c r="F123">
        <v>729909.19</v>
      </c>
      <c r="G123">
        <v>17.64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0.70370370370370416</v>
      </c>
      <c r="Q123">
        <f t="shared" ref="Q123" si="591">F123*P123</f>
        <v>513639.80037037068</v>
      </c>
      <c r="R123">
        <f t="shared" ref="R123" si="592">R124+Q123</f>
        <v>-5631278.9424857013</v>
      </c>
      <c r="S123">
        <f t="shared" ref="S123" si="593">R123/100000</f>
        <v>-56.312789424857016</v>
      </c>
      <c r="T123">
        <f t="shared" ref="T123" si="594">S123/1000</f>
        <v>-5.6312789424857013E-2</v>
      </c>
    </row>
    <row r="124" spans="1:20" x14ac:dyDescent="0.25">
      <c r="A124" s="5">
        <v>44469</v>
      </c>
      <c r="B124">
        <v>15.07</v>
      </c>
      <c r="C124">
        <v>15.85</v>
      </c>
      <c r="D124">
        <v>14.98</v>
      </c>
      <c r="E124">
        <v>15.82</v>
      </c>
      <c r="F124">
        <v>382320.24</v>
      </c>
      <c r="G124">
        <v>15.82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0.93103448275862211</v>
      </c>
      <c r="Q124">
        <f t="shared" ref="Q124" si="596">F124*P124</f>
        <v>355953.32689655223</v>
      </c>
      <c r="R124">
        <f t="shared" ref="R124" si="597">R125+Q124</f>
        <v>-6144918.7428560723</v>
      </c>
      <c r="S124">
        <f t="shared" ref="S124" si="598">R124/100000</f>
        <v>-61.44918742856072</v>
      </c>
      <c r="T124">
        <f t="shared" ref="T124" si="599">S124/1000</f>
        <v>-6.1449187428560717E-2</v>
      </c>
    </row>
    <row r="125" spans="1:20" x14ac:dyDescent="0.25">
      <c r="A125" s="5">
        <v>44468</v>
      </c>
      <c r="B125">
        <v>15.2</v>
      </c>
      <c r="C125">
        <v>15.8</v>
      </c>
      <c r="D125">
        <v>14.85</v>
      </c>
      <c r="E125">
        <v>15.07</v>
      </c>
      <c r="F125">
        <v>346813.27</v>
      </c>
      <c r="G125">
        <v>15.07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-0.53684210526315712</v>
      </c>
      <c r="Q125">
        <f t="shared" ref="Q125" si="601">F125*P125</f>
        <v>-186183.96599999975</v>
      </c>
      <c r="R125">
        <f t="shared" ref="R125" si="602">R126+Q125</f>
        <v>-6500872.0697526243</v>
      </c>
      <c r="S125">
        <f t="shared" ref="S125" si="603">R125/100000</f>
        <v>-65.008720697526243</v>
      </c>
      <c r="T125">
        <f t="shared" ref="T125" si="604">S125/1000</f>
        <v>-6.5008720697526237E-2</v>
      </c>
    </row>
    <row r="126" spans="1:20" x14ac:dyDescent="0.25">
      <c r="A126" s="5">
        <v>44467</v>
      </c>
      <c r="B126">
        <v>15.58</v>
      </c>
      <c r="C126">
        <v>15.66</v>
      </c>
      <c r="D126">
        <v>14.98</v>
      </c>
      <c r="E126">
        <v>15.2</v>
      </c>
      <c r="F126">
        <v>364651.22</v>
      </c>
      <c r="G126">
        <v>15.2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-0.35294117647059131</v>
      </c>
      <c r="Q126">
        <f t="shared" ref="Q126" si="606">F126*P126</f>
        <v>-128700.4305882364</v>
      </c>
      <c r="R126">
        <f t="shared" ref="R126" si="607">R127+Q126</f>
        <v>-6314688.1037526242</v>
      </c>
      <c r="S126">
        <f t="shared" ref="S126" si="608">R126/100000</f>
        <v>-63.146881037526242</v>
      </c>
      <c r="T126">
        <f t="shared" ref="T126" si="609">S126/1000</f>
        <v>-6.3146881037526248E-2</v>
      </c>
    </row>
    <row r="127" spans="1:20" x14ac:dyDescent="0.25">
      <c r="A127" s="5">
        <v>44466</v>
      </c>
      <c r="B127">
        <v>15.67</v>
      </c>
      <c r="C127">
        <v>16.2</v>
      </c>
      <c r="D127">
        <v>15.57</v>
      </c>
      <c r="E127">
        <v>15.58</v>
      </c>
      <c r="F127">
        <v>299620.01</v>
      </c>
      <c r="G127">
        <v>15.58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-0.96825396825396892</v>
      </c>
      <c r="Q127">
        <f t="shared" ref="Q127" si="611">F127*P127</f>
        <v>-290108.26365079387</v>
      </c>
      <c r="R127">
        <f t="shared" ref="R127" si="612">R128+Q127</f>
        <v>-6185987.6731643882</v>
      </c>
      <c r="S127">
        <f t="shared" ref="S127" si="613">R127/100000</f>
        <v>-61.85987673164388</v>
      </c>
      <c r="T127">
        <f t="shared" ref="T127" si="614">S127/1000</f>
        <v>-6.1859876731643879E-2</v>
      </c>
    </row>
    <row r="128" spans="1:20" x14ac:dyDescent="0.25">
      <c r="A128" s="5">
        <v>44465</v>
      </c>
      <c r="B128">
        <v>16.600000000000001</v>
      </c>
      <c r="C128">
        <v>16.739999999999998</v>
      </c>
      <c r="D128">
        <v>15.07</v>
      </c>
      <c r="E128">
        <v>15.65</v>
      </c>
      <c r="F128">
        <v>680997.78</v>
      </c>
      <c r="G128">
        <v>15.65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-0.30538922155688536</v>
      </c>
      <c r="Q128">
        <f t="shared" ref="Q128" si="616">F128*P128</f>
        <v>-207969.38191616707</v>
      </c>
      <c r="R128">
        <f t="shared" ref="R128" si="617">R129+Q128</f>
        <v>-5895879.4095135946</v>
      </c>
      <c r="S128">
        <f t="shared" ref="S128" si="618">R128/100000</f>
        <v>-58.958794095135943</v>
      </c>
      <c r="T128">
        <f t="shared" ref="T128" si="619">S128/1000</f>
        <v>-5.8958794095135943E-2</v>
      </c>
    </row>
    <row r="129" spans="1:20" x14ac:dyDescent="0.25">
      <c r="A129" s="5">
        <v>44464</v>
      </c>
      <c r="B129">
        <v>16.78</v>
      </c>
      <c r="C129">
        <v>17.07</v>
      </c>
      <c r="D129">
        <v>16.03</v>
      </c>
      <c r="E129">
        <v>16.579999999999998</v>
      </c>
      <c r="F129">
        <v>560890.99</v>
      </c>
      <c r="G129">
        <v>16.579999999999998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5.7692307692303095E-2</v>
      </c>
      <c r="Q129">
        <f t="shared" ref="Q129" si="621">F129*P129</f>
        <v>32359.095576920499</v>
      </c>
      <c r="R129">
        <f t="shared" ref="R129" si="622">R130+Q129</f>
        <v>-5687910.0275974274</v>
      </c>
      <c r="S129">
        <f t="shared" ref="S129" si="623">R129/100000</f>
        <v>-56.879100275974274</v>
      </c>
      <c r="T129">
        <f t="shared" ref="T129" si="624">S129/1000</f>
        <v>-5.6879100275974273E-2</v>
      </c>
    </row>
    <row r="130" spans="1:20" x14ac:dyDescent="0.25">
      <c r="A130" s="5">
        <v>44463</v>
      </c>
      <c r="B130">
        <v>18.32</v>
      </c>
      <c r="C130">
        <v>18.510000000000002</v>
      </c>
      <c r="D130">
        <v>15.79</v>
      </c>
      <c r="E130">
        <v>16.75</v>
      </c>
      <c r="F130">
        <v>651161.01</v>
      </c>
      <c r="G130">
        <v>16.75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-0.29411764705882354</v>
      </c>
      <c r="Q130">
        <f t="shared" ref="Q130" si="626">F130*P130</f>
        <v>-191517.94411764707</v>
      </c>
      <c r="R130">
        <f t="shared" ref="R130" si="627">R131+Q130</f>
        <v>-5720269.1231743479</v>
      </c>
      <c r="S130">
        <f t="shared" ref="S130" si="628">R130/100000</f>
        <v>-57.202691231743479</v>
      </c>
      <c r="T130">
        <f t="shared" ref="T130" si="629">S130/1000</f>
        <v>-5.7202691231743479E-2</v>
      </c>
    </row>
    <row r="131" spans="1:20" x14ac:dyDescent="0.25">
      <c r="A131" s="5">
        <v>44462</v>
      </c>
      <c r="B131">
        <v>17.54</v>
      </c>
      <c r="C131">
        <v>18.489999999999998</v>
      </c>
      <c r="D131">
        <v>17.27</v>
      </c>
      <c r="E131">
        <v>18.34</v>
      </c>
      <c r="F131">
        <v>894978.51</v>
      </c>
      <c r="G131">
        <v>18.34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0.75409836065573976</v>
      </c>
      <c r="Q131">
        <f t="shared" ref="Q131" si="631">F131*P131</f>
        <v>674901.82721311657</v>
      </c>
      <c r="R131">
        <f t="shared" ref="R131" si="632">R132+Q131</f>
        <v>-5528751.1790567013</v>
      </c>
      <c r="S131">
        <f t="shared" ref="S131" si="633">R131/100000</f>
        <v>-55.287511790567009</v>
      </c>
      <c r="T131">
        <f t="shared" ref="T131" si="634">S131/1000</f>
        <v>-5.5287511790567012E-2</v>
      </c>
    </row>
    <row r="132" spans="1:20" x14ac:dyDescent="0.25">
      <c r="A132" s="5">
        <v>44461</v>
      </c>
      <c r="B132">
        <v>15.72</v>
      </c>
      <c r="C132">
        <v>19.399999999999999</v>
      </c>
      <c r="D132">
        <v>15.34</v>
      </c>
      <c r="E132">
        <v>17.55</v>
      </c>
      <c r="F132">
        <v>1394458.09</v>
      </c>
      <c r="G132">
        <v>17.55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8.8669950738917022E-2</v>
      </c>
      <c r="Q132">
        <f t="shared" ref="Q132" si="636">F132*P132</f>
        <v>123646.53014778433</v>
      </c>
      <c r="R132">
        <f t="shared" ref="R132" si="637">R133+Q132</f>
        <v>-6203653.0062698182</v>
      </c>
      <c r="S132">
        <f t="shared" ref="S132" si="638">R132/100000</f>
        <v>-62.036530062698183</v>
      </c>
      <c r="T132">
        <f t="shared" ref="T132" si="639">S132/1000</f>
        <v>-6.2036530062698186E-2</v>
      </c>
    </row>
    <row r="133" spans="1:20" x14ac:dyDescent="0.25">
      <c r="A133" s="5">
        <v>44460</v>
      </c>
      <c r="B133">
        <v>17.52</v>
      </c>
      <c r="C133">
        <v>17.78</v>
      </c>
      <c r="D133">
        <v>15.51</v>
      </c>
      <c r="E133">
        <v>15.65</v>
      </c>
      <c r="F133">
        <v>533600.47</v>
      </c>
      <c r="G133">
        <v>15.65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-0.87665198237885422</v>
      </c>
      <c r="Q133">
        <f t="shared" ref="Q133" si="641">F133*P133</f>
        <v>-467781.90982378833</v>
      </c>
      <c r="R133">
        <f t="shared" ref="R133" si="642">R134+Q133</f>
        <v>-6327299.5364176026</v>
      </c>
      <c r="S133">
        <f t="shared" ref="S133" si="643">R133/100000</f>
        <v>-63.272995364176026</v>
      </c>
      <c r="T133">
        <f t="shared" ref="T133" si="644">S133/1000</f>
        <v>-6.3272995364176021E-2</v>
      </c>
    </row>
    <row r="134" spans="1:20" x14ac:dyDescent="0.25">
      <c r="A134" s="5">
        <v>44459</v>
      </c>
      <c r="B134">
        <v>20.14</v>
      </c>
      <c r="C134">
        <v>20.170000000000002</v>
      </c>
      <c r="D134">
        <v>18.079999999999998</v>
      </c>
      <c r="E134">
        <v>18.28</v>
      </c>
      <c r="F134">
        <v>296189.74</v>
      </c>
      <c r="G134">
        <v>18.28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-0.80861244019138512</v>
      </c>
      <c r="Q134">
        <f t="shared" ref="Q134" si="646">F134*P134</f>
        <v>-239502.70842105191</v>
      </c>
      <c r="R134">
        <f t="shared" ref="R134" si="647">R135+Q134</f>
        <v>-5859517.6265938142</v>
      </c>
      <c r="S134">
        <f t="shared" ref="S134" si="648">R134/100000</f>
        <v>-58.595176265938143</v>
      </c>
      <c r="T134">
        <f t="shared" ref="T134" si="649">S134/1000</f>
        <v>-5.8595176265938145E-2</v>
      </c>
    </row>
    <row r="135" spans="1:20" x14ac:dyDescent="0.25">
      <c r="A135" s="5">
        <v>44458</v>
      </c>
      <c r="B135">
        <v>20.72</v>
      </c>
      <c r="C135">
        <v>21.08</v>
      </c>
      <c r="D135">
        <v>19.88</v>
      </c>
      <c r="E135">
        <v>20.16</v>
      </c>
      <c r="F135">
        <v>360580.6</v>
      </c>
      <c r="G135">
        <v>20.16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-0.53333333333333122</v>
      </c>
      <c r="Q135">
        <f t="shared" ref="Q135" si="651">F135*P135</f>
        <v>-192309.65333333256</v>
      </c>
      <c r="R135">
        <f t="shared" ref="R135" si="652">R136+Q135</f>
        <v>-5620014.9181727627</v>
      </c>
      <c r="S135">
        <f t="shared" ref="S135" si="653">R135/100000</f>
        <v>-56.200149181727625</v>
      </c>
      <c r="T135">
        <f t="shared" ref="T135" si="654">S135/1000</f>
        <v>-5.6200149181727624E-2</v>
      </c>
    </row>
    <row r="136" spans="1:20" x14ac:dyDescent="0.25">
      <c r="A136" s="5">
        <v>44457</v>
      </c>
      <c r="B136">
        <v>20.59</v>
      </c>
      <c r="C136">
        <v>21.56</v>
      </c>
      <c r="D136">
        <v>20.45</v>
      </c>
      <c r="E136">
        <v>20.71</v>
      </c>
      <c r="F136">
        <v>266554.44</v>
      </c>
      <c r="G136">
        <v>20.71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-0.53153153153152843</v>
      </c>
      <c r="Q136">
        <f t="shared" ref="Q136" si="656">F136*P136</f>
        <v>-141682.0897297289</v>
      </c>
      <c r="R136">
        <f t="shared" ref="R136" si="657">R137+Q136</f>
        <v>-5427705.2648394303</v>
      </c>
      <c r="S136">
        <f t="shared" ref="S136" si="658">R136/100000</f>
        <v>-54.277052648394303</v>
      </c>
      <c r="T136">
        <f t="shared" ref="T136" si="659">S136/1000</f>
        <v>-5.4277052648394303E-2</v>
      </c>
    </row>
    <row r="137" spans="1:20" x14ac:dyDescent="0.25">
      <c r="A137" s="5">
        <v>44456</v>
      </c>
      <c r="B137">
        <v>21.18</v>
      </c>
      <c r="C137">
        <v>21.35</v>
      </c>
      <c r="D137">
        <v>20.45</v>
      </c>
      <c r="E137">
        <v>20.58</v>
      </c>
      <c r="F137">
        <v>266640.03000000003</v>
      </c>
      <c r="G137">
        <v>20.58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-0.71111111111111402</v>
      </c>
      <c r="Q137">
        <f t="shared" ref="Q137" si="661">F137*P137</f>
        <v>-189610.68800000081</v>
      </c>
      <c r="R137">
        <f t="shared" ref="R137" si="662">R138+Q137</f>
        <v>-5286023.1751097012</v>
      </c>
      <c r="S137">
        <f t="shared" ref="S137" si="663">R137/100000</f>
        <v>-52.860231751097011</v>
      </c>
      <c r="T137">
        <f t="shared" ref="T137" si="664">S137/1000</f>
        <v>-5.2860231751097012E-2</v>
      </c>
    </row>
    <row r="138" spans="1:20" x14ac:dyDescent="0.25">
      <c r="A138" s="5">
        <v>44455</v>
      </c>
      <c r="B138">
        <v>22.04</v>
      </c>
      <c r="C138">
        <v>22.07</v>
      </c>
      <c r="D138">
        <v>20.94</v>
      </c>
      <c r="E138">
        <v>21.19</v>
      </c>
      <c r="F138">
        <v>437512.77</v>
      </c>
      <c r="G138">
        <v>21.19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-0.55752212389380496</v>
      </c>
      <c r="Q138">
        <f t="shared" ref="Q138" si="666">F138*P138</f>
        <v>-243923.0487610618</v>
      </c>
      <c r="R138">
        <f t="shared" ref="R138" si="667">R139+Q138</f>
        <v>-5096412.4871097002</v>
      </c>
      <c r="S138">
        <f t="shared" ref="S138" si="668">R138/100000</f>
        <v>-50.964124871096999</v>
      </c>
      <c r="T138">
        <f t="shared" ref="T138" si="669">S138/1000</f>
        <v>-5.0964124871097E-2</v>
      </c>
    </row>
    <row r="139" spans="1:20" x14ac:dyDescent="0.25">
      <c r="A139" s="5">
        <v>44454</v>
      </c>
      <c r="B139">
        <v>22.69</v>
      </c>
      <c r="C139">
        <v>23.4</v>
      </c>
      <c r="D139">
        <v>21.37</v>
      </c>
      <c r="E139">
        <v>22.02</v>
      </c>
      <c r="F139">
        <v>615484.76</v>
      </c>
      <c r="G139">
        <v>22.02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-0.35960591133004988</v>
      </c>
      <c r="Q139">
        <f t="shared" ref="Q139" si="671">F139*P139</f>
        <v>-221331.95802955702</v>
      </c>
      <c r="R139">
        <f t="shared" ref="R139" si="672">R140+Q139</f>
        <v>-4852489.4383486388</v>
      </c>
      <c r="S139">
        <f t="shared" ref="S139" si="673">R139/100000</f>
        <v>-48.524894383486391</v>
      </c>
      <c r="T139">
        <f t="shared" ref="T139" si="674">S139/1000</f>
        <v>-4.8524894383486387E-2</v>
      </c>
    </row>
    <row r="140" spans="1:20" x14ac:dyDescent="0.25">
      <c r="A140" s="5">
        <v>44453</v>
      </c>
      <c r="B140">
        <v>19.600000000000001</v>
      </c>
      <c r="C140">
        <v>25.75</v>
      </c>
      <c r="D140">
        <v>19.5</v>
      </c>
      <c r="E140">
        <v>22.7</v>
      </c>
      <c r="F140">
        <v>2706708.46</v>
      </c>
      <c r="G140">
        <v>22.7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2.3999999999999772E-2</v>
      </c>
      <c r="Q140">
        <f t="shared" ref="Q140" si="676">F140*P140</f>
        <v>64961.003039999378</v>
      </c>
      <c r="R140">
        <f t="shared" ref="R140" si="677">R141+Q140</f>
        <v>-4631157.4803190818</v>
      </c>
      <c r="S140">
        <f t="shared" ref="S140" si="678">R140/100000</f>
        <v>-46.311574803190815</v>
      </c>
      <c r="T140">
        <f t="shared" ref="T140" si="679">S140/1000</f>
        <v>-4.6311574803190814E-2</v>
      </c>
    </row>
    <row r="141" spans="1:20" x14ac:dyDescent="0.25">
      <c r="A141" s="5">
        <v>44452</v>
      </c>
      <c r="B141">
        <v>20.72</v>
      </c>
      <c r="C141">
        <v>20.77</v>
      </c>
      <c r="D141">
        <v>18.63</v>
      </c>
      <c r="E141">
        <v>19.600000000000001</v>
      </c>
      <c r="F141">
        <v>553289.68000000005</v>
      </c>
      <c r="G141">
        <v>19.600000000000001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-9.3457943925231629E-2</v>
      </c>
      <c r="Q141">
        <f t="shared" ref="Q141" si="681">F141*P141</f>
        <v>-51709.315887849356</v>
      </c>
      <c r="R141">
        <f t="shared" ref="R141" si="682">R142+Q141</f>
        <v>-4696118.4833590807</v>
      </c>
      <c r="S141">
        <f t="shared" ref="S141" si="683">R141/100000</f>
        <v>-46.961184833590806</v>
      </c>
      <c r="T141">
        <f t="shared" ref="T141" si="684">S141/1000</f>
        <v>-4.6961184833590804E-2</v>
      </c>
    </row>
    <row r="142" spans="1:20" x14ac:dyDescent="0.25">
      <c r="A142" s="5">
        <v>44451</v>
      </c>
      <c r="B142">
        <v>20.43</v>
      </c>
      <c r="C142">
        <v>21</v>
      </c>
      <c r="D142">
        <v>19.8</v>
      </c>
      <c r="E142">
        <v>20.76</v>
      </c>
      <c r="F142">
        <v>207858.08</v>
      </c>
      <c r="G142">
        <v>20.76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0.60000000000000242</v>
      </c>
      <c r="Q142">
        <f t="shared" ref="Q142" si="686">F142*P142</f>
        <v>124714.84800000049</v>
      </c>
      <c r="R142">
        <f t="shared" ref="R142" si="687">R143+Q142</f>
        <v>-4644409.167471231</v>
      </c>
      <c r="S142">
        <f t="shared" ref="S142" si="688">R142/100000</f>
        <v>-46.444091674712311</v>
      </c>
      <c r="T142">
        <f t="shared" ref="T142" si="689">S142/1000</f>
        <v>-4.6444091674712314E-2</v>
      </c>
    </row>
    <row r="143" spans="1:20" x14ac:dyDescent="0.25">
      <c r="A143" s="5">
        <v>44450</v>
      </c>
      <c r="B143">
        <v>20.100000000000001</v>
      </c>
      <c r="C143">
        <v>20.72</v>
      </c>
      <c r="D143">
        <v>19.75</v>
      </c>
      <c r="E143">
        <v>20.420000000000002</v>
      </c>
      <c r="F143">
        <v>186273.42</v>
      </c>
      <c r="G143">
        <v>20.420000000000002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0.3814432989690773</v>
      </c>
      <c r="Q143">
        <f t="shared" ref="Q143" si="691">F143*P143</f>
        <v>71052.747835052505</v>
      </c>
      <c r="R143">
        <f t="shared" ref="R143" si="692">R144+Q143</f>
        <v>-4769124.0154712312</v>
      </c>
      <c r="S143">
        <f t="shared" ref="S143" si="693">R143/100000</f>
        <v>-47.691240154712311</v>
      </c>
      <c r="T143">
        <f t="shared" ref="T143" si="694">S143/1000</f>
        <v>-4.7691240154712308E-2</v>
      </c>
    </row>
    <row r="144" spans="1:20" x14ac:dyDescent="0.25">
      <c r="A144" s="5">
        <v>44449</v>
      </c>
      <c r="B144">
        <v>21.46</v>
      </c>
      <c r="C144">
        <v>22.07</v>
      </c>
      <c r="D144">
        <v>19.600000000000001</v>
      </c>
      <c r="E144">
        <v>20.079999999999998</v>
      </c>
      <c r="F144">
        <v>449742.8</v>
      </c>
      <c r="G144">
        <v>20.079999999999998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-0.6113360323886663</v>
      </c>
      <c r="Q144">
        <f t="shared" ref="Q144" si="696">F144*P144</f>
        <v>-274943.97894736944</v>
      </c>
      <c r="R144">
        <f t="shared" ref="R144" si="697">R145+Q144</f>
        <v>-4840176.7633062834</v>
      </c>
      <c r="S144">
        <f t="shared" ref="S144" si="698">R144/100000</f>
        <v>-48.401767633062832</v>
      </c>
      <c r="T144">
        <f t="shared" ref="T144" si="699">S144/1000</f>
        <v>-4.840176763306283E-2</v>
      </c>
    </row>
    <row r="145" spans="1:20" x14ac:dyDescent="0.25">
      <c r="A145" s="5">
        <v>44448</v>
      </c>
      <c r="B145">
        <v>21.05</v>
      </c>
      <c r="C145">
        <v>22.35</v>
      </c>
      <c r="D145">
        <v>20.53</v>
      </c>
      <c r="E145">
        <v>21.47</v>
      </c>
      <c r="F145">
        <v>420295.72</v>
      </c>
      <c r="G145">
        <v>21.47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3.296703296703031E-2</v>
      </c>
      <c r="Q145">
        <f t="shared" ref="Q145" si="701">F145*P145</f>
        <v>13855.90285714174</v>
      </c>
      <c r="R145">
        <f t="shared" ref="R145" si="702">R146+Q145</f>
        <v>-4565232.784358914</v>
      </c>
      <c r="S145">
        <f t="shared" ref="S145" si="703">R145/100000</f>
        <v>-45.652327843589141</v>
      </c>
      <c r="T145">
        <f t="shared" ref="T145" si="704">S145/1000</f>
        <v>-4.5652327843589142E-2</v>
      </c>
    </row>
    <row r="146" spans="1:20" x14ac:dyDescent="0.25">
      <c r="A146" s="5">
        <v>44447</v>
      </c>
      <c r="B146">
        <v>21.43</v>
      </c>
      <c r="C146">
        <v>22.91</v>
      </c>
      <c r="D146">
        <v>18.399999999999999</v>
      </c>
      <c r="E146">
        <v>21.05</v>
      </c>
      <c r="F146">
        <v>1203457.51</v>
      </c>
      <c r="G146">
        <v>21.05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0.17516629711751716</v>
      </c>
      <c r="Q146">
        <f t="shared" ref="Q146" si="706">F146*P146</f>
        <v>210805.19576496739</v>
      </c>
      <c r="R146">
        <f t="shared" ref="R146" si="707">R147+Q146</f>
        <v>-4579088.6872160556</v>
      </c>
      <c r="S146">
        <f t="shared" ref="S146" si="708">R146/100000</f>
        <v>-45.790886872160556</v>
      </c>
      <c r="T146">
        <f t="shared" ref="T146" si="709">S146/1000</f>
        <v>-4.5790886872160555E-2</v>
      </c>
    </row>
    <row r="147" spans="1:20" x14ac:dyDescent="0.25">
      <c r="A147" s="5">
        <v>44446</v>
      </c>
      <c r="B147">
        <v>25.86</v>
      </c>
      <c r="C147">
        <v>26.17</v>
      </c>
      <c r="D147">
        <v>20.43</v>
      </c>
      <c r="E147">
        <v>21.38</v>
      </c>
      <c r="F147">
        <v>808617.09</v>
      </c>
      <c r="G147">
        <v>21.38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-0.66898954703832791</v>
      </c>
      <c r="Q147">
        <f t="shared" ref="Q147" si="711">F147*P147</f>
        <v>-540956.38076655078</v>
      </c>
      <c r="R147">
        <f t="shared" ref="R147" si="712">R148+Q147</f>
        <v>-4789893.8829810228</v>
      </c>
      <c r="S147">
        <f t="shared" ref="S147" si="713">R147/100000</f>
        <v>-47.898938829810227</v>
      </c>
      <c r="T147">
        <f t="shared" ref="T147" si="714">S147/1000</f>
        <v>-4.7898938829810229E-2</v>
      </c>
    </row>
    <row r="148" spans="1:20" x14ac:dyDescent="0.25">
      <c r="A148" s="5">
        <v>44445</v>
      </c>
      <c r="B148">
        <v>26.73</v>
      </c>
      <c r="C148">
        <v>26.79</v>
      </c>
      <c r="D148">
        <v>25.15</v>
      </c>
      <c r="E148">
        <v>25.86</v>
      </c>
      <c r="F148">
        <v>477529.22</v>
      </c>
      <c r="G148">
        <v>25.86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-0.13414634146341389</v>
      </c>
      <c r="Q148">
        <f t="shared" ref="Q148" si="716">F148*P148</f>
        <v>-64058.797804877693</v>
      </c>
      <c r="R148">
        <f t="shared" ref="R148" si="717">R149+Q148</f>
        <v>-4248937.5022144718</v>
      </c>
      <c r="S148">
        <f t="shared" ref="S148" si="718">R148/100000</f>
        <v>-42.489375022144721</v>
      </c>
      <c r="T148">
        <f t="shared" ref="T148" si="719">S148/1000</f>
        <v>-4.2489375022144719E-2</v>
      </c>
    </row>
    <row r="149" spans="1:20" x14ac:dyDescent="0.25">
      <c r="A149" s="5">
        <v>44444</v>
      </c>
      <c r="B149">
        <v>25.71</v>
      </c>
      <c r="C149">
        <v>27.33</v>
      </c>
      <c r="D149">
        <v>25.28</v>
      </c>
      <c r="E149">
        <v>26.72</v>
      </c>
      <c r="F149">
        <v>662259.66</v>
      </c>
      <c r="G149">
        <v>26.72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0.40487804878048755</v>
      </c>
      <c r="Q149">
        <f t="shared" ref="Q149" si="721">F149*P149</f>
        <v>268134.3989268291</v>
      </c>
      <c r="R149">
        <f t="shared" ref="R149" si="722">R150+Q149</f>
        <v>-4184878.7044095937</v>
      </c>
      <c r="S149">
        <f t="shared" ref="S149" si="723">R149/100000</f>
        <v>-41.848787044095936</v>
      </c>
      <c r="T149">
        <f t="shared" ref="T149" si="724">S149/1000</f>
        <v>-4.1848787044095934E-2</v>
      </c>
    </row>
    <row r="150" spans="1:20" x14ac:dyDescent="0.25">
      <c r="A150" s="5">
        <v>44443</v>
      </c>
      <c r="B150">
        <v>25.43</v>
      </c>
      <c r="C150">
        <v>27.35</v>
      </c>
      <c r="D150">
        <v>25</v>
      </c>
      <c r="E150">
        <v>25.71</v>
      </c>
      <c r="F150">
        <v>486156.4</v>
      </c>
      <c r="G150">
        <v>25.71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-0.39574468085106346</v>
      </c>
      <c r="Q150">
        <f t="shared" ref="Q150" si="726">F150*P150</f>
        <v>-192393.80936170195</v>
      </c>
      <c r="R150">
        <f t="shared" ref="R150" si="727">R151+Q150</f>
        <v>-4453013.1033364227</v>
      </c>
      <c r="S150">
        <f t="shared" ref="S150" si="728">R150/100000</f>
        <v>-44.530131033364228</v>
      </c>
      <c r="T150">
        <f t="shared" ref="T150" si="729">S150/1000</f>
        <v>-4.4530131033364229E-2</v>
      </c>
    </row>
    <row r="151" spans="1:20" x14ac:dyDescent="0.25">
      <c r="A151" s="5">
        <v>44442</v>
      </c>
      <c r="B151">
        <v>25.14</v>
      </c>
      <c r="C151">
        <v>25.94</v>
      </c>
      <c r="D151">
        <v>24.8</v>
      </c>
      <c r="E151">
        <v>25.46</v>
      </c>
      <c r="F151">
        <v>421931.41</v>
      </c>
      <c r="G151">
        <v>25.46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0.15789473684210492</v>
      </c>
      <c r="Q151">
        <f t="shared" ref="Q151" si="731">F151*P151</f>
        <v>66620.74894736828</v>
      </c>
      <c r="R151">
        <f t="shared" ref="R151" si="732">R152+Q151</f>
        <v>-4260619.2939747209</v>
      </c>
      <c r="S151">
        <f t="shared" ref="S151" si="733">R151/100000</f>
        <v>-42.60619293974721</v>
      </c>
      <c r="T151">
        <f t="shared" ref="T151" si="734">S151/1000</f>
        <v>-4.2606192939747212E-2</v>
      </c>
    </row>
    <row r="152" spans="1:20" x14ac:dyDescent="0.25">
      <c r="A152" s="5">
        <v>44441</v>
      </c>
      <c r="B152">
        <v>25.67</v>
      </c>
      <c r="C152">
        <v>25.79</v>
      </c>
      <c r="D152">
        <v>24.96</v>
      </c>
      <c r="E152">
        <v>25.19</v>
      </c>
      <c r="F152">
        <v>413788.87</v>
      </c>
      <c r="G152">
        <v>25.19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-0.44578313253011831</v>
      </c>
      <c r="Q152">
        <f t="shared" ref="Q152" si="736">F152*P152</f>
        <v>-184460.09867469789</v>
      </c>
      <c r="R152">
        <f t="shared" ref="R152" si="737">R153+Q152</f>
        <v>-4327240.0429220889</v>
      </c>
      <c r="S152">
        <f t="shared" ref="S152" si="738">R152/100000</f>
        <v>-43.272400429220887</v>
      </c>
      <c r="T152">
        <f t="shared" ref="T152" si="739">S152/1000</f>
        <v>-4.3272400429220891E-2</v>
      </c>
    </row>
    <row r="153" spans="1:20" x14ac:dyDescent="0.25">
      <c r="A153" s="5">
        <v>44440</v>
      </c>
      <c r="B153">
        <v>25.12</v>
      </c>
      <c r="C153">
        <v>25.84</v>
      </c>
      <c r="D153">
        <v>24.22</v>
      </c>
      <c r="E153">
        <v>25.67</v>
      </c>
      <c r="F153">
        <v>876838.22</v>
      </c>
      <c r="G153">
        <v>25.67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0.79012345679012586</v>
      </c>
      <c r="Q153">
        <f t="shared" ref="Q153" si="741">F153*P153</f>
        <v>692810.44543210079</v>
      </c>
      <c r="R153">
        <f t="shared" ref="R153" si="742">R154+Q153</f>
        <v>-4142779.9442473906</v>
      </c>
      <c r="S153">
        <f t="shared" ref="S153" si="743">R153/100000</f>
        <v>-41.427799442473905</v>
      </c>
      <c r="T153">
        <f t="shared" ref="T153" si="744">S153/1000</f>
        <v>-4.1427799442473906E-2</v>
      </c>
    </row>
    <row r="154" spans="1:20" x14ac:dyDescent="0.25">
      <c r="A154" s="5">
        <v>44439</v>
      </c>
      <c r="B154">
        <v>25.18</v>
      </c>
      <c r="C154">
        <v>27.68</v>
      </c>
      <c r="D154">
        <v>24</v>
      </c>
      <c r="E154">
        <v>25.14</v>
      </c>
      <c r="F154">
        <v>1510140.26</v>
      </c>
      <c r="G154">
        <v>25.14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-0.38043478260869529</v>
      </c>
      <c r="Q154">
        <f t="shared" ref="Q154" si="746">F154*P154</f>
        <v>-574509.8815217386</v>
      </c>
      <c r="R154">
        <f t="shared" ref="R154" si="747">R155+Q154</f>
        <v>-4835590.3896794915</v>
      </c>
      <c r="S154">
        <f t="shared" ref="S154" si="748">R154/100000</f>
        <v>-48.355903896794914</v>
      </c>
      <c r="T154">
        <f t="shared" ref="T154" si="749">S154/1000</f>
        <v>-4.8355903896794915E-2</v>
      </c>
    </row>
    <row r="155" spans="1:20" x14ac:dyDescent="0.25">
      <c r="A155" s="5">
        <v>44438</v>
      </c>
      <c r="B155">
        <v>27.6</v>
      </c>
      <c r="C155">
        <v>29.1</v>
      </c>
      <c r="D155">
        <v>24.31</v>
      </c>
      <c r="E155">
        <v>25.17</v>
      </c>
      <c r="F155">
        <v>2199673.19</v>
      </c>
      <c r="G155">
        <v>25.17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-0.64091858037578187</v>
      </c>
      <c r="Q155">
        <f t="shared" ref="Q155" si="751">F155*P155</f>
        <v>-1409811.4182254674</v>
      </c>
      <c r="R155">
        <f t="shared" ref="R155" si="752">R156+Q155</f>
        <v>-4261080.5081577534</v>
      </c>
      <c r="S155">
        <f t="shared" ref="S155" si="753">R155/100000</f>
        <v>-42.610805081577531</v>
      </c>
      <c r="T155">
        <f t="shared" ref="T155" si="754">S155/1000</f>
        <v>-4.2610805081577531E-2</v>
      </c>
    </row>
    <row r="156" spans="1:20" x14ac:dyDescent="0.25">
      <c r="A156" s="5">
        <v>44437</v>
      </c>
      <c r="B156">
        <v>21.65</v>
      </c>
      <c r="C156">
        <v>28.91</v>
      </c>
      <c r="D156">
        <v>21.54</v>
      </c>
      <c r="E156">
        <v>27.61</v>
      </c>
      <c r="F156">
        <v>2572952.59</v>
      </c>
      <c r="G156">
        <v>27.61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0.64721845318860227</v>
      </c>
      <c r="Q156">
        <f t="shared" ref="Q156" si="756">F156*P156</f>
        <v>1665262.3954274079</v>
      </c>
      <c r="R156">
        <f t="shared" ref="R156" si="757">R157+Q156</f>
        <v>-2851269.0899322862</v>
      </c>
      <c r="S156">
        <f t="shared" ref="S156" si="758">R156/100000</f>
        <v>-28.512690899322862</v>
      </c>
      <c r="T156">
        <f t="shared" ref="T156" si="759">S156/1000</f>
        <v>-2.8512690899322863E-2</v>
      </c>
    </row>
    <row r="157" spans="1:20" x14ac:dyDescent="0.25">
      <c r="A157" s="5">
        <v>44436</v>
      </c>
      <c r="B157">
        <v>21.89</v>
      </c>
      <c r="C157">
        <v>22.17</v>
      </c>
      <c r="D157">
        <v>21.58</v>
      </c>
      <c r="E157">
        <v>21.65</v>
      </c>
      <c r="F157">
        <v>280837.21999999997</v>
      </c>
      <c r="G157">
        <v>21.65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-0.76271186440678007</v>
      </c>
      <c r="Q157">
        <f t="shared" ref="Q157" si="761">F157*P157</f>
        <v>-214197.87966101704</v>
      </c>
      <c r="R157">
        <f t="shared" ref="R157" si="762">R158+Q157</f>
        <v>-4516531.4853596939</v>
      </c>
      <c r="S157">
        <f t="shared" ref="S157" si="763">R157/100000</f>
        <v>-45.165314853596939</v>
      </c>
      <c r="T157">
        <f t="shared" ref="T157" si="764">S157/1000</f>
        <v>-4.5165314853596941E-2</v>
      </c>
    </row>
    <row r="158" spans="1:20" x14ac:dyDescent="0.25">
      <c r="A158" s="5">
        <v>44435</v>
      </c>
      <c r="B158">
        <v>21.3</v>
      </c>
      <c r="C158">
        <v>22</v>
      </c>
      <c r="D158">
        <v>20.96</v>
      </c>
      <c r="E158">
        <v>21.84</v>
      </c>
      <c r="F158">
        <v>380500.67</v>
      </c>
      <c r="G158">
        <v>21.84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0.69230769230769174</v>
      </c>
      <c r="Q158">
        <f t="shared" ref="Q158" si="766">F158*P158</f>
        <v>263423.54076923052</v>
      </c>
      <c r="R158">
        <f t="shared" ref="R158" si="767">R159+Q158</f>
        <v>-4302333.6056986768</v>
      </c>
      <c r="S158">
        <f t="shared" ref="S158" si="768">R158/100000</f>
        <v>-43.023336056986771</v>
      </c>
      <c r="T158">
        <f t="shared" ref="T158" si="769">S158/1000</f>
        <v>-4.3023336056986772E-2</v>
      </c>
    </row>
    <row r="159" spans="1:20" x14ac:dyDescent="0.25">
      <c r="A159" s="5">
        <v>44434</v>
      </c>
      <c r="B159">
        <v>22.34</v>
      </c>
      <c r="C159">
        <v>22.95</v>
      </c>
      <c r="D159">
        <v>20.94</v>
      </c>
      <c r="E159">
        <v>21.29</v>
      </c>
      <c r="F159">
        <v>456435.05</v>
      </c>
      <c r="G159">
        <v>21.29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-0.65174129353234012</v>
      </c>
      <c r="Q159">
        <f t="shared" ref="Q159" si="771">F159*P159</f>
        <v>-297477.56990049832</v>
      </c>
      <c r="R159">
        <f t="shared" ref="R159" si="772">R160+Q159</f>
        <v>-4565757.1464679074</v>
      </c>
      <c r="S159">
        <f t="shared" ref="S159" si="773">R159/100000</f>
        <v>-45.657571464679073</v>
      </c>
      <c r="T159">
        <f t="shared" ref="T159" si="774">S159/1000</f>
        <v>-4.5657571464679074E-2</v>
      </c>
    </row>
    <row r="160" spans="1:20" x14ac:dyDescent="0.25">
      <c r="A160" s="5">
        <v>44433</v>
      </c>
      <c r="B160">
        <v>21.78</v>
      </c>
      <c r="C160">
        <v>23.03</v>
      </c>
      <c r="D160">
        <v>20.81</v>
      </c>
      <c r="E160">
        <v>22.34</v>
      </c>
      <c r="F160">
        <v>957231.85</v>
      </c>
      <c r="G160">
        <v>22.34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0.3783783783783779</v>
      </c>
      <c r="Q160">
        <f t="shared" ref="Q160" si="776">F160*P160</f>
        <v>362195.83513513469</v>
      </c>
      <c r="R160">
        <f t="shared" ref="R160" si="777">R161+Q160</f>
        <v>-4268279.5765674086</v>
      </c>
      <c r="S160">
        <f t="shared" ref="S160" si="778">R160/100000</f>
        <v>-42.682795765674086</v>
      </c>
      <c r="T160">
        <f t="shared" ref="T160" si="779">S160/1000</f>
        <v>-4.2682795765674089E-2</v>
      </c>
    </row>
    <row r="161" spans="1:20" x14ac:dyDescent="0.25">
      <c r="A161" s="5">
        <v>44432</v>
      </c>
      <c r="B161">
        <v>23.94</v>
      </c>
      <c r="C161">
        <v>23.99</v>
      </c>
      <c r="D161">
        <v>21.62</v>
      </c>
      <c r="E161">
        <v>21.78</v>
      </c>
      <c r="F161">
        <v>655568.15</v>
      </c>
      <c r="G161">
        <v>21.78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-0.86497890295358626</v>
      </c>
      <c r="Q161">
        <f t="shared" ref="Q161" si="781">F161*P161</f>
        <v>-567052.61919831205</v>
      </c>
      <c r="R161">
        <f t="shared" ref="R161" si="782">R162+Q161</f>
        <v>-4630475.4117025435</v>
      </c>
      <c r="S161">
        <f t="shared" ref="S161" si="783">R161/100000</f>
        <v>-46.304754117025432</v>
      </c>
      <c r="T161">
        <f t="shared" ref="T161" si="784">S161/1000</f>
        <v>-4.6304754117025435E-2</v>
      </c>
    </row>
    <row r="162" spans="1:20" x14ac:dyDescent="0.25">
      <c r="A162" s="5">
        <v>44431</v>
      </c>
      <c r="B162">
        <v>23.08</v>
      </c>
      <c r="C162">
        <v>24.52</v>
      </c>
      <c r="D162">
        <v>22.79</v>
      </c>
      <c r="E162">
        <v>23.94</v>
      </c>
      <c r="F162">
        <v>484075.95</v>
      </c>
      <c r="G162">
        <v>23.94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0.32947976878612928</v>
      </c>
      <c r="Q162">
        <f t="shared" ref="Q162" si="786">F162*P162</f>
        <v>159493.23208092587</v>
      </c>
      <c r="R162">
        <f t="shared" ref="R162" si="787">R163+Q162</f>
        <v>-4063422.792504231</v>
      </c>
      <c r="S162">
        <f t="shared" ref="S162" si="788">R162/100000</f>
        <v>-40.63422792504231</v>
      </c>
      <c r="T162">
        <f t="shared" ref="T162" si="789">S162/1000</f>
        <v>-4.0634227925042309E-2</v>
      </c>
    </row>
    <row r="163" spans="1:20" x14ac:dyDescent="0.25">
      <c r="A163" s="5">
        <v>44430</v>
      </c>
      <c r="B163">
        <v>23.17</v>
      </c>
      <c r="C163">
        <v>23.37</v>
      </c>
      <c r="D163">
        <v>22.68</v>
      </c>
      <c r="E163">
        <v>23.03</v>
      </c>
      <c r="F163">
        <v>83928.73</v>
      </c>
      <c r="G163">
        <v>23.03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1.4492753623190644E-2</v>
      </c>
      <c r="Q163">
        <f t="shared" ref="Q163" si="791">F163*P163</f>
        <v>1216.3584057972892</v>
      </c>
      <c r="R163">
        <f t="shared" ref="R163" si="792">R164+Q163</f>
        <v>-4222916.0245851567</v>
      </c>
      <c r="S163">
        <f t="shared" ref="S163" si="793">R163/100000</f>
        <v>-42.229160245851567</v>
      </c>
      <c r="T163">
        <f t="shared" ref="T163" si="794">S163/1000</f>
        <v>-4.222916024585157E-2</v>
      </c>
    </row>
    <row r="164" spans="1:20" x14ac:dyDescent="0.25">
      <c r="A164" s="5">
        <v>44429</v>
      </c>
      <c r="B164">
        <v>23.4</v>
      </c>
      <c r="C164">
        <v>25.38</v>
      </c>
      <c r="D164">
        <v>23.02</v>
      </c>
      <c r="E164">
        <v>23.2</v>
      </c>
      <c r="F164">
        <v>723106.91</v>
      </c>
      <c r="G164">
        <v>23.2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-0.84745762711864425</v>
      </c>
      <c r="Q164">
        <f t="shared" ref="Q164" si="796">F164*P164</f>
        <v>-612802.46610169508</v>
      </c>
      <c r="R164">
        <f t="shared" ref="R164" si="797">R165+Q164</f>
        <v>-4224132.3829909544</v>
      </c>
      <c r="S164">
        <f t="shared" ref="S164" si="798">R164/100000</f>
        <v>-42.241323829909547</v>
      </c>
      <c r="T164">
        <f t="shared" ref="T164" si="799">S164/1000</f>
        <v>-4.2241323829909548E-2</v>
      </c>
    </row>
    <row r="165" spans="1:20" x14ac:dyDescent="0.25">
      <c r="A165" s="5">
        <v>44428</v>
      </c>
      <c r="B165">
        <v>22.87</v>
      </c>
      <c r="C165">
        <v>23.58</v>
      </c>
      <c r="D165">
        <v>22.28</v>
      </c>
      <c r="E165">
        <v>23.43</v>
      </c>
      <c r="F165">
        <v>243716.14</v>
      </c>
      <c r="G165">
        <v>23.43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0.76923076923077094</v>
      </c>
      <c r="Q165">
        <f t="shared" ref="Q165" si="801">F165*P165</f>
        <v>187473.95384615427</v>
      </c>
      <c r="R165">
        <f t="shared" ref="R165" si="802">R166+Q165</f>
        <v>-3611329.9168892596</v>
      </c>
      <c r="S165">
        <f t="shared" ref="S165" si="803">R165/100000</f>
        <v>-36.113299168892596</v>
      </c>
      <c r="T165">
        <f t="shared" ref="T165" si="804">S165/1000</f>
        <v>-3.6113299168892596E-2</v>
      </c>
    </row>
    <row r="166" spans="1:20" x14ac:dyDescent="0.25">
      <c r="A166" s="5">
        <v>44427</v>
      </c>
      <c r="B166">
        <v>22.37</v>
      </c>
      <c r="C166">
        <v>23.02</v>
      </c>
      <c r="D166">
        <v>21.25</v>
      </c>
      <c r="E166">
        <v>22.83</v>
      </c>
      <c r="F166">
        <v>205234.48</v>
      </c>
      <c r="G166">
        <v>22.83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0.78531073446327537</v>
      </c>
      <c r="Q166">
        <f t="shared" ref="Q166" si="806">F166*P166</f>
        <v>161172.84022598842</v>
      </c>
      <c r="R166">
        <f t="shared" ref="R166" si="807">R167+Q166</f>
        <v>-3798803.8707354139</v>
      </c>
      <c r="S166">
        <f t="shared" ref="S166" si="808">R166/100000</f>
        <v>-37.988038707354136</v>
      </c>
      <c r="T166">
        <f t="shared" ref="T166" si="809">S166/1000</f>
        <v>-3.7988038707354135E-2</v>
      </c>
    </row>
    <row r="167" spans="1:20" x14ac:dyDescent="0.25">
      <c r="A167" s="5">
        <v>44426</v>
      </c>
      <c r="B167">
        <v>22.23</v>
      </c>
      <c r="C167">
        <v>24</v>
      </c>
      <c r="D167">
        <v>21.12</v>
      </c>
      <c r="E167">
        <v>22.36</v>
      </c>
      <c r="F167">
        <v>400235.39</v>
      </c>
      <c r="G167">
        <v>22.36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-0.13888888888888967</v>
      </c>
      <c r="Q167">
        <f t="shared" ref="Q167" si="811">F167*P167</f>
        <v>-55588.248611111427</v>
      </c>
      <c r="R167">
        <f t="shared" ref="R167" si="812">R168+Q167</f>
        <v>-3959976.7109614024</v>
      </c>
      <c r="S167">
        <f t="shared" ref="S167" si="813">R167/100000</f>
        <v>-39.599767109614021</v>
      </c>
      <c r="T167">
        <f t="shared" ref="T167" si="814">S167/1000</f>
        <v>-3.959976710961402E-2</v>
      </c>
    </row>
    <row r="168" spans="1:20" x14ac:dyDescent="0.25">
      <c r="A168" s="5">
        <v>44425</v>
      </c>
      <c r="B168">
        <v>22.81</v>
      </c>
      <c r="C168">
        <v>25.11</v>
      </c>
      <c r="D168">
        <v>21.86</v>
      </c>
      <c r="E168">
        <v>22.22</v>
      </c>
      <c r="F168">
        <v>602247.67000000004</v>
      </c>
      <c r="G168">
        <v>22.22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-0.77846153846153876</v>
      </c>
      <c r="Q168">
        <f t="shared" ref="Q168" si="816">F168*P168</f>
        <v>-468826.64772307716</v>
      </c>
      <c r="R168">
        <f t="shared" ref="R168" si="817">R169+Q168</f>
        <v>-3904388.4623502907</v>
      </c>
      <c r="S168">
        <f t="shared" ref="S168" si="818">R168/100000</f>
        <v>-39.043884623502905</v>
      </c>
      <c r="T168">
        <f t="shared" ref="T168" si="819">S168/1000</f>
        <v>-3.9043884623502903E-2</v>
      </c>
    </row>
    <row r="169" spans="1:20" x14ac:dyDescent="0.25">
      <c r="A169" s="5">
        <v>44424</v>
      </c>
      <c r="B169">
        <v>23.05</v>
      </c>
      <c r="C169">
        <v>23.74</v>
      </c>
      <c r="D169">
        <v>22.48</v>
      </c>
      <c r="E169">
        <v>22.78</v>
      </c>
      <c r="F169">
        <v>298445.24</v>
      </c>
      <c r="G169">
        <v>22.78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-0.52380952380952195</v>
      </c>
      <c r="Q169">
        <f t="shared" ref="Q169" si="821">F169*P169</f>
        <v>-156328.4590476185</v>
      </c>
      <c r="R169">
        <f t="shared" ref="R169" si="822">R170+Q169</f>
        <v>-3435561.8146272134</v>
      </c>
      <c r="S169">
        <f t="shared" ref="S169" si="823">R169/100000</f>
        <v>-34.355618146272136</v>
      </c>
      <c r="T169">
        <f t="shared" ref="T169:T175" si="824">S169/1000</f>
        <v>-3.4355618146272138E-2</v>
      </c>
    </row>
    <row r="170" spans="1:20" x14ac:dyDescent="0.25">
      <c r="A170" s="5">
        <v>44423</v>
      </c>
      <c r="B170">
        <v>23.32</v>
      </c>
      <c r="C170">
        <v>23.39</v>
      </c>
      <c r="D170">
        <v>22.13</v>
      </c>
      <c r="E170">
        <v>23.06</v>
      </c>
      <c r="F170">
        <v>271717.58</v>
      </c>
      <c r="G170">
        <v>23.06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0.47619047619047389</v>
      </c>
      <c r="Q170">
        <f t="shared" ref="Q170" si="826">F170*P170</f>
        <v>129389.32380952319</v>
      </c>
      <c r="R170">
        <f t="shared" ref="R170" si="827">R171+Q170</f>
        <v>-3279233.3555795951</v>
      </c>
      <c r="S170">
        <f t="shared" ref="S170" si="828">R170/100000</f>
        <v>-32.792333555795949</v>
      </c>
      <c r="T170">
        <f t="shared" si="824"/>
        <v>-3.2792333555795951E-2</v>
      </c>
    </row>
    <row r="171" spans="1:20" x14ac:dyDescent="0.25">
      <c r="A171" s="5">
        <v>44422</v>
      </c>
      <c r="B171">
        <v>23.65</v>
      </c>
      <c r="C171">
        <v>23.91</v>
      </c>
      <c r="D171">
        <v>22.5</v>
      </c>
      <c r="E171">
        <v>23.31</v>
      </c>
      <c r="F171">
        <v>339092.44</v>
      </c>
      <c r="G171">
        <v>23.31</v>
      </c>
      <c r="L171" t="s">
        <v>8</v>
      </c>
      <c r="M171" t="s">
        <v>7</v>
      </c>
      <c r="N171" t="s">
        <v>8</v>
      </c>
      <c r="P171">
        <f t="shared" ref="P171" si="829">IF(C171=D171,0,((E171-D171)-(C171-E171))/(C171-D171))</f>
        <v>0.14893617021276404</v>
      </c>
      <c r="Q171">
        <f t="shared" ref="Q171" si="830">F171*P171</f>
        <v>50503.129361701474</v>
      </c>
      <c r="R171">
        <f t="shared" ref="R171" si="831">R172+Q171</f>
        <v>-3408622.6793891182</v>
      </c>
      <c r="S171">
        <f t="shared" ref="S171" si="832">R171/100000</f>
        <v>-34.086226793891186</v>
      </c>
      <c r="T171">
        <f t="shared" si="824"/>
        <v>-3.4086226793891186E-2</v>
      </c>
    </row>
    <row r="172" spans="1:20" x14ac:dyDescent="0.25">
      <c r="A172" s="5">
        <v>44421</v>
      </c>
      <c r="B172">
        <v>22.56</v>
      </c>
      <c r="C172">
        <v>24</v>
      </c>
      <c r="D172">
        <v>22.4</v>
      </c>
      <c r="E172">
        <v>23.67</v>
      </c>
      <c r="F172">
        <v>254047.6</v>
      </c>
      <c r="G172">
        <v>23.67</v>
      </c>
      <c r="L172" t="s">
        <v>8</v>
      </c>
      <c r="M172" t="s">
        <v>7</v>
      </c>
      <c r="N172" t="s">
        <v>8</v>
      </c>
      <c r="P172">
        <f t="shared" ref="P172" si="833">IF(C172=D172,0,((E172-D172)-(C172-E172))/(C172-D172))</f>
        <v>0.58750000000000246</v>
      </c>
      <c r="Q172">
        <f t="shared" ref="Q172" si="834">F172*P172</f>
        <v>149252.96500000064</v>
      </c>
      <c r="R172">
        <f t="shared" ref="R172" si="835">R173+Q172</f>
        <v>-3459125.8087508199</v>
      </c>
      <c r="S172">
        <f t="shared" ref="S172" si="836">R172/100000</f>
        <v>-34.591258087508201</v>
      </c>
      <c r="T172">
        <f t="shared" si="824"/>
        <v>-3.4591258087508202E-2</v>
      </c>
    </row>
    <row r="173" spans="1:20" x14ac:dyDescent="0.25">
      <c r="A173" s="5">
        <v>44420</v>
      </c>
      <c r="B173">
        <v>23.78</v>
      </c>
      <c r="C173">
        <v>24</v>
      </c>
      <c r="D173">
        <v>21.9</v>
      </c>
      <c r="E173">
        <v>22.56</v>
      </c>
      <c r="F173">
        <v>384941.69</v>
      </c>
      <c r="G173">
        <v>22.56</v>
      </c>
      <c r="L173" t="s">
        <v>7</v>
      </c>
      <c r="M173" t="s">
        <v>7</v>
      </c>
      <c r="N173" t="s">
        <v>8</v>
      </c>
      <c r="P173">
        <f t="shared" ref="P173" si="837">IF(C173=D173,0,((E173-D173)-(C173-E173))/(C173-D173))</f>
        <v>-0.37142857142857172</v>
      </c>
      <c r="Q173">
        <f t="shared" ref="Q173" si="838">F173*P173</f>
        <v>-142978.34200000012</v>
      </c>
      <c r="R173">
        <f t="shared" ref="R173" si="839">R174+Q173</f>
        <v>-3608378.7737508207</v>
      </c>
      <c r="S173">
        <f t="shared" ref="S173" si="840">R173/100000</f>
        <v>-36.08378773750821</v>
      </c>
      <c r="T173">
        <f t="shared" si="824"/>
        <v>-3.6083787737508213E-2</v>
      </c>
    </row>
    <row r="174" spans="1:20" x14ac:dyDescent="0.25">
      <c r="A174" s="5">
        <v>44419</v>
      </c>
      <c r="B174">
        <v>23.16</v>
      </c>
      <c r="C174">
        <v>26.69</v>
      </c>
      <c r="D174">
        <v>22.97</v>
      </c>
      <c r="E174">
        <v>23.8</v>
      </c>
      <c r="F174">
        <v>811378.53</v>
      </c>
      <c r="G174">
        <v>23.8</v>
      </c>
      <c r="L174" t="s">
        <v>8</v>
      </c>
      <c r="M174" t="s">
        <v>8</v>
      </c>
      <c r="N174" t="s">
        <v>8</v>
      </c>
      <c r="P174">
        <f t="shared" ref="P174" si="841">IF(C174=D174,0,((E174-D174)-(C174-E174))/(C174-D174))</f>
        <v>-0.55376344086021434</v>
      </c>
      <c r="Q174">
        <f t="shared" ref="Q174" si="842">F174*P174</f>
        <v>-449311.76661290269</v>
      </c>
      <c r="R174">
        <f t="shared" ref="R174" si="843">R175+Q174</f>
        <v>-3465400.4317508205</v>
      </c>
      <c r="S174">
        <f t="shared" ref="S174" si="844">R174/100000</f>
        <v>-34.654004317508203</v>
      </c>
      <c r="T174">
        <f t="shared" si="824"/>
        <v>-3.4654004317508202E-2</v>
      </c>
    </row>
    <row r="175" spans="1:20" x14ac:dyDescent="0.25">
      <c r="A175" s="5">
        <v>44418</v>
      </c>
      <c r="B175">
        <v>22.19</v>
      </c>
      <c r="C175">
        <v>24.11</v>
      </c>
      <c r="D175">
        <v>21.66</v>
      </c>
      <c r="E175">
        <v>23.09</v>
      </c>
      <c r="F175">
        <v>711136.75</v>
      </c>
      <c r="G175">
        <v>0</v>
      </c>
      <c r="L175" t="s">
        <v>8</v>
      </c>
      <c r="M175" t="s">
        <v>8</v>
      </c>
      <c r="N175" t="s">
        <v>8</v>
      </c>
      <c r="P175">
        <f t="shared" ref="P175" si="845">IF(C175=D175,0,((E175-D175)-(C175-E175))/(C175-D175))</f>
        <v>0.16734693877551032</v>
      </c>
      <c r="Q175">
        <f t="shared" ref="Q175" si="846">F175*P175</f>
        <v>119006.55816326539</v>
      </c>
      <c r="R175">
        <f t="shared" ref="R175" si="847">R176+Q175</f>
        <v>-3016088.6651379177</v>
      </c>
      <c r="S175">
        <f t="shared" ref="S175" si="848">R175/100000</f>
        <v>-30.160886651379176</v>
      </c>
      <c r="T175">
        <f t="shared" si="824"/>
        <v>-3.0160886651379178E-2</v>
      </c>
    </row>
    <row r="176" spans="1:20" x14ac:dyDescent="0.25">
      <c r="A176" s="5">
        <v>44417</v>
      </c>
      <c r="B176">
        <v>21.46</v>
      </c>
      <c r="C176">
        <v>22.36</v>
      </c>
      <c r="D176">
        <v>20.57</v>
      </c>
      <c r="E176">
        <v>22.19</v>
      </c>
      <c r="F176">
        <v>474626.36</v>
      </c>
      <c r="G176">
        <v>0</v>
      </c>
      <c r="L176" t="s">
        <v>7</v>
      </c>
      <c r="M176" t="s">
        <v>7</v>
      </c>
      <c r="N176" t="s">
        <v>8</v>
      </c>
      <c r="P176">
        <f t="shared" ref="P176:P239" si="849">IF(C176=D176,0,((E176-D176)-(C176-E176))/(C176-D176))</f>
        <v>0.81005586592178969</v>
      </c>
      <c r="Q176">
        <f t="shared" ref="Q176:Q239" si="850">F176*P176</f>
        <v>384473.86703910708</v>
      </c>
      <c r="R176">
        <f t="shared" ref="R176:R239" si="851">R177+Q176</f>
        <v>-3135095.223301183</v>
      </c>
      <c r="S176">
        <f t="shared" ref="S176:S239" si="852">R176/100000</f>
        <v>-31.350952233011828</v>
      </c>
      <c r="T176">
        <f t="shared" ref="T176:T239" si="853">S176/1000</f>
        <v>-3.1350952233011826E-2</v>
      </c>
    </row>
    <row r="177" spans="1:20" x14ac:dyDescent="0.25">
      <c r="A177" s="5">
        <v>44416</v>
      </c>
      <c r="B177">
        <v>22.66</v>
      </c>
      <c r="C177">
        <v>23.4</v>
      </c>
      <c r="D177">
        <v>21.19</v>
      </c>
      <c r="E177">
        <v>21.46</v>
      </c>
      <c r="F177">
        <v>344950.32</v>
      </c>
      <c r="G177">
        <v>0</v>
      </c>
      <c r="L177" t="s">
        <v>7</v>
      </c>
      <c r="M177" t="s">
        <v>7</v>
      </c>
      <c r="N177" t="s">
        <v>8</v>
      </c>
      <c r="P177">
        <f t="shared" si="849"/>
        <v>-0.75565610859728516</v>
      </c>
      <c r="Q177">
        <f t="shared" si="850"/>
        <v>-260663.81647058827</v>
      </c>
      <c r="R177">
        <f t="shared" si="851"/>
        <v>-3519569.0903402902</v>
      </c>
      <c r="S177">
        <f t="shared" si="852"/>
        <v>-35.195690903402905</v>
      </c>
      <c r="T177">
        <f t="shared" si="853"/>
        <v>-3.5195690903402903E-2</v>
      </c>
    </row>
    <row r="178" spans="1:20" x14ac:dyDescent="0.25">
      <c r="A178" s="5">
        <v>44415</v>
      </c>
      <c r="B178">
        <v>22.45</v>
      </c>
      <c r="C178">
        <v>23.37</v>
      </c>
      <c r="D178">
        <v>21.92</v>
      </c>
      <c r="E178">
        <v>22.67</v>
      </c>
      <c r="F178">
        <v>388005.74</v>
      </c>
      <c r="G178">
        <v>0</v>
      </c>
      <c r="L178" t="s">
        <v>8</v>
      </c>
      <c r="M178" t="s">
        <v>7</v>
      </c>
      <c r="N178" t="s">
        <v>8</v>
      </c>
      <c r="P178">
        <f t="shared" si="849"/>
        <v>3.4482758620690161E-2</v>
      </c>
      <c r="Q178">
        <f t="shared" si="850"/>
        <v>13379.508275862265</v>
      </c>
      <c r="R178">
        <f t="shared" si="851"/>
        <v>-3258905.2738697021</v>
      </c>
      <c r="S178">
        <f t="shared" si="852"/>
        <v>-32.589052738697021</v>
      </c>
      <c r="T178">
        <f t="shared" si="853"/>
        <v>-3.2589052738697021E-2</v>
      </c>
    </row>
    <row r="179" spans="1:20" x14ac:dyDescent="0.25">
      <c r="A179" s="5">
        <v>44414</v>
      </c>
      <c r="B179">
        <v>22.28</v>
      </c>
      <c r="C179">
        <v>22.64</v>
      </c>
      <c r="D179">
        <v>21.51</v>
      </c>
      <c r="E179">
        <v>22.42</v>
      </c>
      <c r="F179">
        <v>350100.08</v>
      </c>
      <c r="G179">
        <v>0</v>
      </c>
      <c r="L179" t="s">
        <v>7</v>
      </c>
      <c r="M179" t="s">
        <v>7</v>
      </c>
      <c r="N179" t="s">
        <v>8</v>
      </c>
      <c r="P179">
        <f t="shared" si="849"/>
        <v>0.61061946902655029</v>
      </c>
      <c r="Q179">
        <f t="shared" si="850"/>
        <v>213777.92495575279</v>
      </c>
      <c r="R179">
        <f t="shared" si="851"/>
        <v>-3272284.7821455644</v>
      </c>
      <c r="S179">
        <f t="shared" si="852"/>
        <v>-32.722847821455645</v>
      </c>
      <c r="T179">
        <f t="shared" si="853"/>
        <v>-3.2722847821455646E-2</v>
      </c>
    </row>
    <row r="180" spans="1:20" x14ac:dyDescent="0.25">
      <c r="A180" s="5">
        <v>44413</v>
      </c>
      <c r="B180">
        <v>22.32</v>
      </c>
      <c r="C180">
        <v>23.5</v>
      </c>
      <c r="D180">
        <v>20.91</v>
      </c>
      <c r="E180">
        <v>22.32</v>
      </c>
      <c r="F180">
        <v>637252.01</v>
      </c>
      <c r="G180">
        <v>0</v>
      </c>
      <c r="L180" t="s">
        <v>8</v>
      </c>
      <c r="M180" t="s">
        <v>7</v>
      </c>
      <c r="N180" t="s">
        <v>8</v>
      </c>
      <c r="P180">
        <f t="shared" si="849"/>
        <v>8.8803088803088973E-2</v>
      </c>
      <c r="Q180">
        <f t="shared" si="850"/>
        <v>56589.946833976945</v>
      </c>
      <c r="R180">
        <f t="shared" si="851"/>
        <v>-3486062.7071013171</v>
      </c>
      <c r="S180">
        <f t="shared" si="852"/>
        <v>-34.86062707101317</v>
      </c>
      <c r="T180">
        <f t="shared" si="853"/>
        <v>-3.4860627071013173E-2</v>
      </c>
    </row>
    <row r="181" spans="1:20" x14ac:dyDescent="0.25">
      <c r="A181" s="5">
        <v>44412</v>
      </c>
      <c r="B181">
        <v>20.84</v>
      </c>
      <c r="C181">
        <v>22.48</v>
      </c>
      <c r="D181">
        <v>20.27</v>
      </c>
      <c r="E181">
        <v>22.3</v>
      </c>
      <c r="F181">
        <v>661972.03</v>
      </c>
      <c r="G181">
        <v>0</v>
      </c>
      <c r="L181" t="s">
        <v>7</v>
      </c>
      <c r="M181" t="s">
        <v>7</v>
      </c>
      <c r="N181" t="s">
        <v>8</v>
      </c>
      <c r="P181">
        <f t="shared" si="849"/>
        <v>0.8371040723981904</v>
      </c>
      <c r="Q181">
        <f t="shared" si="850"/>
        <v>554139.48212669708</v>
      </c>
      <c r="R181">
        <f t="shared" si="851"/>
        <v>-3542652.6539352941</v>
      </c>
      <c r="S181">
        <f t="shared" si="852"/>
        <v>-35.426526539352942</v>
      </c>
      <c r="T181">
        <f t="shared" si="853"/>
        <v>-3.5426526539352944E-2</v>
      </c>
    </row>
    <row r="182" spans="1:20" x14ac:dyDescent="0.25">
      <c r="A182" s="5">
        <v>44411</v>
      </c>
      <c r="B182">
        <v>22.15</v>
      </c>
      <c r="C182">
        <v>22.4</v>
      </c>
      <c r="D182">
        <v>20.5</v>
      </c>
      <c r="E182">
        <v>20.84</v>
      </c>
      <c r="F182">
        <v>375663.45</v>
      </c>
      <c r="G182">
        <v>0</v>
      </c>
      <c r="L182" t="s">
        <v>7</v>
      </c>
      <c r="M182" t="s">
        <v>7</v>
      </c>
      <c r="N182" t="s">
        <v>8</v>
      </c>
      <c r="P182">
        <f t="shared" si="849"/>
        <v>-0.64210526315789462</v>
      </c>
      <c r="Q182">
        <f t="shared" si="850"/>
        <v>-241215.4784210526</v>
      </c>
      <c r="R182">
        <f t="shared" si="851"/>
        <v>-4096792.1360619911</v>
      </c>
      <c r="S182">
        <f t="shared" si="852"/>
        <v>-40.967921360619911</v>
      </c>
      <c r="T182">
        <f t="shared" si="853"/>
        <v>-4.0967921360619913E-2</v>
      </c>
    </row>
    <row r="183" spans="1:20" x14ac:dyDescent="0.25">
      <c r="A183" s="5">
        <v>44410</v>
      </c>
      <c r="B183">
        <v>21.13</v>
      </c>
      <c r="C183">
        <v>22.7</v>
      </c>
      <c r="D183">
        <v>20.75</v>
      </c>
      <c r="E183">
        <v>22.15</v>
      </c>
      <c r="F183">
        <v>854827.32</v>
      </c>
      <c r="G183">
        <v>0</v>
      </c>
      <c r="L183" t="s">
        <v>8</v>
      </c>
      <c r="M183" t="s">
        <v>7</v>
      </c>
      <c r="N183" t="s">
        <v>8</v>
      </c>
      <c r="P183">
        <f t="shared" si="849"/>
        <v>0.43589743589743496</v>
      </c>
      <c r="Q183">
        <f t="shared" si="850"/>
        <v>372617.03692307608</v>
      </c>
      <c r="R183">
        <f t="shared" si="851"/>
        <v>-3855576.6576409386</v>
      </c>
      <c r="S183">
        <f t="shared" si="852"/>
        <v>-38.55576657640939</v>
      </c>
      <c r="T183">
        <f t="shared" si="853"/>
        <v>-3.8555766576409391E-2</v>
      </c>
    </row>
    <row r="184" spans="1:20" x14ac:dyDescent="0.25">
      <c r="A184" s="5">
        <v>44409</v>
      </c>
      <c r="B184">
        <v>24.37</v>
      </c>
      <c r="C184">
        <v>24.42</v>
      </c>
      <c r="D184">
        <v>21.07</v>
      </c>
      <c r="E184">
        <v>21.09</v>
      </c>
      <c r="F184">
        <v>1142018.18</v>
      </c>
      <c r="G184">
        <v>0</v>
      </c>
      <c r="L184" t="s">
        <v>7</v>
      </c>
      <c r="M184" t="s">
        <v>7</v>
      </c>
      <c r="N184" t="s">
        <v>8</v>
      </c>
      <c r="P184">
        <f t="shared" si="849"/>
        <v>-0.98805970149253752</v>
      </c>
      <c r="Q184">
        <f t="shared" si="850"/>
        <v>-1128382.142029851</v>
      </c>
      <c r="R184">
        <f t="shared" si="851"/>
        <v>-4228193.6945640147</v>
      </c>
      <c r="S184">
        <f t="shared" si="852"/>
        <v>-42.281936945640147</v>
      </c>
      <c r="T184">
        <f t="shared" si="853"/>
        <v>-4.2281936945640149E-2</v>
      </c>
    </row>
    <row r="185" spans="1:20" x14ac:dyDescent="0.25">
      <c r="A185" s="5">
        <v>44408</v>
      </c>
      <c r="B185">
        <v>23.91</v>
      </c>
      <c r="C185">
        <v>28</v>
      </c>
      <c r="D185">
        <v>22.93</v>
      </c>
      <c r="E185">
        <v>24.36</v>
      </c>
      <c r="F185">
        <v>3473070.16</v>
      </c>
      <c r="G185">
        <v>0</v>
      </c>
      <c r="L185" t="s">
        <v>8</v>
      </c>
      <c r="M185" t="s">
        <v>8</v>
      </c>
      <c r="N185" t="s">
        <v>8</v>
      </c>
      <c r="P185">
        <f t="shared" si="849"/>
        <v>-0.43589743589743601</v>
      </c>
      <c r="Q185">
        <f t="shared" si="850"/>
        <v>-1513902.3774358979</v>
      </c>
      <c r="R185">
        <f t="shared" si="851"/>
        <v>-3099811.5525341639</v>
      </c>
      <c r="S185">
        <f t="shared" si="852"/>
        <v>-30.998115525341639</v>
      </c>
      <c r="T185">
        <f t="shared" si="853"/>
        <v>-3.0998115525341638E-2</v>
      </c>
    </row>
    <row r="186" spans="1:20" x14ac:dyDescent="0.25">
      <c r="A186" s="5">
        <v>44407</v>
      </c>
      <c r="B186">
        <v>18.309999999999999</v>
      </c>
      <c r="C186">
        <v>35.61</v>
      </c>
      <c r="D186">
        <v>18.309999999999999</v>
      </c>
      <c r="E186">
        <v>23.9</v>
      </c>
      <c r="F186">
        <v>4483043.91</v>
      </c>
      <c r="G186">
        <v>0</v>
      </c>
      <c r="P186">
        <f t="shared" si="849"/>
        <v>-0.35375722543352606</v>
      </c>
      <c r="Q186">
        <f t="shared" si="850"/>
        <v>-1585909.1750982662</v>
      </c>
      <c r="R186">
        <f t="shared" si="851"/>
        <v>-1585909.1750982662</v>
      </c>
      <c r="S186">
        <f t="shared" si="852"/>
        <v>-15.859091750982662</v>
      </c>
      <c r="T186">
        <f t="shared" si="853"/>
        <v>-1.5859091750982664E-2</v>
      </c>
    </row>
    <row r="187" spans="1:20" x14ac:dyDescent="0.25">
      <c r="A187" s="5"/>
      <c r="P187">
        <f t="shared" si="849"/>
        <v>0</v>
      </c>
      <c r="Q187">
        <f t="shared" si="850"/>
        <v>0</v>
      </c>
      <c r="R187">
        <f t="shared" si="851"/>
        <v>0</v>
      </c>
      <c r="S187">
        <f t="shared" si="852"/>
        <v>0</v>
      </c>
      <c r="T187">
        <f t="shared" si="853"/>
        <v>0</v>
      </c>
    </row>
    <row r="188" spans="1:20" x14ac:dyDescent="0.25">
      <c r="A188" s="5"/>
      <c r="P188">
        <f t="shared" si="849"/>
        <v>0</v>
      </c>
      <c r="Q188">
        <f t="shared" si="850"/>
        <v>0</v>
      </c>
      <c r="R188">
        <f t="shared" si="851"/>
        <v>0</v>
      </c>
      <c r="S188">
        <f t="shared" si="852"/>
        <v>0</v>
      </c>
      <c r="T188">
        <f t="shared" si="853"/>
        <v>0</v>
      </c>
    </row>
    <row r="189" spans="1:20" x14ac:dyDescent="0.25">
      <c r="A189" s="5"/>
      <c r="P189">
        <f t="shared" si="849"/>
        <v>0</v>
      </c>
      <c r="Q189">
        <f t="shared" si="850"/>
        <v>0</v>
      </c>
      <c r="R189">
        <f t="shared" si="851"/>
        <v>0</v>
      </c>
      <c r="S189">
        <f t="shared" si="852"/>
        <v>0</v>
      </c>
      <c r="T189">
        <f t="shared" si="853"/>
        <v>0</v>
      </c>
    </row>
    <row r="190" spans="1:20" x14ac:dyDescent="0.25">
      <c r="A190" s="5"/>
      <c r="P190">
        <f t="shared" si="849"/>
        <v>0</v>
      </c>
      <c r="Q190">
        <f t="shared" si="850"/>
        <v>0</v>
      </c>
      <c r="R190">
        <f t="shared" si="851"/>
        <v>0</v>
      </c>
      <c r="S190">
        <f t="shared" si="852"/>
        <v>0</v>
      </c>
      <c r="T190">
        <f t="shared" si="853"/>
        <v>0</v>
      </c>
    </row>
    <row r="191" spans="1:20" x14ac:dyDescent="0.25">
      <c r="A191" s="5"/>
      <c r="P191">
        <f t="shared" si="849"/>
        <v>0</v>
      </c>
      <c r="Q191">
        <f t="shared" si="850"/>
        <v>0</v>
      </c>
      <c r="R191">
        <f t="shared" si="851"/>
        <v>0</v>
      </c>
      <c r="S191">
        <f t="shared" si="852"/>
        <v>0</v>
      </c>
      <c r="T191">
        <f t="shared" si="853"/>
        <v>0</v>
      </c>
    </row>
    <row r="192" spans="1:20" x14ac:dyDescent="0.25">
      <c r="A192" s="5"/>
      <c r="P192">
        <f t="shared" si="849"/>
        <v>0</v>
      </c>
      <c r="Q192">
        <f t="shared" si="850"/>
        <v>0</v>
      </c>
      <c r="R192">
        <f t="shared" si="851"/>
        <v>0</v>
      </c>
      <c r="S192">
        <f t="shared" si="852"/>
        <v>0</v>
      </c>
      <c r="T192">
        <f t="shared" si="853"/>
        <v>0</v>
      </c>
    </row>
    <row r="193" spans="1:20" x14ac:dyDescent="0.25">
      <c r="A193" s="5"/>
      <c r="P193">
        <f t="shared" si="849"/>
        <v>0</v>
      </c>
      <c r="Q193">
        <f t="shared" si="850"/>
        <v>0</v>
      </c>
      <c r="R193">
        <f t="shared" si="851"/>
        <v>0</v>
      </c>
      <c r="S193">
        <f t="shared" si="852"/>
        <v>0</v>
      </c>
      <c r="T193">
        <f t="shared" si="853"/>
        <v>0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B507" sqref="CB50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$A$506</v>
      </c>
      <c r="D111" s="1" t="str">
        <f>ADDRESS(C121-1,D121,1,1)</f>
        <v>$CB$506</v>
      </c>
      <c r="E111"/>
    </row>
    <row r="112" spans="1:5" x14ac:dyDescent="0.25">
      <c r="A112" s="7">
        <v>12164.144957890772</v>
      </c>
      <c r="C112" s="1" t="str">
        <f>ADDRESS(C121,1,1,1)</f>
        <v>$A$507</v>
      </c>
      <c r="D112" s="1" t="str">
        <f>ADDRESS(C121,D121-1,1,1)</f>
        <v>$CA$507</v>
      </c>
      <c r="E112"/>
    </row>
    <row r="113" spans="1:5" x14ac:dyDescent="0.25">
      <c r="A113" s="7">
        <v>11925.63231165762</v>
      </c>
      <c r="C113" s="1" t="str">
        <f>ADDRESS(C121+1,1,1,1)</f>
        <v>$A$508</v>
      </c>
      <c r="D113" s="1" t="str">
        <f>ADDRESS(C121-1,D121+1,1,1)</f>
        <v>$CC$506</v>
      </c>
    </row>
    <row r="114" spans="1:5" x14ac:dyDescent="0.25">
      <c r="A114" s="7">
        <v>11691.796383978059</v>
      </c>
      <c r="C114" s="1" t="str">
        <f>ADDRESS(C121,D121,1,1)</f>
        <v>$CB$507</v>
      </c>
      <c r="D114" s="1" t="str">
        <f>ADDRESS(C121+1,D121+1,1,1)</f>
        <v>$CC$508</v>
      </c>
    </row>
    <row r="115" spans="1:5" x14ac:dyDescent="0.25">
      <c r="A115" s="7">
        <v>11462.545474488292</v>
      </c>
      <c r="C115" s="1" t="str">
        <f>ADDRESS(C121+1,D121,1,1)</f>
        <v>$CB$508</v>
      </c>
    </row>
    <row r="116" spans="1:5" x14ac:dyDescent="0.25">
      <c r="A116" s="7">
        <v>11237.789680870874</v>
      </c>
      <c r="C116" s="1">
        <f>C117-1</f>
        <v>506</v>
      </c>
    </row>
    <row r="117" spans="1:5" x14ac:dyDescent="0.25">
      <c r="A117" s="7">
        <v>11017.440863598895</v>
      </c>
      <c r="C117" s="1">
        <f>C121</f>
        <v>507</v>
      </c>
      <c r="D117" s="1">
        <f>D121</f>
        <v>80</v>
      </c>
    </row>
    <row r="118" spans="1:5" x14ac:dyDescent="0.25">
      <c r="A118" s="7">
        <v>10801.412611371465</v>
      </c>
      <c r="C118" s="1">
        <f>C117+1</f>
        <v>508</v>
      </c>
      <c r="D118" s="1">
        <f>D117+1</f>
        <v>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507</v>
      </c>
      <c r="D121" s="19">
        <v>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R507</v>
      </c>
      <c r="D123" s="1" t="str">
        <f>"C"&amp;D121</f>
        <v>C80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4.8754391560963954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37" x14ac:dyDescent="0.25">
      <c r="A417" s="7">
        <v>28.975383953883185</v>
      </c>
      <c r="B417"/>
      <c r="C417"/>
      <c r="D417"/>
      <c r="E417"/>
      <c r="W417" s="27" t="s">
        <v>8</v>
      </c>
    </row>
    <row r="418" spans="1:37" x14ac:dyDescent="0.25">
      <c r="A418" s="7">
        <v>28.407239170473709</v>
      </c>
      <c r="B418"/>
      <c r="C418"/>
      <c r="D418"/>
      <c r="E418"/>
      <c r="W418" s="27" t="s">
        <v>8</v>
      </c>
      <c r="X418" s="27" t="s">
        <v>7</v>
      </c>
    </row>
    <row r="419" spans="1:37" x14ac:dyDescent="0.25">
      <c r="A419" s="7">
        <v>27.850234480856578</v>
      </c>
      <c r="B419"/>
      <c r="C419"/>
      <c r="D419"/>
      <c r="E419" t="s">
        <v>8</v>
      </c>
      <c r="W419" s="27" t="s">
        <v>8</v>
      </c>
      <c r="X419" s="27" t="s">
        <v>7</v>
      </c>
    </row>
    <row r="420" spans="1:37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W420" s="27" t="s">
        <v>8</v>
      </c>
      <c r="X420" s="27" t="s">
        <v>7</v>
      </c>
      <c r="Y420" s="27" t="s">
        <v>8</v>
      </c>
    </row>
    <row r="421" spans="1:37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W421" s="27" t="s">
        <v>8</v>
      </c>
      <c r="X421" s="27" t="s">
        <v>7</v>
      </c>
      <c r="Y421" s="27" t="s">
        <v>8</v>
      </c>
      <c r="Z421" s="27" t="s">
        <v>7</v>
      </c>
    </row>
    <row r="422" spans="1:37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M422" s="27" t="s">
        <v>8</v>
      </c>
      <c r="W422" s="27" t="s">
        <v>8</v>
      </c>
      <c r="X422" s="27" t="s">
        <v>7</v>
      </c>
      <c r="Y422" s="27" t="s">
        <v>8</v>
      </c>
      <c r="Z422" s="27" t="s">
        <v>7</v>
      </c>
    </row>
    <row r="423" spans="1:37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M423" s="27" t="s">
        <v>8</v>
      </c>
      <c r="N423" s="27" t="s">
        <v>7</v>
      </c>
      <c r="W423" s="27" t="s">
        <v>8</v>
      </c>
      <c r="X423" s="27" t="s">
        <v>7</v>
      </c>
      <c r="Y423" s="27" t="s">
        <v>8</v>
      </c>
      <c r="Z423" s="27" t="s">
        <v>7</v>
      </c>
      <c r="AC423" s="27" t="s">
        <v>8</v>
      </c>
    </row>
    <row r="424" spans="1:37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M424" s="27" t="s">
        <v>8</v>
      </c>
      <c r="N424" s="27" t="s">
        <v>7</v>
      </c>
      <c r="Q424" s="27" t="s">
        <v>8</v>
      </c>
      <c r="W424" s="27" t="s">
        <v>8</v>
      </c>
      <c r="X424" s="27" t="s">
        <v>7</v>
      </c>
      <c r="Y424" s="27" t="s">
        <v>8</v>
      </c>
      <c r="Z424" s="27" t="s">
        <v>7</v>
      </c>
      <c r="AC424" s="27" t="s">
        <v>8</v>
      </c>
      <c r="AD424" s="27" t="s">
        <v>7</v>
      </c>
    </row>
    <row r="425" spans="1:37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M425" s="27" t="s">
        <v>8</v>
      </c>
      <c r="N425" s="27" t="s">
        <v>7</v>
      </c>
      <c r="Q425" s="27" t="s">
        <v>8</v>
      </c>
      <c r="R425" s="27" t="s">
        <v>7</v>
      </c>
      <c r="W425" s="27" t="s">
        <v>8</v>
      </c>
      <c r="X425" s="27" t="s">
        <v>7</v>
      </c>
      <c r="Y425" s="27" t="s">
        <v>8</v>
      </c>
      <c r="Z425" s="27" t="s">
        <v>7</v>
      </c>
      <c r="AC425" s="27" t="s">
        <v>8</v>
      </c>
      <c r="AD425" s="27" t="s">
        <v>7</v>
      </c>
    </row>
    <row r="426" spans="1:37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M426" s="27" t="s">
        <v>8</v>
      </c>
      <c r="N426" s="27" t="s">
        <v>7</v>
      </c>
      <c r="Q426" s="27" t="s">
        <v>8</v>
      </c>
      <c r="R426" s="27" t="s">
        <v>7</v>
      </c>
      <c r="S426" s="27" t="s">
        <v>8</v>
      </c>
      <c r="W426" s="27" t="s">
        <v>8</v>
      </c>
      <c r="X426" s="27" t="s">
        <v>7</v>
      </c>
      <c r="Z426" s="27" t="s">
        <v>7</v>
      </c>
      <c r="AC426" s="27" t="s">
        <v>8</v>
      </c>
      <c r="AD426" s="27" t="s">
        <v>7</v>
      </c>
    </row>
    <row r="427" spans="1:37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M427" s="18" t="s">
        <v>8</v>
      </c>
      <c r="N427" s="27" t="s">
        <v>7</v>
      </c>
      <c r="O427" s="27" t="s">
        <v>8</v>
      </c>
      <c r="Q427" s="27" t="s">
        <v>8</v>
      </c>
      <c r="R427" s="27" t="s">
        <v>7</v>
      </c>
      <c r="S427" s="27" t="s">
        <v>8</v>
      </c>
      <c r="T427" s="27" t="s">
        <v>7</v>
      </c>
      <c r="W427" s="27" t="s">
        <v>8</v>
      </c>
      <c r="Z427" s="27" t="s">
        <v>7</v>
      </c>
      <c r="AC427" s="27" t="s">
        <v>8</v>
      </c>
      <c r="AD427" s="27" t="s">
        <v>7</v>
      </c>
    </row>
    <row r="428" spans="1:37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I428" s="27" t="s">
        <v>8</v>
      </c>
      <c r="K428" s="27" t="s">
        <v>8</v>
      </c>
      <c r="M428" s="27" t="s">
        <v>8</v>
      </c>
      <c r="N428" s="27" t="s">
        <v>7</v>
      </c>
      <c r="O428" s="27" t="s">
        <v>8</v>
      </c>
      <c r="P428" s="27" t="s">
        <v>7</v>
      </c>
      <c r="Q428" s="27" t="s">
        <v>8</v>
      </c>
      <c r="R428" s="27" t="s">
        <v>7</v>
      </c>
      <c r="S428" s="27" t="s">
        <v>8</v>
      </c>
      <c r="T428" s="27" t="s">
        <v>7</v>
      </c>
      <c r="W428" s="27" t="s">
        <v>8</v>
      </c>
      <c r="Z428" s="27" t="s">
        <v>7</v>
      </c>
      <c r="AC428" s="27" t="s">
        <v>8</v>
      </c>
      <c r="AD428" s="27" t="s">
        <v>7</v>
      </c>
    </row>
    <row r="429" spans="1:37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I429" s="27" t="s">
        <v>8</v>
      </c>
      <c r="J429" s="27" t="s">
        <v>7</v>
      </c>
      <c r="K429" s="27" t="s">
        <v>8</v>
      </c>
      <c r="L429" s="27" t="s">
        <v>7</v>
      </c>
      <c r="M429" s="27" t="s">
        <v>8</v>
      </c>
      <c r="N429" s="27" t="s">
        <v>7</v>
      </c>
      <c r="O429" s="27" t="s">
        <v>8</v>
      </c>
      <c r="P429" s="27" t="s">
        <v>7</v>
      </c>
      <c r="Q429" s="27" t="s">
        <v>8</v>
      </c>
      <c r="R429" s="27" t="s">
        <v>7</v>
      </c>
      <c r="T429" s="27" t="s">
        <v>7</v>
      </c>
      <c r="U429" s="27" t="s">
        <v>8</v>
      </c>
      <c r="W429" s="27" t="s">
        <v>8</v>
      </c>
      <c r="Z429" s="27" t="s">
        <v>7</v>
      </c>
      <c r="AC429" s="27" t="s">
        <v>8</v>
      </c>
      <c r="AD429" s="27" t="s">
        <v>7</v>
      </c>
    </row>
    <row r="430" spans="1:37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G430" s="27" t="s">
        <v>8</v>
      </c>
      <c r="I430" s="27" t="s">
        <v>8</v>
      </c>
      <c r="J430" s="27" t="s">
        <v>7</v>
      </c>
      <c r="K430" s="27" t="s">
        <v>8</v>
      </c>
      <c r="L430" s="27" t="s">
        <v>7</v>
      </c>
      <c r="M430" s="27" t="s">
        <v>8</v>
      </c>
      <c r="N430" s="27" t="s">
        <v>7</v>
      </c>
      <c r="O430" s="27" t="s">
        <v>8</v>
      </c>
      <c r="P430" s="27" t="s">
        <v>7</v>
      </c>
      <c r="Q430" s="27" t="s">
        <v>8</v>
      </c>
      <c r="T430" s="27" t="s">
        <v>7</v>
      </c>
      <c r="U430" s="27" t="s">
        <v>8</v>
      </c>
      <c r="V430" s="27" t="s">
        <v>7</v>
      </c>
      <c r="W430" s="27" t="s">
        <v>8</v>
      </c>
      <c r="Z430" s="27" t="s">
        <v>7</v>
      </c>
      <c r="AC430" s="27" t="s">
        <v>8</v>
      </c>
      <c r="AD430" s="27" t="s">
        <v>7</v>
      </c>
    </row>
    <row r="431" spans="1:37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G431" s="27" t="s">
        <v>8</v>
      </c>
      <c r="H431" s="27" t="s">
        <v>7</v>
      </c>
      <c r="I431" s="27" t="s">
        <v>8</v>
      </c>
      <c r="J431" s="27" t="s">
        <v>7</v>
      </c>
      <c r="K431" s="27" t="s">
        <v>8</v>
      </c>
      <c r="L431" s="27" t="s">
        <v>7</v>
      </c>
      <c r="M431" s="27" t="s">
        <v>8</v>
      </c>
      <c r="N431" s="27" t="s">
        <v>7</v>
      </c>
      <c r="P431" s="27" t="s">
        <v>7</v>
      </c>
      <c r="Q431" s="27" t="s">
        <v>8</v>
      </c>
      <c r="T431" s="27" t="s">
        <v>7</v>
      </c>
      <c r="U431" s="27" t="s">
        <v>8</v>
      </c>
      <c r="V431" s="27" t="s">
        <v>7</v>
      </c>
      <c r="W431" s="27" t="s">
        <v>8</v>
      </c>
      <c r="Z431" s="27" t="s">
        <v>7</v>
      </c>
      <c r="AA431" s="27" t="s">
        <v>8</v>
      </c>
      <c r="AC431" s="27" t="s">
        <v>8</v>
      </c>
      <c r="AD431" s="27" t="s">
        <v>7</v>
      </c>
    </row>
    <row r="432" spans="1:37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G432" s="27" t="s">
        <v>8</v>
      </c>
      <c r="H432" s="27" t="s">
        <v>7</v>
      </c>
      <c r="I432" s="27" t="s">
        <v>8</v>
      </c>
      <c r="J432" s="27" t="s">
        <v>7</v>
      </c>
      <c r="L432" s="27" t="s">
        <v>7</v>
      </c>
      <c r="M432" s="27" t="s">
        <v>8</v>
      </c>
      <c r="P432" s="27" t="s">
        <v>7</v>
      </c>
      <c r="T432" s="27" t="s">
        <v>7</v>
      </c>
      <c r="U432" s="27" t="s">
        <v>8</v>
      </c>
      <c r="V432" s="27" t="s">
        <v>7</v>
      </c>
      <c r="W432" s="27" t="s">
        <v>8</v>
      </c>
      <c r="Z432" s="27" t="s">
        <v>7</v>
      </c>
      <c r="AA432" s="27" t="s">
        <v>8</v>
      </c>
      <c r="AB432" s="27" t="s">
        <v>7</v>
      </c>
      <c r="AC432" s="27" t="s">
        <v>8</v>
      </c>
      <c r="AD432" s="27" t="s">
        <v>7</v>
      </c>
      <c r="AK432" s="27" t="s">
        <v>8</v>
      </c>
    </row>
    <row r="433" spans="1:54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H433" s="27" t="s">
        <v>7</v>
      </c>
      <c r="I433" s="27" t="s">
        <v>8</v>
      </c>
      <c r="L433" s="27" t="s">
        <v>7</v>
      </c>
      <c r="M433" s="27" t="s">
        <v>8</v>
      </c>
      <c r="T433" s="27" t="s">
        <v>7</v>
      </c>
      <c r="V433" s="27" t="s">
        <v>7</v>
      </c>
      <c r="Z433" s="27" t="s">
        <v>7</v>
      </c>
      <c r="AA433" s="27" t="s">
        <v>8</v>
      </c>
      <c r="AB433" s="27" t="s">
        <v>7</v>
      </c>
      <c r="AC433" s="27" t="s">
        <v>8</v>
      </c>
      <c r="AD433" s="27" t="s">
        <v>7</v>
      </c>
      <c r="AK433" s="27" t="s">
        <v>8</v>
      </c>
      <c r="AL433" s="27" t="s">
        <v>7</v>
      </c>
    </row>
    <row r="434" spans="1:54" x14ac:dyDescent="0.25">
      <c r="A434" s="7">
        <v>20.693134452910591</v>
      </c>
      <c r="B434"/>
      <c r="C434"/>
      <c r="D434"/>
      <c r="E434" t="s">
        <v>8</v>
      </c>
      <c r="H434" s="27" t="s">
        <v>7</v>
      </c>
      <c r="I434" s="27" t="s">
        <v>8</v>
      </c>
      <c r="L434" s="27" t="s">
        <v>7</v>
      </c>
      <c r="Z434" s="27" t="s">
        <v>7</v>
      </c>
      <c r="AA434" s="27" t="s">
        <v>8</v>
      </c>
      <c r="AB434" s="27" t="s">
        <v>7</v>
      </c>
      <c r="AC434" s="27" t="s">
        <v>8</v>
      </c>
      <c r="AD434" s="27" t="s">
        <v>7</v>
      </c>
      <c r="AK434" s="27" t="s">
        <v>8</v>
      </c>
      <c r="AL434" s="27" t="s">
        <v>7</v>
      </c>
    </row>
    <row r="435" spans="1:54" x14ac:dyDescent="0.25">
      <c r="A435" s="7">
        <v>20.287386718539796</v>
      </c>
      <c r="B435"/>
      <c r="C435"/>
      <c r="D435"/>
      <c r="E435" t="s">
        <v>8</v>
      </c>
      <c r="H435" s="27" t="s">
        <v>7</v>
      </c>
      <c r="Z435" s="27" t="s">
        <v>7</v>
      </c>
      <c r="AA435" s="27" t="s">
        <v>8</v>
      </c>
      <c r="AB435" s="27" t="s">
        <v>7</v>
      </c>
      <c r="AC435" s="27" t="s">
        <v>8</v>
      </c>
      <c r="AD435" s="27" t="s">
        <v>7</v>
      </c>
      <c r="AK435" s="27" t="s">
        <v>8</v>
      </c>
      <c r="AL435" s="27" t="s">
        <v>7</v>
      </c>
    </row>
    <row r="436" spans="1:54" x14ac:dyDescent="0.25">
      <c r="A436" s="7">
        <v>19.889594822097838</v>
      </c>
      <c r="B436"/>
      <c r="C436"/>
      <c r="D436"/>
      <c r="E436" t="s">
        <v>8</v>
      </c>
      <c r="Z436" s="27" t="s">
        <v>7</v>
      </c>
      <c r="AA436" s="27" t="s">
        <v>8</v>
      </c>
      <c r="AB436" s="27" t="s">
        <v>7</v>
      </c>
      <c r="AC436" s="27" t="s">
        <v>8</v>
      </c>
      <c r="AD436" s="27" t="s">
        <v>7</v>
      </c>
      <c r="AK436" s="27" t="s">
        <v>8</v>
      </c>
      <c r="AL436" s="27" t="s">
        <v>7</v>
      </c>
    </row>
    <row r="437" spans="1:54" x14ac:dyDescent="0.25">
      <c r="A437" s="7">
        <v>19.499602766762585</v>
      </c>
      <c r="B437"/>
      <c r="C437"/>
      <c r="D437"/>
      <c r="E437" t="s">
        <v>8</v>
      </c>
      <c r="Z437" s="27" t="s">
        <v>7</v>
      </c>
      <c r="AA437" s="27" t="s">
        <v>8</v>
      </c>
      <c r="AB437" s="27" t="s">
        <v>7</v>
      </c>
      <c r="AC437" s="27" t="s">
        <v>8</v>
      </c>
      <c r="AD437" s="27" t="s">
        <v>7</v>
      </c>
      <c r="AK437" s="27" t="s">
        <v>8</v>
      </c>
      <c r="AL437" s="27" t="s">
        <v>7</v>
      </c>
      <c r="AM437" s="27" t="s">
        <v>8</v>
      </c>
    </row>
    <row r="438" spans="1:54" x14ac:dyDescent="0.25">
      <c r="A438" s="7">
        <v>19.117257614473122</v>
      </c>
      <c r="B438"/>
      <c r="C438"/>
      <c r="D438"/>
      <c r="E438" t="s">
        <v>8</v>
      </c>
      <c r="Z438" s="27" t="s">
        <v>7</v>
      </c>
      <c r="AA438" s="27" t="s">
        <v>8</v>
      </c>
      <c r="AB438" s="27" t="s">
        <v>7</v>
      </c>
      <c r="AC438" s="27" t="s">
        <v>8</v>
      </c>
      <c r="AD438" s="27" t="s">
        <v>7</v>
      </c>
      <c r="AK438" s="27" t="s">
        <v>8</v>
      </c>
      <c r="AL438" s="27" t="s">
        <v>7</v>
      </c>
      <c r="AM438" s="27" t="s">
        <v>8</v>
      </c>
      <c r="AN438" s="27" t="s">
        <v>7</v>
      </c>
    </row>
    <row r="439" spans="1:54" x14ac:dyDescent="0.25">
      <c r="A439" s="7">
        <v>18.74240942595404</v>
      </c>
      <c r="B439"/>
      <c r="C439"/>
      <c r="D439"/>
      <c r="E439" t="s">
        <v>8</v>
      </c>
      <c r="Z439" s="27" t="s">
        <v>7</v>
      </c>
      <c r="AB439" s="27" t="s">
        <v>7</v>
      </c>
      <c r="AD439" s="27" t="s">
        <v>7</v>
      </c>
      <c r="AK439" s="27" t="s">
        <v>8</v>
      </c>
      <c r="AL439" s="27" t="s">
        <v>7</v>
      </c>
      <c r="AM439" s="27" t="s">
        <v>8</v>
      </c>
      <c r="AN439" s="27" t="s">
        <v>7</v>
      </c>
      <c r="AO439" s="27" t="s">
        <v>8</v>
      </c>
    </row>
    <row r="440" spans="1:54" x14ac:dyDescent="0.25">
      <c r="A440" s="7">
        <v>18.374911201915726</v>
      </c>
      <c r="B440"/>
      <c r="C440"/>
      <c r="D440"/>
      <c r="E440" t="s">
        <v>8</v>
      </c>
      <c r="AD440" s="27" t="s">
        <v>7</v>
      </c>
      <c r="AE440" s="27" t="s">
        <v>8</v>
      </c>
      <c r="AK440" s="27" t="s">
        <v>8</v>
      </c>
      <c r="AL440" s="27" t="s">
        <v>7</v>
      </c>
      <c r="AM440" s="27" t="s">
        <v>8</v>
      </c>
      <c r="AN440" s="27" t="s">
        <v>7</v>
      </c>
      <c r="AO440" s="27" t="s">
        <v>8</v>
      </c>
      <c r="AP440" s="27" t="s">
        <v>7</v>
      </c>
    </row>
    <row r="441" spans="1:54" x14ac:dyDescent="0.25">
      <c r="A441" s="7">
        <v>18.014618825407574</v>
      </c>
      <c r="B441"/>
      <c r="C441"/>
      <c r="D441"/>
      <c r="E441" t="s">
        <v>8</v>
      </c>
      <c r="AD441" s="27" t="s">
        <v>7</v>
      </c>
      <c r="AE441" s="27" t="s">
        <v>8</v>
      </c>
      <c r="AF441" s="27" t="s">
        <v>7</v>
      </c>
      <c r="AK441" s="27" t="s">
        <v>8</v>
      </c>
      <c r="AL441" s="27" t="s">
        <v>7</v>
      </c>
      <c r="AN441" s="27" t="s">
        <v>7</v>
      </c>
      <c r="AO441" s="27" t="s">
        <v>8</v>
      </c>
      <c r="AP441" s="27" t="s">
        <v>7</v>
      </c>
    </row>
    <row r="442" spans="1:54" x14ac:dyDescent="0.25">
      <c r="A442" s="7">
        <v>17.661391005301542</v>
      </c>
      <c r="B442"/>
      <c r="C442"/>
      <c r="D442"/>
      <c r="E442" t="s">
        <v>8</v>
      </c>
      <c r="AD442" s="27" t="s">
        <v>7</v>
      </c>
      <c r="AE442" s="27" t="s">
        <v>8</v>
      </c>
      <c r="AF442" s="27" t="s">
        <v>7</v>
      </c>
      <c r="AK442" s="27" t="s">
        <v>8</v>
      </c>
      <c r="AN442" s="27" t="s">
        <v>7</v>
      </c>
      <c r="AO442" s="27" t="s">
        <v>8</v>
      </c>
      <c r="AP442" s="27" t="s">
        <v>7</v>
      </c>
    </row>
    <row r="443" spans="1:54" x14ac:dyDescent="0.25">
      <c r="A443" s="7">
        <v>17.315089220883866</v>
      </c>
      <c r="B443"/>
      <c r="C443"/>
      <c r="D443"/>
      <c r="E443" t="s">
        <v>8</v>
      </c>
      <c r="AD443" s="27" t="s">
        <v>7</v>
      </c>
      <c r="AE443" s="27" t="s">
        <v>8</v>
      </c>
      <c r="AF443" s="27" t="s">
        <v>7</v>
      </c>
      <c r="AK443" s="27" t="s">
        <v>8</v>
      </c>
      <c r="AN443" s="27" t="s">
        <v>7</v>
      </c>
      <c r="AO443" s="27" t="s">
        <v>8</v>
      </c>
      <c r="AP443" s="27" t="s">
        <v>7</v>
      </c>
    </row>
    <row r="444" spans="1:54" x14ac:dyDescent="0.25">
      <c r="A444" s="7">
        <v>16.975577667533202</v>
      </c>
      <c r="B444"/>
      <c r="C444"/>
      <c r="D444"/>
      <c r="E444" t="s">
        <v>8</v>
      </c>
      <c r="AD444" s="27" t="s">
        <v>7</v>
      </c>
      <c r="AE444" s="27" t="s">
        <v>8</v>
      </c>
      <c r="AF444" s="27" t="s">
        <v>7</v>
      </c>
      <c r="AG444" s="27" t="s">
        <v>8</v>
      </c>
      <c r="AK444" s="27" t="s">
        <v>8</v>
      </c>
      <c r="AN444" s="27" t="s">
        <v>7</v>
      </c>
      <c r="AO444" s="27" t="s">
        <v>8</v>
      </c>
      <c r="AP444" s="27" t="s">
        <v>7</v>
      </c>
      <c r="BA444" s="27" t="s">
        <v>8</v>
      </c>
    </row>
    <row r="445" spans="1:54" x14ac:dyDescent="0.25">
      <c r="A445" s="7">
        <v>16.642723203463923</v>
      </c>
      <c r="B445"/>
      <c r="C445"/>
      <c r="D445"/>
      <c r="E445" t="s">
        <v>8</v>
      </c>
      <c r="AD445" s="27" t="s">
        <v>7</v>
      </c>
      <c r="AE445" s="27" t="s">
        <v>8</v>
      </c>
      <c r="AF445" s="27" t="s">
        <v>7</v>
      </c>
      <c r="AG445" s="27" t="s">
        <v>8</v>
      </c>
      <c r="AH445" s="27" t="s">
        <v>7</v>
      </c>
      <c r="AK445" s="27" t="s">
        <v>8</v>
      </c>
      <c r="AN445" s="27" t="s">
        <v>7</v>
      </c>
      <c r="AP445" s="27" t="s">
        <v>7</v>
      </c>
      <c r="AS445" s="27" t="s">
        <v>8</v>
      </c>
      <c r="BA445" s="27" t="s">
        <v>8</v>
      </c>
      <c r="BB445" s="27" t="s">
        <v>7</v>
      </c>
    </row>
    <row r="446" spans="1:54" x14ac:dyDescent="0.25">
      <c r="A446" s="7">
        <v>16.316395297513651</v>
      </c>
      <c r="B446"/>
      <c r="C446"/>
      <c r="D446"/>
      <c r="E446" t="s">
        <v>8</v>
      </c>
      <c r="AD446" s="27" t="s">
        <v>7</v>
      </c>
      <c r="AE446" s="27" t="s">
        <v>8</v>
      </c>
      <c r="AF446" s="27" t="s">
        <v>7</v>
      </c>
      <c r="AG446" s="27" t="s">
        <v>8</v>
      </c>
      <c r="AH446" s="27" t="s">
        <v>7</v>
      </c>
      <c r="AK446" s="27" t="s">
        <v>8</v>
      </c>
      <c r="AP446" s="27" t="s">
        <v>7</v>
      </c>
      <c r="AS446" s="27" t="s">
        <v>8</v>
      </c>
      <c r="AT446" s="27" t="s">
        <v>7</v>
      </c>
      <c r="BA446" s="27" t="s">
        <v>8</v>
      </c>
      <c r="BB446" s="27" t="s">
        <v>7</v>
      </c>
    </row>
    <row r="447" spans="1:54" x14ac:dyDescent="0.25">
      <c r="A447" s="7">
        <v>15.996465977954561</v>
      </c>
      <c r="B447"/>
      <c r="C447"/>
      <c r="D447"/>
      <c r="E447" t="s">
        <v>8</v>
      </c>
      <c r="AD447" s="27" t="s">
        <v>7</v>
      </c>
      <c r="AE447" s="27" t="s">
        <v>8</v>
      </c>
      <c r="AF447" s="27" t="s">
        <v>7</v>
      </c>
      <c r="AH447" s="27" t="s">
        <v>7</v>
      </c>
      <c r="AI447" s="27" t="s">
        <v>8</v>
      </c>
      <c r="AK447" s="27" t="s">
        <v>8</v>
      </c>
      <c r="AP447" s="27" t="s">
        <v>7</v>
      </c>
      <c r="AS447" s="27" t="s">
        <v>8</v>
      </c>
      <c r="AT447" s="27" t="s">
        <v>7</v>
      </c>
      <c r="BA447" s="27" t="s">
        <v>8</v>
      </c>
      <c r="BB447" s="27" t="s">
        <v>7</v>
      </c>
    </row>
    <row r="448" spans="1:54" x14ac:dyDescent="0.25">
      <c r="A448" s="7">
        <v>15.682809782308393</v>
      </c>
      <c r="B448"/>
      <c r="C448"/>
      <c r="D448"/>
      <c r="E448" t="s">
        <v>8</v>
      </c>
      <c r="AD448" s="27" t="s">
        <v>7</v>
      </c>
      <c r="AE448" s="27" t="s">
        <v>8</v>
      </c>
      <c r="AH448" s="27" t="s">
        <v>7</v>
      </c>
      <c r="AI448" s="27" t="s">
        <v>8</v>
      </c>
      <c r="AJ448" s="27" t="s">
        <v>7</v>
      </c>
      <c r="AK448" s="27" t="s">
        <v>8</v>
      </c>
      <c r="AP448" s="27" t="s">
        <v>7</v>
      </c>
      <c r="AS448" s="27" t="s">
        <v>8</v>
      </c>
      <c r="AT448" s="27" t="s">
        <v>7</v>
      </c>
      <c r="BA448" s="27" t="s">
        <v>8</v>
      </c>
      <c r="BB448" s="27" t="s">
        <v>7</v>
      </c>
    </row>
    <row r="449" spans="1:58" x14ac:dyDescent="0.25">
      <c r="A449" s="7">
        <v>15.375303708145482</v>
      </c>
      <c r="B449"/>
      <c r="C449"/>
      <c r="D449"/>
      <c r="E449" t="s">
        <v>8</v>
      </c>
      <c r="AD449" s="27" t="s">
        <v>7</v>
      </c>
      <c r="AH449" s="27" t="s">
        <v>7</v>
      </c>
      <c r="AI449" s="27" t="s">
        <v>8</v>
      </c>
      <c r="AJ449" s="27" t="s">
        <v>7</v>
      </c>
      <c r="AK449" s="27" t="s">
        <v>8</v>
      </c>
      <c r="AP449" s="27" t="s">
        <v>7</v>
      </c>
      <c r="AS449" s="27" t="s">
        <v>8</v>
      </c>
      <c r="AT449" s="27" t="s">
        <v>7</v>
      </c>
      <c r="BA449" s="27" t="s">
        <v>8</v>
      </c>
      <c r="BB449" s="27" t="s">
        <v>7</v>
      </c>
    </row>
    <row r="450" spans="1:58" x14ac:dyDescent="0.25">
      <c r="A450" s="7">
        <v>15.073827164848511</v>
      </c>
      <c r="B450"/>
      <c r="C450"/>
      <c r="D450"/>
      <c r="E450" t="s">
        <v>8</v>
      </c>
      <c r="AH450" s="27" t="s">
        <v>7</v>
      </c>
      <c r="AJ450" s="27" t="s">
        <v>7</v>
      </c>
      <c r="AP450" s="27" t="s">
        <v>7</v>
      </c>
      <c r="AS450" s="27" t="s">
        <v>8</v>
      </c>
      <c r="AT450" s="27" t="s">
        <v>7</v>
      </c>
      <c r="BA450" s="27" t="s">
        <v>8</v>
      </c>
      <c r="BB450" s="27" t="s">
        <v>7</v>
      </c>
    </row>
    <row r="451" spans="1:58" x14ac:dyDescent="0.25">
      <c r="A451" s="7">
        <v>14.77826192632207</v>
      </c>
      <c r="B451"/>
      <c r="C451"/>
      <c r="D451"/>
      <c r="E451" t="s">
        <v>8</v>
      </c>
      <c r="AP451" s="27" t="s">
        <v>7</v>
      </c>
      <c r="AQ451" s="27" t="s">
        <v>8</v>
      </c>
      <c r="AS451" s="27" t="s">
        <v>8</v>
      </c>
      <c r="AT451" s="27" t="s">
        <v>7</v>
      </c>
      <c r="AU451" s="27" t="s">
        <v>8</v>
      </c>
      <c r="BA451" s="27" t="s">
        <v>8</v>
      </c>
      <c r="BB451" s="27" t="s">
        <v>7</v>
      </c>
    </row>
    <row r="452" spans="1:58" x14ac:dyDescent="0.25">
      <c r="A452" s="7">
        <v>14.488492084629481</v>
      </c>
      <c r="B452"/>
      <c r="C452"/>
      <c r="D452"/>
      <c r="E452" t="s">
        <v>8</v>
      </c>
      <c r="AP452" s="27" t="s">
        <v>7</v>
      </c>
      <c r="AQ452" s="27" t="s">
        <v>8</v>
      </c>
      <c r="AR452" s="27" t="s">
        <v>7</v>
      </c>
      <c r="AS452" s="27" t="s">
        <v>8</v>
      </c>
      <c r="AT452" s="27" t="s">
        <v>7</v>
      </c>
      <c r="AU452" s="27" t="s">
        <v>8</v>
      </c>
      <c r="AV452" s="27" t="s">
        <v>7</v>
      </c>
      <c r="AW452" s="27" t="s">
        <v>8</v>
      </c>
      <c r="BA452" s="27" t="s">
        <v>8</v>
      </c>
      <c r="BB452" s="27" t="s">
        <v>7</v>
      </c>
    </row>
    <row r="453" spans="1:58" x14ac:dyDescent="0.25">
      <c r="A453" s="7">
        <v>14.204404004538707</v>
      </c>
      <c r="B453"/>
      <c r="C453"/>
      <c r="D453"/>
      <c r="E453" t="s">
        <v>8</v>
      </c>
      <c r="AP453" s="27" t="s">
        <v>7</v>
      </c>
      <c r="AQ453" s="27" t="s">
        <v>8</v>
      </c>
      <c r="AR453" s="27" t="s">
        <v>7</v>
      </c>
      <c r="AS453" s="27" t="s">
        <v>8</v>
      </c>
      <c r="AT453" s="27" t="s">
        <v>7</v>
      </c>
      <c r="AU453" s="27" t="s">
        <v>8</v>
      </c>
      <c r="AV453" s="27" t="s">
        <v>7</v>
      </c>
      <c r="AW453" s="27" t="s">
        <v>8</v>
      </c>
      <c r="AX453" s="27" t="s">
        <v>7</v>
      </c>
      <c r="BA453" s="27" t="s">
        <v>8</v>
      </c>
      <c r="BB453" s="27" t="s">
        <v>7</v>
      </c>
    </row>
    <row r="454" spans="1:58" x14ac:dyDescent="0.25">
      <c r="A454" s="7">
        <v>13.925886278959517</v>
      </c>
      <c r="B454"/>
      <c r="C454"/>
      <c r="D454"/>
      <c r="E454" t="s">
        <v>8</v>
      </c>
      <c r="AP454" s="27" t="s">
        <v>7</v>
      </c>
      <c r="AQ454" s="27" t="s">
        <v>8</v>
      </c>
      <c r="AR454" s="27" t="s">
        <v>7</v>
      </c>
      <c r="AS454" s="27" t="s">
        <v>8</v>
      </c>
      <c r="AT454" s="27" t="s">
        <v>7</v>
      </c>
      <c r="AU454" s="27" t="s">
        <v>8</v>
      </c>
      <c r="AV454" s="27" t="s">
        <v>7</v>
      </c>
      <c r="AW454" s="27" t="s">
        <v>8</v>
      </c>
      <c r="AX454" s="27" t="s">
        <v>7</v>
      </c>
      <c r="BA454" s="27" t="s">
        <v>8</v>
      </c>
      <c r="BB454" s="27" t="s">
        <v>7</v>
      </c>
      <c r="BC454" s="27" t="s">
        <v>8</v>
      </c>
    </row>
    <row r="455" spans="1:58" x14ac:dyDescent="0.25">
      <c r="A455" s="7">
        <v>13.652829685254428</v>
      </c>
      <c r="B455"/>
      <c r="C455"/>
      <c r="D455"/>
      <c r="E455" t="s">
        <v>8</v>
      </c>
      <c r="AP455" s="27" t="s">
        <v>7</v>
      </c>
      <c r="AQ455" s="27" t="s">
        <v>8</v>
      </c>
      <c r="AR455" s="27" t="s">
        <v>7</v>
      </c>
      <c r="AS455" s="27" t="s">
        <v>8</v>
      </c>
      <c r="AT455" s="27" t="s">
        <v>7</v>
      </c>
      <c r="AU455" s="27" t="s">
        <v>8</v>
      </c>
      <c r="AV455" s="27" t="s">
        <v>7</v>
      </c>
      <c r="AW455" s="27" t="s">
        <v>8</v>
      </c>
      <c r="AX455" s="27" t="s">
        <v>7</v>
      </c>
      <c r="BA455" s="27" t="s">
        <v>8</v>
      </c>
      <c r="BB455" s="27" t="s">
        <v>7</v>
      </c>
      <c r="BC455" s="27" t="s">
        <v>8</v>
      </c>
      <c r="BD455" s="27" t="s">
        <v>7</v>
      </c>
    </row>
    <row r="456" spans="1:58" x14ac:dyDescent="0.25">
      <c r="A456" s="7">
        <v>13.385127142406303</v>
      </c>
      <c r="B456"/>
      <c r="C456"/>
      <c r="D456"/>
      <c r="E456" t="s">
        <v>8</v>
      </c>
      <c r="AP456" s="27" t="s">
        <v>7</v>
      </c>
      <c r="AQ456" s="27" t="s">
        <v>8</v>
      </c>
      <c r="AR456" s="27" t="s">
        <v>7</v>
      </c>
      <c r="AS456" s="27" t="s">
        <v>8</v>
      </c>
      <c r="AT456" s="27" t="s">
        <v>7</v>
      </c>
      <c r="AV456" s="27" t="s">
        <v>7</v>
      </c>
      <c r="AW456" s="27" t="s">
        <v>8</v>
      </c>
      <c r="AX456" s="27" t="s">
        <v>7</v>
      </c>
      <c r="BA456" s="27" t="s">
        <v>8</v>
      </c>
      <c r="BB456" s="27" t="s">
        <v>7</v>
      </c>
      <c r="BC456" s="27" t="s">
        <v>8</v>
      </c>
      <c r="BD456" s="27" t="s">
        <v>7</v>
      </c>
    </row>
    <row r="457" spans="1:58" x14ac:dyDescent="0.25">
      <c r="A457" s="7">
        <v>13.122673669025787</v>
      </c>
      <c r="B457"/>
      <c r="C457"/>
      <c r="D457"/>
      <c r="E457" t="s">
        <v>8</v>
      </c>
      <c r="AP457" s="27" t="s">
        <v>7</v>
      </c>
      <c r="AQ457" s="27" t="s">
        <v>8</v>
      </c>
      <c r="AR457" s="27" t="s">
        <v>7</v>
      </c>
      <c r="AS457" s="27" t="s">
        <v>8</v>
      </c>
      <c r="AV457" s="27" t="s">
        <v>7</v>
      </c>
      <c r="AW457" s="27" t="s">
        <v>8</v>
      </c>
      <c r="AX457" s="27" t="s">
        <v>7</v>
      </c>
      <c r="BA457" s="27" t="s">
        <v>8</v>
      </c>
      <c r="BB457" s="27" t="s">
        <v>7</v>
      </c>
      <c r="BC457" s="27" t="s">
        <v>8</v>
      </c>
      <c r="BD457" s="27" t="s">
        <v>7</v>
      </c>
      <c r="BE457" s="27" t="s">
        <v>8</v>
      </c>
    </row>
    <row r="458" spans="1:58" x14ac:dyDescent="0.25">
      <c r="A458" s="7">
        <v>12.865366342182144</v>
      </c>
      <c r="B458"/>
      <c r="C458"/>
      <c r="D458"/>
      <c r="E458" t="s">
        <v>8</v>
      </c>
      <c r="AP458" s="27" t="s">
        <v>7</v>
      </c>
      <c r="AQ458" s="27" t="s">
        <v>8</v>
      </c>
      <c r="AR458" s="27" t="s">
        <v>7</v>
      </c>
      <c r="AS458" s="27" t="s">
        <v>8</v>
      </c>
      <c r="AV458" s="27" t="s">
        <v>7</v>
      </c>
      <c r="AW458" s="27" t="s">
        <v>8</v>
      </c>
      <c r="AX458" s="27" t="s">
        <v>7</v>
      </c>
      <c r="AY458" s="27" t="s">
        <v>8</v>
      </c>
      <c r="BA458" s="27" t="s">
        <v>8</v>
      </c>
      <c r="BB458" s="27" t="s">
        <v>7</v>
      </c>
      <c r="BD458" s="27" t="s">
        <v>7</v>
      </c>
      <c r="BE458" s="27" t="s">
        <v>8</v>
      </c>
      <c r="BF458" s="27" t="s">
        <v>7</v>
      </c>
    </row>
    <row r="459" spans="1:58" x14ac:dyDescent="0.25">
      <c r="A459" s="7">
        <v>12.613104257041318</v>
      </c>
      <c r="B459"/>
      <c r="C459"/>
      <c r="D459"/>
      <c r="E459" t="s">
        <v>8</v>
      </c>
      <c r="AP459" s="27" t="s">
        <v>7</v>
      </c>
      <c r="AQ459" s="27" t="s">
        <v>8</v>
      </c>
      <c r="AR459" s="27" t="s">
        <v>7</v>
      </c>
      <c r="AS459" s="27" t="s">
        <v>8</v>
      </c>
      <c r="AV459" s="27" t="s">
        <v>7</v>
      </c>
      <c r="AX459" s="27" t="s">
        <v>7</v>
      </c>
      <c r="AY459" s="27" t="s">
        <v>8</v>
      </c>
      <c r="AZ459" s="27" t="s">
        <v>7</v>
      </c>
      <c r="BA459" s="27" t="s">
        <v>8</v>
      </c>
      <c r="BD459" s="27" t="s">
        <v>7</v>
      </c>
      <c r="BE459" s="27" t="s">
        <v>8</v>
      </c>
      <c r="BF459" s="27" t="s">
        <v>7</v>
      </c>
    </row>
    <row r="460" spans="1:58" x14ac:dyDescent="0.25">
      <c r="A460" s="7">
        <v>12.36578848729541</v>
      </c>
      <c r="B460"/>
      <c r="C460"/>
      <c r="D460"/>
      <c r="E460" t="s">
        <v>8</v>
      </c>
      <c r="AP460" s="27" t="s">
        <v>7</v>
      </c>
      <c r="AQ460" s="27" t="s">
        <v>8</v>
      </c>
      <c r="AR460" s="27" t="s">
        <v>7</v>
      </c>
      <c r="AS460" s="27" t="s">
        <v>8</v>
      </c>
      <c r="AX460" s="27" t="s">
        <v>7</v>
      </c>
      <c r="AY460" s="27" t="s">
        <v>8</v>
      </c>
      <c r="AZ460" s="27" t="s">
        <v>7</v>
      </c>
      <c r="BA460" s="27" t="s">
        <v>8</v>
      </c>
      <c r="BD460" s="27" t="s">
        <v>7</v>
      </c>
      <c r="BE460" s="27" t="s">
        <v>8</v>
      </c>
      <c r="BF460" s="27" t="s">
        <v>7</v>
      </c>
    </row>
    <row r="461" spans="1:58" x14ac:dyDescent="0.25">
      <c r="A461" s="7">
        <v>12.123322046368049</v>
      </c>
      <c r="B461"/>
      <c r="C461"/>
      <c r="D461"/>
      <c r="E461" t="s">
        <v>8</v>
      </c>
      <c r="AP461" s="27" t="s">
        <v>7</v>
      </c>
      <c r="AR461" s="27" t="s">
        <v>7</v>
      </c>
      <c r="AS461" s="27" t="s">
        <v>8</v>
      </c>
      <c r="AX461" s="27" t="s">
        <v>7</v>
      </c>
      <c r="AZ461" s="27" t="s">
        <v>7</v>
      </c>
      <c r="BA461" s="27" t="s">
        <v>8</v>
      </c>
      <c r="BD461" s="27" t="s">
        <v>7</v>
      </c>
      <c r="BE461" s="27" t="s">
        <v>8</v>
      </c>
      <c r="BF461" s="27" t="s">
        <v>7</v>
      </c>
    </row>
    <row r="462" spans="1:58" x14ac:dyDescent="0.25">
      <c r="A462" s="7">
        <v>11.88560984938044</v>
      </c>
      <c r="B462"/>
      <c r="C462"/>
      <c r="D462"/>
      <c r="E462" t="s">
        <v>8</v>
      </c>
      <c r="AR462" s="27" t="s">
        <v>7</v>
      </c>
      <c r="AS462" s="27" t="s">
        <v>8</v>
      </c>
      <c r="AZ462" s="27" t="s">
        <v>7</v>
      </c>
      <c r="BA462" s="27" t="s">
        <v>8</v>
      </c>
      <c r="BD462" s="27" t="s">
        <v>7</v>
      </c>
      <c r="BE462" s="27" t="s">
        <v>8</v>
      </c>
      <c r="BF462" s="27" t="s">
        <v>7</v>
      </c>
    </row>
    <row r="463" spans="1:58" x14ac:dyDescent="0.25">
      <c r="A463" s="7">
        <v>11.652558675863176</v>
      </c>
      <c r="B463"/>
      <c r="C463"/>
      <c r="D463"/>
      <c r="E463" t="s">
        <v>8</v>
      </c>
      <c r="AR463" s="27" t="s">
        <v>7</v>
      </c>
      <c r="AZ463" s="27" t="s">
        <v>7</v>
      </c>
      <c r="BD463" s="27" t="s">
        <v>7</v>
      </c>
      <c r="BE463" s="27" t="s">
        <v>8</v>
      </c>
      <c r="BF463" s="27" t="s">
        <v>7</v>
      </c>
    </row>
    <row r="464" spans="1:58" x14ac:dyDescent="0.25">
      <c r="A464" s="7">
        <v>11.424077133199193</v>
      </c>
      <c r="B464"/>
      <c r="C464"/>
      <c r="D464"/>
      <c r="E464" t="s">
        <v>8</v>
      </c>
      <c r="BD464" s="27" t="s">
        <v>7</v>
      </c>
      <c r="BE464" s="27" t="s">
        <v>8</v>
      </c>
      <c r="BF464" s="27" t="s">
        <v>7</v>
      </c>
    </row>
    <row r="465" spans="1:72" x14ac:dyDescent="0.25">
      <c r="A465" s="7">
        <v>11.200075620783522</v>
      </c>
      <c r="B465"/>
      <c r="C465"/>
      <c r="D465"/>
      <c r="E465" t="s">
        <v>8</v>
      </c>
      <c r="BD465" s="27" t="s">
        <v>7</v>
      </c>
      <c r="BF465" s="27" t="s">
        <v>7</v>
      </c>
    </row>
    <row r="466" spans="1:72" x14ac:dyDescent="0.25">
      <c r="A466" s="7">
        <v>10.980466294885806</v>
      </c>
      <c r="B466"/>
      <c r="C466"/>
      <c r="D466"/>
      <c r="E466" t="s">
        <v>8</v>
      </c>
      <c r="BF466" s="27" t="s">
        <v>7</v>
      </c>
    </row>
    <row r="467" spans="1:72" x14ac:dyDescent="0.25">
      <c r="A467" s="7">
        <v>10.765163034201771</v>
      </c>
      <c r="B467"/>
      <c r="C467"/>
      <c r="D467"/>
      <c r="E467" t="s">
        <v>8</v>
      </c>
      <c r="BF467" s="27" t="s">
        <v>7</v>
      </c>
    </row>
    <row r="468" spans="1:72" x14ac:dyDescent="0.25">
      <c r="A468" s="7">
        <v>10.554081406080169</v>
      </c>
      <c r="B468"/>
      <c r="C468"/>
      <c r="D468"/>
      <c r="E468" t="s">
        <v>8</v>
      </c>
      <c r="BF468" s="27" t="s">
        <v>7</v>
      </c>
      <c r="BI468" s="27" t="s">
        <v>8</v>
      </c>
    </row>
    <row r="469" spans="1:72" x14ac:dyDescent="0.25">
      <c r="A469" s="7">
        <v>10.34713863341193</v>
      </c>
      <c r="B469"/>
      <c r="C469"/>
      <c r="D469"/>
      <c r="E469" t="s">
        <v>8</v>
      </c>
      <c r="BF469" s="27" t="s">
        <v>7</v>
      </c>
      <c r="BI469" s="27" t="s">
        <v>8</v>
      </c>
      <c r="BJ469" s="27" t="s">
        <v>7</v>
      </c>
    </row>
    <row r="470" spans="1:72" x14ac:dyDescent="0.25">
      <c r="A470" s="7">
        <v>10.14425356216856</v>
      </c>
      <c r="B470"/>
      <c r="C470"/>
      <c r="D470"/>
      <c r="E470" t="s">
        <v>8</v>
      </c>
      <c r="BF470" s="27" t="s">
        <v>7</v>
      </c>
      <c r="BG470" s="27" t="s">
        <v>8</v>
      </c>
      <c r="BI470" s="27" t="s">
        <v>8</v>
      </c>
      <c r="BJ470" s="27" t="s">
        <v>7</v>
      </c>
    </row>
    <row r="471" spans="1:72" x14ac:dyDescent="0.25">
      <c r="A471" s="7">
        <v>9.9453466295770188</v>
      </c>
      <c r="B471"/>
      <c r="C471"/>
      <c r="D471"/>
      <c r="E471" t="s">
        <v>8</v>
      </c>
      <c r="BF471" s="27" t="s">
        <v>7</v>
      </c>
      <c r="BG471" s="27" t="s">
        <v>8</v>
      </c>
      <c r="BH471" s="27" t="s">
        <v>7</v>
      </c>
      <c r="BI471" s="27" t="s">
        <v>8</v>
      </c>
      <c r="BJ471" s="27" t="s">
        <v>7</v>
      </c>
    </row>
    <row r="472" spans="1:72" x14ac:dyDescent="0.25">
      <c r="A472" s="7">
        <v>9.7503398329186464</v>
      </c>
      <c r="B472"/>
      <c r="C472"/>
      <c r="D472"/>
      <c r="E472" t="s">
        <v>8</v>
      </c>
      <c r="BF472" s="27" t="s">
        <v>7</v>
      </c>
      <c r="BG472" s="27" t="s">
        <v>8</v>
      </c>
      <c r="BH472" s="27" t="s">
        <v>7</v>
      </c>
      <c r="BI472" s="27" t="s">
        <v>8</v>
      </c>
      <c r="BJ472" s="27" t="s">
        <v>7</v>
      </c>
    </row>
    <row r="473" spans="1:72" x14ac:dyDescent="0.25">
      <c r="A473" s="7">
        <v>9.5591566989398498</v>
      </c>
      <c r="B473"/>
      <c r="C473"/>
      <c r="D473"/>
      <c r="E473" t="s">
        <v>8</v>
      </c>
      <c r="BF473" s="27" t="s">
        <v>7</v>
      </c>
      <c r="BG473" s="27" t="s">
        <v>8</v>
      </c>
      <c r="BH473" s="27" t="s">
        <v>7</v>
      </c>
      <c r="BI473" s="27" t="s">
        <v>8</v>
      </c>
      <c r="BJ473" s="27" t="s">
        <v>7</v>
      </c>
      <c r="BO473" s="27" t="s">
        <v>8</v>
      </c>
      <c r="BQ473" s="27" t="s">
        <v>8</v>
      </c>
    </row>
    <row r="474" spans="1:72" x14ac:dyDescent="0.25">
      <c r="A474" s="7">
        <v>9.3717222538625968</v>
      </c>
      <c r="B474"/>
      <c r="C474"/>
      <c r="D474"/>
      <c r="E474" t="s">
        <v>8</v>
      </c>
      <c r="BF474" s="27" t="s">
        <v>7</v>
      </c>
      <c r="BG474" s="27" t="s">
        <v>8</v>
      </c>
      <c r="BH474" s="27" t="s">
        <v>7</v>
      </c>
      <c r="BI474" s="27" t="s">
        <v>8</v>
      </c>
      <c r="BJ474" s="27" t="s">
        <v>7</v>
      </c>
      <c r="BK474" s="27" t="s">
        <v>8</v>
      </c>
      <c r="BO474" s="27" t="s">
        <v>8</v>
      </c>
      <c r="BP474" s="27" t="s">
        <v>7</v>
      </c>
      <c r="BQ474" s="27" t="s">
        <v>8</v>
      </c>
      <c r="BR474" s="27" t="s">
        <v>7</v>
      </c>
      <c r="BS474" s="27" t="s">
        <v>8</v>
      </c>
    </row>
    <row r="475" spans="1:72" x14ac:dyDescent="0.25">
      <c r="A475" s="7">
        <v>9.1879629939829375</v>
      </c>
      <c r="B475"/>
      <c r="C475"/>
      <c r="D475"/>
      <c r="E475" t="s">
        <v>8</v>
      </c>
      <c r="BF475" s="27" t="s">
        <v>7</v>
      </c>
      <c r="BG475" s="27" t="s">
        <v>8</v>
      </c>
      <c r="BH475" s="27" t="s">
        <v>7</v>
      </c>
      <c r="BI475" s="27" t="s">
        <v>8</v>
      </c>
      <c r="BJ475" s="27" t="s">
        <v>7</v>
      </c>
      <c r="BK475" s="27" t="s">
        <v>8</v>
      </c>
      <c r="BL475" s="27" t="s">
        <v>7</v>
      </c>
      <c r="BO475" s="27" t="s">
        <v>8</v>
      </c>
      <c r="BP475" s="27" t="s">
        <v>7</v>
      </c>
      <c r="BQ475" s="27" t="s">
        <v>8</v>
      </c>
      <c r="BR475" s="27" t="s">
        <v>7</v>
      </c>
      <c r="BS475" s="27" t="s">
        <v>8</v>
      </c>
      <c r="BT475" s="27" t="s">
        <v>7</v>
      </c>
    </row>
    <row r="476" spans="1:72" x14ac:dyDescent="0.25">
      <c r="A476" s="7">
        <v>9.0078068568460168</v>
      </c>
      <c r="B476"/>
      <c r="C476"/>
      <c r="D476"/>
      <c r="E476" t="s">
        <v>8</v>
      </c>
      <c r="BF476" s="27" t="s">
        <v>7</v>
      </c>
      <c r="BG476" s="27" t="s">
        <v>8</v>
      </c>
      <c r="BH476" s="27" t="s">
        <v>7</v>
      </c>
      <c r="BI476" s="27" t="s">
        <v>8</v>
      </c>
      <c r="BJ476" s="27" t="s">
        <v>7</v>
      </c>
      <c r="BK476" s="27" t="s">
        <v>8</v>
      </c>
      <c r="BL476" s="27" t="s">
        <v>7</v>
      </c>
      <c r="BO476" s="27" t="s">
        <v>8</v>
      </c>
      <c r="BP476" s="27" t="s">
        <v>7</v>
      </c>
      <c r="BR476" s="27" t="s">
        <v>7</v>
      </c>
      <c r="BS476" s="27" t="s">
        <v>8</v>
      </c>
      <c r="BT476" s="27" t="s">
        <v>7</v>
      </c>
    </row>
    <row r="477" spans="1:72" x14ac:dyDescent="0.25">
      <c r="A477" s="7">
        <v>8.8311831929862912</v>
      </c>
      <c r="B477"/>
      <c r="C477"/>
      <c r="D477"/>
      <c r="E477" t="s">
        <v>8</v>
      </c>
      <c r="BF477" s="27" t="s">
        <v>7</v>
      </c>
      <c r="BH477" s="27" t="s">
        <v>7</v>
      </c>
      <c r="BI477" s="27" t="s">
        <v>8</v>
      </c>
      <c r="BJ477" s="27" t="s">
        <v>7</v>
      </c>
      <c r="BL477" s="27" t="s">
        <v>7</v>
      </c>
      <c r="BM477" s="27" t="s">
        <v>8</v>
      </c>
      <c r="BO477" s="27" t="s">
        <v>8</v>
      </c>
      <c r="BR477" s="27" t="s">
        <v>7</v>
      </c>
      <c r="BS477" s="27" t="s">
        <v>8</v>
      </c>
      <c r="BT477" s="27" t="s">
        <v>7</v>
      </c>
    </row>
    <row r="478" spans="1:72" x14ac:dyDescent="0.25">
      <c r="A478" s="7">
        <v>8.6580227382218542</v>
      </c>
      <c r="B478"/>
      <c r="C478"/>
      <c r="D478"/>
      <c r="E478" t="s">
        <v>8</v>
      </c>
      <c r="BH478" s="27" t="s">
        <v>7</v>
      </c>
      <c r="BL478" s="27" t="s">
        <v>7</v>
      </c>
      <c r="BM478" s="27" t="s">
        <v>8</v>
      </c>
      <c r="BN478" s="27" t="s">
        <v>7</v>
      </c>
      <c r="BO478" s="27" t="s">
        <v>8</v>
      </c>
      <c r="BR478" s="27" t="s">
        <v>7</v>
      </c>
      <c r="BS478" s="27" t="s">
        <v>8</v>
      </c>
      <c r="BT478" s="27" t="s">
        <v>7</v>
      </c>
    </row>
    <row r="479" spans="1:72" x14ac:dyDescent="0.25">
      <c r="A479" s="7">
        <v>8.4882575864920131</v>
      </c>
      <c r="B479"/>
      <c r="C479"/>
      <c r="D479"/>
      <c r="E479" t="s">
        <v>8</v>
      </c>
      <c r="BL479" s="27" t="s">
        <v>7</v>
      </c>
      <c r="BM479" s="27" t="s">
        <v>8</v>
      </c>
      <c r="BN479" s="27" t="s">
        <v>7</v>
      </c>
      <c r="BO479" s="27" t="s">
        <v>8</v>
      </c>
      <c r="BR479" s="27" t="s">
        <v>7</v>
      </c>
      <c r="BT479" s="27" t="s">
        <v>7</v>
      </c>
    </row>
    <row r="480" spans="1:72" x14ac:dyDescent="0.25">
      <c r="A480" s="7">
        <v>8.3218211632274635</v>
      </c>
      <c r="B480"/>
      <c r="C480"/>
      <c r="D480"/>
      <c r="E480" t="s">
        <v>8</v>
      </c>
      <c r="BL480" s="27" t="s">
        <v>7</v>
      </c>
      <c r="BN480" s="27" t="s">
        <v>7</v>
      </c>
      <c r="BO480" s="27" t="s">
        <v>8</v>
      </c>
      <c r="BT480" s="27" t="s">
        <v>7</v>
      </c>
    </row>
    <row r="481" spans="1:76" x14ac:dyDescent="0.25">
      <c r="A481" s="7">
        <v>8.1586481992426112</v>
      </c>
      <c r="B481"/>
      <c r="C481"/>
      <c r="D481"/>
      <c r="E481" t="s">
        <v>8</v>
      </c>
      <c r="BN481" s="27" t="s">
        <v>7</v>
      </c>
      <c r="BT481" s="27" t="s">
        <v>7</v>
      </c>
    </row>
    <row r="482" spans="1:76" x14ac:dyDescent="0.25">
      <c r="A482" s="7">
        <v>7.9986747051398144</v>
      </c>
      <c r="B482"/>
      <c r="C482"/>
      <c r="D482"/>
      <c r="E482" t="s">
        <v>8</v>
      </c>
      <c r="BT482" s="27" t="s">
        <v>7</v>
      </c>
      <c r="BU482" s="27" t="s">
        <v>8</v>
      </c>
    </row>
    <row r="483" spans="1:76" x14ac:dyDescent="0.25">
      <c r="A483" s="7">
        <v>7.8418379462155041</v>
      </c>
      <c r="B483"/>
      <c r="C483"/>
      <c r="D483"/>
      <c r="E483" t="s">
        <v>8</v>
      </c>
      <c r="BT483" s="27" t="s">
        <v>7</v>
      </c>
      <c r="BU483" s="27" t="s">
        <v>8</v>
      </c>
      <c r="BV483" s="27" t="s">
        <v>7</v>
      </c>
    </row>
    <row r="484" spans="1:76" x14ac:dyDescent="0.25">
      <c r="A484" s="7">
        <v>7.688076417858337</v>
      </c>
      <c r="B484"/>
      <c r="C484"/>
      <c r="D484"/>
      <c r="E484" t="s">
        <v>8</v>
      </c>
      <c r="BT484" s="27" t="s">
        <v>7</v>
      </c>
      <c r="BU484" s="27" t="s">
        <v>8</v>
      </c>
      <c r="BV484" s="27" t="s">
        <v>7</v>
      </c>
    </row>
    <row r="485" spans="1:76" x14ac:dyDescent="0.25">
      <c r="A485" s="7">
        <v>7.5373298214297417</v>
      </c>
      <c r="B485"/>
      <c r="C485"/>
      <c r="D485"/>
      <c r="E485" t="s">
        <v>8</v>
      </c>
      <c r="BT485" s="27" t="s">
        <v>7</v>
      </c>
      <c r="BU485" s="27" t="s">
        <v>8</v>
      </c>
      <c r="BV485" s="27" t="s">
        <v>7</v>
      </c>
      <c r="BW485" s="27" t="s">
        <v>8</v>
      </c>
    </row>
    <row r="486" spans="1:76" x14ac:dyDescent="0.25">
      <c r="A486" s="7">
        <v>7.389539040617394</v>
      </c>
      <c r="B486"/>
      <c r="C486"/>
      <c r="D486"/>
      <c r="E486" t="s">
        <v>8</v>
      </c>
      <c r="BT486" s="27" t="s">
        <v>7</v>
      </c>
      <c r="BU486" s="27" t="s">
        <v>8</v>
      </c>
      <c r="BV486" s="27" t="s">
        <v>7</v>
      </c>
      <c r="BW486" s="27" t="s">
        <v>8</v>
      </c>
      <c r="BX486" s="27" t="s">
        <v>7</v>
      </c>
    </row>
    <row r="487" spans="1:76" x14ac:dyDescent="0.25">
      <c r="A487" s="7">
        <v>7.2446461182523469</v>
      </c>
      <c r="B487"/>
      <c r="C487"/>
      <c r="D487"/>
      <c r="E487" t="s">
        <v>8</v>
      </c>
      <c r="BT487" s="27" t="s">
        <v>7</v>
      </c>
      <c r="BV487" s="27" t="s">
        <v>7</v>
      </c>
      <c r="BW487" s="27" t="s">
        <v>8</v>
      </c>
      <c r="BX487" s="27" t="s">
        <v>7</v>
      </c>
    </row>
    <row r="488" spans="1:76" x14ac:dyDescent="0.25">
      <c r="A488" s="7">
        <v>7.1025942335807324</v>
      </c>
      <c r="B488"/>
      <c r="C488"/>
      <c r="D488"/>
      <c r="E488" t="s">
        <v>8</v>
      </c>
      <c r="BV488" s="27" t="s">
        <v>7</v>
      </c>
      <c r="BW488" s="27" t="s">
        <v>8</v>
      </c>
      <c r="BX488" s="27" t="s">
        <v>7</v>
      </c>
    </row>
    <row r="489" spans="1:76" x14ac:dyDescent="0.25">
      <c r="A489" s="7">
        <v>6.9633276799811101</v>
      </c>
      <c r="B489"/>
      <c r="C489"/>
      <c r="D489"/>
      <c r="E489" t="s">
        <v>8</v>
      </c>
      <c r="BV489" s="27" t="s">
        <v>7</v>
      </c>
      <c r="BW489" s="27" t="s">
        <v>8</v>
      </c>
      <c r="BX489" s="27" t="s">
        <v>7</v>
      </c>
    </row>
    <row r="490" spans="1:76" x14ac:dyDescent="0.25">
      <c r="A490" s="7">
        <v>6.8267918431187349</v>
      </c>
      <c r="B490"/>
      <c r="C490"/>
      <c r="D490"/>
      <c r="E490" t="s">
        <v>8</v>
      </c>
      <c r="BV490" s="27" t="s">
        <v>7</v>
      </c>
      <c r="BW490" s="27" t="s">
        <v>8</v>
      </c>
      <c r="BX490" s="27" t="s">
        <v>7</v>
      </c>
    </row>
    <row r="491" spans="1:76" x14ac:dyDescent="0.25">
      <c r="A491" s="7">
        <v>6.692933179528171</v>
      </c>
      <c r="B491"/>
      <c r="C491"/>
      <c r="D491"/>
      <c r="E491" t="s">
        <v>8</v>
      </c>
      <c r="BV491" s="27" t="s">
        <v>7</v>
      </c>
      <c r="BX491" s="27" t="s">
        <v>7</v>
      </c>
    </row>
    <row r="492" spans="1:76" x14ac:dyDescent="0.25">
      <c r="A492" s="7">
        <v>6.5616991956158541</v>
      </c>
      <c r="B492"/>
      <c r="C492"/>
      <c r="D492"/>
      <c r="E492" t="s">
        <v>8</v>
      </c>
      <c r="BX492" s="27" t="s">
        <v>7</v>
      </c>
    </row>
    <row r="493" spans="1:76" x14ac:dyDescent="0.25">
      <c r="A493" s="7">
        <v>6.4330384270743668</v>
      </c>
      <c r="B493"/>
      <c r="C493"/>
      <c r="D493"/>
      <c r="E493" t="s">
        <v>8</v>
      </c>
      <c r="BX493" s="27" t="s">
        <v>7</v>
      </c>
    </row>
    <row r="494" spans="1:76" x14ac:dyDescent="0.25">
      <c r="A494" s="7">
        <v>6.3069004187003594</v>
      </c>
      <c r="B494"/>
      <c r="C494"/>
      <c r="D494"/>
      <c r="E494" t="s">
        <v>8</v>
      </c>
      <c r="BX494" s="27" t="s">
        <v>7</v>
      </c>
    </row>
    <row r="495" spans="1:76" x14ac:dyDescent="0.25">
      <c r="A495" s="7">
        <v>6.1832357046081956</v>
      </c>
      <c r="B495"/>
      <c r="C495"/>
      <c r="D495"/>
      <c r="E495" t="s">
        <v>8</v>
      </c>
      <c r="BX495" s="27" t="s">
        <v>7</v>
      </c>
    </row>
    <row r="496" spans="1:76" x14ac:dyDescent="0.25">
      <c r="A496" s="7">
        <v>6.0619957888315641</v>
      </c>
      <c r="B496"/>
      <c r="C496"/>
      <c r="D496"/>
      <c r="E496" t="s">
        <v>8</v>
      </c>
      <c r="BX496" s="27" t="s">
        <v>7</v>
      </c>
    </row>
    <row r="497" spans="1:80" x14ac:dyDescent="0.25">
      <c r="A497" s="7">
        <v>5.9431331263054545</v>
      </c>
      <c r="B497"/>
      <c r="C497"/>
      <c r="D497"/>
      <c r="E497" t="s">
        <v>8</v>
      </c>
      <c r="BX497" s="27" t="s">
        <v>7</v>
      </c>
    </row>
    <row r="498" spans="1:80" x14ac:dyDescent="0.25">
      <c r="A498" s="7">
        <v>5.8266011042210337</v>
      </c>
      <c r="B498"/>
      <c r="C498"/>
      <c r="D498"/>
      <c r="E498" t="s">
        <v>8</v>
      </c>
      <c r="BX498" s="27" t="s">
        <v>7</v>
      </c>
    </row>
    <row r="499" spans="1:80" x14ac:dyDescent="0.25">
      <c r="A499" s="7">
        <v>5.7123540237461112</v>
      </c>
      <c r="B499"/>
      <c r="C499"/>
      <c r="D499"/>
      <c r="E499" t="s">
        <v>8</v>
      </c>
      <c r="BX499" s="27" t="s">
        <v>7</v>
      </c>
    </row>
    <row r="500" spans="1:80" x14ac:dyDescent="0.25">
      <c r="A500" s="7">
        <v>5.6003470821040304</v>
      </c>
      <c r="B500"/>
      <c r="C500"/>
      <c r="D500"/>
      <c r="E500" t="s">
        <v>8</v>
      </c>
      <c r="BX500" s="27" t="s">
        <v>7</v>
      </c>
    </row>
    <row r="501" spans="1:80" x14ac:dyDescent="0.25">
      <c r="A501" s="7">
        <v>5.4905363550039512</v>
      </c>
      <c r="B501"/>
      <c r="C501"/>
      <c r="D501"/>
      <c r="E501" t="s">
        <v>8</v>
      </c>
      <c r="BX501" s="27" t="s">
        <v>7</v>
      </c>
    </row>
    <row r="502" spans="1:80" x14ac:dyDescent="0.25">
      <c r="A502" s="7">
        <v>5.3828787794156385</v>
      </c>
      <c r="B502"/>
      <c r="C502"/>
      <c r="D502"/>
      <c r="E502" t="s">
        <v>8</v>
      </c>
      <c r="BX502" s="27" t="s">
        <v>7</v>
      </c>
      <c r="CA502" s="27" t="s">
        <v>8</v>
      </c>
    </row>
    <row r="503" spans="1:80" x14ac:dyDescent="0.25">
      <c r="A503" s="7">
        <v>5.2773321366819985</v>
      </c>
      <c r="B503"/>
      <c r="C503"/>
      <c r="D503"/>
      <c r="E503" t="s">
        <v>8</v>
      </c>
      <c r="BX503" s="27" t="s">
        <v>7</v>
      </c>
      <c r="BY503" s="27" t="s">
        <v>8</v>
      </c>
      <c r="CA503" s="27" t="s">
        <v>8</v>
      </c>
      <c r="CB503" s="27" t="s">
        <v>7</v>
      </c>
    </row>
    <row r="504" spans="1:80" x14ac:dyDescent="0.25">
      <c r="A504" s="7">
        <v>5.1738550359627435</v>
      </c>
      <c r="B504"/>
      <c r="C504"/>
      <c r="D504"/>
      <c r="E504" t="s">
        <v>8</v>
      </c>
      <c r="BX504" s="27" t="s">
        <v>7</v>
      </c>
      <c r="BY504" s="27" t="s">
        <v>8</v>
      </c>
      <c r="BZ504" s="27" t="s">
        <v>7</v>
      </c>
      <c r="CA504" s="27" t="s">
        <v>8</v>
      </c>
      <c r="CB504" s="27" t="s">
        <v>7</v>
      </c>
    </row>
    <row r="505" spans="1:80" x14ac:dyDescent="0.25">
      <c r="A505" s="7">
        <v>5.07240689800269</v>
      </c>
      <c r="B505"/>
      <c r="C505"/>
      <c r="D505"/>
      <c r="E505" t="s">
        <v>8</v>
      </c>
      <c r="BX505" s="27" t="s">
        <v>7</v>
      </c>
      <c r="BY505" s="27" t="s">
        <v>8</v>
      </c>
      <c r="BZ505" s="27" t="s">
        <v>7</v>
      </c>
      <c r="CA505" s="27" t="s">
        <v>8</v>
      </c>
      <c r="CB505" s="27" t="s">
        <v>7</v>
      </c>
    </row>
    <row r="506" spans="1:80" x14ac:dyDescent="0.25">
      <c r="A506" s="7">
        <v>4.9729479392183231</v>
      </c>
      <c r="B506"/>
      <c r="C506"/>
      <c r="D506"/>
      <c r="E506" t="s">
        <v>8</v>
      </c>
      <c r="BX506" s="27" t="s">
        <v>7</v>
      </c>
      <c r="BY506" s="27" t="s">
        <v>8</v>
      </c>
      <c r="BZ506" s="27" t="s">
        <v>7</v>
      </c>
      <c r="CA506" s="27" t="s">
        <v>8</v>
      </c>
      <c r="CB506" s="27" t="s">
        <v>7</v>
      </c>
    </row>
    <row r="507" spans="1:80" x14ac:dyDescent="0.25">
      <c r="A507" s="7">
        <v>4.8754391560963954</v>
      </c>
      <c r="B507"/>
      <c r="C507"/>
      <c r="D507"/>
      <c r="E507" t="s">
        <v>8</v>
      </c>
      <c r="BX507" s="27" t="s">
        <v>7</v>
      </c>
      <c r="BY507" s="27" t="s">
        <v>8</v>
      </c>
      <c r="BZ507" s="27" t="s">
        <v>7</v>
      </c>
      <c r="CA507" s="27" t="s">
        <v>8</v>
      </c>
      <c r="CB507" s="27" t="s">
        <v>7</v>
      </c>
    </row>
    <row r="508" spans="1:80" x14ac:dyDescent="0.25">
      <c r="A508" s="7">
        <v>4.7798423098984264</v>
      </c>
      <c r="B508"/>
      <c r="C508"/>
      <c r="D508"/>
      <c r="E508" t="s">
        <v>8</v>
      </c>
      <c r="BX508" s="27" t="s">
        <v>7</v>
      </c>
      <c r="BY508" s="27" t="s">
        <v>8</v>
      </c>
      <c r="BZ508" s="27" t="s">
        <v>7</v>
      </c>
      <c r="CA508" s="27" t="s">
        <v>8</v>
      </c>
    </row>
    <row r="509" spans="1:80" x14ac:dyDescent="0.25">
      <c r="A509" s="7">
        <v>4.6861199116651235</v>
      </c>
      <c r="B509"/>
      <c r="C509"/>
      <c r="D509"/>
      <c r="E509" t="s">
        <v>8</v>
      </c>
      <c r="BX509" s="27" t="s">
        <v>7</v>
      </c>
      <c r="BY509" s="27" t="s">
        <v>8</v>
      </c>
      <c r="BZ509" s="27" t="s">
        <v>7</v>
      </c>
      <c r="CA509" s="27" t="s">
        <v>8</v>
      </c>
    </row>
    <row r="510" spans="1:80" x14ac:dyDescent="0.25">
      <c r="A510" s="7">
        <v>4.5942352075148269</v>
      </c>
      <c r="B510"/>
      <c r="C510"/>
      <c r="D510"/>
      <c r="E510" t="s">
        <v>8</v>
      </c>
      <c r="BX510" s="27" t="s">
        <v>7</v>
      </c>
      <c r="BY510" s="27" t="s">
        <v>8</v>
      </c>
      <c r="BZ510" s="27" t="s">
        <v>7</v>
      </c>
      <c r="CA510" s="27" t="s">
        <v>8</v>
      </c>
    </row>
    <row r="511" spans="1:80" x14ac:dyDescent="0.25">
      <c r="A511" s="7">
        <v>4.5041521642302227</v>
      </c>
      <c r="B511"/>
      <c r="C511"/>
      <c r="D511"/>
      <c r="E511" t="s">
        <v>8</v>
      </c>
      <c r="BX511" s="27" t="s">
        <v>7</v>
      </c>
      <c r="BZ511" s="27" t="s">
        <v>7</v>
      </c>
      <c r="CA511" s="27" t="s">
        <v>8</v>
      </c>
    </row>
    <row r="512" spans="1:80" x14ac:dyDescent="0.25">
      <c r="A512" s="7">
        <v>4.4158354551276693</v>
      </c>
      <c r="B512"/>
      <c r="C512"/>
      <c r="D512"/>
      <c r="E512" t="s">
        <v>8</v>
      </c>
      <c r="BZ512" s="27" t="s">
        <v>7</v>
      </c>
      <c r="CA512" s="27" t="s">
        <v>8</v>
      </c>
    </row>
    <row r="513" spans="1:78" x14ac:dyDescent="0.25">
      <c r="A513" s="7">
        <v>4.3292504462035977</v>
      </c>
      <c r="B513"/>
      <c r="C513"/>
      <c r="D513"/>
      <c r="E513" t="s">
        <v>8</v>
      </c>
      <c r="BZ513" s="27" t="s">
        <v>7</v>
      </c>
    </row>
    <row r="514" spans="1:78" x14ac:dyDescent="0.25">
      <c r="A514" s="7">
        <v>4.2443631825525463</v>
      </c>
      <c r="B514"/>
      <c r="C514"/>
      <c r="D514"/>
      <c r="E514" t="s">
        <v>8</v>
      </c>
    </row>
    <row r="515" spans="1:78" x14ac:dyDescent="0.25">
      <c r="A515" s="7">
        <v>4.1611403750515157</v>
      </c>
      <c r="B515"/>
      <c r="C515"/>
      <c r="D515"/>
      <c r="E515" t="s">
        <v>8</v>
      </c>
    </row>
    <row r="516" spans="1:78" x14ac:dyDescent="0.25">
      <c r="A516" s="7">
        <v>4.0795493873054074</v>
      </c>
      <c r="B516"/>
      <c r="C516"/>
      <c r="D516"/>
      <c r="E516" t="s">
        <v>8</v>
      </c>
    </row>
    <row r="517" spans="1:78" x14ac:dyDescent="0.25">
      <c r="A517" s="7">
        <v>3.9995582228484383</v>
      </c>
      <c r="B517"/>
      <c r="C517"/>
      <c r="D517"/>
      <c r="E517" t="s">
        <v>8</v>
      </c>
    </row>
    <row r="518" spans="1:78" x14ac:dyDescent="0.25">
      <c r="A518" s="7">
        <v>3.9211355125965079</v>
      </c>
      <c r="B518"/>
      <c r="C518"/>
      <c r="D518"/>
      <c r="E518" t="s">
        <v>8</v>
      </c>
    </row>
    <row r="519" spans="1:78" x14ac:dyDescent="0.25">
      <c r="A519" s="7">
        <v>3.844250502545596</v>
      </c>
      <c r="B519"/>
      <c r="C519"/>
      <c r="D519"/>
      <c r="E519" t="s">
        <v>8</v>
      </c>
    </row>
    <row r="520" spans="1:78" x14ac:dyDescent="0.25">
      <c r="A520" s="7">
        <v>3.7688730417113687</v>
      </c>
      <c r="B520"/>
      <c r="C520"/>
      <c r="D520"/>
      <c r="E520" t="s">
        <v>8</v>
      </c>
    </row>
    <row r="521" spans="1:78" x14ac:dyDescent="0.25">
      <c r="A521" s="7">
        <v>3.6949735703052635</v>
      </c>
      <c r="B521"/>
      <c r="C521"/>
      <c r="D521"/>
      <c r="E521" t="s">
        <v>8</v>
      </c>
    </row>
    <row r="522" spans="1:78" x14ac:dyDescent="0.25">
      <c r="A522" s="7">
        <v>3.6225231081424152</v>
      </c>
      <c r="B522"/>
      <c r="C522"/>
      <c r="D522"/>
      <c r="E522" t="s">
        <v>8</v>
      </c>
    </row>
    <row r="523" spans="1:78" x14ac:dyDescent="0.25">
      <c r="A523" s="7">
        <v>3.5514932432768775</v>
      </c>
      <c r="B523"/>
      <c r="C523"/>
      <c r="D523"/>
      <c r="E523" t="s">
        <v>8</v>
      </c>
    </row>
    <row r="524" spans="1:78" x14ac:dyDescent="0.25">
      <c r="A524" s="7">
        <v>3.4818561208596837</v>
      </c>
      <c r="B524"/>
      <c r="C524"/>
      <c r="D524"/>
      <c r="E524" t="s">
        <v>8</v>
      </c>
    </row>
    <row r="525" spans="1:78" x14ac:dyDescent="0.25">
      <c r="A525" s="7">
        <v>3.4135844322153761</v>
      </c>
      <c r="B525"/>
      <c r="C525"/>
      <c r="D525"/>
      <c r="E525" t="s">
        <v>8</v>
      </c>
    </row>
    <row r="526" spans="1:78" x14ac:dyDescent="0.25">
      <c r="A526" s="7">
        <v>3.3466514041327216</v>
      </c>
      <c r="B526"/>
      <c r="C526"/>
      <c r="D526"/>
      <c r="E526" t="s">
        <v>8</v>
      </c>
    </row>
    <row r="527" spans="1:78" x14ac:dyDescent="0.25">
      <c r="A527" s="7">
        <v>3.2810307883654133</v>
      </c>
      <c r="B527"/>
      <c r="C527"/>
      <c r="D527"/>
      <c r="E527" t="s">
        <v>8</v>
      </c>
    </row>
    <row r="528" spans="1:78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43" operator="equal">
      <formula>$U$1</formula>
    </cfRule>
    <cfRule type="cellIs" dxfId="89" priority="544" operator="equal">
      <formula>$S$1</formula>
    </cfRule>
  </conditionalFormatting>
  <conditionalFormatting sqref="D27">
    <cfRule type="cellIs" dxfId="88" priority="541" operator="equal">
      <formula>$S$1</formula>
    </cfRule>
    <cfRule type="cellIs" dxfId="87" priority="542" operator="equal">
      <formula>$U$1</formula>
    </cfRule>
  </conditionalFormatting>
  <conditionalFormatting sqref="C164">
    <cfRule type="cellIs" dxfId="86" priority="539" operator="equal">
      <formula>$U$1</formula>
    </cfRule>
    <cfRule type="cellIs" dxfId="85" priority="540" operator="equal">
      <formula>$S$1</formula>
    </cfRule>
  </conditionalFormatting>
  <conditionalFormatting sqref="D164">
    <cfRule type="cellIs" dxfId="84" priority="537" operator="equal">
      <formula>$S$1</formula>
    </cfRule>
    <cfRule type="cellIs" dxfId="83" priority="538" operator="equal">
      <formula>$U$1</formula>
    </cfRule>
  </conditionalFormatting>
  <conditionalFormatting sqref="C55">
    <cfRule type="cellIs" dxfId="82" priority="535" operator="equal">
      <formula>$U$1</formula>
    </cfRule>
    <cfRule type="cellIs" dxfId="81" priority="536" operator="equal">
      <formula>$S$1</formula>
    </cfRule>
  </conditionalFormatting>
  <conditionalFormatting sqref="D55">
    <cfRule type="cellIs" dxfId="80" priority="533" operator="equal">
      <formula>$S$1</formula>
    </cfRule>
    <cfRule type="cellIs" dxfId="79" priority="534" operator="equal">
      <formula>$U$1</formula>
    </cfRule>
  </conditionalFormatting>
  <conditionalFormatting sqref="C89">
    <cfRule type="cellIs" dxfId="78" priority="531" operator="equal">
      <formula>$U$1</formula>
    </cfRule>
    <cfRule type="cellIs" dxfId="77" priority="532" operator="equal">
      <formula>$S$1</formula>
    </cfRule>
  </conditionalFormatting>
  <conditionalFormatting sqref="D89">
    <cfRule type="cellIs" dxfId="76" priority="529" operator="equal">
      <formula>$S$1</formula>
    </cfRule>
    <cfRule type="cellIs" dxfId="75" priority="530" operator="equal">
      <formula>$U$1</formula>
    </cfRule>
  </conditionalFormatting>
  <conditionalFormatting sqref="C136">
    <cfRule type="cellIs" dxfId="74" priority="527" operator="equal">
      <formula>$U$1</formula>
    </cfRule>
    <cfRule type="cellIs" dxfId="73" priority="528" operator="equal">
      <formula>$S$1</formula>
    </cfRule>
  </conditionalFormatting>
  <conditionalFormatting sqref="D136">
    <cfRule type="cellIs" dxfId="72" priority="525" operator="equal">
      <formula>$S$1</formula>
    </cfRule>
    <cfRule type="cellIs" dxfId="71" priority="526" operator="equal">
      <formula>$U$1</formula>
    </cfRule>
  </conditionalFormatting>
  <conditionalFormatting sqref="C1">
    <cfRule type="cellIs" dxfId="70" priority="52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K274" sqref="AK274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$A$273</v>
      </c>
      <c r="D111" s="1" t="str">
        <f>ADDRESS(C121-1,D121,1,1)</f>
        <v>$AK$273</v>
      </c>
      <c r="E111"/>
    </row>
    <row r="112" spans="1:5" x14ac:dyDescent="0.25">
      <c r="A112" s="30">
        <v>14226.649032170862</v>
      </c>
      <c r="C112" s="1" t="str">
        <f>ADDRESS(C121,1,1,1)</f>
        <v>$A$274</v>
      </c>
      <c r="D112" s="1" t="str">
        <f>ADDRESS(C121,D121-1,1,1)</f>
        <v>$AJ$274</v>
      </c>
      <c r="E112"/>
    </row>
    <row r="113" spans="1:5" x14ac:dyDescent="0.25">
      <c r="A113" s="30">
        <v>13549.18955444844</v>
      </c>
      <c r="C113" s="1" t="str">
        <f>ADDRESS(C121+1,1,1,1)</f>
        <v>$A$275</v>
      </c>
      <c r="D113" s="1" t="str">
        <f>ADDRESS(C121-1,D121+1,1,1)</f>
        <v>$AL$273</v>
      </c>
    </row>
    <row r="114" spans="1:5" x14ac:dyDescent="0.25">
      <c r="A114" s="30">
        <v>12903.990051855657</v>
      </c>
      <c r="C114" s="1" t="str">
        <f>ADDRESS(C121,D121,1,1)</f>
        <v>$AK$274</v>
      </c>
      <c r="D114" s="1" t="str">
        <f>ADDRESS(C121+1,D121+1,1,1)</f>
        <v>$AL$275</v>
      </c>
    </row>
    <row r="115" spans="1:5" x14ac:dyDescent="0.25">
      <c r="A115" s="30">
        <v>12289.514335100625</v>
      </c>
      <c r="C115" s="1" t="str">
        <f>ADDRESS(C121+1,D121,1,1)</f>
        <v>$AK$275</v>
      </c>
    </row>
    <row r="116" spans="1:5" x14ac:dyDescent="0.25">
      <c r="A116" s="30">
        <v>11704.2993667625</v>
      </c>
      <c r="C116" s="1">
        <f>C117-1</f>
        <v>273</v>
      </c>
    </row>
    <row r="117" spans="1:5" x14ac:dyDescent="0.25">
      <c r="A117" s="30">
        <v>11146.951777869046</v>
      </c>
      <c r="C117" s="1">
        <f>C121</f>
        <v>274</v>
      </c>
      <c r="D117" s="1">
        <f>D121</f>
        <v>37</v>
      </c>
    </row>
    <row r="118" spans="1:5" x14ac:dyDescent="0.25">
      <c r="A118" s="30">
        <v>10616.144550351471</v>
      </c>
      <c r="C118" s="1">
        <f>C117+1</f>
        <v>275</v>
      </c>
      <c r="D118" s="1">
        <f>D117+1</f>
        <v>38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274</v>
      </c>
      <c r="D121" s="19">
        <v>37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R274</v>
      </c>
      <c r="D123" s="1" t="str">
        <f>"C"&amp;D121</f>
        <v>C37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5.2533479691354827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12" x14ac:dyDescent="0.25">
      <c r="A225" s="30">
        <v>57.373563215003678</v>
      </c>
      <c r="E225"/>
    </row>
    <row r="226" spans="1:12" x14ac:dyDescent="0.25">
      <c r="A226" s="30">
        <v>54.641488776193974</v>
      </c>
      <c r="E226"/>
    </row>
    <row r="227" spans="1:12" x14ac:dyDescent="0.25">
      <c r="A227" s="30">
        <v>52.039513120184736</v>
      </c>
      <c r="E227"/>
    </row>
    <row r="228" spans="1:12" x14ac:dyDescent="0.25">
      <c r="A228" s="30">
        <v>49.561441066842605</v>
      </c>
      <c r="C228" s="7"/>
      <c r="D228"/>
      <c r="E228"/>
    </row>
    <row r="229" spans="1:12" x14ac:dyDescent="0.25">
      <c r="A229" s="30">
        <v>47.201372444612005</v>
      </c>
      <c r="E229"/>
    </row>
    <row r="230" spans="1:12" x14ac:dyDescent="0.25">
      <c r="A230" s="30">
        <v>44.95368804248762</v>
      </c>
      <c r="E230"/>
    </row>
    <row r="231" spans="1:12" x14ac:dyDescent="0.25">
      <c r="A231" s="30">
        <v>42.81303623094059</v>
      </c>
      <c r="C231"/>
      <c r="D231"/>
      <c r="E231"/>
    </row>
    <row r="232" spans="1:12" x14ac:dyDescent="0.25">
      <c r="A232" s="30">
        <v>40.774320219943419</v>
      </c>
      <c r="E232"/>
    </row>
    <row r="233" spans="1:12" x14ac:dyDescent="0.25">
      <c r="A233" s="30">
        <v>38.832685923755633</v>
      </c>
      <c r="E233"/>
    </row>
    <row r="234" spans="1:12" x14ac:dyDescent="0.25">
      <c r="A234" s="30">
        <v>36.983510403576794</v>
      </c>
      <c r="E234"/>
    </row>
    <row r="235" spans="1:12" x14ac:dyDescent="0.25">
      <c r="A235" s="30">
        <v>35.222390860549325</v>
      </c>
      <c r="C235"/>
      <c r="E235"/>
    </row>
    <row r="236" spans="1:12" x14ac:dyDescent="0.25">
      <c r="A236" s="30">
        <v>33.545134152904119</v>
      </c>
      <c r="E236"/>
    </row>
    <row r="237" spans="1:12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12" x14ac:dyDescent="0.25">
      <c r="A238" s="30">
        <v>30.426425535513939</v>
      </c>
      <c r="E238"/>
    </row>
    <row r="239" spans="1:12" x14ac:dyDescent="0.25">
      <c r="A239" s="30">
        <v>28.977548129060892</v>
      </c>
      <c r="E239"/>
      <c r="K239" s="27" t="s">
        <v>8</v>
      </c>
    </row>
    <row r="240" spans="1:12" x14ac:dyDescent="0.25">
      <c r="A240" s="30">
        <v>27.597664884819896</v>
      </c>
      <c r="E240" s="29" t="s">
        <v>8</v>
      </c>
      <c r="K240" s="27" t="s">
        <v>8</v>
      </c>
      <c r="L240" s="27" t="s">
        <v>7</v>
      </c>
    </row>
    <row r="241" spans="1:30" x14ac:dyDescent="0.25">
      <c r="A241" s="30">
        <v>26.283490366495137</v>
      </c>
      <c r="B241"/>
      <c r="C241"/>
      <c r="D241"/>
      <c r="E241" t="s">
        <v>8</v>
      </c>
      <c r="F241" s="27" t="s">
        <v>7</v>
      </c>
      <c r="G241" s="27" t="s">
        <v>8</v>
      </c>
      <c r="K241" s="27" t="s">
        <v>8</v>
      </c>
      <c r="L241" s="27" t="s">
        <v>7</v>
      </c>
    </row>
    <row r="242" spans="1:30" x14ac:dyDescent="0.25">
      <c r="A242" s="30">
        <v>25.031895587138223</v>
      </c>
      <c r="B242"/>
      <c r="C242"/>
      <c r="D242"/>
      <c r="E242" t="s">
        <v>8</v>
      </c>
      <c r="F242" s="27" t="s">
        <v>7</v>
      </c>
      <c r="G242" s="27" t="s">
        <v>8</v>
      </c>
      <c r="H242" s="27" t="s">
        <v>7</v>
      </c>
      <c r="I242" s="27" t="s">
        <v>8</v>
      </c>
      <c r="K242" s="27" t="s">
        <v>8</v>
      </c>
      <c r="L242" s="27" t="s">
        <v>7</v>
      </c>
      <c r="O242" s="27" t="s">
        <v>8</v>
      </c>
    </row>
    <row r="243" spans="1:30" x14ac:dyDescent="0.25">
      <c r="A243" s="30">
        <v>23.839900559179259</v>
      </c>
      <c r="B243"/>
      <c r="C243"/>
      <c r="D243"/>
      <c r="E243" t="s">
        <v>8</v>
      </c>
      <c r="F243" s="27" t="s">
        <v>7</v>
      </c>
      <c r="G243" s="18" t="s">
        <v>8</v>
      </c>
      <c r="H243" s="27" t="s">
        <v>7</v>
      </c>
      <c r="I243" s="27" t="s">
        <v>8</v>
      </c>
      <c r="J243" s="27" t="s">
        <v>7</v>
      </c>
      <c r="K243" s="27" t="s">
        <v>8</v>
      </c>
      <c r="L243" s="27" t="s">
        <v>7</v>
      </c>
      <c r="O243" s="27" t="s">
        <v>8</v>
      </c>
      <c r="P243" s="27" t="s">
        <v>7</v>
      </c>
    </row>
    <row r="244" spans="1:30" x14ac:dyDescent="0.25">
      <c r="A244" s="30">
        <v>22.704667199218342</v>
      </c>
      <c r="B244"/>
      <c r="C244"/>
      <c r="D244"/>
      <c r="E244" t="s">
        <v>8</v>
      </c>
      <c r="F244" s="27" t="s">
        <v>7</v>
      </c>
      <c r="G244" s="27" t="s">
        <v>8</v>
      </c>
      <c r="H244" s="27" t="s">
        <v>7</v>
      </c>
      <c r="I244" s="27" t="s">
        <v>8</v>
      </c>
      <c r="J244" s="27" t="s">
        <v>7</v>
      </c>
      <c r="K244" s="27" t="s">
        <v>8</v>
      </c>
      <c r="L244" s="27" t="s">
        <v>7</v>
      </c>
      <c r="O244" s="27" t="s">
        <v>8</v>
      </c>
      <c r="P244" s="27" t="s">
        <v>7</v>
      </c>
    </row>
    <row r="245" spans="1:30" x14ac:dyDescent="0.25">
      <c r="A245" s="30">
        <v>21.623492570684135</v>
      </c>
      <c r="B245"/>
      <c r="C245"/>
      <c r="D245"/>
      <c r="E245" t="s">
        <v>8</v>
      </c>
      <c r="F245" s="27" t="s">
        <v>7</v>
      </c>
      <c r="G245" s="27" t="s">
        <v>8</v>
      </c>
      <c r="H245" s="27" t="s">
        <v>7</v>
      </c>
      <c r="J245" s="27" t="s">
        <v>7</v>
      </c>
      <c r="L245" s="27" t="s">
        <v>7</v>
      </c>
      <c r="M245" s="27" t="s">
        <v>8</v>
      </c>
      <c r="O245" s="27" t="s">
        <v>8</v>
      </c>
      <c r="P245" s="27" t="s">
        <v>7</v>
      </c>
    </row>
    <row r="246" spans="1:30" x14ac:dyDescent="0.25">
      <c r="A246" s="30">
        <v>20.593802448270605</v>
      </c>
      <c r="B246"/>
      <c r="C246"/>
      <c r="D246"/>
      <c r="E246" t="s">
        <v>8</v>
      </c>
      <c r="F246" s="27" t="s">
        <v>7</v>
      </c>
      <c r="L246" s="27" t="s">
        <v>7</v>
      </c>
      <c r="M246" s="27" t="s">
        <v>8</v>
      </c>
      <c r="N246" s="27" t="s">
        <v>7</v>
      </c>
      <c r="O246" s="27" t="s">
        <v>8</v>
      </c>
      <c r="P246" s="27" t="s">
        <v>7</v>
      </c>
      <c r="S246" s="27" t="s">
        <v>8</v>
      </c>
    </row>
    <row r="247" spans="1:30" x14ac:dyDescent="0.25">
      <c r="A247" s="30">
        <v>19.613145188829147</v>
      </c>
      <c r="B247"/>
      <c r="C247"/>
      <c r="D247"/>
      <c r="E247" t="s">
        <v>8</v>
      </c>
      <c r="L247" s="27" t="s">
        <v>7</v>
      </c>
      <c r="M247" s="27" t="s">
        <v>8</v>
      </c>
      <c r="N247" s="27" t="s">
        <v>7</v>
      </c>
      <c r="O247" s="27" t="s">
        <v>8</v>
      </c>
      <c r="P247" s="27" t="s">
        <v>7</v>
      </c>
      <c r="S247" s="27" t="s">
        <v>8</v>
      </c>
      <c r="T247" s="27" t="s">
        <v>7</v>
      </c>
    </row>
    <row r="248" spans="1:30" x14ac:dyDescent="0.25">
      <c r="A248" s="30">
        <v>18.679185894122998</v>
      </c>
      <c r="B248"/>
      <c r="C248"/>
      <c r="D248"/>
      <c r="E248" t="s">
        <v>8</v>
      </c>
      <c r="L248" s="27" t="s">
        <v>7</v>
      </c>
      <c r="N248" s="27" t="s">
        <v>7</v>
      </c>
      <c r="P248" s="27" t="s">
        <v>7</v>
      </c>
      <c r="S248" s="27" t="s">
        <v>8</v>
      </c>
      <c r="T248" s="27" t="s">
        <v>7</v>
      </c>
    </row>
    <row r="249" spans="1:30" x14ac:dyDescent="0.25">
      <c r="A249" s="30">
        <v>17.78970085154571</v>
      </c>
      <c r="B249"/>
      <c r="C249"/>
      <c r="D249"/>
      <c r="E249" t="s">
        <v>8</v>
      </c>
      <c r="P249" s="27" t="s">
        <v>7</v>
      </c>
      <c r="Q249" s="27" t="s">
        <v>8</v>
      </c>
      <c r="S249" s="27" t="s">
        <v>8</v>
      </c>
      <c r="T249" s="27" t="s">
        <v>7</v>
      </c>
    </row>
    <row r="250" spans="1:30" x14ac:dyDescent="0.25">
      <c r="A250" s="30">
        <v>16.942572239567344</v>
      </c>
      <c r="B250"/>
      <c r="C250"/>
      <c r="D250"/>
      <c r="E250" t="s">
        <v>8</v>
      </c>
      <c r="P250" s="27" t="s">
        <v>7</v>
      </c>
      <c r="Q250" s="27" t="s">
        <v>8</v>
      </c>
      <c r="R250" s="27" t="s">
        <v>7</v>
      </c>
      <c r="S250" s="27" t="s">
        <v>8</v>
      </c>
      <c r="T250" s="27" t="s">
        <v>7</v>
      </c>
      <c r="AA250" s="27" t="s">
        <v>8</v>
      </c>
    </row>
    <row r="251" spans="1:30" x14ac:dyDescent="0.25">
      <c r="A251" s="30">
        <v>16.135783085302233</v>
      </c>
      <c r="B251"/>
      <c r="C251"/>
      <c r="D251"/>
      <c r="E251" t="s">
        <v>8</v>
      </c>
      <c r="P251" s="27" t="s">
        <v>7</v>
      </c>
      <c r="Q251" s="27" t="s">
        <v>8</v>
      </c>
      <c r="R251" s="27" t="s">
        <v>7</v>
      </c>
      <c r="S251" s="27" t="s">
        <v>8</v>
      </c>
      <c r="T251" s="27" t="s">
        <v>7</v>
      </c>
      <c r="W251" s="27" t="s">
        <v>8</v>
      </c>
      <c r="AA251" s="27" t="s">
        <v>8</v>
      </c>
      <c r="AB251" s="27" t="s">
        <v>7</v>
      </c>
    </row>
    <row r="252" spans="1:30" x14ac:dyDescent="0.25">
      <c r="A252" s="30">
        <v>15.367412462192602</v>
      </c>
      <c r="B252"/>
      <c r="C252"/>
      <c r="D252"/>
      <c r="E252" t="s">
        <v>8</v>
      </c>
      <c r="P252" s="27" t="s">
        <v>7</v>
      </c>
      <c r="R252" s="27" t="s">
        <v>7</v>
      </c>
      <c r="T252" s="27" t="s">
        <v>7</v>
      </c>
      <c r="W252" s="27" t="s">
        <v>8</v>
      </c>
      <c r="X252" s="27" t="s">
        <v>7</v>
      </c>
      <c r="AA252" s="27" t="s">
        <v>8</v>
      </c>
      <c r="AB252" s="27" t="s">
        <v>7</v>
      </c>
    </row>
    <row r="253" spans="1:30" x14ac:dyDescent="0.25">
      <c r="A253" s="30">
        <v>14.635630916373906</v>
      </c>
      <c r="B253"/>
      <c r="C253"/>
      <c r="D253"/>
      <c r="E253" t="s">
        <v>8</v>
      </c>
      <c r="T253" s="27" t="s">
        <v>7</v>
      </c>
      <c r="U253" s="27" t="s">
        <v>8</v>
      </c>
      <c r="W253" s="27" t="s">
        <v>8</v>
      </c>
      <c r="X253" s="27" t="s">
        <v>7</v>
      </c>
      <c r="Y253" s="27" t="s">
        <v>8</v>
      </c>
      <c r="AA253" s="27" t="s">
        <v>8</v>
      </c>
      <c r="AB253" s="27" t="s">
        <v>7</v>
      </c>
    </row>
    <row r="254" spans="1:30" x14ac:dyDescent="0.25">
      <c r="A254" s="30">
        <v>13.938696110832291</v>
      </c>
      <c r="B254"/>
      <c r="C254"/>
      <c r="D254"/>
      <c r="E254" t="s">
        <v>8</v>
      </c>
      <c r="T254" s="27" t="s">
        <v>7</v>
      </c>
      <c r="U254" s="27" t="s">
        <v>8</v>
      </c>
      <c r="V254" s="27" t="s">
        <v>7</v>
      </c>
      <c r="W254" s="27" t="s">
        <v>8</v>
      </c>
      <c r="X254" s="27" t="s">
        <v>7</v>
      </c>
      <c r="Y254" s="27" t="s">
        <v>8</v>
      </c>
      <c r="Z254" s="27" t="s">
        <v>7</v>
      </c>
      <c r="AA254" s="27" t="s">
        <v>8</v>
      </c>
      <c r="AB254" s="27" t="s">
        <v>7</v>
      </c>
    </row>
    <row r="255" spans="1:30" x14ac:dyDescent="0.25">
      <c r="A255" s="30">
        <v>13.274948676983135</v>
      </c>
      <c r="E255" t="s">
        <v>8</v>
      </c>
      <c r="T255" s="27" t="s">
        <v>7</v>
      </c>
      <c r="U255" s="27" t="s">
        <v>8</v>
      </c>
      <c r="V255" s="27" t="s">
        <v>7</v>
      </c>
      <c r="W255" s="27" t="s">
        <v>8</v>
      </c>
      <c r="X255" s="27" t="s">
        <v>7</v>
      </c>
      <c r="Y255" s="27" t="s">
        <v>8</v>
      </c>
      <c r="Z255" s="27" t="s">
        <v>7</v>
      </c>
      <c r="AA255" s="27" t="s">
        <v>8</v>
      </c>
      <c r="AB255" s="27" t="s">
        <v>7</v>
      </c>
      <c r="AC255" s="27" t="s">
        <v>8</v>
      </c>
    </row>
    <row r="256" spans="1:30" x14ac:dyDescent="0.25">
      <c r="A256" s="30">
        <v>12.64280826379346</v>
      </c>
      <c r="E256" t="s">
        <v>8</v>
      </c>
      <c r="T256" s="27" t="s">
        <v>7</v>
      </c>
      <c r="V256" s="27" t="s">
        <v>7</v>
      </c>
      <c r="W256" s="27" t="s">
        <v>8</v>
      </c>
      <c r="X256" s="27" t="s">
        <v>7</v>
      </c>
      <c r="Z256" s="27" t="s">
        <v>7</v>
      </c>
      <c r="AA256" s="27" t="s">
        <v>8</v>
      </c>
      <c r="AB256" s="27" t="s">
        <v>7</v>
      </c>
      <c r="AC256" s="27" t="s">
        <v>8</v>
      </c>
      <c r="AD256" s="27" t="s">
        <v>7</v>
      </c>
    </row>
    <row r="257" spans="1:34" x14ac:dyDescent="0.25">
      <c r="A257" s="30">
        <v>12.04076977504139</v>
      </c>
      <c r="B257"/>
      <c r="C257"/>
      <c r="D257"/>
      <c r="E257" t="s">
        <v>8</v>
      </c>
      <c r="V257" s="27" t="s">
        <v>7</v>
      </c>
      <c r="Z257" s="27" t="s">
        <v>7</v>
      </c>
      <c r="AB257" s="27" t="s">
        <v>7</v>
      </c>
      <c r="AC257" s="27" t="s">
        <v>8</v>
      </c>
      <c r="AD257" s="27" t="s">
        <v>7</v>
      </c>
    </row>
    <row r="258" spans="1:34" x14ac:dyDescent="0.25">
      <c r="A258" s="30">
        <v>11.467399785753704</v>
      </c>
      <c r="B258"/>
      <c r="C258"/>
      <c r="D258"/>
      <c r="E258" t="s">
        <v>8</v>
      </c>
      <c r="AB258" s="27" t="s">
        <v>7</v>
      </c>
      <c r="AD258" s="27" t="s">
        <v>7</v>
      </c>
    </row>
    <row r="259" spans="1:34" x14ac:dyDescent="0.25">
      <c r="A259" s="30">
        <v>10.921333129289241</v>
      </c>
      <c r="B259"/>
      <c r="C259"/>
      <c r="D259"/>
      <c r="E259" t="s">
        <v>8</v>
      </c>
      <c r="AD259" s="27" t="s">
        <v>7</v>
      </c>
    </row>
    <row r="260" spans="1:34" x14ac:dyDescent="0.25">
      <c r="A260" s="30">
        <v>10.401269646942135</v>
      </c>
      <c r="B260"/>
      <c r="C260"/>
      <c r="D260"/>
      <c r="E260" t="s">
        <v>8</v>
      </c>
      <c r="AD260" s="27" t="s">
        <v>7</v>
      </c>
      <c r="AE260" s="27" t="s">
        <v>8</v>
      </c>
    </row>
    <row r="261" spans="1:34" x14ac:dyDescent="0.25">
      <c r="A261" s="30">
        <v>9.9059710923258422</v>
      </c>
      <c r="B261"/>
      <c r="C261"/>
      <c r="D261"/>
      <c r="E261" t="s">
        <v>8</v>
      </c>
      <c r="AD261" s="27" t="s">
        <v>7</v>
      </c>
      <c r="AE261" s="27" t="s">
        <v>8</v>
      </c>
      <c r="AF261" s="27" t="s">
        <v>7</v>
      </c>
    </row>
    <row r="262" spans="1:34" x14ac:dyDescent="0.25">
      <c r="A262" s="30">
        <v>9.4342581831674686</v>
      </c>
      <c r="B262"/>
      <c r="C262"/>
      <c r="D262"/>
      <c r="E262" t="s">
        <v>8</v>
      </c>
      <c r="AD262" s="27" t="s">
        <v>7</v>
      </c>
      <c r="AE262" s="27" t="s">
        <v>8</v>
      </c>
      <c r="AF262" s="27" t="s">
        <v>7</v>
      </c>
      <c r="AG262" s="27" t="s">
        <v>8</v>
      </c>
    </row>
    <row r="263" spans="1:34" x14ac:dyDescent="0.25">
      <c r="A263" s="30">
        <v>8.9850077934928265</v>
      </c>
      <c r="B263"/>
      <c r="C263"/>
      <c r="D263"/>
      <c r="E263" t="s">
        <v>8</v>
      </c>
      <c r="AD263" s="27" t="s">
        <v>7</v>
      </c>
      <c r="AF263" s="27" t="s">
        <v>7</v>
      </c>
      <c r="AG263" s="27" t="s">
        <v>8</v>
      </c>
      <c r="AH263" s="27" t="s">
        <v>7</v>
      </c>
    </row>
    <row r="264" spans="1:34" x14ac:dyDescent="0.25">
      <c r="A264" s="30">
        <v>8.5571502795169767</v>
      </c>
      <c r="B264"/>
      <c r="C264"/>
      <c r="D264"/>
      <c r="E264" t="s">
        <v>8</v>
      </c>
      <c r="AF264" s="27" t="s">
        <v>7</v>
      </c>
      <c r="AG264" s="27" t="s">
        <v>8</v>
      </c>
      <c r="AH264" s="27" t="s">
        <v>7</v>
      </c>
    </row>
    <row r="265" spans="1:34" x14ac:dyDescent="0.25">
      <c r="A265" s="30">
        <v>8.1496669328733109</v>
      </c>
      <c r="B265"/>
      <c r="C265"/>
      <c r="D265"/>
      <c r="E265" t="s">
        <v>8</v>
      </c>
      <c r="AF265" s="27" t="s">
        <v>7</v>
      </c>
      <c r="AH265" s="27" t="s">
        <v>7</v>
      </c>
    </row>
    <row r="266" spans="1:34" x14ac:dyDescent="0.25">
      <c r="A266" s="30">
        <v>7.7615875551174378</v>
      </c>
      <c r="B266"/>
      <c r="C266"/>
      <c r="D266"/>
      <c r="E266" t="s">
        <v>8</v>
      </c>
      <c r="AH266" s="27" t="s">
        <v>7</v>
      </c>
    </row>
    <row r="267" spans="1:34" x14ac:dyDescent="0.25">
      <c r="A267" s="30">
        <v>7.3919881477308929</v>
      </c>
      <c r="B267"/>
      <c r="C267"/>
      <c r="D267"/>
      <c r="E267" t="s">
        <v>8</v>
      </c>
      <c r="AH267" s="27" t="s">
        <v>7</v>
      </c>
    </row>
    <row r="268" spans="1:34" x14ac:dyDescent="0.25">
      <c r="A268" s="30">
        <v>7.0399887121246598</v>
      </c>
      <c r="B268"/>
      <c r="C268"/>
      <c r="D268"/>
      <c r="E268" t="s">
        <v>8</v>
      </c>
      <c r="AH268" s="27" t="s">
        <v>7</v>
      </c>
    </row>
    <row r="269" spans="1:34" x14ac:dyDescent="0.25">
      <c r="A269" s="30">
        <v>6.7047511544044376</v>
      </c>
      <c r="B269"/>
      <c r="C269"/>
      <c r="D269"/>
      <c r="E269" t="s">
        <v>8</v>
      </c>
      <c r="AH269" s="27" t="s">
        <v>7</v>
      </c>
    </row>
    <row r="270" spans="1:34" x14ac:dyDescent="0.25">
      <c r="A270" s="30">
        <v>6.3854772899089882</v>
      </c>
      <c r="B270"/>
      <c r="C270"/>
      <c r="D270"/>
      <c r="E270" t="s">
        <v>8</v>
      </c>
      <c r="AH270" s="27" t="s">
        <v>7</v>
      </c>
    </row>
    <row r="271" spans="1:34" x14ac:dyDescent="0.25">
      <c r="A271" s="30">
        <v>6.0814069427704647</v>
      </c>
      <c r="B271"/>
      <c r="C271"/>
      <c r="D271"/>
      <c r="E271" t="s">
        <v>8</v>
      </c>
      <c r="AH271" s="27" t="s">
        <v>7</v>
      </c>
    </row>
    <row r="272" spans="1:34" x14ac:dyDescent="0.25">
      <c r="A272" s="30">
        <v>5.7918161359718709</v>
      </c>
      <c r="B272"/>
      <c r="C272"/>
      <c r="D272"/>
      <c r="E272" t="s">
        <v>8</v>
      </c>
      <c r="AH272" s="27" t="s">
        <v>7</v>
      </c>
    </row>
    <row r="273" spans="1:37" x14ac:dyDescent="0.25">
      <c r="A273" s="30">
        <v>5.5160153675922574</v>
      </c>
      <c r="B273"/>
      <c r="C273"/>
      <c r="D273"/>
      <c r="E273" t="s">
        <v>8</v>
      </c>
      <c r="AH273" s="27" t="s">
        <v>7</v>
      </c>
    </row>
    <row r="274" spans="1:37" x14ac:dyDescent="0.25">
      <c r="A274" s="30">
        <v>5.2533479691354827</v>
      </c>
      <c r="B274"/>
      <c r="C274"/>
      <c r="D274"/>
      <c r="E274" t="s">
        <v>8</v>
      </c>
      <c r="AH274" s="27" t="s">
        <v>7</v>
      </c>
      <c r="AI274" s="27" t="s">
        <v>8</v>
      </c>
      <c r="AK274" s="27" t="s">
        <v>8</v>
      </c>
    </row>
    <row r="275" spans="1:37" x14ac:dyDescent="0.25">
      <c r="A275" s="30">
        <v>5.0031885420337927</v>
      </c>
      <c r="B275"/>
      <c r="C275"/>
      <c r="D275"/>
      <c r="E275" t="s">
        <v>8</v>
      </c>
      <c r="AH275" s="27" t="s">
        <v>7</v>
      </c>
      <c r="AI275" s="27" t="s">
        <v>8</v>
      </c>
      <c r="AJ275" s="27" t="s">
        <v>7</v>
      </c>
      <c r="AK275" s="27" t="s">
        <v>8</v>
      </c>
    </row>
    <row r="276" spans="1:37" x14ac:dyDescent="0.25">
      <c r="A276" s="30">
        <v>4.7649414686036122</v>
      </c>
      <c r="B276"/>
      <c r="C276"/>
      <c r="D276"/>
      <c r="E276" t="s">
        <v>8</v>
      </c>
      <c r="AH276" s="27" t="s">
        <v>7</v>
      </c>
      <c r="AI276" s="27" t="s">
        <v>8</v>
      </c>
      <c r="AJ276" s="27" t="s">
        <v>7</v>
      </c>
      <c r="AK276" s="27" t="s">
        <v>8</v>
      </c>
    </row>
    <row r="277" spans="1:37" x14ac:dyDescent="0.25">
      <c r="A277" s="30">
        <v>4.5380394939082018</v>
      </c>
      <c r="B277"/>
      <c r="C277"/>
      <c r="D277"/>
      <c r="E277" t="s">
        <v>8</v>
      </c>
      <c r="AH277" s="27" t="s">
        <v>7</v>
      </c>
      <c r="AJ277" s="27" t="s">
        <v>7</v>
      </c>
      <c r="AK277" s="27" t="s">
        <v>8</v>
      </c>
    </row>
    <row r="278" spans="1:37" x14ac:dyDescent="0.25">
      <c r="A278" s="30">
        <v>4.3219423751506678</v>
      </c>
      <c r="B278"/>
      <c r="C278"/>
      <c r="D278"/>
      <c r="E278" t="s">
        <v>8</v>
      </c>
      <c r="AJ278" s="27" t="s">
        <v>7</v>
      </c>
    </row>
    <row r="279" spans="1:37" x14ac:dyDescent="0.25">
      <c r="A279" s="30">
        <v>4.1161355953815884</v>
      </c>
      <c r="B279"/>
      <c r="C279"/>
      <c r="D279"/>
      <c r="E279" t="s">
        <v>8</v>
      </c>
    </row>
    <row r="280" spans="1:37" x14ac:dyDescent="0.25">
      <c r="A280" s="30">
        <v>3.9201291384586554</v>
      </c>
      <c r="B280"/>
      <c r="C280"/>
      <c r="D280"/>
      <c r="E280" t="s">
        <v>8</v>
      </c>
    </row>
    <row r="281" spans="1:37" x14ac:dyDescent="0.25">
      <c r="A281" s="30">
        <v>3.7334563223415764</v>
      </c>
      <c r="B281"/>
      <c r="C281"/>
      <c r="D281"/>
      <c r="E281" t="s">
        <v>8</v>
      </c>
    </row>
    <row r="282" spans="1:37" x14ac:dyDescent="0.25">
      <c r="A282" s="30">
        <v>3.5556726879443583</v>
      </c>
      <c r="B282"/>
      <c r="C282"/>
      <c r="D282"/>
      <c r="E282" t="s">
        <v>8</v>
      </c>
    </row>
    <row r="283" spans="1:37" x14ac:dyDescent="0.25">
      <c r="A283" s="30">
        <v>3.3863549408993889</v>
      </c>
      <c r="B283"/>
      <c r="C283"/>
      <c r="D283"/>
      <c r="E283" t="s">
        <v>8</v>
      </c>
    </row>
    <row r="284" spans="1:37" x14ac:dyDescent="0.25">
      <c r="A284" s="30">
        <v>3.2250999437137038</v>
      </c>
      <c r="B284"/>
      <c r="C284"/>
      <c r="D284"/>
      <c r="E284" t="s">
        <v>8</v>
      </c>
    </row>
    <row r="285" spans="1:37" x14ac:dyDescent="0.25">
      <c r="A285" s="30">
        <v>3.0715237559178128</v>
      </c>
      <c r="B285"/>
      <c r="C285"/>
      <c r="D285"/>
      <c r="E285" t="s">
        <v>8</v>
      </c>
    </row>
    <row r="286" spans="1:37" x14ac:dyDescent="0.25">
      <c r="A286" s="30">
        <v>2.9252607199217264</v>
      </c>
      <c r="B286"/>
      <c r="C286"/>
      <c r="D286"/>
      <c r="E286" t="s">
        <v>8</v>
      </c>
    </row>
    <row r="287" spans="1:37" x14ac:dyDescent="0.25">
      <c r="A287" s="30">
        <v>2.7859625904016441</v>
      </c>
      <c r="B287"/>
      <c r="C287"/>
      <c r="D287"/>
      <c r="E287" t="s">
        <v>8</v>
      </c>
    </row>
    <row r="288" spans="1:37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58" operator="equal">
      <formula>$U$1</formula>
    </cfRule>
    <cfRule type="cellIs" dxfId="67" priority="559" operator="equal">
      <formula>$S$1</formula>
    </cfRule>
  </conditionalFormatting>
  <conditionalFormatting sqref="D136">
    <cfRule type="cellIs" dxfId="66" priority="556" operator="equal">
      <formula>$S$1</formula>
    </cfRule>
    <cfRule type="cellIs" dxfId="65" priority="557" operator="equal">
      <formula>$U$1</formula>
    </cfRule>
  </conditionalFormatting>
  <conditionalFormatting sqref="C162">
    <cfRule type="cellIs" dxfId="64" priority="554" operator="equal">
      <formula>$U$1</formula>
    </cfRule>
    <cfRule type="cellIs" dxfId="63" priority="555" operator="equal">
      <formula>$S$1</formula>
    </cfRule>
  </conditionalFormatting>
  <conditionalFormatting sqref="D162">
    <cfRule type="cellIs" dxfId="62" priority="552" operator="equal">
      <formula>$S$1</formula>
    </cfRule>
    <cfRule type="cellIs" dxfId="61" priority="553" operator="equal">
      <formula>$U$1</formula>
    </cfRule>
  </conditionalFormatting>
  <conditionalFormatting sqref="C187">
    <cfRule type="cellIs" dxfId="60" priority="550" operator="equal">
      <formula>$U$1</formula>
    </cfRule>
    <cfRule type="cellIs" dxfId="59" priority="551" operator="equal">
      <formula>$S$1</formula>
    </cfRule>
  </conditionalFormatting>
  <conditionalFormatting sqref="D187">
    <cfRule type="cellIs" dxfId="58" priority="548" operator="equal">
      <formula>$S$1</formula>
    </cfRule>
    <cfRule type="cellIs" dxfId="57" priority="549" operator="equal">
      <formula>$U$1</formula>
    </cfRule>
  </conditionalFormatting>
  <conditionalFormatting sqref="C212">
    <cfRule type="cellIs" dxfId="56" priority="546" operator="equal">
      <formula>$U$1</formula>
    </cfRule>
    <cfRule type="cellIs" dxfId="55" priority="547" operator="equal">
      <formula>$S$1</formula>
    </cfRule>
  </conditionalFormatting>
  <conditionalFormatting sqref="D212">
    <cfRule type="cellIs" dxfId="54" priority="544" operator="equal">
      <formula>$S$1</formula>
    </cfRule>
    <cfRule type="cellIs" dxfId="53" priority="545" operator="equal">
      <formula>$U$1</formula>
    </cfRule>
  </conditionalFormatting>
  <conditionalFormatting sqref="C237">
    <cfRule type="cellIs" dxfId="52" priority="542" operator="equal">
      <formula>$U$1</formula>
    </cfRule>
    <cfRule type="cellIs" dxfId="51" priority="543" operator="equal">
      <formula>$S$1</formula>
    </cfRule>
  </conditionalFormatting>
  <conditionalFormatting sqref="D237">
    <cfRule type="cellIs" dxfId="50" priority="540" operator="equal">
      <formula>$S$1</formula>
    </cfRule>
    <cfRule type="cellIs" dxfId="49" priority="541" operator="equal">
      <formula>$U$1</formula>
    </cfRule>
  </conditionalFormatting>
  <conditionalFormatting sqref="C106">
    <cfRule type="cellIs" dxfId="48" priority="538" operator="equal">
      <formula>$U$1</formula>
    </cfRule>
    <cfRule type="cellIs" dxfId="47" priority="539" operator="equal">
      <formula>$S$1</formula>
    </cfRule>
  </conditionalFormatting>
  <conditionalFormatting sqref="D106">
    <cfRule type="cellIs" dxfId="46" priority="536" operator="equal">
      <formula>$S$1</formula>
    </cfRule>
    <cfRule type="cellIs" dxfId="45" priority="537" operator="equal">
      <formula>$U$1</formula>
    </cfRule>
  </conditionalFormatting>
  <conditionalFormatting sqref="C81">
    <cfRule type="cellIs" dxfId="44" priority="534" operator="equal">
      <formula>$U$1</formula>
    </cfRule>
    <cfRule type="cellIs" dxfId="43" priority="535" operator="equal">
      <formula>$S$1</formula>
    </cfRule>
  </conditionalFormatting>
  <conditionalFormatting sqref="D81">
    <cfRule type="cellIs" dxfId="42" priority="532" operator="equal">
      <formula>$S$1</formula>
    </cfRule>
    <cfRule type="cellIs" dxfId="41" priority="533" operator="equal">
      <formula>$U$1</formula>
    </cfRule>
  </conditionalFormatting>
  <conditionalFormatting sqref="C56">
    <cfRule type="cellIs" dxfId="40" priority="530" operator="equal">
      <formula>$U$1</formula>
    </cfRule>
    <cfRule type="cellIs" dxfId="39" priority="531" operator="equal">
      <formula>$S$1</formula>
    </cfRule>
  </conditionalFormatting>
  <conditionalFormatting sqref="D56">
    <cfRule type="cellIs" dxfId="38" priority="528" operator="equal">
      <formula>$S$1</formula>
    </cfRule>
    <cfRule type="cellIs" dxfId="37" priority="529" operator="equal">
      <formula>$U$1</formula>
    </cfRule>
  </conditionalFormatting>
  <conditionalFormatting sqref="C31">
    <cfRule type="cellIs" dxfId="36" priority="526" operator="equal">
      <formula>$U$1</formula>
    </cfRule>
    <cfRule type="cellIs" dxfId="35" priority="527" operator="equal">
      <formula>$S$1</formula>
    </cfRule>
  </conditionalFormatting>
  <conditionalFormatting sqref="D31">
    <cfRule type="cellIs" dxfId="34" priority="524" operator="equal">
      <formula>$S$1</formula>
    </cfRule>
    <cfRule type="cellIs" dxfId="33" priority="52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N142" sqref="N142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$A$141</v>
      </c>
      <c r="D111" s="1" t="str">
        <f>ADDRESS(C121-1,D121,1,1)</f>
        <v>$N$141</v>
      </c>
      <c r="E111"/>
    </row>
    <row r="112" spans="1:5" x14ac:dyDescent="0.25">
      <c r="A112" s="30">
        <v>80.179532053613613</v>
      </c>
      <c r="C112" s="1" t="str">
        <f>ADDRESS(C121,1,1,1)</f>
        <v>$A$142</v>
      </c>
      <c r="D112" s="1" t="str">
        <f>ADDRESS(C121,D121-1,1,1)</f>
        <v>$M$142</v>
      </c>
      <c r="E112"/>
    </row>
    <row r="113" spans="1:10" x14ac:dyDescent="0.25">
      <c r="A113" s="30">
        <v>72.890483685103277</v>
      </c>
      <c r="C113" s="1" t="str">
        <f>ADDRESS(C121+1,1,1,1)</f>
        <v>$A$143</v>
      </c>
      <c r="D113" s="1" t="str">
        <f>ADDRESS(C121-1,D121+1,1,1)</f>
        <v>$O$141</v>
      </c>
    </row>
    <row r="114" spans="1:10" x14ac:dyDescent="0.25">
      <c r="A114" s="30">
        <v>66.26407607736661</v>
      </c>
      <c r="C114" s="1" t="str">
        <f>ADDRESS(C121,D121,1,1)</f>
        <v>$N$142</v>
      </c>
      <c r="D114" s="1" t="str">
        <f>ADDRESS(C121+1,D121+1,1,1)</f>
        <v>$O$143</v>
      </c>
    </row>
    <row r="115" spans="1:10" x14ac:dyDescent="0.25">
      <c r="A115" s="30">
        <v>60.240069161242367</v>
      </c>
      <c r="C115" s="1" t="str">
        <f>ADDRESS(C121+1,D121,1,1)</f>
        <v>$N$143</v>
      </c>
    </row>
    <row r="116" spans="1:10" x14ac:dyDescent="0.25">
      <c r="A116" s="30">
        <v>54.763699237493057</v>
      </c>
      <c r="C116" s="1">
        <f>C117-1</f>
        <v>141</v>
      </c>
    </row>
    <row r="117" spans="1:10" x14ac:dyDescent="0.25">
      <c r="A117" s="30">
        <v>49.785181124993684</v>
      </c>
      <c r="C117" s="1">
        <f>C121</f>
        <v>142</v>
      </c>
      <c r="D117" s="1">
        <f>D121</f>
        <v>14</v>
      </c>
    </row>
    <row r="118" spans="1:10" x14ac:dyDescent="0.25">
      <c r="A118" s="30">
        <v>45.259255568176073</v>
      </c>
      <c r="C118" s="1">
        <f>C117+1</f>
        <v>143</v>
      </c>
      <c r="D118" s="1">
        <f>D117+1</f>
        <v>15</v>
      </c>
    </row>
    <row r="119" spans="1:10" x14ac:dyDescent="0.25">
      <c r="A119" s="30">
        <v>41.144777789250973</v>
      </c>
    </row>
    <row r="120" spans="1:10" x14ac:dyDescent="0.25">
      <c r="A120" s="30">
        <v>37.404343444773609</v>
      </c>
      <c r="C120" s="1" t="s">
        <v>9</v>
      </c>
    </row>
    <row r="121" spans="1:10" x14ac:dyDescent="0.25">
      <c r="A121" s="30">
        <v>34.003948586157826</v>
      </c>
      <c r="C121" s="18">
        <v>142</v>
      </c>
      <c r="D121" s="19">
        <v>14</v>
      </c>
      <c r="E121" s="18"/>
    </row>
    <row r="122" spans="1:10" x14ac:dyDescent="0.25">
      <c r="A122" s="30">
        <v>30.912680532870748</v>
      </c>
      <c r="C122" s="1" t="str">
        <f>INDEX(1:1048576,C117,D117)</f>
        <v>O</v>
      </c>
    </row>
    <row r="123" spans="1:10" x14ac:dyDescent="0.25">
      <c r="A123" s="30">
        <v>28.102436848064315</v>
      </c>
      <c r="C123" s="1" t="str">
        <f>"R"&amp;C121</f>
        <v>R142</v>
      </c>
      <c r="D123" s="1" t="str">
        <f>"C"&amp;D121</f>
        <v>C14</v>
      </c>
      <c r="E123" s="1" t="s">
        <v>8</v>
      </c>
    </row>
    <row r="124" spans="1:10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8" t="s">
        <v>8</v>
      </c>
      <c r="F124" s="27" t="s">
        <v>7</v>
      </c>
      <c r="G124" s="27" t="s">
        <v>8</v>
      </c>
    </row>
    <row r="125" spans="1:10" x14ac:dyDescent="0.25">
      <c r="A125" s="30">
        <v>23.225154419887861</v>
      </c>
      <c r="E125" s="1" t="s">
        <v>8</v>
      </c>
      <c r="F125" s="27" t="s">
        <v>7</v>
      </c>
      <c r="G125" s="27" t="s">
        <v>8</v>
      </c>
      <c r="H125" s="27" t="s">
        <v>7</v>
      </c>
    </row>
    <row r="126" spans="1:10" x14ac:dyDescent="0.25">
      <c r="A126" s="30">
        <v>21.113776745352599</v>
      </c>
      <c r="C126" s="1" t="s">
        <v>10</v>
      </c>
      <c r="E126" s="1" t="s">
        <v>8</v>
      </c>
      <c r="F126" s="27" t="s">
        <v>7</v>
      </c>
      <c r="G126" s="27" t="s">
        <v>8</v>
      </c>
      <c r="H126" s="27" t="s">
        <v>7</v>
      </c>
      <c r="I126" s="27" t="s">
        <v>8</v>
      </c>
    </row>
    <row r="127" spans="1:10" x14ac:dyDescent="0.25">
      <c r="A127" s="30">
        <v>19.194342495775089</v>
      </c>
      <c r="C127" s="30">
        <v>4.594972986357222</v>
      </c>
      <c r="D127"/>
      <c r="E127" s="1" t="s">
        <v>8</v>
      </c>
      <c r="F127" s="27" t="s">
        <v>7</v>
      </c>
      <c r="H127" s="27" t="s">
        <v>7</v>
      </c>
      <c r="I127" s="27" t="s">
        <v>8</v>
      </c>
      <c r="J127" s="27" t="s">
        <v>7</v>
      </c>
    </row>
    <row r="128" spans="1:10" x14ac:dyDescent="0.25">
      <c r="A128" s="30">
        <v>17.449402268886445</v>
      </c>
      <c r="E128" s="1" t="s">
        <v>8</v>
      </c>
      <c r="H128" s="27" t="s">
        <v>7</v>
      </c>
      <c r="I128" s="27" t="s">
        <v>8</v>
      </c>
      <c r="J128" s="27" t="s">
        <v>7</v>
      </c>
    </row>
    <row r="129" spans="1:14" x14ac:dyDescent="0.25">
      <c r="A129" s="30">
        <v>15.863092971714948</v>
      </c>
      <c r="C129" s="1" t="s">
        <v>11</v>
      </c>
      <c r="D129" s="1" t="s">
        <v>12</v>
      </c>
      <c r="E129" t="s">
        <v>8</v>
      </c>
      <c r="H129" s="27" t="s">
        <v>7</v>
      </c>
      <c r="J129" s="27" t="s">
        <v>7</v>
      </c>
      <c r="K129" s="27" t="s">
        <v>8</v>
      </c>
      <c r="M129" s="27" t="s">
        <v>8</v>
      </c>
    </row>
    <row r="130" spans="1:14" x14ac:dyDescent="0.25">
      <c r="A130" s="30">
        <v>14.420993610649951</v>
      </c>
      <c r="C130" s="6"/>
      <c r="D130" s="6"/>
      <c r="E130" t="s">
        <v>8</v>
      </c>
      <c r="J130" s="27" t="s">
        <v>7</v>
      </c>
      <c r="K130" s="27" t="s">
        <v>8</v>
      </c>
      <c r="L130" s="27" t="s">
        <v>7</v>
      </c>
      <c r="M130" s="27" t="s">
        <v>8</v>
      </c>
      <c r="N130" s="27" t="s">
        <v>7</v>
      </c>
    </row>
    <row r="131" spans="1:14" x14ac:dyDescent="0.25">
      <c r="A131" s="30">
        <v>13.109994191499954</v>
      </c>
      <c r="E131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</row>
    <row r="132" spans="1:14" x14ac:dyDescent="0.25">
      <c r="A132" s="30">
        <v>11.918176537727231</v>
      </c>
      <c r="C132" s="1" t="s">
        <v>13</v>
      </c>
      <c r="E132" t="s">
        <v>8</v>
      </c>
      <c r="J132" s="27" t="s">
        <v>7</v>
      </c>
      <c r="L132" s="27" t="s">
        <v>7</v>
      </c>
      <c r="N132" s="27" t="s">
        <v>7</v>
      </c>
    </row>
    <row r="133" spans="1:14" x14ac:dyDescent="0.25">
      <c r="A133" s="30">
        <v>10.834705943388391</v>
      </c>
      <c r="C133" s="1" t="str">
        <f>C122</f>
        <v>O</v>
      </c>
      <c r="E133" t="s">
        <v>8</v>
      </c>
      <c r="N133" s="27" t="s">
        <v>7</v>
      </c>
    </row>
    <row r="134" spans="1:14" x14ac:dyDescent="0.25">
      <c r="A134" s="30">
        <v>9.849732675807628</v>
      </c>
      <c r="C134"/>
      <c r="D134"/>
      <c r="E134" t="s">
        <v>8</v>
      </c>
      <c r="N134" s="27" t="s">
        <v>7</v>
      </c>
    </row>
    <row r="135" spans="1:14" x14ac:dyDescent="0.25">
      <c r="A135" s="30">
        <v>8.9543024325523888</v>
      </c>
      <c r="C135" s="1" t="s">
        <v>14</v>
      </c>
      <c r="E135" t="s">
        <v>8</v>
      </c>
      <c r="N135" s="27" t="s">
        <v>7</v>
      </c>
    </row>
    <row r="136" spans="1:14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  <c r="N136" s="27" t="s">
        <v>7</v>
      </c>
    </row>
    <row r="137" spans="1:14" x14ac:dyDescent="0.25">
      <c r="A137" s="30">
        <v>7.4002499442581717</v>
      </c>
      <c r="E137" t="s">
        <v>8</v>
      </c>
      <c r="N137" s="27" t="s">
        <v>7</v>
      </c>
    </row>
    <row r="138" spans="1:14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  <c r="N138" s="27" t="s">
        <v>7</v>
      </c>
    </row>
    <row r="139" spans="1:14" x14ac:dyDescent="0.25">
      <c r="A139" s="30">
        <v>6.1159090448414632</v>
      </c>
      <c r="E139" t="s">
        <v>8</v>
      </c>
      <c r="N139" s="27" t="s">
        <v>7</v>
      </c>
    </row>
    <row r="140" spans="1:14" x14ac:dyDescent="0.25">
      <c r="A140" s="30">
        <v>5.5599173134922388</v>
      </c>
      <c r="C140" s="1">
        <v>0</v>
      </c>
      <c r="E140" t="s">
        <v>8</v>
      </c>
      <c r="N140" s="27" t="s">
        <v>7</v>
      </c>
    </row>
    <row r="141" spans="1:14" x14ac:dyDescent="0.25">
      <c r="A141" s="30">
        <v>5.0544702849929442</v>
      </c>
      <c r="C141" s="1">
        <v>1</v>
      </c>
      <c r="E141" t="s">
        <v>8</v>
      </c>
      <c r="N141" s="27" t="s">
        <v>7</v>
      </c>
    </row>
    <row r="142" spans="1:14" x14ac:dyDescent="0.25">
      <c r="A142" s="30">
        <v>4.594972986357222</v>
      </c>
      <c r="C142" s="1">
        <v>2</v>
      </c>
      <c r="E142" t="s">
        <v>8</v>
      </c>
      <c r="N142" s="27" t="s">
        <v>7</v>
      </c>
    </row>
    <row r="143" spans="1:14" x14ac:dyDescent="0.25">
      <c r="A143" s="30">
        <v>4.1772481694156562</v>
      </c>
      <c r="C143" s="1">
        <v>3</v>
      </c>
      <c r="E143" t="s">
        <v>8</v>
      </c>
    </row>
    <row r="144" spans="1:14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42" operator="equal">
      <formula>$U$1</formula>
    </cfRule>
    <cfRule type="cellIs" dxfId="30" priority="543" operator="equal">
      <formula>$S$1</formula>
    </cfRule>
  </conditionalFormatting>
  <conditionalFormatting sqref="D136">
    <cfRule type="cellIs" dxfId="29" priority="540" operator="equal">
      <formula>$S$1</formula>
    </cfRule>
    <cfRule type="cellIs" dxfId="28" priority="541" operator="equal">
      <formula>$U$1</formula>
    </cfRule>
  </conditionalFormatting>
  <conditionalFormatting sqref="C102">
    <cfRule type="cellIs" dxfId="27" priority="538" operator="equal">
      <formula>$U$1</formula>
    </cfRule>
    <cfRule type="cellIs" dxfId="26" priority="539" operator="equal">
      <formula>$S$1</formula>
    </cfRule>
  </conditionalFormatting>
  <conditionalFormatting sqref="D102">
    <cfRule type="cellIs" dxfId="25" priority="536" operator="equal">
      <formula>$S$1</formula>
    </cfRule>
    <cfRule type="cellIs" dxfId="24" priority="537" operator="equal">
      <formula>$U$1</formula>
    </cfRule>
  </conditionalFormatting>
  <conditionalFormatting sqref="C77">
    <cfRule type="cellIs" dxfId="23" priority="534" operator="equal">
      <formula>$U$1</formula>
    </cfRule>
    <cfRule type="cellIs" dxfId="22" priority="535" operator="equal">
      <formula>$S$1</formula>
    </cfRule>
  </conditionalFormatting>
  <conditionalFormatting sqref="D77">
    <cfRule type="cellIs" dxfId="21" priority="532" operator="equal">
      <formula>$S$1</formula>
    </cfRule>
    <cfRule type="cellIs" dxfId="20" priority="533" operator="equal">
      <formula>$U$1</formula>
    </cfRule>
  </conditionalFormatting>
  <conditionalFormatting sqref="C52">
    <cfRule type="cellIs" dxfId="19" priority="530" operator="equal">
      <formula>$U$1</formula>
    </cfRule>
    <cfRule type="cellIs" dxfId="18" priority="531" operator="equal">
      <formula>$S$1</formula>
    </cfRule>
  </conditionalFormatting>
  <conditionalFormatting sqref="D52">
    <cfRule type="cellIs" dxfId="17" priority="528" operator="equal">
      <formula>$S$1</formula>
    </cfRule>
    <cfRule type="cellIs" dxfId="16" priority="529" operator="equal">
      <formula>$U$1</formula>
    </cfRule>
  </conditionalFormatting>
  <conditionalFormatting sqref="C26">
    <cfRule type="cellIs" dxfId="15" priority="526" operator="equal">
      <formula>$U$1</formula>
    </cfRule>
    <cfRule type="cellIs" dxfId="14" priority="527" operator="equal">
      <formula>$S$1</formula>
    </cfRule>
  </conditionalFormatting>
  <conditionalFormatting sqref="D26">
    <cfRule type="cellIs" dxfId="13" priority="524" operator="equal">
      <formula>$S$1</formula>
    </cfRule>
    <cfRule type="cellIs" dxfId="12" priority="52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2022-01-28T01:16:44Z</dcterms:modified>
</cp:coreProperties>
</file>