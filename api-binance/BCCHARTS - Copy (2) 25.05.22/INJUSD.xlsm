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07FDEFF-B178-4A37-9DF2-325E6D1505A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3"/>
  <c r="C133" i="3" s="1"/>
  <c r="D136" i="3" s="1"/>
  <c r="C118" i="4"/>
  <c r="C118" i="3"/>
  <c r="R765" i="1"/>
  <c r="C122" i="4"/>
  <c r="C133" i="4" s="1"/>
  <c r="D136" i="4" s="1"/>
  <c r="C136" i="5" l="1"/>
  <c r="C138" i="5" s="1"/>
  <c r="C136" i="3"/>
  <c r="C138" i="3" s="1"/>
  <c r="R764" i="1"/>
  <c r="S765" i="1"/>
  <c r="T765" i="1" s="1"/>
  <c r="C136" i="4"/>
  <c r="C138" i="4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S681" i="1" l="1"/>
  <c r="T681" i="1" s="1"/>
  <c r="R680" i="1"/>
  <c r="R679" i="1" l="1"/>
  <c r="S680" i="1"/>
  <c r="T680" i="1" s="1"/>
  <c r="S679" i="1" l="1"/>
  <c r="T679" i="1" s="1"/>
  <c r="R678" i="1"/>
  <c r="R677" i="1" l="1"/>
  <c r="S678" i="1"/>
  <c r="T678" i="1" s="1"/>
  <c r="S677" i="1" l="1"/>
  <c r="T677" i="1" s="1"/>
  <c r="R676" i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S672" i="1" l="1"/>
  <c r="T672" i="1" s="1"/>
  <c r="R671" i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R664" i="1" l="1"/>
  <c r="S665" i="1"/>
  <c r="T665" i="1" s="1"/>
  <c r="S664" i="1" l="1"/>
  <c r="T664" i="1" s="1"/>
  <c r="R663" i="1"/>
  <c r="R662" i="1" l="1"/>
  <c r="S663" i="1"/>
  <c r="T663" i="1" s="1"/>
  <c r="S662" i="1" l="1"/>
  <c r="T662" i="1" s="1"/>
  <c r="R661" i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R650" i="1" l="1"/>
  <c r="S651" i="1"/>
  <c r="T651" i="1" s="1"/>
  <c r="S650" i="1" l="1"/>
  <c r="T650" i="1" s="1"/>
  <c r="R649" i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S631" i="1" l="1"/>
  <c r="T631" i="1" s="1"/>
  <c r="R630" i="1"/>
  <c r="R629" i="1" l="1"/>
  <c r="S630" i="1"/>
  <c r="T630" i="1" s="1"/>
  <c r="S629" i="1" l="1"/>
  <c r="T629" i="1" s="1"/>
  <c r="R628" i="1"/>
  <c r="S628" i="1" l="1"/>
  <c r="T628" i="1" s="1"/>
  <c r="R627" i="1"/>
  <c r="S627" i="1" l="1"/>
  <c r="T627" i="1" s="1"/>
  <c r="R626" i="1"/>
  <c r="S626" i="1" l="1"/>
  <c r="T626" i="1" s="1"/>
  <c r="R625" i="1"/>
  <c r="R624" i="1" l="1"/>
  <c r="S625" i="1"/>
  <c r="T625" i="1" s="1"/>
  <c r="S624" i="1" l="1"/>
  <c r="T624" i="1" s="1"/>
  <c r="R623" i="1"/>
  <c r="R622" i="1" l="1"/>
  <c r="S623" i="1"/>
  <c r="T623" i="1" s="1"/>
  <c r="S622" i="1" l="1"/>
  <c r="T622" i="1" s="1"/>
  <c r="R621" i="1"/>
  <c r="R620" i="1" l="1"/>
  <c r="S621" i="1"/>
  <c r="T621" i="1" s="1"/>
  <c r="S620" i="1" l="1"/>
  <c r="T620" i="1" s="1"/>
  <c r="R619" i="1"/>
  <c r="R618" i="1" l="1"/>
  <c r="S619" i="1"/>
  <c r="T619" i="1" s="1"/>
  <c r="S618" i="1" l="1"/>
  <c r="T618" i="1" s="1"/>
  <c r="R617" i="1"/>
  <c r="R616" i="1" l="1"/>
  <c r="S617" i="1"/>
  <c r="T617" i="1" s="1"/>
  <c r="S616" i="1" l="1"/>
  <c r="T616" i="1" s="1"/>
  <c r="R615" i="1"/>
  <c r="R614" i="1" l="1"/>
  <c r="S615" i="1"/>
  <c r="T615" i="1" s="1"/>
  <c r="S614" i="1" l="1"/>
  <c r="T614" i="1" s="1"/>
  <c r="R613" i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R571" i="1" l="1"/>
  <c r="S572" i="1"/>
  <c r="T572" i="1" s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R501" i="1" l="1"/>
  <c r="S502" i="1"/>
  <c r="T502" i="1" s="1"/>
  <c r="S501" i="1" l="1"/>
  <c r="T501" i="1" s="1"/>
  <c r="R500" i="1"/>
  <c r="R499" i="1" l="1"/>
  <c r="S500" i="1"/>
  <c r="T500" i="1" s="1"/>
  <c r="S499" i="1" l="1"/>
  <c r="T499" i="1" s="1"/>
  <c r="R498" i="1"/>
  <c r="R497" i="1" l="1"/>
  <c r="S498" i="1"/>
  <c r="T498" i="1" s="1"/>
  <c r="S497" i="1" l="1"/>
  <c r="T497" i="1" s="1"/>
  <c r="R496" i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S479" i="1" l="1"/>
  <c r="T479" i="1" s="1"/>
  <c r="R478" i="1"/>
  <c r="S478" i="1" l="1"/>
  <c r="T478" i="1" s="1"/>
  <c r="R477" i="1"/>
  <c r="S477" i="1" l="1"/>
  <c r="T477" i="1" s="1"/>
  <c r="R476" i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R470" i="1" l="1"/>
  <c r="S471" i="1"/>
  <c r="T471" i="1" s="1"/>
  <c r="S470" i="1" l="1"/>
  <c r="T470" i="1" s="1"/>
  <c r="R469" i="1"/>
  <c r="R468" i="1" l="1"/>
  <c r="S469" i="1"/>
  <c r="T469" i="1" s="1"/>
  <c r="S468" i="1" l="1"/>
  <c r="T468" i="1" s="1"/>
  <c r="R467" i="1"/>
  <c r="R466" i="1" l="1"/>
  <c r="S467" i="1"/>
  <c r="T467" i="1" s="1"/>
  <c r="S466" i="1" l="1"/>
  <c r="T466" i="1" s="1"/>
  <c r="R465" i="1"/>
  <c r="S465" i="1" l="1"/>
  <c r="T465" i="1" s="1"/>
  <c r="R464" i="1"/>
  <c r="S464" i="1" l="1"/>
  <c r="T464" i="1" s="1"/>
  <c r="R463" i="1"/>
  <c r="S463" i="1" l="1"/>
  <c r="T463" i="1" s="1"/>
  <c r="R462" i="1"/>
  <c r="S462" i="1" l="1"/>
  <c r="T462" i="1" s="1"/>
  <c r="R461" i="1"/>
  <c r="R460" i="1" l="1"/>
  <c r="S461" i="1"/>
  <c r="T461" i="1" s="1"/>
  <c r="S460" i="1" l="1"/>
  <c r="T460" i="1" s="1"/>
  <c r="R459" i="1"/>
  <c r="R458" i="1" l="1"/>
  <c r="S459" i="1"/>
  <c r="T459" i="1" s="1"/>
  <c r="S458" i="1" l="1"/>
  <c r="T458" i="1" s="1"/>
  <c r="R457" i="1"/>
  <c r="R456" i="1" l="1"/>
  <c r="S457" i="1"/>
  <c r="T457" i="1" s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R445" i="1" l="1"/>
  <c r="S446" i="1"/>
  <c r="T446" i="1" s="1"/>
  <c r="S445" i="1" l="1"/>
  <c r="T445" i="1" s="1"/>
  <c r="R444" i="1"/>
  <c r="R443" i="1" l="1"/>
  <c r="S444" i="1"/>
  <c r="T444" i="1" s="1"/>
  <c r="S443" i="1" l="1"/>
  <c r="T443" i="1" s="1"/>
  <c r="R442" i="1"/>
  <c r="S442" i="1" l="1"/>
  <c r="T442" i="1" s="1"/>
  <c r="R441" i="1"/>
  <c r="S441" i="1" l="1"/>
  <c r="T441" i="1" s="1"/>
  <c r="R440" i="1"/>
  <c r="R439" i="1" l="1"/>
  <c r="S440" i="1"/>
  <c r="T440" i="1" s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S429" i="1" l="1"/>
  <c r="T429" i="1" s="1"/>
  <c r="R428" i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S416" i="1" l="1"/>
  <c r="T416" i="1" s="1"/>
  <c r="R415" i="1"/>
  <c r="R414" i="1" l="1"/>
  <c r="S415" i="1"/>
  <c r="T415" i="1" s="1"/>
  <c r="S414" i="1" l="1"/>
  <c r="T414" i="1" s="1"/>
  <c r="R413" i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S407" i="1" l="1"/>
  <c r="T407" i="1" s="1"/>
  <c r="R406" i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R401" i="1" l="1"/>
  <c r="S402" i="1"/>
  <c r="T402" i="1" s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S391" i="1" l="1"/>
  <c r="T391" i="1" s="1"/>
  <c r="R390" i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R372" i="1" l="1"/>
  <c r="S373" i="1"/>
  <c r="T373" i="1" s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R323" i="1" l="1"/>
  <c r="S324" i="1"/>
  <c r="T324" i="1" s="1"/>
  <c r="S323" i="1" l="1"/>
  <c r="T323" i="1" s="1"/>
  <c r="R322" i="1"/>
  <c r="R321" i="1" l="1"/>
  <c r="S322" i="1"/>
  <c r="T322" i="1" s="1"/>
  <c r="S321" i="1" l="1"/>
  <c r="T321" i="1" s="1"/>
  <c r="R320" i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S313" i="1" l="1"/>
  <c r="T313" i="1" s="1"/>
  <c r="R312" i="1"/>
  <c r="R311" i="1" l="1"/>
  <c r="S312" i="1"/>
  <c r="T312" i="1" s="1"/>
  <c r="S311" i="1" l="1"/>
  <c r="T311" i="1" s="1"/>
  <c r="R310" i="1"/>
  <c r="S310" i="1" l="1"/>
  <c r="T310" i="1" s="1"/>
  <c r="R309" i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S305" i="1" l="1"/>
  <c r="T305" i="1" s="1"/>
  <c r="R304" i="1"/>
  <c r="R303" i="1" l="1"/>
  <c r="S304" i="1"/>
  <c r="T304" i="1" s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S288" i="1" l="1"/>
  <c r="T288" i="1" s="1"/>
  <c r="R287" i="1"/>
  <c r="S287" i="1" l="1"/>
  <c r="T287" i="1" s="1"/>
  <c r="R286" i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S269" i="1" l="1"/>
  <c r="T269" i="1" s="1"/>
  <c r="R268" i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S261" i="1" l="1"/>
  <c r="T261" i="1" s="1"/>
  <c r="R260" i="1"/>
  <c r="R259" i="1" l="1"/>
  <c r="S260" i="1"/>
  <c r="T260" i="1" s="1"/>
  <c r="S259" i="1" l="1"/>
  <c r="T259" i="1" s="1"/>
  <c r="R258" i="1"/>
  <c r="R257" i="1" l="1"/>
  <c r="S258" i="1"/>
  <c r="T258" i="1" s="1"/>
  <c r="S257" i="1" l="1"/>
  <c r="T257" i="1" s="1"/>
  <c r="R256" i="1"/>
  <c r="R255" i="1" l="1"/>
  <c r="S256" i="1"/>
  <c r="T256" i="1" s="1"/>
  <c r="S255" i="1" l="1"/>
  <c r="T255" i="1" s="1"/>
  <c r="R254" i="1"/>
  <c r="R253" i="1" l="1"/>
  <c r="S254" i="1"/>
  <c r="T254" i="1" s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S242" i="1" l="1"/>
  <c r="T242" i="1" s="1"/>
  <c r="R241" i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S237" i="1" l="1"/>
  <c r="T237" i="1" s="1"/>
  <c r="R236" i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S228" i="1" l="1"/>
  <c r="T228" i="1" s="1"/>
  <c r="R227" i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S186" i="1" l="1"/>
  <c r="T186" i="1" s="1"/>
  <c r="R185" i="1"/>
  <c r="R184" i="1" l="1"/>
  <c r="S185" i="1"/>
  <c r="T185" i="1" s="1"/>
  <c r="S184" i="1" l="1"/>
  <c r="T184" i="1" s="1"/>
  <c r="R183" i="1"/>
  <c r="R182" i="1" l="1"/>
  <c r="S183" i="1"/>
  <c r="T183" i="1" s="1"/>
  <c r="S182" i="1" l="1"/>
  <c r="T182" i="1" s="1"/>
  <c r="R181" i="1"/>
  <c r="R180" i="1" l="1"/>
  <c r="S181" i="1"/>
  <c r="T181" i="1" s="1"/>
  <c r="S180" i="1" l="1"/>
  <c r="T180" i="1" s="1"/>
  <c r="R179" i="1"/>
  <c r="S179" i="1" l="1"/>
  <c r="T179" i="1" s="1"/>
  <c r="R178" i="1"/>
  <c r="S178" i="1" l="1"/>
  <c r="T178" i="1" s="1"/>
  <c r="R177" i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S166" i="1" l="1"/>
  <c r="T166" i="1" s="1"/>
  <c r="R165" i="1"/>
  <c r="R164" i="1" l="1"/>
  <c r="S165" i="1"/>
  <c r="T165" i="1" s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S156" i="1" l="1"/>
  <c r="T156" i="1" s="1"/>
  <c r="R155" i="1"/>
  <c r="R154" i="1" l="1"/>
  <c r="S155" i="1"/>
  <c r="T155" i="1" s="1"/>
  <c r="S154" i="1" l="1"/>
  <c r="T154" i="1" s="1"/>
  <c r="R153" i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S130" i="1" l="1"/>
  <c r="T130" i="1" s="1"/>
  <c r="R129" i="1"/>
  <c r="R128" i="1" l="1"/>
  <c r="S129" i="1"/>
  <c r="T129" i="1" s="1"/>
  <c r="S128" i="1" l="1"/>
  <c r="T128" i="1" s="1"/>
  <c r="R127" i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R122" i="1" l="1"/>
  <c r="S123" i="1"/>
  <c r="T123" i="1" s="1"/>
  <c r="S122" i="1" l="1"/>
  <c r="T122" i="1" s="1"/>
  <c r="R121" i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S94" i="1" l="1"/>
  <c r="T94" i="1" s="1"/>
  <c r="R93" i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R75" i="1" l="1"/>
  <c r="S76" i="1"/>
  <c r="T76" i="1" s="1"/>
  <c r="S75" i="1" l="1"/>
  <c r="T75" i="1" s="1"/>
  <c r="R74" i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R52" i="1" l="1"/>
  <c r="S53" i="1"/>
  <c r="T53" i="1" s="1"/>
  <c r="S52" i="1" l="1"/>
  <c r="T52" i="1" s="1"/>
  <c r="R51" i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R34" i="1" l="1"/>
  <c r="S35" i="1"/>
  <c r="T35" i="1" s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<sst xmlns="http://schemas.openxmlformats.org/spreadsheetml/2006/main" count="5519" uniqueCount="34">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</sst>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4.2770000000000001</c:v>
                </c:pt>
                <c:pt idx="1">
                  <c:v>4.3380000000000001</c:v>
                </c:pt>
                <c:pt idx="2">
                  <c:v>4.399</c:v>
                </c:pt>
                <c:pt idx="3">
                  <c:v>4.181</c:v>
                </c:pt>
                <c:pt idx="4">
                  <c:v>4.4080000000000004</c:v>
                </c:pt>
                <c:pt idx="5">
                  <c:v>4.3010000000000002</c:v>
                </c:pt>
                <c:pt idx="6">
                  <c:v>5.2350000000000003</c:v>
                </c:pt>
                <c:pt idx="7">
                  <c:v>6.1139999999999999</c:v>
                </c:pt>
                <c:pt idx="8">
                  <c:v>6.2149999999999999</c:v>
                </c:pt>
                <c:pt idx="9">
                  <c:v>6.6509999999999998</c:v>
                </c:pt>
                <c:pt idx="10">
                  <c:v>6.891</c:v>
                </c:pt>
                <c:pt idx="11">
                  <c:v>7.234</c:v>
                </c:pt>
                <c:pt idx="12">
                  <c:v>7.0750000000000002</c:v>
                </c:pt>
                <c:pt idx="13">
                  <c:v>6.9859999999999998</c:v>
                </c:pt>
                <c:pt idx="14">
                  <c:v>6.7990000000000004</c:v>
                </c:pt>
                <c:pt idx="15">
                  <c:v>7.2469999999999999</c:v>
                </c:pt>
                <c:pt idx="16">
                  <c:v>7.1470000000000002</c:v>
                </c:pt>
                <c:pt idx="17">
                  <c:v>6.8159999999999998</c:v>
                </c:pt>
                <c:pt idx="18">
                  <c:v>6.74</c:v>
                </c:pt>
                <c:pt idx="19">
                  <c:v>6.8540000000000001</c:v>
                </c:pt>
                <c:pt idx="20">
                  <c:v>6.9459999999999997</c:v>
                </c:pt>
                <c:pt idx="21">
                  <c:v>7.43</c:v>
                </c:pt>
                <c:pt idx="22">
                  <c:v>7.5780000000000003</c:v>
                </c:pt>
                <c:pt idx="23">
                  <c:v>8.1329999999999991</c:v>
                </c:pt>
                <c:pt idx="24">
                  <c:v>8.2759999999999998</c:v>
                </c:pt>
                <c:pt idx="25">
                  <c:v>8.5510000000000002</c:v>
                </c:pt>
                <c:pt idx="26">
                  <c:v>8.5299999999999994</c:v>
                </c:pt>
                <c:pt idx="27">
                  <c:v>8.2460000000000004</c:v>
                </c:pt>
                <c:pt idx="28">
                  <c:v>8.5749999999999993</c:v>
                </c:pt>
                <c:pt idx="29">
                  <c:v>8.4719999999999995</c:v>
                </c:pt>
                <c:pt idx="30">
                  <c:v>8.8469999999999995</c:v>
                </c:pt>
                <c:pt idx="31">
                  <c:v>9.859</c:v>
                </c:pt>
                <c:pt idx="32">
                  <c:v>9.3000000000000007</c:v>
                </c:pt>
                <c:pt idx="33">
                  <c:v>8.7810000000000006</c:v>
                </c:pt>
                <c:pt idx="34">
                  <c:v>8.7789999999999999</c:v>
                </c:pt>
                <c:pt idx="35">
                  <c:v>8.7170000000000005</c:v>
                </c:pt>
                <c:pt idx="36">
                  <c:v>8.3160000000000007</c:v>
                </c:pt>
                <c:pt idx="37">
                  <c:v>8.0440000000000005</c:v>
                </c:pt>
                <c:pt idx="38">
                  <c:v>7.7880000000000003</c:v>
                </c:pt>
                <c:pt idx="39">
                  <c:v>8.2249999999999996</c:v>
                </c:pt>
                <c:pt idx="40">
                  <c:v>8.1289999999999996</c:v>
                </c:pt>
                <c:pt idx="41">
                  <c:v>8.0709999999999997</c:v>
                </c:pt>
                <c:pt idx="42">
                  <c:v>8.4339999999999993</c:v>
                </c:pt>
                <c:pt idx="43">
                  <c:v>8.6080000000000005</c:v>
                </c:pt>
                <c:pt idx="44">
                  <c:v>8.3000000000000007</c:v>
                </c:pt>
                <c:pt idx="45">
                  <c:v>8.202</c:v>
                </c:pt>
                <c:pt idx="46">
                  <c:v>9.3919999999999995</c:v>
                </c:pt>
                <c:pt idx="47">
                  <c:v>9.2680000000000007</c:v>
                </c:pt>
                <c:pt idx="48">
                  <c:v>9.2880000000000003</c:v>
                </c:pt>
                <c:pt idx="49">
                  <c:v>8.4339999999999993</c:v>
                </c:pt>
                <c:pt idx="50">
                  <c:v>9.57</c:v>
                </c:pt>
                <c:pt idx="51">
                  <c:v>9.2569999999999997</c:v>
                </c:pt>
                <c:pt idx="52">
                  <c:v>9.6809999999999992</c:v>
                </c:pt>
                <c:pt idx="53">
                  <c:v>9.8320000000000007</c:v>
                </c:pt>
                <c:pt idx="54">
                  <c:v>10.614000000000001</c:v>
                </c:pt>
                <c:pt idx="55">
                  <c:v>11.813000000000001</c:v>
                </c:pt>
                <c:pt idx="56">
                  <c:v>12.455</c:v>
                </c:pt>
                <c:pt idx="57">
                  <c:v>12.743</c:v>
                </c:pt>
                <c:pt idx="58">
                  <c:v>13.515000000000001</c:v>
                </c:pt>
                <c:pt idx="59">
                  <c:v>12.358000000000001</c:v>
                </c:pt>
                <c:pt idx="60">
                  <c:v>12.135999999999999</c:v>
                </c:pt>
                <c:pt idx="61">
                  <c:v>12.356999999999999</c:v>
                </c:pt>
                <c:pt idx="62">
                  <c:v>12.7</c:v>
                </c:pt>
                <c:pt idx="63">
                  <c:v>14.238</c:v>
                </c:pt>
                <c:pt idx="64">
                  <c:v>13.288</c:v>
                </c:pt>
                <c:pt idx="65">
                  <c:v>13.4</c:v>
                </c:pt>
                <c:pt idx="66">
                  <c:v>12.307</c:v>
                </c:pt>
                <c:pt idx="67">
                  <c:v>12.377000000000001</c:v>
                </c:pt>
                <c:pt idx="68">
                  <c:v>11.178000000000001</c:v>
                </c:pt>
                <c:pt idx="69">
                  <c:v>11.298999999999999</c:v>
                </c:pt>
                <c:pt idx="70">
                  <c:v>10.683</c:v>
                </c:pt>
                <c:pt idx="71">
                  <c:v>12.138999999999999</c:v>
                </c:pt>
                <c:pt idx="72">
                  <c:v>11.430999999999999</c:v>
                </c:pt>
                <c:pt idx="73">
                  <c:v>13.151</c:v>
                </c:pt>
                <c:pt idx="74">
                  <c:v>11.906000000000001</c:v>
                </c:pt>
                <c:pt idx="75">
                  <c:v>12.106999999999999</c:v>
                </c:pt>
                <c:pt idx="76">
                  <c:v>12.741</c:v>
                </c:pt>
                <c:pt idx="77">
                  <c:v>13.305999999999999</c:v>
                </c:pt>
                <c:pt idx="78">
                  <c:v>11.863</c:v>
                </c:pt>
                <c:pt idx="79">
                  <c:v>12.885</c:v>
                </c:pt>
                <c:pt idx="80">
                  <c:v>13.331</c:v>
                </c:pt>
                <c:pt idx="81">
                  <c:v>13.234</c:v>
                </c:pt>
                <c:pt idx="82">
                  <c:v>12.167</c:v>
                </c:pt>
                <c:pt idx="83">
                  <c:v>11.551</c:v>
                </c:pt>
                <c:pt idx="84">
                  <c:v>11.381</c:v>
                </c:pt>
                <c:pt idx="85">
                  <c:v>11.191000000000001</c:v>
                </c:pt>
                <c:pt idx="86">
                  <c:v>10.916</c:v>
                </c:pt>
                <c:pt idx="87">
                  <c:v>10.606999999999999</c:v>
                </c:pt>
                <c:pt idx="88">
                  <c:v>10.85</c:v>
                </c:pt>
                <c:pt idx="89">
                  <c:v>10.922000000000001</c:v>
                </c:pt>
                <c:pt idx="90">
                  <c:v>11.343</c:v>
                </c:pt>
                <c:pt idx="91">
                  <c:v>11.099</c:v>
                </c:pt>
                <c:pt idx="92">
                  <c:v>10.545999999999999</c:v>
                </c:pt>
                <c:pt idx="93">
                  <c:v>12.156000000000001</c:v>
                </c:pt>
                <c:pt idx="94">
                  <c:v>12.119</c:v>
                </c:pt>
                <c:pt idx="95">
                  <c:v>12.010999999999999</c:v>
                </c:pt>
                <c:pt idx="96">
                  <c:v>12.657999999999999</c:v>
                </c:pt>
                <c:pt idx="97">
                  <c:v>12.651999999999999</c:v>
                </c:pt>
                <c:pt idx="98">
                  <c:v>12.72</c:v>
                </c:pt>
                <c:pt idx="99">
                  <c:v>13.606</c:v>
                </c:pt>
                <c:pt idx="100">
                  <c:v>13.417999999999999</c:v>
                </c:pt>
                <c:pt idx="101">
                  <c:v>12.708</c:v>
                </c:pt>
                <c:pt idx="102">
                  <c:v>11.994999999999999</c:v>
                </c:pt>
                <c:pt idx="103">
                  <c:v>11.85</c:v>
                </c:pt>
                <c:pt idx="104">
                  <c:v>11.47</c:v>
                </c:pt>
                <c:pt idx="105">
                  <c:v>12.148999999999999</c:v>
                </c:pt>
                <c:pt idx="106">
                  <c:v>11.653</c:v>
                </c:pt>
                <c:pt idx="107">
                  <c:v>10.935</c:v>
                </c:pt>
                <c:pt idx="108">
                  <c:v>10.631</c:v>
                </c:pt>
                <c:pt idx="109">
                  <c:v>10.929</c:v>
                </c:pt>
                <c:pt idx="110">
                  <c:v>11.27</c:v>
                </c:pt>
                <c:pt idx="111">
                  <c:v>11.648999999999999</c:v>
                </c:pt>
                <c:pt idx="112">
                  <c:v>12.089</c:v>
                </c:pt>
                <c:pt idx="113">
                  <c:v>10.643000000000001</c:v>
                </c:pt>
                <c:pt idx="114">
                  <c:v>10.337999999999999</c:v>
                </c:pt>
                <c:pt idx="115">
                  <c:v>10.311</c:v>
                </c:pt>
                <c:pt idx="116">
                  <c:v>10.819000000000001</c:v>
                </c:pt>
                <c:pt idx="117">
                  <c:v>10.778</c:v>
                </c:pt>
                <c:pt idx="118">
                  <c:v>10.680999999999999</c:v>
                </c:pt>
                <c:pt idx="119">
                  <c:v>9.7149999999999999</c:v>
                </c:pt>
                <c:pt idx="120">
                  <c:v>9.4369999999999994</c:v>
                </c:pt>
                <c:pt idx="121">
                  <c:v>9.2780000000000005</c:v>
                </c:pt>
                <c:pt idx="122">
                  <c:v>9.8970000000000002</c:v>
                </c:pt>
                <c:pt idx="123">
                  <c:v>10.682</c:v>
                </c:pt>
                <c:pt idx="124">
                  <c:v>8.9049999999999994</c:v>
                </c:pt>
                <c:pt idx="125">
                  <c:v>9.2690000000000001</c:v>
                </c:pt>
                <c:pt idx="126">
                  <c:v>9.7509999999999994</c:v>
                </c:pt>
                <c:pt idx="127">
                  <c:v>9.157</c:v>
                </c:pt>
                <c:pt idx="128">
                  <c:v>7.9820000000000002</c:v>
                </c:pt>
                <c:pt idx="129">
                  <c:v>9.3130000000000006</c:v>
                </c:pt>
                <c:pt idx="130">
                  <c:v>10.917999999999999</c:v>
                </c:pt>
                <c:pt idx="131">
                  <c:v>10.866</c:v>
                </c:pt>
                <c:pt idx="132">
                  <c:v>10.693</c:v>
                </c:pt>
                <c:pt idx="133">
                  <c:v>11.31</c:v>
                </c:pt>
                <c:pt idx="134">
                  <c:v>11.368</c:v>
                </c:pt>
                <c:pt idx="135">
                  <c:v>11.291</c:v>
                </c:pt>
                <c:pt idx="136">
                  <c:v>10.747999999999999</c:v>
                </c:pt>
                <c:pt idx="137">
                  <c:v>12.212999999999999</c:v>
                </c:pt>
                <c:pt idx="138">
                  <c:v>11.683999999999999</c:v>
                </c:pt>
                <c:pt idx="139">
                  <c:v>10.978999999999999</c:v>
                </c:pt>
                <c:pt idx="140">
                  <c:v>11.9</c:v>
                </c:pt>
                <c:pt idx="141">
                  <c:v>12.089</c:v>
                </c:pt>
                <c:pt idx="142">
                  <c:v>12.738</c:v>
                </c:pt>
                <c:pt idx="143">
                  <c:v>15.476000000000001</c:v>
                </c:pt>
                <c:pt idx="144">
                  <c:v>13.382</c:v>
                </c:pt>
                <c:pt idx="145">
                  <c:v>13.923999999999999</c:v>
                </c:pt>
                <c:pt idx="146">
                  <c:v>13.125999999999999</c:v>
                </c:pt>
                <c:pt idx="147">
                  <c:v>12.933999999999999</c:v>
                </c:pt>
                <c:pt idx="148">
                  <c:v>13.521000000000001</c:v>
                </c:pt>
                <c:pt idx="149">
                  <c:v>11.234</c:v>
                </c:pt>
                <c:pt idx="150">
                  <c:v>11.787000000000001</c:v>
                </c:pt>
                <c:pt idx="151">
                  <c:v>11.087</c:v>
                </c:pt>
                <c:pt idx="152">
                  <c:v>11.308999999999999</c:v>
                </c:pt>
                <c:pt idx="153">
                  <c:v>11.673999999999999</c:v>
                </c:pt>
                <c:pt idx="154">
                  <c:v>10.9</c:v>
                </c:pt>
                <c:pt idx="155">
                  <c:v>12.345000000000001</c:v>
                </c:pt>
                <c:pt idx="156">
                  <c:v>11.63</c:v>
                </c:pt>
                <c:pt idx="157">
                  <c:v>12.272</c:v>
                </c:pt>
                <c:pt idx="158">
                  <c:v>13.428000000000001</c:v>
                </c:pt>
                <c:pt idx="159">
                  <c:v>12.958</c:v>
                </c:pt>
                <c:pt idx="160">
                  <c:v>10.73</c:v>
                </c:pt>
                <c:pt idx="161">
                  <c:v>10.211</c:v>
                </c:pt>
                <c:pt idx="162">
                  <c:v>9.0670000000000002</c:v>
                </c:pt>
                <c:pt idx="163">
                  <c:v>9.3859999999999992</c:v>
                </c:pt>
                <c:pt idx="164">
                  <c:v>9.484</c:v>
                </c:pt>
                <c:pt idx="165">
                  <c:v>9.3829999999999991</c:v>
                </c:pt>
                <c:pt idx="166">
                  <c:v>9.4410000000000007</c:v>
                </c:pt>
                <c:pt idx="167">
                  <c:v>9.5380000000000003</c:v>
                </c:pt>
                <c:pt idx="168">
                  <c:v>9.4280000000000008</c:v>
                </c:pt>
                <c:pt idx="169">
                  <c:v>8.7850000000000001</c:v>
                </c:pt>
                <c:pt idx="170">
                  <c:v>8.6489999999999991</c:v>
                </c:pt>
                <c:pt idx="171">
                  <c:v>8.5069999999999997</c:v>
                </c:pt>
                <c:pt idx="172">
                  <c:v>8.484</c:v>
                </c:pt>
                <c:pt idx="173">
                  <c:v>8.2360000000000007</c:v>
                </c:pt>
                <c:pt idx="174">
                  <c:v>7.84</c:v>
                </c:pt>
                <c:pt idx="175">
                  <c:v>8</c:v>
                </c:pt>
                <c:pt idx="176">
                  <c:v>6.726</c:v>
                </c:pt>
                <c:pt idx="177">
                  <c:v>6.55</c:v>
                </c:pt>
                <c:pt idx="178">
                  <c:v>6.4809999999999999</c:v>
                </c:pt>
                <c:pt idx="179">
                  <c:v>6.556</c:v>
                </c:pt>
                <c:pt idx="180">
                  <c:v>7.0860000000000003</c:v>
                </c:pt>
                <c:pt idx="181">
                  <c:v>6.6589999999999998</c:v>
                </c:pt>
                <c:pt idx="182">
                  <c:v>6.2779999999999996</c:v>
                </c:pt>
                <c:pt idx="183">
                  <c:v>6.1989999999999998</c:v>
                </c:pt>
                <c:pt idx="184">
                  <c:v>6.444</c:v>
                </c:pt>
                <c:pt idx="185">
                  <c:v>6.1050000000000004</c:v>
                </c:pt>
                <c:pt idx="186">
                  <c:v>6.1349999999999998</c:v>
                </c:pt>
                <c:pt idx="187">
                  <c:v>5.8879999999999999</c:v>
                </c:pt>
                <c:pt idx="188">
                  <c:v>5.8659999999999997</c:v>
                </c:pt>
                <c:pt idx="189">
                  <c:v>5.6210000000000004</c:v>
                </c:pt>
                <c:pt idx="190">
                  <c:v>5.7539999999999996</c:v>
                </c:pt>
                <c:pt idx="191">
                  <c:v>5.2</c:v>
                </c:pt>
                <c:pt idx="192">
                  <c:v>5.5620000000000003</c:v>
                </c:pt>
                <c:pt idx="193">
                  <c:v>6.2380000000000004</c:v>
                </c:pt>
                <c:pt idx="194">
                  <c:v>6.173</c:v>
                </c:pt>
                <c:pt idx="195">
                  <c:v>6.5629999999999997</c:v>
                </c:pt>
                <c:pt idx="196">
                  <c:v>7.2720000000000002</c:v>
                </c:pt>
                <c:pt idx="197">
                  <c:v>6.8170000000000002</c:v>
                </c:pt>
                <c:pt idx="198">
                  <c:v>6.8929999999999998</c:v>
                </c:pt>
                <c:pt idx="199">
                  <c:v>7.5629999999999997</c:v>
                </c:pt>
                <c:pt idx="200">
                  <c:v>6.9169999999999998</c:v>
                </c:pt>
                <c:pt idx="201">
                  <c:v>6.8010000000000002</c:v>
                </c:pt>
                <c:pt idx="202">
                  <c:v>6.9619999999999997</c:v>
                </c:pt>
                <c:pt idx="203">
                  <c:v>6.9429999999999996</c:v>
                </c:pt>
                <c:pt idx="204">
                  <c:v>7.52</c:v>
                </c:pt>
                <c:pt idx="205">
                  <c:v>7.6669999999999998</c:v>
                </c:pt>
                <c:pt idx="206">
                  <c:v>7.3159999999999998</c:v>
                </c:pt>
                <c:pt idx="207">
                  <c:v>7.1020000000000003</c:v>
                </c:pt>
                <c:pt idx="208">
                  <c:v>6.7220000000000004</c:v>
                </c:pt>
                <c:pt idx="209">
                  <c:v>6.6529999999999996</c:v>
                </c:pt>
                <c:pt idx="210">
                  <c:v>6.5670000000000002</c:v>
                </c:pt>
                <c:pt idx="211">
                  <c:v>6.9240000000000004</c:v>
                </c:pt>
                <c:pt idx="212">
                  <c:v>6.952</c:v>
                </c:pt>
                <c:pt idx="213">
                  <c:v>6.7080000000000002</c:v>
                </c:pt>
                <c:pt idx="214">
                  <c:v>5.81</c:v>
                </c:pt>
                <c:pt idx="215">
                  <c:v>5.3810000000000002</c:v>
                </c:pt>
                <c:pt idx="216">
                  <c:v>5.5119999999999996</c:v>
                </c:pt>
                <c:pt idx="217">
                  <c:v>6.1189999999999998</c:v>
                </c:pt>
                <c:pt idx="218">
                  <c:v>5.867</c:v>
                </c:pt>
                <c:pt idx="219">
                  <c:v>5.601</c:v>
                </c:pt>
                <c:pt idx="220">
                  <c:v>6.3250000000000002</c:v>
                </c:pt>
                <c:pt idx="221">
                  <c:v>7.65</c:v>
                </c:pt>
                <c:pt idx="222">
                  <c:v>7.7759999999999998</c:v>
                </c:pt>
                <c:pt idx="223">
                  <c:v>7.6079999999999997</c:v>
                </c:pt>
                <c:pt idx="224">
                  <c:v>8.3559999999999999</c:v>
                </c:pt>
                <c:pt idx="225">
                  <c:v>7.8689999999999998</c:v>
                </c:pt>
                <c:pt idx="226">
                  <c:v>8.5259999999999998</c:v>
                </c:pt>
                <c:pt idx="227">
                  <c:v>8.6989999999999998</c:v>
                </c:pt>
                <c:pt idx="228">
                  <c:v>8.234</c:v>
                </c:pt>
                <c:pt idx="229">
                  <c:v>7.67</c:v>
                </c:pt>
                <c:pt idx="230">
                  <c:v>7.7050000000000001</c:v>
                </c:pt>
                <c:pt idx="231">
                  <c:v>8.4529999999999994</c:v>
                </c:pt>
                <c:pt idx="232">
                  <c:v>9.3260000000000005</c:v>
                </c:pt>
                <c:pt idx="233">
                  <c:v>8.24</c:v>
                </c:pt>
                <c:pt idx="234">
                  <c:v>8.266</c:v>
                </c:pt>
                <c:pt idx="235">
                  <c:v>9.2759999999999998</c:v>
                </c:pt>
                <c:pt idx="236">
                  <c:v>9.1869999999999994</c:v>
                </c:pt>
                <c:pt idx="237">
                  <c:v>9.4009999999999998</c:v>
                </c:pt>
                <c:pt idx="238">
                  <c:v>10.648999999999999</c:v>
                </c:pt>
                <c:pt idx="239">
                  <c:v>10.353</c:v>
                </c:pt>
                <c:pt idx="240">
                  <c:v>9.3450000000000006</c:v>
                </c:pt>
                <c:pt idx="241">
                  <c:v>9.3740000000000006</c:v>
                </c:pt>
                <c:pt idx="242">
                  <c:v>8.4870000000000001</c:v>
                </c:pt>
                <c:pt idx="243">
                  <c:v>8.0540000000000003</c:v>
                </c:pt>
                <c:pt idx="244">
                  <c:v>8.8439999999999994</c:v>
                </c:pt>
                <c:pt idx="245">
                  <c:v>10.707000000000001</c:v>
                </c:pt>
                <c:pt idx="246">
                  <c:v>10.866</c:v>
                </c:pt>
                <c:pt idx="247">
                  <c:v>9.5299999999999994</c:v>
                </c:pt>
                <c:pt idx="248">
                  <c:v>10.067</c:v>
                </c:pt>
                <c:pt idx="249">
                  <c:v>7.7119999999999997</c:v>
                </c:pt>
                <c:pt idx="250">
                  <c:v>9.4939999999999998</c:v>
                </c:pt>
                <c:pt idx="251">
                  <c:v>10.249000000000001</c:v>
                </c:pt>
                <c:pt idx="252">
                  <c:v>12.935</c:v>
                </c:pt>
                <c:pt idx="253">
                  <c:v>11.784000000000001</c:v>
                </c:pt>
                <c:pt idx="254">
                  <c:v>18.004000000000001</c:v>
                </c:pt>
                <c:pt idx="255">
                  <c:v>14.465</c:v>
                </c:pt>
                <c:pt idx="256">
                  <c:v>15.833</c:v>
                </c:pt>
                <c:pt idx="257">
                  <c:v>16.184000000000001</c:v>
                </c:pt>
                <c:pt idx="258">
                  <c:v>18.056999999999999</c:v>
                </c:pt>
                <c:pt idx="259">
                  <c:v>17.058</c:v>
                </c:pt>
                <c:pt idx="260">
                  <c:v>17.524000000000001</c:v>
                </c:pt>
                <c:pt idx="261">
                  <c:v>17.076000000000001</c:v>
                </c:pt>
                <c:pt idx="262">
                  <c:v>17.119</c:v>
                </c:pt>
                <c:pt idx="263">
                  <c:v>19.152000000000001</c:v>
                </c:pt>
                <c:pt idx="264">
                  <c:v>17.96</c:v>
                </c:pt>
                <c:pt idx="265">
                  <c:v>17.71</c:v>
                </c:pt>
                <c:pt idx="266">
                  <c:v>17.888999999999999</c:v>
                </c:pt>
                <c:pt idx="267">
                  <c:v>19.193000000000001</c:v>
                </c:pt>
                <c:pt idx="268">
                  <c:v>17.693000000000001</c:v>
                </c:pt>
                <c:pt idx="269">
                  <c:v>19.300999999999998</c:v>
                </c:pt>
                <c:pt idx="270">
                  <c:v>19.832000000000001</c:v>
                </c:pt>
                <c:pt idx="271">
                  <c:v>20.638999999999999</c:v>
                </c:pt>
                <c:pt idx="272">
                  <c:v>21.6</c:v>
                </c:pt>
                <c:pt idx="273">
                  <c:v>22.19</c:v>
                </c:pt>
                <c:pt idx="274">
                  <c:v>19.666</c:v>
                </c:pt>
                <c:pt idx="275">
                  <c:v>18.739999999999998</c:v>
                </c:pt>
                <c:pt idx="276">
                  <c:v>19.178999999999998</c:v>
                </c:pt>
                <c:pt idx="277">
                  <c:v>16.015999999999998</c:v>
                </c:pt>
                <c:pt idx="278">
                  <c:v>15.0815</c:v>
                </c:pt>
                <c:pt idx="279">
                  <c:v>17.1602</c:v>
                </c:pt>
                <c:pt idx="280">
                  <c:v>15.3924</c:v>
                </c:pt>
                <c:pt idx="281">
                  <c:v>15.4945</c:v>
                </c:pt>
                <c:pt idx="282">
                  <c:v>14.33</c:v>
                </c:pt>
                <c:pt idx="283">
                  <c:v>12.204499999999999</c:v>
                </c:pt>
                <c:pt idx="284">
                  <c:v>12.13</c:v>
                </c:pt>
                <c:pt idx="285">
                  <c:v>13.6242</c:v>
                </c:pt>
                <c:pt idx="286">
                  <c:v>13.791399999999999</c:v>
                </c:pt>
                <c:pt idx="287">
                  <c:v>14.2691</c:v>
                </c:pt>
                <c:pt idx="288">
                  <c:v>13.321899999999999</c:v>
                </c:pt>
                <c:pt idx="289">
                  <c:v>13.78</c:v>
                </c:pt>
                <c:pt idx="290">
                  <c:v>14.5755</c:v>
                </c:pt>
                <c:pt idx="291">
                  <c:v>13.5528</c:v>
                </c:pt>
                <c:pt idx="292">
                  <c:v>13.617900000000001</c:v>
                </c:pt>
                <c:pt idx="293">
                  <c:v>15.2081</c:v>
                </c:pt>
                <c:pt idx="294">
                  <c:v>14.7605</c:v>
                </c:pt>
                <c:pt idx="295">
                  <c:v>13.2333</c:v>
                </c:pt>
                <c:pt idx="296">
                  <c:v>14.2296</c:v>
                </c:pt>
                <c:pt idx="297">
                  <c:v>13.342000000000001</c:v>
                </c:pt>
                <c:pt idx="298">
                  <c:v>13.480600000000001</c:v>
                </c:pt>
                <c:pt idx="299">
                  <c:v>12.1282</c:v>
                </c:pt>
                <c:pt idx="300">
                  <c:v>13.2537</c:v>
                </c:pt>
                <c:pt idx="301">
                  <c:v>13.9366</c:v>
                </c:pt>
                <c:pt idx="302">
                  <c:v>12.8302</c:v>
                </c:pt>
                <c:pt idx="303">
                  <c:v>13.747299999999999</c:v>
                </c:pt>
                <c:pt idx="304">
                  <c:v>14.242100000000001</c:v>
                </c:pt>
                <c:pt idx="305">
                  <c:v>12.3399</c:v>
                </c:pt>
                <c:pt idx="306">
                  <c:v>11.141500000000001</c:v>
                </c:pt>
                <c:pt idx="307">
                  <c:v>11.654999999999999</c:v>
                </c:pt>
                <c:pt idx="308">
                  <c:v>10.568099999999999</c:v>
                </c:pt>
                <c:pt idx="309">
                  <c:v>10.5121</c:v>
                </c:pt>
                <c:pt idx="310">
                  <c:v>11.616199999999999</c:v>
                </c:pt>
                <c:pt idx="311">
                  <c:v>12.4474</c:v>
                </c:pt>
                <c:pt idx="312">
                  <c:v>12.2943</c:v>
                </c:pt>
                <c:pt idx="313">
                  <c:v>12.3849</c:v>
                </c:pt>
                <c:pt idx="314">
                  <c:v>12.851800000000001</c:v>
                </c:pt>
                <c:pt idx="315">
                  <c:v>13.497</c:v>
                </c:pt>
                <c:pt idx="316">
                  <c:v>11.897600000000001</c:v>
                </c:pt>
                <c:pt idx="317">
                  <c:v>11.2395</c:v>
                </c:pt>
                <c:pt idx="318">
                  <c:v>11.7912</c:v>
                </c:pt>
                <c:pt idx="319">
                  <c:v>11.63</c:v>
                </c:pt>
                <c:pt idx="320">
                  <c:v>11.401899999999999</c:v>
                </c:pt>
                <c:pt idx="321">
                  <c:v>11.697900000000001</c:v>
                </c:pt>
                <c:pt idx="322">
                  <c:v>12.261200000000001</c:v>
                </c:pt>
                <c:pt idx="323">
                  <c:v>12.468299999999999</c:v>
                </c:pt>
                <c:pt idx="324">
                  <c:v>13.3027</c:v>
                </c:pt>
                <c:pt idx="325">
                  <c:v>12.200100000000001</c:v>
                </c:pt>
                <c:pt idx="326">
                  <c:v>12.157500000000001</c:v>
                </c:pt>
                <c:pt idx="327">
                  <c:v>11.832700000000001</c:v>
                </c:pt>
                <c:pt idx="328">
                  <c:v>11.7408</c:v>
                </c:pt>
                <c:pt idx="329">
                  <c:v>12.482799999999999</c:v>
                </c:pt>
                <c:pt idx="330">
                  <c:v>13.5642</c:v>
                </c:pt>
                <c:pt idx="331">
                  <c:v>13.1043</c:v>
                </c:pt>
                <c:pt idx="332">
                  <c:v>13.5402</c:v>
                </c:pt>
                <c:pt idx="333">
                  <c:v>12.198</c:v>
                </c:pt>
                <c:pt idx="334">
                  <c:v>12.3497</c:v>
                </c:pt>
                <c:pt idx="335">
                  <c:v>12.196199999999999</c:v>
                </c:pt>
                <c:pt idx="336">
                  <c:v>12.36</c:v>
                </c:pt>
                <c:pt idx="337">
                  <c:v>14.0847</c:v>
                </c:pt>
                <c:pt idx="338">
                  <c:v>13.6083</c:v>
                </c:pt>
                <c:pt idx="339">
                  <c:v>15.706099999999999</c:v>
                </c:pt>
                <c:pt idx="340">
                  <c:v>14.3568</c:v>
                </c:pt>
                <c:pt idx="341">
                  <c:v>14.7804</c:v>
                </c:pt>
                <c:pt idx="342">
                  <c:v>16.970400000000001</c:v>
                </c:pt>
                <c:pt idx="343">
                  <c:v>15.905200000000001</c:v>
                </c:pt>
                <c:pt idx="344">
                  <c:v>14.2332</c:v>
                </c:pt>
                <c:pt idx="345">
                  <c:v>13.412100000000001</c:v>
                </c:pt>
                <c:pt idx="346">
                  <c:v>13.3467</c:v>
                </c:pt>
                <c:pt idx="347">
                  <c:v>14.8971</c:v>
                </c:pt>
                <c:pt idx="348">
                  <c:v>15.697900000000001</c:v>
                </c:pt>
                <c:pt idx="349">
                  <c:v>15.308999999999999</c:v>
                </c:pt>
                <c:pt idx="350">
                  <c:v>15.1081</c:v>
                </c:pt>
                <c:pt idx="351">
                  <c:v>14.375400000000001</c:v>
                </c:pt>
                <c:pt idx="352">
                  <c:v>15.6989</c:v>
                </c:pt>
                <c:pt idx="353">
                  <c:v>13.755100000000001</c:v>
                </c:pt>
                <c:pt idx="354">
                  <c:v>11.495100000000001</c:v>
                </c:pt>
                <c:pt idx="355">
                  <c:v>11.2499</c:v>
                </c:pt>
                <c:pt idx="356">
                  <c:v>12.3725</c:v>
                </c:pt>
                <c:pt idx="357">
                  <c:v>12.7387</c:v>
                </c:pt>
                <c:pt idx="358">
                  <c:v>11.3393</c:v>
                </c:pt>
                <c:pt idx="359">
                  <c:v>11.5025</c:v>
                </c:pt>
                <c:pt idx="360">
                  <c:v>10.406700000000001</c:v>
                </c:pt>
                <c:pt idx="361">
                  <c:v>9.5066000000000006</c:v>
                </c:pt>
                <c:pt idx="362">
                  <c:v>9.4878</c:v>
                </c:pt>
                <c:pt idx="363">
                  <c:v>8.0449999999999999</c:v>
                </c:pt>
                <c:pt idx="364">
                  <c:v>8.2984000000000009</c:v>
                </c:pt>
                <c:pt idx="365">
                  <c:v>7.4606000000000003</c:v>
                </c:pt>
                <c:pt idx="366">
                  <c:v>8.3283000000000005</c:v>
                </c:pt>
                <c:pt idx="367">
                  <c:v>8.4235000000000007</c:v>
                </c:pt>
                <c:pt idx="368">
                  <c:v>8.7919999999999998</c:v>
                </c:pt>
                <c:pt idx="369">
                  <c:v>8.4208999999999996</c:v>
                </c:pt>
                <c:pt idx="370">
                  <c:v>8.8427000000000007</c:v>
                </c:pt>
                <c:pt idx="371">
                  <c:v>7.0437000000000003</c:v>
                </c:pt>
                <c:pt idx="372">
                  <c:v>8.5127000000000006</c:v>
                </c:pt>
                <c:pt idx="373">
                  <c:v>8.6483000000000008</c:v>
                </c:pt>
                <c:pt idx="374">
                  <c:v>7.2256</c:v>
                </c:pt>
                <c:pt idx="375">
                  <c:v>6.1786000000000003</c:v>
                </c:pt>
                <c:pt idx="376">
                  <c:v>6.2096999999999998</c:v>
                </c:pt>
                <c:pt idx="377">
                  <c:v>6.4146999999999998</c:v>
                </c:pt>
                <c:pt idx="378">
                  <c:v>6.74</c:v>
                </c:pt>
                <c:pt idx="379">
                  <c:v>5.4922000000000004</c:v>
                </c:pt>
                <c:pt idx="380">
                  <c:v>4.8838999999999997</c:v>
                </c:pt>
                <c:pt idx="381">
                  <c:v>4.4189999999999996</c:v>
                </c:pt>
                <c:pt idx="382">
                  <c:v>4.4074999999999998</c:v>
                </c:pt>
                <c:pt idx="383">
                  <c:v>4.742</c:v>
                </c:pt>
                <c:pt idx="384">
                  <c:v>4.6570999999999998</c:v>
                </c:pt>
                <c:pt idx="385">
                  <c:v>4.6597</c:v>
                </c:pt>
                <c:pt idx="386">
                  <c:v>4.5885999999999996</c:v>
                </c:pt>
                <c:pt idx="387">
                  <c:v>4.57</c:v>
                </c:pt>
                <c:pt idx="388">
                  <c:v>4.3499999999999996</c:v>
                </c:pt>
                <c:pt idx="389">
                  <c:v>4.4294000000000002</c:v>
                </c:pt>
                <c:pt idx="390">
                  <c:v>3.6082999999999998</c:v>
                </c:pt>
                <c:pt idx="391">
                  <c:v>4.0816999999999997</c:v>
                </c:pt>
                <c:pt idx="392">
                  <c:v>4.0481999999999996</c:v>
                </c:pt>
                <c:pt idx="393">
                  <c:v>3.8650000000000002</c:v>
                </c:pt>
                <c:pt idx="394">
                  <c:v>4.3159999999999998</c:v>
                </c:pt>
                <c:pt idx="395">
                  <c:v>4.7539999999999996</c:v>
                </c:pt>
                <c:pt idx="396">
                  <c:v>4.8048999999999999</c:v>
                </c:pt>
                <c:pt idx="397">
                  <c:v>4.2553999999999998</c:v>
                </c:pt>
                <c:pt idx="398">
                  <c:v>4.0792000000000002</c:v>
                </c:pt>
                <c:pt idx="399">
                  <c:v>4.5923999999999996</c:v>
                </c:pt>
                <c:pt idx="400">
                  <c:v>3.94</c:v>
                </c:pt>
                <c:pt idx="401">
                  <c:v>4.5157999999999996</c:v>
                </c:pt>
                <c:pt idx="402">
                  <c:v>3.3628</c:v>
                </c:pt>
                <c:pt idx="403">
                  <c:v>2.9954000000000001</c:v>
                </c:pt>
                <c:pt idx="404">
                  <c:v>3.133</c:v>
                </c:pt>
                <c:pt idx="405">
                  <c:v>3.2669999999999999</c:v>
                </c:pt>
                <c:pt idx="406">
                  <c:v>2.9670000000000001</c:v>
                </c:pt>
                <c:pt idx="407">
                  <c:v>3.153</c:v>
                </c:pt>
                <c:pt idx="408">
                  <c:v>3.3</c:v>
                </c:pt>
                <c:pt idx="409">
                  <c:v>2.8317000000000001</c:v>
                </c:pt>
                <c:pt idx="410">
                  <c:v>2.2696999999999998</c:v>
                </c:pt>
                <c:pt idx="411">
                  <c:v>2.0920999999999998</c:v>
                </c:pt>
                <c:pt idx="412">
                  <c:v>1.9004000000000001</c:v>
                </c:pt>
                <c:pt idx="413">
                  <c:v>2.0499999999999998</c:v>
                </c:pt>
                <c:pt idx="414">
                  <c:v>2.1850000000000001</c:v>
                </c:pt>
                <c:pt idx="415">
                  <c:v>1.8263</c:v>
                </c:pt>
                <c:pt idx="416">
                  <c:v>1.7290000000000001</c:v>
                </c:pt>
                <c:pt idx="417">
                  <c:v>1.5902000000000001</c:v>
                </c:pt>
                <c:pt idx="418">
                  <c:v>1.6941999999999999</c:v>
                </c:pt>
                <c:pt idx="419">
                  <c:v>1.5689</c:v>
                </c:pt>
                <c:pt idx="420">
                  <c:v>1.454</c:v>
                </c:pt>
                <c:pt idx="421">
                  <c:v>1.47</c:v>
                </c:pt>
                <c:pt idx="422">
                  <c:v>1.2565</c:v>
                </c:pt>
                <c:pt idx="423">
                  <c:v>1.1879</c:v>
                </c:pt>
                <c:pt idx="424">
                  <c:v>1.1341000000000001</c:v>
                </c:pt>
                <c:pt idx="425">
                  <c:v>1.1520999999999999</c:v>
                </c:pt>
                <c:pt idx="426">
                  <c:v>1.0918000000000001</c:v>
                </c:pt>
                <c:pt idx="427">
                  <c:v>1.0558000000000001</c:v>
                </c:pt>
                <c:pt idx="428">
                  <c:v>1.2102999999999999</c:v>
                </c:pt>
                <c:pt idx="429">
                  <c:v>1.2999000000000001</c:v>
                </c:pt>
                <c:pt idx="430">
                  <c:v>1.4139999999999999</c:v>
                </c:pt>
                <c:pt idx="431">
                  <c:v>1.3107</c:v>
                </c:pt>
                <c:pt idx="432">
                  <c:v>1.3743000000000001</c:v>
                </c:pt>
                <c:pt idx="433">
                  <c:v>1.411</c:v>
                </c:pt>
                <c:pt idx="434">
                  <c:v>1.2999000000000001</c:v>
                </c:pt>
                <c:pt idx="435">
                  <c:v>1.3694</c:v>
                </c:pt>
                <c:pt idx="436">
                  <c:v>1.4666999999999999</c:v>
                </c:pt>
                <c:pt idx="437">
                  <c:v>1.6029</c:v>
                </c:pt>
                <c:pt idx="438">
                  <c:v>1.2875000000000001</c:v>
                </c:pt>
                <c:pt idx="439">
                  <c:v>1.2915000000000001</c:v>
                </c:pt>
                <c:pt idx="440">
                  <c:v>1.0633999999999999</c:v>
                </c:pt>
                <c:pt idx="441">
                  <c:v>0.91720000000000002</c:v>
                </c:pt>
                <c:pt idx="442">
                  <c:v>0.90890000000000004</c:v>
                </c:pt>
                <c:pt idx="443">
                  <c:v>1.0146999999999999</c:v>
                </c:pt>
                <c:pt idx="444">
                  <c:v>0.97729999999999995</c:v>
                </c:pt>
                <c:pt idx="445">
                  <c:v>0.83499999999999996</c:v>
                </c:pt>
                <c:pt idx="446">
                  <c:v>0.78320000000000001</c:v>
                </c:pt>
                <c:pt idx="447">
                  <c:v>0.75280000000000002</c:v>
                </c:pt>
                <c:pt idx="448">
                  <c:v>0.70209999999999995</c:v>
                </c:pt>
                <c:pt idx="449">
                  <c:v>0.71350000000000002</c:v>
                </c:pt>
                <c:pt idx="450">
                  <c:v>0.69779999999999998</c:v>
                </c:pt>
                <c:pt idx="451">
                  <c:v>0.72740000000000005</c:v>
                </c:pt>
                <c:pt idx="452">
                  <c:v>0.751</c:v>
                </c:pt>
                <c:pt idx="453">
                  <c:v>0.78410000000000002</c:v>
                </c:pt>
                <c:pt idx="454">
                  <c:v>0.72550000000000003</c:v>
                </c:pt>
                <c:pt idx="455">
                  <c:v>0.79769999999999996</c:v>
                </c:pt>
                <c:pt idx="456">
                  <c:v>0.67759999999999998</c:v>
                </c:pt>
                <c:pt idx="457">
                  <c:v>0.78100000000000003</c:v>
                </c:pt>
                <c:pt idx="458">
                  <c:v>0.82179999999999997</c:v>
                </c:pt>
                <c:pt idx="459">
                  <c:v>0.90329999999999999</c:v>
                </c:pt>
                <c:pt idx="460">
                  <c:v>0.9466</c:v>
                </c:pt>
                <c:pt idx="461">
                  <c:v>1.1838</c:v>
                </c:pt>
                <c:pt idx="462">
                  <c:v>0.78439999999999999</c:v>
                </c:pt>
                <c:pt idx="463">
                  <c:v>0.78029999999999999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F9-42ED-915B-D0595346FA3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-0.16939814587865593</c:v>
                </c:pt>
                <c:pt idx="1">
                  <c:v>-0.16917006387865594</c:v>
                </c:pt>
                <c:pt idx="2">
                  <c:v>-0.16218401590869883</c:v>
                </c:pt>
                <c:pt idx="3">
                  <c:v>-0.16423889602729722</c:v>
                </c:pt>
                <c:pt idx="4">
                  <c:v>-0.16675813608171122</c:v>
                </c:pt>
                <c:pt idx="5">
                  <c:v>-0.16456774567552165</c:v>
                </c:pt>
                <c:pt idx="6">
                  <c:v>-0.15781315775680604</c:v>
                </c:pt>
                <c:pt idx="7">
                  <c:v>-0.15296191943230275</c:v>
                </c:pt>
                <c:pt idx="8">
                  <c:v>-0.1510027593339725</c:v>
                </c:pt>
                <c:pt idx="9">
                  <c:v>-0.14862770680807608</c:v>
                </c:pt>
                <c:pt idx="10">
                  <c:v>-0.14824408598441019</c:v>
                </c:pt>
                <c:pt idx="11">
                  <c:v>-0.14754747300865262</c:v>
                </c:pt>
                <c:pt idx="12">
                  <c:v>-0.14910800664960216</c:v>
                </c:pt>
                <c:pt idx="13">
                  <c:v>-0.14960945112747828</c:v>
                </c:pt>
                <c:pt idx="14">
                  <c:v>-0.15119336249656345</c:v>
                </c:pt>
                <c:pt idx="15">
                  <c:v>-0.14810519675652548</c:v>
                </c:pt>
                <c:pt idx="16">
                  <c:v>-0.14852337134602431</c:v>
                </c:pt>
                <c:pt idx="17">
                  <c:v>-0.14810591895534331</c:v>
                </c:pt>
                <c:pt idx="18">
                  <c:v>-0.14698076129501075</c:v>
                </c:pt>
                <c:pt idx="19">
                  <c:v>-0.14532319795047291</c:v>
                </c:pt>
                <c:pt idx="20">
                  <c:v>-0.14482420510576705</c:v>
                </c:pt>
                <c:pt idx="21">
                  <c:v>-0.14329968556959682</c:v>
                </c:pt>
                <c:pt idx="22">
                  <c:v>-0.14442675744455977</c:v>
                </c:pt>
                <c:pt idx="23">
                  <c:v>-0.14147173304285038</c:v>
                </c:pt>
                <c:pt idx="24">
                  <c:v>-0.13935462825337669</c:v>
                </c:pt>
                <c:pt idx="25">
                  <c:v>-0.13865301341032737</c:v>
                </c:pt>
                <c:pt idx="26">
                  <c:v>-0.13927654253136482</c:v>
                </c:pt>
                <c:pt idx="27">
                  <c:v>-0.14061482319803148</c:v>
                </c:pt>
                <c:pt idx="28">
                  <c:v>-0.13872870049331684</c:v>
                </c:pt>
                <c:pt idx="29">
                  <c:v>-0.13895456980224133</c:v>
                </c:pt>
                <c:pt idx="30">
                  <c:v>-0.13689905315097112</c:v>
                </c:pt>
                <c:pt idx="31">
                  <c:v>-0.13315548713169759</c:v>
                </c:pt>
                <c:pt idx="32">
                  <c:v>-0.13407262982302176</c:v>
                </c:pt>
                <c:pt idx="33">
                  <c:v>-0.13574399672631191</c:v>
                </c:pt>
                <c:pt idx="34">
                  <c:v>-0.13527938930185149</c:v>
                </c:pt>
                <c:pt idx="35">
                  <c:v>-0.134405679058478</c:v>
                </c:pt>
                <c:pt idx="36">
                  <c:v>-0.13551573108428444</c:v>
                </c:pt>
                <c:pt idx="37">
                  <c:v>-0.13728240739424757</c:v>
                </c:pt>
                <c:pt idx="38">
                  <c:v>-0.13945264872897559</c:v>
                </c:pt>
                <c:pt idx="39">
                  <c:v>-0.1390490965373756</c:v>
                </c:pt>
                <c:pt idx="40">
                  <c:v>-0.13898914680824759</c:v>
                </c:pt>
                <c:pt idx="41">
                  <c:v>-0.13904404141169585</c:v>
                </c:pt>
                <c:pt idx="42">
                  <c:v>-0.13798934301696583</c:v>
                </c:pt>
                <c:pt idx="43">
                  <c:v>-0.13463351906204779</c:v>
                </c:pt>
                <c:pt idx="44">
                  <c:v>-0.13506698627608288</c:v>
                </c:pt>
                <c:pt idx="45">
                  <c:v>-0.13867413717430585</c:v>
                </c:pt>
                <c:pt idx="46">
                  <c:v>-0.13107889695648406</c:v>
                </c:pt>
                <c:pt idx="47">
                  <c:v>-0.13571794987648406</c:v>
                </c:pt>
                <c:pt idx="48">
                  <c:v>-0.13619050310175876</c:v>
                </c:pt>
                <c:pt idx="49">
                  <c:v>-0.10589254506571481</c:v>
                </c:pt>
                <c:pt idx="50">
                  <c:v>-0.10048294312831779</c:v>
                </c:pt>
                <c:pt idx="51">
                  <c:v>-0.10374141970971314</c:v>
                </c:pt>
                <c:pt idx="52">
                  <c:v>-9.8172380970107012E-2</c:v>
                </c:pt>
                <c:pt idx="53">
                  <c:v>-0.10210867326545212</c:v>
                </c:pt>
                <c:pt idx="54">
                  <c:v>-9.7022444182316717E-2</c:v>
                </c:pt>
                <c:pt idx="55">
                  <c:v>-9.6458716359918054E-2</c:v>
                </c:pt>
                <c:pt idx="56">
                  <c:v>-9.2849188937498814E-2</c:v>
                </c:pt>
                <c:pt idx="57">
                  <c:v>-9.227873051626595E-2</c:v>
                </c:pt>
                <c:pt idx="58">
                  <c:v>-8.6589877270982912E-2</c:v>
                </c:pt>
                <c:pt idx="59">
                  <c:v>-8.9681066108981231E-2</c:v>
                </c:pt>
                <c:pt idx="60">
                  <c:v>-8.9933163392643706E-2</c:v>
                </c:pt>
                <c:pt idx="61">
                  <c:v>-9.1782596652749154E-2</c:v>
                </c:pt>
                <c:pt idx="62">
                  <c:v>-9.0298171084160661E-2</c:v>
                </c:pt>
                <c:pt idx="63">
                  <c:v>-8.1933430869059673E-2</c:v>
                </c:pt>
                <c:pt idx="64">
                  <c:v>-9.0373765464059674E-2</c:v>
                </c:pt>
                <c:pt idx="65">
                  <c:v>-8.8419844454350943E-2</c:v>
                </c:pt>
                <c:pt idx="66">
                  <c:v>-9.8239459316117633E-2</c:v>
                </c:pt>
                <c:pt idx="67">
                  <c:v>-9.6247692412812877E-2</c:v>
                </c:pt>
                <c:pt idx="68">
                  <c:v>-0.10259539663626967</c:v>
                </c:pt>
                <c:pt idx="69">
                  <c:v>-0.10181289007650289</c:v>
                </c:pt>
                <c:pt idx="70">
                  <c:v>-0.10485001315454281</c:v>
                </c:pt>
                <c:pt idx="71">
                  <c:v>-9.7759301821872494E-2</c:v>
                </c:pt>
                <c:pt idx="72">
                  <c:v>-0.10269749305743309</c:v>
                </c:pt>
                <c:pt idx="73">
                  <c:v>-9.4717067321789999E-2</c:v>
                </c:pt>
                <c:pt idx="74">
                  <c:v>-9.6270582942857022E-2</c:v>
                </c:pt>
                <c:pt idx="75">
                  <c:v>-9.5032951921887182E-2</c:v>
                </c:pt>
                <c:pt idx="76">
                  <c:v>-9.1708892070665043E-2</c:v>
                </c:pt>
                <c:pt idx="77">
                  <c:v>-8.4959604433041999E-2</c:v>
                </c:pt>
                <c:pt idx="78">
                  <c:v>-8.9934962689792342E-2</c:v>
                </c:pt>
                <c:pt idx="79">
                  <c:v>-8.7034140056557921E-2</c:v>
                </c:pt>
                <c:pt idx="80">
                  <c:v>-8.2216335635845947E-2</c:v>
                </c:pt>
                <c:pt idx="81">
                  <c:v>-9.0631257417189956E-2</c:v>
                </c:pt>
                <c:pt idx="82">
                  <c:v>-8.9821259813196622E-2</c:v>
                </c:pt>
                <c:pt idx="83">
                  <c:v>-9.3943134335624068E-2</c:v>
                </c:pt>
                <c:pt idx="84">
                  <c:v>-9.4872720217266587E-2</c:v>
                </c:pt>
                <c:pt idx="85">
                  <c:v>-9.6347560747754385E-2</c:v>
                </c:pt>
                <c:pt idx="86">
                  <c:v>-9.7929264586680581E-2</c:v>
                </c:pt>
                <c:pt idx="87">
                  <c:v>-9.6441547208529294E-2</c:v>
                </c:pt>
                <c:pt idx="88">
                  <c:v>-9.3264768866608908E-2</c:v>
                </c:pt>
                <c:pt idx="89">
                  <c:v>-9.302697650014928E-2</c:v>
                </c:pt>
                <c:pt idx="90">
                  <c:v>-9.2305981130337958E-2</c:v>
                </c:pt>
                <c:pt idx="91">
                  <c:v>-9.3374719856191613E-2</c:v>
                </c:pt>
                <c:pt idx="92">
                  <c:v>-9.7481649856191607E-2</c:v>
                </c:pt>
                <c:pt idx="93">
                  <c:v>-8.7104155288544538E-2</c:v>
                </c:pt>
                <c:pt idx="94">
                  <c:v>-8.5046144417257427E-2</c:v>
                </c:pt>
                <c:pt idx="95">
                  <c:v>-8.8760330548404945E-2</c:v>
                </c:pt>
                <c:pt idx="96">
                  <c:v>-8.533646176317923E-2</c:v>
                </c:pt>
                <c:pt idx="97">
                  <c:v>-8.439713796373631E-2</c:v>
                </c:pt>
                <c:pt idx="98">
                  <c:v>-8.2186956047337598E-2</c:v>
                </c:pt>
                <c:pt idx="99">
                  <c:v>-7.7550859343495079E-2</c:v>
                </c:pt>
                <c:pt idx="100">
                  <c:v>-7.26218254574693E-2</c:v>
                </c:pt>
                <c:pt idx="101">
                  <c:v>-7.5542906705312871E-2</c:v>
                </c:pt>
                <c:pt idx="102">
                  <c:v>-8.5256969252953951E-2</c:v>
                </c:pt>
                <c:pt idx="103">
                  <c:v>-8.7133796663806662E-2</c:v>
                </c:pt>
                <c:pt idx="104">
                  <c:v>-8.9142759485462714E-2</c:v>
                </c:pt>
                <c:pt idx="105">
                  <c:v>-8.5600422922729805E-2</c:v>
                </c:pt>
                <c:pt idx="106">
                  <c:v>-8.9472382073414736E-2</c:v>
                </c:pt>
                <c:pt idx="107">
                  <c:v>-8.7660957177857907E-2</c:v>
                </c:pt>
                <c:pt idx="108">
                  <c:v>-9.2364877875971113E-2</c:v>
                </c:pt>
                <c:pt idx="109">
                  <c:v>-9.0068202074842785E-2</c:v>
                </c:pt>
                <c:pt idx="110">
                  <c:v>-8.6196096620068927E-2</c:v>
                </c:pt>
                <c:pt idx="111">
                  <c:v>-8.3621453800714077E-2</c:v>
                </c:pt>
                <c:pt idx="112">
                  <c:v>-7.6858289493822007E-2</c:v>
                </c:pt>
                <c:pt idx="113">
                  <c:v>-8.660301562561229E-2</c:v>
                </c:pt>
                <c:pt idx="114">
                  <c:v>-9.0261836641406135E-2</c:v>
                </c:pt>
                <c:pt idx="115">
                  <c:v>-8.8701105980425313E-2</c:v>
                </c:pt>
                <c:pt idx="116">
                  <c:v>-8.5965540717888436E-2</c:v>
                </c:pt>
                <c:pt idx="117">
                  <c:v>-8.5492959894889586E-2</c:v>
                </c:pt>
                <c:pt idx="118">
                  <c:v>-8.5643125278348234E-2</c:v>
                </c:pt>
                <c:pt idx="119">
                  <c:v>-9.0027315278348244E-2</c:v>
                </c:pt>
                <c:pt idx="120">
                  <c:v>-9.2212020731339689E-2</c:v>
                </c:pt>
                <c:pt idx="121">
                  <c:v>-8.9837894229146717E-2</c:v>
                </c:pt>
                <c:pt idx="122">
                  <c:v>-8.0905563007735534E-2</c:v>
                </c:pt>
                <c:pt idx="123">
                  <c:v>-6.4108421171438237E-2</c:v>
                </c:pt>
                <c:pt idx="124">
                  <c:v>-8.2147833849230287E-2</c:v>
                </c:pt>
                <c:pt idx="125">
                  <c:v>-7.9432075948355635E-2</c:v>
                </c:pt>
                <c:pt idx="126">
                  <c:v>-8.2355609466250368E-2</c:v>
                </c:pt>
                <c:pt idx="127">
                  <c:v>-8.9940647860375214E-2</c:v>
                </c:pt>
                <c:pt idx="128">
                  <c:v>-9.6425094244360479E-2</c:v>
                </c:pt>
                <c:pt idx="129">
                  <c:v>-8.6890251727565121E-2</c:v>
                </c:pt>
                <c:pt idx="130">
                  <c:v>-8.1607475050987532E-2</c:v>
                </c:pt>
                <c:pt idx="131">
                  <c:v>-8.0329886301269374E-2</c:v>
                </c:pt>
                <c:pt idx="132">
                  <c:v>-7.9324564307266351E-2</c:v>
                </c:pt>
                <c:pt idx="133">
                  <c:v>-7.5124986133353305E-2</c:v>
                </c:pt>
                <c:pt idx="134">
                  <c:v>-7.1497614626339301E-2</c:v>
                </c:pt>
                <c:pt idx="135">
                  <c:v>-7.2813708994760362E-2</c:v>
                </c:pt>
                <c:pt idx="136">
                  <c:v>-7.2610583360754585E-2</c:v>
                </c:pt>
                <c:pt idx="137">
                  <c:v>-6.4733079182924869E-2</c:v>
                </c:pt>
                <c:pt idx="138">
                  <c:v>-5.9425766972074051E-2</c:v>
                </c:pt>
                <c:pt idx="139">
                  <c:v>-6.3673668514931184E-2</c:v>
                </c:pt>
                <c:pt idx="140">
                  <c:v>-5.6592303033449698E-2</c:v>
                </c:pt>
                <c:pt idx="141">
                  <c:v>-5.2526882408792171E-2</c:v>
                </c:pt>
                <c:pt idx="142">
                  <c:v>-4.8621585065240384E-2</c:v>
                </c:pt>
                <c:pt idx="143">
                  <c:v>-4.6024676446605732E-2</c:v>
                </c:pt>
                <c:pt idx="144">
                  <c:v>-5.172432186385531E-2</c:v>
                </c:pt>
                <c:pt idx="145">
                  <c:v>-4.3047558383461061E-2</c:v>
                </c:pt>
                <c:pt idx="146">
                  <c:v>-4.5804261172163747E-2</c:v>
                </c:pt>
                <c:pt idx="147">
                  <c:v>-4.9230453121992701E-2</c:v>
                </c:pt>
                <c:pt idx="148">
                  <c:v>-3.9831204039350358E-2</c:v>
                </c:pt>
                <c:pt idx="149">
                  <c:v>-5.462416171678184E-2</c:v>
                </c:pt>
                <c:pt idx="150">
                  <c:v>-4.9668634448489159E-2</c:v>
                </c:pt>
                <c:pt idx="151">
                  <c:v>-4.9054285001425751E-2</c:v>
                </c:pt>
                <c:pt idx="152">
                  <c:v>-4.6647722680851593E-2</c:v>
                </c:pt>
                <c:pt idx="153">
                  <c:v>-4.5769843287083875E-2</c:v>
                </c:pt>
                <c:pt idx="154">
                  <c:v>-4.9834773209888182E-2</c:v>
                </c:pt>
                <c:pt idx="155">
                  <c:v>-4.283121865027676E-2</c:v>
                </c:pt>
                <c:pt idx="156">
                  <c:v>-4.7068521916172397E-2</c:v>
                </c:pt>
                <c:pt idx="157">
                  <c:v>-4.4542551964559501E-2</c:v>
                </c:pt>
                <c:pt idx="158">
                  <c:v>-3.7394707135944658E-2</c:v>
                </c:pt>
                <c:pt idx="159">
                  <c:v>-3.2738308298862664E-2</c:v>
                </c:pt>
                <c:pt idx="160">
                  <c:v>-3.9095776801615419E-2</c:v>
                </c:pt>
                <c:pt idx="161">
                  <c:v>-4.0429910293059326E-2</c:v>
                </c:pt>
                <c:pt idx="162">
                  <c:v>-4.6909268769986225E-2</c:v>
                </c:pt>
                <c:pt idx="163">
                  <c:v>-4.3138654390693629E-2</c:v>
                </c:pt>
                <c:pt idx="164">
                  <c:v>-3.0797647096915487E-2</c:v>
                </c:pt>
                <c:pt idx="165">
                  <c:v>-2.8335844717451215E-2</c:v>
                </c:pt>
                <c:pt idx="166">
                  <c:v>-3.1588929855886579E-2</c:v>
                </c:pt>
                <c:pt idx="167">
                  <c:v>-3.381659093603126E-2</c:v>
                </c:pt>
                <c:pt idx="168">
                  <c:v>-3.3526648909751454E-2</c:v>
                </c:pt>
                <c:pt idx="169">
                  <c:v>-4.2713635428743707E-2</c:v>
                </c:pt>
                <c:pt idx="170">
                  <c:v>-3.6840767639962926E-2</c:v>
                </c:pt>
                <c:pt idx="171">
                  <c:v>-3.6637868923678082E-2</c:v>
                </c:pt>
                <c:pt idx="172">
                  <c:v>-3.595147732807296E-2</c:v>
                </c:pt>
                <c:pt idx="173">
                  <c:v>-2.9477883319207497E-2</c:v>
                </c:pt>
                <c:pt idx="174">
                  <c:v>-3.6924731830855533E-2</c:v>
                </c:pt>
                <c:pt idx="175">
                  <c:v>-3.5172613644655799E-2</c:v>
                </c:pt>
                <c:pt idx="176">
                  <c:v>-5.6786083111206788E-2</c:v>
                </c:pt>
                <c:pt idx="177">
                  <c:v>-6.0599039692152239E-2</c:v>
                </c:pt>
                <c:pt idx="178">
                  <c:v>-6.3196255764062348E-2</c:v>
                </c:pt>
                <c:pt idx="179">
                  <c:v>-5.9032123623941633E-2</c:v>
                </c:pt>
                <c:pt idx="180">
                  <c:v>-5.1912229560293434E-2</c:v>
                </c:pt>
                <c:pt idx="181">
                  <c:v>-5.7394980105116962E-2</c:v>
                </c:pt>
                <c:pt idx="182">
                  <c:v>-6.6138267766154293E-2</c:v>
                </c:pt>
                <c:pt idx="183">
                  <c:v>-6.7088131377265409E-2</c:v>
                </c:pt>
                <c:pt idx="184">
                  <c:v>-6.3957596094701294E-2</c:v>
                </c:pt>
                <c:pt idx="185">
                  <c:v>-7.0966125146275982E-2</c:v>
                </c:pt>
                <c:pt idx="186">
                  <c:v>-5.3695556460777984E-2</c:v>
                </c:pt>
                <c:pt idx="187">
                  <c:v>-5.5316989782798184E-2</c:v>
                </c:pt>
                <c:pt idx="188">
                  <c:v>-5.914960715037848E-2</c:v>
                </c:pt>
                <c:pt idx="189">
                  <c:v>-6.4995972294128485E-2</c:v>
                </c:pt>
                <c:pt idx="190">
                  <c:v>-6.3813461839690611E-2</c:v>
                </c:pt>
                <c:pt idx="191">
                  <c:v>-6.5482398197553332E-2</c:v>
                </c:pt>
                <c:pt idx="192">
                  <c:v>-6.3757604432140499E-2</c:v>
                </c:pt>
                <c:pt idx="193">
                  <c:v>-5.8936208706658402E-2</c:v>
                </c:pt>
                <c:pt idx="194">
                  <c:v>-5.8181994717684066E-2</c:v>
                </c:pt>
                <c:pt idx="195">
                  <c:v>-5.3695269268070341E-2</c:v>
                </c:pt>
                <c:pt idx="196">
                  <c:v>-4.7902396551912869E-2</c:v>
                </c:pt>
                <c:pt idx="197">
                  <c:v>-4.717084618692173E-2</c:v>
                </c:pt>
                <c:pt idx="198">
                  <c:v>-4.9975590973588398E-2</c:v>
                </c:pt>
                <c:pt idx="199">
                  <c:v>-4.3582064675016956E-2</c:v>
                </c:pt>
                <c:pt idx="200">
                  <c:v>-4.1751843426771344E-2</c:v>
                </c:pt>
                <c:pt idx="201">
                  <c:v>-4.2300400577807928E-2</c:v>
                </c:pt>
                <c:pt idx="202">
                  <c:v>-4.1807597674972767E-2</c:v>
                </c:pt>
                <c:pt idx="203">
                  <c:v>-4.4010502655811072E-2</c:v>
                </c:pt>
                <c:pt idx="204">
                  <c:v>-3.5277213851800521E-2</c:v>
                </c:pt>
                <c:pt idx="205">
                  <c:v>-2.6034365044009536E-2</c:v>
                </c:pt>
                <c:pt idx="206">
                  <c:v>-2.5104828718143204E-2</c:v>
                </c:pt>
                <c:pt idx="207">
                  <c:v>-2.8803398553768206E-2</c:v>
                </c:pt>
                <c:pt idx="208">
                  <c:v>-2.9384023717177299E-2</c:v>
                </c:pt>
                <c:pt idx="209">
                  <c:v>-2.7547468320188812E-2</c:v>
                </c:pt>
                <c:pt idx="210">
                  <c:v>-2.8193347120904797E-2</c:v>
                </c:pt>
                <c:pt idx="211">
                  <c:v>-2.6039185813632074E-2</c:v>
                </c:pt>
                <c:pt idx="212">
                  <c:v>-2.9724745072667747E-2</c:v>
                </c:pt>
                <c:pt idx="213">
                  <c:v>-2.768686703357905E-2</c:v>
                </c:pt>
                <c:pt idx="214">
                  <c:v>-3.3474965633853021E-2</c:v>
                </c:pt>
                <c:pt idx="215">
                  <c:v>-3.7903941643853023E-2</c:v>
                </c:pt>
                <c:pt idx="216">
                  <c:v>-3.7805782064480202E-2</c:v>
                </c:pt>
                <c:pt idx="217">
                  <c:v>-3.4608530003511676E-2</c:v>
                </c:pt>
                <c:pt idx="218">
                  <c:v>-4.0664240610722442E-2</c:v>
                </c:pt>
                <c:pt idx="219">
                  <c:v>-3.9699005370131046E-2</c:v>
                </c:pt>
                <c:pt idx="220">
                  <c:v>-3.6412018039788253E-2</c:v>
                </c:pt>
                <c:pt idx="221">
                  <c:v>-2.3122868899124061E-2</c:v>
                </c:pt>
                <c:pt idx="222">
                  <c:v>-2.5973852015214977E-2</c:v>
                </c:pt>
                <c:pt idx="223">
                  <c:v>-2.5471420155770527E-2</c:v>
                </c:pt>
                <c:pt idx="224">
                  <c:v>-2.3137889753288905E-2</c:v>
                </c:pt>
                <c:pt idx="225">
                  <c:v>-2.1683130710356401E-2</c:v>
                </c:pt>
                <c:pt idx="226">
                  <c:v>-1.6756165250418207E-2</c:v>
                </c:pt>
                <c:pt idx="227">
                  <c:v>-1.6321469733631317E-2</c:v>
                </c:pt>
                <c:pt idx="228">
                  <c:v>-1.7862785133019071E-2</c:v>
                </c:pt>
                <c:pt idx="229">
                  <c:v>-2.229778852247806E-2</c:v>
                </c:pt>
                <c:pt idx="230">
                  <c:v>-2.1923483760841356E-2</c:v>
                </c:pt>
                <c:pt idx="231">
                  <c:v>-1.7206068246306251E-2</c:v>
                </c:pt>
                <c:pt idx="232">
                  <c:v>-1.1970529217633676E-2</c:v>
                </c:pt>
                <c:pt idx="233">
                  <c:v>-1.9259885082267836E-2</c:v>
                </c:pt>
                <c:pt idx="234">
                  <c:v>-2.4834980483157007E-2</c:v>
                </c:pt>
                <c:pt idx="235">
                  <c:v>-1.7392213399213895E-2</c:v>
                </c:pt>
                <c:pt idx="236">
                  <c:v>-1.7543397443499604E-2</c:v>
                </c:pt>
                <c:pt idx="237">
                  <c:v>-1.4685824965583873E-2</c:v>
                </c:pt>
                <c:pt idx="238">
                  <c:v>-1.1630691883061347E-2</c:v>
                </c:pt>
                <c:pt idx="239">
                  <c:v>-1.3450524054448187E-2</c:v>
                </c:pt>
                <c:pt idx="240">
                  <c:v>-1.4672710710481538E-2</c:v>
                </c:pt>
                <c:pt idx="241">
                  <c:v>-1.5958148514704416E-2</c:v>
                </c:pt>
                <c:pt idx="242">
                  <c:v>-1.9917694457202605E-2</c:v>
                </c:pt>
                <c:pt idx="243">
                  <c:v>-2.1138761468681815E-2</c:v>
                </c:pt>
                <c:pt idx="244">
                  <c:v>-1.7374119964666992E-2</c:v>
                </c:pt>
                <c:pt idx="245">
                  <c:v>-1.1328892866157503E-2</c:v>
                </c:pt>
                <c:pt idx="246">
                  <c:v>-1.1816824193467855E-2</c:v>
                </c:pt>
                <c:pt idx="247">
                  <c:v>-1.6007838145779461E-2</c:v>
                </c:pt>
                <c:pt idx="248">
                  <c:v>-1.5611447240018327E-2</c:v>
                </c:pt>
                <c:pt idx="249">
                  <c:v>-2.4282614496880829E-2</c:v>
                </c:pt>
                <c:pt idx="250">
                  <c:v>-2.2957571203625012E-2</c:v>
                </c:pt>
                <c:pt idx="251">
                  <c:v>-1.7718613321146742E-2</c:v>
                </c:pt>
                <c:pt idx="252">
                  <c:v>-1.1542085377606153E-2</c:v>
                </c:pt>
                <c:pt idx="253">
                  <c:v>-1.564111670063776E-2</c:v>
                </c:pt>
                <c:pt idx="254">
                  <c:v>-9.0625071736166098E-3</c:v>
                </c:pt>
                <c:pt idx="255">
                  <c:v>-2.1377257149074791E-2</c:v>
                </c:pt>
                <c:pt idx="256">
                  <c:v>-1.7844690331543404E-2</c:v>
                </c:pt>
                <c:pt idx="257">
                  <c:v>-1.1612268974227217E-2</c:v>
                </c:pt>
                <c:pt idx="258">
                  <c:v>-2.5514688729385521E-3</c:v>
                </c:pt>
                <c:pt idx="259">
                  <c:v>-4.7931238680576898E-3</c:v>
                </c:pt>
                <c:pt idx="260">
                  <c:v>1.719668186734467E-2</c:v>
                </c:pt>
                <c:pt idx="261">
                  <c:v>5.4282215782769823E-2</c:v>
                </c:pt>
                <c:pt idx="262">
                  <c:v>5.3748377165428858E-2</c:v>
                </c:pt>
                <c:pt idx="263">
                  <c:v>5.544996941370027E-2</c:v>
                </c:pt>
                <c:pt idx="264">
                  <c:v>5.1365043284407094E-2</c:v>
                </c:pt>
                <c:pt idx="265">
                  <c:v>5.3754530703147466E-2</c:v>
                </c:pt>
                <c:pt idx="266">
                  <c:v>5.2894284273322899E-2</c:v>
                </c:pt>
                <c:pt idx="267">
                  <c:v>5.718026851985724E-2</c:v>
                </c:pt>
                <c:pt idx="268">
                  <c:v>5.4654018851780319E-2</c:v>
                </c:pt>
                <c:pt idx="269">
                  <c:v>6.2026414226882223E-2</c:v>
                </c:pt>
                <c:pt idx="270">
                  <c:v>6.9696435707521515E-2</c:v>
                </c:pt>
                <c:pt idx="271">
                  <c:v>7.1445255745670122E-2</c:v>
                </c:pt>
                <c:pt idx="272">
                  <c:v>8.2536289559596743E-2</c:v>
                </c:pt>
                <c:pt idx="273">
                  <c:v>9.9225049565490053E-2</c:v>
                </c:pt>
                <c:pt idx="274">
                  <c:v>9.3925816113388558E-2</c:v>
                </c:pt>
                <c:pt idx="275">
                  <c:v>8.1753228476289158E-2</c:v>
                </c:pt>
                <c:pt idx="276">
                  <c:v>8.8710216157149968E-2</c:v>
                </c:pt>
                <c:pt idx="277">
                  <c:v>7.2100125069402637E-2</c:v>
                </c:pt>
                <c:pt idx="278">
                  <c:v>7.4214924226001996E-2</c:v>
                </c:pt>
                <c:pt idx="279">
                  <c:v>8.143032552454578E-2</c:v>
                </c:pt>
                <c:pt idx="280">
                  <c:v>6.4191032582510382E-2</c:v>
                </c:pt>
                <c:pt idx="281">
                  <c:v>0.12200930976402717</c:v>
                </c:pt>
                <c:pt idx="282">
                  <c:v>0.12376313506743178</c:v>
                </c:pt>
                <c:pt idx="283">
                  <c:v>0.11553088888481454</c:v>
                </c:pt>
                <c:pt idx="284">
                  <c:v>0.11838158294881407</c:v>
                </c:pt>
                <c:pt idx="285">
                  <c:v>0.12201394420358233</c:v>
                </c:pt>
                <c:pt idx="286">
                  <c:v>0.122630915870249</c:v>
                </c:pt>
                <c:pt idx="287">
                  <c:v>0.12227011176929849</c:v>
                </c:pt>
                <c:pt idx="288">
                  <c:v>0.12159465695745009</c:v>
                </c:pt>
                <c:pt idx="289">
                  <c:v>0.12345976418823566</c:v>
                </c:pt>
                <c:pt idx="290">
                  <c:v>0.12769345181995237</c:v>
                </c:pt>
                <c:pt idx="291">
                  <c:v>0.12236763152948221</c:v>
                </c:pt>
                <c:pt idx="292">
                  <c:v>0.12473625812004968</c:v>
                </c:pt>
                <c:pt idx="293">
                  <c:v>0.1316336881484011</c:v>
                </c:pt>
                <c:pt idx="294">
                  <c:v>0.12568340120399563</c:v>
                </c:pt>
                <c:pt idx="295">
                  <c:v>0.11880384373534748</c:v>
                </c:pt>
                <c:pt idx="296">
                  <c:v>0.12073207721720297</c:v>
                </c:pt>
                <c:pt idx="297">
                  <c:v>0.11793564444029495</c:v>
                </c:pt>
                <c:pt idx="298">
                  <c:v>0.11609614073231901</c:v>
                </c:pt>
                <c:pt idx="299">
                  <c:v>0.11269077819652992</c:v>
                </c:pt>
                <c:pt idx="300">
                  <c:v>0.11613229208417447</c:v>
                </c:pt>
                <c:pt idx="301">
                  <c:v>0.11935841428854889</c:v>
                </c:pt>
                <c:pt idx="302">
                  <c:v>0.11704393922409542</c:v>
                </c:pt>
                <c:pt idx="303">
                  <c:v>0.12061910320921997</c:v>
                </c:pt>
                <c:pt idx="304">
                  <c:v>0.12706632234313409</c:v>
                </c:pt>
                <c:pt idx="305">
                  <c:v>0.12257578297804161</c:v>
                </c:pt>
                <c:pt idx="306">
                  <c:v>0.12406315979748167</c:v>
                </c:pt>
                <c:pt idx="307">
                  <c:v>0.12427369170293195</c:v>
                </c:pt>
                <c:pt idx="308">
                  <c:v>0.12155410845835429</c:v>
                </c:pt>
                <c:pt idx="309">
                  <c:v>0.12216576133236984</c:v>
                </c:pt>
                <c:pt idx="310">
                  <c:v>0.12610905487144339</c:v>
                </c:pt>
                <c:pt idx="311">
                  <c:v>0.13016706050329388</c:v>
                </c:pt>
                <c:pt idx="312">
                  <c:v>0.13510112522964279</c:v>
                </c:pt>
                <c:pt idx="313">
                  <c:v>0.13541303127113355</c:v>
                </c:pt>
                <c:pt idx="314">
                  <c:v>0.13931426468899921</c:v>
                </c:pt>
                <c:pt idx="315">
                  <c:v>0.14698307966356255</c:v>
                </c:pt>
                <c:pt idx="316">
                  <c:v>0.13840435292939043</c:v>
                </c:pt>
                <c:pt idx="317">
                  <c:v>0.13343760966412621</c:v>
                </c:pt>
                <c:pt idx="318">
                  <c:v>0.13767653995902676</c:v>
                </c:pt>
                <c:pt idx="319">
                  <c:v>0.13650615650218537</c:v>
                </c:pt>
                <c:pt idx="320">
                  <c:v>0.13716246157818535</c:v>
                </c:pt>
                <c:pt idx="321">
                  <c:v>0.14137248994139051</c:v>
                </c:pt>
                <c:pt idx="322">
                  <c:v>0.14484703843337682</c:v>
                </c:pt>
                <c:pt idx="323">
                  <c:v>0.144699073218723</c:v>
                </c:pt>
                <c:pt idx="324">
                  <c:v>0.1466973074993447</c:v>
                </c:pt>
                <c:pt idx="325">
                  <c:v>0.14287674551387877</c:v>
                </c:pt>
                <c:pt idx="326">
                  <c:v>0.14010867043019493</c:v>
                </c:pt>
                <c:pt idx="327">
                  <c:v>0.13936716379916048</c:v>
                </c:pt>
                <c:pt idx="328">
                  <c:v>0.13891104522134626</c:v>
                </c:pt>
                <c:pt idx="329">
                  <c:v>0.14120461529143699</c:v>
                </c:pt>
                <c:pt idx="330">
                  <c:v>0.1436743231230537</c:v>
                </c:pt>
                <c:pt idx="331">
                  <c:v>0.14383560443563714</c:v>
                </c:pt>
                <c:pt idx="332">
                  <c:v>0.14433213833625563</c:v>
                </c:pt>
                <c:pt idx="333">
                  <c:v>0.14161164487704966</c:v>
                </c:pt>
                <c:pt idx="334">
                  <c:v>0.13913013605189259</c:v>
                </c:pt>
                <c:pt idx="335">
                  <c:v>0.13970066724255767</c:v>
                </c:pt>
                <c:pt idx="336">
                  <c:v>0.14060895556012856</c:v>
                </c:pt>
                <c:pt idx="337">
                  <c:v>0.14665939312472218</c:v>
                </c:pt>
                <c:pt idx="338">
                  <c:v>0.14593906425602757</c:v>
                </c:pt>
                <c:pt idx="339">
                  <c:v>0.14460002179649448</c:v>
                </c:pt>
                <c:pt idx="340">
                  <c:v>0.13330355064961741</c:v>
                </c:pt>
                <c:pt idx="341">
                  <c:v>0.13599508920828637</c:v>
                </c:pt>
                <c:pt idx="342">
                  <c:v>0.1396696372308133</c:v>
                </c:pt>
                <c:pt idx="343">
                  <c:v>0.13758120599372992</c:v>
                </c:pt>
                <c:pt idx="344">
                  <c:v>0.12917048535702025</c:v>
                </c:pt>
                <c:pt idx="345">
                  <c:v>0.12641694620348803</c:v>
                </c:pt>
                <c:pt idx="346">
                  <c:v>0.12726876605100401</c:v>
                </c:pt>
                <c:pt idx="347">
                  <c:v>0.12954397637842616</c:v>
                </c:pt>
                <c:pt idx="348">
                  <c:v>0.13695573636507019</c:v>
                </c:pt>
                <c:pt idx="349">
                  <c:v>0.13917507118071279</c:v>
                </c:pt>
                <c:pt idx="350">
                  <c:v>0.14310183496163589</c:v>
                </c:pt>
                <c:pt idx="351">
                  <c:v>0.14013420939745805</c:v>
                </c:pt>
                <c:pt idx="352">
                  <c:v>0.1435262861701867</c:v>
                </c:pt>
                <c:pt idx="353">
                  <c:v>0.13400010692367967</c:v>
                </c:pt>
                <c:pt idx="354">
                  <c:v>0.12284447020095096</c:v>
                </c:pt>
                <c:pt idx="355">
                  <c:v>0.11834859380202239</c:v>
                </c:pt>
                <c:pt idx="356">
                  <c:v>0.12518690516299077</c:v>
                </c:pt>
                <c:pt idx="357">
                  <c:v>0.1298862237835926</c:v>
                </c:pt>
                <c:pt idx="358">
                  <c:v>0.12536138786630441</c:v>
                </c:pt>
                <c:pt idx="359">
                  <c:v>0.12702713702572357</c:v>
                </c:pt>
                <c:pt idx="360">
                  <c:v>0.1206255499754907</c:v>
                </c:pt>
                <c:pt idx="361">
                  <c:v>0.11071461216414394</c:v>
                </c:pt>
                <c:pt idx="362">
                  <c:v>0.10283742450598646</c:v>
                </c:pt>
                <c:pt idx="363">
                  <c:v>9.0336982500359639E-2</c:v>
                </c:pt>
                <c:pt idx="364">
                  <c:v>8.8421525281078217E-2</c:v>
                </c:pt>
                <c:pt idx="365">
                  <c:v>8.4411270074044586E-2</c:v>
                </c:pt>
                <c:pt idx="366">
                  <c:v>8.9867768441200674E-2</c:v>
                </c:pt>
                <c:pt idx="367">
                  <c:v>8.8316422862492194E-2</c:v>
                </c:pt>
                <c:pt idx="368">
                  <c:v>9.1557404238026177E-2</c:v>
                </c:pt>
                <c:pt idx="369">
                  <c:v>8.9698844460423574E-2</c:v>
                </c:pt>
                <c:pt idx="370">
                  <c:v>9.7077054916745301E-2</c:v>
                </c:pt>
                <c:pt idx="371">
                  <c:v>8.6892819901291371E-2</c:v>
                </c:pt>
                <c:pt idx="372">
                  <c:v>9.9224858295243648E-2</c:v>
                </c:pt>
                <c:pt idx="373">
                  <c:v>9.9596903676579737E-2</c:v>
                </c:pt>
                <c:pt idx="374">
                  <c:v>0.10984123657185972</c:v>
                </c:pt>
                <c:pt idx="375">
                  <c:v>0.1024957425769228</c:v>
                </c:pt>
                <c:pt idx="376">
                  <c:v>0.10200993848091755</c:v>
                </c:pt>
                <c:pt idx="377">
                  <c:v>0.1050164075340993</c:v>
                </c:pt>
                <c:pt idx="378">
                  <c:v>9.7347658109369864E-2</c:v>
                </c:pt>
                <c:pt idx="379">
                  <c:v>8.3574986395466691E-2</c:v>
                </c:pt>
                <c:pt idx="380">
                  <c:v>7.4498810788449124E-2</c:v>
                </c:pt>
                <c:pt idx="381">
                  <c:v>6.7848865793167332E-2</c:v>
                </c:pt>
                <c:pt idx="382">
                  <c:v>5.7948248402942444E-2</c:v>
                </c:pt>
                <c:pt idx="383">
                  <c:v>6.2521663041882336E-2</c:v>
                </c:pt>
                <c:pt idx="384">
                  <c:v>6.0633342011625936E-2</c:v>
                </c:pt>
                <c:pt idx="385">
                  <c:v>6.2009892829602238E-2</c:v>
                </c:pt>
                <c:pt idx="386">
                  <c:v>5.3996166018912863E-2</c:v>
                </c:pt>
                <c:pt idx="387">
                  <c:v>5.6802470119404085E-2</c:v>
                </c:pt>
                <c:pt idx="388">
                  <c:v>5.7118877936572492E-2</c:v>
                </c:pt>
                <c:pt idx="389">
                  <c:v>5.5602801205057076E-2</c:v>
                </c:pt>
                <c:pt idx="390">
                  <c:v>4.0383440076762221E-2</c:v>
                </c:pt>
                <c:pt idx="391">
                  <c:v>4.8997465384126977E-2</c:v>
                </c:pt>
                <c:pt idx="392">
                  <c:v>4.7681123256065085E-2</c:v>
                </c:pt>
                <c:pt idx="393">
                  <c:v>4.9786432453328262E-2</c:v>
                </c:pt>
                <c:pt idx="394">
                  <c:v>6.0859664022114381E-2</c:v>
                </c:pt>
                <c:pt idx="395">
                  <c:v>7.0781077472810996E-2</c:v>
                </c:pt>
                <c:pt idx="396">
                  <c:v>7.0290757936688236E-2</c:v>
                </c:pt>
                <c:pt idx="397">
                  <c:v>5.4115732599933415E-2</c:v>
                </c:pt>
                <c:pt idx="398">
                  <c:v>5.6060992126980173E-2</c:v>
                </c:pt>
                <c:pt idx="399">
                  <c:v>7.1117428962181733E-2</c:v>
                </c:pt>
                <c:pt idx="400">
                  <c:v>5.9730894803434242E-2</c:v>
                </c:pt>
                <c:pt idx="401">
                  <c:v>0.10618135216607159</c:v>
                </c:pt>
                <c:pt idx="402">
                  <c:v>6.3887583093200681E-2</c:v>
                </c:pt>
                <c:pt idx="403">
                  <c:v>5.9939421178516986E-2</c:v>
                </c:pt>
                <c:pt idx="404">
                  <c:v>6.5229955909183665E-2</c:v>
                </c:pt>
                <c:pt idx="405">
                  <c:v>7.3015309011949539E-2</c:v>
                </c:pt>
                <c:pt idx="406">
                  <c:v>6.5302025168211028E-2</c:v>
                </c:pt>
                <c:pt idx="407">
                  <c:v>0.1025907284904284</c:v>
                </c:pt>
                <c:pt idx="408">
                  <c:v>0.14651198767956503</c:v>
                </c:pt>
                <c:pt idx="409">
                  <c:v>0.10609171737494676</c:v>
                </c:pt>
                <c:pt idx="410">
                  <c:v>6.5557801515992706E-2</c:v>
                </c:pt>
                <c:pt idx="411">
                  <c:v>5.4411412077531175E-2</c:v>
                </c:pt>
                <c:pt idx="412">
                  <c:v>4.6910416054590627E-2</c:v>
                </c:pt>
                <c:pt idx="413">
                  <c:v>4.8622522837813022E-2</c:v>
                </c:pt>
                <c:pt idx="414">
                  <c:v>6.3480163714794716E-2</c:v>
                </c:pt>
                <c:pt idx="415">
                  <c:v>4.6663088077937981E-2</c:v>
                </c:pt>
                <c:pt idx="416">
                  <c:v>8.5083076422982684E-2</c:v>
                </c:pt>
                <c:pt idx="417">
                  <c:v>7.0828052740105618E-2</c:v>
                </c:pt>
                <c:pt idx="418">
                  <c:v>7.7577585016715342E-2</c:v>
                </c:pt>
                <c:pt idx="419">
                  <c:v>8.1942148943509083E-2</c:v>
                </c:pt>
                <c:pt idx="420">
                  <c:v>7.9789430336366249E-2</c:v>
                </c:pt>
                <c:pt idx="421">
                  <c:v>7.0658792813425561E-2</c:v>
                </c:pt>
                <c:pt idx="422">
                  <c:v>5.7540136566954066E-2</c:v>
                </c:pt>
                <c:pt idx="423">
                  <c:v>5.5641295940079091E-2</c:v>
                </c:pt>
                <c:pt idx="424">
                  <c:v>4.9908494950877215E-2</c:v>
                </c:pt>
                <c:pt idx="425">
                  <c:v>5.1779913594206438E-2</c:v>
                </c:pt>
                <c:pt idx="426">
                  <c:v>4.6692682239681815E-2</c:v>
                </c:pt>
                <c:pt idx="427">
                  <c:v>4.0781165979783325E-2</c:v>
                </c:pt>
                <c:pt idx="428">
                  <c:v>4.8338768471990257E-2</c:v>
                </c:pt>
                <c:pt idx="429">
                  <c:v>6.0115398707258114E-2</c:v>
                </c:pt>
                <c:pt idx="430">
                  <c:v>7.3364969772098304E-2</c:v>
                </c:pt>
                <c:pt idx="431">
                  <c:v>7.0211851193200059E-2</c:v>
                </c:pt>
                <c:pt idx="432">
                  <c:v>7.3139935534541345E-2</c:v>
                </c:pt>
                <c:pt idx="433">
                  <c:v>8.2489268951991018E-2</c:v>
                </c:pt>
                <c:pt idx="434">
                  <c:v>8.3421608531518587E-2</c:v>
                </c:pt>
                <c:pt idx="435">
                  <c:v>8.9231791082158576E-2</c:v>
                </c:pt>
                <c:pt idx="436">
                  <c:v>9.6165704143540393E-2</c:v>
                </c:pt>
                <c:pt idx="437">
                  <c:v>0.10124409022727987</c:v>
                </c:pt>
                <c:pt idx="438">
                  <c:v>6.3421677460864787E-2</c:v>
                </c:pt>
                <c:pt idx="439">
                  <c:v>7.6129914088642517E-2</c:v>
                </c:pt>
                <c:pt idx="440">
                  <c:v>4.795482708943722E-2</c:v>
                </c:pt>
                <c:pt idx="441">
                  <c:v>3.4479287482103924E-2</c:v>
                </c:pt>
                <c:pt idx="442">
                  <c:v>3.9973039934575398E-2</c:v>
                </c:pt>
                <c:pt idx="443">
                  <c:v>5.239278560483733E-2</c:v>
                </c:pt>
                <c:pt idx="444">
                  <c:v>4.4805264307950503E-2</c:v>
                </c:pt>
                <c:pt idx="445">
                  <c:v>2.5276383831760053E-2</c:v>
                </c:pt>
                <c:pt idx="446">
                  <c:v>2.4615035273007069E-2</c:v>
                </c:pt>
                <c:pt idx="447">
                  <c:v>3.1494845088912878E-2</c:v>
                </c:pt>
                <c:pt idx="448">
                  <c:v>5.7380505956436305E-3</c:v>
                </c:pt>
                <c:pt idx="449">
                  <c:v>7.459202489554344E-3</c:v>
                </c:pt>
                <c:pt idx="450">
                  <c:v>5.815039468041963E-3</c:v>
                </c:pt>
                <c:pt idx="451">
                  <c:v>3.9062645307796099E-3</c:v>
                </c:pt>
                <c:pt idx="452">
                  <c:v>9.4811399137341504E-3</c:v>
                </c:pt>
                <c:pt idx="453">
                  <c:v>1.6923976242305568E-2</c:v>
                </c:pt>
                <c:pt idx="454">
                  <c:v>7.4240451117185318E-3</c:v>
                </c:pt>
                <c:pt idx="455">
                  <c:v>1.4472512348572785E-2</c:v>
                </c:pt>
                <c:pt idx="456">
                  <c:v>-6.4850876779487237E-3</c:v>
                </c:pt>
                <c:pt idx="457">
                  <c:v>1.223435989254068E-2</c:v>
                </c:pt>
                <c:pt idx="458">
                  <c:v>2.2143124445650718E-2</c:v>
                </c:pt>
                <c:pt idx="459">
                  <c:v>3.3919092772181324E-2</c:v>
                </c:pt>
                <c:pt idx="460">
                  <c:v>4.4302820914454963E-2</c:v>
                </c:pt>
                <c:pt idx="461">
                  <c:v>0.13406301955855102</c:v>
                </c:pt>
                <c:pt idx="462">
                  <c:v>-2.324731795120015E-2</c:v>
                </c:pt>
                <c:pt idx="463">
                  <c:v>-3.024847264528243E-2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F9-42ED-915B-D0595346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564704"/>
        <c:axId val="314028224"/>
      </c:lineChart>
      <c:dateAx>
        <c:axId val="312564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028224"/>
        <c:crosses val="autoZero"/>
        <c:auto val="1"/>
        <c:lblOffset val="100"/>
        <c:baseTimeUnit val="days"/>
      </c:dateAx>
      <c:valAx>
        <c:axId val="3140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6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AA4498A-0414-4A81-BAD8-A0FA19332BA5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81C06B-3FFA-4B9A-A9B6-C7DCB9A467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25.306000000000001</v>
      </c>
      <c r="D2" s="4">
        <f>MIN(D3:D1912)</f>
        <v>0.18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4.3369999999999997</v>
      </c>
      <c r="C5">
        <v>4.399</v>
      </c>
      <c r="D5">
        <v>4.2770000000000001</v>
      </c>
      <c r="E5">
        <v>4.2770000000000001</v>
      </c>
      <c r="F5">
        <v>22808.2</v>
      </c>
      <c r="G5">
        <v>4.2770000000000001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-22808.2</v>
      </c>
      <c r="R5">
        <f t="shared" ref="R5" si="2">R6+Q5</f>
        <v>-16939814.587865591</v>
      </c>
      <c r="S5">
        <f t="shared" ref="S5" si="3">R5/100000</f>
        <v>-169.39814587865592</v>
      </c>
      <c r="T5">
        <f t="shared" ref="T5" si="4">S5/1000</f>
        <v>-0.16939814587865593</v>
      </c>
    </row>
    <row r="6" spans="1:20" x14ac:dyDescent="0.25">
      <c r="A6" s="5">
        <v>44587</v>
      </c>
      <c r="B6">
        <v>4.4089999999999998</v>
      </c>
      <c r="C6">
        <v>4.9740000000000002</v>
      </c>
      <c r="D6">
        <v>4.2750000000000004</v>
      </c>
      <c r="E6">
        <v>4.3380000000000001</v>
      </c>
      <c r="F6">
        <v>852224.7</v>
      </c>
      <c r="G6">
        <v>4.3380000000000001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-0.81974248927038706</v>
      </c>
      <c r="Q6">
        <f t="shared" ref="Q6" si="6">F6*P6</f>
        <v>-698604.79699570884</v>
      </c>
      <c r="R6">
        <f t="shared" ref="R6" si="7">R7+Q6</f>
        <v>-16917006.387865592</v>
      </c>
      <c r="S6">
        <f t="shared" ref="S6" si="8">R6/100000</f>
        <v>-169.17006387865592</v>
      </c>
      <c r="T6">
        <f t="shared" ref="T6" si="9">S6/1000</f>
        <v>-0.16917006387865594</v>
      </c>
    </row>
    <row r="7" spans="1:20" x14ac:dyDescent="0.25">
      <c r="A7" s="5">
        <v>44586</v>
      </c>
      <c r="B7">
        <v>4.18</v>
      </c>
      <c r="C7">
        <v>4.4189999999999996</v>
      </c>
      <c r="D7">
        <v>4.048</v>
      </c>
      <c r="E7">
        <v>4.399</v>
      </c>
      <c r="F7">
        <v>230320.4</v>
      </c>
      <c r="G7">
        <v>4.399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0.89218328840970562</v>
      </c>
      <c r="Q7">
        <f t="shared" ref="Q7" si="11">F7*P7</f>
        <v>205488.01185983876</v>
      </c>
      <c r="R7">
        <f t="shared" ref="R7" si="12">R8+Q7</f>
        <v>-16218401.590869883</v>
      </c>
      <c r="S7">
        <f t="shared" ref="S7" si="13">R7/100000</f>
        <v>-162.18401590869883</v>
      </c>
      <c r="T7">
        <f t="shared" ref="T7" si="14">S7/1000</f>
        <v>-0.16218401590869883</v>
      </c>
    </row>
    <row r="8" spans="1:20" x14ac:dyDescent="0.25">
      <c r="A8" s="5">
        <v>44585</v>
      </c>
      <c r="B8">
        <v>4.407</v>
      </c>
      <c r="C8">
        <v>4.407</v>
      </c>
      <c r="D8">
        <v>3.75</v>
      </c>
      <c r="E8">
        <v>4.181</v>
      </c>
      <c r="F8">
        <v>807385.71499999997</v>
      </c>
      <c r="G8">
        <v>4.181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0.31202435312024362</v>
      </c>
      <c r="Q8">
        <f t="shared" ref="Q8" si="16">F8*P8</f>
        <v>251924.00544140037</v>
      </c>
      <c r="R8">
        <f t="shared" ref="R8" si="17">R9+Q8</f>
        <v>-16423889.602729721</v>
      </c>
      <c r="S8">
        <f t="shared" ref="S8" si="18">R8/100000</f>
        <v>-164.23889602729722</v>
      </c>
      <c r="T8">
        <f t="shared" ref="T8" si="19">S8/1000</f>
        <v>-0.16423889602729722</v>
      </c>
    </row>
    <row r="9" spans="1:20" x14ac:dyDescent="0.25">
      <c r="A9" s="5">
        <v>44584</v>
      </c>
      <c r="B9">
        <v>4.3040000000000003</v>
      </c>
      <c r="C9">
        <v>4.7549999999999999</v>
      </c>
      <c r="D9">
        <v>4.2380000000000004</v>
      </c>
      <c r="E9">
        <v>4.4080000000000004</v>
      </c>
      <c r="F9">
        <v>639792</v>
      </c>
      <c r="G9">
        <v>4.4080000000000004</v>
      </c>
      <c r="L9" t="s">
        <v>8</v>
      </c>
      <c r="M9" t="s">
        <v>7</v>
      </c>
      <c r="N9" t="s">
        <v>7</v>
      </c>
      <c r="P9">
        <f t="shared" ref="P9" si="20">IF(C9=D9,0,((E9-D9)-(C9-E9))/(C9-D9))</f>
        <v>-0.34235976789168238</v>
      </c>
      <c r="Q9">
        <f t="shared" ref="Q9" si="21">F9*P9</f>
        <v>-219039.04061895525</v>
      </c>
      <c r="R9">
        <f t="shared" ref="R9" si="22">R10+Q9</f>
        <v>-16675813.608171122</v>
      </c>
      <c r="S9">
        <f t="shared" ref="S9" si="23">R9/100000</f>
        <v>-166.75813608171123</v>
      </c>
      <c r="T9">
        <f t="shared" ref="T9" si="24">S9/1000</f>
        <v>-0.16675813608171122</v>
      </c>
    </row>
    <row r="10" spans="1:20" x14ac:dyDescent="0.25">
      <c r="A10" s="5">
        <v>44583</v>
      </c>
      <c r="B10">
        <v>5.2190000000000003</v>
      </c>
      <c r="C10">
        <v>5.3490000000000002</v>
      </c>
      <c r="D10">
        <v>4.1500000000000004</v>
      </c>
      <c r="E10">
        <v>4.3010000000000002</v>
      </c>
      <c r="F10">
        <v>902870.78200000001</v>
      </c>
      <c r="G10">
        <v>4.3010000000000002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-0.74812343619683097</v>
      </c>
      <c r="Q10">
        <f t="shared" ref="Q10" si="26">F10*P10</f>
        <v>-675458.79187155992</v>
      </c>
      <c r="R10">
        <f t="shared" ref="R10" si="27">R11+Q10</f>
        <v>-16456774.567552166</v>
      </c>
      <c r="S10">
        <f t="shared" ref="S10" si="28">R10/100000</f>
        <v>-164.56774567552165</v>
      </c>
      <c r="T10">
        <f t="shared" ref="T10" si="29">S10/1000</f>
        <v>-0.16456774567552165</v>
      </c>
    </row>
    <row r="11" spans="1:20" x14ac:dyDescent="0.25">
      <c r="A11" s="5">
        <v>44582</v>
      </c>
      <c r="B11">
        <v>6.1020000000000003</v>
      </c>
      <c r="C11">
        <v>6.18</v>
      </c>
      <c r="D11">
        <v>5.1230000000000002</v>
      </c>
      <c r="E11">
        <v>5.2350000000000003</v>
      </c>
      <c r="F11">
        <v>615577.30000000005</v>
      </c>
      <c r="G11">
        <v>5.2350000000000003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-0.78807947019867519</v>
      </c>
      <c r="Q11">
        <f t="shared" ref="Q11" si="31">F11*P11</f>
        <v>-485123.83245033096</v>
      </c>
      <c r="R11">
        <f t="shared" ref="R11" si="32">R12+Q11</f>
        <v>-15781315.775680605</v>
      </c>
      <c r="S11">
        <f t="shared" ref="S11" si="33">R11/100000</f>
        <v>-157.81315775680605</v>
      </c>
      <c r="T11">
        <f t="shared" ref="T11" si="34">S11/1000</f>
        <v>-0.15781315775680604</v>
      </c>
    </row>
    <row r="12" spans="1:20" x14ac:dyDescent="0.25">
      <c r="A12" s="5">
        <v>44581</v>
      </c>
      <c r="B12">
        <v>6.2220000000000004</v>
      </c>
      <c r="C12">
        <v>6.633</v>
      </c>
      <c r="D12">
        <v>6.0940000000000003</v>
      </c>
      <c r="E12">
        <v>6.1139999999999999</v>
      </c>
      <c r="F12">
        <v>211620.7</v>
      </c>
      <c r="G12">
        <v>6.1139999999999999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-0.92578849721707024</v>
      </c>
      <c r="Q12">
        <f t="shared" ref="Q12" si="36">F12*P12</f>
        <v>-195916.00983302447</v>
      </c>
      <c r="R12">
        <f t="shared" ref="R12" si="37">R13+Q12</f>
        <v>-15296191.943230275</v>
      </c>
      <c r="S12">
        <f t="shared" ref="S12" si="38">R12/100000</f>
        <v>-152.96191943230275</v>
      </c>
      <c r="T12">
        <f t="shared" ref="T12" si="39">S12/1000</f>
        <v>-0.15296191943230275</v>
      </c>
    </row>
    <row r="13" spans="1:20" x14ac:dyDescent="0.25">
      <c r="A13" s="5">
        <v>44580</v>
      </c>
      <c r="B13">
        <v>6.6509999999999998</v>
      </c>
      <c r="C13">
        <v>6.67</v>
      </c>
      <c r="D13">
        <v>6.1680000000000001</v>
      </c>
      <c r="E13">
        <v>6.2149999999999999</v>
      </c>
      <c r="F13">
        <v>292224.59999999998</v>
      </c>
      <c r="G13">
        <v>6.2149999999999999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-0.8127490039840648</v>
      </c>
      <c r="Q13">
        <f t="shared" ref="Q13" si="41">F13*P13</f>
        <v>-237505.25258964172</v>
      </c>
      <c r="R13">
        <f t="shared" ref="R13" si="42">R14+Q13</f>
        <v>-15100275.93339725</v>
      </c>
      <c r="S13">
        <f t="shared" ref="S13" si="43">R13/100000</f>
        <v>-151.00275933397251</v>
      </c>
      <c r="T13">
        <f t="shared" ref="T13" si="44">S13/1000</f>
        <v>-0.1510027593339725</v>
      </c>
    </row>
    <row r="14" spans="1:20" x14ac:dyDescent="0.25">
      <c r="A14" s="5">
        <v>44579</v>
      </c>
      <c r="B14">
        <v>6.891</v>
      </c>
      <c r="C14">
        <v>6.9039999999999999</v>
      </c>
      <c r="D14">
        <v>6.4729999999999999</v>
      </c>
      <c r="E14">
        <v>6.6509999999999998</v>
      </c>
      <c r="F14">
        <v>220454.1</v>
      </c>
      <c r="G14">
        <v>6.6509999999999998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-0.17401392111368949</v>
      </c>
      <c r="Q14">
        <f t="shared" ref="Q14" si="46">F14*P14</f>
        <v>-38362.082366589413</v>
      </c>
      <c r="R14">
        <f t="shared" ref="R14" si="47">R15+Q14</f>
        <v>-14862770.680807609</v>
      </c>
      <c r="S14">
        <f t="shared" ref="S14" si="48">R14/100000</f>
        <v>-148.62770680807608</v>
      </c>
      <c r="T14">
        <f t="shared" ref="T14" si="49">S14/1000</f>
        <v>-0.14862770680807608</v>
      </c>
    </row>
    <row r="15" spans="1:20" x14ac:dyDescent="0.25">
      <c r="A15" s="5">
        <v>44578</v>
      </c>
      <c r="B15">
        <v>7.2220000000000004</v>
      </c>
      <c r="C15">
        <v>7.23</v>
      </c>
      <c r="D15">
        <v>6.7350000000000003</v>
      </c>
      <c r="E15">
        <v>6.891</v>
      </c>
      <c r="F15">
        <v>188428.1</v>
      </c>
      <c r="G15">
        <v>6.891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-0.36969696969697108</v>
      </c>
      <c r="Q15">
        <f t="shared" ref="Q15" si="51">F15*P15</f>
        <v>-69661.297575757839</v>
      </c>
      <c r="R15">
        <f t="shared" ref="R15" si="52">R16+Q15</f>
        <v>-14824408.59844102</v>
      </c>
      <c r="S15">
        <f t="shared" ref="S15" si="53">R15/100000</f>
        <v>-148.24408598441019</v>
      </c>
      <c r="T15">
        <f t="shared" ref="T15" si="54">S15/1000</f>
        <v>-0.14824408598441019</v>
      </c>
    </row>
    <row r="16" spans="1:20" x14ac:dyDescent="0.25">
      <c r="A16" s="5">
        <v>44577</v>
      </c>
      <c r="B16">
        <v>7.0709999999999997</v>
      </c>
      <c r="C16">
        <v>7.282</v>
      </c>
      <c r="D16">
        <v>6.9450000000000003</v>
      </c>
      <c r="E16">
        <v>7.234</v>
      </c>
      <c r="F16">
        <v>218215.7</v>
      </c>
      <c r="G16">
        <v>7.234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0.71513353115726952</v>
      </c>
      <c r="Q16">
        <f t="shared" ref="Q16" si="56">F16*P16</f>
        <v>156053.36409495538</v>
      </c>
      <c r="R16">
        <f t="shared" ref="R16" si="57">R17+Q16</f>
        <v>-14754747.300865261</v>
      </c>
      <c r="S16">
        <f t="shared" ref="S16" si="58">R16/100000</f>
        <v>-147.54747300865262</v>
      </c>
      <c r="T16">
        <f t="shared" ref="T16" si="59">S16/1000</f>
        <v>-0.14754747300865262</v>
      </c>
    </row>
    <row r="17" spans="1:20" x14ac:dyDescent="0.25">
      <c r="A17" s="5">
        <v>44576</v>
      </c>
      <c r="B17">
        <v>6.9960000000000004</v>
      </c>
      <c r="C17">
        <v>7.1980000000000004</v>
      </c>
      <c r="D17">
        <v>6.859</v>
      </c>
      <c r="E17">
        <v>7.0750000000000002</v>
      </c>
      <c r="F17">
        <v>182784.6</v>
      </c>
      <c r="G17">
        <v>7.0750000000000002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0.2743362831858403</v>
      </c>
      <c r="Q17">
        <f t="shared" ref="Q17" si="61">F17*P17</f>
        <v>50144.447787610545</v>
      </c>
      <c r="R17">
        <f t="shared" ref="R17" si="62">R18+Q17</f>
        <v>-14910800.664960217</v>
      </c>
      <c r="S17">
        <f t="shared" ref="S17" si="63">R17/100000</f>
        <v>-149.10800664960217</v>
      </c>
      <c r="T17">
        <f t="shared" ref="T17" si="64">S17/1000</f>
        <v>-0.14910800664960216</v>
      </c>
    </row>
    <row r="18" spans="1:20" x14ac:dyDescent="0.25">
      <c r="A18" s="5">
        <v>44575</v>
      </c>
      <c r="B18">
        <v>6.7939999999999996</v>
      </c>
      <c r="C18">
        <v>7.03</v>
      </c>
      <c r="D18">
        <v>6.7130000000000001</v>
      </c>
      <c r="E18">
        <v>6.9859999999999998</v>
      </c>
      <c r="F18">
        <v>219257.60000000001</v>
      </c>
      <c r="G18">
        <v>6.9859999999999998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0.72239747634069107</v>
      </c>
      <c r="Q18">
        <f t="shared" ref="Q18" si="66">F18*P18</f>
        <v>158391.13690851672</v>
      </c>
      <c r="R18">
        <f t="shared" ref="R18" si="67">R19+Q18</f>
        <v>-14960945.112747828</v>
      </c>
      <c r="S18">
        <f t="shared" ref="S18" si="68">R18/100000</f>
        <v>-149.60945112747828</v>
      </c>
      <c r="T18">
        <f t="shared" ref="T18" si="69">S18/1000</f>
        <v>-0.14960945112747828</v>
      </c>
    </row>
    <row r="19" spans="1:20" x14ac:dyDescent="0.25">
      <c r="A19" s="5">
        <v>44574</v>
      </c>
      <c r="B19">
        <v>7.226</v>
      </c>
      <c r="C19">
        <v>7.32</v>
      </c>
      <c r="D19">
        <v>6.7930000000000001</v>
      </c>
      <c r="E19">
        <v>6.7990000000000004</v>
      </c>
      <c r="F19">
        <v>316012.3</v>
      </c>
      <c r="G19">
        <v>6.7990000000000004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-0.97722960151802574</v>
      </c>
      <c r="Q19">
        <f t="shared" ref="Q19" si="71">F19*P19</f>
        <v>-308816.57400379481</v>
      </c>
      <c r="R19">
        <f t="shared" ref="R19" si="72">R20+Q19</f>
        <v>-15119336.249656344</v>
      </c>
      <c r="S19">
        <f t="shared" ref="S19" si="73">R19/100000</f>
        <v>-151.19336249656345</v>
      </c>
      <c r="T19">
        <f t="shared" ref="T19" si="74">S19/1000</f>
        <v>-0.15119336249656345</v>
      </c>
    </row>
    <row r="20" spans="1:20" x14ac:dyDescent="0.25">
      <c r="A20" s="5">
        <v>44573</v>
      </c>
      <c r="B20">
        <v>7.1230000000000002</v>
      </c>
      <c r="C20">
        <v>7.4349999999999996</v>
      </c>
      <c r="D20">
        <v>7.016</v>
      </c>
      <c r="E20">
        <v>7.2469999999999999</v>
      </c>
      <c r="F20">
        <v>407477.1</v>
      </c>
      <c r="G20">
        <v>7.2469999999999999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0.10262529832935606</v>
      </c>
      <c r="Q20">
        <f t="shared" ref="Q20" si="76">F20*P20</f>
        <v>41817.458949880849</v>
      </c>
      <c r="R20">
        <f t="shared" ref="R20" si="77">R21+Q20</f>
        <v>-14810519.675652549</v>
      </c>
      <c r="S20">
        <f t="shared" ref="S20" si="78">R20/100000</f>
        <v>-148.10519675652549</v>
      </c>
      <c r="T20">
        <f t="shared" ref="T20" si="79">S20/1000</f>
        <v>-0.14810519675652548</v>
      </c>
    </row>
    <row r="21" spans="1:20" x14ac:dyDescent="0.25">
      <c r="A21" s="5">
        <v>44572</v>
      </c>
      <c r="B21">
        <v>6.8</v>
      </c>
      <c r="C21">
        <v>7.6</v>
      </c>
      <c r="D21">
        <v>6.7629999999999999</v>
      </c>
      <c r="E21">
        <v>7.1470000000000002</v>
      </c>
      <c r="F21">
        <v>506387.9</v>
      </c>
      <c r="G21">
        <v>7.1470000000000002</v>
      </c>
      <c r="L21" t="s">
        <v>7</v>
      </c>
      <c r="M21" t="s">
        <v>8</v>
      </c>
      <c r="N21" t="s">
        <v>7</v>
      </c>
      <c r="P21">
        <f t="shared" ref="P21" si="80">IF(C21=D21,0,((E21-D21)-(C21-E21))/(C21-D21))</f>
        <v>-8.2437275985661987E-2</v>
      </c>
      <c r="Q21">
        <f t="shared" ref="Q21" si="81">F21*P21</f>
        <v>-41745.239068099807</v>
      </c>
      <c r="R21">
        <f t="shared" ref="R21" si="82">R22+Q21</f>
        <v>-14852337.134602429</v>
      </c>
      <c r="S21">
        <f t="shared" ref="S21" si="83">R21/100000</f>
        <v>-148.52337134602431</v>
      </c>
      <c r="T21">
        <f t="shared" ref="T21" si="84">S21/1000</f>
        <v>-0.14852337134602431</v>
      </c>
    </row>
    <row r="22" spans="1:20" x14ac:dyDescent="0.25">
      <c r="A22" s="5">
        <v>44571</v>
      </c>
      <c r="B22">
        <v>6.7389999999999999</v>
      </c>
      <c r="C22">
        <v>7.59</v>
      </c>
      <c r="D22">
        <v>6.327</v>
      </c>
      <c r="E22">
        <v>6.8159999999999998</v>
      </c>
      <c r="F22">
        <v>498622.5</v>
      </c>
      <c r="G22">
        <v>6.8159999999999998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-0.22565320665083149</v>
      </c>
      <c r="Q22">
        <f t="shared" ref="Q22" si="86">F22*P22</f>
        <v>-112515.76603325423</v>
      </c>
      <c r="R22">
        <f t="shared" ref="R22" si="87">R23+Q22</f>
        <v>-14810591.895534329</v>
      </c>
      <c r="S22">
        <f t="shared" ref="S22" si="88">R22/100000</f>
        <v>-148.1059189553433</v>
      </c>
      <c r="T22">
        <f t="shared" ref="T22" si="89">S22/1000</f>
        <v>-0.14810591895534331</v>
      </c>
    </row>
    <row r="23" spans="1:20" x14ac:dyDescent="0.25">
      <c r="A23" s="5">
        <v>44570</v>
      </c>
      <c r="B23">
        <v>6.8540000000000001</v>
      </c>
      <c r="C23">
        <v>7.0570000000000004</v>
      </c>
      <c r="D23">
        <v>6.7</v>
      </c>
      <c r="E23">
        <v>6.74</v>
      </c>
      <c r="F23">
        <v>213628.2</v>
      </c>
      <c r="G23">
        <v>6.74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-0.77591036414565817</v>
      </c>
      <c r="Q23">
        <f t="shared" ref="Q23" si="91">F23*P23</f>
        <v>-165756.33445378151</v>
      </c>
      <c r="R23">
        <f t="shared" ref="R23" si="92">R24+Q23</f>
        <v>-14698076.129501075</v>
      </c>
      <c r="S23">
        <f t="shared" ref="S23" si="93">R23/100000</f>
        <v>-146.98076129501075</v>
      </c>
      <c r="T23">
        <f t="shared" ref="T23" si="94">S23/1000</f>
        <v>-0.14698076129501075</v>
      </c>
    </row>
    <row r="24" spans="1:20" x14ac:dyDescent="0.25">
      <c r="A24" s="5">
        <v>44569</v>
      </c>
      <c r="B24">
        <v>6.9539999999999997</v>
      </c>
      <c r="C24">
        <v>7.35</v>
      </c>
      <c r="D24">
        <v>6.5</v>
      </c>
      <c r="E24">
        <v>6.8540000000000001</v>
      </c>
      <c r="F24">
        <v>298692.90000000002</v>
      </c>
      <c r="G24">
        <v>6.8540000000000001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-0.1670588235294112</v>
      </c>
      <c r="Q24">
        <f t="shared" ref="Q24" si="96">F24*P24</f>
        <v>-49899.284470588071</v>
      </c>
      <c r="R24">
        <f t="shared" ref="R24" si="97">R25+Q24</f>
        <v>-14532319.795047292</v>
      </c>
      <c r="S24">
        <f t="shared" ref="S24" si="98">R24/100000</f>
        <v>-145.32319795047292</v>
      </c>
      <c r="T24">
        <f t="shared" ref="T24" si="99">S24/1000</f>
        <v>-0.14532319795047291</v>
      </c>
    </row>
    <row r="25" spans="1:20" x14ac:dyDescent="0.25">
      <c r="A25" s="5">
        <v>44568</v>
      </c>
      <c r="B25">
        <v>7.415</v>
      </c>
      <c r="C25">
        <v>7.4470000000000001</v>
      </c>
      <c r="D25">
        <v>6.742</v>
      </c>
      <c r="E25">
        <v>6.9459999999999997</v>
      </c>
      <c r="F25">
        <v>361880.9</v>
      </c>
      <c r="G25">
        <v>6.9459999999999997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-0.42127659574468168</v>
      </c>
      <c r="Q25">
        <f t="shared" ref="Q25" si="101">F25*P25</f>
        <v>-152451.95361702159</v>
      </c>
      <c r="R25">
        <f t="shared" ref="R25" si="102">R26+Q25</f>
        <v>-14482420.510576705</v>
      </c>
      <c r="S25">
        <f t="shared" ref="S25" si="103">R25/100000</f>
        <v>-144.82420510576705</v>
      </c>
      <c r="T25">
        <f t="shared" ref="T25" si="104">S25/1000</f>
        <v>-0.14482420510576705</v>
      </c>
    </row>
    <row r="26" spans="1:20" x14ac:dyDescent="0.25">
      <c r="A26" s="5">
        <v>44567</v>
      </c>
      <c r="B26">
        <v>7.577</v>
      </c>
      <c r="C26">
        <v>7.6180000000000003</v>
      </c>
      <c r="D26">
        <v>7.0780000000000003</v>
      </c>
      <c r="E26">
        <v>7.43</v>
      </c>
      <c r="F26">
        <v>371109.03200000001</v>
      </c>
      <c r="G26">
        <v>7.43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0.30370370370370148</v>
      </c>
      <c r="Q26">
        <f t="shared" ref="Q26" si="106">F26*P26</f>
        <v>112707.18749629548</v>
      </c>
      <c r="R26">
        <f t="shared" ref="R26" si="107">R27+Q26</f>
        <v>-14329968.556959683</v>
      </c>
      <c r="S26">
        <f t="shared" ref="S26" si="108">R26/100000</f>
        <v>-143.29968556959682</v>
      </c>
      <c r="T26">
        <f t="shared" ref="T26" si="109">S26/1000</f>
        <v>-0.14329968556959682</v>
      </c>
    </row>
    <row r="27" spans="1:20" x14ac:dyDescent="0.25">
      <c r="A27" s="5">
        <v>44566</v>
      </c>
      <c r="B27">
        <v>8.1300000000000008</v>
      </c>
      <c r="C27">
        <v>8.3360000000000003</v>
      </c>
      <c r="D27">
        <v>7.4</v>
      </c>
      <c r="E27">
        <v>7.5780000000000003</v>
      </c>
      <c r="F27">
        <v>476879.8</v>
      </c>
      <c r="G27">
        <v>7.5780000000000003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-0.61965811965811979</v>
      </c>
      <c r="Q27">
        <f t="shared" ref="Q27" si="111">F27*P27</f>
        <v>-295502.44017094024</v>
      </c>
      <c r="R27">
        <f t="shared" ref="R27" si="112">R28+Q27</f>
        <v>-14442675.744455978</v>
      </c>
      <c r="S27">
        <f t="shared" ref="S27" si="113">R27/100000</f>
        <v>-144.42675744455977</v>
      </c>
      <c r="T27">
        <f t="shared" ref="T27" si="114">S27/1000</f>
        <v>-0.14442675744455977</v>
      </c>
    </row>
    <row r="28" spans="1:20" x14ac:dyDescent="0.25">
      <c r="A28" s="5">
        <v>44565</v>
      </c>
      <c r="B28">
        <v>8.2750000000000004</v>
      </c>
      <c r="C28">
        <v>8.4160000000000004</v>
      </c>
      <c r="D28">
        <v>8.1120000000000001</v>
      </c>
      <c r="E28">
        <v>8.1329999999999991</v>
      </c>
      <c r="F28">
        <v>245648.8</v>
      </c>
      <c r="G28">
        <v>8.1329999999999991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-0.86184210526316452</v>
      </c>
      <c r="Q28">
        <f t="shared" ref="Q28" si="116">F28*P28</f>
        <v>-211710.47894737005</v>
      </c>
      <c r="R28">
        <f t="shared" ref="R28" si="117">R29+Q28</f>
        <v>-14147173.304285038</v>
      </c>
      <c r="S28">
        <f t="shared" ref="S28" si="118">R28/100000</f>
        <v>-141.47173304285039</v>
      </c>
      <c r="T28">
        <f t="shared" ref="T28" si="119">S28/1000</f>
        <v>-0.14147173304285038</v>
      </c>
    </row>
    <row r="29" spans="1:20" x14ac:dyDescent="0.25">
      <c r="A29" s="5">
        <v>44564</v>
      </c>
      <c r="B29">
        <v>8.5690000000000008</v>
      </c>
      <c r="C29">
        <v>8.6</v>
      </c>
      <c r="D29">
        <v>8.1539999999999999</v>
      </c>
      <c r="E29">
        <v>8.2759999999999998</v>
      </c>
      <c r="F29">
        <v>154911</v>
      </c>
      <c r="G29">
        <v>8.2759999999999998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-0.45291479820627822</v>
      </c>
      <c r="Q29">
        <f t="shared" ref="Q29" si="121">F29*P29</f>
        <v>-70161.484304932761</v>
      </c>
      <c r="R29">
        <f t="shared" ref="R29" si="122">R30+Q29</f>
        <v>-13935462.825337669</v>
      </c>
      <c r="S29">
        <f t="shared" ref="S29" si="123">R29/100000</f>
        <v>-139.35462825337669</v>
      </c>
      <c r="T29">
        <f t="shared" ref="T29" si="124">S29/1000</f>
        <v>-0.13935462825337669</v>
      </c>
    </row>
    <row r="30" spans="1:20" x14ac:dyDescent="0.25">
      <c r="A30" s="5">
        <v>44563</v>
      </c>
      <c r="B30">
        <v>8.5299999999999994</v>
      </c>
      <c r="C30">
        <v>8.66</v>
      </c>
      <c r="D30">
        <v>8.3130000000000006</v>
      </c>
      <c r="E30">
        <v>8.5510000000000002</v>
      </c>
      <c r="F30">
        <v>167724.5</v>
      </c>
      <c r="G30">
        <v>8.5510000000000002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0.37175792507204536</v>
      </c>
      <c r="Q30">
        <f t="shared" ref="Q30" si="126">F30*P30</f>
        <v>62352.912103746268</v>
      </c>
      <c r="R30">
        <f t="shared" ref="R30" si="127">R31+Q30</f>
        <v>-13865301.341032736</v>
      </c>
      <c r="S30">
        <f t="shared" ref="S30" si="128">R30/100000</f>
        <v>-138.65301341032736</v>
      </c>
      <c r="T30">
        <f t="shared" ref="T30" si="129">S30/1000</f>
        <v>-0.13865301341032737</v>
      </c>
    </row>
    <row r="31" spans="1:20" x14ac:dyDescent="0.25">
      <c r="A31" s="5">
        <v>44562</v>
      </c>
      <c r="B31">
        <v>8.2379999999999995</v>
      </c>
      <c r="C31">
        <v>8.5510000000000002</v>
      </c>
      <c r="D31">
        <v>8.2360000000000007</v>
      </c>
      <c r="E31">
        <v>8.5299999999999994</v>
      </c>
      <c r="F31">
        <v>154417</v>
      </c>
      <c r="G31">
        <v>8.5299999999999994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0.86666666666666137</v>
      </c>
      <c r="Q31">
        <f t="shared" ref="Q31" si="131">F31*P31</f>
        <v>133828.06666666584</v>
      </c>
      <c r="R31">
        <f t="shared" ref="R31" si="132">R32+Q31</f>
        <v>-13927654.253136482</v>
      </c>
      <c r="S31">
        <f t="shared" ref="S31" si="133">R31/100000</f>
        <v>-139.27654253136481</v>
      </c>
      <c r="T31">
        <f t="shared" ref="T31" si="134">S31/1000</f>
        <v>-0.13927654253136482</v>
      </c>
    </row>
    <row r="32" spans="1:20" x14ac:dyDescent="0.25">
      <c r="A32" s="5">
        <v>44561</v>
      </c>
      <c r="B32">
        <v>8.5670000000000002</v>
      </c>
      <c r="C32">
        <v>8.6199999999999992</v>
      </c>
      <c r="D32">
        <v>8.2170000000000005</v>
      </c>
      <c r="E32">
        <v>8.2460000000000004</v>
      </c>
      <c r="F32">
        <v>220321</v>
      </c>
      <c r="G32">
        <v>8.2460000000000004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-0.85607940446650121</v>
      </c>
      <c r="Q32">
        <f t="shared" ref="Q32" si="136">F32*P32</f>
        <v>-188612.27047146403</v>
      </c>
      <c r="R32">
        <f t="shared" ref="R32" si="137">R33+Q32</f>
        <v>-14061482.319803149</v>
      </c>
      <c r="S32">
        <f t="shared" ref="S32" si="138">R32/100000</f>
        <v>-140.61482319803147</v>
      </c>
      <c r="T32">
        <f t="shared" ref="T32" si="139">S32/1000</f>
        <v>-0.14061482319803148</v>
      </c>
    </row>
    <row r="33" spans="1:20" x14ac:dyDescent="0.25">
      <c r="A33" s="5">
        <v>44560</v>
      </c>
      <c r="B33">
        <v>8.4849999999999994</v>
      </c>
      <c r="C33">
        <v>8.77</v>
      </c>
      <c r="D33">
        <v>8.3330000000000002</v>
      </c>
      <c r="E33">
        <v>8.5749999999999993</v>
      </c>
      <c r="F33">
        <v>210010.4</v>
      </c>
      <c r="G33">
        <v>8.5749999999999993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0.10755148741418509</v>
      </c>
      <c r="Q33">
        <f t="shared" ref="Q33" si="141">F33*P33</f>
        <v>22586.930892447977</v>
      </c>
      <c r="R33">
        <f t="shared" ref="R33" si="142">R34+Q33</f>
        <v>-13872870.049331684</v>
      </c>
      <c r="S33">
        <f t="shared" ref="S33" si="143">R33/100000</f>
        <v>-138.72870049331684</v>
      </c>
      <c r="T33">
        <f t="shared" ref="T33" si="144">S33/1000</f>
        <v>-0.13872870049331684</v>
      </c>
    </row>
    <row r="34" spans="1:20" x14ac:dyDescent="0.25">
      <c r="A34" s="5">
        <v>44559</v>
      </c>
      <c r="B34">
        <v>8.8640000000000008</v>
      </c>
      <c r="C34">
        <v>9.2349999999999994</v>
      </c>
      <c r="D34">
        <v>8.3689999999999998</v>
      </c>
      <c r="E34">
        <v>8.4719999999999995</v>
      </c>
      <c r="F34">
        <v>269708.7</v>
      </c>
      <c r="G34">
        <v>8.4719999999999995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-0.7621247113163977</v>
      </c>
      <c r="Q34">
        <f t="shared" ref="Q34" si="146">F34*P34</f>
        <v>-205551.66512702091</v>
      </c>
      <c r="R34">
        <f t="shared" ref="R34" si="147">R35+Q34</f>
        <v>-13895456.980224133</v>
      </c>
      <c r="S34">
        <f t="shared" ref="S34" si="148">R34/100000</f>
        <v>-138.95456980224134</v>
      </c>
      <c r="T34">
        <f t="shared" ref="T34" si="149">S34/1000</f>
        <v>-0.13895456980224133</v>
      </c>
    </row>
    <row r="35" spans="1:20" x14ac:dyDescent="0.25">
      <c r="A35" s="5">
        <v>44558</v>
      </c>
      <c r="B35">
        <v>9.8699999999999992</v>
      </c>
      <c r="C35">
        <v>9.9990000000000006</v>
      </c>
      <c r="D35">
        <v>8.65</v>
      </c>
      <c r="E35">
        <v>8.8469999999999995</v>
      </c>
      <c r="F35">
        <v>528803.19999999995</v>
      </c>
      <c r="G35">
        <v>8.8469999999999995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-0.70793180133432299</v>
      </c>
      <c r="Q35">
        <f t="shared" ref="Q35" si="151">F35*P35</f>
        <v>-374356.60192735423</v>
      </c>
      <c r="R35">
        <f t="shared" ref="R35" si="152">R36+Q35</f>
        <v>-13689905.315097112</v>
      </c>
      <c r="S35">
        <f t="shared" ref="S35" si="153">R35/100000</f>
        <v>-136.89905315097113</v>
      </c>
      <c r="T35">
        <f t="shared" ref="T35" si="154">S35/1000</f>
        <v>-0.13689905315097112</v>
      </c>
    </row>
    <row r="36" spans="1:20" x14ac:dyDescent="0.25">
      <c r="A36" s="5">
        <v>44557</v>
      </c>
      <c r="B36">
        <v>9.2910000000000004</v>
      </c>
      <c r="C36">
        <v>10.337</v>
      </c>
      <c r="D36">
        <v>9.2420000000000009</v>
      </c>
      <c r="E36">
        <v>9.859</v>
      </c>
      <c r="F36">
        <v>722497.3</v>
      </c>
      <c r="G36">
        <v>9.859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0.12694063926940594</v>
      </c>
      <c r="Q36">
        <f t="shared" ref="Q36" si="156">F36*P36</f>
        <v>91714.269132419766</v>
      </c>
      <c r="R36">
        <f t="shared" ref="R36" si="157">R37+Q36</f>
        <v>-13315548.713169757</v>
      </c>
      <c r="S36">
        <f t="shared" ref="S36" si="158">R36/100000</f>
        <v>-133.15548713169758</v>
      </c>
      <c r="T36">
        <f t="shared" ref="T36" si="159">S36/1000</f>
        <v>-0.13315548713169759</v>
      </c>
    </row>
    <row r="37" spans="1:20" x14ac:dyDescent="0.25">
      <c r="A37" s="5">
        <v>44556</v>
      </c>
      <c r="B37">
        <v>8.7690000000000001</v>
      </c>
      <c r="C37">
        <v>9.5</v>
      </c>
      <c r="D37">
        <v>8.4969999999999999</v>
      </c>
      <c r="E37">
        <v>9.3000000000000007</v>
      </c>
      <c r="F37">
        <v>278006.8</v>
      </c>
      <c r="G37">
        <v>9.3000000000000007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0.60119641076769836</v>
      </c>
      <c r="Q37">
        <f t="shared" ref="Q37" si="161">F37*P37</f>
        <v>167136.69032901336</v>
      </c>
      <c r="R37">
        <f t="shared" ref="R37" si="162">R38+Q37</f>
        <v>-13407262.982302178</v>
      </c>
      <c r="S37">
        <f t="shared" ref="S37" si="163">R37/100000</f>
        <v>-134.07262982302177</v>
      </c>
      <c r="T37">
        <f t="shared" ref="T37" si="164">S37/1000</f>
        <v>-0.13407262982302176</v>
      </c>
    </row>
    <row r="38" spans="1:20" x14ac:dyDescent="0.25">
      <c r="A38" s="5">
        <v>44555</v>
      </c>
      <c r="B38">
        <v>8.7829999999999995</v>
      </c>
      <c r="C38">
        <v>8.9689999999999994</v>
      </c>
      <c r="D38">
        <v>8.6910000000000007</v>
      </c>
      <c r="E38">
        <v>8.7810000000000006</v>
      </c>
      <c r="F38">
        <v>131796.79999999999</v>
      </c>
      <c r="G38">
        <v>8.7810000000000006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-0.35251798561150877</v>
      </c>
      <c r="Q38">
        <f t="shared" ref="Q38" si="166">F38*P38</f>
        <v>-46460.742446042896</v>
      </c>
      <c r="R38">
        <f t="shared" ref="R38" si="167">R39+Q38</f>
        <v>-13574399.672631191</v>
      </c>
      <c r="S38">
        <f t="shared" ref="S38" si="168">R38/100000</f>
        <v>-135.74399672631191</v>
      </c>
      <c r="T38">
        <f t="shared" ref="T38" si="169">S38/1000</f>
        <v>-0.13574399672631191</v>
      </c>
    </row>
    <row r="39" spans="1:20" x14ac:dyDescent="0.25">
      <c r="A39" s="5">
        <v>44554</v>
      </c>
      <c r="B39">
        <v>8.7260000000000009</v>
      </c>
      <c r="C39">
        <v>9.0679999999999996</v>
      </c>
      <c r="D39">
        <v>8.6530000000000005</v>
      </c>
      <c r="E39">
        <v>8.7789999999999999</v>
      </c>
      <c r="F39">
        <v>222447.7</v>
      </c>
      <c r="G39">
        <v>8.7789999999999999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-0.39277108433735081</v>
      </c>
      <c r="Q39">
        <f t="shared" ref="Q39" si="171">F39*P39</f>
        <v>-87371.024337349721</v>
      </c>
      <c r="R39">
        <f t="shared" ref="R39" si="172">R40+Q39</f>
        <v>-13527938.930185148</v>
      </c>
      <c r="S39">
        <f t="shared" ref="S39" si="173">R39/100000</f>
        <v>-135.2793893018515</v>
      </c>
      <c r="T39">
        <f t="shared" ref="T39" si="174">S39/1000</f>
        <v>-0.13527938930185149</v>
      </c>
    </row>
    <row r="40" spans="1:20" x14ac:dyDescent="0.25">
      <c r="A40" s="5">
        <v>44553</v>
      </c>
      <c r="B40">
        <v>8.2989999999999995</v>
      </c>
      <c r="C40">
        <v>9.06</v>
      </c>
      <c r="D40">
        <v>8.1300000000000008</v>
      </c>
      <c r="E40">
        <v>8.7170000000000005</v>
      </c>
      <c r="F40">
        <v>423093.6</v>
      </c>
      <c r="G40">
        <v>8.7170000000000005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0.26236559139784932</v>
      </c>
      <c r="Q40">
        <f t="shared" ref="Q40" si="176">F40*P40</f>
        <v>111005.2025806451</v>
      </c>
      <c r="R40">
        <f t="shared" ref="R40" si="177">R41+Q40</f>
        <v>-13440567.905847799</v>
      </c>
      <c r="S40">
        <f t="shared" ref="S40" si="178">R40/100000</f>
        <v>-134.405679058478</v>
      </c>
      <c r="T40">
        <f t="shared" ref="T40" si="179">S40/1000</f>
        <v>-0.134405679058478</v>
      </c>
    </row>
    <row r="41" spans="1:20" x14ac:dyDescent="0.25">
      <c r="A41" s="5">
        <v>44552</v>
      </c>
      <c r="B41">
        <v>8.0410000000000004</v>
      </c>
      <c r="C41">
        <v>8.4770000000000003</v>
      </c>
      <c r="D41">
        <v>7.9349999999999996</v>
      </c>
      <c r="E41">
        <v>8.3160000000000007</v>
      </c>
      <c r="F41">
        <v>435244.79999999999</v>
      </c>
      <c r="G41">
        <v>8.3160000000000007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0.40590405904059268</v>
      </c>
      <c r="Q41">
        <f t="shared" ref="Q41" si="181">F41*P41</f>
        <v>176667.63099631094</v>
      </c>
      <c r="R41">
        <f t="shared" ref="R41" si="182">R42+Q41</f>
        <v>-13551573.108428445</v>
      </c>
      <c r="S41">
        <f t="shared" ref="S41" si="183">R41/100000</f>
        <v>-135.51573108428445</v>
      </c>
      <c r="T41">
        <f t="shared" ref="T41" si="184">S41/1000</f>
        <v>-0.13551573108428444</v>
      </c>
    </row>
    <row r="42" spans="1:20" x14ac:dyDescent="0.25">
      <c r="A42" s="5">
        <v>44551</v>
      </c>
      <c r="B42">
        <v>7.7919999999999998</v>
      </c>
      <c r="C42">
        <v>8.1199999999999992</v>
      </c>
      <c r="D42">
        <v>7.6420000000000003</v>
      </c>
      <c r="E42">
        <v>8.0440000000000005</v>
      </c>
      <c r="F42">
        <v>318213.3</v>
      </c>
      <c r="G42">
        <v>8.0440000000000005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0.68200836820084132</v>
      </c>
      <c r="Q42">
        <f t="shared" ref="Q42" si="186">F42*P42</f>
        <v>217024.13347280477</v>
      </c>
      <c r="R42">
        <f t="shared" ref="R42" si="187">R43+Q42</f>
        <v>-13728240.739424756</v>
      </c>
      <c r="S42">
        <f t="shared" ref="S42" si="188">R42/100000</f>
        <v>-137.28240739424757</v>
      </c>
      <c r="T42">
        <f t="shared" ref="T42" si="189">S42/1000</f>
        <v>-0.13728240739424757</v>
      </c>
    </row>
    <row r="43" spans="1:20" x14ac:dyDescent="0.25">
      <c r="A43" s="5">
        <v>44550</v>
      </c>
      <c r="B43">
        <v>8.2110000000000003</v>
      </c>
      <c r="C43">
        <v>8.2219999999999995</v>
      </c>
      <c r="D43">
        <v>7.4470000000000001</v>
      </c>
      <c r="E43">
        <v>7.7880000000000003</v>
      </c>
      <c r="F43">
        <v>336293.49300000002</v>
      </c>
      <c r="G43">
        <v>7.7880000000000003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-0.1199999999999989</v>
      </c>
      <c r="Q43">
        <f t="shared" ref="Q43" si="191">F43*P43</f>
        <v>-40355.219159999629</v>
      </c>
      <c r="R43">
        <f t="shared" ref="R43" si="192">R44+Q43</f>
        <v>-13945264.87289756</v>
      </c>
      <c r="S43">
        <f t="shared" ref="S43" si="193">R43/100000</f>
        <v>-139.45264872897559</v>
      </c>
      <c r="T43">
        <f t="shared" ref="T43" si="194">S43/1000</f>
        <v>-0.13945264872897559</v>
      </c>
    </row>
    <row r="44" spans="1:20" x14ac:dyDescent="0.25">
      <c r="A44" s="5">
        <v>44549</v>
      </c>
      <c r="B44">
        <v>8.1199999999999992</v>
      </c>
      <c r="C44">
        <v>8.5009999999999994</v>
      </c>
      <c r="D44">
        <v>7.9619999999999997</v>
      </c>
      <c r="E44">
        <v>8.2249999999999996</v>
      </c>
      <c r="F44">
        <v>248560.8</v>
      </c>
      <c r="G44">
        <v>8.2249999999999996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-2.4118738404452517E-2</v>
      </c>
      <c r="Q44">
        <f t="shared" ref="Q44" si="196">F44*P44</f>
        <v>-5994.9729128014405</v>
      </c>
      <c r="R44">
        <f t="shared" ref="R44" si="197">R45+Q44</f>
        <v>-13904909.65373756</v>
      </c>
      <c r="S44">
        <f t="shared" ref="S44" si="198">R44/100000</f>
        <v>-139.04909653737559</v>
      </c>
      <c r="T44">
        <f t="shared" ref="T44" si="199">S44/1000</f>
        <v>-0.1390490965373756</v>
      </c>
    </row>
    <row r="45" spans="1:20" x14ac:dyDescent="0.25">
      <c r="A45" s="5">
        <v>44548</v>
      </c>
      <c r="B45">
        <v>8.0690000000000008</v>
      </c>
      <c r="C45">
        <v>8.3539999999999992</v>
      </c>
      <c r="D45">
        <v>7.89</v>
      </c>
      <c r="E45">
        <v>8.1289999999999996</v>
      </c>
      <c r="F45">
        <v>181936.4</v>
      </c>
      <c r="G45">
        <v>8.1289999999999996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3.0172413793103984E-2</v>
      </c>
      <c r="Q45">
        <f t="shared" ref="Q45" si="201">F45*P45</f>
        <v>5489.4603448276839</v>
      </c>
      <c r="R45">
        <f t="shared" ref="R45" si="202">R46+Q45</f>
        <v>-13898914.680824758</v>
      </c>
      <c r="S45">
        <f t="shared" ref="S45" si="203">R45/100000</f>
        <v>-138.9891468082476</v>
      </c>
      <c r="T45">
        <f t="shared" ref="T45" si="204">S45/1000</f>
        <v>-0.13898914680824759</v>
      </c>
    </row>
    <row r="46" spans="1:20" x14ac:dyDescent="0.25">
      <c r="A46" s="5">
        <v>44547</v>
      </c>
      <c r="B46">
        <v>8.4179999999999993</v>
      </c>
      <c r="C46">
        <v>8.6850000000000005</v>
      </c>
      <c r="D46">
        <v>7.7590000000000003</v>
      </c>
      <c r="E46">
        <v>8.0709999999999997</v>
      </c>
      <c r="F46">
        <v>323394.27600000001</v>
      </c>
      <c r="G46">
        <v>8.0709999999999997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-0.32613390928725844</v>
      </c>
      <c r="Q46">
        <f t="shared" ref="Q46" si="206">F46*P46</f>
        <v>-105469.83947300262</v>
      </c>
      <c r="R46">
        <f t="shared" ref="R46" si="207">R47+Q46</f>
        <v>-13904404.141169585</v>
      </c>
      <c r="S46">
        <f t="shared" ref="S46" si="208">R46/100000</f>
        <v>-139.04404141169584</v>
      </c>
      <c r="T46">
        <f t="shared" ref="T46" si="209">S46/1000</f>
        <v>-0.13904404141169585</v>
      </c>
    </row>
    <row r="47" spans="1:20" x14ac:dyDescent="0.25">
      <c r="A47" s="5">
        <v>44546</v>
      </c>
      <c r="B47">
        <v>8.6110000000000007</v>
      </c>
      <c r="C47">
        <v>8.8829999999999991</v>
      </c>
      <c r="D47">
        <v>8.3949999999999996</v>
      </c>
      <c r="E47">
        <v>8.4339999999999993</v>
      </c>
      <c r="F47">
        <v>399424.9</v>
      </c>
      <c r="G47">
        <v>8.4339999999999993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-0.84016393442623061</v>
      </c>
      <c r="Q47">
        <f t="shared" ref="Q47" si="211">F47*P47</f>
        <v>-335582.39549180376</v>
      </c>
      <c r="R47">
        <f t="shared" ref="R47" si="212">R48+Q47</f>
        <v>-13798934.301696582</v>
      </c>
      <c r="S47">
        <f t="shared" ref="S47" si="213">R47/100000</f>
        <v>-137.98934301696582</v>
      </c>
      <c r="T47">
        <f t="shared" ref="T47" si="214">S47/1000</f>
        <v>-0.13798934301696583</v>
      </c>
    </row>
    <row r="48" spans="1:20" x14ac:dyDescent="0.25">
      <c r="A48" s="5">
        <v>44545</v>
      </c>
      <c r="B48">
        <v>8.3010000000000002</v>
      </c>
      <c r="C48">
        <v>9.15</v>
      </c>
      <c r="D48">
        <v>8.01</v>
      </c>
      <c r="E48">
        <v>8.6080000000000005</v>
      </c>
      <c r="F48">
        <v>882415.4</v>
      </c>
      <c r="G48">
        <v>8.6080000000000005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4.9122807017544658E-2</v>
      </c>
      <c r="Q48">
        <f t="shared" ref="Q48" si="216">F48*P48</f>
        <v>43346.72140350948</v>
      </c>
      <c r="R48">
        <f t="shared" ref="R48" si="217">R49+Q48</f>
        <v>-13463351.906204779</v>
      </c>
      <c r="S48">
        <f t="shared" ref="S48" si="218">R48/100000</f>
        <v>-134.63351906204778</v>
      </c>
      <c r="T48">
        <f t="shared" ref="T48" si="219">S48/1000</f>
        <v>-0.13463351906204779</v>
      </c>
    </row>
    <row r="49" spans="1:20" x14ac:dyDescent="0.25">
      <c r="A49" s="5">
        <v>44544</v>
      </c>
      <c r="B49">
        <v>8.2010000000000005</v>
      </c>
      <c r="C49">
        <v>8.5259999999999998</v>
      </c>
      <c r="D49">
        <v>7.907</v>
      </c>
      <c r="E49">
        <v>8.3000000000000007</v>
      </c>
      <c r="F49">
        <v>1337021.8</v>
      </c>
      <c r="G49">
        <v>8.3000000000000007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0.26978998384491382</v>
      </c>
      <c r="Q49">
        <f t="shared" ref="Q49" si="221">F49*P49</f>
        <v>360715.08982229762</v>
      </c>
      <c r="R49">
        <f t="shared" ref="R49" si="222">R50+Q49</f>
        <v>-13506698.627608288</v>
      </c>
      <c r="S49">
        <f t="shared" ref="S49" si="223">R49/100000</f>
        <v>-135.06698627608287</v>
      </c>
      <c r="T49">
        <f t="shared" ref="T49" si="224">S49/1000</f>
        <v>-0.13506698627608288</v>
      </c>
    </row>
    <row r="50" spans="1:20" x14ac:dyDescent="0.25">
      <c r="A50" s="5">
        <v>44543</v>
      </c>
      <c r="B50">
        <v>9.3919999999999995</v>
      </c>
      <c r="C50">
        <v>9.4499999999999993</v>
      </c>
      <c r="D50">
        <v>8.1370000000000005</v>
      </c>
      <c r="E50">
        <v>8.202</v>
      </c>
      <c r="F50">
        <v>842988.2</v>
      </c>
      <c r="G50">
        <v>8.202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-0.90099009900990168</v>
      </c>
      <c r="Q50">
        <f t="shared" ref="Q50" si="226">F50*P50</f>
        <v>-759524.02178217878</v>
      </c>
      <c r="R50">
        <f t="shared" ref="R50" si="227">R51+Q50</f>
        <v>-13867413.717430586</v>
      </c>
      <c r="S50">
        <f t="shared" ref="S50" si="228">R50/100000</f>
        <v>-138.67413717430586</v>
      </c>
      <c r="T50">
        <f t="shared" ref="T50" si="229">S50/1000</f>
        <v>-0.13867413717430585</v>
      </c>
    </row>
    <row r="51" spans="1:20" x14ac:dyDescent="0.25">
      <c r="A51" s="5">
        <v>44542</v>
      </c>
      <c r="B51">
        <v>9.2479999999999993</v>
      </c>
      <c r="C51">
        <v>9.5500000000000007</v>
      </c>
      <c r="D51">
        <v>8.9</v>
      </c>
      <c r="E51">
        <v>9.3919999999999995</v>
      </c>
      <c r="F51">
        <v>902809.7</v>
      </c>
      <c r="G51">
        <v>9.3919999999999995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0.51384615384615029</v>
      </c>
      <c r="Q51">
        <f t="shared" ref="Q51" si="231">F51*P51</f>
        <v>463905.29199999676</v>
      </c>
      <c r="R51">
        <f t="shared" ref="R51" si="232">R52+Q51</f>
        <v>-13107889.695648408</v>
      </c>
      <c r="S51">
        <f t="shared" ref="S51" si="233">R51/100000</f>
        <v>-131.07889695648407</v>
      </c>
      <c r="T51">
        <f t="shared" ref="T51" si="234">S51/1000</f>
        <v>-0.13107889695648406</v>
      </c>
    </row>
    <row r="52" spans="1:20" x14ac:dyDescent="0.25">
      <c r="A52" s="5">
        <v>44541</v>
      </c>
      <c r="B52">
        <v>9.2870000000000008</v>
      </c>
      <c r="C52">
        <v>9.3390000000000004</v>
      </c>
      <c r="D52">
        <v>8.9749999999999996</v>
      </c>
      <c r="E52">
        <v>9.2680000000000007</v>
      </c>
      <c r="F52">
        <v>77481.7</v>
      </c>
      <c r="G52">
        <v>9.2680000000000007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0.60989010989011216</v>
      </c>
      <c r="Q52">
        <f t="shared" ref="Q52" si="236">F52*P52</f>
        <v>47255.322527472701</v>
      </c>
      <c r="R52">
        <f t="shared" ref="R52" si="237">R53+Q52</f>
        <v>-13571794.987648405</v>
      </c>
      <c r="S52">
        <f t="shared" ref="S52" si="238">R52/100000</f>
        <v>-135.71794987648406</v>
      </c>
      <c r="T52">
        <f t="shared" ref="T52" si="239">S52/1000</f>
        <v>-0.13571794987648406</v>
      </c>
    </row>
    <row r="53" spans="1:20" x14ac:dyDescent="0.25">
      <c r="A53" s="5">
        <v>44540</v>
      </c>
      <c r="B53">
        <v>8.4410000000000007</v>
      </c>
      <c r="C53">
        <v>12.975</v>
      </c>
      <c r="D53">
        <v>8.4250000000000007</v>
      </c>
      <c r="E53">
        <v>9.2880000000000003</v>
      </c>
      <c r="F53">
        <v>4881576.0999999996</v>
      </c>
      <c r="G53">
        <v>9.2880000000000003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-0.62065934065934081</v>
      </c>
      <c r="Q53">
        <f t="shared" ref="Q53" si="241">F53*P53</f>
        <v>-3029795.8036043961</v>
      </c>
      <c r="R53">
        <f t="shared" ref="R53" si="242">R54+Q53</f>
        <v>-13619050.310175877</v>
      </c>
      <c r="S53">
        <f t="shared" ref="S53" si="243">R53/100000</f>
        <v>-136.19050310175876</v>
      </c>
      <c r="T53">
        <f t="shared" ref="T53" si="244">S53/1000</f>
        <v>-0.13619050310175876</v>
      </c>
    </row>
    <row r="54" spans="1:20" x14ac:dyDescent="0.25">
      <c r="A54" s="5">
        <v>44539</v>
      </c>
      <c r="B54">
        <v>9.57</v>
      </c>
      <c r="C54">
        <v>9.6289999999999996</v>
      </c>
      <c r="D54">
        <v>8.4149999999999991</v>
      </c>
      <c r="E54">
        <v>8.4339999999999993</v>
      </c>
      <c r="F54">
        <v>558440.19999999995</v>
      </c>
      <c r="G54">
        <v>8.4339999999999993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-0.96869851729818757</v>
      </c>
      <c r="Q54">
        <f t="shared" ref="Q54" si="246">F54*P54</f>
        <v>-540960.19373970327</v>
      </c>
      <c r="R54">
        <f t="shared" ref="R54" si="247">R55+Q54</f>
        <v>-10589254.506571481</v>
      </c>
      <c r="S54">
        <f t="shared" ref="S54" si="248">R54/100000</f>
        <v>-105.89254506571481</v>
      </c>
      <c r="T54">
        <f t="shared" ref="T54" si="249">S54/1000</f>
        <v>-0.10589254506571481</v>
      </c>
    </row>
    <row r="55" spans="1:20" x14ac:dyDescent="0.25">
      <c r="A55" s="5">
        <v>44538</v>
      </c>
      <c r="B55">
        <v>9.2569999999999997</v>
      </c>
      <c r="C55">
        <v>9.6359999999999992</v>
      </c>
      <c r="D55">
        <v>8.9909999999999997</v>
      </c>
      <c r="E55">
        <v>9.57</v>
      </c>
      <c r="F55">
        <v>409691.5</v>
      </c>
      <c r="G55">
        <v>9.57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0.79534883720930549</v>
      </c>
      <c r="Q55">
        <f t="shared" ref="Q55" si="251">F55*P55</f>
        <v>325847.65813953616</v>
      </c>
      <c r="R55">
        <f t="shared" ref="R55" si="252">R56+Q55</f>
        <v>-10048294.312831778</v>
      </c>
      <c r="S55">
        <f t="shared" ref="S55" si="253">R55/100000</f>
        <v>-100.48294312831779</v>
      </c>
      <c r="T55">
        <f t="shared" ref="T55" si="254">S55/1000</f>
        <v>-0.10048294312831779</v>
      </c>
    </row>
    <row r="56" spans="1:20" x14ac:dyDescent="0.25">
      <c r="A56" s="5">
        <v>44537</v>
      </c>
      <c r="B56">
        <v>9.67</v>
      </c>
      <c r="C56">
        <v>10.039999999999999</v>
      </c>
      <c r="D56">
        <v>9.1259999999999994</v>
      </c>
      <c r="E56">
        <v>9.2569999999999997</v>
      </c>
      <c r="F56">
        <v>780690.4</v>
      </c>
      <c r="G56">
        <v>9.2569999999999997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-0.71334792122538238</v>
      </c>
      <c r="Q56">
        <f t="shared" ref="Q56" si="256">F56*P56</f>
        <v>-556903.87396061223</v>
      </c>
      <c r="R56">
        <f t="shared" ref="R56" si="257">R57+Q56</f>
        <v>-10374141.970971314</v>
      </c>
      <c r="S56">
        <f t="shared" ref="S56" si="258">R56/100000</f>
        <v>-103.74141970971314</v>
      </c>
      <c r="T56">
        <f t="shared" ref="T56" si="259">S56/1000</f>
        <v>-0.10374141970971314</v>
      </c>
    </row>
    <row r="57" spans="1:20" x14ac:dyDescent="0.25">
      <c r="A57" s="5">
        <v>44536</v>
      </c>
      <c r="B57">
        <v>9.8510000000000009</v>
      </c>
      <c r="C57">
        <v>10.079000000000001</v>
      </c>
      <c r="D57">
        <v>8.8330000000000002</v>
      </c>
      <c r="E57">
        <v>9.6809999999999992</v>
      </c>
      <c r="F57">
        <v>1089915.6000000001</v>
      </c>
      <c r="G57">
        <v>9.6809999999999992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0.36115569823434779</v>
      </c>
      <c r="Q57">
        <f t="shared" ref="Q57" si="261">F57*P57</f>
        <v>393629.22953450814</v>
      </c>
      <c r="R57">
        <f t="shared" ref="R57" si="262">R58+Q57</f>
        <v>-9817238.0970107019</v>
      </c>
      <c r="S57">
        <f t="shared" ref="S57" si="263">R57/100000</f>
        <v>-98.172380970107014</v>
      </c>
      <c r="T57">
        <f t="shared" ref="T57" si="264">S57/1000</f>
        <v>-9.8172380970107012E-2</v>
      </c>
    </row>
    <row r="58" spans="1:20" x14ac:dyDescent="0.25">
      <c r="A58" s="5">
        <v>44535</v>
      </c>
      <c r="B58">
        <v>10.613</v>
      </c>
      <c r="C58">
        <v>11.44</v>
      </c>
      <c r="D58">
        <v>9.7560000000000002</v>
      </c>
      <c r="E58">
        <v>9.8320000000000007</v>
      </c>
      <c r="F58">
        <v>559086.80000000005</v>
      </c>
      <c r="G58">
        <v>9.8320000000000007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-0.90973871733966682</v>
      </c>
      <c r="Q58">
        <f t="shared" ref="Q58" si="266">F58*P58</f>
        <v>-508622.90831353888</v>
      </c>
      <c r="R58">
        <f t="shared" ref="R58" si="267">R59+Q58</f>
        <v>-10210867.326545211</v>
      </c>
      <c r="S58">
        <f t="shared" ref="S58" si="268">R58/100000</f>
        <v>-102.10867326545211</v>
      </c>
      <c r="T58">
        <f t="shared" ref="T58" si="269">S58/1000</f>
        <v>-0.10210867326545212</v>
      </c>
    </row>
    <row r="59" spans="1:20" x14ac:dyDescent="0.25">
      <c r="A59" s="5">
        <v>44534</v>
      </c>
      <c r="B59">
        <v>11.815</v>
      </c>
      <c r="C59">
        <v>11.89</v>
      </c>
      <c r="D59">
        <v>9.4969999999999999</v>
      </c>
      <c r="E59">
        <v>10.614000000000001</v>
      </c>
      <c r="F59">
        <v>848428.1</v>
      </c>
      <c r="G59">
        <v>10.614000000000001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-6.6443794400333836E-2</v>
      </c>
      <c r="Q59">
        <f t="shared" ref="Q59" si="271">F59*P59</f>
        <v>-56372.782239865875</v>
      </c>
      <c r="R59">
        <f t="shared" ref="R59" si="272">R60+Q59</f>
        <v>-9702244.4182316717</v>
      </c>
      <c r="S59">
        <f t="shared" ref="S59" si="273">R59/100000</f>
        <v>-97.022444182316718</v>
      </c>
      <c r="T59">
        <f t="shared" ref="T59" si="274">S59/1000</f>
        <v>-9.7022444182316717E-2</v>
      </c>
    </row>
    <row r="60" spans="1:20" x14ac:dyDescent="0.25">
      <c r="A60" s="5">
        <v>44533</v>
      </c>
      <c r="B60">
        <v>12.445</v>
      </c>
      <c r="C60">
        <v>13.24</v>
      </c>
      <c r="D60">
        <v>11.661</v>
      </c>
      <c r="E60">
        <v>11.813000000000001</v>
      </c>
      <c r="F60">
        <v>447015.2</v>
      </c>
      <c r="G60">
        <v>11.813000000000001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-0.80747308423052444</v>
      </c>
      <c r="Q60">
        <f t="shared" ref="Q60" si="276">F60*P60</f>
        <v>-360952.74224192475</v>
      </c>
      <c r="R60">
        <f t="shared" ref="R60" si="277">R61+Q60</f>
        <v>-9645871.6359918062</v>
      </c>
      <c r="S60">
        <f t="shared" ref="S60" si="278">R60/100000</f>
        <v>-96.458716359918057</v>
      </c>
      <c r="T60">
        <f t="shared" ref="T60" si="279">S60/1000</f>
        <v>-9.6458716359918054E-2</v>
      </c>
    </row>
    <row r="61" spans="1:20" x14ac:dyDescent="0.25">
      <c r="A61" s="5">
        <v>44532</v>
      </c>
      <c r="B61">
        <v>12.76</v>
      </c>
      <c r="C61">
        <v>12.8</v>
      </c>
      <c r="D61">
        <v>12.215999999999999</v>
      </c>
      <c r="E61">
        <v>12.455</v>
      </c>
      <c r="F61">
        <v>314290.3</v>
      </c>
      <c r="G61">
        <v>12.455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-0.18150684931506783</v>
      </c>
      <c r="Q61">
        <f t="shared" ref="Q61" si="281">F61*P61</f>
        <v>-57045.842123287461</v>
      </c>
      <c r="R61">
        <f t="shared" ref="R61" si="282">R62+Q61</f>
        <v>-9284918.8937498815</v>
      </c>
      <c r="S61">
        <f t="shared" ref="S61" si="283">R61/100000</f>
        <v>-92.849188937498809</v>
      </c>
      <c r="T61">
        <f t="shared" ref="T61" si="284">S61/1000</f>
        <v>-9.2849188937498814E-2</v>
      </c>
    </row>
    <row r="62" spans="1:20" x14ac:dyDescent="0.25">
      <c r="A62" s="5">
        <v>44531</v>
      </c>
      <c r="B62">
        <v>13.519</v>
      </c>
      <c r="C62">
        <v>14.156000000000001</v>
      </c>
      <c r="D62">
        <v>12.566000000000001</v>
      </c>
      <c r="E62">
        <v>12.743</v>
      </c>
      <c r="F62">
        <v>731818.5</v>
      </c>
      <c r="G62">
        <v>12.743</v>
      </c>
      <c r="L62" t="s">
        <v>7</v>
      </c>
      <c r="M62" t="s">
        <v>8</v>
      </c>
      <c r="N62" t="s">
        <v>8</v>
      </c>
      <c r="P62">
        <f t="shared" ref="P62" si="285">IF(C62=D62,0,((E62-D62)-(C62-E62))/(C62-D62))</f>
        <v>-0.77735849056603823</v>
      </c>
      <c r="Q62">
        <f t="shared" ref="Q62" si="286">F62*P62</f>
        <v>-568885.3245283023</v>
      </c>
      <c r="R62">
        <f t="shared" ref="R62" si="287">R63+Q62</f>
        <v>-9227873.0516265947</v>
      </c>
      <c r="S62">
        <f t="shared" ref="S62" si="288">R62/100000</f>
        <v>-92.278730516265952</v>
      </c>
      <c r="T62">
        <f t="shared" ref="T62" si="289">S62/1000</f>
        <v>-9.227873051626595E-2</v>
      </c>
    </row>
    <row r="63" spans="1:20" x14ac:dyDescent="0.25">
      <c r="A63" s="5">
        <v>44530</v>
      </c>
      <c r="B63">
        <v>12.36</v>
      </c>
      <c r="C63">
        <v>14.308999999999999</v>
      </c>
      <c r="D63">
        <v>11.951000000000001</v>
      </c>
      <c r="E63">
        <v>13.515000000000001</v>
      </c>
      <c r="F63">
        <v>946626.4</v>
      </c>
      <c r="G63">
        <v>13.515000000000001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0.32654792196777005</v>
      </c>
      <c r="Q63">
        <f t="shared" ref="Q63" si="291">F63*P63</f>
        <v>309118.88379983109</v>
      </c>
      <c r="R63">
        <f t="shared" ref="R63" si="292">R64+Q63</f>
        <v>-8658987.7270982917</v>
      </c>
      <c r="S63">
        <f t="shared" ref="S63" si="293">R63/100000</f>
        <v>-86.58987727098291</v>
      </c>
      <c r="T63">
        <f t="shared" ref="T63" si="294">S63/1000</f>
        <v>-8.6589877270982912E-2</v>
      </c>
    </row>
    <row r="64" spans="1:20" x14ac:dyDescent="0.25">
      <c r="A64" s="5">
        <v>44529</v>
      </c>
      <c r="B64">
        <v>12.121</v>
      </c>
      <c r="C64">
        <v>12.613</v>
      </c>
      <c r="D64">
        <v>12.055999999999999</v>
      </c>
      <c r="E64">
        <v>12.358000000000001</v>
      </c>
      <c r="F64">
        <v>298762.09999999998</v>
      </c>
      <c r="G64">
        <v>12.358000000000001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8.4380610412930587E-2</v>
      </c>
      <c r="Q64">
        <f t="shared" ref="Q64" si="296">F64*P64</f>
        <v>25209.728366249008</v>
      </c>
      <c r="R64">
        <f t="shared" ref="R64" si="297">R65+Q64</f>
        <v>-8968106.6108981222</v>
      </c>
      <c r="S64">
        <f t="shared" ref="S64" si="298">R64/100000</f>
        <v>-89.681066108981227</v>
      </c>
      <c r="T64">
        <f t="shared" ref="T64" si="299">S64/1000</f>
        <v>-8.9681066108981231E-2</v>
      </c>
    </row>
    <row r="65" spans="1:20" x14ac:dyDescent="0.25">
      <c r="A65" s="5">
        <v>44528</v>
      </c>
      <c r="B65">
        <v>12.371</v>
      </c>
      <c r="C65">
        <v>12.5</v>
      </c>
      <c r="D65">
        <v>11.362</v>
      </c>
      <c r="E65">
        <v>12.135999999999999</v>
      </c>
      <c r="F65">
        <v>513330.5</v>
      </c>
      <c r="G65">
        <v>12.135999999999999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0.36028119507908474</v>
      </c>
      <c r="Q65">
        <f t="shared" ref="Q65" si="301">F65*P65</f>
        <v>184943.32601054411</v>
      </c>
      <c r="R65">
        <f t="shared" ref="R65" si="302">R66+Q65</f>
        <v>-8993316.3392643705</v>
      </c>
      <c r="S65">
        <f t="shared" ref="S65" si="303">R65/100000</f>
        <v>-89.933163392643706</v>
      </c>
      <c r="T65">
        <f t="shared" ref="T65" si="304">S65/1000</f>
        <v>-8.9933163392643706E-2</v>
      </c>
    </row>
    <row r="66" spans="1:20" x14ac:dyDescent="0.25">
      <c r="A66" s="5">
        <v>44527</v>
      </c>
      <c r="B66">
        <v>12.704000000000001</v>
      </c>
      <c r="C66">
        <v>12.989000000000001</v>
      </c>
      <c r="D66">
        <v>11.983000000000001</v>
      </c>
      <c r="E66">
        <v>12.356999999999999</v>
      </c>
      <c r="F66">
        <v>578810.9</v>
      </c>
      <c r="G66">
        <v>12.356999999999999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-0.25646123260437637</v>
      </c>
      <c r="Q66">
        <f t="shared" ref="Q66" si="306">F66*P66</f>
        <v>-148442.55685884843</v>
      </c>
      <c r="R66">
        <f t="shared" ref="R66" si="307">R67+Q66</f>
        <v>-9178259.6652749144</v>
      </c>
      <c r="S66">
        <f t="shared" ref="S66" si="308">R66/100000</f>
        <v>-91.782596652749149</v>
      </c>
      <c r="T66">
        <f t="shared" ref="T66" si="309">S66/1000</f>
        <v>-9.1782596652749154E-2</v>
      </c>
    </row>
    <row r="67" spans="1:20" x14ac:dyDescent="0.25">
      <c r="A67" s="5">
        <v>44526</v>
      </c>
      <c r="B67">
        <v>14.241</v>
      </c>
      <c r="C67">
        <v>14.55</v>
      </c>
      <c r="D67">
        <v>12.272</v>
      </c>
      <c r="E67">
        <v>12.7</v>
      </c>
      <c r="F67">
        <v>1340005.5</v>
      </c>
      <c r="G67">
        <v>12.7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-0.62423178226514575</v>
      </c>
      <c r="Q67">
        <f t="shared" ref="Q67" si="311">F67*P67</f>
        <v>-836474.02151009778</v>
      </c>
      <c r="R67">
        <f t="shared" ref="R67" si="312">R68+Q67</f>
        <v>-9029817.1084160656</v>
      </c>
      <c r="S67">
        <f t="shared" ref="S67" si="313">R67/100000</f>
        <v>-90.298171084160657</v>
      </c>
      <c r="T67">
        <f t="shared" ref="T67" si="314">S67/1000</f>
        <v>-9.0298171084160661E-2</v>
      </c>
    </row>
    <row r="68" spans="1:20" x14ac:dyDescent="0.25">
      <c r="A68" s="5">
        <v>44525</v>
      </c>
      <c r="B68">
        <v>13.06</v>
      </c>
      <c r="C68">
        <v>14.282</v>
      </c>
      <c r="D68">
        <v>12.682</v>
      </c>
      <c r="E68">
        <v>14.238</v>
      </c>
      <c r="F68">
        <v>893157.1</v>
      </c>
      <c r="G68">
        <v>14.238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0.9449999999999994</v>
      </c>
      <c r="Q68">
        <f t="shared" ref="Q68" si="316">F68*P68</f>
        <v>844033.45949999942</v>
      </c>
      <c r="R68">
        <f t="shared" ref="R68" si="317">R69+Q68</f>
        <v>-8193343.0869059674</v>
      </c>
      <c r="S68">
        <f t="shared" ref="S68" si="318">R68/100000</f>
        <v>-81.933430869059677</v>
      </c>
      <c r="T68">
        <f t="shared" ref="T68" si="319">S68/1000</f>
        <v>-8.1933430869059673E-2</v>
      </c>
    </row>
    <row r="69" spans="1:20" x14ac:dyDescent="0.25">
      <c r="A69" s="5">
        <v>44524</v>
      </c>
      <c r="B69">
        <v>13.397</v>
      </c>
      <c r="C69">
        <v>13.734999999999999</v>
      </c>
      <c r="D69">
        <v>13.117000000000001</v>
      </c>
      <c r="E69">
        <v>13.288</v>
      </c>
      <c r="F69">
        <v>437508.4</v>
      </c>
      <c r="G69">
        <v>13.288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-0.44660194174757356</v>
      </c>
      <c r="Q69">
        <f t="shared" ref="Q69" si="321">F69*P69</f>
        <v>-195392.10097087413</v>
      </c>
      <c r="R69">
        <f t="shared" ref="R69" si="322">R70+Q69</f>
        <v>-9037376.5464059673</v>
      </c>
      <c r="S69">
        <f t="shared" ref="S69" si="323">R69/100000</f>
        <v>-90.373765464059673</v>
      </c>
      <c r="T69">
        <f t="shared" ref="T69" si="324">S69/1000</f>
        <v>-9.0373765464059674E-2</v>
      </c>
    </row>
    <row r="70" spans="1:20" x14ac:dyDescent="0.25">
      <c r="A70" s="5">
        <v>44523</v>
      </c>
      <c r="B70">
        <v>12.292999999999999</v>
      </c>
      <c r="C70">
        <v>13.484</v>
      </c>
      <c r="D70">
        <v>12.000999999999999</v>
      </c>
      <c r="E70">
        <v>13.4</v>
      </c>
      <c r="F70">
        <v>1107413.6000000001</v>
      </c>
      <c r="G70">
        <v>13.4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0.88671611598111988</v>
      </c>
      <c r="Q70">
        <f t="shared" ref="Q70" si="326">F70*P70</f>
        <v>981961.4861766696</v>
      </c>
      <c r="R70">
        <f t="shared" ref="R70" si="327">R71+Q70</f>
        <v>-8841984.4454350937</v>
      </c>
      <c r="S70">
        <f t="shared" ref="S70" si="328">R70/100000</f>
        <v>-88.419844454350937</v>
      </c>
      <c r="T70">
        <f t="shared" ref="T70" si="329">S70/1000</f>
        <v>-8.8419844454350943E-2</v>
      </c>
    </row>
    <row r="71" spans="1:20" x14ac:dyDescent="0.25">
      <c r="A71" s="5">
        <v>44522</v>
      </c>
      <c r="B71">
        <v>12.388999999999999</v>
      </c>
      <c r="C71">
        <v>13.244</v>
      </c>
      <c r="D71">
        <v>11.61</v>
      </c>
      <c r="E71">
        <v>12.307</v>
      </c>
      <c r="F71">
        <v>1356061.3</v>
      </c>
      <c r="G71">
        <v>12.307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-0.14687882496939925</v>
      </c>
      <c r="Q71">
        <f t="shared" ref="Q71" si="331">F71*P71</f>
        <v>-199176.69033047601</v>
      </c>
      <c r="R71">
        <f t="shared" ref="R71" si="332">R72+Q71</f>
        <v>-9823945.9316117633</v>
      </c>
      <c r="S71">
        <f t="shared" ref="S71" si="333">R71/100000</f>
        <v>-98.239459316117632</v>
      </c>
      <c r="T71">
        <f t="shared" ref="T71" si="334">S71/1000</f>
        <v>-9.8239459316117633E-2</v>
      </c>
    </row>
    <row r="72" spans="1:20" x14ac:dyDescent="0.25">
      <c r="A72" s="5">
        <v>44521</v>
      </c>
      <c r="B72">
        <v>11.183999999999999</v>
      </c>
      <c r="C72">
        <v>12.6</v>
      </c>
      <c r="D72">
        <v>10.98</v>
      </c>
      <c r="E72">
        <v>12.377000000000001</v>
      </c>
      <c r="F72">
        <v>875918.3</v>
      </c>
      <c r="G72">
        <v>12.377000000000001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0.72469135802469253</v>
      </c>
      <c r="Q72">
        <f t="shared" ref="Q72" si="336">F72*P72</f>
        <v>634770.42234568007</v>
      </c>
      <c r="R72">
        <f t="shared" ref="R72" si="337">R73+Q72</f>
        <v>-9624769.2412812877</v>
      </c>
      <c r="S72">
        <f t="shared" ref="S72" si="338">R72/100000</f>
        <v>-96.247692412812881</v>
      </c>
      <c r="T72">
        <f t="shared" ref="T72" si="339">S72/1000</f>
        <v>-9.6247692412812877E-2</v>
      </c>
    </row>
    <row r="73" spans="1:20" x14ac:dyDescent="0.25">
      <c r="A73" s="5">
        <v>44520</v>
      </c>
      <c r="B73">
        <v>11.308999999999999</v>
      </c>
      <c r="C73">
        <v>11.755000000000001</v>
      </c>
      <c r="D73">
        <v>10.726000000000001</v>
      </c>
      <c r="E73">
        <v>11.178000000000001</v>
      </c>
      <c r="F73">
        <v>644159.4</v>
      </c>
      <c r="G73">
        <v>11.178000000000001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-0.12147716229348883</v>
      </c>
      <c r="Q73">
        <f t="shared" ref="Q73" si="341">F73*P73</f>
        <v>-78250.655976676397</v>
      </c>
      <c r="R73">
        <f t="shared" ref="R73" si="342">R74+Q73</f>
        <v>-10259539.663626967</v>
      </c>
      <c r="S73">
        <f t="shared" ref="S73" si="343">R73/100000</f>
        <v>-102.59539663626967</v>
      </c>
      <c r="T73">
        <f t="shared" ref="T73" si="344">S73/1000</f>
        <v>-0.10259539663626967</v>
      </c>
    </row>
    <row r="74" spans="1:20" x14ac:dyDescent="0.25">
      <c r="A74" s="5">
        <v>44519</v>
      </c>
      <c r="B74">
        <v>10.701000000000001</v>
      </c>
      <c r="C74">
        <v>11.553000000000001</v>
      </c>
      <c r="D74">
        <v>10.451000000000001</v>
      </c>
      <c r="E74">
        <v>11.298999999999999</v>
      </c>
      <c r="F74">
        <v>563452.80000000005</v>
      </c>
      <c r="G74">
        <v>11.298999999999999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0.53901996370235705</v>
      </c>
      <c r="Q74">
        <f t="shared" ref="Q74" si="346">F74*P74</f>
        <v>303712.30780399148</v>
      </c>
      <c r="R74">
        <f t="shared" ref="R74" si="347">R75+Q74</f>
        <v>-10181289.00765029</v>
      </c>
      <c r="S74">
        <f t="shared" ref="S74" si="348">R74/100000</f>
        <v>-101.8128900765029</v>
      </c>
      <c r="T74">
        <f t="shared" ref="T74" si="349">S74/1000</f>
        <v>-0.10181289007650289</v>
      </c>
    </row>
    <row r="75" spans="1:20" x14ac:dyDescent="0.25">
      <c r="A75" s="5">
        <v>44518</v>
      </c>
      <c r="B75">
        <v>12.151999999999999</v>
      </c>
      <c r="C75">
        <v>12.441000000000001</v>
      </c>
      <c r="D75">
        <v>10.43</v>
      </c>
      <c r="E75">
        <v>10.683</v>
      </c>
      <c r="F75">
        <v>947469.8</v>
      </c>
      <c r="G75">
        <v>10.683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-0.7483838886126305</v>
      </c>
      <c r="Q75">
        <f t="shared" ref="Q75" si="351">F75*P75</f>
        <v>-709071.13326703128</v>
      </c>
      <c r="R75">
        <f t="shared" ref="R75" si="352">R76+Q75</f>
        <v>-10485001.315454282</v>
      </c>
      <c r="S75">
        <f t="shared" ref="S75" si="353">R75/100000</f>
        <v>-104.85001315454282</v>
      </c>
      <c r="T75">
        <f t="shared" ref="T75" si="354">S75/1000</f>
        <v>-0.10485001315454281</v>
      </c>
    </row>
    <row r="76" spans="1:20" x14ac:dyDescent="0.25">
      <c r="A76" s="5">
        <v>44517</v>
      </c>
      <c r="B76">
        <v>11.430999999999999</v>
      </c>
      <c r="C76">
        <v>12.731</v>
      </c>
      <c r="D76">
        <v>10.965</v>
      </c>
      <c r="E76">
        <v>12.138999999999999</v>
      </c>
      <c r="F76">
        <v>1498427.1</v>
      </c>
      <c r="G76">
        <v>12.138999999999999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0.32955832389580914</v>
      </c>
      <c r="Q76">
        <f t="shared" ref="Q76" si="356">F76*P76</f>
        <v>493819.12355605804</v>
      </c>
      <c r="R76">
        <f t="shared" ref="R76" si="357">R77+Q76</f>
        <v>-9775930.1821872499</v>
      </c>
      <c r="S76">
        <f t="shared" ref="S76" si="358">R76/100000</f>
        <v>-97.759301821872498</v>
      </c>
      <c r="T76">
        <f t="shared" ref="T76" si="359">S76/1000</f>
        <v>-9.7759301821872494E-2</v>
      </c>
    </row>
    <row r="77" spans="1:20" x14ac:dyDescent="0.25">
      <c r="A77" s="5">
        <v>44516</v>
      </c>
      <c r="B77">
        <v>13.159000000000001</v>
      </c>
      <c r="C77">
        <v>13.249000000000001</v>
      </c>
      <c r="D77">
        <v>11.141999999999999</v>
      </c>
      <c r="E77">
        <v>11.430999999999999</v>
      </c>
      <c r="F77">
        <v>1099722.5</v>
      </c>
      <c r="G77">
        <v>11.430999999999999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-0.72567631703844371</v>
      </c>
      <c r="Q77">
        <f t="shared" ref="Q77" si="361">F77*P77</f>
        <v>-798042.57356430986</v>
      </c>
      <c r="R77">
        <f t="shared" ref="R77" si="362">R78+Q77</f>
        <v>-10269749.305743309</v>
      </c>
      <c r="S77">
        <f t="shared" ref="S77" si="363">R77/100000</f>
        <v>-102.69749305743309</v>
      </c>
      <c r="T77">
        <f t="shared" ref="T77" si="364">S77/1000</f>
        <v>-0.10269749305743309</v>
      </c>
    </row>
    <row r="78" spans="1:20" x14ac:dyDescent="0.25">
      <c r="A78" s="5">
        <v>44515</v>
      </c>
      <c r="B78">
        <v>11.920999999999999</v>
      </c>
      <c r="C78">
        <v>14.55</v>
      </c>
      <c r="D78">
        <v>11.625999999999999</v>
      </c>
      <c r="E78">
        <v>13.151</v>
      </c>
      <c r="F78">
        <v>3605142.6</v>
      </c>
      <c r="G78">
        <v>13.151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4.3091655266757657E-2</v>
      </c>
      <c r="Q78">
        <f t="shared" ref="Q78" si="366">F78*P78</f>
        <v>155351.56210670239</v>
      </c>
      <c r="R78">
        <f t="shared" ref="R78" si="367">R79+Q78</f>
        <v>-9471706.7321789991</v>
      </c>
      <c r="S78">
        <f t="shared" ref="S78" si="368">R78/100000</f>
        <v>-94.717067321789997</v>
      </c>
      <c r="T78">
        <f t="shared" ref="T78" si="369">S78/1000</f>
        <v>-9.4717067321789999E-2</v>
      </c>
    </row>
    <row r="79" spans="1:20" x14ac:dyDescent="0.25">
      <c r="A79" s="5">
        <v>44514</v>
      </c>
      <c r="B79">
        <v>12.1</v>
      </c>
      <c r="C79">
        <v>12.407999999999999</v>
      </c>
      <c r="D79">
        <v>11.645</v>
      </c>
      <c r="E79">
        <v>11.906000000000001</v>
      </c>
      <c r="F79">
        <v>391830.9</v>
      </c>
      <c r="G79">
        <v>11.906000000000001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-0.31585845347312963</v>
      </c>
      <c r="Q79">
        <f t="shared" ref="Q79" si="371">F79*P79</f>
        <v>-123763.10209698451</v>
      </c>
      <c r="R79">
        <f t="shared" ref="R79" si="372">R80+Q79</f>
        <v>-9627058.2942857016</v>
      </c>
      <c r="S79">
        <f t="shared" ref="S79" si="373">R79/100000</f>
        <v>-96.270582942857018</v>
      </c>
      <c r="T79">
        <f t="shared" ref="T79" si="374">S79/1000</f>
        <v>-9.6270582942857022E-2</v>
      </c>
    </row>
    <row r="80" spans="1:20" x14ac:dyDescent="0.25">
      <c r="A80" s="5">
        <v>44513</v>
      </c>
      <c r="B80">
        <v>12.734999999999999</v>
      </c>
      <c r="C80">
        <v>12.808</v>
      </c>
      <c r="D80">
        <v>11.867000000000001</v>
      </c>
      <c r="E80">
        <v>12.106999999999999</v>
      </c>
      <c r="F80">
        <v>678512</v>
      </c>
      <c r="G80">
        <v>12.106999999999999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-0.48990435706695279</v>
      </c>
      <c r="Q80">
        <f t="shared" ref="Q80" si="376">F80*P80</f>
        <v>-332405.98512221227</v>
      </c>
      <c r="R80">
        <f t="shared" ref="R80" si="377">R81+Q80</f>
        <v>-9503295.1921887174</v>
      </c>
      <c r="S80">
        <f t="shared" ref="S80" si="378">R80/100000</f>
        <v>-95.032951921887175</v>
      </c>
      <c r="T80">
        <f t="shared" ref="T80" si="379">S80/1000</f>
        <v>-9.5032951921887182E-2</v>
      </c>
    </row>
    <row r="81" spans="1:20" x14ac:dyDescent="0.25">
      <c r="A81" s="5">
        <v>44512</v>
      </c>
      <c r="B81">
        <v>13.302</v>
      </c>
      <c r="C81">
        <v>14.878</v>
      </c>
      <c r="D81">
        <v>12.135</v>
      </c>
      <c r="E81">
        <v>12.741</v>
      </c>
      <c r="F81">
        <v>1209229</v>
      </c>
      <c r="G81">
        <v>12.741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-0.55814801312431661</v>
      </c>
      <c r="Q81">
        <f t="shared" ref="Q81" si="381">F81*P81</f>
        <v>-674928.76376230421</v>
      </c>
      <c r="R81">
        <f t="shared" ref="R81" si="382">R82+Q81</f>
        <v>-9170889.2070665043</v>
      </c>
      <c r="S81">
        <f t="shared" ref="S81" si="383">R81/100000</f>
        <v>-91.708892070665044</v>
      </c>
      <c r="T81">
        <f t="shared" ref="T81" si="384">S81/1000</f>
        <v>-9.1708892070665043E-2</v>
      </c>
    </row>
    <row r="82" spans="1:20" x14ac:dyDescent="0.25">
      <c r="A82" s="5">
        <v>44511</v>
      </c>
      <c r="B82">
        <v>11.858000000000001</v>
      </c>
      <c r="C82">
        <v>13.79</v>
      </c>
      <c r="D82">
        <v>11.679</v>
      </c>
      <c r="E82">
        <v>13.305999999999999</v>
      </c>
      <c r="F82">
        <v>918896</v>
      </c>
      <c r="G82">
        <v>13.305999999999999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0.54144954997631434</v>
      </c>
      <c r="Q82">
        <f t="shared" ref="Q82" si="386">F82*P82</f>
        <v>497535.82567503536</v>
      </c>
      <c r="R82">
        <f t="shared" ref="R82" si="387">R83+Q82</f>
        <v>-8495960.4433041997</v>
      </c>
      <c r="S82">
        <f t="shared" ref="S82" si="388">R82/100000</f>
        <v>-84.959604433042003</v>
      </c>
      <c r="T82">
        <f t="shared" ref="T82" si="389">S82/1000</f>
        <v>-8.4959604433041999E-2</v>
      </c>
    </row>
    <row r="83" spans="1:20" x14ac:dyDescent="0.25">
      <c r="A83" s="5">
        <v>44510</v>
      </c>
      <c r="B83">
        <v>12.885</v>
      </c>
      <c r="C83">
        <v>12.955</v>
      </c>
      <c r="D83">
        <v>11.27</v>
      </c>
      <c r="E83">
        <v>11.863</v>
      </c>
      <c r="F83">
        <v>979536.3</v>
      </c>
      <c r="G83">
        <v>11.863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-0.29614243323442163</v>
      </c>
      <c r="Q83">
        <f t="shared" ref="Q83" si="391">F83*P83</f>
        <v>-290082.26332344243</v>
      </c>
      <c r="R83">
        <f t="shared" ref="R83" si="392">R84+Q83</f>
        <v>-8993496.2689792346</v>
      </c>
      <c r="S83">
        <f t="shared" ref="S83" si="393">R83/100000</f>
        <v>-89.934962689792343</v>
      </c>
      <c r="T83">
        <f t="shared" ref="T83" si="394">S83/1000</f>
        <v>-8.9934962689792342E-2</v>
      </c>
    </row>
    <row r="84" spans="1:20" x14ac:dyDescent="0.25">
      <c r="A84" s="5">
        <v>44509</v>
      </c>
      <c r="B84">
        <v>13.33</v>
      </c>
      <c r="C84">
        <v>13.9</v>
      </c>
      <c r="D84">
        <v>12.664</v>
      </c>
      <c r="E84">
        <v>12.885</v>
      </c>
      <c r="F84">
        <v>749975.6</v>
      </c>
      <c r="G84">
        <v>12.885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-0.64239482200647258</v>
      </c>
      <c r="Q84">
        <f t="shared" ref="Q84" si="396">F84*P84</f>
        <v>-481780.44207119744</v>
      </c>
      <c r="R84">
        <f t="shared" ref="R84" si="397">R85+Q84</f>
        <v>-8703414.0056557916</v>
      </c>
      <c r="S84">
        <f t="shared" ref="S84" si="398">R84/100000</f>
        <v>-87.034140056557916</v>
      </c>
      <c r="T84">
        <f t="shared" ref="T84" si="399">S84/1000</f>
        <v>-8.7034140056557921E-2</v>
      </c>
    </row>
    <row r="85" spans="1:20" x14ac:dyDescent="0.25">
      <c r="A85" s="5">
        <v>44508</v>
      </c>
      <c r="B85">
        <v>13.234999999999999</v>
      </c>
      <c r="C85">
        <v>13.371</v>
      </c>
      <c r="D85">
        <v>12.374000000000001</v>
      </c>
      <c r="E85">
        <v>13.331</v>
      </c>
      <c r="F85">
        <v>914904.8</v>
      </c>
      <c r="G85">
        <v>13.331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0.91975927783349865</v>
      </c>
      <c r="Q85">
        <f t="shared" ref="Q85" si="401">F85*P85</f>
        <v>841492.17813440156</v>
      </c>
      <c r="R85">
        <f t="shared" ref="R85" si="402">R86+Q85</f>
        <v>-8221633.563584595</v>
      </c>
      <c r="S85">
        <f t="shared" ref="S85" si="403">R85/100000</f>
        <v>-82.216335635845951</v>
      </c>
      <c r="T85">
        <f t="shared" ref="T85" si="404">S85/1000</f>
        <v>-8.2216335635845947E-2</v>
      </c>
    </row>
    <row r="86" spans="1:20" x14ac:dyDescent="0.25">
      <c r="A86" s="5">
        <v>44507</v>
      </c>
      <c r="B86">
        <v>12.17</v>
      </c>
      <c r="C86">
        <v>14.471</v>
      </c>
      <c r="D86">
        <v>12.067</v>
      </c>
      <c r="E86">
        <v>13.234</v>
      </c>
      <c r="F86">
        <v>2781763.2</v>
      </c>
      <c r="G86">
        <v>13.234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-2.9118136439268007E-2</v>
      </c>
      <c r="Q86">
        <f t="shared" ref="Q86" si="406">F86*P86</f>
        <v>-80999.760399334788</v>
      </c>
      <c r="R86">
        <f t="shared" ref="R86" si="407">R87+Q86</f>
        <v>-9063125.7417189963</v>
      </c>
      <c r="S86">
        <f t="shared" ref="S86" si="408">R86/100000</f>
        <v>-90.631257417189957</v>
      </c>
      <c r="T86">
        <f t="shared" ref="T86" si="409">S86/1000</f>
        <v>-9.0631257417189956E-2</v>
      </c>
    </row>
    <row r="87" spans="1:20" x14ac:dyDescent="0.25">
      <c r="A87" s="5">
        <v>44506</v>
      </c>
      <c r="B87">
        <v>11.56</v>
      </c>
      <c r="C87">
        <v>12.295999999999999</v>
      </c>
      <c r="D87">
        <v>11.159000000000001</v>
      </c>
      <c r="E87">
        <v>12.167</v>
      </c>
      <c r="F87">
        <v>533170.80000000005</v>
      </c>
      <c r="G87">
        <v>12.167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0.77308707124010601</v>
      </c>
      <c r="Q87">
        <f t="shared" ref="Q87" si="411">F87*P87</f>
        <v>412187.45224274433</v>
      </c>
      <c r="R87">
        <f t="shared" ref="R87" si="412">R88+Q87</f>
        <v>-8982125.9813196622</v>
      </c>
      <c r="S87">
        <f t="shared" ref="S87" si="413">R87/100000</f>
        <v>-89.821259813196619</v>
      </c>
      <c r="T87">
        <f t="shared" ref="T87" si="414">S87/1000</f>
        <v>-8.9821259813196622E-2</v>
      </c>
    </row>
    <row r="88" spans="1:20" x14ac:dyDescent="0.25">
      <c r="A88" s="5">
        <v>44505</v>
      </c>
      <c r="B88">
        <v>11.394</v>
      </c>
      <c r="C88">
        <v>11.9</v>
      </c>
      <c r="D88">
        <v>11.071999999999999</v>
      </c>
      <c r="E88">
        <v>11.551</v>
      </c>
      <c r="F88">
        <v>592074.69999999995</v>
      </c>
      <c r="G88">
        <v>11.551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0.15700483091787512</v>
      </c>
      <c r="Q88">
        <f t="shared" ref="Q88" si="416">F88*P88</f>
        <v>92958.588164251632</v>
      </c>
      <c r="R88">
        <f t="shared" ref="R88" si="417">R89+Q88</f>
        <v>-9394313.4335624073</v>
      </c>
      <c r="S88">
        <f t="shared" ref="S88" si="418">R88/100000</f>
        <v>-93.943134335624066</v>
      </c>
      <c r="T88">
        <f t="shared" ref="T88" si="419">S88/1000</f>
        <v>-9.3943134335624068E-2</v>
      </c>
    </row>
    <row r="89" spans="1:20" x14ac:dyDescent="0.25">
      <c r="A89" s="5">
        <v>44504</v>
      </c>
      <c r="B89">
        <v>11.198</v>
      </c>
      <c r="C89">
        <v>11.762</v>
      </c>
      <c r="D89">
        <v>10.778</v>
      </c>
      <c r="E89">
        <v>11.381</v>
      </c>
      <c r="F89">
        <v>653713.1</v>
      </c>
      <c r="G89">
        <v>11.381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0.22560975609756051</v>
      </c>
      <c r="Q89">
        <f t="shared" ref="Q89" si="421">F89*P89</f>
        <v>147484.05304878019</v>
      </c>
      <c r="R89">
        <f t="shared" ref="R89" si="422">R90+Q89</f>
        <v>-9487272.0217266586</v>
      </c>
      <c r="S89">
        <f t="shared" ref="S89" si="423">R89/100000</f>
        <v>-94.87272021726659</v>
      </c>
      <c r="T89">
        <f t="shared" ref="T89" si="424">S89/1000</f>
        <v>-9.4872720217266587E-2</v>
      </c>
    </row>
    <row r="90" spans="1:20" x14ac:dyDescent="0.25">
      <c r="A90" s="5">
        <v>44503</v>
      </c>
      <c r="B90">
        <v>10.917</v>
      </c>
      <c r="C90">
        <v>11.497</v>
      </c>
      <c r="D90">
        <v>10.752000000000001</v>
      </c>
      <c r="E90">
        <v>11.191000000000001</v>
      </c>
      <c r="F90">
        <v>885992</v>
      </c>
      <c r="G90">
        <v>11.191000000000001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0.1785234899328873</v>
      </c>
      <c r="Q90">
        <f t="shared" ref="Q90" si="426">F90*P90</f>
        <v>158170.38389261867</v>
      </c>
      <c r="R90">
        <f t="shared" ref="R90" si="427">R91+Q90</f>
        <v>-9634756.0747754388</v>
      </c>
      <c r="S90">
        <f t="shared" ref="S90" si="428">R90/100000</f>
        <v>-96.347560747754386</v>
      </c>
      <c r="T90">
        <f t="shared" ref="T90" si="429">S90/1000</f>
        <v>-9.6347560747754385E-2</v>
      </c>
    </row>
    <row r="91" spans="1:20" x14ac:dyDescent="0.25">
      <c r="A91" s="5">
        <v>44502</v>
      </c>
      <c r="B91">
        <v>10.606999999999999</v>
      </c>
      <c r="C91">
        <v>11.57</v>
      </c>
      <c r="D91">
        <v>10.499000000000001</v>
      </c>
      <c r="E91">
        <v>10.916</v>
      </c>
      <c r="F91">
        <v>672297.6</v>
      </c>
      <c r="G91">
        <v>10.916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-0.22128851540616262</v>
      </c>
      <c r="Q91">
        <f t="shared" ref="Q91" si="431">F91*P91</f>
        <v>-148771.73781512617</v>
      </c>
      <c r="R91">
        <f t="shared" ref="R91" si="432">R92+Q91</f>
        <v>-9792926.4586680569</v>
      </c>
      <c r="S91">
        <f t="shared" ref="S91" si="433">R91/100000</f>
        <v>-97.929264586680574</v>
      </c>
      <c r="T91">
        <f t="shared" ref="T91" si="434">S91/1000</f>
        <v>-9.7929264586680581E-2</v>
      </c>
    </row>
    <row r="92" spans="1:20" x14ac:dyDescent="0.25">
      <c r="A92" s="5">
        <v>44501</v>
      </c>
      <c r="B92">
        <v>10.85</v>
      </c>
      <c r="C92">
        <v>11.35</v>
      </c>
      <c r="D92">
        <v>10.496</v>
      </c>
      <c r="E92">
        <v>10.606999999999999</v>
      </c>
      <c r="F92">
        <v>429267.20000000001</v>
      </c>
      <c r="G92">
        <v>10.606999999999999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-0.74004683840749652</v>
      </c>
      <c r="Q92">
        <f t="shared" ref="Q92" si="436">F92*P92</f>
        <v>-317677.83419203851</v>
      </c>
      <c r="R92">
        <f t="shared" ref="R92" si="437">R93+Q92</f>
        <v>-9644154.7208529301</v>
      </c>
      <c r="S92">
        <f t="shared" ref="S92" si="438">R92/100000</f>
        <v>-96.4415472085293</v>
      </c>
      <c r="T92">
        <f t="shared" ref="T92" si="439">S92/1000</f>
        <v>-9.6441547208529294E-2</v>
      </c>
    </row>
    <row r="93" spans="1:20" x14ac:dyDescent="0.25">
      <c r="A93" s="5">
        <v>44500</v>
      </c>
      <c r="B93">
        <v>10.911</v>
      </c>
      <c r="C93">
        <v>11.111000000000001</v>
      </c>
      <c r="D93">
        <v>10.628</v>
      </c>
      <c r="E93">
        <v>10.85</v>
      </c>
      <c r="F93">
        <v>294496.7</v>
      </c>
      <c r="G93">
        <v>10.85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-8.0745341614909802E-2</v>
      </c>
      <c r="Q93">
        <f t="shared" ref="Q93" si="441">F93*P93</f>
        <v>-23779.236645963607</v>
      </c>
      <c r="R93">
        <f t="shared" ref="R93" si="442">R94+Q93</f>
        <v>-9326476.8866608907</v>
      </c>
      <c r="S93">
        <f t="shared" ref="S93" si="443">R93/100000</f>
        <v>-93.264768866608904</v>
      </c>
      <c r="T93">
        <f t="shared" ref="T93" si="444">S93/1000</f>
        <v>-9.3264768866608908E-2</v>
      </c>
    </row>
    <row r="94" spans="1:20" x14ac:dyDescent="0.25">
      <c r="A94" s="5">
        <v>44499</v>
      </c>
      <c r="B94">
        <v>11.343</v>
      </c>
      <c r="C94">
        <v>11.395</v>
      </c>
      <c r="D94">
        <v>10.6</v>
      </c>
      <c r="E94">
        <v>10.922000000000001</v>
      </c>
      <c r="F94">
        <v>379596.9</v>
      </c>
      <c r="G94">
        <v>10.922000000000001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-0.18993710691823654</v>
      </c>
      <c r="Q94">
        <f t="shared" ref="Q94" si="446">F94*P94</f>
        <v>-72099.536981131154</v>
      </c>
      <c r="R94">
        <f t="shared" ref="R94" si="447">R95+Q94</f>
        <v>-9302697.6500149276</v>
      </c>
      <c r="S94">
        <f t="shared" ref="S94" si="448">R94/100000</f>
        <v>-93.026976500149274</v>
      </c>
      <c r="T94">
        <f t="shared" ref="T94" si="449">S94/1000</f>
        <v>-9.302697650014928E-2</v>
      </c>
    </row>
    <row r="95" spans="1:20" x14ac:dyDescent="0.25">
      <c r="A95" s="5">
        <v>44498</v>
      </c>
      <c r="B95">
        <v>11.087999999999999</v>
      </c>
      <c r="C95">
        <v>11.725</v>
      </c>
      <c r="D95">
        <v>10.7</v>
      </c>
      <c r="E95">
        <v>11.343</v>
      </c>
      <c r="F95">
        <v>419715.4</v>
      </c>
      <c r="G95">
        <v>11.343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0.25463414634146431</v>
      </c>
      <c r="Q95">
        <f t="shared" ref="Q95" si="451">F95*P95</f>
        <v>106873.87258536623</v>
      </c>
      <c r="R95">
        <f t="shared" ref="R95" si="452">R96+Q95</f>
        <v>-9230598.1130337957</v>
      </c>
      <c r="S95">
        <f t="shared" ref="S95" si="453">R95/100000</f>
        <v>-92.305981130337955</v>
      </c>
      <c r="T95">
        <f t="shared" ref="T95" si="454">S95/1000</f>
        <v>-9.2305981130337958E-2</v>
      </c>
    </row>
    <row r="96" spans="1:20" x14ac:dyDescent="0.25">
      <c r="A96" s="5">
        <v>44497</v>
      </c>
      <c r="B96">
        <v>10.53</v>
      </c>
      <c r="C96">
        <v>11.13</v>
      </c>
      <c r="D96">
        <v>10.448</v>
      </c>
      <c r="E96">
        <v>11.099</v>
      </c>
      <c r="F96">
        <v>451762.3</v>
      </c>
      <c r="G96">
        <v>11.099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0.9090909090909074</v>
      </c>
      <c r="Q96">
        <f t="shared" ref="Q96" si="456">F96*P96</f>
        <v>410692.99999999924</v>
      </c>
      <c r="R96">
        <f t="shared" ref="R96" si="457">R97+Q96</f>
        <v>-9337471.9856191613</v>
      </c>
      <c r="S96">
        <f t="shared" ref="S96" si="458">R96/100000</f>
        <v>-93.374719856191618</v>
      </c>
      <c r="T96">
        <f t="shared" ref="T96" si="459">S96/1000</f>
        <v>-9.3374719856191613E-2</v>
      </c>
    </row>
    <row r="97" spans="1:20" x14ac:dyDescent="0.25">
      <c r="A97" s="5">
        <v>44496</v>
      </c>
      <c r="B97">
        <v>12.148999999999999</v>
      </c>
      <c r="C97">
        <v>13.247999999999999</v>
      </c>
      <c r="D97">
        <v>10.528</v>
      </c>
      <c r="E97">
        <v>10.545999999999999</v>
      </c>
      <c r="F97">
        <v>1051668.6000000001</v>
      </c>
      <c r="G97">
        <v>10.545999999999999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-0.98676470588235377</v>
      </c>
      <c r="Q97">
        <f t="shared" ref="Q97" si="461">F97*P97</f>
        <v>-1037749.4567647069</v>
      </c>
      <c r="R97">
        <f t="shared" ref="R97" si="462">R98+Q97</f>
        <v>-9748164.9856191613</v>
      </c>
      <c r="S97">
        <f t="shared" ref="S97" si="463">R97/100000</f>
        <v>-97.481649856191609</v>
      </c>
      <c r="T97">
        <f t="shared" ref="T97" si="464">S97/1000</f>
        <v>-9.7481649856191607E-2</v>
      </c>
    </row>
    <row r="98" spans="1:20" x14ac:dyDescent="0.25">
      <c r="A98" s="5">
        <v>44495</v>
      </c>
      <c r="B98">
        <v>12.105</v>
      </c>
      <c r="C98">
        <v>12.6</v>
      </c>
      <c r="D98">
        <v>11.994</v>
      </c>
      <c r="E98">
        <v>12.156000000000001</v>
      </c>
      <c r="F98">
        <v>442253.4</v>
      </c>
      <c r="G98">
        <v>12.156000000000001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-0.46534653465346254</v>
      </c>
      <c r="Q98">
        <f t="shared" ref="Q98" si="466">F98*P98</f>
        <v>-205801.08712871163</v>
      </c>
      <c r="R98">
        <f t="shared" ref="R98" si="467">R99+Q98</f>
        <v>-8710415.5288544539</v>
      </c>
      <c r="S98">
        <f t="shared" ref="S98" si="468">R98/100000</f>
        <v>-87.104155288544533</v>
      </c>
      <c r="T98">
        <f t="shared" ref="T98" si="469">S98/1000</f>
        <v>-8.7104155288544538E-2</v>
      </c>
    </row>
    <row r="99" spans="1:20" x14ac:dyDescent="0.25">
      <c r="A99" s="5">
        <v>44494</v>
      </c>
      <c r="B99">
        <v>12.012</v>
      </c>
      <c r="C99">
        <v>12.196</v>
      </c>
      <c r="D99">
        <v>11.83</v>
      </c>
      <c r="E99">
        <v>12.119</v>
      </c>
      <c r="F99">
        <v>641222.69999999995</v>
      </c>
      <c r="G99">
        <v>12.119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0.57923497267759549</v>
      </c>
      <c r="Q99">
        <f t="shared" ref="Q99" si="471">F99*P99</f>
        <v>371418.61311475397</v>
      </c>
      <c r="R99">
        <f t="shared" ref="R99" si="472">R100+Q99</f>
        <v>-8504614.4417257421</v>
      </c>
      <c r="S99">
        <f t="shared" ref="S99" si="473">R99/100000</f>
        <v>-85.046144417257423</v>
      </c>
      <c r="T99">
        <f t="shared" ref="T99" si="474">S99/1000</f>
        <v>-8.5046144417257427E-2</v>
      </c>
    </row>
    <row r="100" spans="1:20" x14ac:dyDescent="0.25">
      <c r="A100" s="5">
        <v>44493</v>
      </c>
      <c r="B100">
        <v>12.643000000000001</v>
      </c>
      <c r="C100">
        <v>12.711</v>
      </c>
      <c r="D100">
        <v>11.98</v>
      </c>
      <c r="E100">
        <v>12.010999999999999</v>
      </c>
      <c r="F100">
        <v>374117.8</v>
      </c>
      <c r="G100">
        <v>12.010999999999999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-0.91518467852257512</v>
      </c>
      <c r="Q100">
        <f t="shared" ref="Q100" si="476">F100*P100</f>
        <v>-342386.87852257304</v>
      </c>
      <c r="R100">
        <f t="shared" ref="R100" si="477">R101+Q100</f>
        <v>-8876033.0548404958</v>
      </c>
      <c r="S100">
        <f t="shared" ref="S100" si="478">R100/100000</f>
        <v>-88.760330548404951</v>
      </c>
      <c r="T100">
        <f t="shared" ref="T100" si="479">S100/1000</f>
        <v>-8.8760330548404945E-2</v>
      </c>
    </row>
    <row r="101" spans="1:20" x14ac:dyDescent="0.25">
      <c r="A101" s="5">
        <v>44492</v>
      </c>
      <c r="B101">
        <v>12.638</v>
      </c>
      <c r="C101">
        <v>13.173</v>
      </c>
      <c r="D101">
        <v>12.455</v>
      </c>
      <c r="E101">
        <v>12.657999999999999</v>
      </c>
      <c r="F101">
        <v>216164.9</v>
      </c>
      <c r="G101">
        <v>12.657999999999999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-0.4345403899721465</v>
      </c>
      <c r="Q101">
        <f t="shared" ref="Q101" si="481">F101*P101</f>
        <v>-93932.379944290049</v>
      </c>
      <c r="R101">
        <f t="shared" ref="R101" si="482">R102+Q101</f>
        <v>-8533646.1763179228</v>
      </c>
      <c r="S101">
        <f t="shared" ref="S101" si="483">R101/100000</f>
        <v>-85.33646176317923</v>
      </c>
      <c r="T101">
        <f t="shared" ref="T101" si="484">S101/1000</f>
        <v>-8.533646176317923E-2</v>
      </c>
    </row>
    <row r="102" spans="1:20" x14ac:dyDescent="0.25">
      <c r="A102" s="5">
        <v>44491</v>
      </c>
      <c r="B102">
        <v>12.721</v>
      </c>
      <c r="C102">
        <v>13.348000000000001</v>
      </c>
      <c r="D102">
        <v>12.414999999999999</v>
      </c>
      <c r="E102">
        <v>12.651999999999999</v>
      </c>
      <c r="F102">
        <v>449259.2</v>
      </c>
      <c r="G102">
        <v>12.651999999999999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-0.49196141479099742</v>
      </c>
      <c r="Q102">
        <f t="shared" ref="Q102" si="486">F102*P102</f>
        <v>-221018.19163987169</v>
      </c>
      <c r="R102">
        <f t="shared" ref="R102" si="487">R103+Q102</f>
        <v>-8439713.7963736318</v>
      </c>
      <c r="S102">
        <f t="shared" ref="S102" si="488">R102/100000</f>
        <v>-84.397137963736313</v>
      </c>
      <c r="T102">
        <f t="shared" ref="T102" si="489">S102/1000</f>
        <v>-8.439713796373631E-2</v>
      </c>
    </row>
    <row r="103" spans="1:20" x14ac:dyDescent="0.25">
      <c r="A103" s="5">
        <v>44490</v>
      </c>
      <c r="B103">
        <v>13.593999999999999</v>
      </c>
      <c r="C103">
        <v>13.638999999999999</v>
      </c>
      <c r="D103">
        <v>12.571999999999999</v>
      </c>
      <c r="E103">
        <v>12.72</v>
      </c>
      <c r="F103">
        <v>641597.30000000005</v>
      </c>
      <c r="G103">
        <v>12.72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-0.72258669165885392</v>
      </c>
      <c r="Q103">
        <f t="shared" ref="Q103" si="491">F103*P103</f>
        <v>-463609.6703842532</v>
      </c>
      <c r="R103">
        <f t="shared" ref="R103" si="492">R104+Q103</f>
        <v>-8218695.6047337605</v>
      </c>
      <c r="S103">
        <f t="shared" ref="S103" si="493">R103/100000</f>
        <v>-82.186956047337603</v>
      </c>
      <c r="T103">
        <f t="shared" ref="T103" si="494">S103/1000</f>
        <v>-8.2186956047337598E-2</v>
      </c>
    </row>
    <row r="104" spans="1:20" x14ac:dyDescent="0.25">
      <c r="A104" s="5">
        <v>44489</v>
      </c>
      <c r="B104">
        <v>13.416</v>
      </c>
      <c r="C104">
        <v>14.4</v>
      </c>
      <c r="D104">
        <v>13.391</v>
      </c>
      <c r="E104">
        <v>13.606</v>
      </c>
      <c r="F104">
        <v>858962.9</v>
      </c>
      <c r="G104">
        <v>13.606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-0.57383548067393497</v>
      </c>
      <c r="Q104">
        <f t="shared" ref="Q104" si="496">F104*P104</f>
        <v>-492903.38860257715</v>
      </c>
      <c r="R104">
        <f t="shared" ref="R104" si="497">R105+Q104</f>
        <v>-7755085.9343495071</v>
      </c>
      <c r="S104">
        <f t="shared" ref="S104" si="498">R104/100000</f>
        <v>-77.550859343495077</v>
      </c>
      <c r="T104">
        <f t="shared" ref="T104" si="499">S104/1000</f>
        <v>-7.7550859343495079E-2</v>
      </c>
    </row>
    <row r="105" spans="1:20" x14ac:dyDescent="0.25">
      <c r="A105" s="5">
        <v>44488</v>
      </c>
      <c r="B105">
        <v>12.708</v>
      </c>
      <c r="C105">
        <v>14.138999999999999</v>
      </c>
      <c r="D105">
        <v>12.4</v>
      </c>
      <c r="E105">
        <v>13.417999999999999</v>
      </c>
      <c r="F105">
        <v>1710357</v>
      </c>
      <c r="G105">
        <v>13.417999999999999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0.17078780908568084</v>
      </c>
      <c r="Q105">
        <f t="shared" ref="Q105" si="501">F105*P105</f>
        <v>292108.12478435785</v>
      </c>
      <c r="R105">
        <f t="shared" ref="R105" si="502">R106+Q105</f>
        <v>-7262182.5457469299</v>
      </c>
      <c r="S105">
        <f t="shared" ref="S105" si="503">R105/100000</f>
        <v>-72.621825457469299</v>
      </c>
      <c r="T105">
        <f t="shared" ref="T105" si="504">S105/1000</f>
        <v>-7.26218254574693E-2</v>
      </c>
    </row>
    <row r="106" spans="1:20" x14ac:dyDescent="0.25">
      <c r="A106" s="5">
        <v>44487</v>
      </c>
      <c r="B106">
        <v>11.988</v>
      </c>
      <c r="C106">
        <v>12.718</v>
      </c>
      <c r="D106">
        <v>11.637</v>
      </c>
      <c r="E106">
        <v>12.708</v>
      </c>
      <c r="F106">
        <v>989717.4</v>
      </c>
      <c r="G106">
        <v>12.708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0.98149861239593006</v>
      </c>
      <c r="Q106">
        <f t="shared" ref="Q106" si="506">F106*P106</f>
        <v>971406.25476410764</v>
      </c>
      <c r="R106">
        <f t="shared" ref="R106" si="507">R107+Q106</f>
        <v>-7554290.6705312878</v>
      </c>
      <c r="S106">
        <f t="shared" ref="S106" si="508">R106/100000</f>
        <v>-75.542906705312873</v>
      </c>
      <c r="T106">
        <f t="shared" ref="T106" si="509">S106/1000</f>
        <v>-7.5542906705312871E-2</v>
      </c>
    </row>
    <row r="107" spans="1:20" x14ac:dyDescent="0.25">
      <c r="A107" s="5">
        <v>44486</v>
      </c>
      <c r="B107">
        <v>11.847</v>
      </c>
      <c r="C107">
        <v>12.263</v>
      </c>
      <c r="D107">
        <v>11.489000000000001</v>
      </c>
      <c r="E107">
        <v>11.994999999999999</v>
      </c>
      <c r="F107">
        <v>610363.19999999995</v>
      </c>
      <c r="G107">
        <v>11.994999999999999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0.30749354005167706</v>
      </c>
      <c r="Q107">
        <f t="shared" ref="Q107" si="511">F107*P107</f>
        <v>187682.74108526975</v>
      </c>
      <c r="R107">
        <f t="shared" ref="R107" si="512">R108+Q107</f>
        <v>-8525696.9252953958</v>
      </c>
      <c r="S107">
        <f t="shared" ref="S107" si="513">R107/100000</f>
        <v>-85.256969252953951</v>
      </c>
      <c r="T107">
        <f t="shared" ref="T107" si="514">S107/1000</f>
        <v>-8.5256969252953951E-2</v>
      </c>
    </row>
    <row r="108" spans="1:20" x14ac:dyDescent="0.25">
      <c r="A108" s="5">
        <v>44485</v>
      </c>
      <c r="B108">
        <v>11.465999999999999</v>
      </c>
      <c r="C108">
        <v>12.1</v>
      </c>
      <c r="D108">
        <v>11.315</v>
      </c>
      <c r="E108">
        <v>11.85</v>
      </c>
      <c r="F108">
        <v>553345.9</v>
      </c>
      <c r="G108">
        <v>11.85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0.36305732484076447</v>
      </c>
      <c r="Q108">
        <f t="shared" ref="Q108" si="516">F108*P108</f>
        <v>200896.2821656052</v>
      </c>
      <c r="R108">
        <f t="shared" ref="R108" si="517">R109+Q108</f>
        <v>-8713379.6663806662</v>
      </c>
      <c r="S108">
        <f t="shared" ref="S108" si="518">R108/100000</f>
        <v>-87.133796663806663</v>
      </c>
      <c r="T108">
        <f t="shared" ref="T108" si="519">S108/1000</f>
        <v>-8.7133796663806662E-2</v>
      </c>
    </row>
    <row r="109" spans="1:20" x14ac:dyDescent="0.25">
      <c r="A109" s="5">
        <v>44484</v>
      </c>
      <c r="B109">
        <v>12.128</v>
      </c>
      <c r="C109">
        <v>12.148</v>
      </c>
      <c r="D109">
        <v>11.343</v>
      </c>
      <c r="E109">
        <v>11.47</v>
      </c>
      <c r="F109">
        <v>517528.3</v>
      </c>
      <c r="G109">
        <v>11.47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-0.6844720496894392</v>
      </c>
      <c r="Q109">
        <f t="shared" ref="Q109" si="521">F109*P109</f>
        <v>-354233.65627329098</v>
      </c>
      <c r="R109">
        <f t="shared" ref="R109" si="522">R110+Q109</f>
        <v>-8914275.9485462718</v>
      </c>
      <c r="S109">
        <f t="shared" ref="S109" si="523">R109/100000</f>
        <v>-89.142759485462719</v>
      </c>
      <c r="T109">
        <f t="shared" ref="T109" si="524">S109/1000</f>
        <v>-8.9142759485462714E-2</v>
      </c>
    </row>
    <row r="110" spans="1:20" x14ac:dyDescent="0.25">
      <c r="A110" s="5">
        <v>44483</v>
      </c>
      <c r="B110">
        <v>11.653</v>
      </c>
      <c r="C110">
        <v>12.292</v>
      </c>
      <c r="D110">
        <v>11.489000000000001</v>
      </c>
      <c r="E110">
        <v>12.148999999999999</v>
      </c>
      <c r="F110">
        <v>601389.4</v>
      </c>
      <c r="G110">
        <v>12.148999999999999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0.64383561643835407</v>
      </c>
      <c r="Q110">
        <f t="shared" ref="Q110" si="526">F110*P110</f>
        <v>387195.91506849189</v>
      </c>
      <c r="R110">
        <f t="shared" ref="R110" si="527">R111+Q110</f>
        <v>-8560042.2922729813</v>
      </c>
      <c r="S110">
        <f t="shared" ref="S110" si="528">R110/100000</f>
        <v>-85.600422922729805</v>
      </c>
      <c r="T110">
        <f t="shared" ref="T110" si="529">S110/1000</f>
        <v>-8.5600422922729805E-2</v>
      </c>
    </row>
    <row r="111" spans="1:20" x14ac:dyDescent="0.25">
      <c r="A111" s="5">
        <v>44482</v>
      </c>
      <c r="B111">
        <v>10.933</v>
      </c>
      <c r="C111">
        <v>12.632999999999999</v>
      </c>
      <c r="D111">
        <v>10.9</v>
      </c>
      <c r="E111">
        <v>11.653</v>
      </c>
      <c r="F111">
        <v>1382907.2</v>
      </c>
      <c r="G111">
        <v>11.653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-0.13098672821696405</v>
      </c>
      <c r="Q111">
        <f t="shared" ref="Q111" si="531">F111*P111</f>
        <v>-181142.48955568275</v>
      </c>
      <c r="R111">
        <f t="shared" ref="R111" si="532">R112+Q111</f>
        <v>-8947238.2073414735</v>
      </c>
      <c r="S111">
        <f t="shared" ref="S111" si="533">R111/100000</f>
        <v>-89.472382073414735</v>
      </c>
      <c r="T111">
        <f t="shared" ref="T111" si="534">S111/1000</f>
        <v>-8.9472382073414736E-2</v>
      </c>
    </row>
    <row r="112" spans="1:20" x14ac:dyDescent="0.25">
      <c r="A112" s="5">
        <v>44481</v>
      </c>
      <c r="B112">
        <v>10.631</v>
      </c>
      <c r="C112">
        <v>11</v>
      </c>
      <c r="D112">
        <v>9.94</v>
      </c>
      <c r="E112">
        <v>10.935</v>
      </c>
      <c r="F112">
        <v>536145.80000000005</v>
      </c>
      <c r="G112">
        <v>10.935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0.87735849056603876</v>
      </c>
      <c r="Q112">
        <f t="shared" ref="Q112" si="536">F112*P112</f>
        <v>470392.06981132133</v>
      </c>
      <c r="R112">
        <f t="shared" ref="R112" si="537">R113+Q112</f>
        <v>-8766095.7177857906</v>
      </c>
      <c r="S112">
        <f t="shared" ref="S112" si="538">R112/100000</f>
        <v>-87.66095717785791</v>
      </c>
      <c r="T112">
        <f t="shared" ref="T112" si="539">S112/1000</f>
        <v>-8.7660957177857907E-2</v>
      </c>
    </row>
    <row r="113" spans="1:20" x14ac:dyDescent="0.25">
      <c r="A113" s="5">
        <v>44480</v>
      </c>
      <c r="B113">
        <v>10.928000000000001</v>
      </c>
      <c r="C113">
        <v>11.22</v>
      </c>
      <c r="D113">
        <v>10.510999999999999</v>
      </c>
      <c r="E113">
        <v>10.631</v>
      </c>
      <c r="F113">
        <v>347194.7</v>
      </c>
      <c r="G113">
        <v>10.631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-0.66149506346967346</v>
      </c>
      <c r="Q113">
        <f t="shared" ref="Q113" si="541">F113*P113</f>
        <v>-229667.58011283426</v>
      </c>
      <c r="R113">
        <f t="shared" ref="R113" si="542">R114+Q113</f>
        <v>-9236487.7875971124</v>
      </c>
      <c r="S113">
        <f t="shared" ref="S113" si="543">R113/100000</f>
        <v>-92.364877875971118</v>
      </c>
      <c r="T113">
        <f t="shared" ref="T113" si="544">S113/1000</f>
        <v>-9.2364877875971113E-2</v>
      </c>
    </row>
    <row r="114" spans="1:20" x14ac:dyDescent="0.25">
      <c r="A114" s="5">
        <v>44479</v>
      </c>
      <c r="B114">
        <v>11.273999999999999</v>
      </c>
      <c r="C114">
        <v>11.67</v>
      </c>
      <c r="D114">
        <v>10.874000000000001</v>
      </c>
      <c r="E114">
        <v>10.929</v>
      </c>
      <c r="F114">
        <v>449299.7</v>
      </c>
      <c r="G114">
        <v>10.929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-0.86180904522613122</v>
      </c>
      <c r="Q114">
        <f t="shared" ref="Q114" si="546">F114*P114</f>
        <v>-387210.5454773872</v>
      </c>
      <c r="R114">
        <f t="shared" ref="R114" si="547">R115+Q114</f>
        <v>-9006820.2074842788</v>
      </c>
      <c r="S114">
        <f t="shared" ref="S114" si="548">R114/100000</f>
        <v>-90.068202074842787</v>
      </c>
      <c r="T114">
        <f t="shared" ref="T114" si="549">S114/1000</f>
        <v>-9.0068202074842785E-2</v>
      </c>
    </row>
    <row r="115" spans="1:20" x14ac:dyDescent="0.25">
      <c r="A115" s="5">
        <v>44478</v>
      </c>
      <c r="B115">
        <v>11.66</v>
      </c>
      <c r="C115">
        <v>11.909000000000001</v>
      </c>
      <c r="D115">
        <v>11.134</v>
      </c>
      <c r="E115">
        <v>11.27</v>
      </c>
      <c r="F115">
        <v>396689.5</v>
      </c>
      <c r="G115">
        <v>11.27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-0.64903225806451825</v>
      </c>
      <c r="Q115">
        <f t="shared" ref="Q115" si="551">F115*P115</f>
        <v>-257464.2819354847</v>
      </c>
      <c r="R115">
        <f t="shared" ref="R115" si="552">R116+Q115</f>
        <v>-8619609.6620068923</v>
      </c>
      <c r="S115">
        <f t="shared" ref="S115" si="553">R115/100000</f>
        <v>-86.196096620068928</v>
      </c>
      <c r="T115">
        <f t="shared" ref="T115" si="554">S115/1000</f>
        <v>-8.6196096620068927E-2</v>
      </c>
    </row>
    <row r="116" spans="1:20" x14ac:dyDescent="0.25">
      <c r="A116" s="5">
        <v>44477</v>
      </c>
      <c r="B116">
        <v>12.101000000000001</v>
      </c>
      <c r="C116">
        <v>13.071</v>
      </c>
      <c r="D116">
        <v>11.532999999999999</v>
      </c>
      <c r="E116">
        <v>11.648999999999999</v>
      </c>
      <c r="F116">
        <v>796458.4</v>
      </c>
      <c r="G116">
        <v>11.648999999999999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-0.84915474642392763</v>
      </c>
      <c r="Q116">
        <f t="shared" ref="Q116" si="556">F116*P116</f>
        <v>-676316.43068920716</v>
      </c>
      <c r="R116">
        <f t="shared" ref="R116" si="557">R117+Q116</f>
        <v>-8362145.3800714081</v>
      </c>
      <c r="S116">
        <f t="shared" ref="S116" si="558">R116/100000</f>
        <v>-83.621453800714079</v>
      </c>
      <c r="T116">
        <f t="shared" ref="T116" si="559">S116/1000</f>
        <v>-8.3621453800714077E-2</v>
      </c>
    </row>
    <row r="117" spans="1:20" x14ac:dyDescent="0.25">
      <c r="A117" s="5">
        <v>44476</v>
      </c>
      <c r="B117">
        <v>10.653</v>
      </c>
      <c r="C117">
        <v>12.590999999999999</v>
      </c>
      <c r="D117">
        <v>10.474</v>
      </c>
      <c r="E117">
        <v>12.089</v>
      </c>
      <c r="F117">
        <v>1853511.7</v>
      </c>
      <c r="G117">
        <v>12.089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0.5257439773264061</v>
      </c>
      <c r="Q117">
        <f t="shared" ref="Q117" si="561">F117*P117</f>
        <v>974472.61317902838</v>
      </c>
      <c r="R117">
        <f t="shared" ref="R117" si="562">R118+Q117</f>
        <v>-7685828.9493822008</v>
      </c>
      <c r="S117">
        <f t="shared" ref="S117" si="563">R117/100000</f>
        <v>-76.858289493822014</v>
      </c>
      <c r="T117">
        <f t="shared" ref="T117" si="564">S117/1000</f>
        <v>-7.6858289493822007E-2</v>
      </c>
    </row>
    <row r="118" spans="1:20" x14ac:dyDescent="0.25">
      <c r="A118" s="5">
        <v>44475</v>
      </c>
      <c r="B118">
        <v>10.343999999999999</v>
      </c>
      <c r="C118">
        <v>10.8</v>
      </c>
      <c r="D118">
        <v>9.5969999999999995</v>
      </c>
      <c r="E118">
        <v>10.643000000000001</v>
      </c>
      <c r="F118">
        <v>495113.8</v>
      </c>
      <c r="G118">
        <v>10.643000000000001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0.73898586866167937</v>
      </c>
      <c r="Q118">
        <f t="shared" ref="Q118" si="566">F118*P118</f>
        <v>365882.10157938499</v>
      </c>
      <c r="R118">
        <f t="shared" ref="R118" si="567">R119+Q118</f>
        <v>-8660301.5625612289</v>
      </c>
      <c r="S118">
        <f t="shared" ref="S118" si="568">R118/100000</f>
        <v>-86.603015625612286</v>
      </c>
      <c r="T118">
        <f t="shared" ref="T118" si="569">S118/1000</f>
        <v>-8.660301562561229E-2</v>
      </c>
    </row>
    <row r="119" spans="1:20" x14ac:dyDescent="0.25">
      <c r="A119" s="5">
        <v>44474</v>
      </c>
      <c r="B119">
        <v>10.345000000000001</v>
      </c>
      <c r="C119">
        <v>10.936999999999999</v>
      </c>
      <c r="D119">
        <v>9.9990000000000006</v>
      </c>
      <c r="E119">
        <v>10.337999999999999</v>
      </c>
      <c r="F119">
        <v>563063.6</v>
      </c>
      <c r="G119">
        <v>10.337999999999999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-0.27718550106610007</v>
      </c>
      <c r="Q119">
        <f t="shared" ref="Q119" si="571">F119*P119</f>
        <v>-156073.06609808214</v>
      </c>
      <c r="R119">
        <f t="shared" ref="R119" si="572">R120+Q119</f>
        <v>-9026183.6641406137</v>
      </c>
      <c r="S119">
        <f t="shared" ref="S119" si="573">R119/100000</f>
        <v>-90.261836641406134</v>
      </c>
      <c r="T119">
        <f t="shared" ref="T119" si="574">S119/1000</f>
        <v>-9.0261836641406135E-2</v>
      </c>
    </row>
    <row r="120" spans="1:20" x14ac:dyDescent="0.25">
      <c r="A120" s="5">
        <v>44473</v>
      </c>
      <c r="B120">
        <v>10.819000000000001</v>
      </c>
      <c r="C120">
        <v>10.837999999999999</v>
      </c>
      <c r="D120">
        <v>10.16</v>
      </c>
      <c r="E120">
        <v>10.311</v>
      </c>
      <c r="F120">
        <v>493274.8</v>
      </c>
      <c r="G120">
        <v>10.311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-0.55457227138643062</v>
      </c>
      <c r="Q120">
        <f t="shared" ref="Q120" si="576">F120*P120</f>
        <v>-273556.52625368728</v>
      </c>
      <c r="R120">
        <f t="shared" ref="R120" si="577">R121+Q120</f>
        <v>-8870110.5980425309</v>
      </c>
      <c r="S120">
        <f t="shared" ref="S120" si="578">R120/100000</f>
        <v>-88.701105980425311</v>
      </c>
      <c r="T120">
        <f t="shared" ref="T120" si="579">S120/1000</f>
        <v>-8.8701105980425313E-2</v>
      </c>
    </row>
    <row r="121" spans="1:20" x14ac:dyDescent="0.25">
      <c r="A121" s="5">
        <v>44472</v>
      </c>
      <c r="B121">
        <v>10.795999999999999</v>
      </c>
      <c r="C121">
        <v>11.292999999999999</v>
      </c>
      <c r="D121">
        <v>10.406000000000001</v>
      </c>
      <c r="E121">
        <v>10.819000000000001</v>
      </c>
      <c r="F121">
        <v>687179</v>
      </c>
      <c r="G121">
        <v>10.819000000000001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-6.8771138669671092E-2</v>
      </c>
      <c r="Q121">
        <f t="shared" ref="Q121" si="581">F121*P121</f>
        <v>-47258.082299885915</v>
      </c>
      <c r="R121">
        <f t="shared" ref="R121" si="582">R122+Q121</f>
        <v>-8596554.0717888437</v>
      </c>
      <c r="S121">
        <f t="shared" ref="S121" si="583">R121/100000</f>
        <v>-85.96554071788843</v>
      </c>
      <c r="T121">
        <f t="shared" ref="T121" si="584">S121/1000</f>
        <v>-8.5965540717888436E-2</v>
      </c>
    </row>
    <row r="122" spans="1:20" x14ac:dyDescent="0.25">
      <c r="A122" s="5">
        <v>44471</v>
      </c>
      <c r="B122">
        <v>10.686</v>
      </c>
      <c r="C122">
        <v>11.164999999999999</v>
      </c>
      <c r="D122">
        <v>10.367000000000001</v>
      </c>
      <c r="E122">
        <v>10.778</v>
      </c>
      <c r="F122">
        <v>499299.9</v>
      </c>
      <c r="G122">
        <v>10.778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3.0075187969926018E-2</v>
      </c>
      <c r="Q122">
        <f t="shared" ref="Q122" si="586">F122*P122</f>
        <v>15016.538345865265</v>
      </c>
      <c r="R122">
        <f t="shared" ref="R122" si="587">R123+Q122</f>
        <v>-8549295.9894889574</v>
      </c>
      <c r="S122">
        <f t="shared" ref="S122" si="588">R122/100000</f>
        <v>-85.49295989488958</v>
      </c>
      <c r="T122">
        <f t="shared" ref="T122" si="589">S122/1000</f>
        <v>-8.5492959894889586E-2</v>
      </c>
    </row>
    <row r="123" spans="1:20" x14ac:dyDescent="0.25">
      <c r="A123" s="5">
        <v>44470</v>
      </c>
      <c r="B123">
        <v>9.7279999999999998</v>
      </c>
      <c r="C123">
        <v>10.872999999999999</v>
      </c>
      <c r="D123">
        <v>9.5289999999999999</v>
      </c>
      <c r="E123">
        <v>10.680999999999999</v>
      </c>
      <c r="F123">
        <v>613786.6</v>
      </c>
      <c r="G123">
        <v>10.680999999999999</v>
      </c>
      <c r="L123" t="s">
        <v>8</v>
      </c>
      <c r="M123" t="s">
        <v>7</v>
      </c>
      <c r="N123" t="s">
        <v>8</v>
      </c>
      <c r="P123">
        <f t="shared" ref="P123" si="590">IF(C123=D123,0,((E123-D123)-(C123-E123))/(C123-D123))</f>
        <v>0.71428571428571386</v>
      </c>
      <c r="Q123">
        <f t="shared" ref="Q123" si="591">F123*P123</f>
        <v>438418.99999999971</v>
      </c>
      <c r="R123">
        <f t="shared" ref="R123" si="592">R124+Q123</f>
        <v>-8564312.5278348234</v>
      </c>
      <c r="S123">
        <f t="shared" ref="S123" si="593">R123/100000</f>
        <v>-85.643125278348236</v>
      </c>
      <c r="T123">
        <f t="shared" ref="T123" si="594">S123/1000</f>
        <v>-8.5643125278348234E-2</v>
      </c>
    </row>
    <row r="124" spans="1:20" x14ac:dyDescent="0.25">
      <c r="A124" s="5">
        <v>44469</v>
      </c>
      <c r="B124">
        <v>9.43</v>
      </c>
      <c r="C124">
        <v>9.8309999999999995</v>
      </c>
      <c r="D124">
        <v>9.3629999999999995</v>
      </c>
      <c r="E124">
        <v>9.7149999999999999</v>
      </c>
      <c r="F124">
        <v>433238.2</v>
      </c>
      <c r="G124">
        <v>9.7149999999999999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0.5042735042735057</v>
      </c>
      <c r="Q124">
        <f t="shared" ref="Q124" si="596">F124*P124</f>
        <v>218470.54529914592</v>
      </c>
      <c r="R124">
        <f t="shared" ref="R124" si="597">R125+Q124</f>
        <v>-9002731.5278348234</v>
      </c>
      <c r="S124">
        <f t="shared" ref="S124" si="598">R124/100000</f>
        <v>-90.02731527834824</v>
      </c>
      <c r="T124">
        <f t="shared" ref="T124" si="599">S124/1000</f>
        <v>-9.0027315278348244E-2</v>
      </c>
    </row>
    <row r="125" spans="1:20" x14ac:dyDescent="0.25">
      <c r="A125" s="5">
        <v>44468</v>
      </c>
      <c r="B125">
        <v>9.2720000000000002</v>
      </c>
      <c r="C125">
        <v>10.023999999999999</v>
      </c>
      <c r="D125">
        <v>9.1120000000000001</v>
      </c>
      <c r="E125">
        <v>9.4369999999999994</v>
      </c>
      <c r="F125">
        <v>826413.5</v>
      </c>
      <c r="G125">
        <v>9.4369999999999994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-0.28728070175438675</v>
      </c>
      <c r="Q125">
        <f t="shared" ref="Q125" si="601">F125*P125</f>
        <v>-237412.6502192989</v>
      </c>
      <c r="R125">
        <f t="shared" ref="R125" si="602">R126+Q125</f>
        <v>-9221202.0731339697</v>
      </c>
      <c r="S125">
        <f t="shared" ref="S125" si="603">R125/100000</f>
        <v>-92.212020731339692</v>
      </c>
      <c r="T125">
        <f t="shared" ref="T125" si="604">S125/1000</f>
        <v>-9.2212020731339689E-2</v>
      </c>
    </row>
    <row r="126" spans="1:20" x14ac:dyDescent="0.25">
      <c r="A126" s="5">
        <v>44467</v>
      </c>
      <c r="B126">
        <v>9.8970000000000002</v>
      </c>
      <c r="C126">
        <v>10.474</v>
      </c>
      <c r="D126">
        <v>9.2409999999999997</v>
      </c>
      <c r="E126">
        <v>9.2780000000000005</v>
      </c>
      <c r="F126">
        <v>950264.4</v>
      </c>
      <c r="G126">
        <v>9.2780000000000005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-0.93998377939983646</v>
      </c>
      <c r="Q126">
        <f t="shared" ref="Q126" si="606">F126*P126</f>
        <v>-893233.12214111793</v>
      </c>
      <c r="R126">
        <f t="shared" ref="R126" si="607">R127+Q126</f>
        <v>-8983789.4229146708</v>
      </c>
      <c r="S126">
        <f t="shared" ref="S126" si="608">R126/100000</f>
        <v>-89.837894229146713</v>
      </c>
      <c r="T126">
        <f t="shared" ref="T126" si="609">S126/1000</f>
        <v>-8.9837894229146717E-2</v>
      </c>
    </row>
    <row r="127" spans="1:20" x14ac:dyDescent="0.25">
      <c r="A127" s="5">
        <v>44466</v>
      </c>
      <c r="B127">
        <v>10.673999999999999</v>
      </c>
      <c r="C127">
        <v>12.079000000000001</v>
      </c>
      <c r="D127">
        <v>9.8859999999999992</v>
      </c>
      <c r="E127">
        <v>9.8970000000000002</v>
      </c>
      <c r="F127">
        <v>1696735.7</v>
      </c>
      <c r="G127">
        <v>9.8970000000000002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-0.9899680802553571</v>
      </c>
      <c r="Q127">
        <f t="shared" ref="Q127" si="611">F127*P127</f>
        <v>-1679714.1836297296</v>
      </c>
      <c r="R127">
        <f t="shared" ref="R127" si="612">R128+Q127</f>
        <v>-8090556.3007735536</v>
      </c>
      <c r="S127">
        <f t="shared" ref="S127" si="613">R127/100000</f>
        <v>-80.905563007735537</v>
      </c>
      <c r="T127">
        <f t="shared" ref="T127" si="614">S127/1000</f>
        <v>-8.0905563007735534E-2</v>
      </c>
    </row>
    <row r="128" spans="1:20" x14ac:dyDescent="0.25">
      <c r="A128" s="5">
        <v>44465</v>
      </c>
      <c r="B128">
        <v>8.9060000000000006</v>
      </c>
      <c r="C128">
        <v>11.194000000000001</v>
      </c>
      <c r="D128">
        <v>8.0779999999999994</v>
      </c>
      <c r="E128">
        <v>10.682</v>
      </c>
      <c r="F128">
        <v>2686941.2</v>
      </c>
      <c r="G128">
        <v>10.682</v>
      </c>
      <c r="L128" t="s">
        <v>8</v>
      </c>
      <c r="M128" t="s">
        <v>8</v>
      </c>
      <c r="N128" t="s">
        <v>8</v>
      </c>
      <c r="P128">
        <f t="shared" ref="P128" si="615">IF(C128=D128,0,((E128-D128)-(C128-E128))/(C128-D128))</f>
        <v>0.67137355584082148</v>
      </c>
      <c r="Q128">
        <f t="shared" ref="Q128" si="616">F128*P128</f>
        <v>1803941.2677792041</v>
      </c>
      <c r="R128">
        <f t="shared" ref="R128" si="617">R129+Q128</f>
        <v>-6410842.1171438238</v>
      </c>
      <c r="S128">
        <f t="shared" ref="S128" si="618">R128/100000</f>
        <v>-64.108421171438238</v>
      </c>
      <c r="T128">
        <f t="shared" ref="T128" si="619">S128/1000</f>
        <v>-6.4108421171438237E-2</v>
      </c>
    </row>
    <row r="129" spans="1:20" x14ac:dyDescent="0.25">
      <c r="A129" s="5">
        <v>44464</v>
      </c>
      <c r="B129">
        <v>9.27</v>
      </c>
      <c r="C129">
        <v>9.4079999999999995</v>
      </c>
      <c r="D129">
        <v>8.7219999999999995</v>
      </c>
      <c r="E129">
        <v>8.9049999999999994</v>
      </c>
      <c r="F129">
        <v>582190.6</v>
      </c>
      <c r="G129">
        <v>8.9049999999999994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-0.46647230320699756</v>
      </c>
      <c r="Q129">
        <f t="shared" ref="Q129" si="621">F129*P129</f>
        <v>-271575.7900874638</v>
      </c>
      <c r="R129">
        <f t="shared" ref="R129" si="622">R130+Q129</f>
        <v>-8214783.3849230278</v>
      </c>
      <c r="S129">
        <f t="shared" ref="S129" si="623">R129/100000</f>
        <v>-82.147833849230281</v>
      </c>
      <c r="T129">
        <f t="shared" ref="T129" si="624">S129/1000</f>
        <v>-8.2147833849230287E-2</v>
      </c>
    </row>
    <row r="130" spans="1:20" x14ac:dyDescent="0.25">
      <c r="A130" s="5">
        <v>44463</v>
      </c>
      <c r="B130">
        <v>9.7490000000000006</v>
      </c>
      <c r="C130">
        <v>9.7880000000000003</v>
      </c>
      <c r="D130">
        <v>8.3629999999999995</v>
      </c>
      <c r="E130">
        <v>9.2690000000000001</v>
      </c>
      <c r="F130">
        <v>1076494.8999999999</v>
      </c>
      <c r="G130">
        <v>9.2690000000000001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0.27157894736842125</v>
      </c>
      <c r="Q130">
        <f t="shared" ref="Q130" si="626">F130*P130</f>
        <v>292353.35178947385</v>
      </c>
      <c r="R130">
        <f t="shared" ref="R130" si="627">R131+Q130</f>
        <v>-7943207.5948355636</v>
      </c>
      <c r="S130">
        <f t="shared" ref="S130" si="628">R130/100000</f>
        <v>-79.432075948355632</v>
      </c>
      <c r="T130">
        <f t="shared" ref="T130" si="629">S130/1000</f>
        <v>-7.9432075948355635E-2</v>
      </c>
    </row>
    <row r="131" spans="1:20" x14ac:dyDescent="0.25">
      <c r="A131" s="5">
        <v>44462</v>
      </c>
      <c r="B131">
        <v>9.1660000000000004</v>
      </c>
      <c r="C131">
        <v>9.8209999999999997</v>
      </c>
      <c r="D131">
        <v>9.0039999999999996</v>
      </c>
      <c r="E131">
        <v>9.7509999999999994</v>
      </c>
      <c r="F131">
        <v>915358.4</v>
      </c>
      <c r="G131">
        <v>9.7509999999999994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0.82864137086903233</v>
      </c>
      <c r="Q131">
        <f t="shared" ref="Q131" si="631">F131*P131</f>
        <v>758503.83941248409</v>
      </c>
      <c r="R131">
        <f t="shared" ref="R131" si="632">R132+Q131</f>
        <v>-8235560.9466250371</v>
      </c>
      <c r="S131">
        <f t="shared" ref="S131" si="633">R131/100000</f>
        <v>-82.355609466250371</v>
      </c>
      <c r="T131">
        <f t="shared" ref="T131" si="634">S131/1000</f>
        <v>-8.2355609466250368E-2</v>
      </c>
    </row>
    <row r="132" spans="1:20" x14ac:dyDescent="0.25">
      <c r="A132" s="5">
        <v>44461</v>
      </c>
      <c r="B132">
        <v>7.9820000000000002</v>
      </c>
      <c r="C132">
        <v>9.3450000000000006</v>
      </c>
      <c r="D132">
        <v>7.8520000000000003</v>
      </c>
      <c r="E132">
        <v>9.157</v>
      </c>
      <c r="F132">
        <v>866721.43700000003</v>
      </c>
      <c r="G132">
        <v>9.157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0.74815807099798981</v>
      </c>
      <c r="Q132">
        <f t="shared" ref="Q132" si="636">F132*P132</f>
        <v>648444.63839852577</v>
      </c>
      <c r="R132">
        <f t="shared" ref="R132" si="637">R133+Q132</f>
        <v>-8994064.7860375214</v>
      </c>
      <c r="S132">
        <f t="shared" ref="S132" si="638">R132/100000</f>
        <v>-89.940647860375208</v>
      </c>
      <c r="T132">
        <f t="shared" ref="T132" si="639">S132/1000</f>
        <v>-8.9940647860375214E-2</v>
      </c>
    </row>
    <row r="133" spans="1:20" x14ac:dyDescent="0.25">
      <c r="A133" s="5">
        <v>44460</v>
      </c>
      <c r="B133">
        <v>8.7780000000000005</v>
      </c>
      <c r="C133">
        <v>9.7100000000000009</v>
      </c>
      <c r="D133">
        <v>7.8970000000000002</v>
      </c>
      <c r="E133">
        <v>7.9820000000000002</v>
      </c>
      <c r="F133">
        <v>1052140.5649999999</v>
      </c>
      <c r="G133">
        <v>7.9820000000000002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-0.90623276337562064</v>
      </c>
      <c r="Q133">
        <f t="shared" ref="Q133" si="641">F133*P133</f>
        <v>-953484.25167953677</v>
      </c>
      <c r="R133">
        <f t="shared" ref="R133" si="642">R134+Q133</f>
        <v>-9642509.4244360477</v>
      </c>
      <c r="S133">
        <f t="shared" ref="S133" si="643">R133/100000</f>
        <v>-96.42509424436048</v>
      </c>
      <c r="T133">
        <f t="shared" ref="T133" si="644">S133/1000</f>
        <v>-9.6425094244360479E-2</v>
      </c>
    </row>
    <row r="134" spans="1:20" x14ac:dyDescent="0.25">
      <c r="A134" s="5">
        <v>44459</v>
      </c>
      <c r="B134">
        <v>10.932</v>
      </c>
      <c r="C134">
        <v>10.97</v>
      </c>
      <c r="D134">
        <v>9.2110000000000003</v>
      </c>
      <c r="E134">
        <v>9.3130000000000006</v>
      </c>
      <c r="F134">
        <v>597582.26199999999</v>
      </c>
      <c r="G134">
        <v>9.3130000000000006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-0.88402501421262047</v>
      </c>
      <c r="Q134">
        <f t="shared" ref="Q134" si="646">F134*P134</f>
        <v>-528277.66765775986</v>
      </c>
      <c r="R134">
        <f t="shared" ref="R134" si="647">R135+Q134</f>
        <v>-8689025.1727565117</v>
      </c>
      <c r="S134">
        <f t="shared" ref="S134" si="648">R134/100000</f>
        <v>-86.890251727565115</v>
      </c>
      <c r="T134">
        <f t="shared" ref="T134" si="649">S134/1000</f>
        <v>-8.6890251727565121E-2</v>
      </c>
    </row>
    <row r="135" spans="1:20" x14ac:dyDescent="0.25">
      <c r="A135" s="5">
        <v>44458</v>
      </c>
      <c r="B135">
        <v>10.856999999999999</v>
      </c>
      <c r="C135">
        <v>11.461</v>
      </c>
      <c r="D135">
        <v>10.574</v>
      </c>
      <c r="E135">
        <v>10.917999999999999</v>
      </c>
      <c r="F135">
        <v>569457.9</v>
      </c>
      <c r="G135">
        <v>10.917999999999999</v>
      </c>
      <c r="L135" t="s">
        <v>8</v>
      </c>
      <c r="M135" t="s">
        <v>7</v>
      </c>
      <c r="N135" t="s">
        <v>7</v>
      </c>
      <c r="P135">
        <f t="shared" ref="P135" si="650">IF(C135=D135,0,((E135-D135)-(C135-E135))/(C135-D135))</f>
        <v>-0.22435174746336134</v>
      </c>
      <c r="Q135">
        <f t="shared" ref="Q135" si="651">F135*P135</f>
        <v>-127758.87497181608</v>
      </c>
      <c r="R135">
        <f t="shared" ref="R135" si="652">R136+Q135</f>
        <v>-8160747.5050987527</v>
      </c>
      <c r="S135">
        <f t="shared" ref="S135" si="653">R135/100000</f>
        <v>-81.607475050987532</v>
      </c>
      <c r="T135">
        <f t="shared" ref="T135" si="654">S135/1000</f>
        <v>-8.1607475050987532E-2</v>
      </c>
    </row>
    <row r="136" spans="1:20" x14ac:dyDescent="0.25">
      <c r="A136" s="5">
        <v>44457</v>
      </c>
      <c r="B136">
        <v>10.708</v>
      </c>
      <c r="C136">
        <v>11.282</v>
      </c>
      <c r="D136">
        <v>10.615</v>
      </c>
      <c r="E136">
        <v>10.866</v>
      </c>
      <c r="F136">
        <v>406393.8</v>
      </c>
      <c r="G136">
        <v>10.866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-0.24737631184407941</v>
      </c>
      <c r="Q136">
        <f t="shared" ref="Q136" si="656">F136*P136</f>
        <v>-100532.19940030044</v>
      </c>
      <c r="R136">
        <f t="shared" ref="R136" si="657">R137+Q136</f>
        <v>-8032988.6301269364</v>
      </c>
      <c r="S136">
        <f t="shared" ref="S136" si="658">R136/100000</f>
        <v>-80.329886301269369</v>
      </c>
      <c r="T136">
        <f t="shared" ref="T136" si="659">S136/1000</f>
        <v>-8.0329886301269374E-2</v>
      </c>
    </row>
    <row r="137" spans="1:20" x14ac:dyDescent="0.25">
      <c r="A137" s="5">
        <v>44456</v>
      </c>
      <c r="B137">
        <v>11.31</v>
      </c>
      <c r="C137">
        <v>11.48</v>
      </c>
      <c r="D137">
        <v>10.583</v>
      </c>
      <c r="E137">
        <v>10.693</v>
      </c>
      <c r="F137">
        <v>556428.6</v>
      </c>
      <c r="G137">
        <v>10.693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-0.75473801560758214</v>
      </c>
      <c r="Q137">
        <f t="shared" ref="Q137" si="661">F137*P137</f>
        <v>-419957.81739130506</v>
      </c>
      <c r="R137">
        <f t="shared" ref="R137" si="662">R138+Q137</f>
        <v>-7932456.4307266362</v>
      </c>
      <c r="S137">
        <f t="shared" ref="S137" si="663">R137/100000</f>
        <v>-79.324564307266357</v>
      </c>
      <c r="T137">
        <f t="shared" ref="T137" si="664">S137/1000</f>
        <v>-7.9324564307266351E-2</v>
      </c>
    </row>
    <row r="138" spans="1:20" x14ac:dyDescent="0.25">
      <c r="A138" s="5">
        <v>44455</v>
      </c>
      <c r="B138">
        <v>11.362</v>
      </c>
      <c r="C138">
        <v>12.007</v>
      </c>
      <c r="D138">
        <v>11.009</v>
      </c>
      <c r="E138">
        <v>11.31</v>
      </c>
      <c r="F138">
        <v>914170.9</v>
      </c>
      <c r="G138">
        <v>11.31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-0.39679358717434798</v>
      </c>
      <c r="Q138">
        <f t="shared" ref="Q138" si="666">F138*P138</f>
        <v>-362737.15070140216</v>
      </c>
      <c r="R138">
        <f t="shared" ref="R138" si="667">R139+Q138</f>
        <v>-7512498.613335331</v>
      </c>
      <c r="S138">
        <f t="shared" ref="S138" si="668">R138/100000</f>
        <v>-75.124986133353303</v>
      </c>
      <c r="T138">
        <f t="shared" ref="T138" si="669">S138/1000</f>
        <v>-7.5124986133353305E-2</v>
      </c>
    </row>
    <row r="139" spans="1:20" x14ac:dyDescent="0.25">
      <c r="A139" s="5">
        <v>44454</v>
      </c>
      <c r="B139">
        <v>11.275</v>
      </c>
      <c r="C139">
        <v>11.59</v>
      </c>
      <c r="D139">
        <v>11.039</v>
      </c>
      <c r="E139">
        <v>11.368</v>
      </c>
      <c r="F139">
        <v>677727.1</v>
      </c>
      <c r="G139">
        <v>11.368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0.19419237749546472</v>
      </c>
      <c r="Q139">
        <f t="shared" ref="Q139" si="671">F139*P139</f>
        <v>131609.43684210657</v>
      </c>
      <c r="R139">
        <f t="shared" ref="R139" si="672">R140+Q139</f>
        <v>-7149761.4626339292</v>
      </c>
      <c r="S139">
        <f t="shared" ref="S139" si="673">R139/100000</f>
        <v>-71.497614626339299</v>
      </c>
      <c r="T139">
        <f t="shared" ref="T139" si="674">S139/1000</f>
        <v>-7.1497614626339301E-2</v>
      </c>
    </row>
    <row r="140" spans="1:20" x14ac:dyDescent="0.25">
      <c r="A140" s="5">
        <v>44453</v>
      </c>
      <c r="B140">
        <v>10.741</v>
      </c>
      <c r="C140">
        <v>12</v>
      </c>
      <c r="D140">
        <v>10.612</v>
      </c>
      <c r="E140">
        <v>11.291</v>
      </c>
      <c r="F140">
        <v>939794.6</v>
      </c>
      <c r="G140">
        <v>11.291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-2.1613832853025476E-2</v>
      </c>
      <c r="Q140">
        <f t="shared" ref="Q140" si="676">F140*P140</f>
        <v>-20312.563400575935</v>
      </c>
      <c r="R140">
        <f t="shared" ref="R140" si="677">R141+Q140</f>
        <v>-7281370.8994760355</v>
      </c>
      <c r="S140">
        <f t="shared" ref="S140" si="678">R140/100000</f>
        <v>-72.813708994760361</v>
      </c>
      <c r="T140">
        <f t="shared" ref="T140" si="679">S140/1000</f>
        <v>-7.2813708994760362E-2</v>
      </c>
    </row>
    <row r="141" spans="1:20" x14ac:dyDescent="0.25">
      <c r="A141" s="5">
        <v>44452</v>
      </c>
      <c r="B141">
        <v>12.221</v>
      </c>
      <c r="C141">
        <v>12.29</v>
      </c>
      <c r="D141">
        <v>10.493</v>
      </c>
      <c r="E141">
        <v>10.747999999999999</v>
      </c>
      <c r="F141">
        <v>1099912.588</v>
      </c>
      <c r="G141">
        <v>10.747999999999999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-0.71619365609349006</v>
      </c>
      <c r="Q141">
        <f t="shared" ref="Q141" si="681">F141*P141</f>
        <v>-787750.41778297257</v>
      </c>
      <c r="R141">
        <f t="shared" ref="R141" si="682">R142+Q141</f>
        <v>-7261058.3360754596</v>
      </c>
      <c r="S141">
        <f t="shared" ref="S141" si="683">R141/100000</f>
        <v>-72.610583360754589</v>
      </c>
      <c r="T141">
        <f t="shared" ref="T141" si="684">S141/1000</f>
        <v>-7.2610583360754585E-2</v>
      </c>
    </row>
    <row r="142" spans="1:20" x14ac:dyDescent="0.25">
      <c r="A142" s="5">
        <v>44451</v>
      </c>
      <c r="B142">
        <v>11.675000000000001</v>
      </c>
      <c r="C142">
        <v>13.839</v>
      </c>
      <c r="D142">
        <v>11.406000000000001</v>
      </c>
      <c r="E142">
        <v>12.212999999999999</v>
      </c>
      <c r="F142">
        <v>1576641.1</v>
      </c>
      <c r="G142">
        <v>12.212999999999999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-0.33662145499383589</v>
      </c>
      <c r="Q142">
        <f t="shared" ref="Q142" si="686">F142*P142</f>
        <v>-530731.22108508192</v>
      </c>
      <c r="R142">
        <f t="shared" ref="R142" si="687">R143+Q142</f>
        <v>-6473307.918292487</v>
      </c>
      <c r="S142">
        <f t="shared" ref="S142" si="688">R142/100000</f>
        <v>-64.733079182924868</v>
      </c>
      <c r="T142">
        <f t="shared" ref="T142" si="689">S142/1000</f>
        <v>-6.4733079182924869E-2</v>
      </c>
    </row>
    <row r="143" spans="1:20" x14ac:dyDescent="0.25">
      <c r="A143" s="5">
        <v>44450</v>
      </c>
      <c r="B143">
        <v>10.986000000000001</v>
      </c>
      <c r="C143">
        <v>11.952</v>
      </c>
      <c r="D143">
        <v>10.727</v>
      </c>
      <c r="E143">
        <v>11.683999999999999</v>
      </c>
      <c r="F143">
        <v>755251</v>
      </c>
      <c r="G143">
        <v>11.683999999999999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0.56244897959183549</v>
      </c>
      <c r="Q143">
        <f t="shared" ref="Q143" si="691">F143*P143</f>
        <v>424790.15428571333</v>
      </c>
      <c r="R143">
        <f t="shared" ref="R143" si="692">R144+Q143</f>
        <v>-5942576.6972074052</v>
      </c>
      <c r="S143">
        <f t="shared" ref="S143" si="693">R143/100000</f>
        <v>-59.425766972074051</v>
      </c>
      <c r="T143">
        <f t="shared" ref="T143" si="694">S143/1000</f>
        <v>-5.9425766972074051E-2</v>
      </c>
    </row>
    <row r="144" spans="1:20" x14ac:dyDescent="0.25">
      <c r="A144" s="5">
        <v>44449</v>
      </c>
      <c r="B144">
        <v>11.885999999999999</v>
      </c>
      <c r="C144">
        <v>12.593</v>
      </c>
      <c r="D144">
        <v>10.811</v>
      </c>
      <c r="E144">
        <v>10.978999999999999</v>
      </c>
      <c r="F144">
        <v>872682.8</v>
      </c>
      <c r="G144">
        <v>10.978999999999999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-0.81144781144781231</v>
      </c>
      <c r="Q144">
        <f t="shared" ref="Q144" si="696">F144*P144</f>
        <v>-708136.54814814893</v>
      </c>
      <c r="R144">
        <f t="shared" ref="R144" si="697">R145+Q144</f>
        <v>-6367366.8514931183</v>
      </c>
      <c r="S144">
        <f t="shared" ref="S144" si="698">R144/100000</f>
        <v>-63.673668514931187</v>
      </c>
      <c r="T144">
        <f t="shared" ref="T144" si="699">S144/1000</f>
        <v>-6.3673668514931184E-2</v>
      </c>
    </row>
    <row r="145" spans="1:20" x14ac:dyDescent="0.25">
      <c r="A145" s="5">
        <v>44448</v>
      </c>
      <c r="B145">
        <v>12.093999999999999</v>
      </c>
      <c r="C145">
        <v>12.827999999999999</v>
      </c>
      <c r="D145">
        <v>11.368</v>
      </c>
      <c r="E145">
        <v>11.9</v>
      </c>
      <c r="F145">
        <v>1498867.2</v>
      </c>
      <c r="G145">
        <v>11.9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-0.27123287671232826</v>
      </c>
      <c r="Q145">
        <f t="shared" ref="Q145" si="701">F145*P145</f>
        <v>-406542.06246575265</v>
      </c>
      <c r="R145">
        <f t="shared" ref="R145" si="702">R146+Q145</f>
        <v>-5659230.3033449696</v>
      </c>
      <c r="S145">
        <f t="shared" ref="S145" si="703">R145/100000</f>
        <v>-56.592303033449696</v>
      </c>
      <c r="T145">
        <f t="shared" ref="T145" si="704">S145/1000</f>
        <v>-5.6592303033449698E-2</v>
      </c>
    </row>
    <row r="146" spans="1:20" x14ac:dyDescent="0.25">
      <c r="A146" s="5">
        <v>44447</v>
      </c>
      <c r="B146">
        <v>12.782999999999999</v>
      </c>
      <c r="C146">
        <v>13.391999999999999</v>
      </c>
      <c r="D146">
        <v>11.5</v>
      </c>
      <c r="E146">
        <v>12.089</v>
      </c>
      <c r="F146">
        <v>1034849.1</v>
      </c>
      <c r="G146">
        <v>12.089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-0.37737843551796979</v>
      </c>
      <c r="Q146">
        <f t="shared" ref="Q146" si="706">F146*P146</f>
        <v>-390529.73435517907</v>
      </c>
      <c r="R146">
        <f t="shared" ref="R146" si="707">R147+Q146</f>
        <v>-5252688.2408792172</v>
      </c>
      <c r="S146">
        <f t="shared" ref="S146" si="708">R146/100000</f>
        <v>-52.526882408792169</v>
      </c>
      <c r="T146">
        <f t="shared" ref="T146" si="709">S146/1000</f>
        <v>-5.2526882408792171E-2</v>
      </c>
    </row>
    <row r="147" spans="1:20" x14ac:dyDescent="0.25">
      <c r="A147" s="5">
        <v>44446</v>
      </c>
      <c r="B147">
        <v>15.467000000000001</v>
      </c>
      <c r="C147">
        <v>15.497</v>
      </c>
      <c r="D147">
        <v>11</v>
      </c>
      <c r="E147">
        <v>12.738</v>
      </c>
      <c r="F147">
        <v>1143809.8</v>
      </c>
      <c r="G147">
        <v>12.738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-0.2270402490549257</v>
      </c>
      <c r="Q147">
        <f t="shared" ref="Q147" si="711">F147*P147</f>
        <v>-259690.86186346476</v>
      </c>
      <c r="R147">
        <f t="shared" ref="R147" si="712">R148+Q147</f>
        <v>-4862158.5065240385</v>
      </c>
      <c r="S147">
        <f t="shared" ref="S147" si="713">R147/100000</f>
        <v>-48.621585065240382</v>
      </c>
      <c r="T147">
        <f t="shared" ref="T147" si="714">S147/1000</f>
        <v>-4.8621585065240384E-2</v>
      </c>
    </row>
    <row r="148" spans="1:20" x14ac:dyDescent="0.25">
      <c r="A148" s="5">
        <v>44445</v>
      </c>
      <c r="B148">
        <v>13.382</v>
      </c>
      <c r="C148">
        <v>16.643999999999998</v>
      </c>
      <c r="D148">
        <v>13.27</v>
      </c>
      <c r="E148">
        <v>15.476000000000001</v>
      </c>
      <c r="F148">
        <v>1852659.31</v>
      </c>
      <c r="G148">
        <v>15.476000000000001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0.30764671013633793</v>
      </c>
      <c r="Q148">
        <f t="shared" ref="Q148" si="716">F148*P148</f>
        <v>569964.54172495787</v>
      </c>
      <c r="R148">
        <f t="shared" ref="R148" si="717">R149+Q148</f>
        <v>-4602467.6446605735</v>
      </c>
      <c r="S148">
        <f t="shared" ref="S148" si="718">R148/100000</f>
        <v>-46.024676446605731</v>
      </c>
      <c r="T148">
        <f t="shared" ref="T148" si="719">S148/1000</f>
        <v>-4.6024676446605732E-2</v>
      </c>
    </row>
    <row r="149" spans="1:20" x14ac:dyDescent="0.25">
      <c r="A149" s="5">
        <v>44444</v>
      </c>
      <c r="B149">
        <v>13.946</v>
      </c>
      <c r="C149">
        <v>14.914999999999999</v>
      </c>
      <c r="D149">
        <v>13.038</v>
      </c>
      <c r="E149">
        <v>13.382</v>
      </c>
      <c r="F149">
        <v>1369746.43</v>
      </c>
      <c r="G149">
        <v>13.382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-0.63345764517847669</v>
      </c>
      <c r="Q149">
        <f t="shared" ref="Q149" si="721">F149*P149</f>
        <v>-867676.34803942509</v>
      </c>
      <c r="R149">
        <f t="shared" ref="R149" si="722">R150+Q149</f>
        <v>-5172432.186385531</v>
      </c>
      <c r="S149">
        <f t="shared" ref="S149" si="723">R149/100000</f>
        <v>-51.724321863855309</v>
      </c>
      <c r="T149">
        <f t="shared" ref="T149" si="724">S149/1000</f>
        <v>-5.172432186385531E-2</v>
      </c>
    </row>
    <row r="150" spans="1:20" x14ac:dyDescent="0.25">
      <c r="A150" s="5">
        <v>44443</v>
      </c>
      <c r="B150">
        <v>13.145</v>
      </c>
      <c r="C150">
        <v>14.361000000000001</v>
      </c>
      <c r="D150">
        <v>13.066000000000001</v>
      </c>
      <c r="E150">
        <v>13.923999999999999</v>
      </c>
      <c r="F150">
        <v>847964.397</v>
      </c>
      <c r="G150">
        <v>13.923999999999999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0.32509652509652326</v>
      </c>
      <c r="Q150">
        <f t="shared" ref="Q150" si="726">F150*P150</f>
        <v>275670.27887026872</v>
      </c>
      <c r="R150">
        <f t="shared" ref="R150" si="727">R151+Q150</f>
        <v>-4304755.838346106</v>
      </c>
      <c r="S150">
        <f t="shared" ref="S150" si="728">R150/100000</f>
        <v>-43.047558383461059</v>
      </c>
      <c r="T150">
        <f t="shared" ref="T150" si="729">S150/1000</f>
        <v>-4.3047558383461061E-2</v>
      </c>
    </row>
    <row r="151" spans="1:20" x14ac:dyDescent="0.25">
      <c r="A151" s="5">
        <v>44442</v>
      </c>
      <c r="B151">
        <v>12.925000000000001</v>
      </c>
      <c r="C151">
        <v>13.273</v>
      </c>
      <c r="D151">
        <v>12.396000000000001</v>
      </c>
      <c r="E151">
        <v>13.125999999999999</v>
      </c>
      <c r="F151">
        <v>515398</v>
      </c>
      <c r="G151">
        <v>13.125999999999999</v>
      </c>
      <c r="L151" t="s">
        <v>7</v>
      </c>
      <c r="M151" t="s">
        <v>8</v>
      </c>
      <c r="N151" t="s">
        <v>7</v>
      </c>
      <c r="P151">
        <f t="shared" ref="P151" si="730">IF(C151=D151,0,((E151-D151)-(C151-E151))/(C151-D151))</f>
        <v>0.66476624857468547</v>
      </c>
      <c r="Q151">
        <f t="shared" ref="Q151" si="731">F151*P151</f>
        <v>342619.19498289574</v>
      </c>
      <c r="R151">
        <f t="shared" ref="R151" si="732">R152+Q151</f>
        <v>-4580426.1172163747</v>
      </c>
      <c r="S151">
        <f t="shared" ref="S151" si="733">R151/100000</f>
        <v>-45.804261172163748</v>
      </c>
      <c r="T151">
        <f t="shared" ref="T151" si="734">S151/1000</f>
        <v>-4.5804261172163747E-2</v>
      </c>
    </row>
    <row r="152" spans="1:20" x14ac:dyDescent="0.25">
      <c r="A152" s="5">
        <v>44441</v>
      </c>
      <c r="B152">
        <v>13.510999999999999</v>
      </c>
      <c r="C152">
        <v>14.21</v>
      </c>
      <c r="D152">
        <v>12.84</v>
      </c>
      <c r="E152">
        <v>12.933999999999999</v>
      </c>
      <c r="F152">
        <v>1089422.2709999999</v>
      </c>
      <c r="G152">
        <v>12.933999999999999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-0.86277372262773822</v>
      </c>
      <c r="Q152">
        <f t="shared" ref="Q152" si="736">F152*P152</f>
        <v>-939924.90826423466</v>
      </c>
      <c r="R152">
        <f t="shared" ref="R152" si="737">R153+Q152</f>
        <v>-4923045.3121992704</v>
      </c>
      <c r="S152">
        <f t="shared" ref="S152" si="738">R152/100000</f>
        <v>-49.230453121992703</v>
      </c>
      <c r="T152">
        <f t="shared" ref="T152" si="739">S152/1000</f>
        <v>-4.9230453121992701E-2</v>
      </c>
    </row>
    <row r="153" spans="1:20" x14ac:dyDescent="0.25">
      <c r="A153" s="5">
        <v>44440</v>
      </c>
      <c r="B153">
        <v>11.225</v>
      </c>
      <c r="C153">
        <v>13.7</v>
      </c>
      <c r="D153">
        <v>11.037000000000001</v>
      </c>
      <c r="E153">
        <v>13.521000000000001</v>
      </c>
      <c r="F153">
        <v>1709051.9</v>
      </c>
      <c r="G153">
        <v>13.521000000000001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0.86556515208411666</v>
      </c>
      <c r="Q153">
        <f t="shared" ref="Q153" si="741">F153*P153</f>
        <v>1479295.7677431484</v>
      </c>
      <c r="R153">
        <f t="shared" ref="R153" si="742">R154+Q153</f>
        <v>-3983120.4039350362</v>
      </c>
      <c r="S153">
        <f t="shared" ref="S153" si="743">R153/100000</f>
        <v>-39.831204039350361</v>
      </c>
      <c r="T153">
        <f t="shared" ref="T153" si="744">S153/1000</f>
        <v>-3.9831204039350358E-2</v>
      </c>
    </row>
    <row r="154" spans="1:20" x14ac:dyDescent="0.25">
      <c r="A154" s="5">
        <v>44439</v>
      </c>
      <c r="B154">
        <v>11.787000000000001</v>
      </c>
      <c r="C154">
        <v>11.874000000000001</v>
      </c>
      <c r="D154">
        <v>11.054</v>
      </c>
      <c r="E154">
        <v>11.234</v>
      </c>
      <c r="F154">
        <v>883376.6</v>
      </c>
      <c r="G154">
        <v>11.234</v>
      </c>
      <c r="L154" t="s">
        <v>7</v>
      </c>
      <c r="M154" t="s">
        <v>8</v>
      </c>
      <c r="N154" t="s">
        <v>7</v>
      </c>
      <c r="P154">
        <f t="shared" ref="P154" si="745">IF(C154=D154,0,((E154-D154)-(C154-E154))/(C154-D154))</f>
        <v>-0.56097560975609839</v>
      </c>
      <c r="Q154">
        <f t="shared" ref="Q154" si="746">F154*P154</f>
        <v>-495552.72682926903</v>
      </c>
      <c r="R154">
        <f t="shared" ref="R154" si="747">R155+Q154</f>
        <v>-5462416.1716781845</v>
      </c>
      <c r="S154">
        <f t="shared" ref="S154" si="748">R154/100000</f>
        <v>-54.624161716781842</v>
      </c>
      <c r="T154">
        <f t="shared" ref="T154" si="749">S154/1000</f>
        <v>-5.462416171678184E-2</v>
      </c>
    </row>
    <row r="155" spans="1:20" x14ac:dyDescent="0.25">
      <c r="A155" s="5">
        <v>44438</v>
      </c>
      <c r="B155">
        <v>11.087</v>
      </c>
      <c r="C155">
        <v>12.85</v>
      </c>
      <c r="D155">
        <v>10.8</v>
      </c>
      <c r="E155">
        <v>11.787000000000001</v>
      </c>
      <c r="F155">
        <v>1657126.798</v>
      </c>
      <c r="G155">
        <v>11.787000000000001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-3.7073170731706719E-2</v>
      </c>
      <c r="Q155">
        <f t="shared" ref="Q155" si="751">F155*P155</f>
        <v>-61434.944706340473</v>
      </c>
      <c r="R155">
        <f t="shared" ref="R155" si="752">R156+Q155</f>
        <v>-4966863.4448489156</v>
      </c>
      <c r="S155">
        <f t="shared" ref="S155" si="753">R155/100000</f>
        <v>-49.668634448489158</v>
      </c>
      <c r="T155">
        <f t="shared" ref="T155" si="754">S155/1000</f>
        <v>-4.9668634448489159E-2</v>
      </c>
    </row>
    <row r="156" spans="1:20" x14ac:dyDescent="0.25">
      <c r="A156" s="5">
        <v>44437</v>
      </c>
      <c r="B156">
        <v>11.319000000000001</v>
      </c>
      <c r="C156">
        <v>11.558</v>
      </c>
      <c r="D156">
        <v>10.930999999999999</v>
      </c>
      <c r="E156">
        <v>11.087</v>
      </c>
      <c r="F156">
        <v>479020.5</v>
      </c>
      <c r="G156">
        <v>11.087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-0.50239234449760628</v>
      </c>
      <c r="Q156">
        <f t="shared" ref="Q156" si="756">F156*P156</f>
        <v>-240656.23205741562</v>
      </c>
      <c r="R156">
        <f t="shared" ref="R156" si="757">R157+Q156</f>
        <v>-4905428.5001425752</v>
      </c>
      <c r="S156">
        <f t="shared" ref="S156" si="758">R156/100000</f>
        <v>-49.054285001425754</v>
      </c>
      <c r="T156">
        <f t="shared" ref="T156" si="759">S156/1000</f>
        <v>-4.9054285001425751E-2</v>
      </c>
    </row>
    <row r="157" spans="1:20" x14ac:dyDescent="0.25">
      <c r="A157" s="5">
        <v>44436</v>
      </c>
      <c r="B157">
        <v>11.66</v>
      </c>
      <c r="C157">
        <v>11.74</v>
      </c>
      <c r="D157">
        <v>11.034000000000001</v>
      </c>
      <c r="E157">
        <v>11.308999999999999</v>
      </c>
      <c r="F157">
        <v>397296.7</v>
      </c>
      <c r="G157">
        <v>11.308999999999999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-0.22096317280453606</v>
      </c>
      <c r="Q157">
        <f t="shared" ref="Q157" si="761">F157*P157</f>
        <v>-87787.93937677193</v>
      </c>
      <c r="R157">
        <f t="shared" ref="R157" si="762">R158+Q157</f>
        <v>-4664772.2680851594</v>
      </c>
      <c r="S157">
        <f t="shared" ref="S157" si="763">R157/100000</f>
        <v>-46.647722680851594</v>
      </c>
      <c r="T157">
        <f t="shared" ref="T157" si="764">S157/1000</f>
        <v>-4.6647722680851593E-2</v>
      </c>
    </row>
    <row r="158" spans="1:20" x14ac:dyDescent="0.25">
      <c r="A158" s="5">
        <v>44435</v>
      </c>
      <c r="B158">
        <v>10.913</v>
      </c>
      <c r="C158">
        <v>11.901</v>
      </c>
      <c r="D158">
        <v>10.603</v>
      </c>
      <c r="E158">
        <v>11.673999999999999</v>
      </c>
      <c r="F158">
        <v>625151.54500000004</v>
      </c>
      <c r="G158">
        <v>11.673999999999999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0.65023112480739553</v>
      </c>
      <c r="Q158">
        <f t="shared" ref="Q158" si="766">F158*P158</f>
        <v>406492.99228043115</v>
      </c>
      <c r="R158">
        <f t="shared" ref="R158" si="767">R159+Q158</f>
        <v>-4576984.328708387</v>
      </c>
      <c r="S158">
        <f t="shared" ref="S158" si="768">R158/100000</f>
        <v>-45.769843287083873</v>
      </c>
      <c r="T158">
        <f t="shared" ref="T158" si="769">S158/1000</f>
        <v>-4.5769843287083875E-2</v>
      </c>
    </row>
    <row r="159" spans="1:20" x14ac:dyDescent="0.25">
      <c r="A159" s="5">
        <v>44434</v>
      </c>
      <c r="B159">
        <v>12.356999999999999</v>
      </c>
      <c r="C159">
        <v>12.548999999999999</v>
      </c>
      <c r="D159">
        <v>10.798999999999999</v>
      </c>
      <c r="E159">
        <v>10.9</v>
      </c>
      <c r="F159">
        <v>791745.50899999996</v>
      </c>
      <c r="G159">
        <v>10.9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-0.88457142857142756</v>
      </c>
      <c r="Q159">
        <f t="shared" ref="Q159" si="771">F159*P159</f>
        <v>-700355.45596114208</v>
      </c>
      <c r="R159">
        <f t="shared" ref="R159" si="772">R160+Q159</f>
        <v>-4983477.3209888181</v>
      </c>
      <c r="S159">
        <f t="shared" ref="S159" si="773">R159/100000</f>
        <v>-49.834773209888183</v>
      </c>
      <c r="T159">
        <f t="shared" ref="T159" si="774">S159/1000</f>
        <v>-4.9834773209888182E-2</v>
      </c>
    </row>
    <row r="160" spans="1:20" x14ac:dyDescent="0.25">
      <c r="A160" s="5">
        <v>44433</v>
      </c>
      <c r="B160">
        <v>11.617000000000001</v>
      </c>
      <c r="C160">
        <v>12.698</v>
      </c>
      <c r="D160">
        <v>11.28</v>
      </c>
      <c r="E160">
        <v>12.345000000000001</v>
      </c>
      <c r="F160">
        <v>843889.89199999999</v>
      </c>
      <c r="G160">
        <v>12.345000000000001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0.50211565585331519</v>
      </c>
      <c r="Q160">
        <f t="shared" ref="Q160" si="776">F160*P160</f>
        <v>423730.32658956334</v>
      </c>
      <c r="R160">
        <f t="shared" ref="R160" si="777">R161+Q160</f>
        <v>-4283121.8650276763</v>
      </c>
      <c r="S160">
        <f t="shared" ref="S160" si="778">R160/100000</f>
        <v>-42.83121865027676</v>
      </c>
      <c r="T160">
        <f t="shared" ref="T160" si="779">S160/1000</f>
        <v>-4.283121865027676E-2</v>
      </c>
    </row>
    <row r="161" spans="1:20" x14ac:dyDescent="0.25">
      <c r="A161" s="5">
        <v>44432</v>
      </c>
      <c r="B161">
        <v>12.269</v>
      </c>
      <c r="C161">
        <v>12.45</v>
      </c>
      <c r="D161">
        <v>11.21</v>
      </c>
      <c r="E161">
        <v>11.63</v>
      </c>
      <c r="F161">
        <v>783050.68500000006</v>
      </c>
      <c r="G161">
        <v>11.63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-0.32258064516128959</v>
      </c>
      <c r="Q161">
        <f t="shared" ref="Q161" si="781">F161*P161</f>
        <v>-252596.99516128976</v>
      </c>
      <c r="R161">
        <f t="shared" ref="R161" si="782">R162+Q161</f>
        <v>-4706852.1916172393</v>
      </c>
      <c r="S161">
        <f t="shared" ref="S161" si="783">R161/100000</f>
        <v>-47.068521916172394</v>
      </c>
      <c r="T161">
        <f t="shared" ref="T161" si="784">S161/1000</f>
        <v>-4.7068521916172397E-2</v>
      </c>
    </row>
    <row r="162" spans="1:20" x14ac:dyDescent="0.25">
      <c r="A162" s="5">
        <v>44431</v>
      </c>
      <c r="B162">
        <v>12.59</v>
      </c>
      <c r="C162">
        <v>13.323</v>
      </c>
      <c r="D162">
        <v>12.204000000000001</v>
      </c>
      <c r="E162">
        <v>12.272</v>
      </c>
      <c r="F162">
        <v>813676.33400000003</v>
      </c>
      <c r="G162">
        <v>12.272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-0.87846291331546089</v>
      </c>
      <c r="Q162">
        <f t="shared" ref="Q162" si="786">F162*P162</f>
        <v>-714784.48286148405</v>
      </c>
      <c r="R162">
        <f t="shared" ref="R162" si="787">R163+Q162</f>
        <v>-4454255.1964559499</v>
      </c>
      <c r="S162">
        <f t="shared" ref="S162" si="788">R162/100000</f>
        <v>-44.5425519645595</v>
      </c>
      <c r="T162">
        <f t="shared" ref="T162" si="789">S162/1000</f>
        <v>-4.4542551964559501E-2</v>
      </c>
    </row>
    <row r="163" spans="1:20" x14ac:dyDescent="0.25">
      <c r="A163" s="5">
        <v>44430</v>
      </c>
      <c r="B163">
        <v>12.945</v>
      </c>
      <c r="C163">
        <v>15</v>
      </c>
      <c r="D163">
        <v>12.792999999999999</v>
      </c>
      <c r="E163">
        <v>13.428000000000001</v>
      </c>
      <c r="F163">
        <v>1096763.3119999999</v>
      </c>
      <c r="G163">
        <v>13.428000000000001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-0.42455822383325659</v>
      </c>
      <c r="Q163">
        <f t="shared" ref="Q163" si="791">F163*P163</f>
        <v>-465639.88370819978</v>
      </c>
      <c r="R163">
        <f t="shared" ref="R163" si="792">R164+Q163</f>
        <v>-3739470.713594466</v>
      </c>
      <c r="S163">
        <f t="shared" ref="S163" si="793">R163/100000</f>
        <v>-37.394707135944657</v>
      </c>
      <c r="T163">
        <f t="shared" ref="T163" si="794">S163/1000</f>
        <v>-3.7394707135944658E-2</v>
      </c>
    </row>
    <row r="164" spans="1:20" x14ac:dyDescent="0.25">
      <c r="A164" s="5">
        <v>44429</v>
      </c>
      <c r="B164">
        <v>10.747999999999999</v>
      </c>
      <c r="C164">
        <v>14.387</v>
      </c>
      <c r="D164">
        <v>10.5</v>
      </c>
      <c r="E164">
        <v>12.958</v>
      </c>
      <c r="F164">
        <v>2401504.38</v>
      </c>
      <c r="G164">
        <v>12.958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0.26472858245433489</v>
      </c>
      <c r="Q164">
        <f t="shared" ref="Q164" si="796">F164*P164</f>
        <v>635746.85027527635</v>
      </c>
      <c r="R164">
        <f t="shared" ref="R164" si="797">R165+Q164</f>
        <v>-3273830.829886266</v>
      </c>
      <c r="S164">
        <f t="shared" ref="S164" si="798">R164/100000</f>
        <v>-32.738308298862663</v>
      </c>
      <c r="T164">
        <f t="shared" ref="T164" si="799">S164/1000</f>
        <v>-3.2738308298862664E-2</v>
      </c>
    </row>
    <row r="165" spans="1:20" x14ac:dyDescent="0.25">
      <c r="A165" s="5">
        <v>44428</v>
      </c>
      <c r="B165">
        <v>10.222</v>
      </c>
      <c r="C165">
        <v>11.166</v>
      </c>
      <c r="D165">
        <v>10.141</v>
      </c>
      <c r="E165">
        <v>10.73</v>
      </c>
      <c r="F165">
        <v>893782.24100000004</v>
      </c>
      <c r="G165">
        <v>10.73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0.14926829268292724</v>
      </c>
      <c r="Q165">
        <f t="shared" ref="Q165" si="801">F165*P165</f>
        <v>133413.34914439061</v>
      </c>
      <c r="R165">
        <f t="shared" ref="R165" si="802">R166+Q165</f>
        <v>-3909577.6801615423</v>
      </c>
      <c r="S165">
        <f t="shared" ref="S165" si="803">R165/100000</f>
        <v>-39.095776801615422</v>
      </c>
      <c r="T165">
        <f t="shared" ref="T165" si="804">S165/1000</f>
        <v>-3.9095776801615419E-2</v>
      </c>
    </row>
    <row r="166" spans="1:20" x14ac:dyDescent="0.25">
      <c r="A166" s="5">
        <v>44427</v>
      </c>
      <c r="B166">
        <v>9.0739999999999998</v>
      </c>
      <c r="C166">
        <v>10.53</v>
      </c>
      <c r="D166">
        <v>8.9160000000000004</v>
      </c>
      <c r="E166">
        <v>10.211</v>
      </c>
      <c r="F166">
        <v>1071484.0759999999</v>
      </c>
      <c r="G166">
        <v>10.211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0.60470879801734911</v>
      </c>
      <c r="Q166">
        <f t="shared" ref="Q166" si="806">F166*P166</f>
        <v>647935.84769268986</v>
      </c>
      <c r="R166">
        <f t="shared" ref="R166" si="807">R167+Q166</f>
        <v>-4042991.029305933</v>
      </c>
      <c r="S166">
        <f t="shared" ref="S166" si="808">R166/100000</f>
        <v>-40.429910293059329</v>
      </c>
      <c r="T166">
        <f t="shared" ref="T166" si="809">S166/1000</f>
        <v>-4.0429910293059326E-2</v>
      </c>
    </row>
    <row r="167" spans="1:20" x14ac:dyDescent="0.25">
      <c r="A167" s="5">
        <v>44426</v>
      </c>
      <c r="B167">
        <v>9.3879999999999999</v>
      </c>
      <c r="C167">
        <v>9.5419999999999998</v>
      </c>
      <c r="D167">
        <v>8.92</v>
      </c>
      <c r="E167">
        <v>9.0670000000000002</v>
      </c>
      <c r="F167">
        <v>715037.23899999994</v>
      </c>
      <c r="G167">
        <v>9.0670000000000002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-0.5273311897106101</v>
      </c>
      <c r="Q167">
        <f t="shared" ref="Q167" si="811">F167*P167</f>
        <v>-377061.43792925985</v>
      </c>
      <c r="R167">
        <f t="shared" ref="R167" si="812">R168+Q167</f>
        <v>-4690926.8769986229</v>
      </c>
      <c r="S167">
        <f t="shared" ref="S167" si="813">R167/100000</f>
        <v>-46.909268769986227</v>
      </c>
      <c r="T167">
        <f t="shared" ref="T167" si="814">S167/1000</f>
        <v>-4.6909268769986225E-2</v>
      </c>
    </row>
    <row r="168" spans="1:20" x14ac:dyDescent="0.25">
      <c r="A168" s="5">
        <v>44425</v>
      </c>
      <c r="B168">
        <v>9.4920000000000009</v>
      </c>
      <c r="C168">
        <v>10.564</v>
      </c>
      <c r="D168">
        <v>9.2750000000000004</v>
      </c>
      <c r="E168">
        <v>9.3859999999999992</v>
      </c>
      <c r="F168">
        <v>1490867.7039999999</v>
      </c>
      <c r="G168">
        <v>9.3859999999999992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-0.82777346780450134</v>
      </c>
      <c r="Q168">
        <f t="shared" ref="Q168" si="816">F168*P168</f>
        <v>-1234100.7293778148</v>
      </c>
      <c r="R168">
        <f t="shared" ref="R168" si="817">R169+Q168</f>
        <v>-4313865.4390693633</v>
      </c>
      <c r="S168">
        <f t="shared" ref="S168" si="818">R168/100000</f>
        <v>-43.138654390693631</v>
      </c>
      <c r="T168">
        <f t="shared" ref="T168" si="819">S168/1000</f>
        <v>-4.3138654390693629E-2</v>
      </c>
    </row>
    <row r="169" spans="1:20" x14ac:dyDescent="0.25">
      <c r="A169" s="5">
        <v>44424</v>
      </c>
      <c r="B169">
        <v>9.3829999999999991</v>
      </c>
      <c r="C169">
        <v>9.8529999999999998</v>
      </c>
      <c r="D169">
        <v>9.2929999999999993</v>
      </c>
      <c r="E169">
        <v>9.484</v>
      </c>
      <c r="F169">
        <v>774499.625</v>
      </c>
      <c r="G169">
        <v>9.484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-0.3178571428571409</v>
      </c>
      <c r="Q169">
        <f t="shared" ref="Q169" si="821">F169*P169</f>
        <v>-246180.23794642705</v>
      </c>
      <c r="R169">
        <f t="shared" ref="R169" si="822">R170+Q169</f>
        <v>-3079764.7096915487</v>
      </c>
      <c r="S169">
        <f t="shared" ref="S169" si="823">R169/100000</f>
        <v>-30.797647096915487</v>
      </c>
      <c r="T169">
        <f t="shared" ref="T169" si="824">S169/1000</f>
        <v>-3.0797647096915487E-2</v>
      </c>
    </row>
    <row r="170" spans="1:20" x14ac:dyDescent="0.25">
      <c r="A170" s="5">
        <v>44423</v>
      </c>
      <c r="B170">
        <v>9.4489999999999998</v>
      </c>
      <c r="C170">
        <v>9.4830000000000005</v>
      </c>
      <c r="D170">
        <v>8.6010000000000009</v>
      </c>
      <c r="E170">
        <v>9.3829999999999991</v>
      </c>
      <c r="F170">
        <v>420706.90500000003</v>
      </c>
      <c r="G170">
        <v>9.3829999999999991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0.77324263038548424</v>
      </c>
      <c r="Q170">
        <f t="shared" ref="Q170" si="826">F170*P170</f>
        <v>325308.51384353603</v>
      </c>
      <c r="R170">
        <f t="shared" ref="R170" si="827">R171+Q170</f>
        <v>-2833584.4717451218</v>
      </c>
      <c r="S170">
        <f t="shared" ref="S170" si="828">R170/100000</f>
        <v>-28.335844717451216</v>
      </c>
      <c r="T170">
        <f t="shared" ref="T170" si="829">S170/1000</f>
        <v>-2.8335844717451215E-2</v>
      </c>
    </row>
    <row r="171" spans="1:20" x14ac:dyDescent="0.25">
      <c r="A171" s="5">
        <v>44422</v>
      </c>
      <c r="B171">
        <v>9.5399999999999991</v>
      </c>
      <c r="C171">
        <v>9.5960000000000001</v>
      </c>
      <c r="D171">
        <v>9.0429999999999993</v>
      </c>
      <c r="E171">
        <v>9.4410000000000007</v>
      </c>
      <c r="F171">
        <v>506953.32400000002</v>
      </c>
      <c r="G171">
        <v>9.4410000000000007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0.43942133815551854</v>
      </c>
      <c r="Q171">
        <f t="shared" ref="Q171" si="831">F171*P171</f>
        <v>222766.10801446816</v>
      </c>
      <c r="R171">
        <f t="shared" ref="R171" si="832">R172+Q171</f>
        <v>-3158892.9855886577</v>
      </c>
      <c r="S171">
        <f t="shared" ref="S171" si="833">R171/100000</f>
        <v>-31.588929855886576</v>
      </c>
      <c r="T171">
        <f t="shared" ref="T171" si="834">S171/1000</f>
        <v>-3.1588929855886579E-2</v>
      </c>
    </row>
    <row r="172" spans="1:20" x14ac:dyDescent="0.25">
      <c r="A172" s="5">
        <v>44421</v>
      </c>
      <c r="B172">
        <v>9.4380000000000006</v>
      </c>
      <c r="C172">
        <v>9.8640000000000008</v>
      </c>
      <c r="D172">
        <v>9.2349999999999994</v>
      </c>
      <c r="E172">
        <v>9.5380000000000003</v>
      </c>
      <c r="F172">
        <v>792928.41099999996</v>
      </c>
      <c r="G172">
        <v>9.5380000000000003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-3.6565977742447756E-2</v>
      </c>
      <c r="Q172">
        <f t="shared" ref="Q172" si="836">F172*P172</f>
        <v>-28994.202627980463</v>
      </c>
      <c r="R172">
        <f t="shared" ref="R172" si="837">R173+Q172</f>
        <v>-3381659.0936031258</v>
      </c>
      <c r="S172">
        <f t="shared" ref="S172" si="838">R172/100000</f>
        <v>-33.816590936031261</v>
      </c>
      <c r="T172">
        <f t="shared" ref="T172" si="839">S172/1000</f>
        <v>-3.381659093603126E-2</v>
      </c>
    </row>
    <row r="173" spans="1:20" x14ac:dyDescent="0.25">
      <c r="A173" s="5">
        <v>44420</v>
      </c>
      <c r="B173">
        <v>8.7889999999999997</v>
      </c>
      <c r="C173">
        <v>9.5410000000000004</v>
      </c>
      <c r="D173">
        <v>8.3800000000000008</v>
      </c>
      <c r="E173">
        <v>9.4280000000000008</v>
      </c>
      <c r="F173">
        <v>1140758.433</v>
      </c>
      <c r="G173">
        <v>9.4280000000000008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0.80534022394487581</v>
      </c>
      <c r="Q173">
        <f t="shared" ref="Q173" si="841">F173*P173</f>
        <v>918698.65189922554</v>
      </c>
      <c r="R173">
        <f t="shared" ref="R173" si="842">R174+Q173</f>
        <v>-3352664.8909751452</v>
      </c>
      <c r="S173">
        <f t="shared" ref="S173" si="843">R173/100000</f>
        <v>-33.526648909751451</v>
      </c>
      <c r="T173">
        <f t="shared" ref="T173" si="844">S173/1000</f>
        <v>-3.3526648909751454E-2</v>
      </c>
    </row>
    <row r="174" spans="1:20" x14ac:dyDescent="0.25">
      <c r="A174" s="5">
        <v>44419</v>
      </c>
      <c r="B174">
        <v>8.6479999999999997</v>
      </c>
      <c r="C174">
        <v>9.375</v>
      </c>
      <c r="D174">
        <v>8.6039999999999992</v>
      </c>
      <c r="E174">
        <v>8.7850000000000001</v>
      </c>
      <c r="F174">
        <v>1107085.835</v>
      </c>
      <c r="G174">
        <v>8.7850000000000001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-0.53047989623864911</v>
      </c>
      <c r="Q174">
        <f t="shared" ref="Q174" si="846">F174*P174</f>
        <v>-587286.77887807821</v>
      </c>
      <c r="R174">
        <f t="shared" ref="R174" si="847">R175+Q174</f>
        <v>-4271363.5428743707</v>
      </c>
      <c r="S174">
        <f t="shared" ref="S174" si="848">R174/100000</f>
        <v>-42.713635428743707</v>
      </c>
      <c r="T174">
        <f t="shared" ref="T174" si="849">S174/1000</f>
        <v>-4.2713635428743707E-2</v>
      </c>
    </row>
    <row r="175" spans="1:20" x14ac:dyDescent="0.25">
      <c r="A175" s="5">
        <v>44418</v>
      </c>
      <c r="B175">
        <v>8.5030000000000001</v>
      </c>
      <c r="C175">
        <v>8.9789999999999992</v>
      </c>
      <c r="D175">
        <v>8.3330000000000002</v>
      </c>
      <c r="E175">
        <v>8.6489999999999991</v>
      </c>
      <c r="F175">
        <v>936232.64800000004</v>
      </c>
      <c r="G175">
        <v>8.6489999999999991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-2.1671826625388767E-2</v>
      </c>
      <c r="Q175">
        <f t="shared" ref="Q175" si="851">F175*P175</f>
        <v>-20289.87162848463</v>
      </c>
      <c r="R175">
        <f t="shared" ref="R175" si="852">R176+Q175</f>
        <v>-3684076.7639962928</v>
      </c>
      <c r="S175">
        <f t="shared" ref="S175" si="853">R175/100000</f>
        <v>-36.840767639962927</v>
      </c>
      <c r="T175">
        <f t="shared" ref="T175" si="854">S175/1000</f>
        <v>-3.6840767639962926E-2</v>
      </c>
    </row>
    <row r="176" spans="1:20" x14ac:dyDescent="0.25">
      <c r="A176" s="5">
        <v>44417</v>
      </c>
      <c r="B176">
        <v>8.4890000000000008</v>
      </c>
      <c r="C176">
        <v>9.1560000000000006</v>
      </c>
      <c r="D176">
        <v>7.9</v>
      </c>
      <c r="E176">
        <v>8.5069999999999997</v>
      </c>
      <c r="F176">
        <v>2052637.7239999999</v>
      </c>
      <c r="G176">
        <v>8.5069999999999997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-3.3439490445861135E-2</v>
      </c>
      <c r="Q176">
        <f t="shared" ref="Q176" si="856">F176*P176</f>
        <v>-68639.15956051214</v>
      </c>
      <c r="R176">
        <f t="shared" ref="R176" si="857">R177+Q176</f>
        <v>-3663786.8923678081</v>
      </c>
      <c r="S176">
        <f t="shared" ref="S176" si="858">R176/100000</f>
        <v>-36.637868923678084</v>
      </c>
      <c r="T176">
        <f t="shared" ref="T176" si="859">S176/1000</f>
        <v>-3.6637868923678082E-2</v>
      </c>
    </row>
    <row r="177" spans="1:20" x14ac:dyDescent="0.25">
      <c r="A177" s="5">
        <v>44416</v>
      </c>
      <c r="B177">
        <v>8.2260000000000009</v>
      </c>
      <c r="C177">
        <v>9.4879999999999995</v>
      </c>
      <c r="D177">
        <v>7.875</v>
      </c>
      <c r="E177">
        <v>8.484</v>
      </c>
      <c r="F177">
        <v>2643520.7940000002</v>
      </c>
      <c r="G177">
        <v>8.484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-0.24488530688158691</v>
      </c>
      <c r="Q177">
        <f t="shared" ref="Q177" si="861">F177*P177</f>
        <v>-647359.40088654635</v>
      </c>
      <c r="R177">
        <f t="shared" ref="R177" si="862">R178+Q177</f>
        <v>-3595147.7328072959</v>
      </c>
      <c r="S177">
        <f t="shared" ref="S177" si="863">R177/100000</f>
        <v>-35.951477328072961</v>
      </c>
      <c r="T177">
        <f t="shared" ref="T177" si="864">S177/1000</f>
        <v>-3.595147732807296E-2</v>
      </c>
    </row>
    <row r="178" spans="1:20" x14ac:dyDescent="0.25">
      <c r="A178" s="5">
        <v>44415</v>
      </c>
      <c r="B178">
        <v>7.84</v>
      </c>
      <c r="C178">
        <v>8.36</v>
      </c>
      <c r="D178">
        <v>7.7350000000000003</v>
      </c>
      <c r="E178">
        <v>8.2360000000000007</v>
      </c>
      <c r="F178">
        <v>1234557.1140000001</v>
      </c>
      <c r="G178">
        <v>8.2360000000000007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0.6032000000000034</v>
      </c>
      <c r="Q178">
        <f t="shared" ref="Q178" si="866">F178*P178</f>
        <v>744684.85116480419</v>
      </c>
      <c r="R178">
        <f t="shared" ref="R178" si="867">R179+Q178</f>
        <v>-2947788.3319207495</v>
      </c>
      <c r="S178">
        <f t="shared" ref="S178" si="868">R178/100000</f>
        <v>-29.477883319207496</v>
      </c>
      <c r="T178">
        <f t="shared" ref="T178" si="869">S178/1000</f>
        <v>-2.9477883319207497E-2</v>
      </c>
    </row>
    <row r="179" spans="1:20" x14ac:dyDescent="0.25">
      <c r="A179" s="5">
        <v>44414</v>
      </c>
      <c r="B179">
        <v>8</v>
      </c>
      <c r="C179">
        <v>8.2430000000000003</v>
      </c>
      <c r="D179">
        <v>7.5220000000000002</v>
      </c>
      <c r="E179">
        <v>7.84</v>
      </c>
      <c r="F179">
        <v>1486208.4850000001</v>
      </c>
      <c r="G179">
        <v>7.84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-0.1178918169209443</v>
      </c>
      <c r="Q179">
        <f t="shared" ref="Q179" si="871">F179*P179</f>
        <v>-175211.81861997402</v>
      </c>
      <c r="R179">
        <f t="shared" ref="R179" si="872">R180+Q179</f>
        <v>-3692473.1830855538</v>
      </c>
      <c r="S179">
        <f t="shared" ref="S179" si="873">R179/100000</f>
        <v>-36.924731830855535</v>
      </c>
      <c r="T179">
        <f t="shared" ref="T179" si="874">S179/1000</f>
        <v>-3.6924731830855533E-2</v>
      </c>
    </row>
    <row r="180" spans="1:20" x14ac:dyDescent="0.25">
      <c r="A180" s="5">
        <v>44413</v>
      </c>
      <c r="B180">
        <v>6.734</v>
      </c>
      <c r="C180">
        <v>8.5</v>
      </c>
      <c r="D180">
        <v>6.6269999999999998</v>
      </c>
      <c r="E180">
        <v>8</v>
      </c>
      <c r="F180">
        <v>4637116.6449999996</v>
      </c>
      <c r="G180">
        <v>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0.46609717031500275</v>
      </c>
      <c r="Q180">
        <f t="shared" ref="Q180" si="876">F180*P180</f>
        <v>2161346.9466550988</v>
      </c>
      <c r="R180">
        <f t="shared" ref="R180" si="877">R181+Q180</f>
        <v>-3517261.3644655799</v>
      </c>
      <c r="S180">
        <f t="shared" ref="S180" si="878">R180/100000</f>
        <v>-35.172613644655797</v>
      </c>
      <c r="T180">
        <f t="shared" ref="T180" si="879">S180/1000</f>
        <v>-3.5172613644655799E-2</v>
      </c>
    </row>
    <row r="181" spans="1:20" x14ac:dyDescent="0.25">
      <c r="A181" s="5">
        <v>44412</v>
      </c>
      <c r="B181">
        <v>6.5549999999999997</v>
      </c>
      <c r="C181">
        <v>6.8390000000000004</v>
      </c>
      <c r="D181">
        <v>6.2889999999999997</v>
      </c>
      <c r="E181">
        <v>6.726</v>
      </c>
      <c r="F181">
        <v>647261.14800000004</v>
      </c>
      <c r="G181">
        <v>6.726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0.589090909090908</v>
      </c>
      <c r="Q181">
        <f t="shared" ref="Q181" si="881">F181*P181</f>
        <v>381295.65809454478</v>
      </c>
      <c r="R181">
        <f t="shared" ref="R181" si="882">R182+Q181</f>
        <v>-5678608.3111206787</v>
      </c>
      <c r="S181">
        <f t="shared" ref="S181" si="883">R181/100000</f>
        <v>-56.786083111206786</v>
      </c>
      <c r="T181">
        <f t="shared" ref="T181" si="884">S181/1000</f>
        <v>-5.6786083111206788E-2</v>
      </c>
    </row>
    <row r="182" spans="1:20" x14ac:dyDescent="0.25">
      <c r="A182" s="5">
        <v>44411</v>
      </c>
      <c r="B182">
        <v>6.4770000000000003</v>
      </c>
      <c r="C182">
        <v>6.6239999999999997</v>
      </c>
      <c r="D182">
        <v>6.2679999999999998</v>
      </c>
      <c r="E182">
        <v>6.55</v>
      </c>
      <c r="F182">
        <v>444523.52000000002</v>
      </c>
      <c r="G182">
        <v>6.55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0.58426966292134908</v>
      </c>
      <c r="Q182">
        <f t="shared" ref="Q182" si="886">F182*P182</f>
        <v>259721.60719101157</v>
      </c>
      <c r="R182">
        <f t="shared" ref="R182" si="887">R183+Q182</f>
        <v>-6059903.9692152236</v>
      </c>
      <c r="S182">
        <f t="shared" ref="S182" si="888">R182/100000</f>
        <v>-60.599039692152239</v>
      </c>
      <c r="T182">
        <f t="shared" ref="T182" si="889">S182/1000</f>
        <v>-6.0599039692152239E-2</v>
      </c>
    </row>
    <row r="183" spans="1:20" x14ac:dyDescent="0.25">
      <c r="A183" s="5">
        <v>44410</v>
      </c>
      <c r="B183">
        <v>6.556</v>
      </c>
      <c r="C183">
        <v>6.8949999999999996</v>
      </c>
      <c r="D183">
        <v>6.3979999999999997</v>
      </c>
      <c r="E183">
        <v>6.4809999999999999</v>
      </c>
      <c r="F183">
        <v>625248.84400000004</v>
      </c>
      <c r="G183">
        <v>6.4809999999999999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-0.66599597585512993</v>
      </c>
      <c r="Q183">
        <f t="shared" ref="Q183" si="891">F183*P183</f>
        <v>-416413.21401207196</v>
      </c>
      <c r="R183">
        <f t="shared" ref="R183" si="892">R184+Q183</f>
        <v>-6319625.5764062349</v>
      </c>
      <c r="S183">
        <f t="shared" ref="S183" si="893">R183/100000</f>
        <v>-63.19625576406235</v>
      </c>
      <c r="T183">
        <f t="shared" ref="T183" si="894">S183/1000</f>
        <v>-6.3196255764062348E-2</v>
      </c>
    </row>
    <row r="184" spans="1:20" x14ac:dyDescent="0.25">
      <c r="A184" s="5">
        <v>44409</v>
      </c>
      <c r="B184">
        <v>7.0730000000000004</v>
      </c>
      <c r="C184">
        <v>7.1559999999999997</v>
      </c>
      <c r="D184">
        <v>6.5419999999999998</v>
      </c>
      <c r="E184">
        <v>6.556</v>
      </c>
      <c r="F184">
        <v>746009.37800000003</v>
      </c>
      <c r="G184">
        <v>6.556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-0.95439739413680702</v>
      </c>
      <c r="Q184">
        <f t="shared" ref="Q184" si="896">F184*P184</f>
        <v>-711989.40636482032</v>
      </c>
      <c r="R184">
        <f t="shared" ref="R184" si="897">R185+Q184</f>
        <v>-5903212.3623941634</v>
      </c>
      <c r="S184">
        <f t="shared" ref="S184" si="898">R184/100000</f>
        <v>-59.032123623941636</v>
      </c>
      <c r="T184">
        <f t="shared" ref="T184" si="899">S184/1000</f>
        <v>-5.9032123623941633E-2</v>
      </c>
    </row>
    <row r="185" spans="1:20" x14ac:dyDescent="0.25">
      <c r="A185" s="5">
        <v>44408</v>
      </c>
      <c r="B185">
        <v>6.6589999999999998</v>
      </c>
      <c r="C185">
        <v>7.15</v>
      </c>
      <c r="D185">
        <v>6.47</v>
      </c>
      <c r="E185">
        <v>7.0860000000000003</v>
      </c>
      <c r="F185">
        <v>675411.299</v>
      </c>
      <c r="G185">
        <v>7.0860000000000003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0.81176470588235294</v>
      </c>
      <c r="Q185">
        <f t="shared" ref="Q185" si="901">F185*P185</f>
        <v>548275.05448235292</v>
      </c>
      <c r="R185">
        <f t="shared" ref="R185" si="902">R186+Q185</f>
        <v>-5191222.9560293434</v>
      </c>
      <c r="S185">
        <f t="shared" ref="S185" si="903">R185/100000</f>
        <v>-51.912229560293433</v>
      </c>
      <c r="T185">
        <f t="shared" ref="T185" si="904">S185/1000</f>
        <v>-5.1912229560293434E-2</v>
      </c>
    </row>
    <row r="186" spans="1:20" x14ac:dyDescent="0.25">
      <c r="A186" s="5">
        <v>44407</v>
      </c>
      <c r="B186">
        <v>6.2779999999999996</v>
      </c>
      <c r="C186">
        <v>6.6870000000000003</v>
      </c>
      <c r="D186">
        <v>5.9640000000000004</v>
      </c>
      <c r="E186">
        <v>6.6589999999999998</v>
      </c>
      <c r="F186">
        <v>947735.679</v>
      </c>
      <c r="G186">
        <v>6.6589999999999998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0.92254495159059346</v>
      </c>
      <c r="Q186">
        <f t="shared" ref="Q186" si="906">F186*P186</f>
        <v>874328.76610373321</v>
      </c>
      <c r="R186">
        <f t="shared" ref="R186" si="907">R187+Q186</f>
        <v>-5739498.0105116963</v>
      </c>
      <c r="S186">
        <f t="shared" ref="S186" si="908">R186/100000</f>
        <v>-57.394980105116964</v>
      </c>
      <c r="T186">
        <f t="shared" ref="T186" si="909">S186/1000</f>
        <v>-5.7394980105116962E-2</v>
      </c>
    </row>
    <row r="187" spans="1:20" x14ac:dyDescent="0.25">
      <c r="A187" s="5">
        <v>44406</v>
      </c>
      <c r="B187">
        <v>6.2009999999999996</v>
      </c>
      <c r="C187">
        <v>6.4059999999999997</v>
      </c>
      <c r="D187">
        <v>6.1</v>
      </c>
      <c r="E187">
        <v>6.2779999999999996</v>
      </c>
      <c r="F187">
        <v>581316.53</v>
      </c>
      <c r="G187">
        <v>6.2779999999999996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0.16339869281045691</v>
      </c>
      <c r="Q187">
        <f t="shared" ref="Q187" si="911">F187*P187</f>
        <v>94986.36111111076</v>
      </c>
      <c r="R187">
        <f t="shared" ref="R187" si="912">R188+Q187</f>
        <v>-6613826.7766154297</v>
      </c>
      <c r="S187">
        <f t="shared" ref="S187" si="913">R187/100000</f>
        <v>-66.1382677661543</v>
      </c>
      <c r="T187">
        <f t="shared" ref="T187" si="914">S187/1000</f>
        <v>-6.6138267766154293E-2</v>
      </c>
    </row>
    <row r="188" spans="1:20" x14ac:dyDescent="0.25">
      <c r="A188" s="5">
        <v>44405</v>
      </c>
      <c r="B188">
        <v>6.431</v>
      </c>
      <c r="C188">
        <v>6.5810000000000004</v>
      </c>
      <c r="D188">
        <v>6.0350000000000001</v>
      </c>
      <c r="E188">
        <v>6.1989999999999998</v>
      </c>
      <c r="F188">
        <v>784069.84600000002</v>
      </c>
      <c r="G188">
        <v>6.1989999999999998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-0.39926739926740062</v>
      </c>
      <c r="Q188">
        <f t="shared" ref="Q188" si="916">F188*P188</f>
        <v>-313053.52825641131</v>
      </c>
      <c r="R188">
        <f t="shared" ref="R188" si="917">R189+Q188</f>
        <v>-6708813.1377265407</v>
      </c>
      <c r="S188">
        <f t="shared" ref="S188" si="918">R188/100000</f>
        <v>-67.088131377265412</v>
      </c>
      <c r="T188">
        <f t="shared" ref="T188" si="919">S188/1000</f>
        <v>-6.7088131377265409E-2</v>
      </c>
    </row>
    <row r="189" spans="1:20" x14ac:dyDescent="0.25">
      <c r="A189" s="5">
        <v>44404</v>
      </c>
      <c r="B189">
        <v>6.1</v>
      </c>
      <c r="C189">
        <v>6.5220000000000002</v>
      </c>
      <c r="D189">
        <v>5.7789999999999999</v>
      </c>
      <c r="E189">
        <v>6.444</v>
      </c>
      <c r="F189">
        <v>887110.23600000003</v>
      </c>
      <c r="G189">
        <v>6.444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0.79004037685060491</v>
      </c>
      <c r="Q189">
        <f t="shared" ref="Q189" si="921">F189*P189</f>
        <v>700852.9051574691</v>
      </c>
      <c r="R189">
        <f t="shared" ref="R189" si="922">R190+Q189</f>
        <v>-6395759.609470129</v>
      </c>
      <c r="S189">
        <f t="shared" ref="S189" si="923">R189/100000</f>
        <v>-63.957596094701287</v>
      </c>
      <c r="T189">
        <f t="shared" ref="T189" si="924">S189/1000</f>
        <v>-6.3957596094701294E-2</v>
      </c>
    </row>
    <row r="190" spans="1:20" x14ac:dyDescent="0.25">
      <c r="A190" s="5">
        <v>44403</v>
      </c>
      <c r="B190">
        <v>6.1429999999999998</v>
      </c>
      <c r="C190">
        <v>7.3289999999999997</v>
      </c>
      <c r="D190">
        <v>6.0739999999999998</v>
      </c>
      <c r="E190">
        <v>6.1050000000000004</v>
      </c>
      <c r="F190">
        <v>1816811.71</v>
      </c>
      <c r="G190">
        <v>6.1050000000000004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-0.9505976095617521</v>
      </c>
      <c r="Q190">
        <f t="shared" ref="Q190" si="926">F190*P190</f>
        <v>-1727056.8685497991</v>
      </c>
      <c r="R190">
        <f t="shared" ref="R190" si="927">R191+Q190</f>
        <v>-7096612.5146275982</v>
      </c>
      <c r="S190">
        <f t="shared" ref="S190" si="928">R190/100000</f>
        <v>-70.966125146275985</v>
      </c>
      <c r="T190">
        <f t="shared" ref="T190" si="929">S190/1000</f>
        <v>-7.0966125146275982E-2</v>
      </c>
    </row>
    <row r="191" spans="1:20" x14ac:dyDescent="0.25">
      <c r="A191" s="5">
        <v>44402</v>
      </c>
      <c r="B191">
        <v>5.9009999999999998</v>
      </c>
      <c r="C191">
        <v>6.3760000000000003</v>
      </c>
      <c r="D191">
        <v>5.782</v>
      </c>
      <c r="E191">
        <v>6.1349999999999998</v>
      </c>
      <c r="F191">
        <v>859938.74399999995</v>
      </c>
      <c r="G191">
        <v>6.1349999999999998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0.18855218855218714</v>
      </c>
      <c r="Q191">
        <f t="shared" ref="Q191" si="931">F191*P191</f>
        <v>162143.33220201897</v>
      </c>
      <c r="R191">
        <f t="shared" ref="R191" si="932">R192+Q191</f>
        <v>-5369555.6460777987</v>
      </c>
      <c r="S191">
        <f t="shared" ref="S191" si="933">R191/100000</f>
        <v>-53.695556460777986</v>
      </c>
      <c r="T191">
        <f t="shared" ref="T191:T197" si="934">S191/1000</f>
        <v>-5.3695556460777984E-2</v>
      </c>
    </row>
    <row r="192" spans="1:20" x14ac:dyDescent="0.25">
      <c r="A192" s="5">
        <v>44401</v>
      </c>
      <c r="B192">
        <v>5.8710000000000004</v>
      </c>
      <c r="C192">
        <v>5.9909999999999997</v>
      </c>
      <c r="D192">
        <v>5.524</v>
      </c>
      <c r="E192">
        <v>5.8879999999999999</v>
      </c>
      <c r="F192">
        <v>685759.50600000005</v>
      </c>
      <c r="G192">
        <v>5.8879999999999999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0.55888650963597497</v>
      </c>
      <c r="Q192">
        <f t="shared" ref="Q192" si="936">F192*P192</f>
        <v>383261.73675803049</v>
      </c>
      <c r="R192">
        <f t="shared" ref="R192" si="937">R193+Q192</f>
        <v>-5531698.9782798178</v>
      </c>
      <c r="S192">
        <f t="shared" ref="S192" si="938">R192/100000</f>
        <v>-55.316989782798181</v>
      </c>
      <c r="T192">
        <f t="shared" si="934"/>
        <v>-5.5316989782798184E-2</v>
      </c>
    </row>
    <row r="193" spans="1:20" x14ac:dyDescent="0.25">
      <c r="A193" s="5">
        <v>44400</v>
      </c>
      <c r="B193">
        <v>5.6239999999999997</v>
      </c>
      <c r="C193">
        <v>5.8769999999999998</v>
      </c>
      <c r="D193">
        <v>5.5250000000000004</v>
      </c>
      <c r="E193">
        <v>5.8659999999999997</v>
      </c>
      <c r="F193">
        <v>623612.28200000001</v>
      </c>
      <c r="G193">
        <v>5.8659999999999997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0.93749999999999922</v>
      </c>
      <c r="Q193">
        <f t="shared" ref="Q193" si="940">F193*P193</f>
        <v>584636.51437499956</v>
      </c>
      <c r="R193">
        <f t="shared" ref="R193" si="941">R194+Q193</f>
        <v>-5914960.7150378479</v>
      </c>
      <c r="S193">
        <f t="shared" ref="S193" si="942">R193/100000</f>
        <v>-59.149607150378479</v>
      </c>
      <c r="T193">
        <f t="shared" si="934"/>
        <v>-5.914960715037848E-2</v>
      </c>
    </row>
    <row r="194" spans="1:20" x14ac:dyDescent="0.25">
      <c r="A194" s="5">
        <v>44399</v>
      </c>
      <c r="B194">
        <v>5.7590000000000003</v>
      </c>
      <c r="C194">
        <v>5.82</v>
      </c>
      <c r="D194">
        <v>5.4820000000000002</v>
      </c>
      <c r="E194">
        <v>5.6210000000000004</v>
      </c>
      <c r="F194">
        <v>666147.55599999998</v>
      </c>
      <c r="G194">
        <v>5.6210000000000004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-0.17751479289940708</v>
      </c>
      <c r="Q194">
        <f t="shared" ref="Q194" si="944">F194*P194</f>
        <v>-118251.04544378618</v>
      </c>
      <c r="R194">
        <f t="shared" ref="R194" si="945">R195+Q194</f>
        <v>-6499597.2294128472</v>
      </c>
      <c r="S194">
        <f t="shared" ref="S194" si="946">R194/100000</f>
        <v>-64.995972294128478</v>
      </c>
      <c r="T194">
        <f t="shared" si="934"/>
        <v>-6.4995972294128485E-2</v>
      </c>
    </row>
    <row r="195" spans="1:20" x14ac:dyDescent="0.25">
      <c r="A195" s="5">
        <v>44398</v>
      </c>
      <c r="B195">
        <v>5.2130000000000001</v>
      </c>
      <c r="C195">
        <v>6.202</v>
      </c>
      <c r="D195">
        <v>5.0510000000000002</v>
      </c>
      <c r="E195">
        <v>5.7539999999999996</v>
      </c>
      <c r="F195">
        <v>753312.05799999996</v>
      </c>
      <c r="G195">
        <v>5.7539999999999996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0.22154648132058996</v>
      </c>
      <c r="Q195">
        <f t="shared" ref="Q195" si="948">F195*P195</f>
        <v>166893.63578627218</v>
      </c>
      <c r="R195">
        <f t="shared" ref="R195" si="949">R196+Q195</f>
        <v>-6381346.1839690609</v>
      </c>
      <c r="S195">
        <f t="shared" ref="S195" si="950">R195/100000</f>
        <v>-63.813461839690611</v>
      </c>
      <c r="T195">
        <f t="shared" si="934"/>
        <v>-6.3813461839690611E-2</v>
      </c>
    </row>
    <row r="196" spans="1:20" x14ac:dyDescent="0.25">
      <c r="A196" s="5">
        <v>44397</v>
      </c>
      <c r="B196">
        <v>5.5650000000000004</v>
      </c>
      <c r="C196">
        <v>5.6159999999999997</v>
      </c>
      <c r="D196">
        <v>4.9619999999999997</v>
      </c>
      <c r="E196">
        <v>5.2</v>
      </c>
      <c r="F196">
        <v>633716.36100000003</v>
      </c>
      <c r="G196">
        <v>5.2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-0.27217125382262852</v>
      </c>
      <c r="Q196">
        <f t="shared" ref="Q196" si="952">F196*P196</f>
        <v>-172479.37654128351</v>
      </c>
      <c r="R196">
        <f t="shared" ref="R196" si="953">R197+Q196</f>
        <v>-6548239.8197553335</v>
      </c>
      <c r="S196">
        <f t="shared" ref="S196" si="954">R196/100000</f>
        <v>-65.482398197553337</v>
      </c>
      <c r="T196">
        <f t="shared" si="934"/>
        <v>-6.5482398197553332E-2</v>
      </c>
    </row>
    <row r="197" spans="1:20" x14ac:dyDescent="0.25">
      <c r="A197" s="5">
        <v>44396</v>
      </c>
      <c r="B197">
        <v>6.2380000000000004</v>
      </c>
      <c r="C197">
        <v>6.274</v>
      </c>
      <c r="D197">
        <v>5.548</v>
      </c>
      <c r="E197">
        <v>5.5620000000000003</v>
      </c>
      <c r="F197">
        <v>501480.41499999998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-0.96143250688705173</v>
      </c>
      <c r="Q197">
        <f t="shared" ref="Q197" si="956">F197*P197</f>
        <v>-482139.57254820905</v>
      </c>
      <c r="R197">
        <f t="shared" ref="R197" si="957">R198+Q197</f>
        <v>-6375760.4432140496</v>
      </c>
      <c r="S197">
        <f t="shared" ref="S197" si="958">R197/100000</f>
        <v>-63.757604432140496</v>
      </c>
      <c r="T197">
        <f t="shared" si="934"/>
        <v>-6.3757604432140499E-2</v>
      </c>
    </row>
    <row r="198" spans="1:20" x14ac:dyDescent="0.25">
      <c r="A198" s="5">
        <v>44395</v>
      </c>
      <c r="B198">
        <v>6.157</v>
      </c>
      <c r="C198">
        <v>6.4039999999999999</v>
      </c>
      <c r="D198">
        <v>6.1310000000000002</v>
      </c>
      <c r="E198">
        <v>6.2380000000000004</v>
      </c>
      <c r="F198">
        <v>348983.761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-0.21611721611721371</v>
      </c>
      <c r="Q198">
        <f t="shared" ref="Q198:Q261" si="960">F198*P198</f>
        <v>-75421.39889743505</v>
      </c>
      <c r="R198">
        <f t="shared" ref="R198:R261" si="961">R199+Q198</f>
        <v>-5893620.8706658408</v>
      </c>
      <c r="S198">
        <f t="shared" ref="S198:S261" si="962">R198/100000</f>
        <v>-58.936208706658405</v>
      </c>
      <c r="T198">
        <f t="shared" ref="T198:T261" si="963">S198/1000</f>
        <v>-5.8936208706658402E-2</v>
      </c>
    </row>
    <row r="199" spans="1:20" x14ac:dyDescent="0.25">
      <c r="A199" s="5">
        <v>44394</v>
      </c>
      <c r="B199">
        <v>6.556</v>
      </c>
      <c r="C199">
        <v>6.6219999999999999</v>
      </c>
      <c r="D199">
        <v>6.1559999999999997</v>
      </c>
      <c r="E199">
        <v>6.173</v>
      </c>
      <c r="F199">
        <v>483984.73599999998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-0.92703862660944059</v>
      </c>
      <c r="Q199">
        <f t="shared" si="960"/>
        <v>-448672.54496137268</v>
      </c>
      <c r="R199">
        <f t="shared" si="961"/>
        <v>-5818199.4717684062</v>
      </c>
      <c r="S199">
        <f t="shared" si="962"/>
        <v>-58.181994717684063</v>
      </c>
      <c r="T199">
        <f t="shared" si="963"/>
        <v>-5.8181994717684066E-2</v>
      </c>
    </row>
    <row r="200" spans="1:20" x14ac:dyDescent="0.25">
      <c r="A200" s="5">
        <v>44393</v>
      </c>
      <c r="B200">
        <v>7.2910000000000004</v>
      </c>
      <c r="C200">
        <v>7.4059999999999997</v>
      </c>
      <c r="D200">
        <v>6.5549999999999997</v>
      </c>
      <c r="E200">
        <v>6.5629999999999997</v>
      </c>
      <c r="F200">
        <v>590387.38699999999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-0.98119858989424202</v>
      </c>
      <c r="Q200">
        <f t="shared" si="960"/>
        <v>-579287.2716157462</v>
      </c>
      <c r="R200">
        <f t="shared" si="961"/>
        <v>-5369526.9268070338</v>
      </c>
      <c r="S200">
        <f t="shared" si="962"/>
        <v>-53.695269268070341</v>
      </c>
      <c r="T200">
        <f t="shared" si="963"/>
        <v>-5.3695269268070341E-2</v>
      </c>
    </row>
    <row r="201" spans="1:20" x14ac:dyDescent="0.25">
      <c r="A201" s="5">
        <v>44392</v>
      </c>
      <c r="B201">
        <v>6.8159999999999998</v>
      </c>
      <c r="C201">
        <v>7.88</v>
      </c>
      <c r="D201">
        <v>6.75</v>
      </c>
      <c r="E201">
        <v>7.2720000000000002</v>
      </c>
      <c r="F201">
        <v>961223.15399999998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-7.6106194690264972E-2</v>
      </c>
      <c r="Q201">
        <f t="shared" si="960"/>
        <v>-73155.036499114547</v>
      </c>
      <c r="R201">
        <f t="shared" si="961"/>
        <v>-4790239.6551912874</v>
      </c>
      <c r="S201">
        <f t="shared" si="962"/>
        <v>-47.902396551912872</v>
      </c>
      <c r="T201">
        <f t="shared" si="963"/>
        <v>-4.7902396551912869E-2</v>
      </c>
    </row>
    <row r="202" spans="1:20" x14ac:dyDescent="0.25">
      <c r="A202" s="5">
        <v>44391</v>
      </c>
      <c r="B202">
        <v>6.9050000000000002</v>
      </c>
      <c r="C202">
        <v>6.9870000000000001</v>
      </c>
      <c r="D202">
        <v>6.4950000000000001</v>
      </c>
      <c r="E202">
        <v>6.8170000000000002</v>
      </c>
      <c r="F202">
        <v>907851.60199999996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0.3089430894308946</v>
      </c>
      <c r="Q202">
        <f t="shared" si="960"/>
        <v>280474.4786666669</v>
      </c>
      <c r="R202">
        <f t="shared" si="961"/>
        <v>-4717084.6186921727</v>
      </c>
      <c r="S202">
        <f t="shared" si="962"/>
        <v>-47.170846186921729</v>
      </c>
      <c r="T202">
        <f t="shared" si="963"/>
        <v>-4.717084618692173E-2</v>
      </c>
    </row>
    <row r="203" spans="1:20" x14ac:dyDescent="0.25">
      <c r="A203" s="5">
        <v>44390</v>
      </c>
      <c r="B203">
        <v>7.5570000000000004</v>
      </c>
      <c r="C203">
        <v>7.5869999999999997</v>
      </c>
      <c r="D203">
        <v>6.7960000000000003</v>
      </c>
      <c r="E203">
        <v>6.8929999999999998</v>
      </c>
      <c r="F203">
        <v>847115.46100000001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-0.75474083438685313</v>
      </c>
      <c r="Q203">
        <f t="shared" si="960"/>
        <v>-639352.62985714374</v>
      </c>
      <c r="R203">
        <f t="shared" si="961"/>
        <v>-4997559.0973588396</v>
      </c>
      <c r="S203">
        <f t="shared" si="962"/>
        <v>-49.975590973588396</v>
      </c>
      <c r="T203">
        <f t="shared" si="963"/>
        <v>-4.9975590973588398E-2</v>
      </c>
    </row>
    <row r="204" spans="1:20" x14ac:dyDescent="0.25">
      <c r="A204" s="5">
        <v>44389</v>
      </c>
      <c r="B204">
        <v>6.9050000000000002</v>
      </c>
      <c r="C204">
        <v>8.3629999999999995</v>
      </c>
      <c r="D204">
        <v>6.8810000000000002</v>
      </c>
      <c r="E204">
        <v>7.5629999999999997</v>
      </c>
      <c r="F204">
        <v>2298633.8050000002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-7.9622132253711453E-2</v>
      </c>
      <c r="Q204">
        <f t="shared" si="960"/>
        <v>-183022.12482456199</v>
      </c>
      <c r="R204">
        <f t="shared" si="961"/>
        <v>-4358206.4675016962</v>
      </c>
      <c r="S204">
        <f t="shared" si="962"/>
        <v>-43.582064675016959</v>
      </c>
      <c r="T204">
        <f t="shared" si="963"/>
        <v>-4.3582064675016956E-2</v>
      </c>
    </row>
    <row r="205" spans="1:20" x14ac:dyDescent="0.25">
      <c r="A205" s="5">
        <v>44388</v>
      </c>
      <c r="B205">
        <v>6.8140000000000001</v>
      </c>
      <c r="C205">
        <v>7.1989999999999998</v>
      </c>
      <c r="D205">
        <v>6.5430000000000001</v>
      </c>
      <c r="E205">
        <v>6.9169999999999998</v>
      </c>
      <c r="F205">
        <v>391145.09899999999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0.1402439024390239</v>
      </c>
      <c r="Q205">
        <f t="shared" si="960"/>
        <v>54855.715103658345</v>
      </c>
      <c r="R205">
        <f t="shared" si="961"/>
        <v>-4175184.3426771346</v>
      </c>
      <c r="S205">
        <f t="shared" si="962"/>
        <v>-41.751843426771345</v>
      </c>
      <c r="T205">
        <f t="shared" si="963"/>
        <v>-4.1751843426771344E-2</v>
      </c>
    </row>
    <row r="206" spans="1:20" x14ac:dyDescent="0.25">
      <c r="A206" s="5">
        <v>44387</v>
      </c>
      <c r="B206">
        <v>6.9619999999999997</v>
      </c>
      <c r="C206">
        <v>7.0549999999999997</v>
      </c>
      <c r="D206">
        <v>6.6</v>
      </c>
      <c r="E206">
        <v>6.8010000000000002</v>
      </c>
      <c r="F206">
        <v>423066.64299999998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-0.11648351648351438</v>
      </c>
      <c r="Q206">
        <f t="shared" si="960"/>
        <v>-49280.290283515591</v>
      </c>
      <c r="R206">
        <f t="shared" si="961"/>
        <v>-4230040.0577807929</v>
      </c>
      <c r="S206">
        <f t="shared" si="962"/>
        <v>-42.300400577807928</v>
      </c>
      <c r="T206">
        <f t="shared" si="963"/>
        <v>-4.2300400577807928E-2</v>
      </c>
    </row>
    <row r="207" spans="1:20" x14ac:dyDescent="0.25">
      <c r="A207" s="5">
        <v>44386</v>
      </c>
      <c r="B207">
        <v>6.931</v>
      </c>
      <c r="C207">
        <v>7.1210000000000004</v>
      </c>
      <c r="D207">
        <v>6.62</v>
      </c>
      <c r="E207">
        <v>6.9619999999999997</v>
      </c>
      <c r="F207">
        <v>603090.38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0.36526946107784197</v>
      </c>
      <c r="Q207">
        <f t="shared" si="960"/>
        <v>220290.49808383093</v>
      </c>
      <c r="R207">
        <f t="shared" si="961"/>
        <v>-4180759.7674972769</v>
      </c>
      <c r="S207">
        <f t="shared" si="962"/>
        <v>-41.807597674972769</v>
      </c>
      <c r="T207">
        <f t="shared" si="963"/>
        <v>-4.1807597674972767E-2</v>
      </c>
    </row>
    <row r="208" spans="1:20" x14ac:dyDescent="0.25">
      <c r="A208" s="5">
        <v>44385</v>
      </c>
      <c r="B208">
        <v>7.5190000000000001</v>
      </c>
      <c r="C208">
        <v>7.59</v>
      </c>
      <c r="D208">
        <v>6.8319999999999999</v>
      </c>
      <c r="E208">
        <v>6.9429999999999996</v>
      </c>
      <c r="F208">
        <v>1235043.4539999999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-0.70712401055409035</v>
      </c>
      <c r="Q208">
        <f t="shared" si="960"/>
        <v>-873328.88040105614</v>
      </c>
      <c r="R208">
        <f t="shared" si="961"/>
        <v>-4401050.2655811077</v>
      </c>
      <c r="S208">
        <f t="shared" si="962"/>
        <v>-44.010502655811074</v>
      </c>
      <c r="T208">
        <f t="shared" si="963"/>
        <v>-4.4010502655811072E-2</v>
      </c>
    </row>
    <row r="209" spans="1:20" x14ac:dyDescent="0.25">
      <c r="A209" s="5">
        <v>44384</v>
      </c>
      <c r="B209">
        <v>7.6639999999999997</v>
      </c>
      <c r="C209">
        <v>8.3230000000000004</v>
      </c>
      <c r="D209">
        <v>7.4809999999999999</v>
      </c>
      <c r="E209">
        <v>7.52</v>
      </c>
      <c r="F209">
        <v>1018649.044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-0.90736342042755425</v>
      </c>
      <c r="Q209">
        <f t="shared" si="960"/>
        <v>-924284.88077909825</v>
      </c>
      <c r="R209">
        <f t="shared" si="961"/>
        <v>-3527721.3851800519</v>
      </c>
      <c r="S209">
        <f t="shared" si="962"/>
        <v>-35.277213851800518</v>
      </c>
      <c r="T209">
        <f t="shared" si="963"/>
        <v>-3.5277213851800521E-2</v>
      </c>
    </row>
    <row r="210" spans="1:20" x14ac:dyDescent="0.25">
      <c r="A210" s="5">
        <v>44383</v>
      </c>
      <c r="B210">
        <v>7.319</v>
      </c>
      <c r="C210">
        <v>8.1159999999999997</v>
      </c>
      <c r="D210">
        <v>7.3079999999999998</v>
      </c>
      <c r="E210">
        <v>7.6669999999999998</v>
      </c>
      <c r="F210">
        <v>834517.05700000003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-0.11138613861386124</v>
      </c>
      <c r="Q210">
        <f t="shared" si="960"/>
        <v>-92953.632586633539</v>
      </c>
      <c r="R210">
        <f t="shared" si="961"/>
        <v>-2603436.5044009537</v>
      </c>
      <c r="S210">
        <f t="shared" si="962"/>
        <v>-26.034365044009537</v>
      </c>
      <c r="T210">
        <f t="shared" si="963"/>
        <v>-2.6034365044009536E-2</v>
      </c>
    </row>
    <row r="211" spans="1:20" x14ac:dyDescent="0.25">
      <c r="A211" s="5">
        <v>44382</v>
      </c>
      <c r="B211">
        <v>7.1</v>
      </c>
      <c r="C211">
        <v>7.4669999999999996</v>
      </c>
      <c r="D211">
        <v>6.7309999999999999</v>
      </c>
      <c r="E211">
        <v>7.3159999999999998</v>
      </c>
      <c r="F211">
        <v>627222.90300000005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0.58967391304347871</v>
      </c>
      <c r="Q211">
        <f t="shared" si="960"/>
        <v>369856.98356250033</v>
      </c>
      <c r="R211">
        <f t="shared" si="961"/>
        <v>-2510482.8718143203</v>
      </c>
      <c r="S211">
        <f t="shared" si="962"/>
        <v>-25.104828718143203</v>
      </c>
      <c r="T211">
        <f t="shared" si="963"/>
        <v>-2.5104828718143204E-2</v>
      </c>
    </row>
    <row r="212" spans="1:20" x14ac:dyDescent="0.25">
      <c r="A212" s="5">
        <v>44381</v>
      </c>
      <c r="B212">
        <v>6.7140000000000004</v>
      </c>
      <c r="C212">
        <v>7.4</v>
      </c>
      <c r="D212">
        <v>6.6959999999999997</v>
      </c>
      <c r="E212">
        <v>7.1020000000000003</v>
      </c>
      <c r="F212">
        <v>378481.58799999999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0.15340909090909155</v>
      </c>
      <c r="Q212">
        <f t="shared" si="960"/>
        <v>58062.516340909329</v>
      </c>
      <c r="R212">
        <f t="shared" si="961"/>
        <v>-2880339.8553768205</v>
      </c>
      <c r="S212">
        <f t="shared" si="962"/>
        <v>-28.803398553768204</v>
      </c>
      <c r="T212">
        <f t="shared" si="963"/>
        <v>-2.8803398553768206E-2</v>
      </c>
    </row>
    <row r="213" spans="1:20" x14ac:dyDescent="0.25">
      <c r="A213" s="5">
        <v>44380</v>
      </c>
      <c r="B213">
        <v>6.665</v>
      </c>
      <c r="C213">
        <v>7.0060000000000002</v>
      </c>
      <c r="D213">
        <v>6.5709999999999997</v>
      </c>
      <c r="E213">
        <v>6.7220000000000004</v>
      </c>
      <c r="F213">
        <v>600677.89300000004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-0.30574712643677926</v>
      </c>
      <c r="Q213">
        <f t="shared" si="960"/>
        <v>-183655.53969884917</v>
      </c>
      <c r="R213">
        <f t="shared" si="961"/>
        <v>-2938402.3717177301</v>
      </c>
      <c r="S213">
        <f t="shared" si="962"/>
        <v>-29.3840237171773</v>
      </c>
      <c r="T213">
        <f t="shared" si="963"/>
        <v>-2.9384023717177299E-2</v>
      </c>
    </row>
    <row r="214" spans="1:20" x14ac:dyDescent="0.25">
      <c r="A214" s="5">
        <v>44379</v>
      </c>
      <c r="B214">
        <v>6.5659999999999998</v>
      </c>
      <c r="C214">
        <v>6.8289999999999997</v>
      </c>
      <c r="D214">
        <v>6.41</v>
      </c>
      <c r="E214">
        <v>6.6529999999999996</v>
      </c>
      <c r="F214">
        <v>403915.25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0.15990453460620369</v>
      </c>
      <c r="Q214">
        <f t="shared" si="960"/>
        <v>64587.880071598411</v>
      </c>
      <c r="R214">
        <f t="shared" si="961"/>
        <v>-2754746.8320188811</v>
      </c>
      <c r="S214">
        <f t="shared" si="962"/>
        <v>-27.547468320188813</v>
      </c>
      <c r="T214">
        <f t="shared" si="963"/>
        <v>-2.7547468320188812E-2</v>
      </c>
    </row>
    <row r="215" spans="1:20" x14ac:dyDescent="0.25">
      <c r="A215" s="5">
        <v>44378</v>
      </c>
      <c r="B215">
        <v>6.94</v>
      </c>
      <c r="C215">
        <v>7.0570000000000004</v>
      </c>
      <c r="D215">
        <v>6.3529999999999998</v>
      </c>
      <c r="E215">
        <v>6.5670000000000002</v>
      </c>
      <c r="F215">
        <v>549467.23199999996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-0.39204545454545392</v>
      </c>
      <c r="Q215">
        <f t="shared" si="960"/>
        <v>-215416.13072727236</v>
      </c>
      <c r="R215">
        <f t="shared" si="961"/>
        <v>-2819334.7120904797</v>
      </c>
      <c r="S215">
        <f t="shared" si="962"/>
        <v>-28.193347120904797</v>
      </c>
      <c r="T215">
        <f t="shared" si="963"/>
        <v>-2.8193347120904797E-2</v>
      </c>
    </row>
    <row r="216" spans="1:20" x14ac:dyDescent="0.25">
      <c r="A216" s="5">
        <v>44377</v>
      </c>
      <c r="B216">
        <v>6.9580000000000002</v>
      </c>
      <c r="C216">
        <v>7.1059999999999999</v>
      </c>
      <c r="D216">
        <v>6.3490000000000002</v>
      </c>
      <c r="E216">
        <v>6.9240000000000004</v>
      </c>
      <c r="F216">
        <v>709915.61300000001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0.51915455746367356</v>
      </c>
      <c r="Q216">
        <f t="shared" si="960"/>
        <v>368555.92590356752</v>
      </c>
      <c r="R216">
        <f t="shared" si="961"/>
        <v>-2603918.5813632072</v>
      </c>
      <c r="S216">
        <f t="shared" si="962"/>
        <v>-26.039185813632074</v>
      </c>
      <c r="T216">
        <f t="shared" si="963"/>
        <v>-2.6039185813632074E-2</v>
      </c>
    </row>
    <row r="217" spans="1:20" x14ac:dyDescent="0.25">
      <c r="A217" s="5">
        <v>44376</v>
      </c>
      <c r="B217">
        <v>6.7089999999999996</v>
      </c>
      <c r="C217">
        <v>7.4580000000000002</v>
      </c>
      <c r="D217">
        <v>6.6349999999999998</v>
      </c>
      <c r="E217">
        <v>6.952</v>
      </c>
      <c r="F217">
        <v>887393.45299999998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-0.22964763061968405</v>
      </c>
      <c r="Q217">
        <f t="shared" si="960"/>
        <v>-203787.80390886994</v>
      </c>
      <c r="R217">
        <f t="shared" si="961"/>
        <v>-2972474.5072667748</v>
      </c>
      <c r="S217">
        <f t="shared" si="962"/>
        <v>-29.724745072667748</v>
      </c>
      <c r="T217">
        <f t="shared" si="963"/>
        <v>-2.9724745072667747E-2</v>
      </c>
    </row>
    <row r="218" spans="1:20" x14ac:dyDescent="0.25">
      <c r="A218" s="5">
        <v>44375</v>
      </c>
      <c r="B218">
        <v>5.8170000000000002</v>
      </c>
      <c r="C218">
        <v>6.84</v>
      </c>
      <c r="D218">
        <v>5.6719999999999997</v>
      </c>
      <c r="E218">
        <v>6.7080000000000002</v>
      </c>
      <c r="F218">
        <v>747842.82799999998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0.77397260273972657</v>
      </c>
      <c r="Q218">
        <f t="shared" si="960"/>
        <v>578809.86002739763</v>
      </c>
      <c r="R218">
        <f t="shared" si="961"/>
        <v>-2768686.7033579047</v>
      </c>
      <c r="S218">
        <f t="shared" si="962"/>
        <v>-27.686867033579048</v>
      </c>
      <c r="T218">
        <f t="shared" si="963"/>
        <v>-2.768686703357905E-2</v>
      </c>
    </row>
    <row r="219" spans="1:20" x14ac:dyDescent="0.25">
      <c r="A219" s="5">
        <v>44374</v>
      </c>
      <c r="B219">
        <v>5.3819999999999997</v>
      </c>
      <c r="C219">
        <v>5.81</v>
      </c>
      <c r="D219">
        <v>5.3040000000000003</v>
      </c>
      <c r="E219">
        <v>5.81</v>
      </c>
      <c r="F219">
        <v>442897.60100000002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1</v>
      </c>
      <c r="Q219">
        <f t="shared" si="960"/>
        <v>442897.60100000002</v>
      </c>
      <c r="R219">
        <f t="shared" si="961"/>
        <v>-3347496.5633853022</v>
      </c>
      <c r="S219">
        <f t="shared" si="962"/>
        <v>-33.474965633853024</v>
      </c>
      <c r="T219">
        <f t="shared" si="963"/>
        <v>-3.3474965633853021E-2</v>
      </c>
    </row>
    <row r="220" spans="1:20" x14ac:dyDescent="0.25">
      <c r="A220" s="5">
        <v>44373</v>
      </c>
      <c r="B220">
        <v>5.4989999999999997</v>
      </c>
      <c r="C220">
        <v>5.6740000000000004</v>
      </c>
      <c r="D220">
        <v>5.0999999999999996</v>
      </c>
      <c r="E220">
        <v>5.3810000000000002</v>
      </c>
      <c r="F220">
        <v>469529.98800000001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-2.0905923344946953E-2</v>
      </c>
      <c r="Q220">
        <f t="shared" si="960"/>
        <v>-9815.9579372818625</v>
      </c>
      <c r="R220">
        <f t="shared" si="961"/>
        <v>-3790394.1643853025</v>
      </c>
      <c r="S220">
        <f t="shared" si="962"/>
        <v>-37.903941643853024</v>
      </c>
      <c r="T220">
        <f t="shared" si="963"/>
        <v>-3.7903941643853023E-2</v>
      </c>
    </row>
    <row r="221" spans="1:20" x14ac:dyDescent="0.25">
      <c r="A221" s="5">
        <v>44372</v>
      </c>
      <c r="B221">
        <v>6.12</v>
      </c>
      <c r="C221">
        <v>6.2389999999999999</v>
      </c>
      <c r="D221">
        <v>5.4130000000000003</v>
      </c>
      <c r="E221">
        <v>5.5119999999999996</v>
      </c>
      <c r="F221">
        <v>420530.28700000001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-0.760290556900728</v>
      </c>
      <c r="Q221">
        <f t="shared" si="960"/>
        <v>-319725.20609685301</v>
      </c>
      <c r="R221">
        <f t="shared" si="961"/>
        <v>-3780578.2064480204</v>
      </c>
      <c r="S221">
        <f t="shared" si="962"/>
        <v>-37.805782064480205</v>
      </c>
      <c r="T221">
        <f t="shared" si="963"/>
        <v>-3.7805782064480202E-2</v>
      </c>
    </row>
    <row r="222" spans="1:20" x14ac:dyDescent="0.25">
      <c r="A222" s="5">
        <v>44371</v>
      </c>
      <c r="B222">
        <v>5.89</v>
      </c>
      <c r="C222">
        <v>6.17</v>
      </c>
      <c r="D222">
        <v>5.5389999999999997</v>
      </c>
      <c r="E222">
        <v>6.1189999999999998</v>
      </c>
      <c r="F222">
        <v>722335.23499999999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0.83835182250396156</v>
      </c>
      <c r="Q222">
        <f t="shared" si="960"/>
        <v>605571.06072107737</v>
      </c>
      <c r="R222">
        <f t="shared" si="961"/>
        <v>-3460853.0003511673</v>
      </c>
      <c r="S222">
        <f t="shared" si="962"/>
        <v>-34.608530003511675</v>
      </c>
      <c r="T222">
        <f t="shared" si="963"/>
        <v>-3.4608530003511676E-2</v>
      </c>
    </row>
    <row r="223" spans="1:20" x14ac:dyDescent="0.25">
      <c r="A223" s="5">
        <v>44370</v>
      </c>
      <c r="B223">
        <v>5.601</v>
      </c>
      <c r="C223">
        <v>6.5</v>
      </c>
      <c r="D223">
        <v>5.3840000000000003</v>
      </c>
      <c r="E223">
        <v>5.867</v>
      </c>
      <c r="F223">
        <v>718135.01899999997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-0.13440860215053799</v>
      </c>
      <c r="Q223">
        <f t="shared" si="960"/>
        <v>-96523.524059140036</v>
      </c>
      <c r="R223">
        <f t="shared" si="961"/>
        <v>-4066424.0610722448</v>
      </c>
      <c r="S223">
        <f t="shared" si="962"/>
        <v>-40.664240610722445</v>
      </c>
      <c r="T223">
        <f t="shared" si="963"/>
        <v>-4.0664240610722442E-2</v>
      </c>
    </row>
    <row r="224" spans="1:20" x14ac:dyDescent="0.25">
      <c r="A224" s="5">
        <v>44369</v>
      </c>
      <c r="B224">
        <v>6.3159999999999998</v>
      </c>
      <c r="C224">
        <v>6.7469999999999999</v>
      </c>
      <c r="D224">
        <v>4.88</v>
      </c>
      <c r="E224">
        <v>5.601</v>
      </c>
      <c r="F224">
        <v>1443954.199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-0.22763792179967854</v>
      </c>
      <c r="Q224">
        <f t="shared" si="960"/>
        <v>-328698.73303427949</v>
      </c>
      <c r="R224">
        <f t="shared" si="961"/>
        <v>-3969900.5370131047</v>
      </c>
      <c r="S224">
        <f t="shared" si="962"/>
        <v>-39.699005370131047</v>
      </c>
      <c r="T224">
        <f t="shared" si="963"/>
        <v>-3.9699005370131046E-2</v>
      </c>
    </row>
    <row r="225" spans="1:20" x14ac:dyDescent="0.25">
      <c r="A225" s="5">
        <v>44368</v>
      </c>
      <c r="B225">
        <v>7.6369999999999996</v>
      </c>
      <c r="C225">
        <v>7.8410000000000002</v>
      </c>
      <c r="D225">
        <v>6.23</v>
      </c>
      <c r="E225">
        <v>6.3250000000000002</v>
      </c>
      <c r="F225">
        <v>1506602.341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-0.88206083178150252</v>
      </c>
      <c r="Q225">
        <f t="shared" si="960"/>
        <v>-1328914.914066419</v>
      </c>
      <c r="R225">
        <f t="shared" si="961"/>
        <v>-3641201.803978825</v>
      </c>
      <c r="S225">
        <f t="shared" si="962"/>
        <v>-36.412018039788251</v>
      </c>
      <c r="T225">
        <f t="shared" si="963"/>
        <v>-3.6412018039788253E-2</v>
      </c>
    </row>
    <row r="226" spans="1:20" x14ac:dyDescent="0.25">
      <c r="A226" s="5">
        <v>44367</v>
      </c>
      <c r="B226">
        <v>7.7759999999999998</v>
      </c>
      <c r="C226">
        <v>7.8689999999999998</v>
      </c>
      <c r="D226">
        <v>6.9889999999999999</v>
      </c>
      <c r="E226">
        <v>7.65</v>
      </c>
      <c r="F226">
        <v>567616.54799999995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0.50227272727272854</v>
      </c>
      <c r="Q226">
        <f t="shared" si="960"/>
        <v>285098.31160909159</v>
      </c>
      <c r="R226">
        <f t="shared" si="961"/>
        <v>-2312286.889912406</v>
      </c>
      <c r="S226">
        <f t="shared" si="962"/>
        <v>-23.122868899124061</v>
      </c>
      <c r="T226">
        <f t="shared" si="963"/>
        <v>-2.3122868899124061E-2</v>
      </c>
    </row>
    <row r="227" spans="1:20" x14ac:dyDescent="0.25">
      <c r="A227" s="5">
        <v>44366</v>
      </c>
      <c r="B227">
        <v>7.5789999999999997</v>
      </c>
      <c r="C227">
        <v>8.1910000000000007</v>
      </c>
      <c r="D227">
        <v>7.4349999999999996</v>
      </c>
      <c r="E227">
        <v>7.7759999999999998</v>
      </c>
      <c r="F227">
        <v>513295.25099999999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-9.7883597883598711E-2</v>
      </c>
      <c r="Q227">
        <f t="shared" si="960"/>
        <v>-50243.185944444871</v>
      </c>
      <c r="R227">
        <f t="shared" si="961"/>
        <v>-2597385.2015214977</v>
      </c>
      <c r="S227">
        <f t="shared" si="962"/>
        <v>-25.973852015214977</v>
      </c>
      <c r="T227">
        <f t="shared" si="963"/>
        <v>-2.5973852015214977E-2</v>
      </c>
    </row>
    <row r="228" spans="1:20" x14ac:dyDescent="0.25">
      <c r="A228" s="5">
        <v>44365</v>
      </c>
      <c r="B228">
        <v>8.359</v>
      </c>
      <c r="C228">
        <v>8.4090000000000007</v>
      </c>
      <c r="D228">
        <v>7.3209999999999997</v>
      </c>
      <c r="E228">
        <v>7.6079999999999997</v>
      </c>
      <c r="F228">
        <v>493945.73499999999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-0.47242647058823589</v>
      </c>
      <c r="Q228">
        <f t="shared" si="960"/>
        <v>-233353.04024816205</v>
      </c>
      <c r="R228">
        <f t="shared" si="961"/>
        <v>-2547142.0155770527</v>
      </c>
      <c r="S228">
        <f t="shared" si="962"/>
        <v>-25.471420155770527</v>
      </c>
      <c r="T228">
        <f t="shared" si="963"/>
        <v>-2.5471420155770527E-2</v>
      </c>
    </row>
    <row r="229" spans="1:20" x14ac:dyDescent="0.25">
      <c r="A229" s="5">
        <v>44364</v>
      </c>
      <c r="B229">
        <v>7.8550000000000004</v>
      </c>
      <c r="C229">
        <v>9.0969999999999995</v>
      </c>
      <c r="D229">
        <v>7.8079999999999998</v>
      </c>
      <c r="E229">
        <v>8.3559999999999999</v>
      </c>
      <c r="F229">
        <v>971598.13800000004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-0.14972847168347531</v>
      </c>
      <c r="Q229">
        <f t="shared" si="960"/>
        <v>-145475.90429325035</v>
      </c>
      <c r="R229">
        <f t="shared" si="961"/>
        <v>-2313788.9753288906</v>
      </c>
      <c r="S229">
        <f t="shared" si="962"/>
        <v>-23.137889753288906</v>
      </c>
      <c r="T229">
        <f t="shared" si="963"/>
        <v>-2.3137889753288905E-2</v>
      </c>
    </row>
    <row r="230" spans="1:20" x14ac:dyDescent="0.25">
      <c r="A230" s="5">
        <v>44363</v>
      </c>
      <c r="B230">
        <v>8.5139999999999993</v>
      </c>
      <c r="C230">
        <v>8.5589999999999993</v>
      </c>
      <c r="D230">
        <v>7.75</v>
      </c>
      <c r="E230">
        <v>7.8689999999999998</v>
      </c>
      <c r="F230">
        <v>698058.679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-0.70580964153275683</v>
      </c>
      <c r="Q230">
        <f t="shared" si="960"/>
        <v>-492696.54599381977</v>
      </c>
      <c r="R230">
        <f t="shared" si="961"/>
        <v>-2168313.0710356403</v>
      </c>
      <c r="S230">
        <f t="shared" si="962"/>
        <v>-21.683130710356401</v>
      </c>
      <c r="T230">
        <f t="shared" si="963"/>
        <v>-2.1683130710356401E-2</v>
      </c>
    </row>
    <row r="231" spans="1:20" x14ac:dyDescent="0.25">
      <c r="A231" s="5">
        <v>44362</v>
      </c>
      <c r="B231">
        <v>8.6859999999999999</v>
      </c>
      <c r="C231">
        <v>8.85</v>
      </c>
      <c r="D231">
        <v>8.24</v>
      </c>
      <c r="E231">
        <v>8.5259999999999998</v>
      </c>
      <c r="F231">
        <v>697800.69799999997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-6.2295081967213589E-2</v>
      </c>
      <c r="Q231">
        <f t="shared" si="960"/>
        <v>-43469.551678688855</v>
      </c>
      <c r="R231">
        <f t="shared" si="961"/>
        <v>-1675616.5250418207</v>
      </c>
      <c r="S231">
        <f t="shared" si="962"/>
        <v>-16.756165250418206</v>
      </c>
      <c r="T231">
        <f t="shared" si="963"/>
        <v>-1.6756165250418207E-2</v>
      </c>
    </row>
    <row r="232" spans="1:20" x14ac:dyDescent="0.25">
      <c r="A232" s="5">
        <v>44361</v>
      </c>
      <c r="B232">
        <v>8.2469999999999999</v>
      </c>
      <c r="C232">
        <v>9.2439999999999998</v>
      </c>
      <c r="D232">
        <v>7.9210000000000003</v>
      </c>
      <c r="E232">
        <v>8.6989999999999998</v>
      </c>
      <c r="F232">
        <v>875176.08299999998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0.17611489040060449</v>
      </c>
      <c r="Q232">
        <f t="shared" si="960"/>
        <v>154131.53993877533</v>
      </c>
      <c r="R232">
        <f t="shared" si="961"/>
        <v>-1632146.9733631318</v>
      </c>
      <c r="S232">
        <f t="shared" si="962"/>
        <v>-16.321469733631318</v>
      </c>
      <c r="T232">
        <f t="shared" si="963"/>
        <v>-1.6321469733631317E-2</v>
      </c>
    </row>
    <row r="233" spans="1:20" x14ac:dyDescent="0.25">
      <c r="A233" s="5">
        <v>44360</v>
      </c>
      <c r="B233">
        <v>7.6740000000000004</v>
      </c>
      <c r="C233">
        <v>8.3789999999999996</v>
      </c>
      <c r="D233">
        <v>7.2329999999999997</v>
      </c>
      <c r="E233">
        <v>8.234</v>
      </c>
      <c r="F233">
        <v>593751.62199999997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0.74694589877836026</v>
      </c>
      <c r="Q233">
        <f t="shared" si="960"/>
        <v>443500.33894589922</v>
      </c>
      <c r="R233">
        <f t="shared" si="961"/>
        <v>-1786278.5133019071</v>
      </c>
      <c r="S233">
        <f t="shared" si="962"/>
        <v>-17.86278513301907</v>
      </c>
      <c r="T233">
        <f t="shared" si="963"/>
        <v>-1.7862785133019071E-2</v>
      </c>
    </row>
    <row r="234" spans="1:20" x14ac:dyDescent="0.25">
      <c r="A234" s="5">
        <v>44359</v>
      </c>
      <c r="B234">
        <v>7.7149999999999999</v>
      </c>
      <c r="C234">
        <v>8.2349999999999994</v>
      </c>
      <c r="D234">
        <v>7.1779999999999999</v>
      </c>
      <c r="E234">
        <v>7.67</v>
      </c>
      <c r="F234">
        <v>541972.78500000003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-6.906338694418121E-2</v>
      </c>
      <c r="Q234">
        <f t="shared" si="960"/>
        <v>-37430.47616367053</v>
      </c>
      <c r="R234">
        <f t="shared" si="961"/>
        <v>-2229778.8522478063</v>
      </c>
      <c r="S234">
        <f t="shared" si="962"/>
        <v>-22.297788522478061</v>
      </c>
      <c r="T234">
        <f t="shared" si="963"/>
        <v>-2.229778852247806E-2</v>
      </c>
    </row>
    <row r="235" spans="1:20" x14ac:dyDescent="0.25">
      <c r="A235" s="5">
        <v>44358</v>
      </c>
      <c r="B235">
        <v>8.4779999999999998</v>
      </c>
      <c r="C235">
        <v>8.6639999999999997</v>
      </c>
      <c r="D235">
        <v>7.61</v>
      </c>
      <c r="E235">
        <v>7.7050000000000001</v>
      </c>
      <c r="F235">
        <v>575481.01300000004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-0.81973434535104406</v>
      </c>
      <c r="Q235">
        <f t="shared" si="960"/>
        <v>-471741.55145351071</v>
      </c>
      <c r="R235">
        <f t="shared" si="961"/>
        <v>-2192348.3760841358</v>
      </c>
      <c r="S235">
        <f t="shared" si="962"/>
        <v>-21.923483760841357</v>
      </c>
      <c r="T235">
        <f t="shared" si="963"/>
        <v>-2.1923483760841356E-2</v>
      </c>
    </row>
    <row r="236" spans="1:20" x14ac:dyDescent="0.25">
      <c r="A236" s="5">
        <v>44357</v>
      </c>
      <c r="B236">
        <v>9.3170000000000002</v>
      </c>
      <c r="C236">
        <v>9.3859999999999992</v>
      </c>
      <c r="D236">
        <v>8.2560000000000002</v>
      </c>
      <c r="E236">
        <v>8.4529999999999994</v>
      </c>
      <c r="F236">
        <v>803825.96499999997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-0.65132743362831969</v>
      </c>
      <c r="Q236">
        <f t="shared" si="960"/>
        <v>-523553.90286725748</v>
      </c>
      <c r="R236">
        <f t="shared" si="961"/>
        <v>-1720606.8246306251</v>
      </c>
      <c r="S236">
        <f t="shared" si="962"/>
        <v>-17.206068246306252</v>
      </c>
      <c r="T236">
        <f t="shared" si="963"/>
        <v>-1.7206068246306251E-2</v>
      </c>
    </row>
    <row r="237" spans="1:20" x14ac:dyDescent="0.25">
      <c r="A237" s="5">
        <v>44356</v>
      </c>
      <c r="B237">
        <v>8.2490000000000006</v>
      </c>
      <c r="C237">
        <v>9.9689999999999994</v>
      </c>
      <c r="D237">
        <v>7.673</v>
      </c>
      <c r="E237">
        <v>9.3260000000000005</v>
      </c>
      <c r="F237">
        <v>1657065.452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0.43989547038327609</v>
      </c>
      <c r="Q237">
        <f t="shared" si="960"/>
        <v>728935.586463416</v>
      </c>
      <c r="R237">
        <f t="shared" si="961"/>
        <v>-1197052.9217633675</v>
      </c>
      <c r="S237">
        <f t="shared" si="962"/>
        <v>-11.970529217633676</v>
      </c>
      <c r="T237">
        <f t="shared" si="963"/>
        <v>-1.1970529217633676E-2</v>
      </c>
    </row>
    <row r="238" spans="1:20" x14ac:dyDescent="0.25">
      <c r="A238" s="5">
        <v>44355</v>
      </c>
      <c r="B238">
        <v>8.2590000000000003</v>
      </c>
      <c r="C238">
        <v>8.6669999999999998</v>
      </c>
      <c r="D238">
        <v>7.07</v>
      </c>
      <c r="E238">
        <v>8.24</v>
      </c>
      <c r="F238">
        <v>1198307.8540000001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0.46524733876017565</v>
      </c>
      <c r="Q238">
        <f t="shared" si="960"/>
        <v>557509.54008891713</v>
      </c>
      <c r="R238">
        <f t="shared" si="961"/>
        <v>-1925988.5082267835</v>
      </c>
      <c r="S238">
        <f t="shared" si="962"/>
        <v>-19.259885082267836</v>
      </c>
      <c r="T238">
        <f t="shared" si="963"/>
        <v>-1.9259885082267836E-2</v>
      </c>
    </row>
    <row r="239" spans="1:20" x14ac:dyDescent="0.25">
      <c r="A239" s="5">
        <v>44354</v>
      </c>
      <c r="B239">
        <v>9.2750000000000004</v>
      </c>
      <c r="C239">
        <v>9.9730000000000008</v>
      </c>
      <c r="D239">
        <v>8.18</v>
      </c>
      <c r="E239">
        <v>8.266</v>
      </c>
      <c r="F239">
        <v>823249.93099999998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-0.9040713887339652</v>
      </c>
      <c r="Q239">
        <f t="shared" si="960"/>
        <v>-744276.70839431102</v>
      </c>
      <c r="R239">
        <f t="shared" si="961"/>
        <v>-2483498.0483157006</v>
      </c>
      <c r="S239">
        <f t="shared" si="962"/>
        <v>-24.834980483157008</v>
      </c>
      <c r="T239">
        <f t="shared" si="963"/>
        <v>-2.4834980483157007E-2</v>
      </c>
    </row>
    <row r="240" spans="1:20" x14ac:dyDescent="0.25">
      <c r="A240" s="5">
        <v>44353</v>
      </c>
      <c r="B240">
        <v>9.1869999999999994</v>
      </c>
      <c r="C240">
        <v>9.5250000000000004</v>
      </c>
      <c r="D240">
        <v>9</v>
      </c>
      <c r="E240">
        <v>9.2759999999999998</v>
      </c>
      <c r="F240">
        <v>293968.97499999998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5.1428571428569957E-2</v>
      </c>
      <c r="Q240">
        <f t="shared" si="960"/>
        <v>15118.404428570995</v>
      </c>
      <c r="R240">
        <f t="shared" si="961"/>
        <v>-1739221.3399213895</v>
      </c>
      <c r="S240">
        <f t="shared" si="962"/>
        <v>-17.392213399213894</v>
      </c>
      <c r="T240">
        <f t="shared" si="963"/>
        <v>-1.7392213399213895E-2</v>
      </c>
    </row>
    <row r="241" spans="1:20" x14ac:dyDescent="0.25">
      <c r="A241" s="5">
        <v>44352</v>
      </c>
      <c r="B241">
        <v>9.4030000000000005</v>
      </c>
      <c r="C241">
        <v>10.169</v>
      </c>
      <c r="D241">
        <v>8.84</v>
      </c>
      <c r="E241">
        <v>9.1869999999999994</v>
      </c>
      <c r="F241">
        <v>598065.16899999999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-0.47780285929270222</v>
      </c>
      <c r="Q241">
        <f t="shared" si="960"/>
        <v>-285757.24779157317</v>
      </c>
      <c r="R241">
        <f t="shared" si="961"/>
        <v>-1754339.7443499605</v>
      </c>
      <c r="S241">
        <f t="shared" si="962"/>
        <v>-17.543397443499604</v>
      </c>
      <c r="T241">
        <f t="shared" si="963"/>
        <v>-1.7543397443499604E-2</v>
      </c>
    </row>
    <row r="242" spans="1:20" x14ac:dyDescent="0.25">
      <c r="A242" s="5">
        <v>44351</v>
      </c>
      <c r="B242">
        <v>10.646000000000001</v>
      </c>
      <c r="C242">
        <v>10.657</v>
      </c>
      <c r="D242">
        <v>8.8810000000000002</v>
      </c>
      <c r="E242">
        <v>9.4009999999999998</v>
      </c>
      <c r="F242">
        <v>737216.89599999995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-0.41441441441441484</v>
      </c>
      <c r="Q242">
        <f t="shared" si="960"/>
        <v>-305513.30825225252</v>
      </c>
      <c r="R242">
        <f t="shared" si="961"/>
        <v>-1468582.4965583873</v>
      </c>
      <c r="S242">
        <f t="shared" si="962"/>
        <v>-14.685824965583873</v>
      </c>
      <c r="T242">
        <f t="shared" si="963"/>
        <v>-1.4685824965583873E-2</v>
      </c>
    </row>
    <row r="243" spans="1:20" x14ac:dyDescent="0.25">
      <c r="A243" s="5">
        <v>44350</v>
      </c>
      <c r="B243">
        <v>10.343</v>
      </c>
      <c r="C243">
        <v>11.034000000000001</v>
      </c>
      <c r="D243">
        <v>10.074999999999999</v>
      </c>
      <c r="E243">
        <v>10.648999999999999</v>
      </c>
      <c r="F243">
        <v>923396.32400000002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0.19708029197080085</v>
      </c>
      <c r="Q243">
        <f t="shared" si="960"/>
        <v>181983.21713868421</v>
      </c>
      <c r="R243">
        <f t="shared" si="961"/>
        <v>-1163069.1883061347</v>
      </c>
      <c r="S243">
        <f t="shared" si="962"/>
        <v>-11.630691883061347</v>
      </c>
      <c r="T243">
        <f t="shared" si="963"/>
        <v>-1.1630691883061347E-2</v>
      </c>
    </row>
    <row r="244" spans="1:20" x14ac:dyDescent="0.25">
      <c r="A244" s="5">
        <v>44349</v>
      </c>
      <c r="B244">
        <v>9.343</v>
      </c>
      <c r="C244">
        <v>11.379</v>
      </c>
      <c r="D244">
        <v>9.1</v>
      </c>
      <c r="E244">
        <v>10.353</v>
      </c>
      <c r="F244">
        <v>1227032.33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9.9605089951733353E-2</v>
      </c>
      <c r="Q244">
        <f t="shared" si="960"/>
        <v>122218.66560333497</v>
      </c>
      <c r="R244">
        <f t="shared" si="961"/>
        <v>-1345052.4054448188</v>
      </c>
      <c r="S244">
        <f t="shared" si="962"/>
        <v>-13.450524054448188</v>
      </c>
      <c r="T244">
        <f t="shared" si="963"/>
        <v>-1.3450524054448187E-2</v>
      </c>
    </row>
    <row r="245" spans="1:20" x14ac:dyDescent="0.25">
      <c r="A245" s="5">
        <v>44348</v>
      </c>
      <c r="B245">
        <v>9.375</v>
      </c>
      <c r="C245">
        <v>9.57</v>
      </c>
      <c r="D245">
        <v>8.8879999999999999</v>
      </c>
      <c r="E245">
        <v>9.3450000000000006</v>
      </c>
      <c r="F245">
        <v>377874.38900000002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0.3401759530791803</v>
      </c>
      <c r="Q245">
        <f t="shared" si="960"/>
        <v>128543.78042228793</v>
      </c>
      <c r="R245">
        <f t="shared" si="961"/>
        <v>-1467271.0710481538</v>
      </c>
      <c r="S245">
        <f t="shared" si="962"/>
        <v>-14.672710710481539</v>
      </c>
      <c r="T245">
        <f t="shared" si="963"/>
        <v>-1.4672710710481538E-2</v>
      </c>
    </row>
    <row r="246" spans="1:20" x14ac:dyDescent="0.25">
      <c r="A246" s="5">
        <v>44347</v>
      </c>
      <c r="B246">
        <v>8.4710000000000001</v>
      </c>
      <c r="C246">
        <v>9.4770000000000003</v>
      </c>
      <c r="D246">
        <v>8.1</v>
      </c>
      <c r="E246">
        <v>9.3740000000000006</v>
      </c>
      <c r="F246">
        <v>465610.14199999999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0.85039941902687044</v>
      </c>
      <c r="Q246">
        <f t="shared" si="960"/>
        <v>395954.59424981865</v>
      </c>
      <c r="R246">
        <f t="shared" si="961"/>
        <v>-1595814.8514704418</v>
      </c>
      <c r="S246">
        <f t="shared" si="962"/>
        <v>-15.958148514704417</v>
      </c>
      <c r="T246">
        <f t="shared" si="963"/>
        <v>-1.5958148514704416E-2</v>
      </c>
    </row>
    <row r="247" spans="1:20" x14ac:dyDescent="0.25">
      <c r="A247" s="5">
        <v>44346</v>
      </c>
      <c r="B247">
        <v>8.0540000000000003</v>
      </c>
      <c r="C247">
        <v>9.0440000000000005</v>
      </c>
      <c r="D247">
        <v>7.577</v>
      </c>
      <c r="E247">
        <v>8.4870000000000001</v>
      </c>
      <c r="F247">
        <v>507451.92800000001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0.24062713019768209</v>
      </c>
      <c r="Q247">
        <f t="shared" si="960"/>
        <v>122106.7011479208</v>
      </c>
      <c r="R247">
        <f t="shared" si="961"/>
        <v>-1991769.4457202605</v>
      </c>
      <c r="S247">
        <f t="shared" si="962"/>
        <v>-19.917694457202604</v>
      </c>
      <c r="T247">
        <f t="shared" si="963"/>
        <v>-1.9917694457202605E-2</v>
      </c>
    </row>
    <row r="248" spans="1:20" x14ac:dyDescent="0.25">
      <c r="A248" s="5">
        <v>44345</v>
      </c>
      <c r="B248">
        <v>8.8659999999999997</v>
      </c>
      <c r="C248">
        <v>9.4510000000000005</v>
      </c>
      <c r="D248">
        <v>7.8319999999999999</v>
      </c>
      <c r="E248">
        <v>8.0540000000000003</v>
      </c>
      <c r="F248">
        <v>518719.54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-0.72575663990117312</v>
      </c>
      <c r="Q248">
        <f t="shared" si="960"/>
        <v>-376464.15040148213</v>
      </c>
      <c r="R248">
        <f t="shared" si="961"/>
        <v>-2113876.1468681814</v>
      </c>
      <c r="S248">
        <f t="shared" si="962"/>
        <v>-21.138761468681814</v>
      </c>
      <c r="T248">
        <f t="shared" si="963"/>
        <v>-2.1138761468681815E-2</v>
      </c>
    </row>
    <row r="249" spans="1:20" x14ac:dyDescent="0.25">
      <c r="A249" s="5">
        <v>44344</v>
      </c>
      <c r="B249">
        <v>10.722</v>
      </c>
      <c r="C249">
        <v>11.038</v>
      </c>
      <c r="D249">
        <v>8.4550000000000001</v>
      </c>
      <c r="E249">
        <v>8.8439999999999994</v>
      </c>
      <c r="F249">
        <v>865087.06900000002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-0.69879984514130911</v>
      </c>
      <c r="Q249">
        <f t="shared" si="960"/>
        <v>-604522.709850949</v>
      </c>
      <c r="R249">
        <f t="shared" si="961"/>
        <v>-1737411.9964666993</v>
      </c>
      <c r="S249">
        <f t="shared" si="962"/>
        <v>-17.374119964666992</v>
      </c>
      <c r="T249">
        <f t="shared" si="963"/>
        <v>-1.7374119964666992E-2</v>
      </c>
    </row>
    <row r="250" spans="1:20" x14ac:dyDescent="0.25">
      <c r="A250" s="5">
        <v>44343</v>
      </c>
      <c r="B250">
        <v>10.866</v>
      </c>
      <c r="C250">
        <v>11.584</v>
      </c>
      <c r="D250">
        <v>9.6989999999999998</v>
      </c>
      <c r="E250">
        <v>10.707000000000001</v>
      </c>
      <c r="F250">
        <v>702099.65800000005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6.9496021220160228E-2</v>
      </c>
      <c r="Q250">
        <f t="shared" si="960"/>
        <v>48793.132731035243</v>
      </c>
      <c r="R250">
        <f t="shared" si="961"/>
        <v>-1132889.2866157503</v>
      </c>
      <c r="S250">
        <f t="shared" si="962"/>
        <v>-11.328892866157503</v>
      </c>
      <c r="T250">
        <f t="shared" si="963"/>
        <v>-1.1328892866157503E-2</v>
      </c>
    </row>
    <row r="251" spans="1:20" x14ac:dyDescent="0.25">
      <c r="A251" s="5">
        <v>44342</v>
      </c>
      <c r="B251">
        <v>9.5299999999999994</v>
      </c>
      <c r="C251">
        <v>11.249000000000001</v>
      </c>
      <c r="D251">
        <v>9.484</v>
      </c>
      <c r="E251">
        <v>10.866</v>
      </c>
      <c r="F251">
        <v>740454.41700000002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0.56600566572237876</v>
      </c>
      <c r="Q251">
        <f t="shared" si="960"/>
        <v>419101.39523116086</v>
      </c>
      <c r="R251">
        <f t="shared" si="961"/>
        <v>-1181682.4193467856</v>
      </c>
      <c r="S251">
        <f t="shared" si="962"/>
        <v>-11.816824193467856</v>
      </c>
      <c r="T251">
        <f t="shared" si="963"/>
        <v>-1.1816824193467855E-2</v>
      </c>
    </row>
    <row r="252" spans="1:20" x14ac:dyDescent="0.25">
      <c r="A252" s="5">
        <v>44341</v>
      </c>
      <c r="B252">
        <v>10.067</v>
      </c>
      <c r="C252">
        <v>10.422000000000001</v>
      </c>
      <c r="D252">
        <v>8.7140000000000004</v>
      </c>
      <c r="E252">
        <v>9.5299999999999994</v>
      </c>
      <c r="F252">
        <v>890836.40399999998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-4.4496487119439272E-2</v>
      </c>
      <c r="Q252">
        <f t="shared" si="960"/>
        <v>-39639.090576113602</v>
      </c>
      <c r="R252">
        <f t="shared" si="961"/>
        <v>-1600783.8145779464</v>
      </c>
      <c r="S252">
        <f t="shared" si="962"/>
        <v>-16.007838145779463</v>
      </c>
      <c r="T252">
        <f t="shared" si="963"/>
        <v>-1.6007838145779461E-2</v>
      </c>
    </row>
    <row r="253" spans="1:20" x14ac:dyDescent="0.25">
      <c r="A253" s="5">
        <v>44340</v>
      </c>
      <c r="B253">
        <v>7.7030000000000003</v>
      </c>
      <c r="C253">
        <v>10.8</v>
      </c>
      <c r="D253">
        <v>7.4980000000000002</v>
      </c>
      <c r="E253">
        <v>10.067</v>
      </c>
      <c r="F253">
        <v>1559487.706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0.55602665051483924</v>
      </c>
      <c r="Q253">
        <f t="shared" si="960"/>
        <v>867116.72568625037</v>
      </c>
      <c r="R253">
        <f t="shared" si="961"/>
        <v>-1561144.7240018328</v>
      </c>
      <c r="S253">
        <f t="shared" si="962"/>
        <v>-15.611447240018327</v>
      </c>
      <c r="T253">
        <f t="shared" si="963"/>
        <v>-1.5611447240018327E-2</v>
      </c>
    </row>
    <row r="254" spans="1:20" x14ac:dyDescent="0.25">
      <c r="A254" s="5">
        <v>44339</v>
      </c>
      <c r="B254">
        <v>9.5009999999999994</v>
      </c>
      <c r="C254">
        <v>9.9280000000000008</v>
      </c>
      <c r="D254">
        <v>5.8</v>
      </c>
      <c r="E254">
        <v>7.7119999999999997</v>
      </c>
      <c r="F254">
        <v>1799269.314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-7.3643410852713448E-2</v>
      </c>
      <c r="Q254">
        <f t="shared" si="960"/>
        <v>-132504.32932558187</v>
      </c>
      <c r="R254">
        <f t="shared" si="961"/>
        <v>-2428261.449688083</v>
      </c>
      <c r="S254">
        <f t="shared" si="962"/>
        <v>-24.282614496880829</v>
      </c>
      <c r="T254">
        <f t="shared" si="963"/>
        <v>-2.4282614496880829E-2</v>
      </c>
    </row>
    <row r="255" spans="1:20" x14ac:dyDescent="0.25">
      <c r="A255" s="5">
        <v>44338</v>
      </c>
      <c r="B255">
        <v>10.236000000000001</v>
      </c>
      <c r="C255">
        <v>10.97</v>
      </c>
      <c r="D255">
        <v>9.1300000000000008</v>
      </c>
      <c r="E255">
        <v>9.4939999999999998</v>
      </c>
      <c r="F255">
        <v>866877.92299999995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-0.60434782608695758</v>
      </c>
      <c r="Q255">
        <f t="shared" si="960"/>
        <v>-523895.78824782697</v>
      </c>
      <c r="R255">
        <f t="shared" si="961"/>
        <v>-2295757.1203625011</v>
      </c>
      <c r="S255">
        <f t="shared" si="962"/>
        <v>-22.957571203625012</v>
      </c>
      <c r="T255">
        <f t="shared" si="963"/>
        <v>-2.2957571203625012E-2</v>
      </c>
    </row>
    <row r="256" spans="1:20" x14ac:dyDescent="0.25">
      <c r="A256" s="5">
        <v>44337</v>
      </c>
      <c r="B256">
        <v>12.935</v>
      </c>
      <c r="C256">
        <v>13.75</v>
      </c>
      <c r="D256">
        <v>8.6999999999999993</v>
      </c>
      <c r="E256">
        <v>10.249000000000001</v>
      </c>
      <c r="F256">
        <v>1597923.469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-0.3865346534653461</v>
      </c>
      <c r="Q256">
        <f t="shared" si="960"/>
        <v>-617652.79435405869</v>
      </c>
      <c r="R256">
        <f t="shared" si="961"/>
        <v>-1771861.3321146742</v>
      </c>
      <c r="S256">
        <f t="shared" si="962"/>
        <v>-17.718613321146741</v>
      </c>
      <c r="T256">
        <f t="shared" si="963"/>
        <v>-1.7718613321146742E-2</v>
      </c>
    </row>
    <row r="257" spans="1:20" x14ac:dyDescent="0.25">
      <c r="A257" s="5">
        <v>44336</v>
      </c>
      <c r="B257">
        <v>11.715</v>
      </c>
      <c r="C257">
        <v>14.097</v>
      </c>
      <c r="D257">
        <v>10.363</v>
      </c>
      <c r="E257">
        <v>12.935</v>
      </c>
      <c r="F257">
        <v>1085516.5220000001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0.3776111408677027</v>
      </c>
      <c r="Q257">
        <f t="shared" si="960"/>
        <v>409903.13230316073</v>
      </c>
      <c r="R257">
        <f t="shared" si="961"/>
        <v>-1154208.5377606153</v>
      </c>
      <c r="S257">
        <f t="shared" si="962"/>
        <v>-11.542085377606153</v>
      </c>
      <c r="T257">
        <f t="shared" si="963"/>
        <v>-1.1542085377606153E-2</v>
      </c>
    </row>
    <row r="258" spans="1:20" x14ac:dyDescent="0.25">
      <c r="A258" s="5">
        <v>44335</v>
      </c>
      <c r="B258">
        <v>17.998999999999999</v>
      </c>
      <c r="C258">
        <v>18.071000000000002</v>
      </c>
      <c r="D258">
        <v>8</v>
      </c>
      <c r="E258">
        <v>11.784000000000001</v>
      </c>
      <c r="F258">
        <v>2646950.7209999999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-0.24853539866944691</v>
      </c>
      <c r="Q258">
        <f t="shared" si="960"/>
        <v>-657860.95270211494</v>
      </c>
      <c r="R258">
        <f t="shared" si="961"/>
        <v>-1564111.670063776</v>
      </c>
      <c r="S258">
        <f t="shared" si="962"/>
        <v>-15.64111670063776</v>
      </c>
      <c r="T258">
        <f t="shared" si="963"/>
        <v>-1.564111670063776E-2</v>
      </c>
    </row>
    <row r="259" spans="1:20" x14ac:dyDescent="0.25">
      <c r="A259" s="5">
        <v>44334</v>
      </c>
      <c r="B259">
        <v>14.444000000000001</v>
      </c>
      <c r="C259">
        <v>18.831</v>
      </c>
      <c r="D259">
        <v>14.313000000000001</v>
      </c>
      <c r="E259">
        <v>18.004000000000001</v>
      </c>
      <c r="F259">
        <v>1942669.0079999999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0.63390880920761472</v>
      </c>
      <c r="Q259">
        <f t="shared" si="960"/>
        <v>1231474.9975458181</v>
      </c>
      <c r="R259">
        <f t="shared" si="961"/>
        <v>-906250.71736166091</v>
      </c>
      <c r="S259">
        <f t="shared" si="962"/>
        <v>-9.0625071736166092</v>
      </c>
      <c r="T259">
        <f t="shared" si="963"/>
        <v>-9.0625071736166098E-3</v>
      </c>
    </row>
    <row r="260" spans="1:20" x14ac:dyDescent="0.25">
      <c r="A260" s="5">
        <v>44333</v>
      </c>
      <c r="B260">
        <v>15.821999999999999</v>
      </c>
      <c r="C260">
        <v>15.849</v>
      </c>
      <c r="D260">
        <v>13.698</v>
      </c>
      <c r="E260">
        <v>14.465</v>
      </c>
      <c r="F260">
        <v>1231531.8030000001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-0.28684332868433332</v>
      </c>
      <c r="Q260">
        <f t="shared" si="960"/>
        <v>-353256.68175313866</v>
      </c>
      <c r="R260">
        <f t="shared" si="961"/>
        <v>-2137725.714907479</v>
      </c>
      <c r="S260">
        <f t="shared" si="962"/>
        <v>-21.37725714907479</v>
      </c>
      <c r="T260">
        <f t="shared" si="963"/>
        <v>-2.1377257149074791E-2</v>
      </c>
    </row>
    <row r="261" spans="1:20" x14ac:dyDescent="0.25">
      <c r="A261" s="5">
        <v>44332</v>
      </c>
      <c r="B261">
        <v>16.244</v>
      </c>
      <c r="C261">
        <v>18.399999999999999</v>
      </c>
      <c r="D261">
        <v>15.095000000000001</v>
      </c>
      <c r="E261">
        <v>15.833</v>
      </c>
      <c r="F261">
        <v>1126197.517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-0.55340393343419059</v>
      </c>
      <c r="Q261">
        <f t="shared" si="960"/>
        <v>-623242.13573161874</v>
      </c>
      <c r="R261">
        <f t="shared" si="961"/>
        <v>-1784469.0331543405</v>
      </c>
      <c r="S261">
        <f t="shared" si="962"/>
        <v>-17.844690331543404</v>
      </c>
      <c r="T261">
        <f t="shared" si="963"/>
        <v>-1.7844690331543404E-2</v>
      </c>
    </row>
    <row r="262" spans="1:20" x14ac:dyDescent="0.25">
      <c r="A262" s="5">
        <v>44331</v>
      </c>
      <c r="B262">
        <v>18.059999999999999</v>
      </c>
      <c r="C262">
        <v>18.818999999999999</v>
      </c>
      <c r="D262">
        <v>16.071999999999999</v>
      </c>
      <c r="E262">
        <v>16.184000000000001</v>
      </c>
      <c r="F262">
        <v>986524.68799999997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-0.91845649799781448</v>
      </c>
      <c r="Q262">
        <f t="shared" ref="Q262:Q325" si="965">F262*P262</f>
        <v>-906080.01012886653</v>
      </c>
      <c r="R262">
        <f t="shared" ref="R262:R325" si="966">R263+Q262</f>
        <v>-1161226.8974227216</v>
      </c>
      <c r="S262">
        <f t="shared" ref="S262:S325" si="967">R262/100000</f>
        <v>-11.612268974227216</v>
      </c>
      <c r="T262">
        <f t="shared" ref="T262:T325" si="968">S262/1000</f>
        <v>-1.1612268974227217E-2</v>
      </c>
    </row>
    <row r="263" spans="1:20" x14ac:dyDescent="0.25">
      <c r="A263" s="5">
        <v>44330</v>
      </c>
      <c r="B263">
        <v>17.055</v>
      </c>
      <c r="C263">
        <v>18.91</v>
      </c>
      <c r="D263">
        <v>16.812000000000001</v>
      </c>
      <c r="E263">
        <v>18.056999999999999</v>
      </c>
      <c r="F263">
        <v>1199742.9029999999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0.1868446139180153</v>
      </c>
      <c r="Q263">
        <f t="shared" si="965"/>
        <v>224165.49951191386</v>
      </c>
      <c r="R263">
        <f t="shared" si="966"/>
        <v>-255146.88729385519</v>
      </c>
      <c r="S263">
        <f t="shared" si="967"/>
        <v>-2.551468872938552</v>
      </c>
      <c r="T263">
        <f t="shared" si="968"/>
        <v>-2.5514688729385521E-3</v>
      </c>
    </row>
    <row r="264" spans="1:20" x14ac:dyDescent="0.25">
      <c r="A264" s="5">
        <v>44329</v>
      </c>
      <c r="B264">
        <v>17.427</v>
      </c>
      <c r="C264">
        <v>22.219000000000001</v>
      </c>
      <c r="D264">
        <v>16.366</v>
      </c>
      <c r="E264">
        <v>17.058</v>
      </c>
      <c r="F264">
        <v>2879980.5989999999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-0.76354006492397064</v>
      </c>
      <c r="Q264">
        <f t="shared" si="965"/>
        <v>-2198980.5735402359</v>
      </c>
      <c r="R264">
        <f t="shared" si="966"/>
        <v>-479312.38680576906</v>
      </c>
      <c r="S264">
        <f t="shared" si="967"/>
        <v>-4.7931238680576902</v>
      </c>
      <c r="T264">
        <f t="shared" si="968"/>
        <v>-4.7931238680576898E-3</v>
      </c>
    </row>
    <row r="265" spans="1:20" x14ac:dyDescent="0.25">
      <c r="A265" s="5">
        <v>44328</v>
      </c>
      <c r="B265">
        <v>17.085000000000001</v>
      </c>
      <c r="C265">
        <v>25.306000000000001</v>
      </c>
      <c r="D265">
        <v>16.768000000000001</v>
      </c>
      <c r="E265">
        <v>17.524000000000001</v>
      </c>
      <c r="F265">
        <v>4506636.6150000002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-0.82290934645115943</v>
      </c>
      <c r="Q265">
        <f t="shared" si="965"/>
        <v>-3708553.3915425157</v>
      </c>
      <c r="R265">
        <f t="shared" si="966"/>
        <v>1719668.1867344668</v>
      </c>
      <c r="S265">
        <f t="shared" si="967"/>
        <v>17.196681867344669</v>
      </c>
      <c r="T265">
        <f t="shared" si="968"/>
        <v>1.719668186734467E-2</v>
      </c>
    </row>
    <row r="266" spans="1:20" x14ac:dyDescent="0.25">
      <c r="A266" s="5">
        <v>44327</v>
      </c>
      <c r="B266">
        <v>17.117000000000001</v>
      </c>
      <c r="C266">
        <v>17.783000000000001</v>
      </c>
      <c r="D266">
        <v>16.210999999999999</v>
      </c>
      <c r="E266">
        <v>17.076000000000001</v>
      </c>
      <c r="F266">
        <v>531135.63699999999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0.10050890585241792</v>
      </c>
      <c r="Q266">
        <f t="shared" si="965"/>
        <v>53383.861734097023</v>
      </c>
      <c r="R266">
        <f t="shared" si="966"/>
        <v>5428221.5782769825</v>
      </c>
      <c r="S266">
        <f t="shared" si="967"/>
        <v>54.282215782769825</v>
      </c>
      <c r="T266">
        <f t="shared" si="968"/>
        <v>5.4282215782769823E-2</v>
      </c>
    </row>
    <row r="267" spans="1:20" x14ac:dyDescent="0.25">
      <c r="A267" s="5">
        <v>44326</v>
      </c>
      <c r="B267">
        <v>19.152999999999999</v>
      </c>
      <c r="C267">
        <v>19.38</v>
      </c>
      <c r="D267">
        <v>15.585000000000001</v>
      </c>
      <c r="E267">
        <v>17.119</v>
      </c>
      <c r="F267">
        <v>888245.19700000004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-0.19156785243741783</v>
      </c>
      <c r="Q267">
        <f t="shared" si="965"/>
        <v>-170159.22482714115</v>
      </c>
      <c r="R267">
        <f t="shared" si="966"/>
        <v>5374837.7165428856</v>
      </c>
      <c r="S267">
        <f t="shared" si="967"/>
        <v>53.748377165428856</v>
      </c>
      <c r="T267">
        <f t="shared" si="968"/>
        <v>5.3748377165428858E-2</v>
      </c>
    </row>
    <row r="268" spans="1:20" x14ac:dyDescent="0.25">
      <c r="A268" s="5">
        <v>44325</v>
      </c>
      <c r="B268">
        <v>17.956</v>
      </c>
      <c r="C268">
        <v>19.968</v>
      </c>
      <c r="D268">
        <v>16.713999999999999</v>
      </c>
      <c r="E268">
        <v>19.152000000000001</v>
      </c>
      <c r="F268">
        <v>819503.67599999998</v>
      </c>
      <c r="G268">
        <v>0</v>
      </c>
      <c r="L268" t="s">
        <v>8</v>
      </c>
      <c r="M268" t="s">
        <v>7</v>
      </c>
      <c r="N268" t="s">
        <v>7</v>
      </c>
      <c r="P268">
        <f t="shared" si="964"/>
        <v>0.49846342962507767</v>
      </c>
      <c r="Q268">
        <f t="shared" si="965"/>
        <v>408492.61292931845</v>
      </c>
      <c r="R268">
        <f t="shared" si="966"/>
        <v>5544996.9413700271</v>
      </c>
      <c r="S268">
        <f t="shared" si="967"/>
        <v>55.449969413700273</v>
      </c>
      <c r="T268">
        <f t="shared" si="968"/>
        <v>5.544996941370027E-2</v>
      </c>
    </row>
    <row r="269" spans="1:20" x14ac:dyDescent="0.25">
      <c r="A269" s="5">
        <v>44324</v>
      </c>
      <c r="B269">
        <v>17.701000000000001</v>
      </c>
      <c r="C269">
        <v>18.975000000000001</v>
      </c>
      <c r="D269">
        <v>17.545999999999999</v>
      </c>
      <c r="E269">
        <v>17.96</v>
      </c>
      <c r="F269">
        <v>568149.33799999999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-0.42057382785164327</v>
      </c>
      <c r="Q269">
        <f t="shared" si="965"/>
        <v>-238948.74187403708</v>
      </c>
      <c r="R269">
        <f t="shared" si="966"/>
        <v>5136504.328440709</v>
      </c>
      <c r="S269">
        <f t="shared" si="967"/>
        <v>51.365043284407093</v>
      </c>
      <c r="T269">
        <f t="shared" si="968"/>
        <v>5.1365043284407094E-2</v>
      </c>
    </row>
    <row r="270" spans="1:20" x14ac:dyDescent="0.25">
      <c r="A270" s="5">
        <v>44323</v>
      </c>
      <c r="B270">
        <v>17.89</v>
      </c>
      <c r="C270">
        <v>18.273</v>
      </c>
      <c r="D270">
        <v>16.962</v>
      </c>
      <c r="E270">
        <v>17.71</v>
      </c>
      <c r="F270">
        <v>609612.47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0.14111365369946779</v>
      </c>
      <c r="Q270">
        <f t="shared" si="965"/>
        <v>86024.642982457197</v>
      </c>
      <c r="R270">
        <f t="shared" si="966"/>
        <v>5375453.0703147464</v>
      </c>
      <c r="S270">
        <f t="shared" si="967"/>
        <v>53.754530703147466</v>
      </c>
      <c r="T270">
        <f t="shared" si="968"/>
        <v>5.3754530703147466E-2</v>
      </c>
    </row>
    <row r="271" spans="1:20" x14ac:dyDescent="0.25">
      <c r="A271" s="5">
        <v>44322</v>
      </c>
      <c r="B271">
        <v>19.175999999999998</v>
      </c>
      <c r="C271">
        <v>19.25</v>
      </c>
      <c r="D271">
        <v>17.663</v>
      </c>
      <c r="E271">
        <v>17.888999999999999</v>
      </c>
      <c r="F271">
        <v>599282.55500000005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-0.71518588531821159</v>
      </c>
      <c r="Q271">
        <f t="shared" si="965"/>
        <v>-428598.42465343489</v>
      </c>
      <c r="R271">
        <f t="shared" si="966"/>
        <v>5289428.4273322895</v>
      </c>
      <c r="S271">
        <f t="shared" si="967"/>
        <v>52.894284273322896</v>
      </c>
      <c r="T271">
        <f t="shared" si="968"/>
        <v>5.2894284273322899E-2</v>
      </c>
    </row>
    <row r="272" spans="1:20" x14ac:dyDescent="0.25">
      <c r="A272" s="5">
        <v>44321</v>
      </c>
      <c r="B272">
        <v>17.664999999999999</v>
      </c>
      <c r="C272">
        <v>19.850000000000001</v>
      </c>
      <c r="D272">
        <v>17.510000000000002</v>
      </c>
      <c r="E272">
        <v>19.193000000000001</v>
      </c>
      <c r="F272">
        <v>576162.20499999996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0.4384615384615384</v>
      </c>
      <c r="Q272">
        <f t="shared" si="965"/>
        <v>252624.96680769225</v>
      </c>
      <c r="R272">
        <f t="shared" si="966"/>
        <v>5718026.8519857246</v>
      </c>
      <c r="S272">
        <f t="shared" si="967"/>
        <v>57.180268519857243</v>
      </c>
      <c r="T272">
        <f t="shared" si="968"/>
        <v>5.718026851985724E-2</v>
      </c>
    </row>
    <row r="273" spans="1:20" x14ac:dyDescent="0.25">
      <c r="A273" s="5">
        <v>44320</v>
      </c>
      <c r="B273">
        <v>19.300999999999998</v>
      </c>
      <c r="C273">
        <v>20.5</v>
      </c>
      <c r="D273">
        <v>17.556000000000001</v>
      </c>
      <c r="E273">
        <v>17.693000000000001</v>
      </c>
      <c r="F273">
        <v>812896.32900000003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-0.90692934782608658</v>
      </c>
      <c r="Q273">
        <f t="shared" si="965"/>
        <v>-737239.53751018993</v>
      </c>
      <c r="R273">
        <f t="shared" si="966"/>
        <v>5465401.8851780323</v>
      </c>
      <c r="S273">
        <f t="shared" si="967"/>
        <v>54.654018851780322</v>
      </c>
      <c r="T273">
        <f t="shared" si="968"/>
        <v>5.4654018851780319E-2</v>
      </c>
    </row>
    <row r="274" spans="1:20" x14ac:dyDescent="0.25">
      <c r="A274" s="5">
        <v>44319</v>
      </c>
      <c r="B274">
        <v>19.831</v>
      </c>
      <c r="C274">
        <v>21.45</v>
      </c>
      <c r="D274">
        <v>19.260000000000002</v>
      </c>
      <c r="E274">
        <v>19.300999999999998</v>
      </c>
      <c r="F274">
        <v>796838.09499999997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-0.96255707762557363</v>
      </c>
      <c r="Q274">
        <f t="shared" si="965"/>
        <v>-767002.14806392917</v>
      </c>
      <c r="R274">
        <f t="shared" si="966"/>
        <v>6202641.4226882225</v>
      </c>
      <c r="S274">
        <f t="shared" si="967"/>
        <v>62.026414226882224</v>
      </c>
      <c r="T274">
        <f t="shared" si="968"/>
        <v>6.2026414226882223E-2</v>
      </c>
    </row>
    <row r="275" spans="1:20" x14ac:dyDescent="0.25">
      <c r="A275" s="5">
        <v>44318</v>
      </c>
      <c r="B275">
        <v>20.640999999999998</v>
      </c>
      <c r="C275">
        <v>20.7</v>
      </c>
      <c r="D275">
        <v>19.166</v>
      </c>
      <c r="E275">
        <v>19.832000000000001</v>
      </c>
      <c r="F275">
        <v>1328064.3259999999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-0.1316818774445882</v>
      </c>
      <c r="Q275">
        <f t="shared" si="965"/>
        <v>-174882.00381486161</v>
      </c>
      <c r="R275">
        <f t="shared" si="966"/>
        <v>6969643.5707521513</v>
      </c>
      <c r="S275">
        <f t="shared" si="967"/>
        <v>69.696435707521516</v>
      </c>
      <c r="T275">
        <f t="shared" si="968"/>
        <v>6.9696435707521515E-2</v>
      </c>
    </row>
    <row r="276" spans="1:20" x14ac:dyDescent="0.25">
      <c r="A276" s="5">
        <v>44317</v>
      </c>
      <c r="B276">
        <v>21.626000000000001</v>
      </c>
      <c r="C276">
        <v>22.515999999999998</v>
      </c>
      <c r="D276">
        <v>20.498999999999999</v>
      </c>
      <c r="E276">
        <v>20.638999999999999</v>
      </c>
      <c r="F276">
        <v>1287888.037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-0.8611799702528502</v>
      </c>
      <c r="Q276">
        <f t="shared" si="965"/>
        <v>-1109103.3813926617</v>
      </c>
      <c r="R276">
        <f t="shared" si="966"/>
        <v>7144525.5745670125</v>
      </c>
      <c r="S276">
        <f t="shared" si="967"/>
        <v>71.445255745670124</v>
      </c>
      <c r="T276">
        <f t="shared" si="968"/>
        <v>7.1445255745670122E-2</v>
      </c>
    </row>
    <row r="277" spans="1:20" x14ac:dyDescent="0.25">
      <c r="A277" s="5">
        <v>44316</v>
      </c>
      <c r="B277">
        <v>22.228000000000002</v>
      </c>
      <c r="C277">
        <v>25.067</v>
      </c>
      <c r="D277">
        <v>21.428999999999998</v>
      </c>
      <c r="E277">
        <v>21.6</v>
      </c>
      <c r="F277">
        <v>1842042.139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-0.90599230346343984</v>
      </c>
      <c r="Q277">
        <f t="shared" si="965"/>
        <v>-1668876.0005893318</v>
      </c>
      <c r="R277">
        <f t="shared" si="966"/>
        <v>8253628.955959674</v>
      </c>
      <c r="S277">
        <f t="shared" si="967"/>
        <v>82.536289559596739</v>
      </c>
      <c r="T277">
        <f t="shared" si="968"/>
        <v>8.2536289559596743E-2</v>
      </c>
    </row>
    <row r="278" spans="1:20" x14ac:dyDescent="0.25">
      <c r="A278" s="5">
        <v>44315</v>
      </c>
      <c r="B278">
        <v>19.667000000000002</v>
      </c>
      <c r="C278">
        <v>23.998999999999999</v>
      </c>
      <c r="D278">
        <v>19.564</v>
      </c>
      <c r="E278">
        <v>22.19</v>
      </c>
      <c r="F278">
        <v>2876634.071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0.18421645997745298</v>
      </c>
      <c r="Q278">
        <f t="shared" si="965"/>
        <v>529923.34521014919</v>
      </c>
      <c r="R278">
        <f t="shared" si="966"/>
        <v>9922504.9565490056</v>
      </c>
      <c r="S278">
        <f t="shared" si="967"/>
        <v>99.225049565490053</v>
      </c>
      <c r="T278">
        <f t="shared" si="968"/>
        <v>9.9225049565490053E-2</v>
      </c>
    </row>
    <row r="279" spans="1:20" x14ac:dyDescent="0.25">
      <c r="A279" s="5">
        <v>44314</v>
      </c>
      <c r="B279">
        <v>18.744</v>
      </c>
      <c r="C279">
        <v>20</v>
      </c>
      <c r="D279">
        <v>16.811</v>
      </c>
      <c r="E279">
        <v>19.666</v>
      </c>
      <c r="F279">
        <v>1539800.9509999999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0.79052994669175314</v>
      </c>
      <c r="Q279">
        <f t="shared" si="965"/>
        <v>1217258.7637099407</v>
      </c>
      <c r="R279">
        <f t="shared" si="966"/>
        <v>9392581.6113388557</v>
      </c>
      <c r="S279">
        <f t="shared" si="967"/>
        <v>93.925816113388564</v>
      </c>
      <c r="T279">
        <f t="shared" si="968"/>
        <v>9.3925816113388558E-2</v>
      </c>
    </row>
    <row r="280" spans="1:20" x14ac:dyDescent="0.25">
      <c r="A280" s="5">
        <v>44313</v>
      </c>
      <c r="B280">
        <v>19.161000000000001</v>
      </c>
      <c r="C280">
        <v>20.594799999999999</v>
      </c>
      <c r="D280">
        <v>17.974</v>
      </c>
      <c r="E280">
        <v>18.739999999999998</v>
      </c>
      <c r="F280">
        <v>1674584.25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-0.41544566544566658</v>
      </c>
      <c r="Q280">
        <f t="shared" si="965"/>
        <v>-695698.76808608253</v>
      </c>
      <c r="R280">
        <f t="shared" si="966"/>
        <v>8175322.8476289148</v>
      </c>
      <c r="S280">
        <f t="shared" si="967"/>
        <v>81.753228476289152</v>
      </c>
      <c r="T280">
        <f t="shared" si="968"/>
        <v>8.1753228476289158E-2</v>
      </c>
    </row>
    <row r="281" spans="1:20" x14ac:dyDescent="0.25">
      <c r="A281" s="5">
        <v>44312</v>
      </c>
      <c r="B281">
        <v>15.971</v>
      </c>
      <c r="C281">
        <v>20</v>
      </c>
      <c r="D281">
        <v>15.765000000000001</v>
      </c>
      <c r="E281">
        <v>19.178999999999998</v>
      </c>
      <c r="F281">
        <v>2712832.077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0.61227863046044784</v>
      </c>
      <c r="Q281">
        <f t="shared" si="965"/>
        <v>1661009.1087747321</v>
      </c>
      <c r="R281">
        <f t="shared" si="966"/>
        <v>8871021.6157149971</v>
      </c>
      <c r="S281">
        <f t="shared" si="967"/>
        <v>88.710216157149972</v>
      </c>
      <c r="T281">
        <f t="shared" si="968"/>
        <v>8.8710216157149968E-2</v>
      </c>
    </row>
    <row r="282" spans="1:20" x14ac:dyDescent="0.25">
      <c r="A282" s="5">
        <v>44311</v>
      </c>
      <c r="B282">
        <v>15.081</v>
      </c>
      <c r="C282">
        <v>17.899999999999999</v>
      </c>
      <c r="D282">
        <v>14.6218</v>
      </c>
      <c r="E282">
        <v>16.015999999999998</v>
      </c>
      <c r="F282">
        <v>1415421.5179999999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-0.14941126227808027</v>
      </c>
      <c r="Q282">
        <f t="shared" si="965"/>
        <v>-211479.91565993649</v>
      </c>
      <c r="R282">
        <f t="shared" si="966"/>
        <v>7210012.5069402643</v>
      </c>
      <c r="S282">
        <f t="shared" si="967"/>
        <v>72.100125069402637</v>
      </c>
      <c r="T282">
        <f t="shared" si="968"/>
        <v>7.2100125069402637E-2</v>
      </c>
    </row>
    <row r="283" spans="1:20" x14ac:dyDescent="0.25">
      <c r="A283" s="5">
        <v>44310</v>
      </c>
      <c r="B283">
        <v>17.160299999999999</v>
      </c>
      <c r="C283">
        <v>17.244700000000002</v>
      </c>
      <c r="D283">
        <v>14.3056</v>
      </c>
      <c r="E283">
        <v>15.0815</v>
      </c>
      <c r="F283">
        <v>1528637.35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-0.47201524276138979</v>
      </c>
      <c r="Q283">
        <f t="shared" si="965"/>
        <v>-721540.12985437759</v>
      </c>
      <c r="R283">
        <f t="shared" si="966"/>
        <v>7421492.4226002004</v>
      </c>
      <c r="S283">
        <f t="shared" si="967"/>
        <v>74.214924226001997</v>
      </c>
      <c r="T283">
        <f t="shared" si="968"/>
        <v>7.4214924226001996E-2</v>
      </c>
    </row>
    <row r="284" spans="1:20" x14ac:dyDescent="0.25">
      <c r="A284" s="5">
        <v>44309</v>
      </c>
      <c r="B284">
        <v>15.428900000000001</v>
      </c>
      <c r="C284">
        <v>18.5</v>
      </c>
      <c r="D284">
        <v>12.8048</v>
      </c>
      <c r="E284">
        <v>17.1602</v>
      </c>
      <c r="F284">
        <v>3255777.33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0.52949852507374617</v>
      </c>
      <c r="Q284">
        <f t="shared" si="965"/>
        <v>1723929.2942035394</v>
      </c>
      <c r="R284">
        <f t="shared" si="966"/>
        <v>8143032.5524545778</v>
      </c>
      <c r="S284">
        <f t="shared" si="967"/>
        <v>81.430325524545779</v>
      </c>
      <c r="T284">
        <f t="shared" si="968"/>
        <v>8.143032552454578E-2</v>
      </c>
    </row>
    <row r="285" spans="1:20" x14ac:dyDescent="0.25">
      <c r="A285" s="5">
        <v>44308</v>
      </c>
      <c r="B285">
        <v>15.543900000000001</v>
      </c>
      <c r="C285">
        <v>21.558199999999999</v>
      </c>
      <c r="D285">
        <v>14.6119</v>
      </c>
      <c r="E285">
        <v>15.3924</v>
      </c>
      <c r="F285">
        <v>7457766.4900000002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-0.77527604624044455</v>
      </c>
      <c r="Q285">
        <f t="shared" si="965"/>
        <v>-5781827.7181516783</v>
      </c>
      <c r="R285">
        <f t="shared" si="966"/>
        <v>6419103.2582510384</v>
      </c>
      <c r="S285">
        <f t="shared" si="967"/>
        <v>64.191032582510388</v>
      </c>
      <c r="T285">
        <f t="shared" si="968"/>
        <v>6.4191032582510382E-2</v>
      </c>
    </row>
    <row r="286" spans="1:20" x14ac:dyDescent="0.25">
      <c r="A286" s="5">
        <v>44307</v>
      </c>
      <c r="B286">
        <v>14.3452</v>
      </c>
      <c r="C286">
        <v>17.899999999999999</v>
      </c>
      <c r="D286">
        <v>13.350300000000001</v>
      </c>
      <c r="E286">
        <v>15.4945</v>
      </c>
      <c r="F286">
        <v>3053723.3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-5.7432358177461958E-2</v>
      </c>
      <c r="Q286">
        <f t="shared" si="965"/>
        <v>-175382.53034046112</v>
      </c>
      <c r="R286">
        <f t="shared" si="966"/>
        <v>12200930.976402717</v>
      </c>
      <c r="S286">
        <f t="shared" si="967"/>
        <v>122.00930976402717</v>
      </c>
      <c r="T286">
        <f t="shared" si="968"/>
        <v>0.12200930976402717</v>
      </c>
    </row>
    <row r="287" spans="1:20" x14ac:dyDescent="0.25">
      <c r="A287" s="5">
        <v>44306</v>
      </c>
      <c r="B287">
        <v>12.1633</v>
      </c>
      <c r="C287">
        <v>15.1889</v>
      </c>
      <c r="D287">
        <v>10.911099999999999</v>
      </c>
      <c r="E287">
        <v>14.33</v>
      </c>
      <c r="F287">
        <v>1375621.2</v>
      </c>
      <c r="G287">
        <v>0</v>
      </c>
      <c r="L287" t="s">
        <v>8</v>
      </c>
      <c r="M287" t="s">
        <v>7</v>
      </c>
      <c r="N287" t="s">
        <v>8</v>
      </c>
      <c r="P287">
        <f t="shared" si="964"/>
        <v>0.59843844967039128</v>
      </c>
      <c r="Q287">
        <f t="shared" si="965"/>
        <v>823224.6182617232</v>
      </c>
      <c r="R287">
        <f t="shared" si="966"/>
        <v>12376313.506743178</v>
      </c>
      <c r="S287">
        <f t="shared" si="967"/>
        <v>123.76313506743178</v>
      </c>
      <c r="T287">
        <f t="shared" si="968"/>
        <v>0.12376313506743178</v>
      </c>
    </row>
    <row r="288" spans="1:20" x14ac:dyDescent="0.25">
      <c r="A288" s="5">
        <v>44305</v>
      </c>
      <c r="B288">
        <v>12.148099999999999</v>
      </c>
      <c r="C288">
        <v>13.51</v>
      </c>
      <c r="D288">
        <v>11.8428</v>
      </c>
      <c r="E288">
        <v>12.204499999999999</v>
      </c>
      <c r="F288">
        <v>503568.25</v>
      </c>
      <c r="G288">
        <v>0</v>
      </c>
      <c r="L288" t="s">
        <v>8</v>
      </c>
      <c r="M288" t="s">
        <v>7</v>
      </c>
      <c r="N288" t="s">
        <v>8</v>
      </c>
      <c r="P288">
        <f t="shared" si="964"/>
        <v>-0.56609884836852309</v>
      </c>
      <c r="Q288">
        <f t="shared" si="965"/>
        <v>-285069.40639995254</v>
      </c>
      <c r="R288">
        <f t="shared" si="966"/>
        <v>11553088.888481455</v>
      </c>
      <c r="S288">
        <f t="shared" si="967"/>
        <v>115.53088888481454</v>
      </c>
      <c r="T288">
        <f t="shared" si="968"/>
        <v>0.11553088888481454</v>
      </c>
    </row>
    <row r="289" spans="1:20" x14ac:dyDescent="0.25">
      <c r="A289" s="5">
        <v>44304</v>
      </c>
      <c r="B289">
        <v>13.618399999999999</v>
      </c>
      <c r="C289">
        <v>13.7098</v>
      </c>
      <c r="D289">
        <v>11.539199999999999</v>
      </c>
      <c r="E289">
        <v>12.13</v>
      </c>
      <c r="F289">
        <v>797209.64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-0.45563438680549023</v>
      </c>
      <c r="Q289">
        <f t="shared" si="965"/>
        <v>-363236.12547682563</v>
      </c>
      <c r="R289">
        <f t="shared" si="966"/>
        <v>11838158.294881407</v>
      </c>
      <c r="S289">
        <f t="shared" si="967"/>
        <v>118.38158294881407</v>
      </c>
      <c r="T289">
        <f t="shared" si="968"/>
        <v>0.11838158294881407</v>
      </c>
    </row>
    <row r="290" spans="1:20" x14ac:dyDescent="0.25">
      <c r="A290" s="5">
        <v>44303</v>
      </c>
      <c r="B290">
        <v>13.7562</v>
      </c>
      <c r="C290">
        <v>14.2477</v>
      </c>
      <c r="D290">
        <v>13.1602</v>
      </c>
      <c r="E290">
        <v>13.6242</v>
      </c>
      <c r="F290">
        <v>420662.5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-0.1466666666666662</v>
      </c>
      <c r="Q290">
        <f t="shared" si="965"/>
        <v>-61697.166666666468</v>
      </c>
      <c r="R290">
        <f t="shared" si="966"/>
        <v>12201394.420358233</v>
      </c>
      <c r="S290">
        <f t="shared" si="967"/>
        <v>122.01394420358233</v>
      </c>
      <c r="T290">
        <f t="shared" si="968"/>
        <v>0.12201394420358233</v>
      </c>
    </row>
    <row r="291" spans="1:20" x14ac:dyDescent="0.25">
      <c r="A291" s="5">
        <v>44302</v>
      </c>
      <c r="B291">
        <v>14.2981</v>
      </c>
      <c r="C291">
        <v>14.49</v>
      </c>
      <c r="D291">
        <v>13.017099999999999</v>
      </c>
      <c r="E291">
        <v>13.791399999999999</v>
      </c>
      <c r="F291">
        <v>702018.97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5.139520673501214E-2</v>
      </c>
      <c r="Q291">
        <f t="shared" si="965"/>
        <v>36080.410095050283</v>
      </c>
      <c r="R291">
        <f t="shared" si="966"/>
        <v>12263091.587024899</v>
      </c>
      <c r="S291">
        <f t="shared" si="967"/>
        <v>122.630915870249</v>
      </c>
      <c r="T291">
        <f t="shared" si="968"/>
        <v>0.122630915870249</v>
      </c>
    </row>
    <row r="292" spans="1:20" x14ac:dyDescent="0.25">
      <c r="A292" s="5">
        <v>44301</v>
      </c>
      <c r="B292">
        <v>13.3569</v>
      </c>
      <c r="C292">
        <v>15.19</v>
      </c>
      <c r="D292">
        <v>13.123900000000001</v>
      </c>
      <c r="E292">
        <v>14.2691</v>
      </c>
      <c r="F292">
        <v>622183.31999999995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0.10856202507139037</v>
      </c>
      <c r="Q292">
        <f t="shared" si="965"/>
        <v>67545.481184840886</v>
      </c>
      <c r="R292">
        <f t="shared" si="966"/>
        <v>12227011.176929848</v>
      </c>
      <c r="S292">
        <f t="shared" si="967"/>
        <v>122.27011176929848</v>
      </c>
      <c r="T292">
        <f t="shared" si="968"/>
        <v>0.12227011176929849</v>
      </c>
    </row>
    <row r="293" spans="1:20" x14ac:dyDescent="0.25">
      <c r="A293" s="5">
        <v>44300</v>
      </c>
      <c r="B293">
        <v>13.780099999999999</v>
      </c>
      <c r="C293">
        <v>13.965999999999999</v>
      </c>
      <c r="D293">
        <v>13.0253</v>
      </c>
      <c r="E293">
        <v>13.321899999999999</v>
      </c>
      <c r="F293">
        <v>504893.92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-0.36940576166684413</v>
      </c>
      <c r="Q293">
        <f t="shared" si="965"/>
        <v>-186510.72307855866</v>
      </c>
      <c r="R293">
        <f t="shared" si="966"/>
        <v>12159465.695745008</v>
      </c>
      <c r="S293">
        <f t="shared" si="967"/>
        <v>121.59465695745008</v>
      </c>
      <c r="T293">
        <f t="shared" si="968"/>
        <v>0.12159465695745009</v>
      </c>
    </row>
    <row r="294" spans="1:20" x14ac:dyDescent="0.25">
      <c r="A294" s="5">
        <v>44299</v>
      </c>
      <c r="B294">
        <v>14.57</v>
      </c>
      <c r="C294">
        <v>14.8546</v>
      </c>
      <c r="D294">
        <v>13.6319</v>
      </c>
      <c r="E294">
        <v>13.78</v>
      </c>
      <c r="F294">
        <v>558718.81999999995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-0.75774924347755046</v>
      </c>
      <c r="Q294">
        <f t="shared" si="965"/>
        <v>-423368.76317166968</v>
      </c>
      <c r="R294">
        <f t="shared" si="966"/>
        <v>12345976.418823566</v>
      </c>
      <c r="S294">
        <f t="shared" si="967"/>
        <v>123.45976418823567</v>
      </c>
      <c r="T294">
        <f t="shared" si="968"/>
        <v>0.12345976418823566</v>
      </c>
    </row>
    <row r="295" spans="1:20" x14ac:dyDescent="0.25">
      <c r="A295" s="5">
        <v>44298</v>
      </c>
      <c r="B295">
        <v>13.559900000000001</v>
      </c>
      <c r="C295">
        <v>14.73</v>
      </c>
      <c r="D295">
        <v>13.470800000000001</v>
      </c>
      <c r="E295">
        <v>14.5755</v>
      </c>
      <c r="F295">
        <v>705774.88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0.75460609911054555</v>
      </c>
      <c r="Q295">
        <f t="shared" si="965"/>
        <v>532582.02904701338</v>
      </c>
      <c r="R295">
        <f t="shared" si="966"/>
        <v>12769345.181995235</v>
      </c>
      <c r="S295">
        <f t="shared" si="967"/>
        <v>127.69345181995236</v>
      </c>
      <c r="T295">
        <f t="shared" si="968"/>
        <v>0.12769345181995237</v>
      </c>
    </row>
    <row r="296" spans="1:20" x14ac:dyDescent="0.25">
      <c r="A296" s="5">
        <v>44297</v>
      </c>
      <c r="B296">
        <v>13.618399999999999</v>
      </c>
      <c r="C296">
        <v>14.458399999999999</v>
      </c>
      <c r="D296">
        <v>13.143800000000001</v>
      </c>
      <c r="E296">
        <v>13.5528</v>
      </c>
      <c r="F296">
        <v>627023.06000000006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-0.37775749277346821</v>
      </c>
      <c r="Q296">
        <f t="shared" si="965"/>
        <v>-236862.65905674794</v>
      </c>
      <c r="R296">
        <f t="shared" si="966"/>
        <v>12236763.152948221</v>
      </c>
      <c r="S296">
        <f t="shared" si="967"/>
        <v>122.36763152948221</v>
      </c>
      <c r="T296">
        <f t="shared" si="968"/>
        <v>0.12236763152948221</v>
      </c>
    </row>
    <row r="297" spans="1:20" x14ac:dyDescent="0.25">
      <c r="A297" s="5">
        <v>44296</v>
      </c>
      <c r="B297">
        <v>15.203200000000001</v>
      </c>
      <c r="C297">
        <v>15.715400000000001</v>
      </c>
      <c r="D297">
        <v>13.3</v>
      </c>
      <c r="E297">
        <v>13.617900000000001</v>
      </c>
      <c r="F297">
        <v>936168.38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-0.73677237724600497</v>
      </c>
      <c r="Q297">
        <f t="shared" si="965"/>
        <v>-689743.00283514138</v>
      </c>
      <c r="R297">
        <f t="shared" si="966"/>
        <v>12473625.812004969</v>
      </c>
      <c r="S297">
        <f t="shared" si="967"/>
        <v>124.73625812004968</v>
      </c>
      <c r="T297">
        <f t="shared" si="968"/>
        <v>0.12473625812004968</v>
      </c>
    </row>
    <row r="298" spans="1:20" x14ac:dyDescent="0.25">
      <c r="A298" s="5">
        <v>44295</v>
      </c>
      <c r="B298">
        <v>14.7895</v>
      </c>
      <c r="C298">
        <v>15.25</v>
      </c>
      <c r="D298">
        <v>14.366099999999999</v>
      </c>
      <c r="E298">
        <v>15.2081</v>
      </c>
      <c r="F298">
        <v>657350.16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0.90519289512388279</v>
      </c>
      <c r="Q298">
        <f t="shared" si="965"/>
        <v>595028.69444054761</v>
      </c>
      <c r="R298">
        <f t="shared" si="966"/>
        <v>13163368.81484011</v>
      </c>
      <c r="S298">
        <f t="shared" si="967"/>
        <v>131.63368814840109</v>
      </c>
      <c r="T298">
        <f t="shared" si="968"/>
        <v>0.1316336881484011</v>
      </c>
    </row>
    <row r="299" spans="1:20" x14ac:dyDescent="0.25">
      <c r="A299" s="5">
        <v>44294</v>
      </c>
      <c r="B299">
        <v>13.2334</v>
      </c>
      <c r="C299">
        <v>14.949299999999999</v>
      </c>
      <c r="D299">
        <v>13.139200000000001</v>
      </c>
      <c r="E299">
        <v>14.7605</v>
      </c>
      <c r="F299">
        <v>869297.52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0.79139274073255739</v>
      </c>
      <c r="Q299">
        <f t="shared" si="965"/>
        <v>687955.74686481513</v>
      </c>
      <c r="R299">
        <f t="shared" si="966"/>
        <v>12568340.120399563</v>
      </c>
      <c r="S299">
        <f t="shared" si="967"/>
        <v>125.68340120399563</v>
      </c>
      <c r="T299">
        <f t="shared" si="968"/>
        <v>0.12568340120399563</v>
      </c>
    </row>
    <row r="300" spans="1:20" x14ac:dyDescent="0.25">
      <c r="A300" s="5">
        <v>44293</v>
      </c>
      <c r="B300">
        <v>14.2722</v>
      </c>
      <c r="C300">
        <v>14.568</v>
      </c>
      <c r="D300">
        <v>12.666600000000001</v>
      </c>
      <c r="E300">
        <v>13.2333</v>
      </c>
      <c r="F300">
        <v>477388.43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-0.40391290627958404</v>
      </c>
      <c r="Q300">
        <f t="shared" si="965"/>
        <v>-192823.34818554777</v>
      </c>
      <c r="R300">
        <f t="shared" si="966"/>
        <v>11880384.373534748</v>
      </c>
      <c r="S300">
        <f t="shared" si="967"/>
        <v>118.80384373534748</v>
      </c>
      <c r="T300">
        <f t="shared" si="968"/>
        <v>0.11880384373534748</v>
      </c>
    </row>
    <row r="301" spans="1:20" x14ac:dyDescent="0.25">
      <c r="A301" s="5">
        <v>44292</v>
      </c>
      <c r="B301">
        <v>13.354799999999999</v>
      </c>
      <c r="C301">
        <v>14.76</v>
      </c>
      <c r="D301">
        <v>13.227</v>
      </c>
      <c r="E301">
        <v>14.2296</v>
      </c>
      <c r="F301">
        <v>907863.5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0.30802348336594859</v>
      </c>
      <c r="Q301">
        <f t="shared" si="965"/>
        <v>279643.27769080189</v>
      </c>
      <c r="R301">
        <f t="shared" si="966"/>
        <v>12073207.721720297</v>
      </c>
      <c r="S301">
        <f t="shared" si="967"/>
        <v>120.73207721720297</v>
      </c>
      <c r="T301">
        <f t="shared" si="968"/>
        <v>0.12073207721720297</v>
      </c>
    </row>
    <row r="302" spans="1:20" x14ac:dyDescent="0.25">
      <c r="A302" s="5">
        <v>44291</v>
      </c>
      <c r="B302">
        <v>13.4924</v>
      </c>
      <c r="C302">
        <v>13.65</v>
      </c>
      <c r="D302">
        <v>12.7197</v>
      </c>
      <c r="E302">
        <v>13.342000000000001</v>
      </c>
      <c r="F302">
        <v>544476.71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0.3378480060195645</v>
      </c>
      <c r="Q302">
        <f t="shared" si="965"/>
        <v>183950.37079759265</v>
      </c>
      <c r="R302">
        <f t="shared" si="966"/>
        <v>11793564.444029495</v>
      </c>
      <c r="S302">
        <f t="shared" si="967"/>
        <v>117.93564444029495</v>
      </c>
      <c r="T302">
        <f t="shared" si="968"/>
        <v>0.11793564444029495</v>
      </c>
    </row>
    <row r="303" spans="1:20" x14ac:dyDescent="0.25">
      <c r="A303" s="5">
        <v>44290</v>
      </c>
      <c r="B303">
        <v>12.1358</v>
      </c>
      <c r="C303">
        <v>13.7165</v>
      </c>
      <c r="D303">
        <v>12.055099999999999</v>
      </c>
      <c r="E303">
        <v>13.480600000000001</v>
      </c>
      <c r="F303">
        <v>475594.26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0.71602263151559042</v>
      </c>
      <c r="Q303">
        <f t="shared" si="965"/>
        <v>340536.25357890991</v>
      </c>
      <c r="R303">
        <f t="shared" si="966"/>
        <v>11609614.073231902</v>
      </c>
      <c r="S303">
        <f t="shared" si="967"/>
        <v>116.09614073231901</v>
      </c>
      <c r="T303">
        <f t="shared" si="968"/>
        <v>0.11609614073231901</v>
      </c>
    </row>
    <row r="304" spans="1:20" x14ac:dyDescent="0.25">
      <c r="A304" s="5">
        <v>44289</v>
      </c>
      <c r="B304">
        <v>13.238799999999999</v>
      </c>
      <c r="C304">
        <v>13.667199999999999</v>
      </c>
      <c r="D304">
        <v>12.0501</v>
      </c>
      <c r="E304">
        <v>12.1282</v>
      </c>
      <c r="F304">
        <v>380948.19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-0.90340733411662955</v>
      </c>
      <c r="Q304">
        <f t="shared" si="965"/>
        <v>-344151.38876445527</v>
      </c>
      <c r="R304">
        <f t="shared" si="966"/>
        <v>11269077.819652991</v>
      </c>
      <c r="S304">
        <f t="shared" si="967"/>
        <v>112.69077819652992</v>
      </c>
      <c r="T304">
        <f t="shared" si="968"/>
        <v>0.11269077819652992</v>
      </c>
    </row>
    <row r="305" spans="1:20" x14ac:dyDescent="0.25">
      <c r="A305" s="5">
        <v>44288</v>
      </c>
      <c r="B305">
        <v>13.9366</v>
      </c>
      <c r="C305">
        <v>14.57</v>
      </c>
      <c r="D305">
        <v>12.967499999999999</v>
      </c>
      <c r="E305">
        <v>13.2537</v>
      </c>
      <c r="F305">
        <v>501879.51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-0.64280811232449209</v>
      </c>
      <c r="Q305">
        <f t="shared" si="965"/>
        <v>-322612.22043744108</v>
      </c>
      <c r="R305">
        <f t="shared" si="966"/>
        <v>11613229.208417447</v>
      </c>
      <c r="S305">
        <f t="shared" si="967"/>
        <v>116.13229208417447</v>
      </c>
      <c r="T305">
        <f t="shared" si="968"/>
        <v>0.11613229208417447</v>
      </c>
    </row>
    <row r="306" spans="1:20" x14ac:dyDescent="0.25">
      <c r="A306" s="5">
        <v>44287</v>
      </c>
      <c r="B306">
        <v>12.84</v>
      </c>
      <c r="C306">
        <v>14.388299999999999</v>
      </c>
      <c r="D306">
        <v>12.761699999999999</v>
      </c>
      <c r="E306">
        <v>13.9366</v>
      </c>
      <c r="F306">
        <v>520564.87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0.44460838558957466</v>
      </c>
      <c r="Q306">
        <f t="shared" si="965"/>
        <v>231447.50644534681</v>
      </c>
      <c r="R306">
        <f t="shared" si="966"/>
        <v>11935841.428854888</v>
      </c>
      <c r="S306">
        <f t="shared" si="967"/>
        <v>119.35841428854889</v>
      </c>
      <c r="T306">
        <f t="shared" si="968"/>
        <v>0.11935841428854889</v>
      </c>
    </row>
    <row r="307" spans="1:20" x14ac:dyDescent="0.25">
      <c r="A307" s="5">
        <v>44286</v>
      </c>
      <c r="B307">
        <v>13.7476</v>
      </c>
      <c r="C307">
        <v>13.837999999999999</v>
      </c>
      <c r="D307">
        <v>12.6898</v>
      </c>
      <c r="E307">
        <v>12.8302</v>
      </c>
      <c r="F307">
        <v>473253.78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-0.75544330256052994</v>
      </c>
      <c r="Q307">
        <f t="shared" si="965"/>
        <v>-357516.39851245447</v>
      </c>
      <c r="R307">
        <f t="shared" si="966"/>
        <v>11704393.922409542</v>
      </c>
      <c r="S307">
        <f t="shared" si="967"/>
        <v>117.04393922409542</v>
      </c>
      <c r="T307">
        <f t="shared" si="968"/>
        <v>0.11704393922409542</v>
      </c>
    </row>
    <row r="308" spans="1:20" x14ac:dyDescent="0.25">
      <c r="A308" s="5">
        <v>44285</v>
      </c>
      <c r="B308">
        <v>14.2422</v>
      </c>
      <c r="C308">
        <v>15.15</v>
      </c>
      <c r="D308">
        <v>13.52</v>
      </c>
      <c r="E308">
        <v>13.747299999999999</v>
      </c>
      <c r="F308">
        <v>894075.82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-0.7211042944785282</v>
      </c>
      <c r="Q308">
        <f t="shared" si="965"/>
        <v>-644721.91339141154</v>
      </c>
      <c r="R308">
        <f t="shared" si="966"/>
        <v>12061910.320921997</v>
      </c>
      <c r="S308">
        <f t="shared" si="967"/>
        <v>120.61910320921997</v>
      </c>
      <c r="T308">
        <f t="shared" si="968"/>
        <v>0.12061910320921997</v>
      </c>
    </row>
    <row r="309" spans="1:20" x14ac:dyDescent="0.25">
      <c r="A309" s="5">
        <v>44284</v>
      </c>
      <c r="B309">
        <v>12.372</v>
      </c>
      <c r="C309">
        <v>14.5</v>
      </c>
      <c r="D309">
        <v>12.0501</v>
      </c>
      <c r="E309">
        <v>14.242100000000001</v>
      </c>
      <c r="F309">
        <v>568810.93999999994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0.78946079431813587</v>
      </c>
      <c r="Q309">
        <f t="shared" si="965"/>
        <v>449053.93650924548</v>
      </c>
      <c r="R309">
        <f t="shared" si="966"/>
        <v>12706632.234313408</v>
      </c>
      <c r="S309">
        <f t="shared" si="967"/>
        <v>127.06632234313408</v>
      </c>
      <c r="T309">
        <f t="shared" si="968"/>
        <v>0.12706632234313409</v>
      </c>
    </row>
    <row r="310" spans="1:20" x14ac:dyDescent="0.25">
      <c r="A310" s="5">
        <v>44283</v>
      </c>
      <c r="B310">
        <v>11.1488</v>
      </c>
      <c r="C310">
        <v>14.036</v>
      </c>
      <c r="D310">
        <v>11</v>
      </c>
      <c r="E310">
        <v>12.3399</v>
      </c>
      <c r="F310">
        <v>1267736.1100000001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-0.11732542819499324</v>
      </c>
      <c r="Q310">
        <f t="shared" si="965"/>
        <v>-148737.68194400507</v>
      </c>
      <c r="R310">
        <f t="shared" si="966"/>
        <v>12257578.297804162</v>
      </c>
      <c r="S310">
        <f t="shared" si="967"/>
        <v>122.57578297804162</v>
      </c>
      <c r="T310">
        <f t="shared" si="968"/>
        <v>0.12257578297804161</v>
      </c>
    </row>
    <row r="311" spans="1:20" x14ac:dyDescent="0.25">
      <c r="A311" s="5">
        <v>44282</v>
      </c>
      <c r="B311">
        <v>11.6348</v>
      </c>
      <c r="C311">
        <v>11.6938</v>
      </c>
      <c r="D311">
        <v>10.67</v>
      </c>
      <c r="E311">
        <v>11.141500000000001</v>
      </c>
      <c r="F311">
        <v>266760.59999999998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-7.8921664387573975E-2</v>
      </c>
      <c r="Q311">
        <f t="shared" si="965"/>
        <v>-21053.190545027865</v>
      </c>
      <c r="R311">
        <f t="shared" si="966"/>
        <v>12406315.979748167</v>
      </c>
      <c r="S311">
        <f t="shared" si="967"/>
        <v>124.06315979748167</v>
      </c>
      <c r="T311">
        <f t="shared" si="968"/>
        <v>0.12406315979748167</v>
      </c>
    </row>
    <row r="312" spans="1:20" x14ac:dyDescent="0.25">
      <c r="A312" s="5">
        <v>44281</v>
      </c>
      <c r="B312">
        <v>10.5694</v>
      </c>
      <c r="C312">
        <v>11.6617</v>
      </c>
      <c r="D312">
        <v>10.5441</v>
      </c>
      <c r="E312">
        <v>11.654999999999999</v>
      </c>
      <c r="F312">
        <v>275258.67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0.98801002147458772</v>
      </c>
      <c r="Q312">
        <f t="shared" si="965"/>
        <v>271958.32445776643</v>
      </c>
      <c r="R312">
        <f t="shared" si="966"/>
        <v>12427369.170293195</v>
      </c>
      <c r="S312">
        <f t="shared" si="967"/>
        <v>124.27369170293196</v>
      </c>
      <c r="T312">
        <f t="shared" si="968"/>
        <v>0.12427369170293195</v>
      </c>
    </row>
    <row r="313" spans="1:20" x14ac:dyDescent="0.25">
      <c r="A313" s="5">
        <v>44280</v>
      </c>
      <c r="B313">
        <v>10.498100000000001</v>
      </c>
      <c r="C313">
        <v>11.436</v>
      </c>
      <c r="D313">
        <v>9.8666</v>
      </c>
      <c r="E313">
        <v>10.568099999999999</v>
      </c>
      <c r="F313">
        <v>576879.81999999995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-0.10602778131770181</v>
      </c>
      <c r="Q313">
        <f t="shared" si="965"/>
        <v>-61165.287401555179</v>
      </c>
      <c r="R313">
        <f t="shared" si="966"/>
        <v>12155410.845835429</v>
      </c>
      <c r="S313">
        <f t="shared" si="967"/>
        <v>121.55410845835429</v>
      </c>
      <c r="T313">
        <f t="shared" si="968"/>
        <v>0.12155410845835429</v>
      </c>
    </row>
    <row r="314" spans="1:20" x14ac:dyDescent="0.25">
      <c r="A314" s="5">
        <v>44279</v>
      </c>
      <c r="B314">
        <v>11.601100000000001</v>
      </c>
      <c r="C314">
        <v>12.4122</v>
      </c>
      <c r="D314">
        <v>10.333299999999999</v>
      </c>
      <c r="E314">
        <v>10.5121</v>
      </c>
      <c r="F314">
        <v>476251.26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-0.82798595411034615</v>
      </c>
      <c r="Q314">
        <f t="shared" si="965"/>
        <v>-394329.35390735453</v>
      </c>
      <c r="R314">
        <f t="shared" si="966"/>
        <v>12216576.133236984</v>
      </c>
      <c r="S314">
        <f t="shared" si="967"/>
        <v>122.16576133236984</v>
      </c>
      <c r="T314">
        <f t="shared" si="968"/>
        <v>0.12216576133236984</v>
      </c>
    </row>
    <row r="315" spans="1:20" x14ac:dyDescent="0.25">
      <c r="A315" s="5">
        <v>44278</v>
      </c>
      <c r="B315">
        <v>12.4473</v>
      </c>
      <c r="C315">
        <v>12.8523</v>
      </c>
      <c r="D315">
        <v>11.600199999999999</v>
      </c>
      <c r="E315">
        <v>11.616199999999999</v>
      </c>
      <c r="F315">
        <v>416443.64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-0.97444293586774222</v>
      </c>
      <c r="Q315">
        <f t="shared" si="965"/>
        <v>-405800.56318504916</v>
      </c>
      <c r="R315">
        <f t="shared" si="966"/>
        <v>12610905.487144338</v>
      </c>
      <c r="S315">
        <f t="shared" si="967"/>
        <v>126.10905487144338</v>
      </c>
      <c r="T315">
        <f t="shared" si="968"/>
        <v>0.12610905487144339</v>
      </c>
    </row>
    <row r="316" spans="1:20" x14ac:dyDescent="0.25">
      <c r="A316" s="5">
        <v>44277</v>
      </c>
      <c r="B316">
        <v>12.298299999999999</v>
      </c>
      <c r="C316">
        <v>14.290900000000001</v>
      </c>
      <c r="D316">
        <v>12.0669</v>
      </c>
      <c r="E316">
        <v>12.4474</v>
      </c>
      <c r="F316">
        <v>750058.78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-0.65782374100719465</v>
      </c>
      <c r="Q316">
        <f t="shared" si="965"/>
        <v>-493406.47263489239</v>
      </c>
      <c r="R316">
        <f t="shared" si="966"/>
        <v>13016706.050329387</v>
      </c>
      <c r="S316">
        <f t="shared" si="967"/>
        <v>130.16706050329387</v>
      </c>
      <c r="T316">
        <f t="shared" si="968"/>
        <v>0.13016706050329388</v>
      </c>
    </row>
    <row r="317" spans="1:20" x14ac:dyDescent="0.25">
      <c r="A317" s="5">
        <v>44276</v>
      </c>
      <c r="B317">
        <v>12.364100000000001</v>
      </c>
      <c r="C317">
        <v>12.670500000000001</v>
      </c>
      <c r="D317">
        <v>11.983599999999999</v>
      </c>
      <c r="E317">
        <v>12.2943</v>
      </c>
      <c r="F317">
        <v>327096.58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-9.5355947008298123E-2</v>
      </c>
      <c r="Q317">
        <f t="shared" si="965"/>
        <v>-31190.604149075549</v>
      </c>
      <c r="R317">
        <f t="shared" si="966"/>
        <v>13510112.52296428</v>
      </c>
      <c r="S317">
        <f t="shared" si="967"/>
        <v>135.1011252296428</v>
      </c>
      <c r="T317">
        <f t="shared" si="968"/>
        <v>0.13510112522964279</v>
      </c>
    </row>
    <row r="318" spans="1:20" x14ac:dyDescent="0.25">
      <c r="A318" s="5">
        <v>44275</v>
      </c>
      <c r="B318">
        <v>12.863099999999999</v>
      </c>
      <c r="C318">
        <v>13.324199999999999</v>
      </c>
      <c r="D318">
        <v>12.3581</v>
      </c>
      <c r="E318">
        <v>12.3849</v>
      </c>
      <c r="F318">
        <v>413039.08</v>
      </c>
      <c r="G318">
        <v>0</v>
      </c>
      <c r="L318" t="s">
        <v>7</v>
      </c>
      <c r="M318" t="s">
        <v>8</v>
      </c>
      <c r="N318" t="s">
        <v>7</v>
      </c>
      <c r="P318">
        <f t="shared" si="964"/>
        <v>-0.94451920091087938</v>
      </c>
      <c r="Q318">
        <f t="shared" si="965"/>
        <v>-390123.34178656479</v>
      </c>
      <c r="R318">
        <f t="shared" si="966"/>
        <v>13541303.127113355</v>
      </c>
      <c r="S318">
        <f t="shared" si="967"/>
        <v>135.41303127113355</v>
      </c>
      <c r="T318">
        <f t="shared" si="968"/>
        <v>0.13541303127113355</v>
      </c>
    </row>
    <row r="319" spans="1:20" x14ac:dyDescent="0.25">
      <c r="A319" s="5">
        <v>44274</v>
      </c>
      <c r="B319">
        <v>13.4971</v>
      </c>
      <c r="C319">
        <v>14.2</v>
      </c>
      <c r="D319">
        <v>12.78</v>
      </c>
      <c r="E319">
        <v>12.851800000000001</v>
      </c>
      <c r="F319">
        <v>853158.67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-0.89887323943661768</v>
      </c>
      <c r="Q319">
        <f t="shared" si="965"/>
        <v>-766881.49745633628</v>
      </c>
      <c r="R319">
        <f t="shared" si="966"/>
        <v>13931426.468899921</v>
      </c>
      <c r="S319">
        <f t="shared" si="967"/>
        <v>139.3142646889992</v>
      </c>
      <c r="T319">
        <f t="shared" si="968"/>
        <v>0.13931426468899921</v>
      </c>
    </row>
    <row r="320" spans="1:20" x14ac:dyDescent="0.25">
      <c r="A320" s="5">
        <v>44273</v>
      </c>
      <c r="B320">
        <v>11.891299999999999</v>
      </c>
      <c r="C320">
        <v>13.5</v>
      </c>
      <c r="D320">
        <v>11.628299999999999</v>
      </c>
      <c r="E320">
        <v>13.497</v>
      </c>
      <c r="F320">
        <v>860631.55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0.99679435807020345</v>
      </c>
      <c r="Q320">
        <f t="shared" si="965"/>
        <v>857872.6734172143</v>
      </c>
      <c r="R320">
        <f t="shared" si="966"/>
        <v>14698307.966356257</v>
      </c>
      <c r="S320">
        <f t="shared" si="967"/>
        <v>146.98307966356256</v>
      </c>
      <c r="T320">
        <f t="shared" si="968"/>
        <v>0.14698307966356255</v>
      </c>
    </row>
    <row r="321" spans="1:20" x14ac:dyDescent="0.25">
      <c r="A321" s="5">
        <v>44272</v>
      </c>
      <c r="B321">
        <v>11.2499</v>
      </c>
      <c r="C321">
        <v>11.9503</v>
      </c>
      <c r="D321">
        <v>10.780900000000001</v>
      </c>
      <c r="E321">
        <v>11.897600000000001</v>
      </c>
      <c r="F321">
        <v>545874.96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0.90986830853429146</v>
      </c>
      <c r="Q321">
        <f t="shared" si="965"/>
        <v>496674.32652642397</v>
      </c>
      <c r="R321">
        <f t="shared" si="966"/>
        <v>13840435.292939043</v>
      </c>
      <c r="S321">
        <f t="shared" si="967"/>
        <v>138.40435292939043</v>
      </c>
      <c r="T321">
        <f t="shared" si="968"/>
        <v>0.13840435292939043</v>
      </c>
    </row>
    <row r="322" spans="1:20" x14ac:dyDescent="0.25">
      <c r="A322" s="5">
        <v>44271</v>
      </c>
      <c r="B322">
        <v>11.8329</v>
      </c>
      <c r="C322">
        <v>12.3805</v>
      </c>
      <c r="D322">
        <v>10.8117</v>
      </c>
      <c r="E322">
        <v>11.2395</v>
      </c>
      <c r="F322">
        <v>932422.02</v>
      </c>
      <c r="G322">
        <v>0</v>
      </c>
      <c r="L322" t="s">
        <v>8</v>
      </c>
      <c r="M322" t="s">
        <v>7</v>
      </c>
      <c r="N322" t="s">
        <v>7</v>
      </c>
      <c r="P322">
        <f t="shared" si="964"/>
        <v>-0.45461499235084185</v>
      </c>
      <c r="Q322">
        <f t="shared" si="965"/>
        <v>-423893.02949005651</v>
      </c>
      <c r="R322">
        <f t="shared" si="966"/>
        <v>13343760.966412619</v>
      </c>
      <c r="S322">
        <f t="shared" si="967"/>
        <v>133.4376096641262</v>
      </c>
      <c r="T322">
        <f t="shared" si="968"/>
        <v>0.13343760966412621</v>
      </c>
    </row>
    <row r="323" spans="1:20" x14ac:dyDescent="0.25">
      <c r="A323" s="5">
        <v>44270</v>
      </c>
      <c r="B323">
        <v>11.629899999999999</v>
      </c>
      <c r="C323">
        <v>12.505000000000001</v>
      </c>
      <c r="D323">
        <v>10.889099999999999</v>
      </c>
      <c r="E323">
        <v>11.7912</v>
      </c>
      <c r="F323">
        <v>1004366.77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0.11652948821090396</v>
      </c>
      <c r="Q323">
        <f t="shared" si="965"/>
        <v>117038.34568413869</v>
      </c>
      <c r="R323">
        <f t="shared" si="966"/>
        <v>13767653.995902676</v>
      </c>
      <c r="S323">
        <f t="shared" si="967"/>
        <v>137.67653995902677</v>
      </c>
      <c r="T323">
        <f t="shared" si="968"/>
        <v>0.13767653995902676</v>
      </c>
    </row>
    <row r="324" spans="1:20" x14ac:dyDescent="0.25">
      <c r="A324" s="5">
        <v>44269</v>
      </c>
      <c r="B324">
        <v>11.417899999999999</v>
      </c>
      <c r="C324">
        <v>12.2</v>
      </c>
      <c r="D324">
        <v>11.2</v>
      </c>
      <c r="E324">
        <v>11.63</v>
      </c>
      <c r="F324">
        <v>468789.34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-0.13999999999999702</v>
      </c>
      <c r="Q324">
        <f t="shared" si="965"/>
        <v>-65630.5075999986</v>
      </c>
      <c r="R324">
        <f t="shared" si="966"/>
        <v>13650615.650218537</v>
      </c>
      <c r="S324">
        <f t="shared" si="967"/>
        <v>136.50615650218538</v>
      </c>
      <c r="T324">
        <f t="shared" si="968"/>
        <v>0.13650615650218537</v>
      </c>
    </row>
    <row r="325" spans="1:20" x14ac:dyDescent="0.25">
      <c r="A325" s="5">
        <v>44268</v>
      </c>
      <c r="B325">
        <v>11.7004</v>
      </c>
      <c r="C325">
        <v>12.172000000000001</v>
      </c>
      <c r="D325">
        <v>11.3034</v>
      </c>
      <c r="E325">
        <v>11.401899999999999</v>
      </c>
      <c r="F325">
        <v>544495.32999999996</v>
      </c>
      <c r="G325">
        <v>0</v>
      </c>
      <c r="L325" t="s">
        <v>7</v>
      </c>
      <c r="M325" t="s">
        <v>7</v>
      </c>
      <c r="N325" t="s">
        <v>7</v>
      </c>
      <c r="P325">
        <f t="shared" si="964"/>
        <v>-0.77319825005756504</v>
      </c>
      <c r="Q325">
        <f t="shared" si="965"/>
        <v>-421002.83632051636</v>
      </c>
      <c r="R325">
        <f t="shared" si="966"/>
        <v>13716246.157818535</v>
      </c>
      <c r="S325">
        <f t="shared" si="967"/>
        <v>137.16246157818534</v>
      </c>
      <c r="T325">
        <f t="shared" si="968"/>
        <v>0.13716246157818535</v>
      </c>
    </row>
    <row r="326" spans="1:20" x14ac:dyDescent="0.25">
      <c r="A326" s="5">
        <v>44267</v>
      </c>
      <c r="B326">
        <v>12.261100000000001</v>
      </c>
      <c r="C326">
        <v>12.96</v>
      </c>
      <c r="D326">
        <v>11.5</v>
      </c>
      <c r="E326">
        <v>11.697900000000001</v>
      </c>
      <c r="F326">
        <v>476681.15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-0.72890410958904039</v>
      </c>
      <c r="Q326">
        <f t="shared" ref="Q326:Q389" si="970">F326*P326</f>
        <v>-347454.84919862985</v>
      </c>
      <c r="R326">
        <f t="shared" ref="R326:R389" si="971">R327+Q326</f>
        <v>14137248.994139051</v>
      </c>
      <c r="S326">
        <f t="shared" ref="S326:S389" si="972">R326/100000</f>
        <v>141.37248994139051</v>
      </c>
      <c r="T326">
        <f t="shared" ref="T326:T389" si="973">S326/1000</f>
        <v>0.14137248994139051</v>
      </c>
    </row>
    <row r="327" spans="1:20" x14ac:dyDescent="0.25">
      <c r="A327" s="5">
        <v>44266</v>
      </c>
      <c r="B327">
        <v>12.4648</v>
      </c>
      <c r="C327">
        <v>12.779199999999999</v>
      </c>
      <c r="D327">
        <v>11.7119</v>
      </c>
      <c r="E327">
        <v>12.261200000000001</v>
      </c>
      <c r="F327">
        <v>504547.2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2.9326337487118593E-2</v>
      </c>
      <c r="Q327">
        <f t="shared" si="970"/>
        <v>14796.521465380722</v>
      </c>
      <c r="R327">
        <f t="shared" si="971"/>
        <v>14484703.843337681</v>
      </c>
      <c r="S327">
        <f t="shared" si="972"/>
        <v>144.84703843337681</v>
      </c>
      <c r="T327">
        <f t="shared" si="973"/>
        <v>0.14484703843337682</v>
      </c>
    </row>
    <row r="328" spans="1:20" x14ac:dyDescent="0.25">
      <c r="A328" s="5">
        <v>44265</v>
      </c>
      <c r="B328">
        <v>13.3002</v>
      </c>
      <c r="C328">
        <v>13.345000000000001</v>
      </c>
      <c r="D328">
        <v>12.135400000000001</v>
      </c>
      <c r="E328">
        <v>12.468299999999999</v>
      </c>
      <c r="F328">
        <v>444476.68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-0.44957010582010809</v>
      </c>
      <c r="Q328">
        <f t="shared" si="970"/>
        <v>-199823.42806217031</v>
      </c>
      <c r="R328">
        <f t="shared" si="971"/>
        <v>14469907.3218723</v>
      </c>
      <c r="S328">
        <f t="shared" si="972"/>
        <v>144.69907321872299</v>
      </c>
      <c r="T328">
        <f t="shared" si="973"/>
        <v>0.144699073218723</v>
      </c>
    </row>
    <row r="329" spans="1:20" x14ac:dyDescent="0.25">
      <c r="A329" s="5">
        <v>44264</v>
      </c>
      <c r="B329">
        <v>12.194000000000001</v>
      </c>
      <c r="C329">
        <v>13.707700000000001</v>
      </c>
      <c r="D329">
        <v>11.953200000000001</v>
      </c>
      <c r="E329">
        <v>13.3027</v>
      </c>
      <c r="F329">
        <v>709706.3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0.53833000854944302</v>
      </c>
      <c r="Q329">
        <f t="shared" si="970"/>
        <v>382056.1985465936</v>
      </c>
      <c r="R329">
        <f t="shared" si="971"/>
        <v>14669730.74993447</v>
      </c>
      <c r="S329">
        <f t="shared" si="972"/>
        <v>146.6973074993447</v>
      </c>
      <c r="T329">
        <f t="shared" si="973"/>
        <v>0.1466973074993447</v>
      </c>
    </row>
    <row r="330" spans="1:20" x14ac:dyDescent="0.25">
      <c r="A330" s="5">
        <v>44263</v>
      </c>
      <c r="B330">
        <v>12.160500000000001</v>
      </c>
      <c r="C330">
        <v>12.3</v>
      </c>
      <c r="D330">
        <v>11.4726</v>
      </c>
      <c r="E330">
        <v>12.200100000000001</v>
      </c>
      <c r="F330">
        <v>364930.74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0.75852066715010935</v>
      </c>
      <c r="Q330">
        <f t="shared" si="970"/>
        <v>276807.5083683831</v>
      </c>
      <c r="R330">
        <f t="shared" si="971"/>
        <v>14287674.551387876</v>
      </c>
      <c r="S330">
        <f t="shared" si="972"/>
        <v>142.87674551387877</v>
      </c>
      <c r="T330">
        <f t="shared" si="973"/>
        <v>0.14287674551387877</v>
      </c>
    </row>
    <row r="331" spans="1:20" x14ac:dyDescent="0.25">
      <c r="A331" s="5">
        <v>44262</v>
      </c>
      <c r="B331">
        <v>11.862500000000001</v>
      </c>
      <c r="C331">
        <v>12.49</v>
      </c>
      <c r="D331">
        <v>11.62</v>
      </c>
      <c r="E331">
        <v>12.157500000000001</v>
      </c>
      <c r="F331">
        <v>314688.18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0.23563218390804783</v>
      </c>
      <c r="Q331">
        <f t="shared" si="970"/>
        <v>74150.663103448853</v>
      </c>
      <c r="R331">
        <f t="shared" si="971"/>
        <v>14010867.043019494</v>
      </c>
      <c r="S331">
        <f t="shared" si="972"/>
        <v>140.10867043019493</v>
      </c>
      <c r="T331">
        <f t="shared" si="973"/>
        <v>0.14010867043019493</v>
      </c>
    </row>
    <row r="332" spans="1:20" x14ac:dyDescent="0.25">
      <c r="A332" s="5">
        <v>44261</v>
      </c>
      <c r="B332">
        <v>11.734400000000001</v>
      </c>
      <c r="C332">
        <v>12.2151</v>
      </c>
      <c r="D332">
        <v>11.3001</v>
      </c>
      <c r="E332">
        <v>11.832700000000001</v>
      </c>
      <c r="F332">
        <v>277861.84999999998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0.16415300546448286</v>
      </c>
      <c r="Q332">
        <f t="shared" si="970"/>
        <v>45611.857781421313</v>
      </c>
      <c r="R332">
        <f t="shared" si="971"/>
        <v>13936716.379916046</v>
      </c>
      <c r="S332">
        <f t="shared" si="972"/>
        <v>139.36716379916047</v>
      </c>
      <c r="T332">
        <f t="shared" si="973"/>
        <v>0.13936716379916048</v>
      </c>
    </row>
    <row r="333" spans="1:20" x14ac:dyDescent="0.25">
      <c r="A333" s="5">
        <v>44260</v>
      </c>
      <c r="B333">
        <v>12.4778</v>
      </c>
      <c r="C333">
        <v>12.502700000000001</v>
      </c>
      <c r="D333">
        <v>11.5</v>
      </c>
      <c r="E333">
        <v>11.7408</v>
      </c>
      <c r="F333">
        <v>441328.48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-0.51969681858980765</v>
      </c>
      <c r="Q333">
        <f t="shared" si="970"/>
        <v>-229357.00700907555</v>
      </c>
      <c r="R333">
        <f t="shared" si="971"/>
        <v>13891104.522134624</v>
      </c>
      <c r="S333">
        <f t="shared" si="972"/>
        <v>138.91104522134626</v>
      </c>
      <c r="T333">
        <f t="shared" si="973"/>
        <v>0.13891104522134626</v>
      </c>
    </row>
    <row r="334" spans="1:20" x14ac:dyDescent="0.25">
      <c r="A334" s="5">
        <v>44259</v>
      </c>
      <c r="B334">
        <v>13.6188</v>
      </c>
      <c r="C334">
        <v>13.969900000000001</v>
      </c>
      <c r="D334">
        <v>11.9621</v>
      </c>
      <c r="E334">
        <v>12.482799999999999</v>
      </c>
      <c r="F334">
        <v>513108.38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-0.48132284092041105</v>
      </c>
      <c r="Q334">
        <f t="shared" si="970"/>
        <v>-246970.78316166982</v>
      </c>
      <c r="R334">
        <f t="shared" si="971"/>
        <v>14120461.5291437</v>
      </c>
      <c r="S334">
        <f t="shared" si="972"/>
        <v>141.20461529143699</v>
      </c>
      <c r="T334">
        <f t="shared" si="973"/>
        <v>0.14120461529143699</v>
      </c>
    </row>
    <row r="335" spans="1:20" x14ac:dyDescent="0.25">
      <c r="A335" s="5">
        <v>44258</v>
      </c>
      <c r="B335">
        <v>13.087199999999999</v>
      </c>
      <c r="C335">
        <v>14.1684</v>
      </c>
      <c r="D335">
        <v>13.0002</v>
      </c>
      <c r="E335">
        <v>13.5642</v>
      </c>
      <c r="F335">
        <v>468678.68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-3.4411915767848349E-2</v>
      </c>
      <c r="Q335">
        <f t="shared" si="970"/>
        <v>-16128.13125834635</v>
      </c>
      <c r="R335">
        <f t="shared" si="971"/>
        <v>14367432.31230537</v>
      </c>
      <c r="S335">
        <f t="shared" si="972"/>
        <v>143.67432312305371</v>
      </c>
      <c r="T335">
        <f t="shared" si="973"/>
        <v>0.1436743231230537</v>
      </c>
    </row>
    <row r="336" spans="1:20" x14ac:dyDescent="0.25">
      <c r="A336" s="5">
        <v>44257</v>
      </c>
      <c r="B336">
        <v>13.5398</v>
      </c>
      <c r="C336">
        <v>13.889900000000001</v>
      </c>
      <c r="D336">
        <v>12.4832</v>
      </c>
      <c r="E336">
        <v>13.1043</v>
      </c>
      <c r="F336">
        <v>424604.4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-0.11694035686358159</v>
      </c>
      <c r="Q336">
        <f t="shared" si="970"/>
        <v>-49653.390061846949</v>
      </c>
      <c r="R336">
        <f t="shared" si="971"/>
        <v>14383560.443563716</v>
      </c>
      <c r="S336">
        <f t="shared" si="972"/>
        <v>143.83560443563715</v>
      </c>
      <c r="T336">
        <f t="shared" si="973"/>
        <v>0.14383560443563714</v>
      </c>
    </row>
    <row r="337" spans="1:20" x14ac:dyDescent="0.25">
      <c r="A337" s="5">
        <v>44256</v>
      </c>
      <c r="B337">
        <v>12.22</v>
      </c>
      <c r="C337">
        <v>14.1099</v>
      </c>
      <c r="D337">
        <v>12.079700000000001</v>
      </c>
      <c r="E337">
        <v>13.5402</v>
      </c>
      <c r="F337">
        <v>620020.86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0.4387745049748798</v>
      </c>
      <c r="Q337">
        <f t="shared" si="970"/>
        <v>272049.34592059924</v>
      </c>
      <c r="R337">
        <f t="shared" si="971"/>
        <v>14433213.833625564</v>
      </c>
      <c r="S337">
        <f t="shared" si="972"/>
        <v>144.33213833625564</v>
      </c>
      <c r="T337">
        <f t="shared" si="973"/>
        <v>0.14433213833625563</v>
      </c>
    </row>
    <row r="338" spans="1:20" x14ac:dyDescent="0.25">
      <c r="A338" s="5">
        <v>44255</v>
      </c>
      <c r="B338">
        <v>12.3385</v>
      </c>
      <c r="C338">
        <v>12.730499999999999</v>
      </c>
      <c r="D338">
        <v>10.9</v>
      </c>
      <c r="E338">
        <v>12.198</v>
      </c>
      <c r="F338">
        <v>593390.18999999994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0.41819175088773647</v>
      </c>
      <c r="Q338">
        <f t="shared" si="970"/>
        <v>248150.88251570659</v>
      </c>
      <c r="R338">
        <f t="shared" si="971"/>
        <v>14161164.487704964</v>
      </c>
      <c r="S338">
        <f t="shared" si="972"/>
        <v>141.61164487704966</v>
      </c>
      <c r="T338">
        <f t="shared" si="973"/>
        <v>0.14161164487704966</v>
      </c>
    </row>
    <row r="339" spans="1:20" x14ac:dyDescent="0.25">
      <c r="A339" s="5">
        <v>44254</v>
      </c>
      <c r="B339">
        <v>12.2111</v>
      </c>
      <c r="C339">
        <v>13.1143</v>
      </c>
      <c r="D339">
        <v>11.765599999999999</v>
      </c>
      <c r="E339">
        <v>12.3497</v>
      </c>
      <c r="F339">
        <v>426302.17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-0.13383257952101907</v>
      </c>
      <c r="Q339">
        <f t="shared" si="970"/>
        <v>-57053.119066507985</v>
      </c>
      <c r="R339">
        <f t="shared" si="971"/>
        <v>13913013.605189258</v>
      </c>
      <c r="S339">
        <f t="shared" si="972"/>
        <v>139.13013605189258</v>
      </c>
      <c r="T339">
        <f t="shared" si="973"/>
        <v>0.13913013605189259</v>
      </c>
    </row>
    <row r="340" spans="1:20" x14ac:dyDescent="0.25">
      <c r="A340" s="5">
        <v>44253</v>
      </c>
      <c r="B340">
        <v>12.358599999999999</v>
      </c>
      <c r="C340">
        <v>13.466900000000001</v>
      </c>
      <c r="D340">
        <v>11.22</v>
      </c>
      <c r="E340">
        <v>12.196199999999999</v>
      </c>
      <c r="F340">
        <v>692982.35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-0.13106947349681911</v>
      </c>
      <c r="Q340">
        <f t="shared" si="970"/>
        <v>-90828.831757088425</v>
      </c>
      <c r="R340">
        <f t="shared" si="971"/>
        <v>13970066.724255767</v>
      </c>
      <c r="S340">
        <f t="shared" si="972"/>
        <v>139.70066724255767</v>
      </c>
      <c r="T340">
        <f t="shared" si="973"/>
        <v>0.13970066724255767</v>
      </c>
    </row>
    <row r="341" spans="1:20" x14ac:dyDescent="0.25">
      <c r="A341" s="5">
        <v>44252</v>
      </c>
      <c r="B341">
        <v>14.0505</v>
      </c>
      <c r="C341">
        <v>14.6812</v>
      </c>
      <c r="D341">
        <v>12.25</v>
      </c>
      <c r="E341">
        <v>12.36</v>
      </c>
      <c r="F341">
        <v>665241.67000000004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-0.90950970714050727</v>
      </c>
      <c r="Q341">
        <f t="shared" si="970"/>
        <v>-605043.75645936199</v>
      </c>
      <c r="R341">
        <f t="shared" si="971"/>
        <v>14060895.556012856</v>
      </c>
      <c r="S341">
        <f t="shared" si="972"/>
        <v>140.60895556012855</v>
      </c>
      <c r="T341">
        <f t="shared" si="973"/>
        <v>0.14060895556012856</v>
      </c>
    </row>
    <row r="342" spans="1:20" x14ac:dyDescent="0.25">
      <c r="A342" s="5">
        <v>44251</v>
      </c>
      <c r="B342">
        <v>13.677899999999999</v>
      </c>
      <c r="C342">
        <v>15.8131</v>
      </c>
      <c r="D342">
        <v>12.1</v>
      </c>
      <c r="E342">
        <v>14.0847</v>
      </c>
      <c r="F342">
        <v>1043563.45</v>
      </c>
      <c r="G342">
        <v>0</v>
      </c>
      <c r="L342" t="s">
        <v>8</v>
      </c>
      <c r="M342" t="s">
        <v>7</v>
      </c>
      <c r="N342" t="s">
        <v>7</v>
      </c>
      <c r="P342">
        <f t="shared" si="969"/>
        <v>6.9025881339042708E-2</v>
      </c>
      <c r="Q342">
        <f t="shared" si="970"/>
        <v>72032.886869462018</v>
      </c>
      <c r="R342">
        <f t="shared" si="971"/>
        <v>14665939.312472219</v>
      </c>
      <c r="S342">
        <f t="shared" si="972"/>
        <v>146.65939312472219</v>
      </c>
      <c r="T342">
        <f t="shared" si="973"/>
        <v>0.14665939312472218</v>
      </c>
    </row>
    <row r="343" spans="1:20" x14ac:dyDescent="0.25">
      <c r="A343" s="5">
        <v>44250</v>
      </c>
      <c r="B343">
        <v>15.718299999999999</v>
      </c>
      <c r="C343">
        <v>15.7753</v>
      </c>
      <c r="D343">
        <v>11.0806</v>
      </c>
      <c r="E343">
        <v>13.6083</v>
      </c>
      <c r="F343">
        <v>1742834.11</v>
      </c>
      <c r="G343">
        <v>0</v>
      </c>
      <c r="L343" t="s">
        <v>7</v>
      </c>
      <c r="M343" t="s">
        <v>8</v>
      </c>
      <c r="N343" t="s">
        <v>7</v>
      </c>
      <c r="P343">
        <f t="shared" si="969"/>
        <v>7.6831320425160207E-2</v>
      </c>
      <c r="Q343">
        <f t="shared" si="970"/>
        <v>133904.24595330891</v>
      </c>
      <c r="R343">
        <f t="shared" si="971"/>
        <v>14593906.425602756</v>
      </c>
      <c r="S343">
        <f t="shared" si="972"/>
        <v>145.93906425602756</v>
      </c>
      <c r="T343">
        <f t="shared" si="973"/>
        <v>0.14593906425602757</v>
      </c>
    </row>
    <row r="344" spans="1:20" x14ac:dyDescent="0.25">
      <c r="A344" s="5">
        <v>44249</v>
      </c>
      <c r="B344">
        <v>14.353199999999999</v>
      </c>
      <c r="C344">
        <v>16.850000000000001</v>
      </c>
      <c r="D344">
        <v>11.432</v>
      </c>
      <c r="E344">
        <v>15.706099999999999</v>
      </c>
      <c r="F344">
        <v>1955283.39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0.57774086378737466</v>
      </c>
      <c r="Q344">
        <f t="shared" si="970"/>
        <v>1129647.1146877061</v>
      </c>
      <c r="R344">
        <f t="shared" si="971"/>
        <v>14460002.179649448</v>
      </c>
      <c r="S344">
        <f t="shared" si="972"/>
        <v>144.60002179649447</v>
      </c>
      <c r="T344">
        <f t="shared" si="973"/>
        <v>0.14460002179649448</v>
      </c>
    </row>
    <row r="345" spans="1:20" x14ac:dyDescent="0.25">
      <c r="A345" s="5">
        <v>44248</v>
      </c>
      <c r="B345">
        <v>14.805899999999999</v>
      </c>
      <c r="C345">
        <v>15.4999</v>
      </c>
      <c r="D345">
        <v>13.8711</v>
      </c>
      <c r="E345">
        <v>14.3568</v>
      </c>
      <c r="F345">
        <v>666866.14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-0.40361001964636595</v>
      </c>
      <c r="Q345">
        <f t="shared" si="970"/>
        <v>-269153.85586689622</v>
      </c>
      <c r="R345">
        <f t="shared" si="971"/>
        <v>13330355.064961743</v>
      </c>
      <c r="S345">
        <f t="shared" si="972"/>
        <v>133.30355064961742</v>
      </c>
      <c r="T345">
        <f t="shared" si="973"/>
        <v>0.13330355064961741</v>
      </c>
    </row>
    <row r="346" spans="1:20" x14ac:dyDescent="0.25">
      <c r="A346" s="5">
        <v>44247</v>
      </c>
      <c r="B346">
        <v>16.976400000000002</v>
      </c>
      <c r="C346">
        <v>16.9999</v>
      </c>
      <c r="D346">
        <v>13.9511</v>
      </c>
      <c r="E346">
        <v>14.7804</v>
      </c>
      <c r="F346">
        <v>805852.54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-0.45598268171083711</v>
      </c>
      <c r="Q346">
        <f t="shared" si="970"/>
        <v>-367454.80225268967</v>
      </c>
      <c r="R346">
        <f t="shared" si="971"/>
        <v>13599508.920828639</v>
      </c>
      <c r="S346">
        <f t="shared" si="972"/>
        <v>135.99508920828637</v>
      </c>
      <c r="T346">
        <f t="shared" si="973"/>
        <v>0.13599508920828637</v>
      </c>
    </row>
    <row r="347" spans="1:20" x14ac:dyDescent="0.25">
      <c r="A347" s="5">
        <v>44246</v>
      </c>
      <c r="B347">
        <v>15.9275</v>
      </c>
      <c r="C347">
        <v>18.149999999999999</v>
      </c>
      <c r="D347">
        <v>15.27</v>
      </c>
      <c r="E347">
        <v>16.970400000000001</v>
      </c>
      <c r="F347">
        <v>1154892.8500000001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0.18083333333333507</v>
      </c>
      <c r="Q347">
        <f t="shared" si="970"/>
        <v>208843.12370833536</v>
      </c>
      <c r="R347">
        <f t="shared" si="971"/>
        <v>13966963.723081328</v>
      </c>
      <c r="S347">
        <f t="shared" si="972"/>
        <v>139.66963723081329</v>
      </c>
      <c r="T347">
        <f t="shared" si="973"/>
        <v>0.1396696372308133</v>
      </c>
    </row>
    <row r="348" spans="1:20" x14ac:dyDescent="0.25">
      <c r="A348" s="5">
        <v>44245</v>
      </c>
      <c r="B348">
        <v>14.217700000000001</v>
      </c>
      <c r="C348">
        <v>15.948</v>
      </c>
      <c r="D348">
        <v>14.0722</v>
      </c>
      <c r="E348">
        <v>15.905200000000001</v>
      </c>
      <c r="F348">
        <v>881288.67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0.95436613711483131</v>
      </c>
      <c r="Q348">
        <f t="shared" si="970"/>
        <v>841072.06367096736</v>
      </c>
      <c r="R348">
        <f t="shared" si="971"/>
        <v>13758120.599372992</v>
      </c>
      <c r="S348">
        <f t="shared" si="972"/>
        <v>137.58120599372992</v>
      </c>
      <c r="T348">
        <f t="shared" si="973"/>
        <v>0.13758120599372992</v>
      </c>
    </row>
    <row r="349" spans="1:20" x14ac:dyDescent="0.25">
      <c r="A349" s="5">
        <v>44244</v>
      </c>
      <c r="B349">
        <v>13.429500000000001</v>
      </c>
      <c r="C349">
        <v>15.1974</v>
      </c>
      <c r="D349">
        <v>12.355</v>
      </c>
      <c r="E349">
        <v>14.2332</v>
      </c>
      <c r="F349">
        <v>856308.5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0.32155924570785244</v>
      </c>
      <c r="Q349">
        <f t="shared" si="970"/>
        <v>275353.91535322258</v>
      </c>
      <c r="R349">
        <f t="shared" si="971"/>
        <v>12917048.535702026</v>
      </c>
      <c r="S349">
        <f t="shared" si="972"/>
        <v>129.17048535702025</v>
      </c>
      <c r="T349">
        <f t="shared" si="973"/>
        <v>0.12917048535702025</v>
      </c>
    </row>
    <row r="350" spans="1:20" x14ac:dyDescent="0.25">
      <c r="A350" s="5">
        <v>44243</v>
      </c>
      <c r="B350">
        <v>13.3469</v>
      </c>
      <c r="C350">
        <v>14.298</v>
      </c>
      <c r="D350">
        <v>12.7501</v>
      </c>
      <c r="E350">
        <v>13.412100000000001</v>
      </c>
      <c r="F350">
        <v>588893.23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-0.14464758705342634</v>
      </c>
      <c r="Q350">
        <f t="shared" si="970"/>
        <v>-85181.984751598415</v>
      </c>
      <c r="R350">
        <f t="shared" si="971"/>
        <v>12641694.620348804</v>
      </c>
      <c r="S350">
        <f t="shared" si="972"/>
        <v>126.41694620348804</v>
      </c>
      <c r="T350">
        <f t="shared" si="973"/>
        <v>0.12641694620348803</v>
      </c>
    </row>
    <row r="351" spans="1:20" x14ac:dyDescent="0.25">
      <c r="A351" s="5">
        <v>44242</v>
      </c>
      <c r="B351">
        <v>14.8971</v>
      </c>
      <c r="C351">
        <v>15.0444</v>
      </c>
      <c r="D351">
        <v>12.27</v>
      </c>
      <c r="E351">
        <v>13.3467</v>
      </c>
      <c r="F351">
        <v>1016480.44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-0.22383217993079538</v>
      </c>
      <c r="Q351">
        <f t="shared" si="970"/>
        <v>-227521.03274221404</v>
      </c>
      <c r="R351">
        <f t="shared" si="971"/>
        <v>12726876.605100403</v>
      </c>
      <c r="S351">
        <f t="shared" si="972"/>
        <v>127.26876605100402</v>
      </c>
      <c r="T351">
        <f t="shared" si="973"/>
        <v>0.12726876605100401</v>
      </c>
    </row>
    <row r="352" spans="1:20" x14ac:dyDescent="0.25">
      <c r="A352" s="5">
        <v>44241</v>
      </c>
      <c r="B352">
        <v>15.697699999999999</v>
      </c>
      <c r="C352">
        <v>16.810500000000001</v>
      </c>
      <c r="D352">
        <v>14.8376</v>
      </c>
      <c r="E352">
        <v>14.8971</v>
      </c>
      <c r="F352">
        <v>788751.35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-0.93968270059303582</v>
      </c>
      <c r="Q352">
        <f t="shared" si="970"/>
        <v>-741175.99866440275</v>
      </c>
      <c r="R352">
        <f t="shared" si="971"/>
        <v>12954397.637842616</v>
      </c>
      <c r="S352">
        <f t="shared" si="972"/>
        <v>129.54397637842615</v>
      </c>
      <c r="T352">
        <f t="shared" si="973"/>
        <v>0.12954397637842616</v>
      </c>
    </row>
    <row r="353" spans="1:20" x14ac:dyDescent="0.25">
      <c r="A353" s="5">
        <v>44240</v>
      </c>
      <c r="B353">
        <v>15.345700000000001</v>
      </c>
      <c r="C353">
        <v>17.350000000000001</v>
      </c>
      <c r="D353">
        <v>14.72</v>
      </c>
      <c r="E353">
        <v>15.697900000000001</v>
      </c>
      <c r="F353">
        <v>865744.67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-0.25634980988593181</v>
      </c>
      <c r="Q353">
        <f t="shared" si="970"/>
        <v>-221933.48156425878</v>
      </c>
      <c r="R353">
        <f t="shared" si="971"/>
        <v>13695573.636507019</v>
      </c>
      <c r="S353">
        <f t="shared" si="972"/>
        <v>136.95573636507018</v>
      </c>
      <c r="T353">
        <f t="shared" si="973"/>
        <v>0.13695573636507019</v>
      </c>
    </row>
    <row r="354" spans="1:20" x14ac:dyDescent="0.25">
      <c r="A354" s="5">
        <v>44239</v>
      </c>
      <c r="B354">
        <v>15.0876</v>
      </c>
      <c r="C354">
        <v>16.3</v>
      </c>
      <c r="D354">
        <v>15</v>
      </c>
      <c r="E354">
        <v>15.308999999999999</v>
      </c>
      <c r="F354">
        <v>748503.36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-0.52461538461538604</v>
      </c>
      <c r="Q354">
        <f t="shared" si="970"/>
        <v>-392676.37809230876</v>
      </c>
      <c r="R354">
        <f t="shared" si="971"/>
        <v>13917507.118071279</v>
      </c>
      <c r="S354">
        <f t="shared" si="972"/>
        <v>139.17507118071279</v>
      </c>
      <c r="T354">
        <f t="shared" si="973"/>
        <v>0.13917507118071279</v>
      </c>
    </row>
    <row r="355" spans="1:20" x14ac:dyDescent="0.25">
      <c r="A355" s="5">
        <v>44238</v>
      </c>
      <c r="B355">
        <v>14.358499999999999</v>
      </c>
      <c r="C355">
        <v>15.72</v>
      </c>
      <c r="D355">
        <v>13.839600000000001</v>
      </c>
      <c r="E355">
        <v>15.1081</v>
      </c>
      <c r="F355">
        <v>849881.68</v>
      </c>
      <c r="G355">
        <v>0</v>
      </c>
      <c r="L355" t="s">
        <v>8</v>
      </c>
      <c r="M355" t="s">
        <v>7</v>
      </c>
      <c r="N355" t="s">
        <v>8</v>
      </c>
      <c r="P355">
        <f t="shared" si="969"/>
        <v>0.34918102531376261</v>
      </c>
      <c r="Q355">
        <f t="shared" si="970"/>
        <v>296762.55641778308</v>
      </c>
      <c r="R355">
        <f t="shared" si="971"/>
        <v>14310183.496163588</v>
      </c>
      <c r="S355">
        <f t="shared" si="972"/>
        <v>143.10183496163589</v>
      </c>
      <c r="T355">
        <f t="shared" si="973"/>
        <v>0.14310183496163589</v>
      </c>
    </row>
    <row r="356" spans="1:20" x14ac:dyDescent="0.25">
      <c r="A356" s="5">
        <v>44237</v>
      </c>
      <c r="B356">
        <v>15.6943</v>
      </c>
      <c r="C356">
        <v>16.041599999999999</v>
      </c>
      <c r="D356">
        <v>13.4</v>
      </c>
      <c r="E356">
        <v>14.375400000000001</v>
      </c>
      <c r="F356">
        <v>1297120.73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-0.26150817686250682</v>
      </c>
      <c r="Q356">
        <f t="shared" si="970"/>
        <v>-339207.67727286398</v>
      </c>
      <c r="R356">
        <f t="shared" si="971"/>
        <v>14013420.939745804</v>
      </c>
      <c r="S356">
        <f t="shared" si="972"/>
        <v>140.13420939745805</v>
      </c>
      <c r="T356">
        <f t="shared" si="973"/>
        <v>0.14013420939745805</v>
      </c>
    </row>
    <row r="357" spans="1:20" x14ac:dyDescent="0.25">
      <c r="A357" s="5">
        <v>44236</v>
      </c>
      <c r="B357">
        <v>13.7553</v>
      </c>
      <c r="C357">
        <v>16.82</v>
      </c>
      <c r="D357">
        <v>13.2128</v>
      </c>
      <c r="E357">
        <v>15.6989</v>
      </c>
      <c r="F357">
        <v>2517423.7200000002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0.37840984697272123</v>
      </c>
      <c r="Q357">
        <f t="shared" si="970"/>
        <v>952617.92465069867</v>
      </c>
      <c r="R357">
        <f t="shared" si="971"/>
        <v>14352628.617018668</v>
      </c>
      <c r="S357">
        <f t="shared" si="972"/>
        <v>143.52628617018669</v>
      </c>
      <c r="T357">
        <f t="shared" si="973"/>
        <v>0.1435262861701867</v>
      </c>
    </row>
    <row r="358" spans="1:20" x14ac:dyDescent="0.25">
      <c r="A358" s="5">
        <v>44235</v>
      </c>
      <c r="B358">
        <v>11.518599999999999</v>
      </c>
      <c r="C358">
        <v>13.855</v>
      </c>
      <c r="D358">
        <v>11.0449</v>
      </c>
      <c r="E358">
        <v>13.755100000000001</v>
      </c>
      <c r="F358">
        <v>1200952.18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0.92889932742607029</v>
      </c>
      <c r="Q358">
        <f t="shared" si="970"/>
        <v>1115563.6722728729</v>
      </c>
      <c r="R358">
        <f t="shared" si="971"/>
        <v>13400010.692367969</v>
      </c>
      <c r="S358">
        <f t="shared" si="972"/>
        <v>134.00010692367968</v>
      </c>
      <c r="T358">
        <f t="shared" si="973"/>
        <v>0.13400010692367967</v>
      </c>
    </row>
    <row r="359" spans="1:20" x14ac:dyDescent="0.25">
      <c r="A359" s="5">
        <v>44234</v>
      </c>
      <c r="B359">
        <v>11.2498</v>
      </c>
      <c r="C359">
        <v>11.92</v>
      </c>
      <c r="D359">
        <v>9.9600000000000009</v>
      </c>
      <c r="E359">
        <v>11.495100000000001</v>
      </c>
      <c r="F359">
        <v>793723.45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0.56642857142857206</v>
      </c>
      <c r="Q359">
        <f t="shared" si="970"/>
        <v>449587.63989285764</v>
      </c>
      <c r="R359">
        <f t="shared" si="971"/>
        <v>12284447.020095097</v>
      </c>
      <c r="S359">
        <f t="shared" si="972"/>
        <v>122.84447020095097</v>
      </c>
      <c r="T359">
        <f t="shared" si="973"/>
        <v>0.12284447020095096</v>
      </c>
    </row>
    <row r="360" spans="1:20" x14ac:dyDescent="0.25">
      <c r="A360" s="5">
        <v>44233</v>
      </c>
      <c r="B360">
        <v>12.38</v>
      </c>
      <c r="C360">
        <v>12.499599999999999</v>
      </c>
      <c r="D360">
        <v>10.876300000000001</v>
      </c>
      <c r="E360">
        <v>11.2499</v>
      </c>
      <c r="F360">
        <v>1267050.6599999999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-0.5397030739850921</v>
      </c>
      <c r="Q360">
        <f t="shared" si="970"/>
        <v>-683831.13609683968</v>
      </c>
      <c r="R360">
        <f t="shared" si="971"/>
        <v>11834859.380202239</v>
      </c>
      <c r="S360">
        <f t="shared" si="972"/>
        <v>118.34859380202239</v>
      </c>
      <c r="T360">
        <f t="shared" si="973"/>
        <v>0.11834859380202239</v>
      </c>
    </row>
    <row r="361" spans="1:20" x14ac:dyDescent="0.25">
      <c r="A361" s="5">
        <v>44232</v>
      </c>
      <c r="B361">
        <v>12.7517</v>
      </c>
      <c r="C361">
        <v>13.95</v>
      </c>
      <c r="D361">
        <v>11.79</v>
      </c>
      <c r="E361">
        <v>12.3725</v>
      </c>
      <c r="F361">
        <v>1020153.59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-0.46064814814814692</v>
      </c>
      <c r="Q361">
        <f t="shared" si="970"/>
        <v>-469931.86206018389</v>
      </c>
      <c r="R361">
        <f t="shared" si="971"/>
        <v>12518690.516299078</v>
      </c>
      <c r="S361">
        <f t="shared" si="972"/>
        <v>125.18690516299078</v>
      </c>
      <c r="T361">
        <f t="shared" si="973"/>
        <v>0.12518690516299077</v>
      </c>
    </row>
    <row r="362" spans="1:20" x14ac:dyDescent="0.25">
      <c r="A362" s="5">
        <v>44231</v>
      </c>
      <c r="B362">
        <v>11.3363</v>
      </c>
      <c r="C362">
        <v>13.5</v>
      </c>
      <c r="D362">
        <v>11.121499999999999</v>
      </c>
      <c r="E362">
        <v>12.7387</v>
      </c>
      <c r="F362">
        <v>1257427.53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0.35984864410342648</v>
      </c>
      <c r="Q362">
        <f t="shared" si="970"/>
        <v>452483.59172882064</v>
      </c>
      <c r="R362">
        <f t="shared" si="971"/>
        <v>12988622.378359262</v>
      </c>
      <c r="S362">
        <f t="shared" si="972"/>
        <v>129.88622378359261</v>
      </c>
      <c r="T362">
        <f t="shared" si="973"/>
        <v>0.1298862237835926</v>
      </c>
    </row>
    <row r="363" spans="1:20" x14ac:dyDescent="0.25">
      <c r="A363" s="5">
        <v>44230</v>
      </c>
      <c r="B363">
        <v>11.5198</v>
      </c>
      <c r="C363">
        <v>11.9499</v>
      </c>
      <c r="D363">
        <v>10.9238</v>
      </c>
      <c r="E363">
        <v>11.3393</v>
      </c>
      <c r="F363">
        <v>876076.48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-0.19013741350745555</v>
      </c>
      <c r="Q363">
        <f t="shared" si="970"/>
        <v>-166574.91594191612</v>
      </c>
      <c r="R363">
        <f t="shared" si="971"/>
        <v>12536138.786630441</v>
      </c>
      <c r="S363">
        <f t="shared" si="972"/>
        <v>125.36138786630441</v>
      </c>
      <c r="T363">
        <f t="shared" si="973"/>
        <v>0.12536138786630441</v>
      </c>
    </row>
    <row r="364" spans="1:20" x14ac:dyDescent="0.25">
      <c r="A364" s="5">
        <v>44229</v>
      </c>
      <c r="B364">
        <v>10.408200000000001</v>
      </c>
      <c r="C364">
        <v>11.998799999999999</v>
      </c>
      <c r="D364">
        <v>9.8515999999999995</v>
      </c>
      <c r="E364">
        <v>11.5025</v>
      </c>
      <c r="F364">
        <v>1190497.81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0.53772354694485858</v>
      </c>
      <c r="Q364">
        <f t="shared" si="970"/>
        <v>640158.7050232864</v>
      </c>
      <c r="R364">
        <f t="shared" si="971"/>
        <v>12702713.702572357</v>
      </c>
      <c r="S364">
        <f t="shared" si="972"/>
        <v>127.02713702572358</v>
      </c>
      <c r="T364">
        <f t="shared" si="973"/>
        <v>0.12702713702572357</v>
      </c>
    </row>
    <row r="365" spans="1:20" x14ac:dyDescent="0.25">
      <c r="A365" s="5">
        <v>44228</v>
      </c>
      <c r="B365">
        <v>9.5000999999999998</v>
      </c>
      <c r="C365">
        <v>10.79</v>
      </c>
      <c r="D365">
        <v>8.8000000000000007</v>
      </c>
      <c r="E365">
        <v>10.406700000000001</v>
      </c>
      <c r="F365">
        <v>1612127.37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0.61477386934673495</v>
      </c>
      <c r="Q365">
        <f t="shared" si="970"/>
        <v>991093.78113467549</v>
      </c>
      <c r="R365">
        <f t="shared" si="971"/>
        <v>12062554.99754907</v>
      </c>
      <c r="S365">
        <f t="shared" si="972"/>
        <v>120.6255499754907</v>
      </c>
      <c r="T365">
        <f t="shared" si="973"/>
        <v>0.1206255499754907</v>
      </c>
    </row>
    <row r="366" spans="1:20" x14ac:dyDescent="0.25">
      <c r="A366" s="5">
        <v>44227</v>
      </c>
      <c r="B366">
        <v>9.4632000000000005</v>
      </c>
      <c r="C366">
        <v>9.73</v>
      </c>
      <c r="D366">
        <v>8.0572999999999997</v>
      </c>
      <c r="E366">
        <v>9.5066000000000006</v>
      </c>
      <c r="F366">
        <v>1074816.2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0.73288694924373798</v>
      </c>
      <c r="Q366">
        <f t="shared" si="970"/>
        <v>787718.76581574732</v>
      </c>
      <c r="R366">
        <f t="shared" si="971"/>
        <v>11071461.216414394</v>
      </c>
      <c r="S366">
        <f t="shared" si="972"/>
        <v>110.71461216414394</v>
      </c>
      <c r="T366">
        <f t="shared" si="973"/>
        <v>0.11071461216414394</v>
      </c>
    </row>
    <row r="367" spans="1:20" x14ac:dyDescent="0.25">
      <c r="A367" s="5">
        <v>44226</v>
      </c>
      <c r="B367">
        <v>8.0449999999999999</v>
      </c>
      <c r="C367">
        <v>9.99</v>
      </c>
      <c r="D367">
        <v>7.8307000000000002</v>
      </c>
      <c r="E367">
        <v>9.4878</v>
      </c>
      <c r="F367">
        <v>2337189.75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0.5348492567035612</v>
      </c>
      <c r="Q367">
        <f t="shared" si="970"/>
        <v>1250044.200562682</v>
      </c>
      <c r="R367">
        <f t="shared" si="971"/>
        <v>10283742.450598646</v>
      </c>
      <c r="S367">
        <f t="shared" si="972"/>
        <v>102.83742450598646</v>
      </c>
      <c r="T367">
        <f t="shared" si="973"/>
        <v>0.10283742450598646</v>
      </c>
    </row>
    <row r="368" spans="1:20" x14ac:dyDescent="0.25">
      <c r="A368" s="5">
        <v>44225</v>
      </c>
      <c r="B368">
        <v>8.3331</v>
      </c>
      <c r="C368">
        <v>8.4124999999999996</v>
      </c>
      <c r="D368">
        <v>7.5163000000000002</v>
      </c>
      <c r="E368">
        <v>8.0449999999999999</v>
      </c>
      <c r="F368">
        <v>1064908.6599999999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0.17987056460611484</v>
      </c>
      <c r="Q368">
        <f t="shared" si="970"/>
        <v>191545.72192814117</v>
      </c>
      <c r="R368">
        <f t="shared" si="971"/>
        <v>9033698.250035964</v>
      </c>
      <c r="S368">
        <f t="shared" si="972"/>
        <v>90.336982500359639</v>
      </c>
      <c r="T368">
        <f t="shared" si="973"/>
        <v>9.0336982500359639E-2</v>
      </c>
    </row>
    <row r="369" spans="1:20" x14ac:dyDescent="0.25">
      <c r="A369" s="5">
        <v>44224</v>
      </c>
      <c r="B369">
        <v>7.4606000000000003</v>
      </c>
      <c r="C369">
        <v>8.7590000000000003</v>
      </c>
      <c r="D369">
        <v>7.2221000000000002</v>
      </c>
      <c r="E369">
        <v>8.2984000000000009</v>
      </c>
      <c r="F369">
        <v>1001033.17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0.40061162079510781</v>
      </c>
      <c r="Q369">
        <f t="shared" si="970"/>
        <v>401025.52070336469</v>
      </c>
      <c r="R369">
        <f t="shared" si="971"/>
        <v>8842152.5281078219</v>
      </c>
      <c r="S369">
        <f t="shared" si="972"/>
        <v>88.421525281078218</v>
      </c>
      <c r="T369">
        <f t="shared" si="973"/>
        <v>8.8421525281078217E-2</v>
      </c>
    </row>
    <row r="370" spans="1:20" x14ac:dyDescent="0.25">
      <c r="A370" s="5">
        <v>44223</v>
      </c>
      <c r="B370">
        <v>8.3196999999999992</v>
      </c>
      <c r="C370">
        <v>8.4334000000000007</v>
      </c>
      <c r="D370">
        <v>7.1802000000000001</v>
      </c>
      <c r="E370">
        <v>7.4606000000000003</v>
      </c>
      <c r="F370">
        <v>987591.53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-0.55250558570060626</v>
      </c>
      <c r="Q370">
        <f t="shared" si="970"/>
        <v>-545649.8367156079</v>
      </c>
      <c r="R370">
        <f t="shared" si="971"/>
        <v>8441127.0074044578</v>
      </c>
      <c r="S370">
        <f t="shared" si="972"/>
        <v>84.41127007404458</v>
      </c>
      <c r="T370">
        <f t="shared" si="973"/>
        <v>8.4411270074044586E-2</v>
      </c>
    </row>
    <row r="371" spans="1:20" x14ac:dyDescent="0.25">
      <c r="A371" s="5">
        <v>44222</v>
      </c>
      <c r="B371">
        <v>8.4472000000000005</v>
      </c>
      <c r="C371">
        <v>8.9541000000000004</v>
      </c>
      <c r="D371">
        <v>7.5</v>
      </c>
      <c r="E371">
        <v>8.3283000000000005</v>
      </c>
      <c r="F371">
        <v>1113981.04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0.1392613988033839</v>
      </c>
      <c r="Q371">
        <f t="shared" si="970"/>
        <v>155134.55787084837</v>
      </c>
      <c r="R371">
        <f t="shared" si="971"/>
        <v>8986776.8441200666</v>
      </c>
      <c r="S371">
        <f t="shared" si="972"/>
        <v>89.867768441200667</v>
      </c>
      <c r="T371">
        <f t="shared" si="973"/>
        <v>8.9867768441200674E-2</v>
      </c>
    </row>
    <row r="372" spans="1:20" x14ac:dyDescent="0.25">
      <c r="A372" s="5">
        <v>44221</v>
      </c>
      <c r="B372">
        <v>8.7929999999999993</v>
      </c>
      <c r="C372">
        <v>9.3000000000000007</v>
      </c>
      <c r="D372">
        <v>8.0219000000000005</v>
      </c>
      <c r="E372">
        <v>8.4235000000000007</v>
      </c>
      <c r="F372">
        <v>872246.43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-0.37156717001799527</v>
      </c>
      <c r="Q372">
        <f t="shared" si="970"/>
        <v>-324098.13755339943</v>
      </c>
      <c r="R372">
        <f t="shared" si="971"/>
        <v>8831642.2862492185</v>
      </c>
      <c r="S372">
        <f t="shared" si="972"/>
        <v>88.316422862492189</v>
      </c>
      <c r="T372">
        <f t="shared" si="973"/>
        <v>8.8316422862492194E-2</v>
      </c>
    </row>
    <row r="373" spans="1:20" x14ac:dyDescent="0.25">
      <c r="A373" s="5">
        <v>44220</v>
      </c>
      <c r="B373">
        <v>8.4390999999999998</v>
      </c>
      <c r="C373">
        <v>9.1999999999999993</v>
      </c>
      <c r="D373">
        <v>8.0962999999999994</v>
      </c>
      <c r="E373">
        <v>8.7919999999999998</v>
      </c>
      <c r="F373">
        <v>712997.02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0.26066865996194705</v>
      </c>
      <c r="Q373">
        <f t="shared" si="970"/>
        <v>185855.97776026156</v>
      </c>
      <c r="R373">
        <f t="shared" si="971"/>
        <v>9155740.4238026179</v>
      </c>
      <c r="S373">
        <f t="shared" si="972"/>
        <v>91.55740423802618</v>
      </c>
      <c r="T373">
        <f t="shared" si="973"/>
        <v>9.1557404238026177E-2</v>
      </c>
    </row>
    <row r="374" spans="1:20" x14ac:dyDescent="0.25">
      <c r="A374" s="5">
        <v>44219</v>
      </c>
      <c r="B374">
        <v>8.8419000000000008</v>
      </c>
      <c r="C374">
        <v>9.3000000000000007</v>
      </c>
      <c r="D374">
        <v>8.3674999999999997</v>
      </c>
      <c r="E374">
        <v>8.4208999999999996</v>
      </c>
      <c r="F374">
        <v>833254.36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-0.88546916890080463</v>
      </c>
      <c r="Q374">
        <f t="shared" si="970"/>
        <v>-737821.04563217179</v>
      </c>
      <c r="R374">
        <f t="shared" si="971"/>
        <v>8969884.446042357</v>
      </c>
      <c r="S374">
        <f t="shared" si="972"/>
        <v>89.698844460423572</v>
      </c>
      <c r="T374">
        <f t="shared" si="973"/>
        <v>8.9698844460423574E-2</v>
      </c>
    </row>
    <row r="375" spans="1:20" x14ac:dyDescent="0.25">
      <c r="A375" s="5">
        <v>44218</v>
      </c>
      <c r="B375">
        <v>7.0111999999999997</v>
      </c>
      <c r="C375">
        <v>9.4499999999999993</v>
      </c>
      <c r="D375">
        <v>6.63</v>
      </c>
      <c r="E375">
        <v>8.8427000000000007</v>
      </c>
      <c r="F375">
        <v>1788933.77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0.56929078014184487</v>
      </c>
      <c r="Q375">
        <f t="shared" si="970"/>
        <v>1018423.5015453916</v>
      </c>
      <c r="R375">
        <f t="shared" si="971"/>
        <v>9707705.4916745294</v>
      </c>
      <c r="S375">
        <f t="shared" si="972"/>
        <v>97.077054916745297</v>
      </c>
      <c r="T375">
        <f t="shared" si="973"/>
        <v>9.7077054916745301E-2</v>
      </c>
    </row>
    <row r="376" spans="1:20" x14ac:dyDescent="0.25">
      <c r="A376" s="5">
        <v>44217</v>
      </c>
      <c r="B376">
        <v>8.4971999999999994</v>
      </c>
      <c r="C376">
        <v>8.5146999999999995</v>
      </c>
      <c r="D376">
        <v>7.01</v>
      </c>
      <c r="E376">
        <v>7.0437000000000003</v>
      </c>
      <c r="F376">
        <v>1291033.06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-0.95520701801023389</v>
      </c>
      <c r="Q376">
        <f t="shared" si="970"/>
        <v>-1233203.8393952274</v>
      </c>
      <c r="R376">
        <f t="shared" si="971"/>
        <v>8689281.9901291374</v>
      </c>
      <c r="S376">
        <f t="shared" si="972"/>
        <v>86.892819901291375</v>
      </c>
      <c r="T376">
        <f t="shared" si="973"/>
        <v>8.6892819901291371E-2</v>
      </c>
    </row>
    <row r="377" spans="1:20" x14ac:dyDescent="0.25">
      <c r="A377" s="5">
        <v>44216</v>
      </c>
      <c r="B377">
        <v>8.65</v>
      </c>
      <c r="C377">
        <v>9.3000000000000007</v>
      </c>
      <c r="D377">
        <v>7.7611999999999997</v>
      </c>
      <c r="E377">
        <v>8.5127000000000006</v>
      </c>
      <c r="F377">
        <v>1599171.6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-2.3264881726019718E-2</v>
      </c>
      <c r="Q377">
        <f t="shared" si="970"/>
        <v>-37204.538133609713</v>
      </c>
      <c r="R377">
        <f t="shared" si="971"/>
        <v>9922485.8295243643</v>
      </c>
      <c r="S377">
        <f t="shared" si="972"/>
        <v>99.224858295243649</v>
      </c>
      <c r="T377">
        <f t="shared" si="973"/>
        <v>9.9224858295243648E-2</v>
      </c>
    </row>
    <row r="378" spans="1:20" x14ac:dyDescent="0.25">
      <c r="A378" s="5">
        <v>44215</v>
      </c>
      <c r="B378">
        <v>7.2389000000000001</v>
      </c>
      <c r="C378">
        <v>11.2</v>
      </c>
      <c r="D378">
        <v>6.95</v>
      </c>
      <c r="E378">
        <v>8.6483000000000008</v>
      </c>
      <c r="F378">
        <v>5101759.41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-0.20079999999999956</v>
      </c>
      <c r="Q378">
        <f t="shared" si="970"/>
        <v>-1024433.2895279978</v>
      </c>
      <c r="R378">
        <f t="shared" si="971"/>
        <v>9959690.3676579744</v>
      </c>
      <c r="S378">
        <f t="shared" si="972"/>
        <v>99.596903676579743</v>
      </c>
      <c r="T378">
        <f t="shared" si="973"/>
        <v>9.9596903676579737E-2</v>
      </c>
    </row>
    <row r="379" spans="1:20" x14ac:dyDescent="0.25">
      <c r="A379" s="5">
        <v>44214</v>
      </c>
      <c r="B379">
        <v>6.1788999999999996</v>
      </c>
      <c r="C379">
        <v>7.52</v>
      </c>
      <c r="D379">
        <v>6.1414</v>
      </c>
      <c r="E379">
        <v>7.2256</v>
      </c>
      <c r="F379">
        <v>1282159.79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0.57290004352241453</v>
      </c>
      <c r="Q379">
        <f t="shared" si="970"/>
        <v>734549.39949368988</v>
      </c>
      <c r="R379">
        <f t="shared" si="971"/>
        <v>10984123.657185972</v>
      </c>
      <c r="S379">
        <f t="shared" si="972"/>
        <v>109.84123657185972</v>
      </c>
      <c r="T379">
        <f t="shared" si="973"/>
        <v>0.10984123657185972</v>
      </c>
    </row>
    <row r="380" spans="1:20" x14ac:dyDescent="0.25">
      <c r="A380" s="5">
        <v>44213</v>
      </c>
      <c r="B380">
        <v>6.2015000000000002</v>
      </c>
      <c r="C380">
        <v>6.4583000000000004</v>
      </c>
      <c r="D380">
        <v>5.85</v>
      </c>
      <c r="E380">
        <v>6.1786000000000003</v>
      </c>
      <c r="F380">
        <v>604324.4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8.0387966463916743E-2</v>
      </c>
      <c r="Q380">
        <f t="shared" si="970"/>
        <v>48580.409600526611</v>
      </c>
      <c r="R380">
        <f t="shared" si="971"/>
        <v>10249574.257692281</v>
      </c>
      <c r="S380">
        <f t="shared" si="972"/>
        <v>102.49574257692281</v>
      </c>
      <c r="T380">
        <f t="shared" si="973"/>
        <v>0.1024957425769228</v>
      </c>
    </row>
    <row r="381" spans="1:20" x14ac:dyDescent="0.25">
      <c r="A381" s="5">
        <v>44212</v>
      </c>
      <c r="B381">
        <v>6.4237000000000002</v>
      </c>
      <c r="C381">
        <v>6.6266999999999996</v>
      </c>
      <c r="D381">
        <v>6.0153999999999996</v>
      </c>
      <c r="E381">
        <v>6.2096999999999998</v>
      </c>
      <c r="F381">
        <v>825260.23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-0.36430557827580518</v>
      </c>
      <c r="Q381">
        <f t="shared" si="970"/>
        <v>-300646.90531817399</v>
      </c>
      <c r="R381">
        <f t="shared" si="971"/>
        <v>10200993.848091755</v>
      </c>
      <c r="S381">
        <f t="shared" si="972"/>
        <v>102.00993848091755</v>
      </c>
      <c r="T381">
        <f t="shared" si="973"/>
        <v>0.10200993848091755</v>
      </c>
    </row>
    <row r="382" spans="1:20" x14ac:dyDescent="0.25">
      <c r="A382" s="5">
        <v>44211</v>
      </c>
      <c r="B382">
        <v>6.7489999999999997</v>
      </c>
      <c r="C382">
        <v>6.7504999999999997</v>
      </c>
      <c r="D382">
        <v>5.2073999999999998</v>
      </c>
      <c r="E382">
        <v>6.4146999999999998</v>
      </c>
      <c r="F382">
        <v>1357848.22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0.56477221178147896</v>
      </c>
      <c r="Q382">
        <f t="shared" si="970"/>
        <v>766874.94247294427</v>
      </c>
      <c r="R382">
        <f t="shared" si="971"/>
        <v>10501640.75340993</v>
      </c>
      <c r="S382">
        <f t="shared" si="972"/>
        <v>105.0164075340993</v>
      </c>
      <c r="T382">
        <f t="shared" si="973"/>
        <v>0.1050164075340993</v>
      </c>
    </row>
    <row r="383" spans="1:20" x14ac:dyDescent="0.25">
      <c r="A383" s="5">
        <v>44210</v>
      </c>
      <c r="B383">
        <v>5.4922000000000004</v>
      </c>
      <c r="C383">
        <v>6.95</v>
      </c>
      <c r="D383">
        <v>5.4711999999999996</v>
      </c>
      <c r="E383">
        <v>6.74</v>
      </c>
      <c r="F383">
        <v>1923595.29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0.71598593454152026</v>
      </c>
      <c r="Q383">
        <f t="shared" si="970"/>
        <v>1377267.1713903167</v>
      </c>
      <c r="R383">
        <f t="shared" si="971"/>
        <v>9734765.8109369855</v>
      </c>
      <c r="S383">
        <f t="shared" si="972"/>
        <v>97.34765810936986</v>
      </c>
      <c r="T383">
        <f t="shared" si="973"/>
        <v>9.7347658109369864E-2</v>
      </c>
    </row>
    <row r="384" spans="1:20" x14ac:dyDescent="0.25">
      <c r="A384" s="5">
        <v>44209</v>
      </c>
      <c r="B384">
        <v>4.8838999999999997</v>
      </c>
      <c r="C384">
        <v>5.8529999999999998</v>
      </c>
      <c r="D384">
        <v>4.8498000000000001</v>
      </c>
      <c r="E384">
        <v>5.4922000000000004</v>
      </c>
      <c r="F384">
        <v>3233387.56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0.28070175438596595</v>
      </c>
      <c r="Q384">
        <f t="shared" si="970"/>
        <v>907617.56070175779</v>
      </c>
      <c r="R384">
        <f t="shared" si="971"/>
        <v>8357498.6395466691</v>
      </c>
      <c r="S384">
        <f t="shared" si="972"/>
        <v>83.574986395466695</v>
      </c>
      <c r="T384">
        <f t="shared" si="973"/>
        <v>8.3574986395466691E-2</v>
      </c>
    </row>
    <row r="385" spans="1:20" x14ac:dyDescent="0.25">
      <c r="A385" s="5">
        <v>44208</v>
      </c>
      <c r="B385">
        <v>4.4302999999999999</v>
      </c>
      <c r="C385">
        <v>5.0339999999999998</v>
      </c>
      <c r="D385">
        <v>4.2709999999999999</v>
      </c>
      <c r="E385">
        <v>4.8838999999999997</v>
      </c>
      <c r="F385">
        <v>1096350.05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0.60655307994757501</v>
      </c>
      <c r="Q385">
        <f t="shared" si="970"/>
        <v>664994.4995281779</v>
      </c>
      <c r="R385">
        <f t="shared" si="971"/>
        <v>7449881.0788449114</v>
      </c>
      <c r="S385">
        <f t="shared" si="972"/>
        <v>74.49881078844912</v>
      </c>
      <c r="T385">
        <f t="shared" si="973"/>
        <v>7.4498810788449124E-2</v>
      </c>
    </row>
    <row r="386" spans="1:20" x14ac:dyDescent="0.25">
      <c r="A386" s="5">
        <v>44207</v>
      </c>
      <c r="B386">
        <v>4.4107000000000003</v>
      </c>
      <c r="C386">
        <v>4.4302999999999999</v>
      </c>
      <c r="D386">
        <v>3.75</v>
      </c>
      <c r="E386">
        <v>4.4189999999999996</v>
      </c>
      <c r="F386">
        <v>1024082.41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0.96677936204615522</v>
      </c>
      <c r="Q386">
        <f t="shared" si="970"/>
        <v>990061.73902248917</v>
      </c>
      <c r="R386">
        <f t="shared" si="971"/>
        <v>6784886.5793167334</v>
      </c>
      <c r="S386">
        <f t="shared" si="972"/>
        <v>67.848865793167334</v>
      </c>
      <c r="T386">
        <f t="shared" si="973"/>
        <v>6.7848865793167332E-2</v>
      </c>
    </row>
    <row r="387" spans="1:20" x14ac:dyDescent="0.25">
      <c r="A387" s="5">
        <v>44206</v>
      </c>
      <c r="B387">
        <v>4.7458999999999998</v>
      </c>
      <c r="C387">
        <v>4.88</v>
      </c>
      <c r="D387">
        <v>4.3026999999999997</v>
      </c>
      <c r="E387">
        <v>4.4074999999999998</v>
      </c>
      <c r="F387">
        <v>718039.78</v>
      </c>
      <c r="G387">
        <v>0</v>
      </c>
      <c r="L387" t="s">
        <v>7</v>
      </c>
      <c r="M387" t="s">
        <v>8</v>
      </c>
      <c r="N387" t="s">
        <v>7</v>
      </c>
      <c r="P387">
        <f t="shared" si="969"/>
        <v>-0.63693053871470651</v>
      </c>
      <c r="Q387">
        <f t="shared" si="970"/>
        <v>-457341.46389398933</v>
      </c>
      <c r="R387">
        <f t="shared" si="971"/>
        <v>5794824.8402942447</v>
      </c>
      <c r="S387">
        <f t="shared" si="972"/>
        <v>57.948248402942447</v>
      </c>
      <c r="T387">
        <f t="shared" si="973"/>
        <v>5.7948248402942444E-2</v>
      </c>
    </row>
    <row r="388" spans="1:20" x14ac:dyDescent="0.25">
      <c r="A388" s="5">
        <v>44205</v>
      </c>
      <c r="B388">
        <v>4.6570999999999998</v>
      </c>
      <c r="C388">
        <v>4.8600000000000003</v>
      </c>
      <c r="D388">
        <v>4.47</v>
      </c>
      <c r="E388">
        <v>4.742</v>
      </c>
      <c r="F388">
        <v>478211.17</v>
      </c>
      <c r="G388">
        <v>0</v>
      </c>
      <c r="L388" t="s">
        <v>7</v>
      </c>
      <c r="M388" t="s">
        <v>8</v>
      </c>
      <c r="N388" t="s">
        <v>7</v>
      </c>
      <c r="P388">
        <f t="shared" si="969"/>
        <v>0.39487179487179408</v>
      </c>
      <c r="Q388">
        <f t="shared" si="970"/>
        <v>188832.10302564065</v>
      </c>
      <c r="R388">
        <f t="shared" si="971"/>
        <v>6252166.3041882338</v>
      </c>
      <c r="S388">
        <f t="shared" si="972"/>
        <v>62.521663041882341</v>
      </c>
      <c r="T388">
        <f t="shared" si="973"/>
        <v>6.2521663041882336E-2</v>
      </c>
    </row>
    <row r="389" spans="1:20" x14ac:dyDescent="0.25">
      <c r="A389" s="5">
        <v>44204</v>
      </c>
      <c r="B389">
        <v>4.6620999999999997</v>
      </c>
      <c r="C389">
        <v>4.97</v>
      </c>
      <c r="D389">
        <v>4.4215</v>
      </c>
      <c r="E389">
        <v>4.6570999999999998</v>
      </c>
      <c r="F389">
        <v>976763.42</v>
      </c>
      <c r="G389">
        <v>0</v>
      </c>
      <c r="L389" t="s">
        <v>8</v>
      </c>
      <c r="M389" t="s">
        <v>8</v>
      </c>
      <c r="N389" t="s">
        <v>7</v>
      </c>
      <c r="P389">
        <f t="shared" si="969"/>
        <v>-0.14092980856882439</v>
      </c>
      <c r="Q389">
        <f t="shared" si="970"/>
        <v>-137655.08179763024</v>
      </c>
      <c r="R389">
        <f t="shared" si="971"/>
        <v>6063334.2011625934</v>
      </c>
      <c r="S389">
        <f t="shared" si="972"/>
        <v>60.633342011625935</v>
      </c>
      <c r="T389">
        <f t="shared" si="973"/>
        <v>6.0633342011625936E-2</v>
      </c>
    </row>
    <row r="390" spans="1:20" x14ac:dyDescent="0.25">
      <c r="A390" s="5">
        <v>44203</v>
      </c>
      <c r="B390">
        <v>4.5911</v>
      </c>
      <c r="C390">
        <v>4.8227000000000002</v>
      </c>
      <c r="D390">
        <v>4.0480999999999998</v>
      </c>
      <c r="E390">
        <v>4.6597</v>
      </c>
      <c r="F390">
        <v>1383734.46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0.57913761941647257</v>
      </c>
      <c r="Q390">
        <f t="shared" ref="Q390:Q453" si="975">F390*P390</f>
        <v>801372.68106893811</v>
      </c>
      <c r="R390">
        <f t="shared" ref="R390:R453" si="976">R391+Q390</f>
        <v>6200989.282960224</v>
      </c>
      <c r="S390">
        <f t="shared" ref="S390:S453" si="977">R390/100000</f>
        <v>62.009892829602236</v>
      </c>
      <c r="T390">
        <f t="shared" ref="T390:T453" si="978">S390/1000</f>
        <v>6.2009892829602238E-2</v>
      </c>
    </row>
    <row r="391" spans="1:20" x14ac:dyDescent="0.25">
      <c r="A391" s="5">
        <v>44202</v>
      </c>
      <c r="B391">
        <v>4.5776000000000003</v>
      </c>
      <c r="C391">
        <v>4.9138999999999999</v>
      </c>
      <c r="D391">
        <v>4.3845999999999998</v>
      </c>
      <c r="E391">
        <v>4.5885999999999996</v>
      </c>
      <c r="F391">
        <v>1224548.03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-0.22917060268278974</v>
      </c>
      <c r="Q391">
        <f t="shared" si="975"/>
        <v>-280630.41004912287</v>
      </c>
      <c r="R391">
        <f t="shared" si="976"/>
        <v>5399616.6018912857</v>
      </c>
      <c r="S391">
        <f t="shared" si="977"/>
        <v>53.996166018912859</v>
      </c>
      <c r="T391">
        <f t="shared" si="978"/>
        <v>5.3996166018912863E-2</v>
      </c>
    </row>
    <row r="392" spans="1:20" x14ac:dyDescent="0.25">
      <c r="A392" s="5">
        <v>44201</v>
      </c>
      <c r="B392">
        <v>4.3499999999999996</v>
      </c>
      <c r="C392">
        <v>4.8680000000000003</v>
      </c>
      <c r="D392">
        <v>4.2866999999999997</v>
      </c>
      <c r="E392">
        <v>4.57</v>
      </c>
      <c r="F392">
        <v>1251209.96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-2.5288147256149109E-2</v>
      </c>
      <c r="Q392">
        <f t="shared" si="975"/>
        <v>-31640.781716840436</v>
      </c>
      <c r="R392">
        <f t="shared" si="976"/>
        <v>5680247.0119404085</v>
      </c>
      <c r="S392">
        <f t="shared" si="977"/>
        <v>56.802470119404084</v>
      </c>
      <c r="T392">
        <f t="shared" si="978"/>
        <v>5.6802470119404085E-2</v>
      </c>
    </row>
    <row r="393" spans="1:20" x14ac:dyDescent="0.25">
      <c r="A393" s="5">
        <v>44200</v>
      </c>
      <c r="B393">
        <v>4.4294000000000002</v>
      </c>
      <c r="C393">
        <v>4.75</v>
      </c>
      <c r="D393">
        <v>3.8552</v>
      </c>
      <c r="E393">
        <v>4.3499999999999996</v>
      </c>
      <c r="F393">
        <v>1430997.32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0.10594546267322232</v>
      </c>
      <c r="Q393">
        <f t="shared" si="975"/>
        <v>151607.67315154118</v>
      </c>
      <c r="R393">
        <f t="shared" si="976"/>
        <v>5711887.7936572488</v>
      </c>
      <c r="S393">
        <f t="shared" si="977"/>
        <v>57.118877936572488</v>
      </c>
      <c r="T393">
        <f t="shared" si="978"/>
        <v>5.7118877936572492E-2</v>
      </c>
    </row>
    <row r="394" spans="1:20" x14ac:dyDescent="0.25">
      <c r="A394" s="5">
        <v>44199</v>
      </c>
      <c r="B394">
        <v>3.6006</v>
      </c>
      <c r="C394">
        <v>4.5206</v>
      </c>
      <c r="D394">
        <v>3.5289000000000001</v>
      </c>
      <c r="E394">
        <v>4.4294000000000002</v>
      </c>
      <c r="F394">
        <v>1864950.01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0.81607340929716699</v>
      </c>
      <c r="Q394">
        <f t="shared" si="975"/>
        <v>1521936.1128294857</v>
      </c>
      <c r="R394">
        <f t="shared" si="976"/>
        <v>5560280.1205057073</v>
      </c>
      <c r="S394">
        <f t="shared" si="977"/>
        <v>55.602801205057077</v>
      </c>
      <c r="T394">
        <f t="shared" si="978"/>
        <v>5.5602801205057076E-2</v>
      </c>
    </row>
    <row r="395" spans="1:20" x14ac:dyDescent="0.25">
      <c r="A395" s="5">
        <v>44198</v>
      </c>
      <c r="B395">
        <v>4.0997000000000003</v>
      </c>
      <c r="C395">
        <v>4.1018999999999997</v>
      </c>
      <c r="D395">
        <v>3.5289000000000001</v>
      </c>
      <c r="E395">
        <v>3.6082999999999998</v>
      </c>
      <c r="F395">
        <v>1191655.3600000001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-0.72286212914485248</v>
      </c>
      <c r="Q395">
        <f t="shared" si="975"/>
        <v>-861402.53073647572</v>
      </c>
      <c r="R395">
        <f t="shared" si="976"/>
        <v>4038344.0076762219</v>
      </c>
      <c r="S395">
        <f t="shared" si="977"/>
        <v>40.38344007676222</v>
      </c>
      <c r="T395">
        <f t="shared" si="978"/>
        <v>4.0383440076762221E-2</v>
      </c>
    </row>
    <row r="396" spans="1:20" x14ac:dyDescent="0.25">
      <c r="A396" s="5">
        <v>44197</v>
      </c>
      <c r="B396">
        <v>4.0553999999999997</v>
      </c>
      <c r="C396">
        <v>4.2</v>
      </c>
      <c r="D396">
        <v>3.9028</v>
      </c>
      <c r="E396">
        <v>4.0816999999999997</v>
      </c>
      <c r="F396">
        <v>645572.41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0.2039030955585433</v>
      </c>
      <c r="Q396">
        <f t="shared" si="975"/>
        <v>131634.21280618911</v>
      </c>
      <c r="R396">
        <f t="shared" si="976"/>
        <v>4899746.5384126976</v>
      </c>
      <c r="S396">
        <f t="shared" si="977"/>
        <v>48.997465384126976</v>
      </c>
      <c r="T396">
        <f t="shared" si="978"/>
        <v>4.8997465384126977E-2</v>
      </c>
    </row>
    <row r="397" spans="1:20" x14ac:dyDescent="0.25">
      <c r="A397" s="5">
        <v>44196</v>
      </c>
      <c r="B397">
        <v>3.8650000000000002</v>
      </c>
      <c r="C397">
        <v>4.34</v>
      </c>
      <c r="D397">
        <v>3.8650000000000002</v>
      </c>
      <c r="E397">
        <v>4.0481999999999996</v>
      </c>
      <c r="F397">
        <v>920830.45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-0.22863157894737052</v>
      </c>
      <c r="Q397">
        <f t="shared" si="975"/>
        <v>-210530.91972631772</v>
      </c>
      <c r="R397">
        <f t="shared" si="976"/>
        <v>4768112.3256065082</v>
      </c>
      <c r="S397">
        <f t="shared" si="977"/>
        <v>47.681123256065085</v>
      </c>
      <c r="T397">
        <f t="shared" si="978"/>
        <v>4.7681123256065085E-2</v>
      </c>
    </row>
    <row r="398" spans="1:20" x14ac:dyDescent="0.25">
      <c r="A398" s="5">
        <v>44195</v>
      </c>
      <c r="B398">
        <v>4.3211000000000004</v>
      </c>
      <c r="C398">
        <v>4.6500000000000004</v>
      </c>
      <c r="D398">
        <v>3.7850000000000001</v>
      </c>
      <c r="E398">
        <v>3.8650000000000002</v>
      </c>
      <c r="F398">
        <v>1358630.54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-0.81502890173410392</v>
      </c>
      <c r="Q398">
        <f t="shared" si="975"/>
        <v>-1107323.1568786125</v>
      </c>
      <c r="R398">
        <f t="shared" si="976"/>
        <v>4978643.2453328259</v>
      </c>
      <c r="S398">
        <f t="shared" si="977"/>
        <v>49.78643245332826</v>
      </c>
      <c r="T398">
        <f t="shared" si="978"/>
        <v>4.9786432453328262E-2</v>
      </c>
    </row>
    <row r="399" spans="1:20" x14ac:dyDescent="0.25">
      <c r="A399" s="5">
        <v>44194</v>
      </c>
      <c r="B399">
        <v>4.7450999999999999</v>
      </c>
      <c r="C399">
        <v>4.7629000000000001</v>
      </c>
      <c r="D399">
        <v>4.2102000000000004</v>
      </c>
      <c r="E399">
        <v>4.3159999999999998</v>
      </c>
      <c r="F399">
        <v>1607612.2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-0.61715216211326396</v>
      </c>
      <c r="Q399">
        <f t="shared" si="975"/>
        <v>-992141.34506966092</v>
      </c>
      <c r="R399">
        <f t="shared" si="976"/>
        <v>6085966.4022114379</v>
      </c>
      <c r="S399">
        <f t="shared" si="977"/>
        <v>60.85966402211438</v>
      </c>
      <c r="T399">
        <f t="shared" si="978"/>
        <v>6.0859664022114381E-2</v>
      </c>
    </row>
    <row r="400" spans="1:20" x14ac:dyDescent="0.25">
      <c r="A400" s="5">
        <v>44193</v>
      </c>
      <c r="B400">
        <v>4.8019999999999996</v>
      </c>
      <c r="C400">
        <v>5.0914000000000001</v>
      </c>
      <c r="D400">
        <v>4.4006999999999996</v>
      </c>
      <c r="E400">
        <v>4.7539999999999996</v>
      </c>
      <c r="F400">
        <v>2129960.4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2.3020124511364336E-2</v>
      </c>
      <c r="Q400">
        <f t="shared" si="975"/>
        <v>49031.953612275385</v>
      </c>
      <c r="R400">
        <f t="shared" si="976"/>
        <v>7078107.7472810987</v>
      </c>
      <c r="S400">
        <f t="shared" si="977"/>
        <v>70.781077472810992</v>
      </c>
      <c r="T400">
        <f t="shared" si="978"/>
        <v>7.0781077472810996E-2</v>
      </c>
    </row>
    <row r="401" spans="1:20" x14ac:dyDescent="0.25">
      <c r="A401" s="5">
        <v>44192</v>
      </c>
      <c r="B401">
        <v>4.2648999999999999</v>
      </c>
      <c r="C401">
        <v>4.95</v>
      </c>
      <c r="D401">
        <v>4.1901000000000002</v>
      </c>
      <c r="E401">
        <v>4.8048999999999999</v>
      </c>
      <c r="F401">
        <v>2616862.2000000002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0.61810764574286026</v>
      </c>
      <c r="Q401">
        <f t="shared" si="975"/>
        <v>1617502.533675482</v>
      </c>
      <c r="R401">
        <f t="shared" si="976"/>
        <v>7029075.7936688233</v>
      </c>
      <c r="S401">
        <f t="shared" si="977"/>
        <v>70.290757936688237</v>
      </c>
      <c r="T401">
        <f t="shared" si="978"/>
        <v>7.0290757936688236E-2</v>
      </c>
    </row>
    <row r="402" spans="1:20" x14ac:dyDescent="0.25">
      <c r="A402" s="5">
        <v>44191</v>
      </c>
      <c r="B402">
        <v>4.0869</v>
      </c>
      <c r="C402">
        <v>4.74</v>
      </c>
      <c r="D402">
        <v>3.8349000000000002</v>
      </c>
      <c r="E402">
        <v>4.2553999999999998</v>
      </c>
      <c r="F402">
        <v>2746730.73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-7.0820903767540286E-2</v>
      </c>
      <c r="Q402">
        <f t="shared" si="975"/>
        <v>-194525.95270467567</v>
      </c>
      <c r="R402">
        <f t="shared" si="976"/>
        <v>5411573.2599933418</v>
      </c>
      <c r="S402">
        <f t="shared" si="977"/>
        <v>54.115732599933416</v>
      </c>
      <c r="T402">
        <f t="shared" si="978"/>
        <v>5.4115732599933415E-2</v>
      </c>
    </row>
    <row r="403" spans="1:20" x14ac:dyDescent="0.25">
      <c r="A403" s="5">
        <v>44190</v>
      </c>
      <c r="B403">
        <v>4.5923999999999996</v>
      </c>
      <c r="C403">
        <v>4.8465999999999996</v>
      </c>
      <c r="D403">
        <v>3.9759000000000002</v>
      </c>
      <c r="E403">
        <v>4.0792000000000002</v>
      </c>
      <c r="F403">
        <v>1974046.01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-0.76271965085563331</v>
      </c>
      <c r="Q403">
        <f t="shared" si="975"/>
        <v>-1505643.683520156</v>
      </c>
      <c r="R403">
        <f t="shared" si="976"/>
        <v>5606099.2126980172</v>
      </c>
      <c r="S403">
        <f t="shared" si="977"/>
        <v>56.060992126980175</v>
      </c>
      <c r="T403">
        <f t="shared" si="978"/>
        <v>5.6060992126980173E-2</v>
      </c>
    </row>
    <row r="404" spans="1:20" x14ac:dyDescent="0.25">
      <c r="A404" s="5">
        <v>44189</v>
      </c>
      <c r="B404">
        <v>3.94</v>
      </c>
      <c r="C404">
        <v>5.0647000000000002</v>
      </c>
      <c r="D404">
        <v>3.7488999999999999</v>
      </c>
      <c r="E404">
        <v>4.5923999999999996</v>
      </c>
      <c r="F404">
        <v>4036207.34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0.28210974312205428</v>
      </c>
      <c r="Q404">
        <f t="shared" si="975"/>
        <v>1138653.4158747499</v>
      </c>
      <c r="R404">
        <f t="shared" si="976"/>
        <v>7111742.8962181732</v>
      </c>
      <c r="S404">
        <f t="shared" si="977"/>
        <v>71.117428962181734</v>
      </c>
      <c r="T404">
        <f t="shared" si="978"/>
        <v>7.1117428962181733E-2</v>
      </c>
    </row>
    <row r="405" spans="1:20" x14ac:dyDescent="0.25">
      <c r="A405" s="5">
        <v>44188</v>
      </c>
      <c r="B405">
        <v>4.51</v>
      </c>
      <c r="C405">
        <v>5.35</v>
      </c>
      <c r="D405">
        <v>3.53</v>
      </c>
      <c r="E405">
        <v>3.94</v>
      </c>
      <c r="F405">
        <v>8453983.2400000002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-0.54945054945054927</v>
      </c>
      <c r="Q405">
        <f t="shared" si="975"/>
        <v>-4645045.7362637352</v>
      </c>
      <c r="R405">
        <f t="shared" si="976"/>
        <v>5973089.4803434238</v>
      </c>
      <c r="S405">
        <f t="shared" si="977"/>
        <v>59.730894803434239</v>
      </c>
      <c r="T405">
        <f t="shared" si="978"/>
        <v>5.9730894803434242E-2</v>
      </c>
    </row>
    <row r="406" spans="1:20" x14ac:dyDescent="0.25">
      <c r="A406" s="5">
        <v>44187</v>
      </c>
      <c r="B406">
        <v>3.3628</v>
      </c>
      <c r="C406">
        <v>4.78</v>
      </c>
      <c r="D406">
        <v>3.3121999999999998</v>
      </c>
      <c r="E406">
        <v>4.5157999999999996</v>
      </c>
      <c r="F406">
        <v>6608345.1399999997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0.64000545033383216</v>
      </c>
      <c r="Q406">
        <f t="shared" si="975"/>
        <v>4229376.907287091</v>
      </c>
      <c r="R406">
        <f t="shared" si="976"/>
        <v>10618135.216607159</v>
      </c>
      <c r="S406">
        <f t="shared" si="977"/>
        <v>106.18135216607159</v>
      </c>
      <c r="T406">
        <f t="shared" si="978"/>
        <v>0.10618135216607159</v>
      </c>
    </row>
    <row r="407" spans="1:20" x14ac:dyDescent="0.25">
      <c r="A407" s="5">
        <v>44186</v>
      </c>
      <c r="B407">
        <v>2.9821</v>
      </c>
      <c r="C407">
        <v>3.9</v>
      </c>
      <c r="D407">
        <v>2.6939000000000002</v>
      </c>
      <c r="E407">
        <v>3.3628</v>
      </c>
      <c r="F407">
        <v>3615700.9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0.10919492579388107</v>
      </c>
      <c r="Q407">
        <f t="shared" si="975"/>
        <v>394816.19146836898</v>
      </c>
      <c r="R407">
        <f t="shared" si="976"/>
        <v>6388758.309320068</v>
      </c>
      <c r="S407">
        <f t="shared" si="977"/>
        <v>63.887583093200682</v>
      </c>
      <c r="T407">
        <f t="shared" si="978"/>
        <v>6.3887583093200681E-2</v>
      </c>
    </row>
    <row r="408" spans="1:20" x14ac:dyDescent="0.25">
      <c r="A408" s="5">
        <v>44185</v>
      </c>
      <c r="B408">
        <v>3.1240999999999999</v>
      </c>
      <c r="C408">
        <v>3.18</v>
      </c>
      <c r="D408">
        <v>2.91</v>
      </c>
      <c r="E408">
        <v>2.9954000000000001</v>
      </c>
      <c r="F408">
        <v>1439964.09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-0.36740740740740802</v>
      </c>
      <c r="Q408">
        <f t="shared" si="975"/>
        <v>-529053.47306666756</v>
      </c>
      <c r="R408">
        <f t="shared" si="976"/>
        <v>5993942.1178516988</v>
      </c>
      <c r="S408">
        <f t="shared" si="977"/>
        <v>59.939421178516987</v>
      </c>
      <c r="T408">
        <f t="shared" si="978"/>
        <v>5.9939421178516986E-2</v>
      </c>
    </row>
    <row r="409" spans="1:20" x14ac:dyDescent="0.25">
      <c r="A409" s="5">
        <v>44184</v>
      </c>
      <c r="B409">
        <v>3.2679999999999998</v>
      </c>
      <c r="C409">
        <v>3.3769999999999998</v>
      </c>
      <c r="D409">
        <v>3.0263</v>
      </c>
      <c r="E409">
        <v>3.133</v>
      </c>
      <c r="F409">
        <v>1988582.18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-0.39150270886797789</v>
      </c>
      <c r="Q409">
        <f t="shared" si="975"/>
        <v>-778535.31027658877</v>
      </c>
      <c r="R409">
        <f t="shared" si="976"/>
        <v>6522995.5909183659</v>
      </c>
      <c r="S409">
        <f t="shared" si="977"/>
        <v>65.229955909183658</v>
      </c>
      <c r="T409">
        <f t="shared" si="978"/>
        <v>6.5229955909183665E-2</v>
      </c>
    </row>
    <row r="410" spans="1:20" x14ac:dyDescent="0.25">
      <c r="A410" s="5">
        <v>44183</v>
      </c>
      <c r="B410">
        <v>2.9636</v>
      </c>
      <c r="C410">
        <v>3.5670999999999999</v>
      </c>
      <c r="D410">
        <v>2.8052999999999999</v>
      </c>
      <c r="E410">
        <v>3.2669999999999999</v>
      </c>
      <c r="F410">
        <v>3636126.01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0.21212916776056703</v>
      </c>
      <c r="Q410">
        <f t="shared" si="975"/>
        <v>771328.38437385124</v>
      </c>
      <c r="R410">
        <f t="shared" si="976"/>
        <v>7301530.9011949543</v>
      </c>
      <c r="S410">
        <f t="shared" si="977"/>
        <v>73.01530901194954</v>
      </c>
      <c r="T410">
        <f t="shared" si="978"/>
        <v>7.3015309011949539E-2</v>
      </c>
    </row>
    <row r="411" spans="1:20" x14ac:dyDescent="0.25">
      <c r="A411" s="5">
        <v>44182</v>
      </c>
      <c r="B411">
        <v>3.1608999999999998</v>
      </c>
      <c r="C411">
        <v>3.3969999999999998</v>
      </c>
      <c r="D411">
        <v>2.9388000000000001</v>
      </c>
      <c r="E411">
        <v>2.9670000000000001</v>
      </c>
      <c r="F411">
        <v>4252285.68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-0.87690964644260139</v>
      </c>
      <c r="Q411">
        <f t="shared" si="975"/>
        <v>-3728870.3322217367</v>
      </c>
      <c r="R411">
        <f t="shared" si="976"/>
        <v>6530202.5168211032</v>
      </c>
      <c r="S411">
        <f t="shared" si="977"/>
        <v>65.302025168211031</v>
      </c>
      <c r="T411">
        <f t="shared" si="978"/>
        <v>6.5302025168211028E-2</v>
      </c>
    </row>
    <row r="412" spans="1:20" x14ac:dyDescent="0.25">
      <c r="A412" s="5">
        <v>44181</v>
      </c>
      <c r="B412">
        <v>3.3010000000000002</v>
      </c>
      <c r="C412">
        <v>3.9367999999999999</v>
      </c>
      <c r="D412">
        <v>2.95</v>
      </c>
      <c r="E412">
        <v>3.153</v>
      </c>
      <c r="F412">
        <v>7462379.2300000004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-0.58856911228212416</v>
      </c>
      <c r="Q412">
        <f t="shared" si="975"/>
        <v>-4392125.9189136615</v>
      </c>
      <c r="R412">
        <f t="shared" si="976"/>
        <v>10259072.84904284</v>
      </c>
      <c r="S412">
        <f t="shared" si="977"/>
        <v>102.5907284904284</v>
      </c>
      <c r="T412">
        <f t="shared" si="978"/>
        <v>0.1025907284904284</v>
      </c>
    </row>
    <row r="413" spans="1:20" x14ac:dyDescent="0.25">
      <c r="A413" s="5">
        <v>44180</v>
      </c>
      <c r="B413">
        <v>2.831</v>
      </c>
      <c r="C413">
        <v>3.4426999999999999</v>
      </c>
      <c r="D413">
        <v>2.7</v>
      </c>
      <c r="E413">
        <v>3.3</v>
      </c>
      <c r="F413">
        <v>6564647.8799999999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0.6157264036623129</v>
      </c>
      <c r="Q413">
        <f t="shared" si="975"/>
        <v>4042027.0304618264</v>
      </c>
      <c r="R413">
        <f t="shared" si="976"/>
        <v>14651198.767956503</v>
      </c>
      <c r="S413">
        <f t="shared" si="977"/>
        <v>146.51198767956504</v>
      </c>
      <c r="T413">
        <f t="shared" si="978"/>
        <v>0.14651198767956503</v>
      </c>
    </row>
    <row r="414" spans="1:20" x14ac:dyDescent="0.25">
      <c r="A414" s="5">
        <v>44179</v>
      </c>
      <c r="B414">
        <v>2.2709999999999999</v>
      </c>
      <c r="C414">
        <v>2.9283000000000001</v>
      </c>
      <c r="D414">
        <v>2.1711</v>
      </c>
      <c r="E414">
        <v>2.8317000000000001</v>
      </c>
      <c r="F414">
        <v>5441893.8099999996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0.74484944532488118</v>
      </c>
      <c r="Q414">
        <f t="shared" si="975"/>
        <v>4053391.5858954042</v>
      </c>
      <c r="R414">
        <f t="shared" si="976"/>
        <v>10609171.737494675</v>
      </c>
      <c r="S414">
        <f t="shared" si="977"/>
        <v>106.09171737494675</v>
      </c>
      <c r="T414">
        <f t="shared" si="978"/>
        <v>0.10609171737494676</v>
      </c>
    </row>
    <row r="415" spans="1:20" x14ac:dyDescent="0.25">
      <c r="A415" s="5">
        <v>44178</v>
      </c>
      <c r="B415">
        <v>2.0920000000000001</v>
      </c>
      <c r="C415">
        <v>2.2879999999999998</v>
      </c>
      <c r="D415">
        <v>2.0110999999999999</v>
      </c>
      <c r="E415">
        <v>2.2696999999999998</v>
      </c>
      <c r="F415">
        <v>1284409.17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0.86782231852654401</v>
      </c>
      <c r="Q415">
        <f t="shared" si="975"/>
        <v>1114638.943846154</v>
      </c>
      <c r="R415">
        <f t="shared" si="976"/>
        <v>6555780.1515992712</v>
      </c>
      <c r="S415">
        <f t="shared" si="977"/>
        <v>65.557801515992708</v>
      </c>
      <c r="T415">
        <f t="shared" si="978"/>
        <v>6.5557801515992706E-2</v>
      </c>
    </row>
    <row r="416" spans="1:20" x14ac:dyDescent="0.25">
      <c r="A416" s="5">
        <v>44177</v>
      </c>
      <c r="B416">
        <v>1.9005000000000001</v>
      </c>
      <c r="C416">
        <v>2.1717</v>
      </c>
      <c r="D416">
        <v>1.8839999999999999</v>
      </c>
      <c r="E416">
        <v>2.0920999999999998</v>
      </c>
      <c r="F416">
        <v>1679405.88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0.4466458116093146</v>
      </c>
      <c r="Q416">
        <f t="shared" si="975"/>
        <v>750099.60229405516</v>
      </c>
      <c r="R416">
        <f t="shared" si="976"/>
        <v>5441141.2077531172</v>
      </c>
      <c r="S416">
        <f t="shared" si="977"/>
        <v>54.411412077531175</v>
      </c>
      <c r="T416">
        <f t="shared" si="978"/>
        <v>5.4411412077531175E-2</v>
      </c>
    </row>
    <row r="417" spans="1:20" x14ac:dyDescent="0.25">
      <c r="A417" s="5">
        <v>44176</v>
      </c>
      <c r="B417">
        <v>2.0505</v>
      </c>
      <c r="C417">
        <v>2.0554999999999999</v>
      </c>
      <c r="D417">
        <v>1.77</v>
      </c>
      <c r="E417">
        <v>1.9004000000000001</v>
      </c>
      <c r="F417">
        <v>1978973.63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-8.6514886164622537E-2</v>
      </c>
      <c r="Q417">
        <f t="shared" si="975"/>
        <v>-171210.67832223984</v>
      </c>
      <c r="R417">
        <f t="shared" si="976"/>
        <v>4691041.6054590624</v>
      </c>
      <c r="S417">
        <f t="shared" si="977"/>
        <v>46.910416054590627</v>
      </c>
      <c r="T417">
        <f t="shared" si="978"/>
        <v>4.6910416054590627E-2</v>
      </c>
    </row>
    <row r="418" spans="1:20" x14ac:dyDescent="0.25">
      <c r="A418" s="5">
        <v>44175</v>
      </c>
      <c r="B418">
        <v>2.1859999999999999</v>
      </c>
      <c r="C418">
        <v>2.39</v>
      </c>
      <c r="D418">
        <v>1.9699</v>
      </c>
      <c r="E418">
        <v>2.0499999999999998</v>
      </c>
      <c r="F418">
        <v>2401575.58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-0.61866222328017229</v>
      </c>
      <c r="Q418">
        <f t="shared" si="975"/>
        <v>-1485764.0876981693</v>
      </c>
      <c r="R418">
        <f t="shared" si="976"/>
        <v>4862252.2837813022</v>
      </c>
      <c r="S418">
        <f t="shared" si="977"/>
        <v>48.622522837813023</v>
      </c>
      <c r="T418">
        <f t="shared" si="978"/>
        <v>4.8622522837813022E-2</v>
      </c>
    </row>
    <row r="419" spans="1:20" x14ac:dyDescent="0.25">
      <c r="A419" s="5">
        <v>44174</v>
      </c>
      <c r="B419">
        <v>1.8290999999999999</v>
      </c>
      <c r="C419">
        <v>2.359</v>
      </c>
      <c r="D419">
        <v>1.7468999999999999</v>
      </c>
      <c r="E419">
        <v>2.1850000000000001</v>
      </c>
      <c r="F419">
        <v>3897664.52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0.43146544682241494</v>
      </c>
      <c r="Q419">
        <f t="shared" si="975"/>
        <v>1681707.5636856735</v>
      </c>
      <c r="R419">
        <f t="shared" si="976"/>
        <v>6348016.3714794712</v>
      </c>
      <c r="S419">
        <f t="shared" si="977"/>
        <v>63.480163714794713</v>
      </c>
      <c r="T419">
        <f t="shared" si="978"/>
        <v>6.3480163714794716E-2</v>
      </c>
    </row>
    <row r="420" spans="1:20" x14ac:dyDescent="0.25">
      <c r="A420" s="5">
        <v>44173</v>
      </c>
      <c r="B420">
        <v>1.7358</v>
      </c>
      <c r="C420">
        <v>2.2601</v>
      </c>
      <c r="D420">
        <v>1.7121999999999999</v>
      </c>
      <c r="E420">
        <v>1.8263</v>
      </c>
      <c r="F420">
        <v>6584395.25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-0.58350063880270098</v>
      </c>
      <c r="Q420">
        <f t="shared" si="975"/>
        <v>-3841998.8345044702</v>
      </c>
      <c r="R420">
        <f t="shared" si="976"/>
        <v>4666308.8077937979</v>
      </c>
      <c r="S420">
        <f t="shared" si="977"/>
        <v>46.663088077937978</v>
      </c>
      <c r="T420">
        <f t="shared" si="978"/>
        <v>4.6663088077937981E-2</v>
      </c>
    </row>
    <row r="421" spans="1:20" x14ac:dyDescent="0.25">
      <c r="A421" s="5">
        <v>44172</v>
      </c>
      <c r="B421">
        <v>1.5902000000000001</v>
      </c>
      <c r="C421">
        <v>1.7386999999999999</v>
      </c>
      <c r="D421">
        <v>1.5232000000000001</v>
      </c>
      <c r="E421">
        <v>1.7290000000000001</v>
      </c>
      <c r="F421">
        <v>1566526.06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0.90997679814385313</v>
      </c>
      <c r="Q421">
        <f t="shared" si="975"/>
        <v>1425502.3682877056</v>
      </c>
      <c r="R421">
        <f t="shared" si="976"/>
        <v>8508307.6422982682</v>
      </c>
      <c r="S421">
        <f t="shared" si="977"/>
        <v>85.083076422982685</v>
      </c>
      <c r="T421">
        <f t="shared" si="978"/>
        <v>8.5083076422982684E-2</v>
      </c>
    </row>
    <row r="422" spans="1:20" x14ac:dyDescent="0.25">
      <c r="A422" s="5">
        <v>44171</v>
      </c>
      <c r="B422">
        <v>1.6941999999999999</v>
      </c>
      <c r="C422">
        <v>1.7028000000000001</v>
      </c>
      <c r="D422">
        <v>1.5506</v>
      </c>
      <c r="E422">
        <v>1.5902000000000001</v>
      </c>
      <c r="F422">
        <v>1407231.25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-0.47963206307490081</v>
      </c>
      <c r="Q422">
        <f t="shared" si="975"/>
        <v>-674953.22766097146</v>
      </c>
      <c r="R422">
        <f t="shared" si="976"/>
        <v>7082805.2740105623</v>
      </c>
      <c r="S422">
        <f t="shared" si="977"/>
        <v>70.828052740105619</v>
      </c>
      <c r="T422">
        <f t="shared" si="978"/>
        <v>7.0828052740105618E-2</v>
      </c>
    </row>
    <row r="423" spans="1:20" x14ac:dyDescent="0.25">
      <c r="A423" s="5">
        <v>44170</v>
      </c>
      <c r="B423">
        <v>1.5686</v>
      </c>
      <c r="C423">
        <v>1.8888</v>
      </c>
      <c r="D423">
        <v>1.532</v>
      </c>
      <c r="E423">
        <v>1.6941999999999999</v>
      </c>
      <c r="F423">
        <v>4806408.67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-9.0807174887892958E-2</v>
      </c>
      <c r="Q423">
        <f t="shared" si="975"/>
        <v>-436456.39267937496</v>
      </c>
      <c r="R423">
        <f t="shared" si="976"/>
        <v>7757758.501671534</v>
      </c>
      <c r="S423">
        <f t="shared" si="977"/>
        <v>77.577585016715346</v>
      </c>
      <c r="T423">
        <f t="shared" si="978"/>
        <v>7.7577585016715342E-2</v>
      </c>
    </row>
    <row r="424" spans="1:20" x14ac:dyDescent="0.25">
      <c r="A424" s="5">
        <v>44169</v>
      </c>
      <c r="B424">
        <v>1.454</v>
      </c>
      <c r="C424">
        <v>1.6950000000000001</v>
      </c>
      <c r="D424">
        <v>1.4234</v>
      </c>
      <c r="E424">
        <v>1.5689</v>
      </c>
      <c r="F424">
        <v>3013806.05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7.1428571428570897E-2</v>
      </c>
      <c r="Q424">
        <f t="shared" si="975"/>
        <v>215271.86071428409</v>
      </c>
      <c r="R424">
        <f t="shared" si="976"/>
        <v>8194214.8943509087</v>
      </c>
      <c r="S424">
        <f t="shared" si="977"/>
        <v>81.942148943509082</v>
      </c>
      <c r="T424">
        <f t="shared" si="978"/>
        <v>8.1942148943509083E-2</v>
      </c>
    </row>
    <row r="425" spans="1:20" x14ac:dyDescent="0.25">
      <c r="A425" s="5">
        <v>44168</v>
      </c>
      <c r="B425">
        <v>1.4773000000000001</v>
      </c>
      <c r="C425">
        <v>1.4809000000000001</v>
      </c>
      <c r="D425">
        <v>1.351</v>
      </c>
      <c r="E425">
        <v>1.454</v>
      </c>
      <c r="F425">
        <v>1558567.43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0.58583525789068325</v>
      </c>
      <c r="Q425">
        <f t="shared" si="975"/>
        <v>913063.75229406939</v>
      </c>
      <c r="R425">
        <f t="shared" si="976"/>
        <v>7978943.0336366249</v>
      </c>
      <c r="S425">
        <f t="shared" si="977"/>
        <v>79.789430336366252</v>
      </c>
      <c r="T425">
        <f t="shared" si="978"/>
        <v>7.9789430336366249E-2</v>
      </c>
    </row>
    <row r="426" spans="1:20" x14ac:dyDescent="0.25">
      <c r="A426" s="5">
        <v>44167</v>
      </c>
      <c r="B426">
        <v>1.2543</v>
      </c>
      <c r="C426">
        <v>1.5666</v>
      </c>
      <c r="D426">
        <v>1.2421</v>
      </c>
      <c r="E426">
        <v>1.47</v>
      </c>
      <c r="F426">
        <v>3242196.46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0.40462249614791979</v>
      </c>
      <c r="Q426">
        <f t="shared" si="975"/>
        <v>1311865.6246471491</v>
      </c>
      <c r="R426">
        <f t="shared" si="976"/>
        <v>7065879.2813425558</v>
      </c>
      <c r="S426">
        <f t="shared" si="977"/>
        <v>70.658792813425563</v>
      </c>
      <c r="T426">
        <f t="shared" si="978"/>
        <v>7.0658792813425561E-2</v>
      </c>
    </row>
    <row r="427" spans="1:20" x14ac:dyDescent="0.25">
      <c r="A427" s="5">
        <v>44166</v>
      </c>
      <c r="B427">
        <v>1.1879999999999999</v>
      </c>
      <c r="C427">
        <v>1.3284</v>
      </c>
      <c r="D427">
        <v>1.1684000000000001</v>
      </c>
      <c r="E427">
        <v>1.2565</v>
      </c>
      <c r="F427">
        <v>1875398.15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0.10124999999999862</v>
      </c>
      <c r="Q427">
        <f t="shared" si="975"/>
        <v>189884.06268749741</v>
      </c>
      <c r="R427">
        <f t="shared" si="976"/>
        <v>5754013.6566954069</v>
      </c>
      <c r="S427">
        <f t="shared" si="977"/>
        <v>57.540136566954068</v>
      </c>
      <c r="T427">
        <f t="shared" si="978"/>
        <v>5.7540136566954066E-2</v>
      </c>
    </row>
    <row r="428" spans="1:20" x14ac:dyDescent="0.25">
      <c r="A428" s="5">
        <v>44165</v>
      </c>
      <c r="B428">
        <v>1.133</v>
      </c>
      <c r="C428">
        <v>1.2404999999999999</v>
      </c>
      <c r="D428">
        <v>1.0701000000000001</v>
      </c>
      <c r="E428">
        <v>1.1879</v>
      </c>
      <c r="F428">
        <v>1498265.78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0.38262910798122046</v>
      </c>
      <c r="Q428">
        <f t="shared" si="975"/>
        <v>573280.09892018756</v>
      </c>
      <c r="R428">
        <f t="shared" si="976"/>
        <v>5564129.5940079093</v>
      </c>
      <c r="S428">
        <f t="shared" si="977"/>
        <v>55.64129594007909</v>
      </c>
      <c r="T428">
        <f t="shared" si="978"/>
        <v>5.5641295940079091E-2</v>
      </c>
    </row>
    <row r="429" spans="1:20" x14ac:dyDescent="0.25">
      <c r="A429" s="5">
        <v>44164</v>
      </c>
      <c r="B429">
        <v>1.1505000000000001</v>
      </c>
      <c r="C429">
        <v>1.1850000000000001</v>
      </c>
      <c r="D429">
        <v>1.1032999999999999</v>
      </c>
      <c r="E429">
        <v>1.1341000000000001</v>
      </c>
      <c r="F429">
        <v>760671.16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-0.24602203182374247</v>
      </c>
      <c r="Q429">
        <f t="shared" si="975"/>
        <v>-187141.86433292311</v>
      </c>
      <c r="R429">
        <f t="shared" si="976"/>
        <v>4990849.4950877214</v>
      </c>
      <c r="S429">
        <f t="shared" si="977"/>
        <v>49.908494950877213</v>
      </c>
      <c r="T429">
        <f t="shared" si="978"/>
        <v>4.9908494950877215E-2</v>
      </c>
    </row>
    <row r="430" spans="1:20" x14ac:dyDescent="0.25">
      <c r="A430" s="5">
        <v>44163</v>
      </c>
      <c r="B430">
        <v>1.0973999999999999</v>
      </c>
      <c r="C430">
        <v>1.1761999999999999</v>
      </c>
      <c r="D430">
        <v>1.0889</v>
      </c>
      <c r="E430">
        <v>1.1520999999999999</v>
      </c>
      <c r="F430">
        <v>1135844.75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0.44788087056128228</v>
      </c>
      <c r="Q430">
        <f t="shared" si="975"/>
        <v>508723.13545246201</v>
      </c>
      <c r="R430">
        <f t="shared" si="976"/>
        <v>5177991.3594206441</v>
      </c>
      <c r="S430">
        <f t="shared" si="977"/>
        <v>51.779913594206441</v>
      </c>
      <c r="T430">
        <f t="shared" si="978"/>
        <v>5.1779913594206438E-2</v>
      </c>
    </row>
    <row r="431" spans="1:20" x14ac:dyDescent="0.25">
      <c r="A431" s="5">
        <v>44162</v>
      </c>
      <c r="B431">
        <v>1.0559000000000001</v>
      </c>
      <c r="C431">
        <v>1.1100000000000001</v>
      </c>
      <c r="D431">
        <v>1.0311999999999999</v>
      </c>
      <c r="E431">
        <v>1.0918000000000001</v>
      </c>
      <c r="F431">
        <v>1098649.72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0.53807106598984911</v>
      </c>
      <c r="Q431">
        <f t="shared" si="975"/>
        <v>591151.62598984921</v>
      </c>
      <c r="R431">
        <f t="shared" si="976"/>
        <v>4669268.2239681818</v>
      </c>
      <c r="S431">
        <f t="shared" si="977"/>
        <v>46.692682239681815</v>
      </c>
      <c r="T431">
        <f t="shared" si="978"/>
        <v>4.6692682239681815E-2</v>
      </c>
    </row>
    <row r="432" spans="1:20" x14ac:dyDescent="0.25">
      <c r="A432" s="5">
        <v>44161</v>
      </c>
      <c r="B432">
        <v>1.2129000000000001</v>
      </c>
      <c r="C432">
        <v>1.2554000000000001</v>
      </c>
      <c r="D432">
        <v>0.95</v>
      </c>
      <c r="E432">
        <v>1.0558000000000001</v>
      </c>
      <c r="F432">
        <v>2460652.2400000002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-0.30713817943680372</v>
      </c>
      <c r="Q432">
        <f t="shared" si="975"/>
        <v>-755760.24922069302</v>
      </c>
      <c r="R432">
        <f t="shared" si="976"/>
        <v>4078116.5979783325</v>
      </c>
      <c r="S432">
        <f t="shared" si="977"/>
        <v>40.781165979783324</v>
      </c>
      <c r="T432">
        <f t="shared" si="978"/>
        <v>4.0781165979783325E-2</v>
      </c>
    </row>
    <row r="433" spans="1:20" x14ac:dyDescent="0.25">
      <c r="A433" s="5">
        <v>44160</v>
      </c>
      <c r="B433">
        <v>1.302</v>
      </c>
      <c r="C433">
        <v>1.3446</v>
      </c>
      <c r="D433">
        <v>1.2101999999999999</v>
      </c>
      <c r="E433">
        <v>1.2102999999999999</v>
      </c>
      <c r="F433">
        <v>1179418.1100000001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-0.99851190476190488</v>
      </c>
      <c r="Q433">
        <f t="shared" si="975"/>
        <v>-1177663.0235267859</v>
      </c>
      <c r="R433">
        <f t="shared" si="976"/>
        <v>4833876.8471990256</v>
      </c>
      <c r="S433">
        <f t="shared" si="977"/>
        <v>48.338768471990257</v>
      </c>
      <c r="T433">
        <f t="shared" si="978"/>
        <v>4.8338768471990257E-2</v>
      </c>
    </row>
    <row r="434" spans="1:20" x14ac:dyDescent="0.25">
      <c r="A434" s="5">
        <v>44159</v>
      </c>
      <c r="B434">
        <v>1.4200999999999999</v>
      </c>
      <c r="C434">
        <v>1.4567000000000001</v>
      </c>
      <c r="D434">
        <v>1.2815000000000001</v>
      </c>
      <c r="E434">
        <v>1.2999000000000001</v>
      </c>
      <c r="F434">
        <v>1677257.84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-0.78995433789954372</v>
      </c>
      <c r="Q434">
        <f t="shared" si="975"/>
        <v>-1324957.106484019</v>
      </c>
      <c r="R434">
        <f t="shared" si="976"/>
        <v>6011539.8707258115</v>
      </c>
      <c r="S434">
        <f t="shared" si="977"/>
        <v>60.115398707258116</v>
      </c>
      <c r="T434">
        <f t="shared" si="978"/>
        <v>6.0115398707258114E-2</v>
      </c>
    </row>
    <row r="435" spans="1:20" x14ac:dyDescent="0.25">
      <c r="A435" s="5">
        <v>44158</v>
      </c>
      <c r="B435">
        <v>1.3113999999999999</v>
      </c>
      <c r="C435">
        <v>1.5084</v>
      </c>
      <c r="D435">
        <v>1.2833000000000001</v>
      </c>
      <c r="E435">
        <v>1.4139999999999999</v>
      </c>
      <c r="F435">
        <v>1955280.97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0.1612616614837841</v>
      </c>
      <c r="Q435">
        <f t="shared" si="975"/>
        <v>315311.85788982501</v>
      </c>
      <c r="R435">
        <f t="shared" si="976"/>
        <v>7336496.9772098307</v>
      </c>
      <c r="S435">
        <f t="shared" si="977"/>
        <v>73.364969772098306</v>
      </c>
      <c r="T435">
        <f t="shared" si="978"/>
        <v>7.3364969772098304E-2</v>
      </c>
    </row>
    <row r="436" spans="1:20" x14ac:dyDescent="0.25">
      <c r="A436" s="5">
        <v>44157</v>
      </c>
      <c r="B436">
        <v>1.3747</v>
      </c>
      <c r="C436">
        <v>1.4377</v>
      </c>
      <c r="D436">
        <v>1.22</v>
      </c>
      <c r="E436">
        <v>1.3107</v>
      </c>
      <c r="F436">
        <v>1756043.97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-0.16674322462103811</v>
      </c>
      <c r="Q436">
        <f t="shared" si="975"/>
        <v>-292808.43413412949</v>
      </c>
      <c r="R436">
        <f t="shared" si="976"/>
        <v>7021185.1193200061</v>
      </c>
      <c r="S436">
        <f t="shared" si="977"/>
        <v>70.211851193200062</v>
      </c>
      <c r="T436">
        <f t="shared" si="978"/>
        <v>7.0211851193200059E-2</v>
      </c>
    </row>
    <row r="437" spans="1:20" x14ac:dyDescent="0.25">
      <c r="A437" s="5">
        <v>44156</v>
      </c>
      <c r="B437">
        <v>1.4109</v>
      </c>
      <c r="C437">
        <v>1.4830000000000001</v>
      </c>
      <c r="D437">
        <v>1.3340000000000001</v>
      </c>
      <c r="E437">
        <v>1.3743000000000001</v>
      </c>
      <c r="F437">
        <v>2036623.8</v>
      </c>
      <c r="G437">
        <v>0</v>
      </c>
      <c r="L437" t="s">
        <v>7</v>
      </c>
      <c r="M437" t="s">
        <v>8</v>
      </c>
      <c r="N437" t="s">
        <v>8</v>
      </c>
      <c r="P437">
        <f t="shared" si="974"/>
        <v>-0.45906040268456383</v>
      </c>
      <c r="Q437">
        <f t="shared" si="975"/>
        <v>-934933.34174496657</v>
      </c>
      <c r="R437">
        <f t="shared" si="976"/>
        <v>7313993.5534541355</v>
      </c>
      <c r="S437">
        <f t="shared" si="977"/>
        <v>73.139935534541351</v>
      </c>
      <c r="T437">
        <f t="shared" si="978"/>
        <v>7.3139935534541345E-2</v>
      </c>
    </row>
    <row r="438" spans="1:20" x14ac:dyDescent="0.25">
      <c r="A438" s="5">
        <v>44155</v>
      </c>
      <c r="B438">
        <v>1.2999000000000001</v>
      </c>
      <c r="C438">
        <v>1.544</v>
      </c>
      <c r="D438">
        <v>1.29</v>
      </c>
      <c r="E438">
        <v>1.411</v>
      </c>
      <c r="F438">
        <v>1973452.11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-4.7244094488189017E-2</v>
      </c>
      <c r="Q438">
        <f t="shared" si="975"/>
        <v>-93233.957952755998</v>
      </c>
      <c r="R438">
        <f t="shared" si="976"/>
        <v>8248926.8951991023</v>
      </c>
      <c r="S438">
        <f t="shared" si="977"/>
        <v>82.489268951991022</v>
      </c>
      <c r="T438">
        <f t="shared" si="978"/>
        <v>8.2489268951991018E-2</v>
      </c>
    </row>
    <row r="439" spans="1:20" x14ac:dyDescent="0.25">
      <c r="A439" s="5">
        <v>44154</v>
      </c>
      <c r="B439">
        <v>1.3747</v>
      </c>
      <c r="C439">
        <v>1.46</v>
      </c>
      <c r="D439">
        <v>1.21</v>
      </c>
      <c r="E439">
        <v>1.2999000000000001</v>
      </c>
      <c r="F439">
        <v>2069153.33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-0.28079999999999927</v>
      </c>
      <c r="Q439">
        <f t="shared" si="975"/>
        <v>-581018.25506399851</v>
      </c>
      <c r="R439">
        <f t="shared" si="976"/>
        <v>8342160.8531518588</v>
      </c>
      <c r="S439">
        <f t="shared" si="977"/>
        <v>83.421608531518586</v>
      </c>
      <c r="T439">
        <f t="shared" si="978"/>
        <v>8.3421608531518587E-2</v>
      </c>
    </row>
    <row r="440" spans="1:20" x14ac:dyDescent="0.25">
      <c r="A440" s="5">
        <v>44153</v>
      </c>
      <c r="B440">
        <v>1.4658</v>
      </c>
      <c r="C440">
        <v>1.5450999999999999</v>
      </c>
      <c r="D440">
        <v>1.2701</v>
      </c>
      <c r="E440">
        <v>1.3694</v>
      </c>
      <c r="F440">
        <v>2495845.67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-0.27781818181818202</v>
      </c>
      <c r="Q440">
        <f t="shared" si="975"/>
        <v>-693391.30613818229</v>
      </c>
      <c r="R440">
        <f t="shared" si="976"/>
        <v>8923179.1082158573</v>
      </c>
      <c r="S440">
        <f t="shared" si="977"/>
        <v>89.23179108215858</v>
      </c>
      <c r="T440">
        <f t="shared" si="978"/>
        <v>8.9231791082158576E-2</v>
      </c>
    </row>
    <row r="441" spans="1:20" x14ac:dyDescent="0.25">
      <c r="A441" s="5">
        <v>44152</v>
      </c>
      <c r="B441">
        <v>1.6029</v>
      </c>
      <c r="C441">
        <v>1.6988000000000001</v>
      </c>
      <c r="D441">
        <v>1.2843</v>
      </c>
      <c r="E441">
        <v>1.4666999999999999</v>
      </c>
      <c r="F441">
        <v>4235394.43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-0.11990349819059178</v>
      </c>
      <c r="Q441">
        <f t="shared" si="975"/>
        <v>-507838.60837394744</v>
      </c>
      <c r="R441">
        <f t="shared" si="976"/>
        <v>9616570.4143540394</v>
      </c>
      <c r="S441">
        <f t="shared" si="977"/>
        <v>96.165704143540395</v>
      </c>
      <c r="T441">
        <f t="shared" si="978"/>
        <v>9.6165704143540393E-2</v>
      </c>
    </row>
    <row r="442" spans="1:20" x14ac:dyDescent="0.25">
      <c r="A442" s="5">
        <v>44151</v>
      </c>
      <c r="B442">
        <v>1.2831999999999999</v>
      </c>
      <c r="C442">
        <v>1.6364000000000001</v>
      </c>
      <c r="D442">
        <v>1.2388999999999999</v>
      </c>
      <c r="E442">
        <v>1.6029</v>
      </c>
      <c r="F442">
        <v>4548989.13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0.83144654088050285</v>
      </c>
      <c r="Q442">
        <f t="shared" si="975"/>
        <v>3782241.2766415081</v>
      </c>
      <c r="R442">
        <f t="shared" si="976"/>
        <v>10124409.022727987</v>
      </c>
      <c r="S442">
        <f t="shared" si="977"/>
        <v>101.24409022727987</v>
      </c>
      <c r="T442">
        <f t="shared" si="978"/>
        <v>0.10124409022727987</v>
      </c>
    </row>
    <row r="443" spans="1:20" x14ac:dyDescent="0.25">
      <c r="A443" s="5">
        <v>44150</v>
      </c>
      <c r="B443">
        <v>1.2914000000000001</v>
      </c>
      <c r="C443">
        <v>1.452</v>
      </c>
      <c r="D443">
        <v>1.2</v>
      </c>
      <c r="E443">
        <v>1.2875000000000001</v>
      </c>
      <c r="F443">
        <v>4159059.26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-0.30555555555555453</v>
      </c>
      <c r="Q443">
        <f t="shared" si="975"/>
        <v>-1270823.6627777733</v>
      </c>
      <c r="R443">
        <f t="shared" si="976"/>
        <v>6342167.7460864792</v>
      </c>
      <c r="S443">
        <f t="shared" si="977"/>
        <v>63.421677460864792</v>
      </c>
      <c r="T443">
        <f t="shared" si="978"/>
        <v>6.3421677460864787E-2</v>
      </c>
    </row>
    <row r="444" spans="1:20" x14ac:dyDescent="0.25">
      <c r="A444" s="5">
        <v>44149</v>
      </c>
      <c r="B444">
        <v>1.0684</v>
      </c>
      <c r="C444">
        <v>1.3866000000000001</v>
      </c>
      <c r="D444">
        <v>1.0091000000000001</v>
      </c>
      <c r="E444">
        <v>1.2915000000000001</v>
      </c>
      <c r="F444">
        <v>5678641.4000000004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0.49615894039735114</v>
      </c>
      <c r="Q444">
        <f t="shared" si="975"/>
        <v>2817508.6999205309</v>
      </c>
      <c r="R444">
        <f t="shared" si="976"/>
        <v>7612991.4088642523</v>
      </c>
      <c r="S444">
        <f t="shared" si="977"/>
        <v>76.129914088642522</v>
      </c>
      <c r="T444">
        <f t="shared" si="978"/>
        <v>7.6129914088642517E-2</v>
      </c>
    </row>
    <row r="445" spans="1:20" x14ac:dyDescent="0.25">
      <c r="A445" s="5">
        <v>44148</v>
      </c>
      <c r="B445">
        <v>0.91949999999999998</v>
      </c>
      <c r="C445">
        <v>1.0900000000000001</v>
      </c>
      <c r="D445">
        <v>0.91</v>
      </c>
      <c r="E445">
        <v>1.0633999999999999</v>
      </c>
      <c r="F445">
        <v>1912931.49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0.70444444444444254</v>
      </c>
      <c r="Q445">
        <f t="shared" si="975"/>
        <v>1347553.9607333296</v>
      </c>
      <c r="R445">
        <f t="shared" si="976"/>
        <v>4795482.7089437218</v>
      </c>
      <c r="S445">
        <f t="shared" si="977"/>
        <v>47.954827089437217</v>
      </c>
      <c r="T445">
        <f t="shared" si="978"/>
        <v>4.795482708943722E-2</v>
      </c>
    </row>
    <row r="446" spans="1:20" x14ac:dyDescent="0.25">
      <c r="A446" s="5">
        <v>44147</v>
      </c>
      <c r="B446">
        <v>0.90800000000000003</v>
      </c>
      <c r="C446">
        <v>0.97389999999999999</v>
      </c>
      <c r="D446">
        <v>0.89500000000000002</v>
      </c>
      <c r="E446">
        <v>0.91720000000000002</v>
      </c>
      <c r="F446">
        <v>1256397.3</v>
      </c>
      <c r="G446">
        <v>0</v>
      </c>
      <c r="L446" t="s">
        <v>8</v>
      </c>
      <c r="M446" t="s">
        <v>7</v>
      </c>
      <c r="N446" t="s">
        <v>8</v>
      </c>
      <c r="P446">
        <f t="shared" si="974"/>
        <v>-0.43726235741444852</v>
      </c>
      <c r="Q446">
        <f t="shared" si="975"/>
        <v>-549375.24524714809</v>
      </c>
      <c r="R446">
        <f t="shared" si="976"/>
        <v>3447928.748210392</v>
      </c>
      <c r="S446">
        <f t="shared" si="977"/>
        <v>34.479287482103921</v>
      </c>
      <c r="T446">
        <f t="shared" si="978"/>
        <v>3.4479287482103924E-2</v>
      </c>
    </row>
    <row r="447" spans="1:20" x14ac:dyDescent="0.25">
      <c r="A447" s="5">
        <v>44146</v>
      </c>
      <c r="B447">
        <v>1.0073000000000001</v>
      </c>
      <c r="C447">
        <v>1.0098</v>
      </c>
      <c r="D447">
        <v>0.88</v>
      </c>
      <c r="E447">
        <v>0.90890000000000004</v>
      </c>
      <c r="F447">
        <v>2239004.15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-0.55469953775038472</v>
      </c>
      <c r="Q447">
        <f t="shared" si="975"/>
        <v>-1241974.567026193</v>
      </c>
      <c r="R447">
        <f t="shared" si="976"/>
        <v>3997303.9934575399</v>
      </c>
      <c r="S447">
        <f t="shared" si="977"/>
        <v>39.973039934575397</v>
      </c>
      <c r="T447">
        <f t="shared" si="978"/>
        <v>3.9973039934575398E-2</v>
      </c>
    </row>
    <row r="448" spans="1:20" x14ac:dyDescent="0.25">
      <c r="A448" s="5">
        <v>44145</v>
      </c>
      <c r="B448">
        <v>0.97870000000000001</v>
      </c>
      <c r="C448">
        <v>1.0622</v>
      </c>
      <c r="D448">
        <v>0.93049999999999999</v>
      </c>
      <c r="E448">
        <v>1.0146999999999999</v>
      </c>
      <c r="F448">
        <v>2722824.4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0.27866362946089468</v>
      </c>
      <c r="Q448">
        <f t="shared" si="975"/>
        <v>758752.12968868285</v>
      </c>
      <c r="R448">
        <f t="shared" si="976"/>
        <v>5239278.5604837332</v>
      </c>
      <c r="S448">
        <f t="shared" si="977"/>
        <v>52.392785604837329</v>
      </c>
      <c r="T448">
        <f t="shared" si="978"/>
        <v>5.239278560483733E-2</v>
      </c>
    </row>
    <row r="449" spans="1:20" x14ac:dyDescent="0.25">
      <c r="A449" s="5">
        <v>44144</v>
      </c>
      <c r="B449">
        <v>0.83630000000000004</v>
      </c>
      <c r="C449">
        <v>1.04</v>
      </c>
      <c r="D449">
        <v>0.83209999999999995</v>
      </c>
      <c r="E449">
        <v>0.97729999999999995</v>
      </c>
      <c r="F449">
        <v>4921277.88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0.39682539682539619</v>
      </c>
      <c r="Q449">
        <f t="shared" si="975"/>
        <v>1952888.0476190445</v>
      </c>
      <c r="R449">
        <f t="shared" si="976"/>
        <v>4480526.4307950502</v>
      </c>
      <c r="S449">
        <f t="shared" si="977"/>
        <v>44.805264307950502</v>
      </c>
      <c r="T449">
        <f t="shared" si="978"/>
        <v>4.4805264307950503E-2</v>
      </c>
    </row>
    <row r="450" spans="1:20" x14ac:dyDescent="0.25">
      <c r="A450" s="5">
        <v>44143</v>
      </c>
      <c r="B450">
        <v>0.7833</v>
      </c>
      <c r="C450">
        <v>0.89570000000000005</v>
      </c>
      <c r="D450">
        <v>0.77059999999999995</v>
      </c>
      <c r="E450">
        <v>0.83499999999999996</v>
      </c>
      <c r="F450">
        <v>2236073.1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2.9576338928856295E-2</v>
      </c>
      <c r="Q450">
        <f t="shared" si="975"/>
        <v>66134.855875298381</v>
      </c>
      <c r="R450">
        <f t="shared" si="976"/>
        <v>2527638.3831760054</v>
      </c>
      <c r="S450">
        <f t="shared" si="977"/>
        <v>25.276383831760054</v>
      </c>
      <c r="T450">
        <f t="shared" si="978"/>
        <v>2.5276383831760053E-2</v>
      </c>
    </row>
    <row r="451" spans="1:20" x14ac:dyDescent="0.25">
      <c r="A451" s="5">
        <v>44142</v>
      </c>
      <c r="B451">
        <v>0.75260000000000005</v>
      </c>
      <c r="C451">
        <v>0.90810000000000002</v>
      </c>
      <c r="D451">
        <v>0.7</v>
      </c>
      <c r="E451">
        <v>0.78320000000000001</v>
      </c>
      <c r="F451">
        <v>3433305.57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-0.20038443056222943</v>
      </c>
      <c r="Q451">
        <f t="shared" si="975"/>
        <v>-687980.98159058054</v>
      </c>
      <c r="R451">
        <f t="shared" si="976"/>
        <v>2461503.5273007071</v>
      </c>
      <c r="S451">
        <f t="shared" si="977"/>
        <v>24.61503527300707</v>
      </c>
      <c r="T451">
        <f t="shared" si="978"/>
        <v>2.4615035273007069E-2</v>
      </c>
    </row>
    <row r="452" spans="1:20" x14ac:dyDescent="0.25">
      <c r="A452" s="5">
        <v>44141</v>
      </c>
      <c r="B452">
        <v>0.70150000000000001</v>
      </c>
      <c r="C452">
        <v>0.7581</v>
      </c>
      <c r="D452">
        <v>0.67490000000000006</v>
      </c>
      <c r="E452">
        <v>0.75280000000000002</v>
      </c>
      <c r="F452">
        <v>2951742.84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0.87259615384615441</v>
      </c>
      <c r="Q452">
        <f t="shared" si="975"/>
        <v>2575679.4493269245</v>
      </c>
      <c r="R452">
        <f t="shared" si="976"/>
        <v>3149484.5088912877</v>
      </c>
      <c r="S452">
        <f t="shared" si="977"/>
        <v>31.494845088912879</v>
      </c>
      <c r="T452">
        <f t="shared" si="978"/>
        <v>3.1494845088912878E-2</v>
      </c>
    </row>
    <row r="453" spans="1:20" x14ac:dyDescent="0.25">
      <c r="A453" s="5">
        <v>44140</v>
      </c>
      <c r="B453">
        <v>0.71330000000000005</v>
      </c>
      <c r="C453">
        <v>0.74399999999999999</v>
      </c>
      <c r="D453">
        <v>0.67010000000000003</v>
      </c>
      <c r="E453">
        <v>0.70209999999999995</v>
      </c>
      <c r="F453">
        <v>1284779.04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-0.13396481732070548</v>
      </c>
      <c r="Q453">
        <f t="shared" si="975"/>
        <v>-172115.18939107136</v>
      </c>
      <c r="R453">
        <f t="shared" si="976"/>
        <v>573805.05956436309</v>
      </c>
      <c r="S453">
        <f t="shared" si="977"/>
        <v>5.7380505956436307</v>
      </c>
      <c r="T453">
        <f t="shared" si="978"/>
        <v>5.7380505956436305E-3</v>
      </c>
    </row>
    <row r="454" spans="1:20" x14ac:dyDescent="0.25">
      <c r="A454" s="5">
        <v>44139</v>
      </c>
      <c r="B454">
        <v>0.69679999999999997</v>
      </c>
      <c r="C454">
        <v>0.74560000000000004</v>
      </c>
      <c r="D454">
        <v>0.66890000000000005</v>
      </c>
      <c r="E454">
        <v>0.71350000000000002</v>
      </c>
      <c r="F454">
        <v>1008858.43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0.16297262059973869</v>
      </c>
      <c r="Q454">
        <f t="shared" ref="Q454:Q517" si="980">F454*P454</f>
        <v>164416.30215123805</v>
      </c>
      <c r="R454">
        <f t="shared" ref="R454:R517" si="981">R455+Q454</f>
        <v>745920.24895543442</v>
      </c>
      <c r="S454">
        <f t="shared" ref="S454:S517" si="982">R454/100000</f>
        <v>7.4592024895543441</v>
      </c>
      <c r="T454">
        <f t="shared" ref="T454:T517" si="983">S454/1000</f>
        <v>7.459202489554344E-3</v>
      </c>
    </row>
    <row r="455" spans="1:20" x14ac:dyDescent="0.25">
      <c r="A455" s="5">
        <v>44138</v>
      </c>
      <c r="B455">
        <v>0.72760000000000002</v>
      </c>
      <c r="C455">
        <v>0.72899999999999998</v>
      </c>
      <c r="D455">
        <v>0.65010000000000001</v>
      </c>
      <c r="E455">
        <v>0.69779999999999998</v>
      </c>
      <c r="F455">
        <v>912741.47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0.20912547528517067</v>
      </c>
      <c r="Q455">
        <f t="shared" si="980"/>
        <v>190877.49372623535</v>
      </c>
      <c r="R455">
        <f t="shared" si="981"/>
        <v>581503.94680419634</v>
      </c>
      <c r="S455">
        <f t="shared" si="982"/>
        <v>5.815039468041963</v>
      </c>
      <c r="T455">
        <f t="shared" si="983"/>
        <v>5.815039468041963E-3</v>
      </c>
    </row>
    <row r="456" spans="1:20" x14ac:dyDescent="0.25">
      <c r="A456" s="5">
        <v>44137</v>
      </c>
      <c r="B456">
        <v>0.751</v>
      </c>
      <c r="C456">
        <v>0.78390000000000004</v>
      </c>
      <c r="D456">
        <v>0.71350000000000002</v>
      </c>
      <c r="E456">
        <v>0.72740000000000005</v>
      </c>
      <c r="F456">
        <v>921293.96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-0.6051136363636358</v>
      </c>
      <c r="Q456">
        <f t="shared" si="980"/>
        <v>-557487.538295454</v>
      </c>
      <c r="R456">
        <f t="shared" si="981"/>
        <v>390626.45307796099</v>
      </c>
      <c r="S456">
        <f t="shared" si="982"/>
        <v>3.9062645307796098</v>
      </c>
      <c r="T456">
        <f t="shared" si="983"/>
        <v>3.9062645307796099E-3</v>
      </c>
    </row>
    <row r="457" spans="1:20" x14ac:dyDescent="0.25">
      <c r="A457" s="5">
        <v>44136</v>
      </c>
      <c r="B457">
        <v>0.78400000000000003</v>
      </c>
      <c r="C457">
        <v>0.82</v>
      </c>
      <c r="D457">
        <v>0.74019999999999997</v>
      </c>
      <c r="E457">
        <v>0.751</v>
      </c>
      <c r="F457">
        <v>1020512.61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-0.72932330827067582</v>
      </c>
      <c r="Q457">
        <f t="shared" si="980"/>
        <v>-744283.6328571419</v>
      </c>
      <c r="R457">
        <f t="shared" si="981"/>
        <v>948113.99137341499</v>
      </c>
      <c r="S457">
        <f t="shared" si="982"/>
        <v>9.4811399137341503</v>
      </c>
      <c r="T457">
        <f t="shared" si="983"/>
        <v>9.4811399137341504E-3</v>
      </c>
    </row>
    <row r="458" spans="1:20" x14ac:dyDescent="0.25">
      <c r="A458" s="5">
        <v>44135</v>
      </c>
      <c r="B458">
        <v>0.72250000000000003</v>
      </c>
      <c r="C458">
        <v>0.80969999999999998</v>
      </c>
      <c r="D458">
        <v>0.71260000000000001</v>
      </c>
      <c r="E458">
        <v>0.78410000000000002</v>
      </c>
      <c r="F458">
        <v>2009680.42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0.47270854788877514</v>
      </c>
      <c r="Q458">
        <f t="shared" si="980"/>
        <v>949993.11305870372</v>
      </c>
      <c r="R458">
        <f t="shared" si="981"/>
        <v>1692397.6242305569</v>
      </c>
      <c r="S458">
        <f t="shared" si="982"/>
        <v>16.923976242305567</v>
      </c>
      <c r="T458">
        <f t="shared" si="983"/>
        <v>1.6923976242305568E-2</v>
      </c>
    </row>
    <row r="459" spans="1:20" x14ac:dyDescent="0.25">
      <c r="A459" s="5">
        <v>44134</v>
      </c>
      <c r="B459">
        <v>0.79800000000000004</v>
      </c>
      <c r="C459">
        <v>0.80189999999999995</v>
      </c>
      <c r="D459">
        <v>0.67220000000000002</v>
      </c>
      <c r="E459">
        <v>0.72550000000000003</v>
      </c>
      <c r="F459">
        <v>3957516.02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-0.17810331534309878</v>
      </c>
      <c r="Q459">
        <f t="shared" si="980"/>
        <v>-704846.72368542524</v>
      </c>
      <c r="R459">
        <f t="shared" si="981"/>
        <v>742404.51117185317</v>
      </c>
      <c r="S459">
        <f t="shared" si="982"/>
        <v>7.4240451117185318</v>
      </c>
      <c r="T459">
        <f t="shared" si="983"/>
        <v>7.4240451117185318E-3</v>
      </c>
    </row>
    <row r="460" spans="1:20" x14ac:dyDescent="0.25">
      <c r="A460" s="5">
        <v>44133</v>
      </c>
      <c r="B460">
        <v>0.68</v>
      </c>
      <c r="C460">
        <v>0.86109999999999998</v>
      </c>
      <c r="D460">
        <v>0.65900000000000003</v>
      </c>
      <c r="E460">
        <v>0.79769999999999996</v>
      </c>
      <c r="F460">
        <v>5624875.1200000001</v>
      </c>
      <c r="G460">
        <v>0</v>
      </c>
      <c r="L460" t="s">
        <v>7</v>
      </c>
      <c r="M460" t="s">
        <v>8</v>
      </c>
      <c r="N460" t="s">
        <v>7</v>
      </c>
      <c r="P460">
        <f t="shared" si="979"/>
        <v>0.37258782780801553</v>
      </c>
      <c r="Q460">
        <f t="shared" si="980"/>
        <v>2095760.0026521508</v>
      </c>
      <c r="R460">
        <f t="shared" si="981"/>
        <v>1447251.2348572784</v>
      </c>
      <c r="S460">
        <f t="shared" si="982"/>
        <v>14.472512348572785</v>
      </c>
      <c r="T460">
        <f t="shared" si="983"/>
        <v>1.4472512348572785E-2</v>
      </c>
    </row>
    <row r="461" spans="1:20" x14ac:dyDescent="0.25">
      <c r="A461" s="5">
        <v>44132</v>
      </c>
      <c r="B461">
        <v>0.78239999999999998</v>
      </c>
      <c r="C461">
        <v>0.80349999999999999</v>
      </c>
      <c r="D461">
        <v>0.66659999999999997</v>
      </c>
      <c r="E461">
        <v>0.67759999999999998</v>
      </c>
      <c r="F461">
        <v>2230367.6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-0.83929875821767697</v>
      </c>
      <c r="Q461">
        <f t="shared" si="980"/>
        <v>-1871944.7570489405</v>
      </c>
      <c r="R461">
        <f t="shared" si="981"/>
        <v>-648508.7677948724</v>
      </c>
      <c r="S461">
        <f t="shared" si="982"/>
        <v>-6.4850876779487239</v>
      </c>
      <c r="T461">
        <f t="shared" si="983"/>
        <v>-6.4850876779487237E-3</v>
      </c>
    </row>
    <row r="462" spans="1:20" x14ac:dyDescent="0.25">
      <c r="A462" s="5">
        <v>44131</v>
      </c>
      <c r="B462">
        <v>0.82010000000000005</v>
      </c>
      <c r="C462">
        <v>0.83960000000000001</v>
      </c>
      <c r="D462">
        <v>0.75600000000000001</v>
      </c>
      <c r="E462">
        <v>0.78100000000000003</v>
      </c>
      <c r="F462">
        <v>2465394.9900000002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-0.40191387559808567</v>
      </c>
      <c r="Q462">
        <f t="shared" si="980"/>
        <v>-990876.45531100372</v>
      </c>
      <c r="R462">
        <f t="shared" si="981"/>
        <v>1223435.9892540681</v>
      </c>
      <c r="S462">
        <f t="shared" si="982"/>
        <v>12.234359892540681</v>
      </c>
      <c r="T462">
        <f t="shared" si="983"/>
        <v>1.223435989254068E-2</v>
      </c>
    </row>
    <row r="463" spans="1:20" x14ac:dyDescent="0.25">
      <c r="A463" s="5">
        <v>44130</v>
      </c>
      <c r="B463">
        <v>0.9032</v>
      </c>
      <c r="C463">
        <v>0.9214</v>
      </c>
      <c r="D463">
        <v>0.76459999999999995</v>
      </c>
      <c r="E463">
        <v>0.82179999999999997</v>
      </c>
      <c r="F463">
        <v>4354886.4000000004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-0.27040816326530598</v>
      </c>
      <c r="Q463">
        <f t="shared" si="980"/>
        <v>-1177596.8326530608</v>
      </c>
      <c r="R463">
        <f t="shared" si="981"/>
        <v>2214312.4445650717</v>
      </c>
      <c r="S463">
        <f t="shared" si="982"/>
        <v>22.143124445650717</v>
      </c>
      <c r="T463">
        <f t="shared" si="983"/>
        <v>2.2143124445650718E-2</v>
      </c>
    </row>
    <row r="464" spans="1:20" x14ac:dyDescent="0.25">
      <c r="A464" s="5">
        <v>44129</v>
      </c>
      <c r="B464">
        <v>0.95030000000000003</v>
      </c>
      <c r="C464">
        <v>0.99</v>
      </c>
      <c r="D464">
        <v>0.84309999999999996</v>
      </c>
      <c r="E464">
        <v>0.90329999999999999</v>
      </c>
      <c r="F464">
        <v>5756111.9400000004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-0.18039482641252527</v>
      </c>
      <c r="Q464">
        <f t="shared" si="980"/>
        <v>-1038372.8142273641</v>
      </c>
      <c r="R464">
        <f t="shared" si="981"/>
        <v>3391909.2772181323</v>
      </c>
      <c r="S464">
        <f t="shared" si="982"/>
        <v>33.919092772181322</v>
      </c>
      <c r="T464">
        <f t="shared" si="983"/>
        <v>3.3919092772181324E-2</v>
      </c>
    </row>
    <row r="465" spans="1:20" x14ac:dyDescent="0.25">
      <c r="A465" s="5">
        <v>44128</v>
      </c>
      <c r="B465">
        <v>1.1903999999999999</v>
      </c>
      <c r="C465">
        <v>1.1903999999999999</v>
      </c>
      <c r="D465">
        <v>0.93210000000000004</v>
      </c>
      <c r="E465">
        <v>0.9466</v>
      </c>
      <c r="F465">
        <v>10111233.890000001</v>
      </c>
      <c r="G465">
        <v>0</v>
      </c>
      <c r="L465" t="s">
        <v>7</v>
      </c>
      <c r="M465" t="s">
        <v>7</v>
      </c>
      <c r="N465" t="s">
        <v>8</v>
      </c>
      <c r="P465">
        <f t="shared" si="979"/>
        <v>-0.88772744870305875</v>
      </c>
      <c r="Q465">
        <f t="shared" si="980"/>
        <v>-8976019.864409605</v>
      </c>
      <c r="R465">
        <f t="shared" si="981"/>
        <v>4430282.0914454963</v>
      </c>
      <c r="S465">
        <f t="shared" si="982"/>
        <v>44.302820914454962</v>
      </c>
      <c r="T465">
        <f t="shared" si="983"/>
        <v>4.4302820914454963E-2</v>
      </c>
    </row>
    <row r="466" spans="1:20" x14ac:dyDescent="0.25">
      <c r="A466" s="5">
        <v>44127</v>
      </c>
      <c r="B466">
        <v>0.78190000000000004</v>
      </c>
      <c r="C466">
        <v>1.224</v>
      </c>
      <c r="D466">
        <v>0.77790000000000004</v>
      </c>
      <c r="E466">
        <v>1.1838</v>
      </c>
      <c r="F466">
        <v>19189538.300000001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0.81977135171486204</v>
      </c>
      <c r="Q466">
        <f t="shared" si="980"/>
        <v>15731033.750975117</v>
      </c>
      <c r="R466">
        <f t="shared" si="981"/>
        <v>13406301.955855101</v>
      </c>
      <c r="S466">
        <f t="shared" si="982"/>
        <v>134.06301955855102</v>
      </c>
      <c r="T466">
        <f t="shared" si="983"/>
        <v>0.13406301955855102</v>
      </c>
    </row>
    <row r="467" spans="1:20" x14ac:dyDescent="0.25">
      <c r="A467" s="5">
        <v>44126</v>
      </c>
      <c r="B467">
        <v>0.78249999999999997</v>
      </c>
      <c r="C467">
        <v>0.82699999999999996</v>
      </c>
      <c r="D467">
        <v>0.72729999999999995</v>
      </c>
      <c r="E467">
        <v>0.78439999999999999</v>
      </c>
      <c r="F467">
        <v>4813897.4000000004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0.145436308926781</v>
      </c>
      <c r="Q467">
        <f t="shared" si="980"/>
        <v>700115.46940822795</v>
      </c>
      <c r="R467">
        <f t="shared" si="981"/>
        <v>-2324731.7951200148</v>
      </c>
      <c r="S467">
        <f t="shared" si="982"/>
        <v>-23.247317951200149</v>
      </c>
      <c r="T467">
        <f t="shared" si="983"/>
        <v>-2.324731795120015E-2</v>
      </c>
    </row>
    <row r="468" spans="1:20" x14ac:dyDescent="0.25">
      <c r="A468" s="5">
        <v>44125</v>
      </c>
      <c r="B468">
        <v>0.4</v>
      </c>
      <c r="C468">
        <v>1.49</v>
      </c>
      <c r="D468">
        <v>0.18</v>
      </c>
      <c r="E468">
        <v>0.78029999999999999</v>
      </c>
      <c r="F468">
        <v>36220748.780000001</v>
      </c>
      <c r="G468">
        <v>0</v>
      </c>
      <c r="P468">
        <f t="shared" si="979"/>
        <v>-8.3511450381679342E-2</v>
      </c>
      <c r="Q468">
        <f t="shared" si="980"/>
        <v>-3024847.2645282429</v>
      </c>
      <c r="R468">
        <f t="shared" si="981"/>
        <v>-3024847.2645282429</v>
      </c>
      <c r="S468">
        <f t="shared" si="982"/>
        <v>-30.24847264528243</v>
      </c>
      <c r="T468">
        <f t="shared" si="983"/>
        <v>-3.024847264528243E-2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P513" sqref="IP51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$A$512</v>
      </c>
      <c r="D111" s="1" t="str">
        <f>ADDRESS(C121-1,D121,1,1)</f>
        <v>$IP$512</v>
      </c>
      <c r="E111"/>
    </row>
    <row r="112" spans="1:5" x14ac:dyDescent="0.25">
      <c r="A112" s="7">
        <v>12164.144957890772</v>
      </c>
      <c r="C112" s="1" t="str">
        <f>ADDRESS(C121,1,1,1)</f>
        <v>$A$513</v>
      </c>
      <c r="D112" s="1" t="str">
        <f>ADDRESS(C121,D121-1,1,1)</f>
        <v>$IO$513</v>
      </c>
      <c r="E112"/>
    </row>
    <row r="113" spans="1:5" x14ac:dyDescent="0.25">
      <c r="A113" s="7">
        <v>11925.63231165762</v>
      </c>
      <c r="C113" s="1" t="str">
        <f>ADDRESS(C121+1,1,1,1)</f>
        <v>$A$514</v>
      </c>
      <c r="D113" s="1" t="str">
        <f>ADDRESS(C121-1,D121+1,1,1)</f>
        <v>$IQ$512</v>
      </c>
    </row>
    <row r="114" spans="1:5" x14ac:dyDescent="0.25">
      <c r="A114" s="7">
        <v>11691.796383978059</v>
      </c>
      <c r="C114" s="1" t="str">
        <f>ADDRESS(C121,D121,1,1)</f>
        <v>$IP$513</v>
      </c>
      <c r="D114" s="1" t="str">
        <f>ADDRESS(C121+1,D121+1,1,1)</f>
        <v>$IQ$514</v>
      </c>
    </row>
    <row r="115" spans="1:5" x14ac:dyDescent="0.25">
      <c r="A115" s="7">
        <v>11462.545474488292</v>
      </c>
      <c r="C115" s="1" t="str">
        <f>ADDRESS(C121+1,D121,1,1)</f>
        <v>$IP$514</v>
      </c>
    </row>
    <row r="116" spans="1:5" x14ac:dyDescent="0.25">
      <c r="A116" s="7">
        <v>11237.789680870874</v>
      </c>
      <c r="C116" s="1">
        <f>C117-1</f>
        <v>512</v>
      </c>
    </row>
    <row r="117" spans="1:5" x14ac:dyDescent="0.25">
      <c r="A117" s="7">
        <v>11017.440863598895</v>
      </c>
      <c r="C117" s="1">
        <f>C121</f>
        <v>513</v>
      </c>
      <c r="D117" s="1">
        <f>D121</f>
        <v>250</v>
      </c>
    </row>
    <row r="118" spans="1:5" x14ac:dyDescent="0.25">
      <c r="A118" s="7">
        <v>10801.412611371465</v>
      </c>
      <c r="C118" s="1">
        <f>C117+1</f>
        <v>514</v>
      </c>
      <c r="D118" s="1">
        <f>D117+1</f>
        <v>251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513</v>
      </c>
      <c r="D121" s="19">
        <v>250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R513</v>
      </c>
      <c r="D123" s="1" t="str">
        <f>"C"&amp;D121</f>
        <v>C250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4.3292504462035977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120" x14ac:dyDescent="0.25">
      <c r="A417" s="7">
        <v>28.975383953883185</v>
      </c>
      <c r="B417"/>
      <c r="C417"/>
      <c r="D417"/>
      <c r="E417"/>
    </row>
    <row r="418" spans="1:120" x14ac:dyDescent="0.25">
      <c r="A418" s="7">
        <v>28.407239170473709</v>
      </c>
      <c r="B418"/>
      <c r="C418"/>
      <c r="D418"/>
      <c r="E418"/>
    </row>
    <row r="419" spans="1:120" x14ac:dyDescent="0.25">
      <c r="A419" s="7">
        <v>27.850234480856578</v>
      </c>
      <c r="B419"/>
      <c r="C419"/>
      <c r="D419"/>
      <c r="E419"/>
    </row>
    <row r="420" spans="1:120" x14ac:dyDescent="0.25">
      <c r="A420" s="7">
        <v>27.304151451820175</v>
      </c>
      <c r="B420"/>
      <c r="C420"/>
      <c r="D420"/>
      <c r="E420"/>
    </row>
    <row r="421" spans="1:120" x14ac:dyDescent="0.25">
      <c r="A421" s="7">
        <v>26.768775933157034</v>
      </c>
      <c r="B421"/>
      <c r="C421"/>
      <c r="D421"/>
      <c r="E421"/>
    </row>
    <row r="422" spans="1:120" x14ac:dyDescent="0.25">
      <c r="A422" s="7">
        <v>26.243897973683367</v>
      </c>
      <c r="B422"/>
      <c r="C422"/>
      <c r="D422"/>
      <c r="E422"/>
    </row>
    <row r="423" spans="1:120" x14ac:dyDescent="0.25">
      <c r="A423" s="7">
        <v>25.729311738905263</v>
      </c>
      <c r="B423"/>
      <c r="C423"/>
      <c r="D423"/>
      <c r="E423"/>
    </row>
    <row r="424" spans="1:120" x14ac:dyDescent="0.25">
      <c r="A424" s="7">
        <v>25.224815430299277</v>
      </c>
      <c r="B424"/>
      <c r="C424"/>
      <c r="D424"/>
      <c r="E424"/>
      <c r="DO424" s="27" t="s">
        <v>8</v>
      </c>
    </row>
    <row r="425" spans="1:120" x14ac:dyDescent="0.25">
      <c r="A425" s="7">
        <v>24.73021120617576</v>
      </c>
      <c r="B425"/>
      <c r="C425"/>
      <c r="D425"/>
      <c r="E425"/>
      <c r="DG425" s="27" t="s">
        <v>8</v>
      </c>
      <c r="DO425" s="27" t="s">
        <v>8</v>
      </c>
      <c r="DP425" s="27" t="s">
        <v>7</v>
      </c>
    </row>
    <row r="426" spans="1:120" x14ac:dyDescent="0.25">
      <c r="A426" s="7">
        <v>24.24530510409388</v>
      </c>
      <c r="B426"/>
      <c r="C426"/>
      <c r="D426"/>
      <c r="E426"/>
      <c r="DG426" s="27" t="s">
        <v>8</v>
      </c>
      <c r="DH426" s="27" t="s">
        <v>7</v>
      </c>
      <c r="DO426" s="27" t="s">
        <v>8</v>
      </c>
      <c r="DP426" s="27" t="s">
        <v>7</v>
      </c>
    </row>
    <row r="427" spans="1:120" x14ac:dyDescent="0.25">
      <c r="A427" s="7">
        <v>23.769906964797922</v>
      </c>
      <c r="B427"/>
      <c r="C427"/>
      <c r="D427"/>
      <c r="E427"/>
      <c r="DG427" s="27" t="s">
        <v>8</v>
      </c>
      <c r="DH427" s="27" t="s">
        <v>7</v>
      </c>
      <c r="DO427" s="27" t="s">
        <v>8</v>
      </c>
      <c r="DP427" s="27" t="s">
        <v>7</v>
      </c>
    </row>
    <row r="428" spans="1:120" x14ac:dyDescent="0.25">
      <c r="A428" s="7">
        <v>23.303830357645023</v>
      </c>
      <c r="B428"/>
      <c r="C428"/>
      <c r="D428"/>
      <c r="E428"/>
      <c r="DG428" s="27" t="s">
        <v>8</v>
      </c>
      <c r="DH428" s="27" t="s">
        <v>7</v>
      </c>
      <c r="DO428" s="27" t="s">
        <v>8</v>
      </c>
      <c r="DP428" s="27" t="s">
        <v>7</v>
      </c>
    </row>
    <row r="429" spans="1:120" x14ac:dyDescent="0.25">
      <c r="A429" s="7">
        <v>22.84689250749512</v>
      </c>
      <c r="B429"/>
      <c r="C429"/>
      <c r="D429"/>
      <c r="E429"/>
      <c r="DG429" s="27" t="s">
        <v>8</v>
      </c>
      <c r="DH429" s="27" t="s">
        <v>7</v>
      </c>
      <c r="DO429" s="27" t="s">
        <v>8</v>
      </c>
      <c r="DP429" s="27" t="s">
        <v>7</v>
      </c>
    </row>
    <row r="430" spans="1:120" x14ac:dyDescent="0.25">
      <c r="A430" s="7">
        <v>22.398914223034431</v>
      </c>
      <c r="B430"/>
      <c r="C430"/>
      <c r="D430"/>
      <c r="E430"/>
      <c r="DG430" s="27" t="s">
        <v>8</v>
      </c>
      <c r="DH430" s="27" t="s">
        <v>7</v>
      </c>
      <c r="DO430" s="27" t="s">
        <v>8</v>
      </c>
      <c r="DP430" s="27" t="s">
        <v>7</v>
      </c>
    </row>
    <row r="431" spans="1:120" x14ac:dyDescent="0.25">
      <c r="A431" s="7">
        <v>21.959719826504344</v>
      </c>
      <c r="B431"/>
      <c r="C431"/>
      <c r="D431"/>
      <c r="E431"/>
      <c r="DG431" s="27" t="s">
        <v>8</v>
      </c>
      <c r="DH431" s="27" t="s">
        <v>7</v>
      </c>
      <c r="DO431" s="27" t="s">
        <v>8</v>
      </c>
      <c r="DP431" s="27" t="s">
        <v>7</v>
      </c>
    </row>
    <row r="432" spans="1:120" x14ac:dyDescent="0.25">
      <c r="A432" s="7">
        <v>21.52913708480818</v>
      </c>
      <c r="B432"/>
      <c r="C432"/>
      <c r="D432"/>
      <c r="E432"/>
      <c r="DC432" s="27" t="s">
        <v>8</v>
      </c>
      <c r="DG432" s="27" t="s">
        <v>8</v>
      </c>
      <c r="DH432" s="27" t="s">
        <v>7</v>
      </c>
      <c r="DO432" s="27" t="s">
        <v>8</v>
      </c>
      <c r="DP432" s="27" t="s">
        <v>7</v>
      </c>
    </row>
    <row r="433" spans="1:188" x14ac:dyDescent="0.25">
      <c r="A433" s="7">
        <v>21.106997141968804</v>
      </c>
      <c r="B433"/>
      <c r="C433"/>
      <c r="D433"/>
      <c r="E433"/>
      <c r="DC433" s="27" t="s">
        <v>8</v>
      </c>
      <c r="DD433" s="27" t="s">
        <v>7</v>
      </c>
      <c r="DG433" s="27" t="s">
        <v>8</v>
      </c>
      <c r="DH433" s="27" t="s">
        <v>7</v>
      </c>
      <c r="DI433" s="27" t="s">
        <v>8</v>
      </c>
      <c r="DO433" s="27" t="s">
        <v>8</v>
      </c>
      <c r="DP433" s="27" t="s">
        <v>7</v>
      </c>
    </row>
    <row r="434" spans="1:188" x14ac:dyDescent="0.25">
      <c r="A434" s="7">
        <v>20.693134452910591</v>
      </c>
      <c r="B434"/>
      <c r="C434"/>
      <c r="D434"/>
      <c r="E434"/>
      <c r="DC434" s="27" t="s">
        <v>8</v>
      </c>
      <c r="DD434" s="27" t="s">
        <v>7</v>
      </c>
      <c r="DG434" s="27" t="s">
        <v>8</v>
      </c>
      <c r="DH434" s="27" t="s">
        <v>7</v>
      </c>
      <c r="DI434" s="27" t="s">
        <v>8</v>
      </c>
      <c r="DJ434" s="27" t="s">
        <v>7</v>
      </c>
      <c r="DO434" s="27" t="s">
        <v>8</v>
      </c>
      <c r="DP434" s="27" t="s">
        <v>7</v>
      </c>
    </row>
    <row r="435" spans="1:188" x14ac:dyDescent="0.25">
      <c r="A435" s="7">
        <v>20.287386718539796</v>
      </c>
      <c r="B435"/>
      <c r="C435"/>
      <c r="D435"/>
      <c r="E435"/>
      <c r="DC435" s="27" t="s">
        <v>8</v>
      </c>
      <c r="DD435" s="27" t="s">
        <v>7</v>
      </c>
      <c r="DE435" s="27" t="s">
        <v>8</v>
      </c>
      <c r="DG435" s="27" t="s">
        <v>8</v>
      </c>
      <c r="DH435" s="27" t="s">
        <v>7</v>
      </c>
      <c r="DI435" s="27" t="s">
        <v>8</v>
      </c>
      <c r="DJ435" s="27" t="s">
        <v>7</v>
      </c>
      <c r="DO435" s="27" t="s">
        <v>8</v>
      </c>
      <c r="DP435" s="27" t="s">
        <v>7</v>
      </c>
    </row>
    <row r="436" spans="1:188" x14ac:dyDescent="0.25">
      <c r="A436" s="7">
        <v>19.889594822097838</v>
      </c>
      <c r="B436"/>
      <c r="C436"/>
      <c r="D436"/>
      <c r="E436"/>
      <c r="DC436" s="27" t="s">
        <v>8</v>
      </c>
      <c r="DD436" s="27" t="s">
        <v>7</v>
      </c>
      <c r="DE436" s="27" t="s">
        <v>8</v>
      </c>
      <c r="DF436" s="27" t="s">
        <v>7</v>
      </c>
      <c r="DG436" s="27" t="s">
        <v>8</v>
      </c>
      <c r="DH436" s="27" t="s">
        <v>7</v>
      </c>
      <c r="DI436" s="27" t="s">
        <v>8</v>
      </c>
      <c r="DJ436" s="27" t="s">
        <v>7</v>
      </c>
      <c r="DM436" s="27" t="s">
        <v>8</v>
      </c>
      <c r="DO436" s="27" t="s">
        <v>8</v>
      </c>
      <c r="DP436" s="27" t="s">
        <v>7</v>
      </c>
    </row>
    <row r="437" spans="1:188" x14ac:dyDescent="0.25">
      <c r="A437" s="7">
        <v>19.499602766762585</v>
      </c>
      <c r="B437"/>
      <c r="C437"/>
      <c r="D437"/>
      <c r="E437"/>
      <c r="DC437" s="27" t="s">
        <v>8</v>
      </c>
      <c r="DD437" s="27" t="s">
        <v>7</v>
      </c>
      <c r="DE437" s="27" t="s">
        <v>8</v>
      </c>
      <c r="DF437" s="27" t="s">
        <v>7</v>
      </c>
      <c r="DG437" s="27" t="s">
        <v>8</v>
      </c>
      <c r="DH437" s="27" t="s">
        <v>7</v>
      </c>
      <c r="DJ437" s="27" t="s">
        <v>7</v>
      </c>
      <c r="DK437" s="27" t="s">
        <v>8</v>
      </c>
      <c r="DM437" s="27" t="s">
        <v>8</v>
      </c>
      <c r="DN437" s="27" t="s">
        <v>7</v>
      </c>
      <c r="DO437" s="27" t="s">
        <v>8</v>
      </c>
      <c r="DP437" s="27" t="s">
        <v>7</v>
      </c>
    </row>
    <row r="438" spans="1:188" x14ac:dyDescent="0.25">
      <c r="A438" s="7">
        <v>19.117257614473122</v>
      </c>
      <c r="B438"/>
      <c r="C438"/>
      <c r="D438"/>
      <c r="E438"/>
      <c r="DC438" s="27" t="s">
        <v>8</v>
      </c>
      <c r="DD438" s="27" t="s">
        <v>7</v>
      </c>
      <c r="DE438" s="27" t="s">
        <v>8</v>
      </c>
      <c r="DF438" s="27" t="s">
        <v>7</v>
      </c>
      <c r="DG438" s="27" t="s">
        <v>8</v>
      </c>
      <c r="DJ438" s="27" t="s">
        <v>7</v>
      </c>
      <c r="DK438" s="27" t="s">
        <v>8</v>
      </c>
      <c r="DL438" s="27" t="s">
        <v>7</v>
      </c>
      <c r="DM438" s="27" t="s">
        <v>8</v>
      </c>
      <c r="DN438" s="27" t="s">
        <v>7</v>
      </c>
      <c r="DO438" s="27" t="s">
        <v>8</v>
      </c>
      <c r="DP438" s="27" t="s">
        <v>7</v>
      </c>
    </row>
    <row r="439" spans="1:188" x14ac:dyDescent="0.25">
      <c r="A439" s="7">
        <v>18.74240942595404</v>
      </c>
      <c r="B439"/>
      <c r="C439"/>
      <c r="D439"/>
      <c r="E439"/>
      <c r="DC439" s="27" t="s">
        <v>8</v>
      </c>
      <c r="DD439" s="27" t="s">
        <v>7</v>
      </c>
      <c r="DE439" s="27" t="s">
        <v>8</v>
      </c>
      <c r="DF439" s="27" t="s">
        <v>7</v>
      </c>
      <c r="DG439" s="27" t="s">
        <v>8</v>
      </c>
      <c r="DJ439" s="27" t="s">
        <v>7</v>
      </c>
      <c r="DK439" s="27" t="s">
        <v>8</v>
      </c>
      <c r="DL439" s="27" t="s">
        <v>7</v>
      </c>
      <c r="DM439" s="27" t="s">
        <v>8</v>
      </c>
      <c r="DN439" s="27" t="s">
        <v>7</v>
      </c>
      <c r="DO439" s="27" t="s">
        <v>8</v>
      </c>
      <c r="DP439" s="27" t="s">
        <v>7</v>
      </c>
      <c r="DQ439" s="27" t="s">
        <v>8</v>
      </c>
      <c r="DS439" s="27" t="s">
        <v>8</v>
      </c>
    </row>
    <row r="440" spans="1:188" x14ac:dyDescent="0.25">
      <c r="A440" s="7">
        <v>18.374911201915726</v>
      </c>
      <c r="B440"/>
      <c r="C440"/>
      <c r="D440"/>
      <c r="E440"/>
      <c r="DC440" s="27" t="s">
        <v>8</v>
      </c>
      <c r="DD440" s="27" t="s">
        <v>7</v>
      </c>
      <c r="DE440" s="27" t="s">
        <v>8</v>
      </c>
      <c r="DF440" s="27" t="s">
        <v>7</v>
      </c>
      <c r="DG440" s="27" t="s">
        <v>8</v>
      </c>
      <c r="DJ440" s="27" t="s">
        <v>7</v>
      </c>
      <c r="DK440" s="27" t="s">
        <v>8</v>
      </c>
      <c r="DL440" s="27" t="s">
        <v>7</v>
      </c>
      <c r="DM440" s="27" t="s">
        <v>8</v>
      </c>
      <c r="DN440" s="27" t="s">
        <v>7</v>
      </c>
      <c r="DO440" s="27" t="s">
        <v>8</v>
      </c>
      <c r="DP440" s="27" t="s">
        <v>7</v>
      </c>
      <c r="DQ440" s="27" t="s">
        <v>8</v>
      </c>
      <c r="DR440" s="27" t="s">
        <v>7</v>
      </c>
      <c r="DS440" s="27" t="s">
        <v>8</v>
      </c>
      <c r="DT440" s="27" t="s">
        <v>7</v>
      </c>
    </row>
    <row r="441" spans="1:188" x14ac:dyDescent="0.25">
      <c r="A441" s="7">
        <v>18.014618825407574</v>
      </c>
      <c r="B441"/>
      <c r="C441"/>
      <c r="D441"/>
      <c r="E441"/>
      <c r="BQ441" s="27" t="s">
        <v>8</v>
      </c>
      <c r="DC441" s="27" t="s">
        <v>8</v>
      </c>
      <c r="DD441" s="27" t="s">
        <v>7</v>
      </c>
      <c r="DE441" s="27" t="s">
        <v>8</v>
      </c>
      <c r="DF441" s="27" t="s">
        <v>7</v>
      </c>
      <c r="DG441" s="27" t="s">
        <v>8</v>
      </c>
      <c r="DJ441" s="27" t="s">
        <v>7</v>
      </c>
      <c r="DK441" s="27" t="s">
        <v>8</v>
      </c>
      <c r="DL441" s="27" t="s">
        <v>7</v>
      </c>
      <c r="DM441" s="27" t="s">
        <v>8</v>
      </c>
      <c r="DN441" s="27" t="s">
        <v>7</v>
      </c>
      <c r="DO441" s="27" t="s">
        <v>8</v>
      </c>
      <c r="DP441" s="27" t="s">
        <v>7</v>
      </c>
      <c r="DQ441" s="27" t="s">
        <v>8</v>
      </c>
      <c r="DR441" s="27" t="s">
        <v>7</v>
      </c>
      <c r="DS441" s="27" t="s">
        <v>8</v>
      </c>
      <c r="DT441" s="27" t="s">
        <v>7</v>
      </c>
    </row>
    <row r="442" spans="1:188" x14ac:dyDescent="0.25">
      <c r="A442" s="7">
        <v>17.661391005301542</v>
      </c>
      <c r="B442"/>
      <c r="C442"/>
      <c r="D442"/>
      <c r="E442"/>
      <c r="BQ442" s="27" t="s">
        <v>8</v>
      </c>
      <c r="BR442" s="27" t="s">
        <v>7</v>
      </c>
      <c r="DC442" s="27" t="s">
        <v>8</v>
      </c>
      <c r="DD442" s="27" t="s">
        <v>7</v>
      </c>
      <c r="DE442" s="27" t="s">
        <v>8</v>
      </c>
      <c r="DF442" s="27" t="s">
        <v>7</v>
      </c>
      <c r="DG442" s="27" t="s">
        <v>8</v>
      </c>
      <c r="DJ442" s="27" t="s">
        <v>7</v>
      </c>
      <c r="DL442" s="27" t="s">
        <v>7</v>
      </c>
      <c r="DM442" s="27" t="s">
        <v>8</v>
      </c>
      <c r="DN442" s="27" t="s">
        <v>7</v>
      </c>
      <c r="DO442" s="27" t="s">
        <v>8</v>
      </c>
      <c r="DP442" s="27" t="s">
        <v>7</v>
      </c>
      <c r="DQ442" s="27" t="s">
        <v>8</v>
      </c>
      <c r="DR442" s="27" t="s">
        <v>7</v>
      </c>
      <c r="DS442" s="27" t="s">
        <v>8</v>
      </c>
      <c r="DT442" s="27" t="s">
        <v>7</v>
      </c>
    </row>
    <row r="443" spans="1:188" x14ac:dyDescent="0.25">
      <c r="A443" s="7">
        <v>17.315089220883866</v>
      </c>
      <c r="B443"/>
      <c r="C443"/>
      <c r="D443"/>
      <c r="E443"/>
      <c r="BO443" s="27" t="s">
        <v>8</v>
      </c>
      <c r="BQ443" s="27" t="s">
        <v>8</v>
      </c>
      <c r="BR443" s="27" t="s">
        <v>7</v>
      </c>
      <c r="DC443" s="27" t="s">
        <v>8</v>
      </c>
      <c r="DD443" s="27" t="s">
        <v>7</v>
      </c>
      <c r="DE443" s="27" t="s">
        <v>8</v>
      </c>
      <c r="DF443" s="27" t="s">
        <v>7</v>
      </c>
      <c r="DG443" s="27" t="s">
        <v>8</v>
      </c>
      <c r="DL443" s="27" t="s">
        <v>7</v>
      </c>
      <c r="DM443" s="27" t="s">
        <v>8</v>
      </c>
      <c r="DN443" s="27" t="s">
        <v>7</v>
      </c>
      <c r="DO443" s="27" t="s">
        <v>8</v>
      </c>
      <c r="DP443" s="27" t="s">
        <v>7</v>
      </c>
      <c r="DQ443" s="27" t="s">
        <v>8</v>
      </c>
      <c r="DR443" s="27" t="s">
        <v>7</v>
      </c>
      <c r="DS443" s="27" t="s">
        <v>8</v>
      </c>
      <c r="DT443" s="27" t="s">
        <v>7</v>
      </c>
    </row>
    <row r="444" spans="1:188" x14ac:dyDescent="0.25">
      <c r="A444" s="7">
        <v>16.975577667533202</v>
      </c>
      <c r="B444"/>
      <c r="C444"/>
      <c r="D444"/>
      <c r="E444"/>
      <c r="BO444" s="27" t="s">
        <v>8</v>
      </c>
      <c r="BP444" s="27" t="s">
        <v>7</v>
      </c>
      <c r="BQ444" s="27" t="s">
        <v>8</v>
      </c>
      <c r="BR444" s="27" t="s">
        <v>7</v>
      </c>
      <c r="DC444" s="27" t="s">
        <v>8</v>
      </c>
      <c r="DD444" s="27" t="s">
        <v>7</v>
      </c>
      <c r="DE444" s="27" t="s">
        <v>8</v>
      </c>
      <c r="DF444" s="27" t="s">
        <v>7</v>
      </c>
      <c r="DL444" s="27" t="s">
        <v>7</v>
      </c>
      <c r="DN444" s="27" t="s">
        <v>7</v>
      </c>
      <c r="DO444" s="27" t="s">
        <v>8</v>
      </c>
      <c r="DP444" s="27" t="s">
        <v>7</v>
      </c>
      <c r="DQ444" s="27" t="s">
        <v>8</v>
      </c>
      <c r="DR444" s="27" t="s">
        <v>7</v>
      </c>
      <c r="DS444" s="27" t="s">
        <v>8</v>
      </c>
      <c r="DT444" s="27" t="s">
        <v>7</v>
      </c>
    </row>
    <row r="445" spans="1:188" x14ac:dyDescent="0.25">
      <c r="A445" s="7">
        <v>16.642723203463923</v>
      </c>
      <c r="B445"/>
      <c r="C445"/>
      <c r="D445"/>
      <c r="E445"/>
      <c r="BM445" s="27" t="s">
        <v>8</v>
      </c>
      <c r="BO445" s="27" t="s">
        <v>8</v>
      </c>
      <c r="BP445" s="27" t="s">
        <v>7</v>
      </c>
      <c r="BQ445" s="27" t="s">
        <v>8</v>
      </c>
      <c r="BR445" s="27" t="s">
        <v>7</v>
      </c>
      <c r="DC445" s="27" t="s">
        <v>8</v>
      </c>
      <c r="DD445" s="27" t="s">
        <v>7</v>
      </c>
      <c r="DE445" s="27" t="s">
        <v>8</v>
      </c>
      <c r="DN445" s="27" t="s">
        <v>7</v>
      </c>
      <c r="DO445" s="27" t="s">
        <v>8</v>
      </c>
      <c r="DP445" s="27" t="s">
        <v>7</v>
      </c>
      <c r="DR445" s="27" t="s">
        <v>7</v>
      </c>
      <c r="DS445" s="27" t="s">
        <v>8</v>
      </c>
      <c r="DT445" s="27" t="s">
        <v>7</v>
      </c>
      <c r="GE445" s="27" t="s">
        <v>8</v>
      </c>
    </row>
    <row r="446" spans="1:188" x14ac:dyDescent="0.25">
      <c r="A446" s="7">
        <v>16.316395297513651</v>
      </c>
      <c r="B446"/>
      <c r="C446"/>
      <c r="D446"/>
      <c r="E446"/>
      <c r="BM446" s="27" t="s">
        <v>8</v>
      </c>
      <c r="BN446" s="27" t="s">
        <v>7</v>
      </c>
      <c r="BO446" s="27" t="s">
        <v>8</v>
      </c>
      <c r="BP446" s="27" t="s">
        <v>7</v>
      </c>
      <c r="BQ446" s="27" t="s">
        <v>8</v>
      </c>
      <c r="BR446" s="27" t="s">
        <v>7</v>
      </c>
      <c r="DC446" s="27" t="s">
        <v>8</v>
      </c>
      <c r="DD446" s="27" t="s">
        <v>7</v>
      </c>
      <c r="DE446" s="27" t="s">
        <v>8</v>
      </c>
      <c r="DN446" s="27" t="s">
        <v>7</v>
      </c>
      <c r="DO446" s="27" t="s">
        <v>8</v>
      </c>
      <c r="DR446" s="27" t="s">
        <v>7</v>
      </c>
      <c r="DS446" s="27" t="s">
        <v>8</v>
      </c>
      <c r="DT446" s="27" t="s">
        <v>7</v>
      </c>
      <c r="GE446" s="27" t="s">
        <v>8</v>
      </c>
      <c r="GF446" s="27" t="s">
        <v>7</v>
      </c>
    </row>
    <row r="447" spans="1:188" x14ac:dyDescent="0.25">
      <c r="A447" s="7">
        <v>15.996465977954561</v>
      </c>
      <c r="B447"/>
      <c r="C447"/>
      <c r="D447"/>
      <c r="E447"/>
      <c r="BM447" s="27" t="s">
        <v>8</v>
      </c>
      <c r="BN447" s="27" t="s">
        <v>7</v>
      </c>
      <c r="BO447" s="27" t="s">
        <v>8</v>
      </c>
      <c r="BP447" s="27" t="s">
        <v>7</v>
      </c>
      <c r="BQ447" s="27" t="s">
        <v>8</v>
      </c>
      <c r="BR447" s="27" t="s">
        <v>7</v>
      </c>
      <c r="DC447" s="27" t="s">
        <v>8</v>
      </c>
      <c r="DD447" s="27" t="s">
        <v>7</v>
      </c>
      <c r="DE447" s="27" t="s">
        <v>8</v>
      </c>
      <c r="DN447" s="27" t="s">
        <v>7</v>
      </c>
      <c r="DO447" s="27" t="s">
        <v>8</v>
      </c>
      <c r="DR447" s="27" t="s">
        <v>7</v>
      </c>
      <c r="DS447" s="27" t="s">
        <v>8</v>
      </c>
      <c r="DT447" s="27" t="s">
        <v>7</v>
      </c>
      <c r="GE447" s="27" t="s">
        <v>8</v>
      </c>
      <c r="GF447" s="27" t="s">
        <v>7</v>
      </c>
    </row>
    <row r="448" spans="1:188" x14ac:dyDescent="0.25">
      <c r="A448" s="7">
        <v>15.682809782308393</v>
      </c>
      <c r="B448"/>
      <c r="C448"/>
      <c r="D448"/>
      <c r="E448"/>
      <c r="BM448" s="27" t="s">
        <v>8</v>
      </c>
      <c r="BN448" s="27" t="s">
        <v>7</v>
      </c>
      <c r="BO448" s="27" t="s">
        <v>8</v>
      </c>
      <c r="BP448" s="27" t="s">
        <v>7</v>
      </c>
      <c r="BQ448" s="27" t="s">
        <v>8</v>
      </c>
      <c r="BR448" s="27" t="s">
        <v>7</v>
      </c>
      <c r="BS448" s="27" t="s">
        <v>8</v>
      </c>
      <c r="CU448" s="27" t="s">
        <v>8</v>
      </c>
      <c r="DC448" s="27" t="s">
        <v>8</v>
      </c>
      <c r="DD448" s="27" t="s">
        <v>7</v>
      </c>
      <c r="DE448" s="27" t="s">
        <v>8</v>
      </c>
      <c r="DN448" s="27" t="s">
        <v>7</v>
      </c>
      <c r="DR448" s="27" t="s">
        <v>7</v>
      </c>
      <c r="DS448" s="27" t="s">
        <v>8</v>
      </c>
      <c r="DT448" s="27" t="s">
        <v>7</v>
      </c>
      <c r="GE448" s="27" t="s">
        <v>8</v>
      </c>
      <c r="GF448" s="27" t="s">
        <v>7</v>
      </c>
    </row>
    <row r="449" spans="1:232" x14ac:dyDescent="0.25">
      <c r="A449" s="7">
        <v>15.375303708145482</v>
      </c>
      <c r="B449"/>
      <c r="C449"/>
      <c r="D449"/>
      <c r="E449"/>
      <c r="BM449" s="27" t="s">
        <v>8</v>
      </c>
      <c r="BN449" s="27" t="s">
        <v>7</v>
      </c>
      <c r="BO449" s="27" t="s">
        <v>8</v>
      </c>
      <c r="BP449" s="27" t="s">
        <v>7</v>
      </c>
      <c r="BQ449" s="27" t="s">
        <v>8</v>
      </c>
      <c r="BR449" s="27" t="s">
        <v>7</v>
      </c>
      <c r="BS449" s="27" t="s">
        <v>8</v>
      </c>
      <c r="BT449" s="27" t="s">
        <v>7</v>
      </c>
      <c r="CU449" s="27" t="s">
        <v>8</v>
      </c>
      <c r="CV449" s="27" t="s">
        <v>7</v>
      </c>
      <c r="DC449" s="27" t="s">
        <v>8</v>
      </c>
      <c r="DD449" s="27" t="s">
        <v>7</v>
      </c>
      <c r="DE449" s="27" t="s">
        <v>8</v>
      </c>
      <c r="DR449" s="27" t="s">
        <v>7</v>
      </c>
      <c r="DS449" s="27" t="s">
        <v>8</v>
      </c>
      <c r="DT449" s="27" t="s">
        <v>7</v>
      </c>
      <c r="GE449" s="27" t="s">
        <v>8</v>
      </c>
      <c r="GF449" s="27" t="s">
        <v>7</v>
      </c>
    </row>
    <row r="450" spans="1:232" x14ac:dyDescent="0.25">
      <c r="A450" s="7">
        <v>15.073827164848511</v>
      </c>
      <c r="B450"/>
      <c r="C450"/>
      <c r="D450"/>
      <c r="E450"/>
      <c r="BM450" s="27" t="s">
        <v>8</v>
      </c>
      <c r="BN450" s="27" t="s">
        <v>7</v>
      </c>
      <c r="BO450" s="27" t="s">
        <v>8</v>
      </c>
      <c r="BP450" s="27" t="s">
        <v>7</v>
      </c>
      <c r="BQ450" s="27" t="s">
        <v>8</v>
      </c>
      <c r="BR450" s="27" t="s">
        <v>7</v>
      </c>
      <c r="BS450" s="27" t="s">
        <v>8</v>
      </c>
      <c r="BT450" s="27" t="s">
        <v>7</v>
      </c>
      <c r="CM450" s="27" t="s">
        <v>8</v>
      </c>
      <c r="CU450" s="27" t="s">
        <v>8</v>
      </c>
      <c r="CV450" s="27" t="s">
        <v>7</v>
      </c>
      <c r="CY450" s="27" t="s">
        <v>8</v>
      </c>
      <c r="DC450" s="27" t="s">
        <v>8</v>
      </c>
      <c r="DD450" s="27" t="s">
        <v>7</v>
      </c>
      <c r="DE450" s="27" t="s">
        <v>8</v>
      </c>
      <c r="DR450" s="27" t="s">
        <v>7</v>
      </c>
      <c r="DS450" s="27" t="s">
        <v>8</v>
      </c>
      <c r="DT450" s="27" t="s">
        <v>7</v>
      </c>
      <c r="GE450" s="27" t="s">
        <v>8</v>
      </c>
      <c r="GF450" s="27" t="s">
        <v>7</v>
      </c>
    </row>
    <row r="451" spans="1:232" x14ac:dyDescent="0.25">
      <c r="A451" s="7">
        <v>14.77826192632207</v>
      </c>
      <c r="B451"/>
      <c r="C451"/>
      <c r="D451"/>
      <c r="E451"/>
      <c r="BM451" s="27" t="s">
        <v>8</v>
      </c>
      <c r="BN451" s="27" t="s">
        <v>7</v>
      </c>
      <c r="BO451" s="27" t="s">
        <v>8</v>
      </c>
      <c r="BP451" s="27" t="s">
        <v>7</v>
      </c>
      <c r="BQ451" s="27" t="s">
        <v>8</v>
      </c>
      <c r="BR451" s="27" t="s">
        <v>7</v>
      </c>
      <c r="BS451" s="27" t="s">
        <v>8</v>
      </c>
      <c r="BT451" s="27" t="s">
        <v>7</v>
      </c>
      <c r="CM451" s="27" t="s">
        <v>8</v>
      </c>
      <c r="CN451" s="27" t="s">
        <v>7</v>
      </c>
      <c r="CU451" s="27" t="s">
        <v>8</v>
      </c>
      <c r="CV451" s="27" t="s">
        <v>7</v>
      </c>
      <c r="CW451" s="27" t="s">
        <v>8</v>
      </c>
      <c r="CY451" s="27" t="s">
        <v>8</v>
      </c>
      <c r="CZ451" s="27" t="s">
        <v>7</v>
      </c>
      <c r="DC451" s="27" t="s">
        <v>8</v>
      </c>
      <c r="DD451" s="27" t="s">
        <v>7</v>
      </c>
      <c r="DE451" s="27" t="s">
        <v>8</v>
      </c>
      <c r="DR451" s="27" t="s">
        <v>7</v>
      </c>
      <c r="DS451" s="27" t="s">
        <v>8</v>
      </c>
      <c r="DT451" s="27" t="s">
        <v>7</v>
      </c>
      <c r="FU451" s="27" t="s">
        <v>8</v>
      </c>
      <c r="GE451" s="27" t="s">
        <v>8</v>
      </c>
      <c r="GF451" s="27" t="s">
        <v>7</v>
      </c>
      <c r="HK451" s="27" t="s">
        <v>8</v>
      </c>
    </row>
    <row r="452" spans="1:232" x14ac:dyDescent="0.25">
      <c r="A452" s="7">
        <v>14.488492084629481</v>
      </c>
      <c r="B452"/>
      <c r="C452"/>
      <c r="D452"/>
      <c r="E452"/>
      <c r="BM452" s="27" t="s">
        <v>8</v>
      </c>
      <c r="BN452" s="27" t="s">
        <v>7</v>
      </c>
      <c r="BO452" s="27" t="s">
        <v>8</v>
      </c>
      <c r="BP452" s="27" t="s">
        <v>7</v>
      </c>
      <c r="BQ452" s="27" t="s">
        <v>8</v>
      </c>
      <c r="BR452" s="27" t="s">
        <v>7</v>
      </c>
      <c r="BS452" s="27" t="s">
        <v>8</v>
      </c>
      <c r="BT452" s="27" t="s">
        <v>7</v>
      </c>
      <c r="CM452" s="27" t="s">
        <v>8</v>
      </c>
      <c r="CN452" s="27" t="s">
        <v>7</v>
      </c>
      <c r="CO452" s="27" t="s">
        <v>8</v>
      </c>
      <c r="CS452" s="27" t="s">
        <v>8</v>
      </c>
      <c r="CU452" s="27" t="s">
        <v>8</v>
      </c>
      <c r="CV452" s="27" t="s">
        <v>7</v>
      </c>
      <c r="CW452" s="27" t="s">
        <v>8</v>
      </c>
      <c r="CX452" s="27" t="s">
        <v>7</v>
      </c>
      <c r="CY452" s="27" t="s">
        <v>8</v>
      </c>
      <c r="CZ452" s="27" t="s">
        <v>7</v>
      </c>
      <c r="DC452" s="27" t="s">
        <v>8</v>
      </c>
      <c r="DD452" s="27" t="s">
        <v>7</v>
      </c>
      <c r="DE452" s="27" t="s">
        <v>8</v>
      </c>
      <c r="DR452" s="27" t="s">
        <v>7</v>
      </c>
      <c r="DS452" s="27" t="s">
        <v>8</v>
      </c>
      <c r="DT452" s="27" t="s">
        <v>7</v>
      </c>
      <c r="FU452" s="27" t="s">
        <v>8</v>
      </c>
      <c r="FV452" s="27" t="s">
        <v>7</v>
      </c>
      <c r="GE452" s="27" t="s">
        <v>8</v>
      </c>
      <c r="GF452" s="27" t="s">
        <v>7</v>
      </c>
      <c r="HK452" s="27" t="s">
        <v>8</v>
      </c>
      <c r="HL452" s="27" t="s">
        <v>7</v>
      </c>
      <c r="HM452" s="27" t="s">
        <v>8</v>
      </c>
      <c r="HO452" s="27" t="s">
        <v>8</v>
      </c>
    </row>
    <row r="453" spans="1:232" x14ac:dyDescent="0.25">
      <c r="A453" s="7">
        <v>14.204404004538707</v>
      </c>
      <c r="B453"/>
      <c r="C453"/>
      <c r="D453"/>
      <c r="E453"/>
      <c r="BM453" s="27" t="s">
        <v>8</v>
      </c>
      <c r="BN453" s="27" t="s">
        <v>7</v>
      </c>
      <c r="BO453" s="27" t="s">
        <v>8</v>
      </c>
      <c r="BP453" s="27" t="s">
        <v>7</v>
      </c>
      <c r="BQ453" s="27" t="s">
        <v>8</v>
      </c>
      <c r="BR453" s="27" t="s">
        <v>7</v>
      </c>
      <c r="BS453" s="27" t="s">
        <v>8</v>
      </c>
      <c r="BT453" s="27" t="s">
        <v>7</v>
      </c>
      <c r="CI453" s="27" t="s">
        <v>8</v>
      </c>
      <c r="CM453" s="27" t="s">
        <v>8</v>
      </c>
      <c r="CN453" s="27" t="s">
        <v>7</v>
      </c>
      <c r="CO453" s="27" t="s">
        <v>8</v>
      </c>
      <c r="CP453" s="27" t="s">
        <v>7</v>
      </c>
      <c r="CS453" s="27" t="s">
        <v>8</v>
      </c>
      <c r="CT453" s="27" t="s">
        <v>7</v>
      </c>
      <c r="CU453" s="27" t="s">
        <v>8</v>
      </c>
      <c r="CV453" s="27" t="s">
        <v>7</v>
      </c>
      <c r="CW453" s="27" t="s">
        <v>8</v>
      </c>
      <c r="CX453" s="27" t="s">
        <v>7</v>
      </c>
      <c r="CY453" s="27" t="s">
        <v>8</v>
      </c>
      <c r="CZ453" s="27" t="s">
        <v>7</v>
      </c>
      <c r="DA453" s="27" t="s">
        <v>8</v>
      </c>
      <c r="DC453" s="27" t="s">
        <v>8</v>
      </c>
      <c r="DD453" s="27" t="s">
        <v>7</v>
      </c>
      <c r="DE453" s="27" t="s">
        <v>8</v>
      </c>
      <c r="DR453" s="27" t="s">
        <v>7</v>
      </c>
      <c r="DS453" s="27" t="s">
        <v>8</v>
      </c>
      <c r="DT453" s="27" t="s">
        <v>7</v>
      </c>
      <c r="FU453" s="27" t="s">
        <v>8</v>
      </c>
      <c r="FV453" s="27" t="s">
        <v>7</v>
      </c>
      <c r="GC453" s="27" t="s">
        <v>8</v>
      </c>
      <c r="GE453" s="27" t="s">
        <v>8</v>
      </c>
      <c r="GF453" s="27" t="s">
        <v>7</v>
      </c>
      <c r="HA453" s="27" t="s">
        <v>8</v>
      </c>
      <c r="HG453" s="27" t="s">
        <v>8</v>
      </c>
      <c r="HK453" s="27" t="s">
        <v>8</v>
      </c>
      <c r="HL453" s="27" t="s">
        <v>7</v>
      </c>
      <c r="HM453" s="27" t="s">
        <v>8</v>
      </c>
      <c r="HN453" s="27" t="s">
        <v>7</v>
      </c>
      <c r="HO453" s="27" t="s">
        <v>8</v>
      </c>
      <c r="HP453" s="27" t="s">
        <v>7</v>
      </c>
      <c r="HQ453" s="27" t="s">
        <v>8</v>
      </c>
    </row>
    <row r="454" spans="1:232" x14ac:dyDescent="0.25">
      <c r="A454" s="7">
        <v>13.925886278959517</v>
      </c>
      <c r="B454"/>
      <c r="C454"/>
      <c r="D454"/>
      <c r="E454"/>
      <c r="BK454" s="27" t="s">
        <v>8</v>
      </c>
      <c r="BM454" s="27" t="s">
        <v>8</v>
      </c>
      <c r="BN454" s="27" t="s">
        <v>7</v>
      </c>
      <c r="BO454" s="27" t="s">
        <v>8</v>
      </c>
      <c r="BP454" s="27" t="s">
        <v>7</v>
      </c>
      <c r="BQ454" s="27" t="s">
        <v>8</v>
      </c>
      <c r="BR454" s="27" t="s">
        <v>7</v>
      </c>
      <c r="BS454" s="27" t="s">
        <v>8</v>
      </c>
      <c r="BT454" s="27" t="s">
        <v>7</v>
      </c>
      <c r="BW454" s="27" t="s">
        <v>8</v>
      </c>
      <c r="BY454" s="27" t="s">
        <v>8</v>
      </c>
      <c r="CG454" s="27" t="s">
        <v>8</v>
      </c>
      <c r="CI454" s="27" t="s">
        <v>8</v>
      </c>
      <c r="CJ454" s="27" t="s">
        <v>7</v>
      </c>
      <c r="CM454" s="27" t="s">
        <v>8</v>
      </c>
      <c r="CN454" s="27" t="s">
        <v>7</v>
      </c>
      <c r="CO454" s="27" t="s">
        <v>8</v>
      </c>
      <c r="CP454" s="27" t="s">
        <v>7</v>
      </c>
      <c r="CS454" s="27" t="s">
        <v>8</v>
      </c>
      <c r="CT454" s="27" t="s">
        <v>7</v>
      </c>
      <c r="CU454" s="27" t="s">
        <v>8</v>
      </c>
      <c r="CV454" s="27" t="s">
        <v>7</v>
      </c>
      <c r="CW454" s="27" t="s">
        <v>8</v>
      </c>
      <c r="CX454" s="27" t="s">
        <v>7</v>
      </c>
      <c r="CY454" s="27" t="s">
        <v>8</v>
      </c>
      <c r="CZ454" s="27" t="s">
        <v>7</v>
      </c>
      <c r="DA454" s="27" t="s">
        <v>8</v>
      </c>
      <c r="DB454" s="27" t="s">
        <v>7</v>
      </c>
      <c r="DC454" s="27" t="s">
        <v>8</v>
      </c>
      <c r="DD454" s="27" t="s">
        <v>7</v>
      </c>
      <c r="DE454" s="27" t="s">
        <v>8</v>
      </c>
      <c r="DR454" s="27" t="s">
        <v>7</v>
      </c>
      <c r="DT454" s="27" t="s">
        <v>7</v>
      </c>
      <c r="DU454" s="27" t="s">
        <v>8</v>
      </c>
      <c r="FU454" s="27" t="s">
        <v>8</v>
      </c>
      <c r="FV454" s="27" t="s">
        <v>7</v>
      </c>
      <c r="GC454" s="27" t="s">
        <v>8</v>
      </c>
      <c r="GD454" s="27" t="s">
        <v>7</v>
      </c>
      <c r="GE454" s="27" t="s">
        <v>8</v>
      </c>
      <c r="GF454" s="27" t="s">
        <v>7</v>
      </c>
      <c r="HA454" s="27" t="s">
        <v>8</v>
      </c>
      <c r="HB454" s="27" t="s">
        <v>7</v>
      </c>
      <c r="HG454" s="27" t="s">
        <v>8</v>
      </c>
      <c r="HH454" s="27" t="s">
        <v>7</v>
      </c>
      <c r="HK454" s="27" t="s">
        <v>8</v>
      </c>
      <c r="HL454" s="27" t="s">
        <v>7</v>
      </c>
      <c r="HM454" s="27" t="s">
        <v>8</v>
      </c>
      <c r="HN454" s="27" t="s">
        <v>7</v>
      </c>
      <c r="HO454" s="27" t="s">
        <v>8</v>
      </c>
      <c r="HP454" s="27" t="s">
        <v>7</v>
      </c>
      <c r="HQ454" s="27" t="s">
        <v>8</v>
      </c>
      <c r="HR454" s="27" t="s">
        <v>7</v>
      </c>
    </row>
    <row r="455" spans="1:232" x14ac:dyDescent="0.25">
      <c r="A455" s="7">
        <v>13.652829685254428</v>
      </c>
      <c r="B455"/>
      <c r="C455"/>
      <c r="D455"/>
      <c r="E455"/>
      <c r="BK455" s="27" t="s">
        <v>8</v>
      </c>
      <c r="BL455" s="27" t="s">
        <v>7</v>
      </c>
      <c r="BM455" s="27" t="s">
        <v>8</v>
      </c>
      <c r="BN455" s="27" t="s">
        <v>7</v>
      </c>
      <c r="BP455" s="27" t="s">
        <v>7</v>
      </c>
      <c r="BQ455" s="27" t="s">
        <v>8</v>
      </c>
      <c r="BR455" s="27" t="s">
        <v>7</v>
      </c>
      <c r="BS455" s="27" t="s">
        <v>8</v>
      </c>
      <c r="BT455" s="27" t="s">
        <v>7</v>
      </c>
      <c r="BW455" s="27" t="s">
        <v>8</v>
      </c>
      <c r="BX455" s="27" t="s">
        <v>7</v>
      </c>
      <c r="BY455" s="27" t="s">
        <v>8</v>
      </c>
      <c r="BZ455" s="27" t="s">
        <v>7</v>
      </c>
      <c r="CC455" s="27" t="s">
        <v>8</v>
      </c>
      <c r="CG455" s="27" t="s">
        <v>8</v>
      </c>
      <c r="CH455" s="27" t="s">
        <v>7</v>
      </c>
      <c r="CI455" s="27" t="s">
        <v>8</v>
      </c>
      <c r="CJ455" s="27" t="s">
        <v>7</v>
      </c>
      <c r="CM455" s="27" t="s">
        <v>8</v>
      </c>
      <c r="CN455" s="27" t="s">
        <v>7</v>
      </c>
      <c r="CO455" s="27" t="s">
        <v>8</v>
      </c>
      <c r="CP455" s="27" t="s">
        <v>7</v>
      </c>
      <c r="CQ455" s="27" t="s">
        <v>8</v>
      </c>
      <c r="CS455" s="27" t="s">
        <v>8</v>
      </c>
      <c r="CT455" s="27" t="s">
        <v>7</v>
      </c>
      <c r="CU455" s="27" t="s">
        <v>8</v>
      </c>
      <c r="CV455" s="27" t="s">
        <v>7</v>
      </c>
      <c r="CW455" s="27" t="s">
        <v>8</v>
      </c>
      <c r="CX455" s="27" t="s">
        <v>7</v>
      </c>
      <c r="CY455" s="27" t="s">
        <v>8</v>
      </c>
      <c r="CZ455" s="27" t="s">
        <v>7</v>
      </c>
      <c r="DA455" s="27" t="s">
        <v>8</v>
      </c>
      <c r="DB455" s="27" t="s">
        <v>7</v>
      </c>
      <c r="DC455" s="27" t="s">
        <v>8</v>
      </c>
      <c r="DD455" s="27" t="s">
        <v>7</v>
      </c>
      <c r="DE455" s="27" t="s">
        <v>8</v>
      </c>
      <c r="DT455" s="27" t="s">
        <v>7</v>
      </c>
      <c r="DU455" s="27" t="s">
        <v>8</v>
      </c>
      <c r="DV455" s="27" t="s">
        <v>7</v>
      </c>
      <c r="FU455" s="27" t="s">
        <v>8</v>
      </c>
      <c r="FV455" s="27" t="s">
        <v>7</v>
      </c>
      <c r="GC455" s="27" t="s">
        <v>8</v>
      </c>
      <c r="GD455" s="27" t="s">
        <v>7</v>
      </c>
      <c r="GE455" s="27" t="s">
        <v>8</v>
      </c>
      <c r="GF455" s="27" t="s">
        <v>7</v>
      </c>
      <c r="GI455" s="27" t="s">
        <v>8</v>
      </c>
      <c r="HA455" s="27" t="s">
        <v>8</v>
      </c>
      <c r="HB455" s="27" t="s">
        <v>7</v>
      </c>
      <c r="HG455" s="27" t="s">
        <v>8</v>
      </c>
      <c r="HH455" s="27" t="s">
        <v>7</v>
      </c>
      <c r="HI455" s="27" t="s">
        <v>8</v>
      </c>
      <c r="HK455" s="27" t="s">
        <v>8</v>
      </c>
      <c r="HL455" s="27" t="s">
        <v>7</v>
      </c>
      <c r="HM455" s="27" t="s">
        <v>8</v>
      </c>
      <c r="HN455" s="27" t="s">
        <v>7</v>
      </c>
      <c r="HO455" s="27" t="s">
        <v>8</v>
      </c>
      <c r="HP455" s="27" t="s">
        <v>7</v>
      </c>
      <c r="HQ455" s="27" t="s">
        <v>8</v>
      </c>
      <c r="HR455" s="27" t="s">
        <v>7</v>
      </c>
    </row>
    <row r="456" spans="1:232" x14ac:dyDescent="0.25">
      <c r="A456" s="7">
        <v>13.385127142406303</v>
      </c>
      <c r="B456"/>
      <c r="C456"/>
      <c r="D456"/>
      <c r="E456"/>
      <c r="BK456" s="27" t="s">
        <v>8</v>
      </c>
      <c r="BL456" s="27" t="s">
        <v>7</v>
      </c>
      <c r="BM456" s="27" t="s">
        <v>8</v>
      </c>
      <c r="BP456" s="27" t="s">
        <v>7</v>
      </c>
      <c r="BQ456" s="27" t="s">
        <v>8</v>
      </c>
      <c r="BR456" s="27" t="s">
        <v>7</v>
      </c>
      <c r="BS456" s="27" t="s">
        <v>8</v>
      </c>
      <c r="BT456" s="27" t="s">
        <v>7</v>
      </c>
      <c r="BW456" s="27" t="s">
        <v>8</v>
      </c>
      <c r="BX456" s="27" t="s">
        <v>7</v>
      </c>
      <c r="BY456" s="27" t="s">
        <v>8</v>
      </c>
      <c r="BZ456" s="27" t="s">
        <v>7</v>
      </c>
      <c r="CC456" s="27" t="s">
        <v>8</v>
      </c>
      <c r="CD456" s="27" t="s">
        <v>7</v>
      </c>
      <c r="CG456" s="27" t="s">
        <v>8</v>
      </c>
      <c r="CH456" s="27" t="s">
        <v>7</v>
      </c>
      <c r="CI456" s="27" t="s">
        <v>8</v>
      </c>
      <c r="CJ456" s="27" t="s">
        <v>7</v>
      </c>
      <c r="CM456" s="27" t="s">
        <v>8</v>
      </c>
      <c r="CN456" s="27" t="s">
        <v>7</v>
      </c>
      <c r="CO456" s="27" t="s">
        <v>8</v>
      </c>
      <c r="CP456" s="27" t="s">
        <v>7</v>
      </c>
      <c r="CQ456" s="27" t="s">
        <v>8</v>
      </c>
      <c r="CR456" s="27" t="s">
        <v>7</v>
      </c>
      <c r="CS456" s="27" t="s">
        <v>8</v>
      </c>
      <c r="CT456" s="27" t="s">
        <v>7</v>
      </c>
      <c r="CU456" s="27" t="s">
        <v>8</v>
      </c>
      <c r="CV456" s="27" t="s">
        <v>7</v>
      </c>
      <c r="CX456" s="27" t="s">
        <v>7</v>
      </c>
      <c r="CY456" s="27" t="s">
        <v>8</v>
      </c>
      <c r="CZ456" s="27" t="s">
        <v>7</v>
      </c>
      <c r="DA456" s="27" t="s">
        <v>8</v>
      </c>
      <c r="DB456" s="27" t="s">
        <v>7</v>
      </c>
      <c r="DC456" s="27" t="s">
        <v>8</v>
      </c>
      <c r="DD456" s="27" t="s">
        <v>7</v>
      </c>
      <c r="DE456" s="27" t="s">
        <v>8</v>
      </c>
      <c r="DT456" s="27" t="s">
        <v>7</v>
      </c>
      <c r="DU456" s="27" t="s">
        <v>8</v>
      </c>
      <c r="DV456" s="27" t="s">
        <v>7</v>
      </c>
      <c r="FU456" s="27" t="s">
        <v>8</v>
      </c>
      <c r="FV456" s="27" t="s">
        <v>7</v>
      </c>
      <c r="GC456" s="27" t="s">
        <v>8</v>
      </c>
      <c r="GD456" s="27" t="s">
        <v>7</v>
      </c>
      <c r="GE456" s="27" t="s">
        <v>8</v>
      </c>
      <c r="GF456" s="27" t="s">
        <v>7</v>
      </c>
      <c r="GG456" s="27" t="s">
        <v>8</v>
      </c>
      <c r="GI456" s="27" t="s">
        <v>8</v>
      </c>
      <c r="GJ456" s="27" t="s">
        <v>7</v>
      </c>
      <c r="HA456" s="27" t="s">
        <v>8</v>
      </c>
      <c r="HB456" s="27" t="s">
        <v>7</v>
      </c>
      <c r="HG456" s="27" t="s">
        <v>8</v>
      </c>
      <c r="HH456" s="27" t="s">
        <v>7</v>
      </c>
      <c r="HI456" s="27" t="s">
        <v>8</v>
      </c>
      <c r="HJ456" s="27" t="s">
        <v>7</v>
      </c>
      <c r="HK456" s="27" t="s">
        <v>8</v>
      </c>
      <c r="HL456" s="27" t="s">
        <v>7</v>
      </c>
      <c r="HM456" s="27" t="s">
        <v>8</v>
      </c>
      <c r="HN456" s="27" t="s">
        <v>7</v>
      </c>
      <c r="HO456" s="27" t="s">
        <v>8</v>
      </c>
      <c r="HP456" s="27" t="s">
        <v>7</v>
      </c>
      <c r="HQ456" s="27" t="s">
        <v>8</v>
      </c>
      <c r="HR456" s="27" t="s">
        <v>7</v>
      </c>
    </row>
    <row r="457" spans="1:232" x14ac:dyDescent="0.25">
      <c r="A457" s="7">
        <v>13.122673669025787</v>
      </c>
      <c r="B457"/>
      <c r="C457"/>
      <c r="D457"/>
      <c r="E457"/>
      <c r="BK457" s="27" t="s">
        <v>8</v>
      </c>
      <c r="BL457" s="27" t="s">
        <v>7</v>
      </c>
      <c r="BM457" s="27" t="s">
        <v>8</v>
      </c>
      <c r="BP457" s="27" t="s">
        <v>7</v>
      </c>
      <c r="BQ457" s="27" t="s">
        <v>8</v>
      </c>
      <c r="BR457" s="27" t="s">
        <v>7</v>
      </c>
      <c r="BS457" s="27" t="s">
        <v>8</v>
      </c>
      <c r="BT457" s="27" t="s">
        <v>7</v>
      </c>
      <c r="BW457" s="27" t="s">
        <v>8</v>
      </c>
      <c r="BX457" s="27" t="s">
        <v>7</v>
      </c>
      <c r="BY457" s="27" t="s">
        <v>8</v>
      </c>
      <c r="BZ457" s="27" t="s">
        <v>7</v>
      </c>
      <c r="CC457" s="27" t="s">
        <v>8</v>
      </c>
      <c r="CD457" s="27" t="s">
        <v>7</v>
      </c>
      <c r="CG457" s="27" t="s">
        <v>8</v>
      </c>
      <c r="CH457" s="27" t="s">
        <v>7</v>
      </c>
      <c r="CI457" s="27" t="s">
        <v>8</v>
      </c>
      <c r="CJ457" s="27" t="s">
        <v>7</v>
      </c>
      <c r="CM457" s="27" t="s">
        <v>8</v>
      </c>
      <c r="CN457" s="27" t="s">
        <v>7</v>
      </c>
      <c r="CO457" s="27" t="s">
        <v>8</v>
      </c>
      <c r="CP457" s="27" t="s">
        <v>7</v>
      </c>
      <c r="CQ457" s="27" t="s">
        <v>8</v>
      </c>
      <c r="CR457" s="27" t="s">
        <v>7</v>
      </c>
      <c r="CS457" s="27" t="s">
        <v>8</v>
      </c>
      <c r="CT457" s="27" t="s">
        <v>7</v>
      </c>
      <c r="CU457" s="27" t="s">
        <v>8</v>
      </c>
      <c r="CX457" s="27" t="s">
        <v>7</v>
      </c>
      <c r="CZ457" s="27" t="s">
        <v>7</v>
      </c>
      <c r="DB457" s="27" t="s">
        <v>7</v>
      </c>
      <c r="DC457" s="27" t="s">
        <v>8</v>
      </c>
      <c r="DD457" s="27" t="s">
        <v>7</v>
      </c>
      <c r="DE457" s="27" t="s">
        <v>8</v>
      </c>
      <c r="DT457" s="27" t="s">
        <v>7</v>
      </c>
      <c r="DU457" s="27" t="s">
        <v>8</v>
      </c>
      <c r="DV457" s="27" t="s">
        <v>7</v>
      </c>
      <c r="FU457" s="27" t="s">
        <v>8</v>
      </c>
      <c r="FV457" s="27" t="s">
        <v>7</v>
      </c>
      <c r="GC457" s="27" t="s">
        <v>8</v>
      </c>
      <c r="GD457" s="27" t="s">
        <v>7</v>
      </c>
      <c r="GE457" s="27" t="s">
        <v>8</v>
      </c>
      <c r="GF457" s="27" t="s">
        <v>7</v>
      </c>
      <c r="GG457" s="27" t="s">
        <v>8</v>
      </c>
      <c r="GH457" s="27" t="s">
        <v>7</v>
      </c>
      <c r="GI457" s="27" t="s">
        <v>8</v>
      </c>
      <c r="GJ457" s="27" t="s">
        <v>7</v>
      </c>
      <c r="HA457" s="27" t="s">
        <v>8</v>
      </c>
      <c r="HB457" s="27" t="s">
        <v>7</v>
      </c>
      <c r="HG457" s="27" t="s">
        <v>8</v>
      </c>
      <c r="HH457" s="27" t="s">
        <v>7</v>
      </c>
      <c r="HI457" s="27" t="s">
        <v>8</v>
      </c>
      <c r="HJ457" s="27" t="s">
        <v>7</v>
      </c>
      <c r="HK457" s="27" t="s">
        <v>8</v>
      </c>
      <c r="HL457" s="27" t="s">
        <v>7</v>
      </c>
      <c r="HM457" s="27" t="s">
        <v>8</v>
      </c>
      <c r="HN457" s="27" t="s">
        <v>7</v>
      </c>
      <c r="HO457" s="27" t="s">
        <v>8</v>
      </c>
      <c r="HP457" s="27" t="s">
        <v>7</v>
      </c>
      <c r="HQ457" s="27" t="s">
        <v>8</v>
      </c>
      <c r="HR457" s="27" t="s">
        <v>7</v>
      </c>
    </row>
    <row r="458" spans="1:232" x14ac:dyDescent="0.25">
      <c r="A458" s="7">
        <v>12.865366342182144</v>
      </c>
      <c r="B458"/>
      <c r="C458"/>
      <c r="D458"/>
      <c r="E458"/>
      <c r="BK458" s="27" t="s">
        <v>8</v>
      </c>
      <c r="BL458" s="27" t="s">
        <v>7</v>
      </c>
      <c r="BM458" s="27" t="s">
        <v>8</v>
      </c>
      <c r="BP458" s="27" t="s">
        <v>7</v>
      </c>
      <c r="BQ458" s="27" t="s">
        <v>8</v>
      </c>
      <c r="BR458" s="27" t="s">
        <v>7</v>
      </c>
      <c r="BS458" s="27" t="s">
        <v>8</v>
      </c>
      <c r="BT458" s="27" t="s">
        <v>7</v>
      </c>
      <c r="BU458" s="27" t="s">
        <v>8</v>
      </c>
      <c r="BW458" s="27" t="s">
        <v>8</v>
      </c>
      <c r="BX458" s="27" t="s">
        <v>7</v>
      </c>
      <c r="BY458" s="27" t="s">
        <v>8</v>
      </c>
      <c r="BZ458" s="27" t="s">
        <v>7</v>
      </c>
      <c r="CC458" s="27" t="s">
        <v>8</v>
      </c>
      <c r="CD458" s="27" t="s">
        <v>7</v>
      </c>
      <c r="CG458" s="27" t="s">
        <v>8</v>
      </c>
      <c r="CH458" s="27" t="s">
        <v>7</v>
      </c>
      <c r="CI458" s="27" t="s">
        <v>8</v>
      </c>
      <c r="CJ458" s="27" t="s">
        <v>7</v>
      </c>
      <c r="CM458" s="27" t="s">
        <v>8</v>
      </c>
      <c r="CN458" s="27" t="s">
        <v>7</v>
      </c>
      <c r="CP458" s="27" t="s">
        <v>7</v>
      </c>
      <c r="CQ458" s="27" t="s">
        <v>8</v>
      </c>
      <c r="CR458" s="27" t="s">
        <v>7</v>
      </c>
      <c r="CT458" s="27" t="s">
        <v>7</v>
      </c>
      <c r="DB458" s="27" t="s">
        <v>7</v>
      </c>
      <c r="DC458" s="27" t="s">
        <v>8</v>
      </c>
      <c r="DD458" s="27" t="s">
        <v>7</v>
      </c>
      <c r="DT458" s="27" t="s">
        <v>7</v>
      </c>
      <c r="DU458" s="27" t="s">
        <v>8</v>
      </c>
      <c r="DV458" s="27" t="s">
        <v>7</v>
      </c>
      <c r="FU458" s="27" t="s">
        <v>8</v>
      </c>
      <c r="FV458" s="27" t="s">
        <v>7</v>
      </c>
      <c r="GC458" s="27" t="s">
        <v>8</v>
      </c>
      <c r="GD458" s="27" t="s">
        <v>7</v>
      </c>
      <c r="GE458" s="27" t="s">
        <v>8</v>
      </c>
      <c r="GF458" s="27" t="s">
        <v>7</v>
      </c>
      <c r="GG458" s="27" t="s">
        <v>8</v>
      </c>
      <c r="GH458" s="27" t="s">
        <v>7</v>
      </c>
      <c r="GI458" s="27" t="s">
        <v>8</v>
      </c>
      <c r="GJ458" s="27" t="s">
        <v>7</v>
      </c>
      <c r="GW458" s="27" t="s">
        <v>8</v>
      </c>
      <c r="HA458" s="27" t="s">
        <v>8</v>
      </c>
      <c r="HB458" s="27" t="s">
        <v>7</v>
      </c>
      <c r="HG458" s="27" t="s">
        <v>8</v>
      </c>
      <c r="HH458" s="27" t="s">
        <v>7</v>
      </c>
      <c r="HI458" s="27" t="s">
        <v>8</v>
      </c>
      <c r="HJ458" s="27" t="s">
        <v>7</v>
      </c>
      <c r="HK458" s="27" t="s">
        <v>8</v>
      </c>
      <c r="HL458" s="27" t="s">
        <v>7</v>
      </c>
      <c r="HM458" s="27" t="s">
        <v>8</v>
      </c>
      <c r="HN458" s="27" t="s">
        <v>7</v>
      </c>
      <c r="HO458" s="27" t="s">
        <v>8</v>
      </c>
      <c r="HP458" s="27" t="s">
        <v>7</v>
      </c>
      <c r="HQ458" s="27" t="s">
        <v>8</v>
      </c>
      <c r="HR458" s="27" t="s">
        <v>7</v>
      </c>
      <c r="HW458" s="27" t="s">
        <v>8</v>
      </c>
    </row>
    <row r="459" spans="1:232" x14ac:dyDescent="0.25">
      <c r="A459" s="7">
        <v>12.613104257041318</v>
      </c>
      <c r="B459"/>
      <c r="C459"/>
      <c r="D459"/>
      <c r="E459"/>
      <c r="BK459" s="27" t="s">
        <v>8</v>
      </c>
      <c r="BL459" s="27" t="s">
        <v>7</v>
      </c>
      <c r="BM459" s="27" t="s">
        <v>8</v>
      </c>
      <c r="BP459" s="27" t="s">
        <v>7</v>
      </c>
      <c r="BQ459" s="27" t="s">
        <v>8</v>
      </c>
      <c r="BR459" s="27" t="s">
        <v>7</v>
      </c>
      <c r="BS459" s="27" t="s">
        <v>8</v>
      </c>
      <c r="BT459" s="27" t="s">
        <v>7</v>
      </c>
      <c r="BU459" s="27" t="s">
        <v>8</v>
      </c>
      <c r="BV459" s="27" t="s">
        <v>7</v>
      </c>
      <c r="BW459" s="27" t="s">
        <v>8</v>
      </c>
      <c r="BX459" s="27" t="s">
        <v>7</v>
      </c>
      <c r="BZ459" s="27" t="s">
        <v>7</v>
      </c>
      <c r="CC459" s="27" t="s">
        <v>8</v>
      </c>
      <c r="CD459" s="27" t="s">
        <v>7</v>
      </c>
      <c r="CG459" s="27" t="s">
        <v>8</v>
      </c>
      <c r="CH459" s="27" t="s">
        <v>7</v>
      </c>
      <c r="CI459" s="27" t="s">
        <v>8</v>
      </c>
      <c r="CJ459" s="27" t="s">
        <v>7</v>
      </c>
      <c r="CM459" s="27" t="s">
        <v>8</v>
      </c>
      <c r="CP459" s="27" t="s">
        <v>7</v>
      </c>
      <c r="CQ459" s="27" t="s">
        <v>8</v>
      </c>
      <c r="DB459" s="27" t="s">
        <v>7</v>
      </c>
      <c r="DC459" s="27" t="s">
        <v>8</v>
      </c>
      <c r="DT459" s="27" t="s">
        <v>7</v>
      </c>
      <c r="DU459" s="27" t="s">
        <v>8</v>
      </c>
      <c r="DV459" s="27" t="s">
        <v>7</v>
      </c>
      <c r="FU459" s="27" t="s">
        <v>8</v>
      </c>
      <c r="FV459" s="27" t="s">
        <v>7</v>
      </c>
      <c r="FW459" s="27" t="s">
        <v>8</v>
      </c>
      <c r="GA459" s="27" t="s">
        <v>8</v>
      </c>
      <c r="GC459" s="27" t="s">
        <v>8</v>
      </c>
      <c r="GD459" s="27" t="s">
        <v>7</v>
      </c>
      <c r="GF459" s="27" t="s">
        <v>7</v>
      </c>
      <c r="GG459" s="27" t="s">
        <v>8</v>
      </c>
      <c r="GH459" s="27" t="s">
        <v>7</v>
      </c>
      <c r="GI459" s="27" t="s">
        <v>8</v>
      </c>
      <c r="GJ459" s="27" t="s">
        <v>7</v>
      </c>
      <c r="GW459" s="27" t="s">
        <v>8</v>
      </c>
      <c r="GX459" s="27" t="s">
        <v>7</v>
      </c>
      <c r="GY459" s="27" t="s">
        <v>8</v>
      </c>
      <c r="HA459" s="27" t="s">
        <v>8</v>
      </c>
      <c r="HB459" s="27" t="s">
        <v>7</v>
      </c>
      <c r="HG459" s="27" t="s">
        <v>8</v>
      </c>
      <c r="HH459" s="27" t="s">
        <v>7</v>
      </c>
      <c r="HJ459" s="27" t="s">
        <v>7</v>
      </c>
      <c r="HK459" s="27" t="s">
        <v>8</v>
      </c>
      <c r="HL459" s="27" t="s">
        <v>7</v>
      </c>
      <c r="HM459" s="27" t="s">
        <v>8</v>
      </c>
      <c r="HN459" s="27" t="s">
        <v>7</v>
      </c>
      <c r="HO459" s="27" t="s">
        <v>8</v>
      </c>
      <c r="HP459" s="27" t="s">
        <v>7</v>
      </c>
      <c r="HQ459" s="27" t="s">
        <v>8</v>
      </c>
      <c r="HR459" s="27" t="s">
        <v>7</v>
      </c>
      <c r="HW459" s="27" t="s">
        <v>8</v>
      </c>
      <c r="HX459" s="27" t="s">
        <v>7</v>
      </c>
    </row>
    <row r="460" spans="1:232" x14ac:dyDescent="0.25">
      <c r="A460" s="7">
        <v>12.36578848729541</v>
      </c>
      <c r="B460"/>
      <c r="C460"/>
      <c r="D460"/>
      <c r="E460"/>
      <c r="BK460" s="27" t="s">
        <v>8</v>
      </c>
      <c r="BL460" s="27" t="s">
        <v>7</v>
      </c>
      <c r="BM460" s="27" t="s">
        <v>8</v>
      </c>
      <c r="BP460" s="27" t="s">
        <v>7</v>
      </c>
      <c r="BR460" s="27" t="s">
        <v>7</v>
      </c>
      <c r="BS460" s="27" t="s">
        <v>8</v>
      </c>
      <c r="BT460" s="27" t="s">
        <v>7</v>
      </c>
      <c r="BU460" s="27" t="s">
        <v>8</v>
      </c>
      <c r="BV460" s="27" t="s">
        <v>7</v>
      </c>
      <c r="BW460" s="27" t="s">
        <v>8</v>
      </c>
      <c r="BZ460" s="27" t="s">
        <v>7</v>
      </c>
      <c r="CA460" s="27" t="s">
        <v>8</v>
      </c>
      <c r="CC460" s="27" t="s">
        <v>8</v>
      </c>
      <c r="CD460" s="27" t="s">
        <v>7</v>
      </c>
      <c r="CE460" s="27" t="s">
        <v>8</v>
      </c>
      <c r="CG460" s="27" t="s">
        <v>8</v>
      </c>
      <c r="CH460" s="27" t="s">
        <v>7</v>
      </c>
      <c r="CI460" s="27" t="s">
        <v>8</v>
      </c>
      <c r="CJ460" s="27" t="s">
        <v>7</v>
      </c>
      <c r="CM460" s="27" t="s">
        <v>8</v>
      </c>
      <c r="CP460" s="27" t="s">
        <v>7</v>
      </c>
      <c r="CQ460" s="27" t="s">
        <v>8</v>
      </c>
      <c r="DB460" s="27" t="s">
        <v>7</v>
      </c>
      <c r="DC460" s="27" t="s">
        <v>8</v>
      </c>
      <c r="DT460" s="27" t="s">
        <v>7</v>
      </c>
      <c r="DU460" s="27" t="s">
        <v>8</v>
      </c>
      <c r="DV460" s="27" t="s">
        <v>7</v>
      </c>
      <c r="FU460" s="27" t="s">
        <v>8</v>
      </c>
      <c r="FV460" s="27" t="s">
        <v>7</v>
      </c>
      <c r="FW460" s="27" t="s">
        <v>8</v>
      </c>
      <c r="FX460" s="27" t="s">
        <v>7</v>
      </c>
      <c r="GA460" s="27" t="s">
        <v>8</v>
      </c>
      <c r="GB460" s="27" t="s">
        <v>7</v>
      </c>
      <c r="GC460" s="27" t="s">
        <v>8</v>
      </c>
      <c r="GF460" s="27" t="s">
        <v>7</v>
      </c>
      <c r="GG460" s="27" t="s">
        <v>8</v>
      </c>
      <c r="GH460" s="27" t="s">
        <v>7</v>
      </c>
      <c r="GI460" s="27" t="s">
        <v>8</v>
      </c>
      <c r="GJ460" s="27" t="s">
        <v>7</v>
      </c>
      <c r="GW460" s="27" t="s">
        <v>8</v>
      </c>
      <c r="GX460" s="27" t="s">
        <v>7</v>
      </c>
      <c r="GY460" s="27" t="s">
        <v>8</v>
      </c>
      <c r="GZ460" s="27" t="s">
        <v>7</v>
      </c>
      <c r="HA460" s="27" t="s">
        <v>8</v>
      </c>
      <c r="HB460" s="27" t="s">
        <v>7</v>
      </c>
      <c r="HG460" s="27" t="s">
        <v>8</v>
      </c>
      <c r="HJ460" s="27" t="s">
        <v>7</v>
      </c>
      <c r="HK460" s="27" t="s">
        <v>8</v>
      </c>
      <c r="HL460" s="27" t="s">
        <v>7</v>
      </c>
      <c r="HM460" s="27" t="s">
        <v>8</v>
      </c>
      <c r="HN460" s="27" t="s">
        <v>7</v>
      </c>
      <c r="HO460" s="27" t="s">
        <v>8</v>
      </c>
      <c r="HP460" s="27" t="s">
        <v>7</v>
      </c>
      <c r="HQ460" s="27" t="s">
        <v>8</v>
      </c>
      <c r="HR460" s="27" t="s">
        <v>7</v>
      </c>
      <c r="HW460" s="27" t="s">
        <v>8</v>
      </c>
      <c r="HX460" s="27" t="s">
        <v>7</v>
      </c>
    </row>
    <row r="461" spans="1:232" x14ac:dyDescent="0.25">
      <c r="A461" s="7">
        <v>12.123322046368049</v>
      </c>
      <c r="B461"/>
      <c r="C461"/>
      <c r="D461"/>
      <c r="E461"/>
      <c r="BK461" s="27" t="s">
        <v>8</v>
      </c>
      <c r="BL461" s="27" t="s">
        <v>7</v>
      </c>
      <c r="BM461" s="27" t="s">
        <v>8</v>
      </c>
      <c r="BR461" s="27" t="s">
        <v>7</v>
      </c>
      <c r="BS461" s="27" t="s">
        <v>8</v>
      </c>
      <c r="BT461" s="27" t="s">
        <v>7</v>
      </c>
      <c r="BU461" s="27" t="s">
        <v>8</v>
      </c>
      <c r="BV461" s="27" t="s">
        <v>7</v>
      </c>
      <c r="BW461" s="27" t="s">
        <v>8</v>
      </c>
      <c r="BZ461" s="27" t="s">
        <v>7</v>
      </c>
      <c r="CA461" s="27" t="s">
        <v>8</v>
      </c>
      <c r="CB461" s="27" t="s">
        <v>7</v>
      </c>
      <c r="CC461" s="27" t="s">
        <v>8</v>
      </c>
      <c r="CD461" s="27" t="s">
        <v>7</v>
      </c>
      <c r="CE461" s="27" t="s">
        <v>8</v>
      </c>
      <c r="CF461" s="27" t="s">
        <v>7</v>
      </c>
      <c r="CG461" s="27" t="s">
        <v>8</v>
      </c>
      <c r="CH461" s="27" t="s">
        <v>7</v>
      </c>
      <c r="CJ461" s="27" t="s">
        <v>7</v>
      </c>
      <c r="CM461" s="27" t="s">
        <v>8</v>
      </c>
      <c r="CP461" s="27" t="s">
        <v>7</v>
      </c>
      <c r="DB461" s="27" t="s">
        <v>7</v>
      </c>
      <c r="DC461" s="27" t="s">
        <v>8</v>
      </c>
      <c r="DT461" s="27" t="s">
        <v>7</v>
      </c>
      <c r="DU461" s="27" t="s">
        <v>8</v>
      </c>
      <c r="DV461" s="27" t="s">
        <v>7</v>
      </c>
      <c r="FU461" s="27" t="s">
        <v>8</v>
      </c>
      <c r="FV461" s="27" t="s">
        <v>7</v>
      </c>
      <c r="FW461" s="27" t="s">
        <v>8</v>
      </c>
      <c r="FX461" s="27" t="s">
        <v>7</v>
      </c>
      <c r="GA461" s="27" t="s">
        <v>8</v>
      </c>
      <c r="GB461" s="27" t="s">
        <v>7</v>
      </c>
      <c r="GC461" s="27" t="s">
        <v>8</v>
      </c>
      <c r="GF461" s="27" t="s">
        <v>7</v>
      </c>
      <c r="GG461" s="27" t="s">
        <v>8</v>
      </c>
      <c r="GH461" s="27" t="s">
        <v>7</v>
      </c>
      <c r="GI461" s="27" t="s">
        <v>8</v>
      </c>
      <c r="GJ461" s="27" t="s">
        <v>7</v>
      </c>
      <c r="GW461" s="27" t="s">
        <v>8</v>
      </c>
      <c r="GX461" s="27" t="s">
        <v>7</v>
      </c>
      <c r="GY461" s="27" t="s">
        <v>8</v>
      </c>
      <c r="GZ461" s="27" t="s">
        <v>7</v>
      </c>
      <c r="HA461" s="27" t="s">
        <v>8</v>
      </c>
      <c r="HB461" s="27" t="s">
        <v>7</v>
      </c>
      <c r="HG461" s="27" t="s">
        <v>8</v>
      </c>
      <c r="HJ461" s="27" t="s">
        <v>7</v>
      </c>
      <c r="HK461" s="27" t="s">
        <v>8</v>
      </c>
      <c r="HL461" s="27" t="s">
        <v>7</v>
      </c>
      <c r="HM461" s="27" t="s">
        <v>8</v>
      </c>
      <c r="HN461" s="27" t="s">
        <v>7</v>
      </c>
      <c r="HO461" s="27" t="s">
        <v>8</v>
      </c>
      <c r="HP461" s="27" t="s">
        <v>7</v>
      </c>
      <c r="HQ461" s="27" t="s">
        <v>8</v>
      </c>
      <c r="HR461" s="27" t="s">
        <v>7</v>
      </c>
      <c r="HW461" s="27" t="s">
        <v>8</v>
      </c>
      <c r="HX461" s="27" t="s">
        <v>7</v>
      </c>
    </row>
    <row r="462" spans="1:232" x14ac:dyDescent="0.25">
      <c r="A462" s="7">
        <v>11.88560984938044</v>
      </c>
      <c r="B462"/>
      <c r="C462"/>
      <c r="D462"/>
      <c r="E462"/>
      <c r="BI462" s="27" t="s">
        <v>8</v>
      </c>
      <c r="BK462" s="27" t="s">
        <v>8</v>
      </c>
      <c r="BL462" s="27" t="s">
        <v>7</v>
      </c>
      <c r="BM462" s="27" t="s">
        <v>8</v>
      </c>
      <c r="BR462" s="27" t="s">
        <v>7</v>
      </c>
      <c r="BS462" s="27" t="s">
        <v>8</v>
      </c>
      <c r="BT462" s="27" t="s">
        <v>7</v>
      </c>
      <c r="BU462" s="27" t="s">
        <v>8</v>
      </c>
      <c r="BV462" s="27" t="s">
        <v>7</v>
      </c>
      <c r="BW462" s="27" t="s">
        <v>8</v>
      </c>
      <c r="BZ462" s="27" t="s">
        <v>7</v>
      </c>
      <c r="CA462" s="27" t="s">
        <v>8</v>
      </c>
      <c r="CB462" s="27" t="s">
        <v>7</v>
      </c>
      <c r="CC462" s="27" t="s">
        <v>8</v>
      </c>
      <c r="CD462" s="27" t="s">
        <v>7</v>
      </c>
      <c r="CE462" s="27" t="s">
        <v>8</v>
      </c>
      <c r="CF462" s="27" t="s">
        <v>7</v>
      </c>
      <c r="CG462" s="27" t="s">
        <v>8</v>
      </c>
      <c r="CJ462" s="27" t="s">
        <v>7</v>
      </c>
      <c r="CM462" s="27" t="s">
        <v>8</v>
      </c>
      <c r="DB462" s="27" t="s">
        <v>7</v>
      </c>
      <c r="DC462" s="27" t="s">
        <v>8</v>
      </c>
      <c r="DT462" s="27" t="s">
        <v>7</v>
      </c>
      <c r="DU462" s="27" t="s">
        <v>8</v>
      </c>
      <c r="DV462" s="27" t="s">
        <v>7</v>
      </c>
      <c r="FU462" s="27" t="s">
        <v>8</v>
      </c>
      <c r="FV462" s="27" t="s">
        <v>7</v>
      </c>
      <c r="FW462" s="27" t="s">
        <v>8</v>
      </c>
      <c r="FX462" s="27" t="s">
        <v>7</v>
      </c>
      <c r="GA462" s="27" t="s">
        <v>8</v>
      </c>
      <c r="GB462" s="27" t="s">
        <v>7</v>
      </c>
      <c r="GC462" s="27" t="s">
        <v>8</v>
      </c>
      <c r="GF462" s="27" t="s">
        <v>7</v>
      </c>
      <c r="GG462" s="27" t="s">
        <v>8</v>
      </c>
      <c r="GH462" s="27" t="s">
        <v>7</v>
      </c>
      <c r="GI462" s="27" t="s">
        <v>8</v>
      </c>
      <c r="GJ462" s="27" t="s">
        <v>7</v>
      </c>
      <c r="GK462" s="27" t="s">
        <v>8</v>
      </c>
      <c r="GM462" s="27" t="s">
        <v>8</v>
      </c>
      <c r="GS462" s="27" t="s">
        <v>8</v>
      </c>
      <c r="GW462" s="27" t="s">
        <v>8</v>
      </c>
      <c r="GX462" s="27" t="s">
        <v>7</v>
      </c>
      <c r="GY462" s="27" t="s">
        <v>8</v>
      </c>
      <c r="GZ462" s="27" t="s">
        <v>7</v>
      </c>
      <c r="HA462" s="27" t="s">
        <v>8</v>
      </c>
      <c r="HB462" s="27" t="s">
        <v>7</v>
      </c>
      <c r="HG462" s="27" t="s">
        <v>8</v>
      </c>
      <c r="HJ462" s="27" t="s">
        <v>7</v>
      </c>
      <c r="HK462" s="27" t="s">
        <v>8</v>
      </c>
      <c r="HL462" s="27" t="s">
        <v>7</v>
      </c>
      <c r="HM462" s="27" t="s">
        <v>8</v>
      </c>
      <c r="HN462" s="27" t="s">
        <v>7</v>
      </c>
      <c r="HO462" s="27" t="s">
        <v>8</v>
      </c>
      <c r="HP462" s="27" t="s">
        <v>7</v>
      </c>
      <c r="HQ462" s="27" t="s">
        <v>8</v>
      </c>
      <c r="HR462" s="27" t="s">
        <v>7</v>
      </c>
      <c r="HW462" s="27" t="s">
        <v>8</v>
      </c>
      <c r="HX462" s="27" t="s">
        <v>7</v>
      </c>
    </row>
    <row r="463" spans="1:232" x14ac:dyDescent="0.25">
      <c r="A463" s="7">
        <v>11.652558675863176</v>
      </c>
      <c r="B463"/>
      <c r="C463"/>
      <c r="D463"/>
      <c r="E463"/>
      <c r="BI463" s="27" t="s">
        <v>8</v>
      </c>
      <c r="BJ463" s="27" t="s">
        <v>7</v>
      </c>
      <c r="BK463" s="27" t="s">
        <v>8</v>
      </c>
      <c r="BL463" s="27" t="s">
        <v>7</v>
      </c>
      <c r="BM463" s="27" t="s">
        <v>8</v>
      </c>
      <c r="BR463" s="27" t="s">
        <v>7</v>
      </c>
      <c r="BS463" s="27" t="s">
        <v>8</v>
      </c>
      <c r="BT463" s="27" t="s">
        <v>7</v>
      </c>
      <c r="BU463" s="27" t="s">
        <v>8</v>
      </c>
      <c r="BV463" s="27" t="s">
        <v>7</v>
      </c>
      <c r="BW463" s="27" t="s">
        <v>8</v>
      </c>
      <c r="BZ463" s="27" t="s">
        <v>7</v>
      </c>
      <c r="CA463" s="27" t="s">
        <v>8</v>
      </c>
      <c r="CB463" s="27" t="s">
        <v>7</v>
      </c>
      <c r="CD463" s="27" t="s">
        <v>7</v>
      </c>
      <c r="CE463" s="27" t="s">
        <v>8</v>
      </c>
      <c r="CF463" s="27" t="s">
        <v>7</v>
      </c>
      <c r="CG463" s="27" t="s">
        <v>8</v>
      </c>
      <c r="CJ463" s="27" t="s">
        <v>7</v>
      </c>
      <c r="CK463" s="27" t="s">
        <v>8</v>
      </c>
      <c r="CM463" s="27" t="s">
        <v>8</v>
      </c>
      <c r="DB463" s="27" t="s">
        <v>7</v>
      </c>
      <c r="DT463" s="27" t="s">
        <v>7</v>
      </c>
      <c r="DU463" s="27" t="s">
        <v>8</v>
      </c>
      <c r="DV463" s="27" t="s">
        <v>7</v>
      </c>
      <c r="FU463" s="27" t="s">
        <v>8</v>
      </c>
      <c r="FV463" s="27" t="s">
        <v>7</v>
      </c>
      <c r="FW463" s="27" t="s">
        <v>8</v>
      </c>
      <c r="FX463" s="27" t="s">
        <v>7</v>
      </c>
      <c r="FY463" s="27" t="s">
        <v>8</v>
      </c>
      <c r="GA463" s="27" t="s">
        <v>8</v>
      </c>
      <c r="GB463" s="27" t="s">
        <v>7</v>
      </c>
      <c r="GC463" s="27" t="s">
        <v>8</v>
      </c>
      <c r="GF463" s="27" t="s">
        <v>7</v>
      </c>
      <c r="GG463" s="27" t="s">
        <v>8</v>
      </c>
      <c r="GH463" s="27" t="s">
        <v>7</v>
      </c>
      <c r="GI463" s="27" t="s">
        <v>8</v>
      </c>
      <c r="GJ463" s="27" t="s">
        <v>7</v>
      </c>
      <c r="GK463" s="27" t="s">
        <v>8</v>
      </c>
      <c r="GL463" s="27" t="s">
        <v>7</v>
      </c>
      <c r="GM463" s="27" t="s">
        <v>8</v>
      </c>
      <c r="GN463" s="27" t="s">
        <v>7</v>
      </c>
      <c r="GS463" s="27" t="s">
        <v>8</v>
      </c>
      <c r="GT463" s="27" t="s">
        <v>7</v>
      </c>
      <c r="GW463" s="27" t="s">
        <v>8</v>
      </c>
      <c r="GX463" s="27" t="s">
        <v>7</v>
      </c>
      <c r="GY463" s="27" t="s">
        <v>8</v>
      </c>
      <c r="GZ463" s="27" t="s">
        <v>7</v>
      </c>
      <c r="HA463" s="27" t="s">
        <v>8</v>
      </c>
      <c r="HB463" s="27" t="s">
        <v>7</v>
      </c>
      <c r="HC463" s="27" t="s">
        <v>8</v>
      </c>
      <c r="HG463" s="27" t="s">
        <v>8</v>
      </c>
      <c r="HJ463" s="27" t="s">
        <v>7</v>
      </c>
      <c r="HK463" s="27" t="s">
        <v>8</v>
      </c>
      <c r="HL463" s="27" t="s">
        <v>7</v>
      </c>
      <c r="HN463" s="27" t="s">
        <v>7</v>
      </c>
      <c r="HO463" s="27" t="s">
        <v>8</v>
      </c>
      <c r="HP463" s="27" t="s">
        <v>7</v>
      </c>
      <c r="HQ463" s="27" t="s">
        <v>8</v>
      </c>
      <c r="HR463" s="27" t="s">
        <v>7</v>
      </c>
      <c r="HW463" s="27" t="s">
        <v>8</v>
      </c>
      <c r="HX463" s="27" t="s">
        <v>7</v>
      </c>
    </row>
    <row r="464" spans="1:232" x14ac:dyDescent="0.25">
      <c r="A464" s="7">
        <v>11.424077133199193</v>
      </c>
      <c r="B464"/>
      <c r="C464"/>
      <c r="D464"/>
      <c r="E464"/>
      <c r="BI464" s="27" t="s">
        <v>8</v>
      </c>
      <c r="BJ464" s="27" t="s">
        <v>7</v>
      </c>
      <c r="BK464" s="27" t="s">
        <v>8</v>
      </c>
      <c r="BL464" s="27" t="s">
        <v>7</v>
      </c>
      <c r="BM464" s="27" t="s">
        <v>8</v>
      </c>
      <c r="BR464" s="27" t="s">
        <v>7</v>
      </c>
      <c r="BS464" s="27" t="s">
        <v>8</v>
      </c>
      <c r="BT464" s="27" t="s">
        <v>7</v>
      </c>
      <c r="BV464" s="27" t="s">
        <v>7</v>
      </c>
      <c r="BW464" s="27" t="s">
        <v>8</v>
      </c>
      <c r="BZ464" s="27" t="s">
        <v>7</v>
      </c>
      <c r="CD464" s="27" t="s">
        <v>7</v>
      </c>
      <c r="CE464" s="27" t="s">
        <v>8</v>
      </c>
      <c r="CF464" s="27" t="s">
        <v>7</v>
      </c>
      <c r="CG464" s="27" t="s">
        <v>8</v>
      </c>
      <c r="CJ464" s="27" t="s">
        <v>7</v>
      </c>
      <c r="CK464" s="27" t="s">
        <v>8</v>
      </c>
      <c r="CL464" s="27" t="s">
        <v>7</v>
      </c>
      <c r="CM464" s="27" t="s">
        <v>8</v>
      </c>
      <c r="DT464" s="27" t="s">
        <v>7</v>
      </c>
      <c r="DU464" s="27" t="s">
        <v>8</v>
      </c>
      <c r="DV464" s="27" t="s">
        <v>7</v>
      </c>
      <c r="EA464" s="27" t="s">
        <v>8</v>
      </c>
      <c r="FU464" s="27" t="s">
        <v>8</v>
      </c>
      <c r="FV464" s="27" t="s">
        <v>7</v>
      </c>
      <c r="FX464" s="27" t="s">
        <v>7</v>
      </c>
      <c r="FY464" s="27" t="s">
        <v>8</v>
      </c>
      <c r="FZ464" s="27" t="s">
        <v>7</v>
      </c>
      <c r="GA464" s="27" t="s">
        <v>8</v>
      </c>
      <c r="GB464" s="27" t="s">
        <v>7</v>
      </c>
      <c r="GC464" s="27" t="s">
        <v>8</v>
      </c>
      <c r="GF464" s="27" t="s">
        <v>7</v>
      </c>
      <c r="GG464" s="27" t="s">
        <v>8</v>
      </c>
      <c r="GH464" s="27" t="s">
        <v>7</v>
      </c>
      <c r="GI464" s="27" t="s">
        <v>8</v>
      </c>
      <c r="GJ464" s="27" t="s">
        <v>7</v>
      </c>
      <c r="GK464" s="27" t="s">
        <v>8</v>
      </c>
      <c r="GL464" s="27" t="s">
        <v>7</v>
      </c>
      <c r="GM464" s="27" t="s">
        <v>8</v>
      </c>
      <c r="GN464" s="27" t="s">
        <v>7</v>
      </c>
      <c r="GO464" s="27" t="s">
        <v>8</v>
      </c>
      <c r="GS464" s="27" t="s">
        <v>8</v>
      </c>
      <c r="GT464" s="27" t="s">
        <v>7</v>
      </c>
      <c r="GW464" s="27" t="s">
        <v>8</v>
      </c>
      <c r="GX464" s="27" t="s">
        <v>7</v>
      </c>
      <c r="GY464" s="27" t="s">
        <v>8</v>
      </c>
      <c r="GZ464" s="27" t="s">
        <v>7</v>
      </c>
      <c r="HB464" s="27" t="s">
        <v>7</v>
      </c>
      <c r="HC464" s="27" t="s">
        <v>8</v>
      </c>
      <c r="HD464" s="27" t="s">
        <v>7</v>
      </c>
      <c r="HE464" s="27" t="s">
        <v>8</v>
      </c>
      <c r="HG464" s="27" t="s">
        <v>8</v>
      </c>
      <c r="HJ464" s="27" t="s">
        <v>7</v>
      </c>
      <c r="HN464" s="27" t="s">
        <v>7</v>
      </c>
      <c r="HO464" s="27" t="s">
        <v>8</v>
      </c>
      <c r="HP464" s="27" t="s">
        <v>7</v>
      </c>
      <c r="HR464" s="27" t="s">
        <v>7</v>
      </c>
      <c r="HS464" s="27" t="s">
        <v>8</v>
      </c>
      <c r="HW464" s="27" t="s">
        <v>8</v>
      </c>
      <c r="HX464" s="27" t="s">
        <v>7</v>
      </c>
    </row>
    <row r="465" spans="1:238" x14ac:dyDescent="0.25">
      <c r="A465" s="7">
        <v>11.200075620783522</v>
      </c>
      <c r="B465"/>
      <c r="C465"/>
      <c r="D465"/>
      <c r="E465"/>
      <c r="BI465" s="27" t="s">
        <v>8</v>
      </c>
      <c r="BJ465" s="27" t="s">
        <v>7</v>
      </c>
      <c r="BK465" s="27" t="s">
        <v>8</v>
      </c>
      <c r="BL465" s="27" t="s">
        <v>7</v>
      </c>
      <c r="BM465" s="27" t="s">
        <v>8</v>
      </c>
      <c r="BR465" s="27" t="s">
        <v>7</v>
      </c>
      <c r="BV465" s="27" t="s">
        <v>7</v>
      </c>
      <c r="BW465" s="27" t="s">
        <v>8</v>
      </c>
      <c r="CD465" s="27" t="s">
        <v>7</v>
      </c>
      <c r="CE465" s="27" t="s">
        <v>8</v>
      </c>
      <c r="CF465" s="27" t="s">
        <v>7</v>
      </c>
      <c r="CG465" s="27" t="s">
        <v>8</v>
      </c>
      <c r="CJ465" s="27" t="s">
        <v>7</v>
      </c>
      <c r="CK465" s="27" t="s">
        <v>8</v>
      </c>
      <c r="CL465" s="27" t="s">
        <v>7</v>
      </c>
      <c r="CM465" s="27" t="s">
        <v>8</v>
      </c>
      <c r="DT465" s="27" t="s">
        <v>7</v>
      </c>
      <c r="DU465" s="27" t="s">
        <v>8</v>
      </c>
      <c r="DV465" s="27" t="s">
        <v>7</v>
      </c>
      <c r="EA465" s="27" t="s">
        <v>8</v>
      </c>
      <c r="EB465" s="27" t="s">
        <v>7</v>
      </c>
      <c r="EC465" s="27" t="s">
        <v>8</v>
      </c>
      <c r="FU465" s="27" t="s">
        <v>8</v>
      </c>
      <c r="FX465" s="27" t="s">
        <v>7</v>
      </c>
      <c r="FY465" s="27" t="s">
        <v>8</v>
      </c>
      <c r="FZ465" s="27" t="s">
        <v>7</v>
      </c>
      <c r="GA465" s="27" t="s">
        <v>8</v>
      </c>
      <c r="GB465" s="27" t="s">
        <v>7</v>
      </c>
      <c r="GF465" s="27" t="s">
        <v>7</v>
      </c>
      <c r="GH465" s="27" t="s">
        <v>7</v>
      </c>
      <c r="GI465" s="27" t="s">
        <v>8</v>
      </c>
      <c r="GJ465" s="27" t="s">
        <v>7</v>
      </c>
      <c r="GK465" s="27" t="s">
        <v>8</v>
      </c>
      <c r="GL465" s="27" t="s">
        <v>7</v>
      </c>
      <c r="GN465" s="27" t="s">
        <v>7</v>
      </c>
      <c r="GO465" s="27" t="s">
        <v>8</v>
      </c>
      <c r="GP465" s="27" t="s">
        <v>7</v>
      </c>
      <c r="GS465" s="27" t="s">
        <v>8</v>
      </c>
      <c r="GT465" s="27" t="s">
        <v>7</v>
      </c>
      <c r="GU465" s="27" t="s">
        <v>8</v>
      </c>
      <c r="GW465" s="27" t="s">
        <v>8</v>
      </c>
      <c r="GX465" s="27" t="s">
        <v>7</v>
      </c>
      <c r="GY465" s="27" t="s">
        <v>8</v>
      </c>
      <c r="HB465" s="27" t="s">
        <v>7</v>
      </c>
      <c r="HC465" s="27" t="s">
        <v>8</v>
      </c>
      <c r="HD465" s="27" t="s">
        <v>7</v>
      </c>
      <c r="HE465" s="27" t="s">
        <v>8</v>
      </c>
      <c r="HF465" s="27" t="s">
        <v>7</v>
      </c>
      <c r="HG465" s="27" t="s">
        <v>8</v>
      </c>
      <c r="HN465" s="27" t="s">
        <v>7</v>
      </c>
      <c r="HO465" s="27" t="s">
        <v>8</v>
      </c>
      <c r="HR465" s="27" t="s">
        <v>7</v>
      </c>
      <c r="HS465" s="27" t="s">
        <v>8</v>
      </c>
      <c r="HT465" s="27" t="s">
        <v>7</v>
      </c>
      <c r="HW465" s="27" t="s">
        <v>8</v>
      </c>
      <c r="HX465" s="27" t="s">
        <v>7</v>
      </c>
    </row>
    <row r="466" spans="1:238" x14ac:dyDescent="0.25">
      <c r="A466" s="7">
        <v>10.980466294885806</v>
      </c>
      <c r="B466"/>
      <c r="C466"/>
      <c r="D466"/>
      <c r="E466"/>
      <c r="AY466" s="27" t="s">
        <v>8</v>
      </c>
      <c r="BI466" s="27" t="s">
        <v>8</v>
      </c>
      <c r="BJ466" s="27" t="s">
        <v>7</v>
      </c>
      <c r="BL466" s="27" t="s">
        <v>7</v>
      </c>
      <c r="BM466" s="27" t="s">
        <v>8</v>
      </c>
      <c r="BV466" s="27" t="s">
        <v>7</v>
      </c>
      <c r="CD466" s="27" t="s">
        <v>7</v>
      </c>
      <c r="CF466" s="27" t="s">
        <v>7</v>
      </c>
      <c r="CJ466" s="27" t="s">
        <v>7</v>
      </c>
      <c r="CK466" s="27" t="s">
        <v>8</v>
      </c>
      <c r="CL466" s="27" t="s">
        <v>7</v>
      </c>
      <c r="CM466" s="27" t="s">
        <v>8</v>
      </c>
      <c r="DT466" s="27" t="s">
        <v>7</v>
      </c>
      <c r="DU466" s="27" t="s">
        <v>8</v>
      </c>
      <c r="DV466" s="27" t="s">
        <v>7</v>
      </c>
      <c r="EA466" s="27" t="s">
        <v>8</v>
      </c>
      <c r="EB466" s="27" t="s">
        <v>7</v>
      </c>
      <c r="EC466" s="27" t="s">
        <v>8</v>
      </c>
      <c r="ED466" s="27" t="s">
        <v>7</v>
      </c>
      <c r="FU466" s="27" t="s">
        <v>8</v>
      </c>
      <c r="FX466" s="27" t="s">
        <v>7</v>
      </c>
      <c r="FY466" s="27" t="s">
        <v>8</v>
      </c>
      <c r="FZ466" s="27" t="s">
        <v>7</v>
      </c>
      <c r="GH466" s="27" t="s">
        <v>7</v>
      </c>
      <c r="GI466" s="27" t="s">
        <v>8</v>
      </c>
      <c r="GJ466" s="27" t="s">
        <v>7</v>
      </c>
      <c r="GK466" s="27" t="s">
        <v>8</v>
      </c>
      <c r="GN466" s="27" t="s">
        <v>7</v>
      </c>
      <c r="GO466" s="27" t="s">
        <v>8</v>
      </c>
      <c r="GP466" s="27" t="s">
        <v>7</v>
      </c>
      <c r="GS466" s="27" t="s">
        <v>8</v>
      </c>
      <c r="GT466" s="27" t="s">
        <v>7</v>
      </c>
      <c r="GU466" s="27" t="s">
        <v>8</v>
      </c>
      <c r="GV466" s="27" t="s">
        <v>7</v>
      </c>
      <c r="GW466" s="27" t="s">
        <v>8</v>
      </c>
      <c r="GX466" s="27" t="s">
        <v>7</v>
      </c>
      <c r="GY466" s="27" t="s">
        <v>8</v>
      </c>
      <c r="HB466" s="27" t="s">
        <v>7</v>
      </c>
      <c r="HC466" s="27" t="s">
        <v>8</v>
      </c>
      <c r="HD466" s="27" t="s">
        <v>7</v>
      </c>
      <c r="HE466" s="27" t="s">
        <v>8</v>
      </c>
      <c r="HF466" s="27" t="s">
        <v>7</v>
      </c>
      <c r="HG466" s="27" t="s">
        <v>8</v>
      </c>
      <c r="HN466" s="27" t="s">
        <v>7</v>
      </c>
      <c r="HO466" s="27" t="s">
        <v>8</v>
      </c>
      <c r="HR466" s="27" t="s">
        <v>7</v>
      </c>
      <c r="HS466" s="27" t="s">
        <v>8</v>
      </c>
      <c r="HT466" s="27" t="s">
        <v>7</v>
      </c>
      <c r="HW466" s="27" t="s">
        <v>8</v>
      </c>
      <c r="HX466" s="27" t="s">
        <v>7</v>
      </c>
    </row>
    <row r="467" spans="1:238" x14ac:dyDescent="0.25">
      <c r="A467" s="7">
        <v>10.765163034201771</v>
      </c>
      <c r="B467"/>
      <c r="C467"/>
      <c r="D467"/>
      <c r="E467"/>
      <c r="AY467" s="27" t="s">
        <v>8</v>
      </c>
      <c r="AZ467" s="27" t="s">
        <v>7</v>
      </c>
      <c r="BI467" s="27" t="s">
        <v>8</v>
      </c>
      <c r="BL467" s="27" t="s">
        <v>7</v>
      </c>
      <c r="BM467" s="27" t="s">
        <v>8</v>
      </c>
      <c r="CJ467" s="27" t="s">
        <v>7</v>
      </c>
      <c r="CK467" s="27" t="s">
        <v>8</v>
      </c>
      <c r="CL467" s="27" t="s">
        <v>7</v>
      </c>
      <c r="DT467" s="27" t="s">
        <v>7</v>
      </c>
      <c r="DU467" s="27" t="s">
        <v>8</v>
      </c>
      <c r="DV467" s="27" t="s">
        <v>7</v>
      </c>
      <c r="DW467" s="27" t="s">
        <v>8</v>
      </c>
      <c r="DY467" s="27" t="s">
        <v>8</v>
      </c>
      <c r="EA467" s="27" t="s">
        <v>8</v>
      </c>
      <c r="EB467" s="27" t="s">
        <v>7</v>
      </c>
      <c r="EC467" s="27" t="s">
        <v>8</v>
      </c>
      <c r="ED467" s="27" t="s">
        <v>7</v>
      </c>
      <c r="FU467" s="27" t="s">
        <v>8</v>
      </c>
      <c r="FX467" s="27" t="s">
        <v>7</v>
      </c>
      <c r="GH467" s="27" t="s">
        <v>7</v>
      </c>
      <c r="GJ467" s="27" t="s">
        <v>7</v>
      </c>
      <c r="GK467" s="27" t="s">
        <v>8</v>
      </c>
      <c r="GN467" s="27" t="s">
        <v>7</v>
      </c>
      <c r="GP467" s="27" t="s">
        <v>7</v>
      </c>
      <c r="GS467" s="27" t="s">
        <v>8</v>
      </c>
      <c r="GT467" s="27" t="s">
        <v>7</v>
      </c>
      <c r="GU467" s="27" t="s">
        <v>8</v>
      </c>
      <c r="GV467" s="27" t="s">
        <v>7</v>
      </c>
      <c r="GW467" s="27" t="s">
        <v>8</v>
      </c>
      <c r="GX467" s="27" t="s">
        <v>7</v>
      </c>
      <c r="GY467" s="27" t="s">
        <v>8</v>
      </c>
      <c r="HB467" s="27" t="s">
        <v>7</v>
      </c>
      <c r="HC467" s="27" t="s">
        <v>8</v>
      </c>
      <c r="HD467" s="27" t="s">
        <v>7</v>
      </c>
      <c r="HE467" s="27" t="s">
        <v>8</v>
      </c>
      <c r="HF467" s="27" t="s">
        <v>7</v>
      </c>
      <c r="HN467" s="27" t="s">
        <v>7</v>
      </c>
      <c r="HO467" s="27" t="s">
        <v>8</v>
      </c>
      <c r="HR467" s="27" t="s">
        <v>7</v>
      </c>
      <c r="HS467" s="27" t="s">
        <v>8</v>
      </c>
      <c r="HT467" s="27" t="s">
        <v>7</v>
      </c>
      <c r="HW467" s="27" t="s">
        <v>8</v>
      </c>
      <c r="HX467" s="27" t="s">
        <v>7</v>
      </c>
    </row>
    <row r="468" spans="1:238" x14ac:dyDescent="0.25">
      <c r="A468" s="7">
        <v>10.554081406080169</v>
      </c>
      <c r="B468"/>
      <c r="C468"/>
      <c r="D468"/>
      <c r="E468"/>
      <c r="AY468" s="27" t="s">
        <v>8</v>
      </c>
      <c r="AZ468" s="27" t="s">
        <v>7</v>
      </c>
      <c r="BI468" s="27" t="s">
        <v>8</v>
      </c>
      <c r="BL468" s="27" t="s">
        <v>7</v>
      </c>
      <c r="BM468" s="27" t="s">
        <v>8</v>
      </c>
      <c r="CJ468" s="27" t="s">
        <v>7</v>
      </c>
      <c r="CK468" s="27" t="s">
        <v>8</v>
      </c>
      <c r="DT468" s="27" t="s">
        <v>7</v>
      </c>
      <c r="DU468" s="27" t="s">
        <v>8</v>
      </c>
      <c r="DV468" s="27" t="s">
        <v>7</v>
      </c>
      <c r="DW468" s="27" t="s">
        <v>8</v>
      </c>
      <c r="DX468" s="27" t="s">
        <v>7</v>
      </c>
      <c r="DY468" s="27" t="s">
        <v>8</v>
      </c>
      <c r="DZ468" s="27" t="s">
        <v>7</v>
      </c>
      <c r="EA468" s="27" t="s">
        <v>8</v>
      </c>
      <c r="EB468" s="27" t="s">
        <v>7</v>
      </c>
      <c r="EC468" s="27" t="s">
        <v>8</v>
      </c>
      <c r="ED468" s="27" t="s">
        <v>7</v>
      </c>
      <c r="FS468" s="27" t="s">
        <v>8</v>
      </c>
      <c r="FU468" s="27" t="s">
        <v>8</v>
      </c>
      <c r="GJ468" s="27" t="s">
        <v>7</v>
      </c>
      <c r="GP468" s="27" t="s">
        <v>7</v>
      </c>
      <c r="GS468" s="27" t="s">
        <v>8</v>
      </c>
      <c r="GT468" s="27" t="s">
        <v>7</v>
      </c>
      <c r="GU468" s="27" t="s">
        <v>8</v>
      </c>
      <c r="GV468" s="27" t="s">
        <v>7</v>
      </c>
      <c r="GW468" s="27" t="s">
        <v>8</v>
      </c>
      <c r="GX468" s="27" t="s">
        <v>7</v>
      </c>
      <c r="GY468" s="27" t="s">
        <v>8</v>
      </c>
      <c r="HB468" s="27" t="s">
        <v>7</v>
      </c>
      <c r="HD468" s="27" t="s">
        <v>7</v>
      </c>
      <c r="HN468" s="27" t="s">
        <v>7</v>
      </c>
      <c r="HR468" s="27" t="s">
        <v>7</v>
      </c>
      <c r="HS468" s="27" t="s">
        <v>8</v>
      </c>
      <c r="HT468" s="27" t="s">
        <v>7</v>
      </c>
      <c r="HW468" s="27" t="s">
        <v>8</v>
      </c>
      <c r="HX468" s="27" t="s">
        <v>7</v>
      </c>
    </row>
    <row r="469" spans="1:238" x14ac:dyDescent="0.25">
      <c r="A469" s="7">
        <v>10.34713863341193</v>
      </c>
      <c r="B469"/>
      <c r="C469"/>
      <c r="D469"/>
      <c r="E469"/>
      <c r="AY469" s="27" t="s">
        <v>8</v>
      </c>
      <c r="AZ469" s="27" t="s">
        <v>7</v>
      </c>
      <c r="BI469" s="27" t="s">
        <v>8</v>
      </c>
      <c r="BL469" s="27" t="s">
        <v>7</v>
      </c>
      <c r="BM469" s="27" t="s">
        <v>8</v>
      </c>
      <c r="CJ469" s="27" t="s">
        <v>7</v>
      </c>
      <c r="CK469" s="27" t="s">
        <v>8</v>
      </c>
      <c r="DT469" s="27" t="s">
        <v>7</v>
      </c>
      <c r="DU469" s="27" t="s">
        <v>8</v>
      </c>
      <c r="DV469" s="27" t="s">
        <v>7</v>
      </c>
      <c r="DW469" s="27" t="s">
        <v>8</v>
      </c>
      <c r="DX469" s="27" t="s">
        <v>7</v>
      </c>
      <c r="DY469" s="27" t="s">
        <v>8</v>
      </c>
      <c r="DZ469" s="27" t="s">
        <v>7</v>
      </c>
      <c r="EA469" s="27" t="s">
        <v>8</v>
      </c>
      <c r="EB469" s="27" t="s">
        <v>7</v>
      </c>
      <c r="EC469" s="27" t="s">
        <v>8</v>
      </c>
      <c r="ED469" s="27" t="s">
        <v>7</v>
      </c>
      <c r="FS469" s="27" t="s">
        <v>8</v>
      </c>
      <c r="FT469" s="27" t="s">
        <v>7</v>
      </c>
      <c r="FU469" s="27" t="s">
        <v>8</v>
      </c>
      <c r="GP469" s="27" t="s">
        <v>7</v>
      </c>
      <c r="GS469" s="27" t="s">
        <v>8</v>
      </c>
      <c r="GT469" s="27" t="s">
        <v>7</v>
      </c>
      <c r="GU469" s="27" t="s">
        <v>8</v>
      </c>
      <c r="GV469" s="27" t="s">
        <v>7</v>
      </c>
      <c r="GW469" s="27" t="s">
        <v>8</v>
      </c>
      <c r="GX469" s="27" t="s">
        <v>7</v>
      </c>
      <c r="GY469" s="27" t="s">
        <v>8</v>
      </c>
      <c r="HR469" s="27" t="s">
        <v>7</v>
      </c>
      <c r="HS469" s="27" t="s">
        <v>8</v>
      </c>
      <c r="HT469" s="27" t="s">
        <v>7</v>
      </c>
      <c r="HW469" s="27" t="s">
        <v>8</v>
      </c>
      <c r="HX469" s="27" t="s">
        <v>7</v>
      </c>
    </row>
    <row r="470" spans="1:238" x14ac:dyDescent="0.25">
      <c r="A470" s="7">
        <v>10.14425356216856</v>
      </c>
      <c r="B470"/>
      <c r="C470"/>
      <c r="D470"/>
      <c r="E470"/>
      <c r="AY470" s="27" t="s">
        <v>8</v>
      </c>
      <c r="AZ470" s="27" t="s">
        <v>7</v>
      </c>
      <c r="BI470" s="27" t="s">
        <v>8</v>
      </c>
      <c r="BL470" s="27" t="s">
        <v>7</v>
      </c>
      <c r="CJ470" s="27" t="s">
        <v>7</v>
      </c>
      <c r="CK470" s="27" t="s">
        <v>8</v>
      </c>
      <c r="DT470" s="27" t="s">
        <v>7</v>
      </c>
      <c r="DU470" s="27" t="s">
        <v>8</v>
      </c>
      <c r="DV470" s="27" t="s">
        <v>7</v>
      </c>
      <c r="DW470" s="27" t="s">
        <v>8</v>
      </c>
      <c r="DX470" s="27" t="s">
        <v>7</v>
      </c>
      <c r="DY470" s="27" t="s">
        <v>8</v>
      </c>
      <c r="DZ470" s="27" t="s">
        <v>7</v>
      </c>
      <c r="EA470" s="27" t="s">
        <v>8</v>
      </c>
      <c r="EB470" s="27" t="s">
        <v>7</v>
      </c>
      <c r="EC470" s="27" t="s">
        <v>8</v>
      </c>
      <c r="ED470" s="27" t="s">
        <v>7</v>
      </c>
      <c r="EE470" s="27" t="s">
        <v>8</v>
      </c>
      <c r="FS470" s="27" t="s">
        <v>8</v>
      </c>
      <c r="FT470" s="27" t="s">
        <v>7</v>
      </c>
      <c r="FU470" s="27" t="s">
        <v>8</v>
      </c>
      <c r="GP470" s="27" t="s">
        <v>7</v>
      </c>
      <c r="GS470" s="27" t="s">
        <v>8</v>
      </c>
      <c r="GT470" s="27" t="s">
        <v>7</v>
      </c>
      <c r="GU470" s="27" t="s">
        <v>8</v>
      </c>
      <c r="GV470" s="27" t="s">
        <v>7</v>
      </c>
      <c r="GW470" s="27" t="s">
        <v>8</v>
      </c>
      <c r="GX470" s="27" t="s">
        <v>7</v>
      </c>
      <c r="GY470" s="27" t="s">
        <v>8</v>
      </c>
      <c r="HR470" s="27" t="s">
        <v>7</v>
      </c>
      <c r="HS470" s="27" t="s">
        <v>8</v>
      </c>
      <c r="HT470" s="27" t="s">
        <v>7</v>
      </c>
      <c r="HW470" s="27" t="s">
        <v>8</v>
      </c>
      <c r="HX470" s="27" t="s">
        <v>7</v>
      </c>
      <c r="IC470" s="27" t="s">
        <v>8</v>
      </c>
    </row>
    <row r="471" spans="1:238" x14ac:dyDescent="0.25">
      <c r="A471" s="7">
        <v>9.9453466295770188</v>
      </c>
      <c r="B471"/>
      <c r="C471"/>
      <c r="D471"/>
      <c r="E471"/>
      <c r="AY471" s="27" t="s">
        <v>8</v>
      </c>
      <c r="AZ471" s="27" t="s">
        <v>7</v>
      </c>
      <c r="BG471" s="27" t="s">
        <v>8</v>
      </c>
      <c r="BI471" s="27" t="s">
        <v>8</v>
      </c>
      <c r="CJ471" s="27" t="s">
        <v>7</v>
      </c>
      <c r="DT471" s="27" t="s">
        <v>7</v>
      </c>
      <c r="DU471" s="27" t="s">
        <v>8</v>
      </c>
      <c r="DV471" s="27" t="s">
        <v>7</v>
      </c>
      <c r="DW471" s="27" t="s">
        <v>8</v>
      </c>
      <c r="DX471" s="27" t="s">
        <v>7</v>
      </c>
      <c r="DY471" s="27" t="s">
        <v>8</v>
      </c>
      <c r="DZ471" s="27" t="s">
        <v>7</v>
      </c>
      <c r="EA471" s="27" t="s">
        <v>8</v>
      </c>
      <c r="EB471" s="27" t="s">
        <v>7</v>
      </c>
      <c r="EC471" s="27" t="s">
        <v>8</v>
      </c>
      <c r="ED471" s="27" t="s">
        <v>7</v>
      </c>
      <c r="EE471" s="27" t="s">
        <v>8</v>
      </c>
      <c r="EF471" s="27" t="s">
        <v>7</v>
      </c>
      <c r="EG471" s="27" t="s">
        <v>8</v>
      </c>
      <c r="FS471" s="27" t="s">
        <v>8</v>
      </c>
      <c r="FT471" s="27" t="s">
        <v>7</v>
      </c>
      <c r="FU471" s="27" t="s">
        <v>8</v>
      </c>
      <c r="GP471" s="27" t="s">
        <v>7</v>
      </c>
      <c r="GS471" s="27" t="s">
        <v>8</v>
      </c>
      <c r="GT471" s="27" t="s">
        <v>7</v>
      </c>
      <c r="GU471" s="27" t="s">
        <v>8</v>
      </c>
      <c r="GV471" s="27" t="s">
        <v>7</v>
      </c>
      <c r="GW471" s="27" t="s">
        <v>8</v>
      </c>
      <c r="GX471" s="27" t="s">
        <v>7</v>
      </c>
      <c r="HR471" s="27" t="s">
        <v>7</v>
      </c>
      <c r="HS471" s="27" t="s">
        <v>8</v>
      </c>
      <c r="HT471" s="27" t="s">
        <v>7</v>
      </c>
      <c r="HU471" s="27" t="s">
        <v>8</v>
      </c>
      <c r="HW471" s="27" t="s">
        <v>8</v>
      </c>
      <c r="HX471" s="27" t="s">
        <v>7</v>
      </c>
      <c r="IC471" s="27" t="s">
        <v>8</v>
      </c>
      <c r="ID471" s="27" t="s">
        <v>7</v>
      </c>
    </row>
    <row r="472" spans="1:238" x14ac:dyDescent="0.25">
      <c r="A472" s="7">
        <v>9.7503398329186464</v>
      </c>
      <c r="B472"/>
      <c r="C472"/>
      <c r="D472"/>
      <c r="E472"/>
      <c r="AY472" s="27" t="s">
        <v>8</v>
      </c>
      <c r="AZ472" s="27" t="s">
        <v>7</v>
      </c>
      <c r="BG472" s="27" t="s">
        <v>8</v>
      </c>
      <c r="BH472" s="27" t="s">
        <v>7</v>
      </c>
      <c r="BI472" s="27" t="s">
        <v>8</v>
      </c>
      <c r="DT472" s="27" t="s">
        <v>7</v>
      </c>
      <c r="DU472" s="27" t="s">
        <v>8</v>
      </c>
      <c r="DV472" s="27" t="s">
        <v>7</v>
      </c>
      <c r="DW472" s="27" t="s">
        <v>8</v>
      </c>
      <c r="DX472" s="27" t="s">
        <v>7</v>
      </c>
      <c r="DY472" s="27" t="s">
        <v>8</v>
      </c>
      <c r="DZ472" s="27" t="s">
        <v>7</v>
      </c>
      <c r="EA472" s="27" t="s">
        <v>8</v>
      </c>
      <c r="EB472" s="27" t="s">
        <v>7</v>
      </c>
      <c r="EC472" s="27" t="s">
        <v>8</v>
      </c>
      <c r="ED472" s="27" t="s">
        <v>7</v>
      </c>
      <c r="EE472" s="27" t="s">
        <v>8</v>
      </c>
      <c r="EF472" s="27" t="s">
        <v>7</v>
      </c>
      <c r="EG472" s="27" t="s">
        <v>8</v>
      </c>
      <c r="EH472" s="27" t="s">
        <v>7</v>
      </c>
      <c r="FQ472" s="27" t="s">
        <v>8</v>
      </c>
      <c r="FS472" s="27" t="s">
        <v>8</v>
      </c>
      <c r="FT472" s="27" t="s">
        <v>7</v>
      </c>
      <c r="FU472" s="27" t="s">
        <v>8</v>
      </c>
      <c r="GP472" s="27" t="s">
        <v>7</v>
      </c>
      <c r="GQ472" s="27" t="s">
        <v>8</v>
      </c>
      <c r="GS472" s="27" t="s">
        <v>8</v>
      </c>
      <c r="GT472" s="27" t="s">
        <v>7</v>
      </c>
      <c r="GU472" s="27" t="s">
        <v>8</v>
      </c>
      <c r="GV472" s="27" t="s">
        <v>7</v>
      </c>
      <c r="HR472" s="27" t="s">
        <v>7</v>
      </c>
      <c r="HS472" s="27" t="s">
        <v>8</v>
      </c>
      <c r="HT472" s="27" t="s">
        <v>7</v>
      </c>
      <c r="HU472" s="27" t="s">
        <v>8</v>
      </c>
      <c r="HV472" s="27" t="s">
        <v>7</v>
      </c>
      <c r="HW472" s="27" t="s">
        <v>8</v>
      </c>
      <c r="HX472" s="27" t="s">
        <v>7</v>
      </c>
      <c r="IC472" s="27" t="s">
        <v>8</v>
      </c>
      <c r="ID472" s="27" t="s">
        <v>7</v>
      </c>
    </row>
    <row r="473" spans="1:238" x14ac:dyDescent="0.25">
      <c r="A473" s="7">
        <v>9.5591566989398498</v>
      </c>
      <c r="B473"/>
      <c r="C473"/>
      <c r="D473"/>
      <c r="E473"/>
      <c r="AY473" s="27" t="s">
        <v>8</v>
      </c>
      <c r="AZ473" s="27" t="s">
        <v>7</v>
      </c>
      <c r="BG473" s="27" t="s">
        <v>8</v>
      </c>
      <c r="BH473" s="27" t="s">
        <v>7</v>
      </c>
      <c r="BI473" s="27" t="s">
        <v>8</v>
      </c>
      <c r="DT473" s="27" t="s">
        <v>7</v>
      </c>
      <c r="DU473" s="27" t="s">
        <v>8</v>
      </c>
      <c r="DV473" s="27" t="s">
        <v>7</v>
      </c>
      <c r="DW473" s="27" t="s">
        <v>8</v>
      </c>
      <c r="DX473" s="27" t="s">
        <v>7</v>
      </c>
      <c r="DY473" s="27" t="s">
        <v>8</v>
      </c>
      <c r="DZ473" s="27" t="s">
        <v>7</v>
      </c>
      <c r="EA473" s="27" t="s">
        <v>8</v>
      </c>
      <c r="EB473" s="27" t="s">
        <v>7</v>
      </c>
      <c r="EC473" s="27" t="s">
        <v>8</v>
      </c>
      <c r="ED473" s="27" t="s">
        <v>7</v>
      </c>
      <c r="EE473" s="27" t="s">
        <v>8</v>
      </c>
      <c r="EF473" s="27" t="s">
        <v>7</v>
      </c>
      <c r="EG473" s="27" t="s">
        <v>8</v>
      </c>
      <c r="EH473" s="27" t="s">
        <v>7</v>
      </c>
      <c r="FQ473" s="27" t="s">
        <v>8</v>
      </c>
      <c r="FR473" s="27" t="s">
        <v>7</v>
      </c>
      <c r="FS473" s="27" t="s">
        <v>8</v>
      </c>
      <c r="FT473" s="27" t="s">
        <v>7</v>
      </c>
      <c r="FU473" s="27" t="s">
        <v>8</v>
      </c>
      <c r="GP473" s="27" t="s">
        <v>7</v>
      </c>
      <c r="GQ473" s="27" t="s">
        <v>8</v>
      </c>
      <c r="GR473" s="27" t="s">
        <v>7</v>
      </c>
      <c r="GS473" s="27" t="s">
        <v>8</v>
      </c>
      <c r="GT473" s="27" t="s">
        <v>7</v>
      </c>
      <c r="GU473" s="27" t="s">
        <v>8</v>
      </c>
      <c r="HR473" s="27" t="s">
        <v>7</v>
      </c>
      <c r="HT473" s="27" t="s">
        <v>7</v>
      </c>
      <c r="HU473" s="27" t="s">
        <v>8</v>
      </c>
      <c r="HV473" s="27" t="s">
        <v>7</v>
      </c>
      <c r="HW473" s="27" t="s">
        <v>8</v>
      </c>
      <c r="HX473" s="27" t="s">
        <v>7</v>
      </c>
      <c r="IC473" s="27" t="s">
        <v>8</v>
      </c>
      <c r="ID473" s="27" t="s">
        <v>7</v>
      </c>
    </row>
    <row r="474" spans="1:238" x14ac:dyDescent="0.25">
      <c r="A474" s="7">
        <v>9.3717222538625968</v>
      </c>
      <c r="B474"/>
      <c r="C474"/>
      <c r="D474"/>
      <c r="E474"/>
      <c r="AY474" s="27" t="s">
        <v>8</v>
      </c>
      <c r="AZ474" s="27" t="s">
        <v>7</v>
      </c>
      <c r="BG474" s="27" t="s">
        <v>8</v>
      </c>
      <c r="BH474" s="27" t="s">
        <v>7</v>
      </c>
      <c r="BI474" s="27" t="s">
        <v>8</v>
      </c>
      <c r="DT474" s="27" t="s">
        <v>7</v>
      </c>
      <c r="DU474" s="27" t="s">
        <v>8</v>
      </c>
      <c r="DV474" s="27" t="s">
        <v>7</v>
      </c>
      <c r="DW474" s="27" t="s">
        <v>8</v>
      </c>
      <c r="DX474" s="27" t="s">
        <v>7</v>
      </c>
      <c r="DY474" s="27" t="s">
        <v>8</v>
      </c>
      <c r="DZ474" s="27" t="s">
        <v>7</v>
      </c>
      <c r="EA474" s="27" t="s">
        <v>8</v>
      </c>
      <c r="EB474" s="27" t="s">
        <v>7</v>
      </c>
      <c r="EC474" s="27" t="s">
        <v>8</v>
      </c>
      <c r="ED474" s="27" t="s">
        <v>7</v>
      </c>
      <c r="EE474" s="27" t="s">
        <v>8</v>
      </c>
      <c r="EF474" s="27" t="s">
        <v>7</v>
      </c>
      <c r="EG474" s="27" t="s">
        <v>8</v>
      </c>
      <c r="EH474" s="27" t="s">
        <v>7</v>
      </c>
      <c r="FM474" s="27" t="s">
        <v>8</v>
      </c>
      <c r="FO474" s="27" t="s">
        <v>8</v>
      </c>
      <c r="FQ474" s="27" t="s">
        <v>8</v>
      </c>
      <c r="FR474" s="27" t="s">
        <v>7</v>
      </c>
      <c r="FS474" s="27" t="s">
        <v>8</v>
      </c>
      <c r="FT474" s="27" t="s">
        <v>7</v>
      </c>
      <c r="FU474" s="27" t="s">
        <v>8</v>
      </c>
      <c r="GP474" s="27" t="s">
        <v>7</v>
      </c>
      <c r="GQ474" s="27" t="s">
        <v>8</v>
      </c>
      <c r="GR474" s="27" t="s">
        <v>7</v>
      </c>
      <c r="GS474" s="27" t="s">
        <v>8</v>
      </c>
      <c r="GT474" s="27" t="s">
        <v>7</v>
      </c>
      <c r="GU474" s="27" t="s">
        <v>8</v>
      </c>
      <c r="HT474" s="27" t="s">
        <v>7</v>
      </c>
      <c r="HU474" s="27" t="s">
        <v>8</v>
      </c>
      <c r="HV474" s="27" t="s">
        <v>7</v>
      </c>
      <c r="HW474" s="27" t="s">
        <v>8</v>
      </c>
      <c r="HX474" s="27" t="s">
        <v>7</v>
      </c>
      <c r="IC474" s="27" t="s">
        <v>8</v>
      </c>
      <c r="ID474" s="27" t="s">
        <v>7</v>
      </c>
    </row>
    <row r="475" spans="1:238" x14ac:dyDescent="0.25">
      <c r="A475" s="7">
        <v>9.1879629939829375</v>
      </c>
      <c r="B475"/>
      <c r="C475"/>
      <c r="D475"/>
      <c r="E475"/>
      <c r="AY475" s="27" t="s">
        <v>8</v>
      </c>
      <c r="AZ475" s="27" t="s">
        <v>7</v>
      </c>
      <c r="BA475" s="27" t="s">
        <v>8</v>
      </c>
      <c r="BC475" s="27" t="s">
        <v>8</v>
      </c>
      <c r="BG475" s="27" t="s">
        <v>8</v>
      </c>
      <c r="BH475" s="27" t="s">
        <v>7</v>
      </c>
      <c r="BI475" s="27" t="s">
        <v>8</v>
      </c>
      <c r="DT475" s="27" t="s">
        <v>7</v>
      </c>
      <c r="DU475" s="27" t="s">
        <v>8</v>
      </c>
      <c r="DV475" s="27" t="s">
        <v>7</v>
      </c>
      <c r="DW475" s="27" t="s">
        <v>8</v>
      </c>
      <c r="DX475" s="27" t="s">
        <v>7</v>
      </c>
      <c r="DY475" s="27" t="s">
        <v>8</v>
      </c>
      <c r="DZ475" s="27" t="s">
        <v>7</v>
      </c>
      <c r="EA475" s="27" t="s">
        <v>8</v>
      </c>
      <c r="EB475" s="27" t="s">
        <v>7</v>
      </c>
      <c r="EC475" s="27" t="s">
        <v>8</v>
      </c>
      <c r="ED475" s="27" t="s">
        <v>7</v>
      </c>
      <c r="EE475" s="27" t="s">
        <v>8</v>
      </c>
      <c r="EF475" s="27" t="s">
        <v>7</v>
      </c>
      <c r="EG475" s="27" t="s">
        <v>8</v>
      </c>
      <c r="EH475" s="27" t="s">
        <v>7</v>
      </c>
      <c r="EI475" s="27" t="s">
        <v>8</v>
      </c>
      <c r="FM475" s="27" t="s">
        <v>8</v>
      </c>
      <c r="FN475" s="27" t="s">
        <v>7</v>
      </c>
      <c r="FO475" s="27" t="s">
        <v>8</v>
      </c>
      <c r="FP475" s="27" t="s">
        <v>7</v>
      </c>
      <c r="FQ475" s="27" t="s">
        <v>8</v>
      </c>
      <c r="FR475" s="27" t="s">
        <v>7</v>
      </c>
      <c r="FS475" s="27" t="s">
        <v>8</v>
      </c>
      <c r="FT475" s="27" t="s">
        <v>7</v>
      </c>
      <c r="FU475" s="27" t="s">
        <v>8</v>
      </c>
      <c r="GP475" s="27" t="s">
        <v>7</v>
      </c>
      <c r="GQ475" s="27" t="s">
        <v>8</v>
      </c>
      <c r="GR475" s="27" t="s">
        <v>7</v>
      </c>
      <c r="GS475" s="27" t="s">
        <v>8</v>
      </c>
      <c r="GT475" s="27" t="s">
        <v>7</v>
      </c>
      <c r="HT475" s="27" t="s">
        <v>7</v>
      </c>
      <c r="HU475" s="27" t="s">
        <v>8</v>
      </c>
      <c r="HV475" s="27" t="s">
        <v>7</v>
      </c>
      <c r="HW475" s="27" t="s">
        <v>8</v>
      </c>
      <c r="HX475" s="27" t="s">
        <v>7</v>
      </c>
      <c r="IC475" s="27" t="s">
        <v>8</v>
      </c>
      <c r="ID475" s="27" t="s">
        <v>7</v>
      </c>
    </row>
    <row r="476" spans="1:238" x14ac:dyDescent="0.25">
      <c r="A476" s="7">
        <v>9.0078068568460168</v>
      </c>
      <c r="B476"/>
      <c r="C476"/>
      <c r="D476"/>
      <c r="E476"/>
      <c r="AY476" s="27" t="s">
        <v>8</v>
      </c>
      <c r="AZ476" s="27" t="s">
        <v>7</v>
      </c>
      <c r="BA476" s="27" t="s">
        <v>8</v>
      </c>
      <c r="BB476" s="27" t="s">
        <v>7</v>
      </c>
      <c r="BC476" s="27" t="s">
        <v>8</v>
      </c>
      <c r="BD476" s="27" t="s">
        <v>7</v>
      </c>
      <c r="BG476" s="27" t="s">
        <v>8</v>
      </c>
      <c r="BH476" s="27" t="s">
        <v>7</v>
      </c>
      <c r="BI476" s="27" t="s">
        <v>8</v>
      </c>
      <c r="DT476" s="27" t="s">
        <v>7</v>
      </c>
      <c r="DU476" s="27" t="s">
        <v>8</v>
      </c>
      <c r="DV476" s="27" t="s">
        <v>7</v>
      </c>
      <c r="DW476" s="27" t="s">
        <v>8</v>
      </c>
      <c r="DX476" s="27" t="s">
        <v>7</v>
      </c>
      <c r="DY476" s="27" t="s">
        <v>8</v>
      </c>
      <c r="DZ476" s="27" t="s">
        <v>7</v>
      </c>
      <c r="EA476" s="27" t="s">
        <v>8</v>
      </c>
      <c r="EB476" s="27" t="s">
        <v>7</v>
      </c>
      <c r="EC476" s="27" t="s">
        <v>8</v>
      </c>
      <c r="ED476" s="27" t="s">
        <v>7</v>
      </c>
      <c r="EF476" s="27" t="s">
        <v>7</v>
      </c>
      <c r="EG476" s="27" t="s">
        <v>8</v>
      </c>
      <c r="EH476" s="27" t="s">
        <v>7</v>
      </c>
      <c r="EI476" s="27" t="s">
        <v>8</v>
      </c>
      <c r="EJ476" s="27" t="s">
        <v>7</v>
      </c>
      <c r="EK476" s="27" t="s">
        <v>8</v>
      </c>
      <c r="FM476" s="27" t="s">
        <v>8</v>
      </c>
      <c r="FN476" s="27" t="s">
        <v>7</v>
      </c>
      <c r="FO476" s="27" t="s">
        <v>8</v>
      </c>
      <c r="FP476" s="27" t="s">
        <v>7</v>
      </c>
      <c r="FQ476" s="27" t="s">
        <v>8</v>
      </c>
      <c r="FR476" s="27" t="s">
        <v>7</v>
      </c>
      <c r="FS476" s="27" t="s">
        <v>8</v>
      </c>
      <c r="FT476" s="27" t="s">
        <v>7</v>
      </c>
      <c r="GP476" s="27" t="s">
        <v>7</v>
      </c>
      <c r="GQ476" s="27" t="s">
        <v>8</v>
      </c>
      <c r="GR476" s="27" t="s">
        <v>7</v>
      </c>
      <c r="GS476" s="27" t="s">
        <v>8</v>
      </c>
      <c r="HT476" s="27" t="s">
        <v>7</v>
      </c>
      <c r="HV476" s="27" t="s">
        <v>7</v>
      </c>
      <c r="HW476" s="27" t="s">
        <v>8</v>
      </c>
      <c r="HX476" s="27" t="s">
        <v>7</v>
      </c>
      <c r="HY476" s="27" t="s">
        <v>8</v>
      </c>
      <c r="IC476" s="27" t="s">
        <v>8</v>
      </c>
      <c r="ID476" s="27" t="s">
        <v>7</v>
      </c>
    </row>
    <row r="477" spans="1:238" x14ac:dyDescent="0.25">
      <c r="A477" s="7">
        <v>8.8311831929862912</v>
      </c>
      <c r="B477"/>
      <c r="C477"/>
      <c r="D477"/>
      <c r="E477"/>
      <c r="AY477" s="27" t="s">
        <v>8</v>
      </c>
      <c r="AZ477" s="27" t="s">
        <v>7</v>
      </c>
      <c r="BA477" s="27" t="s">
        <v>8</v>
      </c>
      <c r="BB477" s="27" t="s">
        <v>7</v>
      </c>
      <c r="BC477" s="27" t="s">
        <v>8</v>
      </c>
      <c r="BD477" s="27" t="s">
        <v>7</v>
      </c>
      <c r="BG477" s="27" t="s">
        <v>8</v>
      </c>
      <c r="BH477" s="27" t="s">
        <v>7</v>
      </c>
      <c r="BI477" s="27" t="s">
        <v>8</v>
      </c>
      <c r="DT477" s="27" t="s">
        <v>7</v>
      </c>
      <c r="DU477" s="27" t="s">
        <v>8</v>
      </c>
      <c r="DV477" s="27" t="s">
        <v>7</v>
      </c>
      <c r="DX477" s="27" t="s">
        <v>7</v>
      </c>
      <c r="DY477" s="27" t="s">
        <v>8</v>
      </c>
      <c r="DZ477" s="27" t="s">
        <v>7</v>
      </c>
      <c r="EB477" s="27" t="s">
        <v>7</v>
      </c>
      <c r="EC477" s="27" t="s">
        <v>8</v>
      </c>
      <c r="EF477" s="27" t="s">
        <v>7</v>
      </c>
      <c r="EG477" s="27" t="s">
        <v>8</v>
      </c>
      <c r="EH477" s="27" t="s">
        <v>7</v>
      </c>
      <c r="EI477" s="27" t="s">
        <v>8</v>
      </c>
      <c r="EJ477" s="27" t="s">
        <v>7</v>
      </c>
      <c r="EK477" s="27" t="s">
        <v>8</v>
      </c>
      <c r="EL477" s="27" t="s">
        <v>7</v>
      </c>
      <c r="FM477" s="27" t="s">
        <v>8</v>
      </c>
      <c r="FN477" s="27" t="s">
        <v>7</v>
      </c>
      <c r="FO477" s="27" t="s">
        <v>8</v>
      </c>
      <c r="FP477" s="27" t="s">
        <v>7</v>
      </c>
      <c r="FQ477" s="27" t="s">
        <v>8</v>
      </c>
      <c r="FR477" s="27" t="s">
        <v>7</v>
      </c>
      <c r="FS477" s="27" t="s">
        <v>8</v>
      </c>
      <c r="GP477" s="27" t="s">
        <v>7</v>
      </c>
      <c r="GQ477" s="27" t="s">
        <v>8</v>
      </c>
      <c r="GR477" s="27" t="s">
        <v>7</v>
      </c>
      <c r="GS477" s="27" t="s">
        <v>8</v>
      </c>
      <c r="HV477" s="27" t="s">
        <v>7</v>
      </c>
      <c r="HW477" s="27" t="s">
        <v>8</v>
      </c>
      <c r="HX477" s="27" t="s">
        <v>7</v>
      </c>
      <c r="HY477" s="27" t="s">
        <v>8</v>
      </c>
      <c r="HZ477" s="27" t="s">
        <v>7</v>
      </c>
      <c r="IC477" s="27" t="s">
        <v>8</v>
      </c>
      <c r="ID477" s="27" t="s">
        <v>7</v>
      </c>
    </row>
    <row r="478" spans="1:238" x14ac:dyDescent="0.25">
      <c r="A478" s="7">
        <v>8.6580227382218542</v>
      </c>
      <c r="B478"/>
      <c r="C478"/>
      <c r="D478"/>
      <c r="E478"/>
      <c r="AY478" s="27" t="s">
        <v>8</v>
      </c>
      <c r="AZ478" s="27" t="s">
        <v>7</v>
      </c>
      <c r="BA478" s="27" t="s">
        <v>8</v>
      </c>
      <c r="BB478" s="27" t="s">
        <v>7</v>
      </c>
      <c r="BC478" s="27" t="s">
        <v>8</v>
      </c>
      <c r="BD478" s="27" t="s">
        <v>7</v>
      </c>
      <c r="BE478" s="27" t="s">
        <v>8</v>
      </c>
      <c r="BG478" s="27" t="s">
        <v>8</v>
      </c>
      <c r="BH478" s="27" t="s">
        <v>7</v>
      </c>
      <c r="BI478" s="27" t="s">
        <v>8</v>
      </c>
      <c r="DT478" s="27" t="s">
        <v>7</v>
      </c>
      <c r="DU478" s="27" t="s">
        <v>8</v>
      </c>
      <c r="DX478" s="27" t="s">
        <v>7</v>
      </c>
      <c r="DY478" s="27" t="s">
        <v>8</v>
      </c>
      <c r="EB478" s="27" t="s">
        <v>7</v>
      </c>
      <c r="EC478" s="27" t="s">
        <v>8</v>
      </c>
      <c r="EF478" s="27" t="s">
        <v>7</v>
      </c>
      <c r="EG478" s="27" t="s">
        <v>8</v>
      </c>
      <c r="EH478" s="27" t="s">
        <v>7</v>
      </c>
      <c r="EI478" s="27" t="s">
        <v>8</v>
      </c>
      <c r="EJ478" s="27" t="s">
        <v>7</v>
      </c>
      <c r="EK478" s="27" t="s">
        <v>8</v>
      </c>
      <c r="EL478" s="27" t="s">
        <v>7</v>
      </c>
      <c r="FM478" s="27" t="s">
        <v>8</v>
      </c>
      <c r="FN478" s="27" t="s">
        <v>7</v>
      </c>
      <c r="FO478" s="27" t="s">
        <v>8</v>
      </c>
      <c r="FP478" s="27" t="s">
        <v>7</v>
      </c>
      <c r="FQ478" s="27" t="s">
        <v>8</v>
      </c>
      <c r="FR478" s="27" t="s">
        <v>7</v>
      </c>
      <c r="GP478" s="27" t="s">
        <v>7</v>
      </c>
      <c r="GQ478" s="27" t="s">
        <v>8</v>
      </c>
      <c r="GR478" s="27" t="s">
        <v>7</v>
      </c>
      <c r="GS478" s="27" t="s">
        <v>8</v>
      </c>
      <c r="HV478" s="27" t="s">
        <v>7</v>
      </c>
      <c r="HW478" s="27" t="s">
        <v>8</v>
      </c>
      <c r="HX478" s="27" t="s">
        <v>7</v>
      </c>
      <c r="HY478" s="27" t="s">
        <v>8</v>
      </c>
      <c r="HZ478" s="27" t="s">
        <v>7</v>
      </c>
      <c r="IC478" s="27" t="s">
        <v>8</v>
      </c>
      <c r="ID478" s="27" t="s">
        <v>7</v>
      </c>
    </row>
    <row r="479" spans="1:238" x14ac:dyDescent="0.25">
      <c r="A479" s="7">
        <v>8.4882575864920131</v>
      </c>
      <c r="B479"/>
      <c r="C479"/>
      <c r="D479"/>
      <c r="E479"/>
      <c r="AY479" s="27" t="s">
        <v>8</v>
      </c>
      <c r="AZ479" s="27" t="s">
        <v>7</v>
      </c>
      <c r="BA479" s="27" t="s">
        <v>8</v>
      </c>
      <c r="BB479" s="27" t="s">
        <v>7</v>
      </c>
      <c r="BC479" s="27" t="s">
        <v>8</v>
      </c>
      <c r="BD479" s="27" t="s">
        <v>7</v>
      </c>
      <c r="BE479" s="27" t="s">
        <v>8</v>
      </c>
      <c r="BF479" s="27" t="s">
        <v>7</v>
      </c>
      <c r="BG479" s="27" t="s">
        <v>8</v>
      </c>
      <c r="BH479" s="27" t="s">
        <v>7</v>
      </c>
      <c r="BI479" s="27" t="s">
        <v>8</v>
      </c>
      <c r="DT479" s="27" t="s">
        <v>7</v>
      </c>
      <c r="DU479" s="27" t="s">
        <v>8</v>
      </c>
      <c r="DX479" s="27" t="s">
        <v>7</v>
      </c>
      <c r="DY479" s="27" t="s">
        <v>8</v>
      </c>
      <c r="EB479" s="27" t="s">
        <v>7</v>
      </c>
      <c r="EC479" s="27" t="s">
        <v>8</v>
      </c>
      <c r="EF479" s="27" t="s">
        <v>7</v>
      </c>
      <c r="EG479" s="27" t="s">
        <v>8</v>
      </c>
      <c r="EH479" s="27" t="s">
        <v>7</v>
      </c>
      <c r="EI479" s="27" t="s">
        <v>8</v>
      </c>
      <c r="EJ479" s="27" t="s">
        <v>7</v>
      </c>
      <c r="EK479" s="27" t="s">
        <v>8</v>
      </c>
      <c r="EL479" s="27" t="s">
        <v>7</v>
      </c>
      <c r="FK479" s="27" t="s">
        <v>8</v>
      </c>
      <c r="FM479" s="27" t="s">
        <v>8</v>
      </c>
      <c r="FN479" s="27" t="s">
        <v>7</v>
      </c>
      <c r="FO479" s="27" t="s">
        <v>8</v>
      </c>
      <c r="FP479" s="27" t="s">
        <v>7</v>
      </c>
      <c r="GP479" s="27" t="s">
        <v>7</v>
      </c>
      <c r="GQ479" s="27" t="s">
        <v>8</v>
      </c>
      <c r="GR479" s="27" t="s">
        <v>7</v>
      </c>
      <c r="HV479" s="27" t="s">
        <v>7</v>
      </c>
      <c r="HX479" s="27" t="s">
        <v>7</v>
      </c>
      <c r="HY479" s="27" t="s">
        <v>8</v>
      </c>
      <c r="HZ479" s="27" t="s">
        <v>7</v>
      </c>
      <c r="IA479" s="27" t="s">
        <v>8</v>
      </c>
      <c r="IC479" s="27" t="s">
        <v>8</v>
      </c>
      <c r="ID479" s="27" t="s">
        <v>7</v>
      </c>
    </row>
    <row r="480" spans="1:238" x14ac:dyDescent="0.25">
      <c r="A480" s="7">
        <v>8.3218211632274635</v>
      </c>
      <c r="B480"/>
      <c r="C480"/>
      <c r="D480"/>
      <c r="E480"/>
      <c r="AY480" s="27" t="s">
        <v>8</v>
      </c>
      <c r="AZ480" s="27" t="s">
        <v>7</v>
      </c>
      <c r="BA480" s="27" t="s">
        <v>8</v>
      </c>
      <c r="BB480" s="27" t="s">
        <v>7</v>
      </c>
      <c r="BC480" s="27" t="s">
        <v>8</v>
      </c>
      <c r="BD480" s="27" t="s">
        <v>7</v>
      </c>
      <c r="BE480" s="27" t="s">
        <v>8</v>
      </c>
      <c r="BF480" s="27" t="s">
        <v>7</v>
      </c>
      <c r="BG480" s="27" t="s">
        <v>8</v>
      </c>
      <c r="BH480" s="27" t="s">
        <v>7</v>
      </c>
      <c r="BI480" s="27" t="s">
        <v>8</v>
      </c>
      <c r="DT480" s="27" t="s">
        <v>7</v>
      </c>
      <c r="DU480" s="27" t="s">
        <v>8</v>
      </c>
      <c r="DX480" s="27" t="s">
        <v>7</v>
      </c>
      <c r="DY480" s="27" t="s">
        <v>8</v>
      </c>
      <c r="EB480" s="27" t="s">
        <v>7</v>
      </c>
      <c r="EC480" s="27" t="s">
        <v>8</v>
      </c>
      <c r="EF480" s="27" t="s">
        <v>7</v>
      </c>
      <c r="EG480" s="27" t="s">
        <v>8</v>
      </c>
      <c r="EH480" s="27" t="s">
        <v>7</v>
      </c>
      <c r="EI480" s="27" t="s">
        <v>8</v>
      </c>
      <c r="EJ480" s="27" t="s">
        <v>7</v>
      </c>
      <c r="EK480" s="27" t="s">
        <v>8</v>
      </c>
      <c r="EL480" s="27" t="s">
        <v>7</v>
      </c>
      <c r="EW480" s="27" t="s">
        <v>8</v>
      </c>
      <c r="EY480" s="27" t="s">
        <v>8</v>
      </c>
      <c r="FK480" s="27" t="s">
        <v>8</v>
      </c>
      <c r="FL480" s="27" t="s">
        <v>7</v>
      </c>
      <c r="FM480" s="27" t="s">
        <v>8</v>
      </c>
      <c r="FN480" s="27" t="s">
        <v>7</v>
      </c>
      <c r="FO480" s="27" t="s">
        <v>8</v>
      </c>
      <c r="GP480" s="27" t="s">
        <v>7</v>
      </c>
      <c r="GQ480" s="27" t="s">
        <v>8</v>
      </c>
      <c r="HX480" s="27" t="s">
        <v>7</v>
      </c>
      <c r="HY480" s="27" t="s">
        <v>8</v>
      </c>
      <c r="HZ480" s="27" t="s">
        <v>7</v>
      </c>
      <c r="IA480" s="27" t="s">
        <v>8</v>
      </c>
      <c r="IB480" s="27" t="s">
        <v>7</v>
      </c>
      <c r="IC480" s="27" t="s">
        <v>8</v>
      </c>
      <c r="ID480" s="27" t="s">
        <v>7</v>
      </c>
    </row>
    <row r="481" spans="1:246" x14ac:dyDescent="0.25">
      <c r="A481" s="7">
        <v>8.1586481992426112</v>
      </c>
      <c r="B481"/>
      <c r="C481"/>
      <c r="D481"/>
      <c r="E481"/>
      <c r="AY481" s="27" t="s">
        <v>8</v>
      </c>
      <c r="AZ481" s="27" t="s">
        <v>7</v>
      </c>
      <c r="BA481" s="27" t="s">
        <v>8</v>
      </c>
      <c r="BB481" s="27" t="s">
        <v>7</v>
      </c>
      <c r="BD481" s="27" t="s">
        <v>7</v>
      </c>
      <c r="BE481" s="27" t="s">
        <v>8</v>
      </c>
      <c r="BF481" s="27" t="s">
        <v>7</v>
      </c>
      <c r="BG481" s="27" t="s">
        <v>8</v>
      </c>
      <c r="BH481" s="27" t="s">
        <v>7</v>
      </c>
      <c r="DT481" s="27" t="s">
        <v>7</v>
      </c>
      <c r="DX481" s="27" t="s">
        <v>7</v>
      </c>
      <c r="DY481" s="27" t="s">
        <v>8</v>
      </c>
      <c r="EB481" s="27" t="s">
        <v>7</v>
      </c>
      <c r="EC481" s="27" t="s">
        <v>8</v>
      </c>
      <c r="EF481" s="27" t="s">
        <v>7</v>
      </c>
      <c r="EG481" s="27" t="s">
        <v>8</v>
      </c>
      <c r="EH481" s="27" t="s">
        <v>7</v>
      </c>
      <c r="EI481" s="27" t="s">
        <v>8</v>
      </c>
      <c r="EJ481" s="27" t="s">
        <v>7</v>
      </c>
      <c r="EK481" s="27" t="s">
        <v>8</v>
      </c>
      <c r="EL481" s="27" t="s">
        <v>7</v>
      </c>
      <c r="EM481" s="27" t="s">
        <v>8</v>
      </c>
      <c r="EW481" s="27" t="s">
        <v>8</v>
      </c>
      <c r="EX481" s="27" t="s">
        <v>7</v>
      </c>
      <c r="EY481" s="27" t="s">
        <v>8</v>
      </c>
      <c r="EZ481" s="27" t="s">
        <v>7</v>
      </c>
      <c r="FK481" s="27" t="s">
        <v>8</v>
      </c>
      <c r="FL481" s="27" t="s">
        <v>7</v>
      </c>
      <c r="FM481" s="27" t="s">
        <v>8</v>
      </c>
      <c r="FN481" s="27" t="s">
        <v>7</v>
      </c>
      <c r="FO481" s="27" t="s">
        <v>8</v>
      </c>
      <c r="GP481" s="27" t="s">
        <v>7</v>
      </c>
      <c r="GQ481" s="27" t="s">
        <v>8</v>
      </c>
      <c r="HX481" s="27" t="s">
        <v>7</v>
      </c>
      <c r="HY481" s="27" t="s">
        <v>8</v>
      </c>
      <c r="HZ481" s="27" t="s">
        <v>7</v>
      </c>
      <c r="IA481" s="27" t="s">
        <v>8</v>
      </c>
      <c r="IB481" s="27" t="s">
        <v>7</v>
      </c>
      <c r="IC481" s="27" t="s">
        <v>8</v>
      </c>
      <c r="ID481" s="27" t="s">
        <v>7</v>
      </c>
    </row>
    <row r="482" spans="1:246" x14ac:dyDescent="0.25">
      <c r="A482" s="7">
        <v>7.9986747051398144</v>
      </c>
      <c r="B482"/>
      <c r="C482"/>
      <c r="D482"/>
      <c r="E482"/>
      <c r="AY482" s="27" t="s">
        <v>8</v>
      </c>
      <c r="AZ482" s="27" t="s">
        <v>7</v>
      </c>
      <c r="BA482" s="27" t="s">
        <v>8</v>
      </c>
      <c r="BD482" s="27" t="s">
        <v>7</v>
      </c>
      <c r="BE482" s="27" t="s">
        <v>8</v>
      </c>
      <c r="BF482" s="27" t="s">
        <v>7</v>
      </c>
      <c r="BG482" s="27" t="s">
        <v>8</v>
      </c>
      <c r="DX482" s="27" t="s">
        <v>7</v>
      </c>
      <c r="DY482" s="27" t="s">
        <v>8</v>
      </c>
      <c r="EB482" s="27" t="s">
        <v>7</v>
      </c>
      <c r="EC482" s="27" t="s">
        <v>8</v>
      </c>
      <c r="EF482" s="27" t="s">
        <v>7</v>
      </c>
      <c r="EG482" s="27" t="s">
        <v>8</v>
      </c>
      <c r="EH482" s="27" t="s">
        <v>7</v>
      </c>
      <c r="EI482" s="27" t="s">
        <v>8</v>
      </c>
      <c r="EJ482" s="27" t="s">
        <v>7</v>
      </c>
      <c r="EK482" s="27" t="s">
        <v>8</v>
      </c>
      <c r="EL482" s="27" t="s">
        <v>7</v>
      </c>
      <c r="EM482" s="27" t="s">
        <v>8</v>
      </c>
      <c r="EN482" s="27" t="s">
        <v>7</v>
      </c>
      <c r="EW482" s="27" t="s">
        <v>8</v>
      </c>
      <c r="EX482" s="27" t="s">
        <v>7</v>
      </c>
      <c r="EY482" s="27" t="s">
        <v>8</v>
      </c>
      <c r="EZ482" s="27" t="s">
        <v>7</v>
      </c>
      <c r="FK482" s="27" t="s">
        <v>8</v>
      </c>
      <c r="FL482" s="27" t="s">
        <v>7</v>
      </c>
      <c r="FM482" s="27" t="s">
        <v>8</v>
      </c>
      <c r="FN482" s="27" t="s">
        <v>7</v>
      </c>
      <c r="GP482" s="27" t="s">
        <v>7</v>
      </c>
      <c r="HX482" s="27" t="s">
        <v>7</v>
      </c>
      <c r="HZ482" s="27" t="s">
        <v>7</v>
      </c>
      <c r="IA482" s="27" t="s">
        <v>8</v>
      </c>
      <c r="IB482" s="27" t="s">
        <v>7</v>
      </c>
      <c r="IC482" s="27" t="s">
        <v>8</v>
      </c>
      <c r="ID482" s="27" t="s">
        <v>7</v>
      </c>
    </row>
    <row r="483" spans="1:246" x14ac:dyDescent="0.25">
      <c r="A483" s="7">
        <v>7.8418379462155041</v>
      </c>
      <c r="B483"/>
      <c r="C483"/>
      <c r="D483"/>
      <c r="E483"/>
      <c r="AY483" s="27" t="s">
        <v>8</v>
      </c>
      <c r="AZ483" s="27" t="s">
        <v>7</v>
      </c>
      <c r="BA483" s="27" t="s">
        <v>8</v>
      </c>
      <c r="BD483" s="27" t="s">
        <v>7</v>
      </c>
      <c r="BE483" s="27" t="s">
        <v>8</v>
      </c>
      <c r="BF483" s="27" t="s">
        <v>7</v>
      </c>
      <c r="BG483" s="27" t="s">
        <v>8</v>
      </c>
      <c r="DX483" s="27" t="s">
        <v>7</v>
      </c>
      <c r="DY483" s="27" t="s">
        <v>8</v>
      </c>
      <c r="EB483" s="27" t="s">
        <v>7</v>
      </c>
      <c r="EC483" s="27" t="s">
        <v>8</v>
      </c>
      <c r="EF483" s="27" t="s">
        <v>7</v>
      </c>
      <c r="EG483" s="27" t="s">
        <v>8</v>
      </c>
      <c r="EH483" s="27" t="s">
        <v>7</v>
      </c>
      <c r="EI483" s="27" t="s">
        <v>8</v>
      </c>
      <c r="EJ483" s="27" t="s">
        <v>7</v>
      </c>
      <c r="EL483" s="27" t="s">
        <v>7</v>
      </c>
      <c r="EM483" s="27" t="s">
        <v>8</v>
      </c>
      <c r="EN483" s="27" t="s">
        <v>7</v>
      </c>
      <c r="EW483" s="27" t="s">
        <v>8</v>
      </c>
      <c r="EX483" s="27" t="s">
        <v>7</v>
      </c>
      <c r="EY483" s="27" t="s">
        <v>8</v>
      </c>
      <c r="EZ483" s="27" t="s">
        <v>7</v>
      </c>
      <c r="FA483" s="27" t="s">
        <v>8</v>
      </c>
      <c r="FK483" s="27" t="s">
        <v>8</v>
      </c>
      <c r="FL483" s="27" t="s">
        <v>7</v>
      </c>
      <c r="FM483" s="27" t="s">
        <v>8</v>
      </c>
      <c r="HZ483" s="27" t="s">
        <v>7</v>
      </c>
      <c r="IB483" s="27" t="s">
        <v>7</v>
      </c>
      <c r="IC483" s="27" t="s">
        <v>8</v>
      </c>
      <c r="ID483" s="27" t="s">
        <v>7</v>
      </c>
    </row>
    <row r="484" spans="1:246" x14ac:dyDescent="0.25">
      <c r="A484" s="7">
        <v>7.688076417858337</v>
      </c>
      <c r="B484"/>
      <c r="C484"/>
      <c r="D484"/>
      <c r="E484"/>
      <c r="AY484" s="27" t="s">
        <v>8</v>
      </c>
      <c r="AZ484" s="27" t="s">
        <v>7</v>
      </c>
      <c r="BA484" s="27" t="s">
        <v>8</v>
      </c>
      <c r="BD484" s="27" t="s">
        <v>7</v>
      </c>
      <c r="BE484" s="27" t="s">
        <v>8</v>
      </c>
      <c r="BF484" s="27" t="s">
        <v>7</v>
      </c>
      <c r="BG484" s="27" t="s">
        <v>8</v>
      </c>
      <c r="DX484" s="27" t="s">
        <v>7</v>
      </c>
      <c r="DY484" s="27" t="s">
        <v>8</v>
      </c>
      <c r="EB484" s="27" t="s">
        <v>7</v>
      </c>
      <c r="EF484" s="27" t="s">
        <v>7</v>
      </c>
      <c r="EG484" s="27" t="s">
        <v>8</v>
      </c>
      <c r="EH484" s="27" t="s">
        <v>7</v>
      </c>
      <c r="EI484" s="27" t="s">
        <v>8</v>
      </c>
      <c r="EL484" s="27" t="s">
        <v>7</v>
      </c>
      <c r="EM484" s="27" t="s">
        <v>8</v>
      </c>
      <c r="EN484" s="27" t="s">
        <v>7</v>
      </c>
      <c r="EW484" s="27" t="s">
        <v>8</v>
      </c>
      <c r="EX484" s="27" t="s">
        <v>7</v>
      </c>
      <c r="EY484" s="27" t="s">
        <v>8</v>
      </c>
      <c r="EZ484" s="27" t="s">
        <v>7</v>
      </c>
      <c r="FA484" s="27" t="s">
        <v>8</v>
      </c>
      <c r="FB484" s="27" t="s">
        <v>7</v>
      </c>
      <c r="FK484" s="27" t="s">
        <v>8</v>
      </c>
      <c r="FL484" s="27" t="s">
        <v>7</v>
      </c>
      <c r="FM484" s="27" t="s">
        <v>8</v>
      </c>
      <c r="IB484" s="27" t="s">
        <v>7</v>
      </c>
      <c r="IC484" s="27" t="s">
        <v>8</v>
      </c>
      <c r="ID484" s="27" t="s">
        <v>7</v>
      </c>
    </row>
    <row r="485" spans="1:246" x14ac:dyDescent="0.25">
      <c r="A485" s="7">
        <v>7.5373298214297417</v>
      </c>
      <c r="B485"/>
      <c r="C485"/>
      <c r="D485"/>
      <c r="E485"/>
      <c r="AY485" s="27" t="s">
        <v>8</v>
      </c>
      <c r="AZ485" s="27" t="s">
        <v>7</v>
      </c>
      <c r="BA485" s="27" t="s">
        <v>8</v>
      </c>
      <c r="BD485" s="27" t="s">
        <v>7</v>
      </c>
      <c r="BE485" s="27" t="s">
        <v>8</v>
      </c>
      <c r="BF485" s="27" t="s">
        <v>7</v>
      </c>
      <c r="DX485" s="27" t="s">
        <v>7</v>
      </c>
      <c r="DY485" s="27" t="s">
        <v>8</v>
      </c>
      <c r="EF485" s="27" t="s">
        <v>7</v>
      </c>
      <c r="EG485" s="27" t="s">
        <v>8</v>
      </c>
      <c r="EH485" s="27" t="s">
        <v>7</v>
      </c>
      <c r="EI485" s="27" t="s">
        <v>8</v>
      </c>
      <c r="EL485" s="27" t="s">
        <v>7</v>
      </c>
      <c r="EM485" s="27" t="s">
        <v>8</v>
      </c>
      <c r="EN485" s="27" t="s">
        <v>7</v>
      </c>
      <c r="EW485" s="27" t="s">
        <v>8</v>
      </c>
      <c r="EX485" s="27" t="s">
        <v>7</v>
      </c>
      <c r="EY485" s="27" t="s">
        <v>8</v>
      </c>
      <c r="EZ485" s="27" t="s">
        <v>7</v>
      </c>
      <c r="FA485" s="27" t="s">
        <v>8</v>
      </c>
      <c r="FB485" s="27" t="s">
        <v>7</v>
      </c>
      <c r="FK485" s="27" t="s">
        <v>8</v>
      </c>
      <c r="FL485" s="27" t="s">
        <v>7</v>
      </c>
      <c r="IB485" s="27" t="s">
        <v>7</v>
      </c>
      <c r="ID485" s="27" t="s">
        <v>7</v>
      </c>
      <c r="IE485" s="27" t="s">
        <v>8</v>
      </c>
    </row>
    <row r="486" spans="1:246" x14ac:dyDescent="0.25">
      <c r="A486" s="7">
        <v>7.389539040617394</v>
      </c>
      <c r="B486"/>
      <c r="C486"/>
      <c r="D486"/>
      <c r="E486"/>
      <c r="AY486" s="27" t="s">
        <v>8</v>
      </c>
      <c r="AZ486" s="27" t="s">
        <v>7</v>
      </c>
      <c r="BA486" s="27" t="s">
        <v>8</v>
      </c>
      <c r="BD486" s="27" t="s">
        <v>7</v>
      </c>
      <c r="BE486" s="27" t="s">
        <v>8</v>
      </c>
      <c r="DX486" s="27" t="s">
        <v>7</v>
      </c>
      <c r="DY486" s="27" t="s">
        <v>8</v>
      </c>
      <c r="EF486" s="27" t="s">
        <v>7</v>
      </c>
      <c r="EG486" s="27" t="s">
        <v>8</v>
      </c>
      <c r="EH486" s="27" t="s">
        <v>7</v>
      </c>
      <c r="EI486" s="27" t="s">
        <v>8</v>
      </c>
      <c r="EL486" s="27" t="s">
        <v>7</v>
      </c>
      <c r="EN486" s="27" t="s">
        <v>7</v>
      </c>
      <c r="EQ486" s="27" t="s">
        <v>8</v>
      </c>
      <c r="EU486" s="27" t="s">
        <v>8</v>
      </c>
      <c r="EW486" s="27" t="s">
        <v>8</v>
      </c>
      <c r="EX486" s="27" t="s">
        <v>7</v>
      </c>
      <c r="EY486" s="27" t="s">
        <v>8</v>
      </c>
      <c r="EZ486" s="27" t="s">
        <v>7</v>
      </c>
      <c r="FA486" s="27" t="s">
        <v>8</v>
      </c>
      <c r="FB486" s="27" t="s">
        <v>7</v>
      </c>
      <c r="FK486" s="27" t="s">
        <v>8</v>
      </c>
      <c r="ID486" s="27" t="s">
        <v>7</v>
      </c>
      <c r="IE486" s="27" t="s">
        <v>8</v>
      </c>
      <c r="IF486" s="27" t="s">
        <v>7</v>
      </c>
      <c r="IG486" s="27" t="s">
        <v>8</v>
      </c>
    </row>
    <row r="487" spans="1:246" x14ac:dyDescent="0.25">
      <c r="A487" s="7">
        <v>7.2446461182523469</v>
      </c>
      <c r="B487"/>
      <c r="C487"/>
      <c r="D487"/>
      <c r="E487"/>
      <c r="AY487" s="27" t="s">
        <v>8</v>
      </c>
      <c r="AZ487" s="27" t="s">
        <v>7</v>
      </c>
      <c r="BA487" s="27" t="s">
        <v>8</v>
      </c>
      <c r="BD487" s="27" t="s">
        <v>7</v>
      </c>
      <c r="DX487" s="27" t="s">
        <v>7</v>
      </c>
      <c r="DY487" s="27" t="s">
        <v>8</v>
      </c>
      <c r="EF487" s="27" t="s">
        <v>7</v>
      </c>
      <c r="EG487" s="27" t="s">
        <v>8</v>
      </c>
      <c r="EH487" s="27" t="s">
        <v>7</v>
      </c>
      <c r="EN487" s="27" t="s">
        <v>7</v>
      </c>
      <c r="EQ487" s="27" t="s">
        <v>8</v>
      </c>
      <c r="ER487" s="27" t="s">
        <v>7</v>
      </c>
      <c r="EU487" s="27" t="s">
        <v>8</v>
      </c>
      <c r="EV487" s="27" t="s">
        <v>7</v>
      </c>
      <c r="EW487" s="27" t="s">
        <v>8</v>
      </c>
      <c r="EX487" s="27" t="s">
        <v>7</v>
      </c>
      <c r="EY487" s="27" t="s">
        <v>8</v>
      </c>
      <c r="EZ487" s="27" t="s">
        <v>7</v>
      </c>
      <c r="FA487" s="27" t="s">
        <v>8</v>
      </c>
      <c r="FB487" s="27" t="s">
        <v>7</v>
      </c>
      <c r="FE487" s="27" t="s">
        <v>8</v>
      </c>
      <c r="FK487" s="27" t="s">
        <v>8</v>
      </c>
      <c r="ID487" s="27" t="s">
        <v>7</v>
      </c>
      <c r="IE487" s="27" t="s">
        <v>8</v>
      </c>
      <c r="IF487" s="27" t="s">
        <v>7</v>
      </c>
      <c r="IG487" s="27" t="s">
        <v>8</v>
      </c>
      <c r="IH487" s="27" t="s">
        <v>7</v>
      </c>
      <c r="II487" s="27" t="s">
        <v>8</v>
      </c>
    </row>
    <row r="488" spans="1:246" x14ac:dyDescent="0.25">
      <c r="A488" s="7">
        <v>7.1025942335807324</v>
      </c>
      <c r="B488"/>
      <c r="C488"/>
      <c r="D488"/>
      <c r="E488"/>
      <c r="AY488" s="27" t="s">
        <v>8</v>
      </c>
      <c r="AZ488" s="27" t="s">
        <v>7</v>
      </c>
      <c r="BA488" s="27" t="s">
        <v>8</v>
      </c>
      <c r="DX488" s="27" t="s">
        <v>7</v>
      </c>
      <c r="DY488" s="27" t="s">
        <v>8</v>
      </c>
      <c r="EF488" s="27" t="s">
        <v>7</v>
      </c>
      <c r="EN488" s="27" t="s">
        <v>7</v>
      </c>
      <c r="EQ488" s="27" t="s">
        <v>8</v>
      </c>
      <c r="ER488" s="27" t="s">
        <v>7</v>
      </c>
      <c r="EU488" s="27" t="s">
        <v>8</v>
      </c>
      <c r="EV488" s="27" t="s">
        <v>7</v>
      </c>
      <c r="EW488" s="27" t="s">
        <v>8</v>
      </c>
      <c r="EX488" s="27" t="s">
        <v>7</v>
      </c>
      <c r="EY488" s="27" t="s">
        <v>8</v>
      </c>
      <c r="EZ488" s="27" t="s">
        <v>7</v>
      </c>
      <c r="FA488" s="27" t="s">
        <v>8</v>
      </c>
      <c r="FB488" s="27" t="s">
        <v>7</v>
      </c>
      <c r="FE488" s="27" t="s">
        <v>8</v>
      </c>
      <c r="FF488" s="27" t="s">
        <v>7</v>
      </c>
      <c r="FI488" s="27" t="s">
        <v>8</v>
      </c>
      <c r="FK488" s="27" t="s">
        <v>8</v>
      </c>
      <c r="ID488" s="27" t="s">
        <v>7</v>
      </c>
      <c r="IE488" s="27" t="s">
        <v>8</v>
      </c>
      <c r="IF488" s="27" t="s">
        <v>7</v>
      </c>
      <c r="IG488" s="27" t="s">
        <v>8</v>
      </c>
      <c r="IH488" s="27" t="s">
        <v>7</v>
      </c>
      <c r="II488" s="27" t="s">
        <v>8</v>
      </c>
      <c r="IJ488" s="27" t="s">
        <v>7</v>
      </c>
    </row>
    <row r="489" spans="1:246" x14ac:dyDescent="0.25">
      <c r="A489" s="7">
        <v>6.9633276799811101</v>
      </c>
      <c r="B489"/>
      <c r="C489"/>
      <c r="D489"/>
      <c r="E489"/>
      <c r="AY489" s="27" t="s">
        <v>8</v>
      </c>
      <c r="AZ489" s="27" t="s">
        <v>7</v>
      </c>
      <c r="BA489" s="27" t="s">
        <v>8</v>
      </c>
      <c r="DX489" s="27" t="s">
        <v>7</v>
      </c>
      <c r="DY489" s="27" t="s">
        <v>8</v>
      </c>
      <c r="EN489" s="27" t="s">
        <v>7</v>
      </c>
      <c r="EQ489" s="27" t="s">
        <v>8</v>
      </c>
      <c r="ER489" s="27" t="s">
        <v>7</v>
      </c>
      <c r="ES489" s="27" t="s">
        <v>8</v>
      </c>
      <c r="EU489" s="27" t="s">
        <v>8</v>
      </c>
      <c r="EV489" s="27" t="s">
        <v>7</v>
      </c>
      <c r="EW489" s="27" t="s">
        <v>8</v>
      </c>
      <c r="EX489" s="27" t="s">
        <v>7</v>
      </c>
      <c r="EY489" s="27" t="s">
        <v>8</v>
      </c>
      <c r="EZ489" s="27" t="s">
        <v>7</v>
      </c>
      <c r="FA489" s="27" t="s">
        <v>8</v>
      </c>
      <c r="FB489" s="27" t="s">
        <v>7</v>
      </c>
      <c r="FE489" s="27" t="s">
        <v>8</v>
      </c>
      <c r="FF489" s="27" t="s">
        <v>7</v>
      </c>
      <c r="FI489" s="27" t="s">
        <v>8</v>
      </c>
      <c r="FJ489" s="27" t="s">
        <v>7</v>
      </c>
      <c r="FK489" s="27" t="s">
        <v>8</v>
      </c>
      <c r="ID489" s="27" t="s">
        <v>7</v>
      </c>
      <c r="IE489" s="27" t="s">
        <v>8</v>
      </c>
      <c r="IF489" s="27" t="s">
        <v>7</v>
      </c>
      <c r="IG489" s="27" t="s">
        <v>8</v>
      </c>
      <c r="IH489" s="27" t="s">
        <v>7</v>
      </c>
      <c r="II489" s="27" t="s">
        <v>8</v>
      </c>
      <c r="IJ489" s="27" t="s">
        <v>7</v>
      </c>
    </row>
    <row r="490" spans="1:246" x14ac:dyDescent="0.25">
      <c r="A490" s="7">
        <v>6.8267918431187349</v>
      </c>
      <c r="B490"/>
      <c r="C490"/>
      <c r="D490"/>
      <c r="E490"/>
      <c r="AU490" s="27" t="s">
        <v>8</v>
      </c>
      <c r="AY490" s="27" t="s">
        <v>8</v>
      </c>
      <c r="AZ490" s="27" t="s">
        <v>7</v>
      </c>
      <c r="BA490" s="27" t="s">
        <v>8</v>
      </c>
      <c r="DX490" s="27" t="s">
        <v>7</v>
      </c>
      <c r="DY490" s="27" t="s">
        <v>8</v>
      </c>
      <c r="EN490" s="27" t="s">
        <v>7</v>
      </c>
      <c r="EQ490" s="27" t="s">
        <v>8</v>
      </c>
      <c r="ER490" s="27" t="s">
        <v>7</v>
      </c>
      <c r="ES490" s="27" t="s">
        <v>8</v>
      </c>
      <c r="ET490" s="27" t="s">
        <v>7</v>
      </c>
      <c r="EU490" s="27" t="s">
        <v>8</v>
      </c>
      <c r="EV490" s="27" t="s">
        <v>7</v>
      </c>
      <c r="EX490" s="27" t="s">
        <v>7</v>
      </c>
      <c r="EY490" s="27" t="s">
        <v>8</v>
      </c>
      <c r="EZ490" s="27" t="s">
        <v>7</v>
      </c>
      <c r="FA490" s="27" t="s">
        <v>8</v>
      </c>
      <c r="FB490" s="27" t="s">
        <v>7</v>
      </c>
      <c r="FE490" s="27" t="s">
        <v>8</v>
      </c>
      <c r="FF490" s="27" t="s">
        <v>7</v>
      </c>
      <c r="FI490" s="27" t="s">
        <v>8</v>
      </c>
      <c r="FJ490" s="27" t="s">
        <v>7</v>
      </c>
      <c r="FK490" s="27" t="s">
        <v>8</v>
      </c>
      <c r="ID490" s="27" t="s">
        <v>7</v>
      </c>
      <c r="IE490" s="27" t="s">
        <v>8</v>
      </c>
      <c r="IF490" s="27" t="s">
        <v>7</v>
      </c>
      <c r="IH490" s="27" t="s">
        <v>7</v>
      </c>
      <c r="IJ490" s="27" t="s">
        <v>7</v>
      </c>
    </row>
    <row r="491" spans="1:246" x14ac:dyDescent="0.25">
      <c r="A491" s="7">
        <v>6.692933179528171</v>
      </c>
      <c r="B491"/>
      <c r="C491"/>
      <c r="D491"/>
      <c r="E491"/>
      <c r="AU491" s="27" t="s">
        <v>8</v>
      </c>
      <c r="AV491" s="27" t="s">
        <v>7</v>
      </c>
      <c r="AY491" s="27" t="s">
        <v>8</v>
      </c>
      <c r="AZ491" s="27" t="s">
        <v>7</v>
      </c>
      <c r="DX491" s="27" t="s">
        <v>7</v>
      </c>
      <c r="DY491" s="27" t="s">
        <v>8</v>
      </c>
      <c r="EN491" s="27" t="s">
        <v>7</v>
      </c>
      <c r="EQ491" s="27" t="s">
        <v>8</v>
      </c>
      <c r="ER491" s="27" t="s">
        <v>7</v>
      </c>
      <c r="ES491" s="27" t="s">
        <v>8</v>
      </c>
      <c r="ET491" s="27" t="s">
        <v>7</v>
      </c>
      <c r="EU491" s="27" t="s">
        <v>8</v>
      </c>
      <c r="EX491" s="27" t="s">
        <v>7</v>
      </c>
      <c r="EY491" s="27" t="s">
        <v>8</v>
      </c>
      <c r="EZ491" s="27" t="s">
        <v>7</v>
      </c>
      <c r="FA491" s="27" t="s">
        <v>8</v>
      </c>
      <c r="FB491" s="27" t="s">
        <v>7</v>
      </c>
      <c r="FE491" s="27" t="s">
        <v>8</v>
      </c>
      <c r="FF491" s="27" t="s">
        <v>7</v>
      </c>
      <c r="FI491" s="27" t="s">
        <v>8</v>
      </c>
      <c r="FJ491" s="27" t="s">
        <v>7</v>
      </c>
      <c r="FK491" s="27" t="s">
        <v>8</v>
      </c>
      <c r="ID491" s="27" t="s">
        <v>7</v>
      </c>
      <c r="IE491" s="27" t="s">
        <v>8</v>
      </c>
      <c r="IJ491" s="27" t="s">
        <v>7</v>
      </c>
    </row>
    <row r="492" spans="1:246" x14ac:dyDescent="0.25">
      <c r="A492" s="7">
        <v>6.5616991956158541</v>
      </c>
      <c r="B492"/>
      <c r="C492"/>
      <c r="D492"/>
      <c r="E492"/>
      <c r="AU492" s="27" t="s">
        <v>8</v>
      </c>
      <c r="AV492" s="27" t="s">
        <v>7</v>
      </c>
      <c r="AW492" s="27" t="s">
        <v>8</v>
      </c>
      <c r="AY492" s="27" t="s">
        <v>8</v>
      </c>
      <c r="DX492" s="27" t="s">
        <v>7</v>
      </c>
      <c r="DY492" s="27" t="s">
        <v>8</v>
      </c>
      <c r="EN492" s="27" t="s">
        <v>7</v>
      </c>
      <c r="EQ492" s="27" t="s">
        <v>8</v>
      </c>
      <c r="ER492" s="27" t="s">
        <v>7</v>
      </c>
      <c r="ES492" s="27" t="s">
        <v>8</v>
      </c>
      <c r="ET492" s="27" t="s">
        <v>7</v>
      </c>
      <c r="EU492" s="27" t="s">
        <v>8</v>
      </c>
      <c r="EX492" s="27" t="s">
        <v>7</v>
      </c>
      <c r="EZ492" s="27" t="s">
        <v>7</v>
      </c>
      <c r="FB492" s="27" t="s">
        <v>7</v>
      </c>
      <c r="FE492" s="27" t="s">
        <v>8</v>
      </c>
      <c r="FF492" s="27" t="s">
        <v>7</v>
      </c>
      <c r="FG492" s="27" t="s">
        <v>8</v>
      </c>
      <c r="FI492" s="27" t="s">
        <v>8</v>
      </c>
      <c r="FJ492" s="27" t="s">
        <v>7</v>
      </c>
      <c r="FK492" s="27" t="s">
        <v>8</v>
      </c>
      <c r="ID492" s="27" t="s">
        <v>7</v>
      </c>
      <c r="IJ492" s="27" t="s">
        <v>7</v>
      </c>
      <c r="IK492" s="27" t="s">
        <v>8</v>
      </c>
    </row>
    <row r="493" spans="1:246" x14ac:dyDescent="0.25">
      <c r="A493" s="7">
        <v>6.4330384270743668</v>
      </c>
      <c r="B493"/>
      <c r="C493"/>
      <c r="D493"/>
      <c r="E493"/>
      <c r="AU493" s="27" t="s">
        <v>8</v>
      </c>
      <c r="AV493" s="27" t="s">
        <v>7</v>
      </c>
      <c r="AW493" s="27" t="s">
        <v>8</v>
      </c>
      <c r="AX493" s="27" t="s">
        <v>7</v>
      </c>
      <c r="AY493" s="27" t="s">
        <v>8</v>
      </c>
      <c r="DX493" s="27" t="s">
        <v>7</v>
      </c>
      <c r="DY493" s="27" t="s">
        <v>8</v>
      </c>
      <c r="EN493" s="27" t="s">
        <v>7</v>
      </c>
      <c r="EO493" s="27" t="s">
        <v>8</v>
      </c>
      <c r="EQ493" s="27" t="s">
        <v>8</v>
      </c>
      <c r="ER493" s="27" t="s">
        <v>7</v>
      </c>
      <c r="ET493" s="27" t="s">
        <v>7</v>
      </c>
      <c r="FB493" s="27" t="s">
        <v>7</v>
      </c>
      <c r="FE493" s="27" t="s">
        <v>8</v>
      </c>
      <c r="FF493" s="27" t="s">
        <v>7</v>
      </c>
      <c r="FG493" s="27" t="s">
        <v>8</v>
      </c>
      <c r="FH493" s="27" t="s">
        <v>7</v>
      </c>
      <c r="FI493" s="27" t="s">
        <v>8</v>
      </c>
      <c r="FJ493" s="27" t="s">
        <v>7</v>
      </c>
      <c r="FK493" s="27" t="s">
        <v>8</v>
      </c>
      <c r="IJ493" s="27" t="s">
        <v>7</v>
      </c>
      <c r="IK493" s="27" t="s">
        <v>8</v>
      </c>
      <c r="IL493" s="27" t="s">
        <v>7</v>
      </c>
    </row>
    <row r="494" spans="1:246" x14ac:dyDescent="0.25">
      <c r="A494" s="7">
        <v>6.3069004187003594</v>
      </c>
      <c r="B494"/>
      <c r="C494"/>
      <c r="D494"/>
      <c r="E494"/>
      <c r="AU494" s="27" t="s">
        <v>8</v>
      </c>
      <c r="AV494" s="27" t="s">
        <v>7</v>
      </c>
      <c r="AW494" s="27" t="s">
        <v>8</v>
      </c>
      <c r="AX494" s="27" t="s">
        <v>7</v>
      </c>
      <c r="AY494" s="27" t="s">
        <v>8</v>
      </c>
      <c r="DX494" s="27" t="s">
        <v>7</v>
      </c>
      <c r="DY494" s="27" t="s">
        <v>8</v>
      </c>
      <c r="EN494" s="27" t="s">
        <v>7</v>
      </c>
      <c r="EO494" s="27" t="s">
        <v>8</v>
      </c>
      <c r="EP494" s="27" t="s">
        <v>7</v>
      </c>
      <c r="EQ494" s="27" t="s">
        <v>8</v>
      </c>
      <c r="FB494" s="27" t="s">
        <v>7</v>
      </c>
      <c r="FE494" s="27" t="s">
        <v>8</v>
      </c>
      <c r="FF494" s="27" t="s">
        <v>7</v>
      </c>
      <c r="FG494" s="27" t="s">
        <v>8</v>
      </c>
      <c r="FH494" s="27" t="s">
        <v>7</v>
      </c>
      <c r="FI494" s="27" t="s">
        <v>8</v>
      </c>
      <c r="FJ494" s="27" t="s">
        <v>7</v>
      </c>
      <c r="IJ494" s="27" t="s">
        <v>7</v>
      </c>
      <c r="IK494" s="27" t="s">
        <v>8</v>
      </c>
      <c r="IL494" s="27" t="s">
        <v>7</v>
      </c>
    </row>
    <row r="495" spans="1:246" x14ac:dyDescent="0.25">
      <c r="A495" s="7">
        <v>6.1832357046081956</v>
      </c>
      <c r="B495"/>
      <c r="C495"/>
      <c r="D495"/>
      <c r="E495"/>
      <c r="AU495" s="27" t="s">
        <v>8</v>
      </c>
      <c r="AV495" s="27" t="s">
        <v>7</v>
      </c>
      <c r="AW495" s="27" t="s">
        <v>8</v>
      </c>
      <c r="AX495" s="27" t="s">
        <v>7</v>
      </c>
      <c r="AY495" s="27" t="s">
        <v>8</v>
      </c>
      <c r="DX495" s="27" t="s">
        <v>7</v>
      </c>
      <c r="DY495" s="27" t="s">
        <v>8</v>
      </c>
      <c r="EN495" s="27" t="s">
        <v>7</v>
      </c>
      <c r="EO495" s="27" t="s">
        <v>8</v>
      </c>
      <c r="EP495" s="27" t="s">
        <v>7</v>
      </c>
      <c r="EQ495" s="27" t="s">
        <v>8</v>
      </c>
      <c r="FB495" s="27" t="s">
        <v>7</v>
      </c>
      <c r="FC495" s="27" t="s">
        <v>8</v>
      </c>
      <c r="FE495" s="27" t="s">
        <v>8</v>
      </c>
      <c r="FF495" s="27" t="s">
        <v>7</v>
      </c>
      <c r="FG495" s="27" t="s">
        <v>8</v>
      </c>
      <c r="FH495" s="27" t="s">
        <v>7</v>
      </c>
      <c r="FI495" s="27" t="s">
        <v>8</v>
      </c>
      <c r="IJ495" s="27" t="s">
        <v>7</v>
      </c>
      <c r="IL495" s="27" t="s">
        <v>7</v>
      </c>
    </row>
    <row r="496" spans="1:246" x14ac:dyDescent="0.25">
      <c r="A496" s="7">
        <v>6.0619957888315641</v>
      </c>
      <c r="B496"/>
      <c r="C496"/>
      <c r="D496"/>
      <c r="E496"/>
      <c r="AU496" s="27" t="s">
        <v>8</v>
      </c>
      <c r="AV496" s="27" t="s">
        <v>7</v>
      </c>
      <c r="AW496" s="27" t="s">
        <v>8</v>
      </c>
      <c r="AX496" s="27" t="s">
        <v>7</v>
      </c>
      <c r="AY496" s="27" t="s">
        <v>8</v>
      </c>
      <c r="DX496" s="27" t="s">
        <v>7</v>
      </c>
      <c r="DY496" s="27" t="s">
        <v>8</v>
      </c>
      <c r="EN496" s="27" t="s">
        <v>7</v>
      </c>
      <c r="EO496" s="27" t="s">
        <v>8</v>
      </c>
      <c r="EP496" s="27" t="s">
        <v>7</v>
      </c>
      <c r="EQ496" s="27" t="s">
        <v>8</v>
      </c>
      <c r="FB496" s="27" t="s">
        <v>7</v>
      </c>
      <c r="FC496" s="27" t="s">
        <v>8</v>
      </c>
      <c r="FD496" s="27" t="s">
        <v>7</v>
      </c>
      <c r="FE496" s="27" t="s">
        <v>8</v>
      </c>
      <c r="FF496" s="27" t="s">
        <v>7</v>
      </c>
      <c r="FG496" s="27" t="s">
        <v>8</v>
      </c>
      <c r="FH496" s="27" t="s">
        <v>7</v>
      </c>
      <c r="IL496" s="27" t="s">
        <v>7</v>
      </c>
    </row>
    <row r="497" spans="1:250" x14ac:dyDescent="0.25">
      <c r="A497" s="7">
        <v>5.9431331263054545</v>
      </c>
      <c r="B497"/>
      <c r="C497"/>
      <c r="D497"/>
      <c r="E497"/>
      <c r="AU497" s="27" t="s">
        <v>8</v>
      </c>
      <c r="AV497" s="27" t="s">
        <v>7</v>
      </c>
      <c r="AW497" s="27" t="s">
        <v>8</v>
      </c>
      <c r="AX497" s="27" t="s">
        <v>7</v>
      </c>
      <c r="DX497" s="27" t="s">
        <v>7</v>
      </c>
      <c r="DY497" s="27" t="s">
        <v>8</v>
      </c>
      <c r="EN497" s="27" t="s">
        <v>7</v>
      </c>
      <c r="EO497" s="27" t="s">
        <v>8</v>
      </c>
      <c r="EP497" s="27" t="s">
        <v>7</v>
      </c>
      <c r="EQ497" s="27" t="s">
        <v>8</v>
      </c>
      <c r="FB497" s="27" t="s">
        <v>7</v>
      </c>
      <c r="FC497" s="27" t="s">
        <v>8</v>
      </c>
      <c r="FD497" s="27" t="s">
        <v>7</v>
      </c>
      <c r="FE497" s="27" t="s">
        <v>8</v>
      </c>
      <c r="FF497" s="27" t="s">
        <v>7</v>
      </c>
      <c r="FG497" s="27" t="s">
        <v>8</v>
      </c>
      <c r="IL497" s="27" t="s">
        <v>7</v>
      </c>
    </row>
    <row r="498" spans="1:250" x14ac:dyDescent="0.25">
      <c r="A498" s="7">
        <v>5.8266011042210337</v>
      </c>
      <c r="B498"/>
      <c r="C498"/>
      <c r="D498"/>
      <c r="E498"/>
      <c r="AU498" s="27" t="s">
        <v>8</v>
      </c>
      <c r="AV498" s="27" t="s">
        <v>7</v>
      </c>
      <c r="AW498" s="27" t="s">
        <v>8</v>
      </c>
      <c r="DX498" s="27" t="s">
        <v>7</v>
      </c>
      <c r="EN498" s="27" t="s">
        <v>7</v>
      </c>
      <c r="EO498" s="27" t="s">
        <v>8</v>
      </c>
      <c r="EP498" s="27" t="s">
        <v>7</v>
      </c>
      <c r="EQ498" s="27" t="s">
        <v>8</v>
      </c>
      <c r="FB498" s="27" t="s">
        <v>7</v>
      </c>
      <c r="FC498" s="27" t="s">
        <v>8</v>
      </c>
      <c r="FD498" s="27" t="s">
        <v>7</v>
      </c>
      <c r="FE498" s="27" t="s">
        <v>8</v>
      </c>
      <c r="FF498" s="27" t="s">
        <v>7</v>
      </c>
      <c r="IL498" s="27" t="s">
        <v>7</v>
      </c>
    </row>
    <row r="499" spans="1:250" x14ac:dyDescent="0.25">
      <c r="A499" s="7">
        <v>5.7123540237461112</v>
      </c>
      <c r="B499"/>
      <c r="C499"/>
      <c r="D499"/>
      <c r="E499"/>
      <c r="AU499" s="27" t="s">
        <v>8</v>
      </c>
      <c r="AV499" s="27" t="s">
        <v>7</v>
      </c>
      <c r="AW499" s="27" t="s">
        <v>8</v>
      </c>
      <c r="EN499" s="27" t="s">
        <v>7</v>
      </c>
      <c r="EO499" s="27" t="s">
        <v>8</v>
      </c>
      <c r="EP499" s="27" t="s">
        <v>7</v>
      </c>
      <c r="EQ499" s="27" t="s">
        <v>8</v>
      </c>
      <c r="FB499" s="27" t="s">
        <v>7</v>
      </c>
      <c r="FC499" s="27" t="s">
        <v>8</v>
      </c>
      <c r="FD499" s="27" t="s">
        <v>7</v>
      </c>
      <c r="FE499" s="27" t="s">
        <v>8</v>
      </c>
      <c r="IL499" s="27" t="s">
        <v>7</v>
      </c>
    </row>
    <row r="500" spans="1:250" x14ac:dyDescent="0.25">
      <c r="A500" s="7">
        <v>5.6003470821040304</v>
      </c>
      <c r="B500"/>
      <c r="C500"/>
      <c r="D500"/>
      <c r="E500"/>
      <c r="AU500" s="27" t="s">
        <v>8</v>
      </c>
      <c r="AV500" s="27" t="s">
        <v>7</v>
      </c>
      <c r="AW500" s="27" t="s">
        <v>8</v>
      </c>
      <c r="EN500" s="27" t="s">
        <v>7</v>
      </c>
      <c r="EO500" s="27" t="s">
        <v>8</v>
      </c>
      <c r="EP500" s="27" t="s">
        <v>7</v>
      </c>
      <c r="EQ500" s="27" t="s">
        <v>8</v>
      </c>
      <c r="FB500" s="18" t="s">
        <v>7</v>
      </c>
      <c r="FC500" s="27" t="s">
        <v>8</v>
      </c>
      <c r="FD500" s="27" t="s">
        <v>7</v>
      </c>
      <c r="FE500" s="27" t="s">
        <v>8</v>
      </c>
      <c r="IL500" s="27" t="s">
        <v>7</v>
      </c>
    </row>
    <row r="501" spans="1:250" x14ac:dyDescent="0.25">
      <c r="A501" s="7">
        <v>5.4905363550039512</v>
      </c>
      <c r="B501"/>
      <c r="C501"/>
      <c r="D501"/>
      <c r="E501"/>
      <c r="AU501" s="27" t="s">
        <v>8</v>
      </c>
      <c r="AV501" s="27" t="s">
        <v>7</v>
      </c>
      <c r="AW501" s="27" t="s">
        <v>8</v>
      </c>
      <c r="EN501" s="27" t="s">
        <v>7</v>
      </c>
      <c r="EO501" s="27" t="s">
        <v>8</v>
      </c>
      <c r="EP501" s="27" t="s">
        <v>7</v>
      </c>
      <c r="EQ501" s="27" t="s">
        <v>8</v>
      </c>
      <c r="FB501" s="27" t="s">
        <v>7</v>
      </c>
      <c r="FC501" s="27" t="s">
        <v>8</v>
      </c>
      <c r="FD501" s="27" t="s">
        <v>7</v>
      </c>
      <c r="IL501" s="27" t="s">
        <v>7</v>
      </c>
    </row>
    <row r="502" spans="1:250" x14ac:dyDescent="0.25">
      <c r="A502" s="7">
        <v>5.3828787794156385</v>
      </c>
      <c r="B502"/>
      <c r="C502"/>
      <c r="D502"/>
      <c r="E502"/>
      <c r="AU502" s="27" t="s">
        <v>8</v>
      </c>
      <c r="AV502" s="27" t="s">
        <v>7</v>
      </c>
      <c r="AW502" s="27" t="s">
        <v>8</v>
      </c>
      <c r="EN502" s="27" t="s">
        <v>7</v>
      </c>
      <c r="EO502" s="27" t="s">
        <v>8</v>
      </c>
      <c r="EP502" s="27" t="s">
        <v>7</v>
      </c>
      <c r="EQ502" s="27" t="s">
        <v>8</v>
      </c>
      <c r="FB502" s="27" t="s">
        <v>7</v>
      </c>
      <c r="FC502" s="27" t="s">
        <v>8</v>
      </c>
      <c r="IL502" s="27" t="s">
        <v>7</v>
      </c>
    </row>
    <row r="503" spans="1:250" x14ac:dyDescent="0.25">
      <c r="A503" s="7">
        <v>5.2773321366819985</v>
      </c>
      <c r="B503"/>
      <c r="C503"/>
      <c r="D503"/>
      <c r="E503"/>
      <c r="AI503" s="27" t="s">
        <v>8</v>
      </c>
      <c r="AU503" s="27" t="s">
        <v>8</v>
      </c>
      <c r="AV503" s="27" t="s">
        <v>7</v>
      </c>
      <c r="EN503" s="27" t="s">
        <v>7</v>
      </c>
      <c r="EO503" s="27" t="s">
        <v>8</v>
      </c>
      <c r="EP503" s="27" t="s">
        <v>7</v>
      </c>
      <c r="EQ503" s="27" t="s">
        <v>8</v>
      </c>
      <c r="FB503" s="27" t="s">
        <v>7</v>
      </c>
      <c r="FC503" s="27" t="s">
        <v>8</v>
      </c>
      <c r="IL503" s="27" t="s">
        <v>7</v>
      </c>
    </row>
    <row r="504" spans="1:250" x14ac:dyDescent="0.25">
      <c r="A504" s="7">
        <v>5.1738550359627435</v>
      </c>
      <c r="B504"/>
      <c r="C504"/>
      <c r="D504"/>
      <c r="E504"/>
      <c r="AI504" s="27" t="s">
        <v>8</v>
      </c>
      <c r="AJ504" s="27" t="s">
        <v>7</v>
      </c>
      <c r="AU504" s="27" t="s">
        <v>8</v>
      </c>
      <c r="EN504" s="27" t="s">
        <v>7</v>
      </c>
      <c r="EO504" s="27" t="s">
        <v>8</v>
      </c>
      <c r="EP504" s="27" t="s">
        <v>7</v>
      </c>
      <c r="FB504" s="27" t="s">
        <v>7</v>
      </c>
      <c r="FC504" s="27" t="s">
        <v>8</v>
      </c>
      <c r="IL504" s="27" t="s">
        <v>7</v>
      </c>
    </row>
    <row r="505" spans="1:250" x14ac:dyDescent="0.25">
      <c r="A505" s="7">
        <v>5.07240689800269</v>
      </c>
      <c r="B505"/>
      <c r="C505"/>
      <c r="D505"/>
      <c r="E505"/>
      <c r="AI505" s="27" t="s">
        <v>8</v>
      </c>
      <c r="AJ505" s="27" t="s">
        <v>7</v>
      </c>
      <c r="AM505" s="27" t="s">
        <v>8</v>
      </c>
      <c r="AU505" s="27" t="s">
        <v>8</v>
      </c>
      <c r="EN505" s="27" t="s">
        <v>7</v>
      </c>
      <c r="EO505" s="27" t="s">
        <v>8</v>
      </c>
      <c r="FB505" s="27" t="s">
        <v>7</v>
      </c>
      <c r="FC505" s="27" t="s">
        <v>8</v>
      </c>
      <c r="IL505" s="27" t="s">
        <v>7</v>
      </c>
    </row>
    <row r="506" spans="1:250" x14ac:dyDescent="0.25">
      <c r="A506" s="7">
        <v>4.9729479392183231</v>
      </c>
      <c r="B506"/>
      <c r="C506"/>
      <c r="D506"/>
      <c r="E506"/>
      <c r="AI506" s="27" t="s">
        <v>8</v>
      </c>
      <c r="AJ506" s="27" t="s">
        <v>7</v>
      </c>
      <c r="AM506" s="27" t="s">
        <v>8</v>
      </c>
      <c r="AN506" s="27" t="s">
        <v>7</v>
      </c>
      <c r="AU506" s="27" t="s">
        <v>8</v>
      </c>
      <c r="EN506" s="27" t="s">
        <v>7</v>
      </c>
      <c r="FB506" s="27" t="s">
        <v>7</v>
      </c>
      <c r="IL506" s="27" t="s">
        <v>7</v>
      </c>
      <c r="IO506" s="27" t="s">
        <v>8</v>
      </c>
    </row>
    <row r="507" spans="1:250" x14ac:dyDescent="0.25">
      <c r="A507" s="7">
        <v>4.8754391560963954</v>
      </c>
      <c r="B507"/>
      <c r="C507"/>
      <c r="D507"/>
      <c r="E507"/>
      <c r="AI507" s="27" t="s">
        <v>8</v>
      </c>
      <c r="AJ507" s="27" t="s">
        <v>7</v>
      </c>
      <c r="AM507" s="27" t="s">
        <v>8</v>
      </c>
      <c r="AN507" s="27" t="s">
        <v>7</v>
      </c>
      <c r="AQ507" s="27" t="s">
        <v>8</v>
      </c>
      <c r="AS507" s="27" t="s">
        <v>8</v>
      </c>
      <c r="AU507" s="27" t="s">
        <v>8</v>
      </c>
      <c r="IL507" s="27" t="s">
        <v>7</v>
      </c>
      <c r="IO507" s="27" t="s">
        <v>8</v>
      </c>
      <c r="IP507" s="27" t="s">
        <v>7</v>
      </c>
    </row>
    <row r="508" spans="1:250" x14ac:dyDescent="0.25">
      <c r="A508" s="7">
        <v>4.7798423098984264</v>
      </c>
      <c r="B508"/>
      <c r="C508"/>
      <c r="D508"/>
      <c r="E508"/>
      <c r="AI508" s="27" t="s">
        <v>8</v>
      </c>
      <c r="AJ508" s="27" t="s">
        <v>7</v>
      </c>
      <c r="AK508" s="27" t="s">
        <v>8</v>
      </c>
      <c r="AM508" s="27" t="s">
        <v>8</v>
      </c>
      <c r="AN508" s="27" t="s">
        <v>7</v>
      </c>
      <c r="AQ508" s="27" t="s">
        <v>8</v>
      </c>
      <c r="AR508" s="27" t="s">
        <v>7</v>
      </c>
      <c r="AS508" s="27" t="s">
        <v>8</v>
      </c>
      <c r="AT508" s="27" t="s">
        <v>7</v>
      </c>
      <c r="AU508" s="27" t="s">
        <v>8</v>
      </c>
      <c r="IL508" s="27" t="s">
        <v>7</v>
      </c>
      <c r="IO508" s="27" t="s">
        <v>8</v>
      </c>
      <c r="IP508" s="27" t="s">
        <v>7</v>
      </c>
    </row>
    <row r="509" spans="1:250" x14ac:dyDescent="0.25">
      <c r="A509" s="7">
        <v>4.6861199116651235</v>
      </c>
      <c r="B509"/>
      <c r="C509"/>
      <c r="D509"/>
      <c r="E509"/>
      <c r="AI509" s="27" t="s">
        <v>8</v>
      </c>
      <c r="AJ509" s="27" t="s">
        <v>7</v>
      </c>
      <c r="AK509" s="27" t="s">
        <v>8</v>
      </c>
      <c r="AL509" s="27" t="s">
        <v>7</v>
      </c>
      <c r="AM509" s="27" t="s">
        <v>8</v>
      </c>
      <c r="AN509" s="27" t="s">
        <v>7</v>
      </c>
      <c r="AQ509" s="27" t="s">
        <v>8</v>
      </c>
      <c r="AR509" s="27" t="s">
        <v>7</v>
      </c>
      <c r="AS509" s="27" t="s">
        <v>8</v>
      </c>
      <c r="AT509" s="27" t="s">
        <v>7</v>
      </c>
      <c r="AU509" s="27" t="s">
        <v>8</v>
      </c>
      <c r="IL509" s="27" t="s">
        <v>7</v>
      </c>
      <c r="IM509" s="27" t="s">
        <v>8</v>
      </c>
      <c r="IO509" s="27" t="s">
        <v>8</v>
      </c>
      <c r="IP509" s="27" t="s">
        <v>7</v>
      </c>
    </row>
    <row r="510" spans="1:250" x14ac:dyDescent="0.25">
      <c r="A510" s="7">
        <v>4.5942352075148269</v>
      </c>
      <c r="B510"/>
      <c r="C510"/>
      <c r="D510"/>
      <c r="E510"/>
      <c r="AI510" s="27" t="s">
        <v>8</v>
      </c>
      <c r="AJ510" s="27" t="s">
        <v>7</v>
      </c>
      <c r="AK510" s="27" t="s">
        <v>8</v>
      </c>
      <c r="AL510" s="27" t="s">
        <v>7</v>
      </c>
      <c r="AM510" s="27" t="s">
        <v>8</v>
      </c>
      <c r="AN510" s="27" t="s">
        <v>7</v>
      </c>
      <c r="AQ510" s="27" t="s">
        <v>8</v>
      </c>
      <c r="AR510" s="27" t="s">
        <v>7</v>
      </c>
      <c r="AS510" s="27" t="s">
        <v>8</v>
      </c>
      <c r="AT510" s="27" t="s">
        <v>7</v>
      </c>
      <c r="AU510" s="27" t="s">
        <v>8</v>
      </c>
      <c r="IL510" s="27" t="s">
        <v>7</v>
      </c>
      <c r="IM510" s="27" t="s">
        <v>8</v>
      </c>
      <c r="IN510" s="27" t="s">
        <v>7</v>
      </c>
      <c r="IO510" s="27" t="s">
        <v>8</v>
      </c>
      <c r="IP510" s="27" t="s">
        <v>7</v>
      </c>
    </row>
    <row r="511" spans="1:250" x14ac:dyDescent="0.25">
      <c r="A511" s="7">
        <v>4.5041521642302227</v>
      </c>
      <c r="B511"/>
      <c r="C511"/>
      <c r="D511"/>
      <c r="E511"/>
      <c r="AI511" s="27" t="s">
        <v>8</v>
      </c>
      <c r="AJ511" s="27" t="s">
        <v>7</v>
      </c>
      <c r="AK511" s="27" t="s">
        <v>8</v>
      </c>
      <c r="AL511" s="27" t="s">
        <v>7</v>
      </c>
      <c r="AM511" s="27" t="s">
        <v>8</v>
      </c>
      <c r="AN511" s="27" t="s">
        <v>7</v>
      </c>
      <c r="AQ511" s="27" t="s">
        <v>8</v>
      </c>
      <c r="AR511" s="27" t="s">
        <v>7</v>
      </c>
      <c r="AS511" s="27" t="s">
        <v>8</v>
      </c>
      <c r="AT511" s="27" t="s">
        <v>7</v>
      </c>
      <c r="AU511" s="27" t="s">
        <v>8</v>
      </c>
      <c r="IL511" s="27" t="s">
        <v>7</v>
      </c>
      <c r="IM511" s="27" t="s">
        <v>8</v>
      </c>
      <c r="IN511" s="27" t="s">
        <v>7</v>
      </c>
      <c r="IO511" s="27" t="s">
        <v>8</v>
      </c>
      <c r="IP511" s="27" t="s">
        <v>7</v>
      </c>
    </row>
    <row r="512" spans="1:250" x14ac:dyDescent="0.25">
      <c r="A512" s="7">
        <v>4.4158354551276693</v>
      </c>
      <c r="B512"/>
      <c r="C512"/>
      <c r="D512"/>
      <c r="E512"/>
      <c r="AI512" s="27" t="s">
        <v>8</v>
      </c>
      <c r="AJ512" s="27" t="s">
        <v>7</v>
      </c>
      <c r="AK512" s="27" t="s">
        <v>8</v>
      </c>
      <c r="AL512" s="27" t="s">
        <v>7</v>
      </c>
      <c r="AM512" s="27" t="s">
        <v>8</v>
      </c>
      <c r="AN512" s="27" t="s">
        <v>7</v>
      </c>
      <c r="AQ512" s="27" t="s">
        <v>8</v>
      </c>
      <c r="AR512" s="27" t="s">
        <v>7</v>
      </c>
      <c r="AS512" s="27" t="s">
        <v>8</v>
      </c>
      <c r="AT512" s="27" t="s">
        <v>7</v>
      </c>
      <c r="AU512" s="27" t="s">
        <v>8</v>
      </c>
      <c r="IL512" s="27" t="s">
        <v>7</v>
      </c>
      <c r="IM512" s="27" t="s">
        <v>8</v>
      </c>
      <c r="IN512" s="27" t="s">
        <v>7</v>
      </c>
      <c r="IO512" s="27" t="s">
        <v>8</v>
      </c>
      <c r="IP512" s="27" t="s">
        <v>7</v>
      </c>
    </row>
    <row r="513" spans="1:250" x14ac:dyDescent="0.25">
      <c r="A513" s="7">
        <v>4.3292504462035977</v>
      </c>
      <c r="B513"/>
      <c r="C513"/>
      <c r="D513"/>
      <c r="E513"/>
      <c r="AI513" s="27" t="s">
        <v>8</v>
      </c>
      <c r="AJ513" s="27" t="s">
        <v>7</v>
      </c>
      <c r="AK513" s="27" t="s">
        <v>8</v>
      </c>
      <c r="AL513" s="27" t="s">
        <v>7</v>
      </c>
      <c r="AM513" s="27" t="s">
        <v>8</v>
      </c>
      <c r="AN513" s="27" t="s">
        <v>7</v>
      </c>
      <c r="AO513" s="27" t="s">
        <v>8</v>
      </c>
      <c r="AQ513" s="27" t="s">
        <v>8</v>
      </c>
      <c r="AR513" s="27" t="s">
        <v>7</v>
      </c>
      <c r="AS513" s="27" t="s">
        <v>8</v>
      </c>
      <c r="AT513" s="27" t="s">
        <v>7</v>
      </c>
      <c r="AU513" s="27" t="s">
        <v>8</v>
      </c>
      <c r="IL513" s="27" t="s">
        <v>7</v>
      </c>
      <c r="IM513" s="27" t="s">
        <v>8</v>
      </c>
      <c r="IN513" s="27" t="s">
        <v>7</v>
      </c>
      <c r="IO513" s="27" t="s">
        <v>8</v>
      </c>
      <c r="IP513" s="27" t="s">
        <v>7</v>
      </c>
    </row>
    <row r="514" spans="1:250" x14ac:dyDescent="0.25">
      <c r="A514" s="7">
        <v>4.2443631825525463</v>
      </c>
      <c r="B514"/>
      <c r="C514"/>
      <c r="D514"/>
      <c r="E514"/>
      <c r="AI514" s="27" t="s">
        <v>8</v>
      </c>
      <c r="AJ514" s="27" t="s">
        <v>7</v>
      </c>
      <c r="AK514" s="27" t="s">
        <v>8</v>
      </c>
      <c r="AL514" s="27" t="s">
        <v>7</v>
      </c>
      <c r="AM514" s="27" t="s">
        <v>8</v>
      </c>
      <c r="AN514" s="27" t="s">
        <v>7</v>
      </c>
      <c r="AO514" s="27" t="s">
        <v>8</v>
      </c>
      <c r="AP514" s="27" t="s">
        <v>7</v>
      </c>
      <c r="AQ514" s="27" t="s">
        <v>8</v>
      </c>
      <c r="AR514" s="27" t="s">
        <v>7</v>
      </c>
      <c r="AS514" s="27" t="s">
        <v>8</v>
      </c>
      <c r="AT514" s="27" t="s">
        <v>7</v>
      </c>
      <c r="AU514" s="27" t="s">
        <v>8</v>
      </c>
      <c r="IL514" s="27" t="s">
        <v>7</v>
      </c>
      <c r="IM514" s="27" t="s">
        <v>8</v>
      </c>
      <c r="IN514" s="27" t="s">
        <v>7</v>
      </c>
      <c r="IO514" s="27" t="s">
        <v>8</v>
      </c>
    </row>
    <row r="515" spans="1:250" x14ac:dyDescent="0.25">
      <c r="A515" s="7">
        <v>4.1611403750515157</v>
      </c>
      <c r="B515"/>
      <c r="C515"/>
      <c r="D515"/>
      <c r="E515"/>
      <c r="AI515" s="27" t="s">
        <v>8</v>
      </c>
      <c r="AJ515" s="27" t="s">
        <v>7</v>
      </c>
      <c r="AK515" s="27" t="s">
        <v>8</v>
      </c>
      <c r="AL515" s="27" t="s">
        <v>7</v>
      </c>
      <c r="AM515" s="27" t="s">
        <v>8</v>
      </c>
      <c r="AN515" s="27" t="s">
        <v>7</v>
      </c>
      <c r="AO515" s="27" t="s">
        <v>8</v>
      </c>
      <c r="AP515" s="27" t="s">
        <v>7</v>
      </c>
      <c r="AQ515" s="27" t="s">
        <v>8</v>
      </c>
      <c r="AR515" s="27" t="s">
        <v>7</v>
      </c>
      <c r="AS515" s="27" t="s">
        <v>8</v>
      </c>
      <c r="AT515" s="27" t="s">
        <v>7</v>
      </c>
      <c r="AU515" s="27" t="s">
        <v>8</v>
      </c>
      <c r="IL515" s="27" t="s">
        <v>7</v>
      </c>
      <c r="IN515" s="27" t="s">
        <v>7</v>
      </c>
      <c r="IO515" s="27" t="s">
        <v>8</v>
      </c>
    </row>
    <row r="516" spans="1:250" x14ac:dyDescent="0.25">
      <c r="A516" s="7">
        <v>4.0795493873054074</v>
      </c>
      <c r="B516"/>
      <c r="C516"/>
      <c r="D516"/>
      <c r="E516"/>
      <c r="AI516" s="27" t="s">
        <v>8</v>
      </c>
      <c r="AJ516" s="27" t="s">
        <v>7</v>
      </c>
      <c r="AK516" s="27" t="s">
        <v>8</v>
      </c>
      <c r="AL516" s="27" t="s">
        <v>7</v>
      </c>
      <c r="AM516" s="27" t="s">
        <v>8</v>
      </c>
      <c r="AN516" s="27" t="s">
        <v>7</v>
      </c>
      <c r="AO516" s="27" t="s">
        <v>8</v>
      </c>
      <c r="AP516" s="27" t="s">
        <v>7</v>
      </c>
      <c r="AQ516" s="27" t="s">
        <v>8</v>
      </c>
      <c r="AR516" s="27" t="s">
        <v>7</v>
      </c>
      <c r="AT516" s="27" t="s">
        <v>7</v>
      </c>
      <c r="AU516" s="27" t="s">
        <v>8</v>
      </c>
      <c r="IN516" s="27" t="s">
        <v>7</v>
      </c>
      <c r="IO516" s="27" t="s">
        <v>8</v>
      </c>
    </row>
    <row r="517" spans="1:250" x14ac:dyDescent="0.25">
      <c r="A517" s="7">
        <v>3.9995582228484383</v>
      </c>
      <c r="B517"/>
      <c r="C517"/>
      <c r="D517"/>
      <c r="E517"/>
      <c r="AI517" s="27" t="s">
        <v>8</v>
      </c>
      <c r="AJ517" s="27" t="s">
        <v>7</v>
      </c>
      <c r="AK517" s="27" t="s">
        <v>8</v>
      </c>
      <c r="AL517" s="27" t="s">
        <v>7</v>
      </c>
      <c r="AM517" s="27" t="s">
        <v>8</v>
      </c>
      <c r="AN517" s="27" t="s">
        <v>7</v>
      </c>
      <c r="AO517" s="27" t="s">
        <v>8</v>
      </c>
      <c r="AP517" s="27" t="s">
        <v>7</v>
      </c>
      <c r="AQ517" s="27" t="s">
        <v>8</v>
      </c>
      <c r="AT517" s="27" t="s">
        <v>7</v>
      </c>
      <c r="AU517" s="27" t="s">
        <v>8</v>
      </c>
      <c r="IN517" s="27" t="s">
        <v>7</v>
      </c>
      <c r="IO517" s="27" t="s">
        <v>8</v>
      </c>
    </row>
    <row r="518" spans="1:250" x14ac:dyDescent="0.25">
      <c r="A518" s="7">
        <v>3.9211355125965079</v>
      </c>
      <c r="B518"/>
      <c r="C518"/>
      <c r="D518"/>
      <c r="E518"/>
      <c r="AE518" s="27" t="s">
        <v>8</v>
      </c>
      <c r="AI518" s="27" t="s">
        <v>8</v>
      </c>
      <c r="AJ518" s="27" t="s">
        <v>7</v>
      </c>
      <c r="AK518" s="27" t="s">
        <v>8</v>
      </c>
      <c r="AL518" s="27" t="s">
        <v>7</v>
      </c>
      <c r="AM518" s="27" t="s">
        <v>8</v>
      </c>
      <c r="AN518" s="27" t="s">
        <v>7</v>
      </c>
      <c r="AO518" s="27" t="s">
        <v>8</v>
      </c>
      <c r="AP518" s="27" t="s">
        <v>7</v>
      </c>
      <c r="AQ518" s="27" t="s">
        <v>8</v>
      </c>
      <c r="AT518" s="27" t="s">
        <v>7</v>
      </c>
      <c r="AU518" s="27" t="s">
        <v>8</v>
      </c>
      <c r="IN518" s="27" t="s">
        <v>7</v>
      </c>
      <c r="IO518" s="27" t="s">
        <v>8</v>
      </c>
    </row>
    <row r="519" spans="1:250" x14ac:dyDescent="0.25">
      <c r="A519" s="7">
        <v>3.844250502545596</v>
      </c>
      <c r="B519"/>
      <c r="C519"/>
      <c r="D519"/>
      <c r="E519"/>
      <c r="AE519" s="27" t="s">
        <v>8</v>
      </c>
      <c r="AF519" s="27" t="s">
        <v>7</v>
      </c>
      <c r="AI519" s="27" t="s">
        <v>8</v>
      </c>
      <c r="AJ519" s="27" t="s">
        <v>7</v>
      </c>
      <c r="AK519" s="27" t="s">
        <v>8</v>
      </c>
      <c r="AL519" s="27" t="s">
        <v>7</v>
      </c>
      <c r="AN519" s="27" t="s">
        <v>7</v>
      </c>
      <c r="AP519" s="27" t="s">
        <v>7</v>
      </c>
      <c r="AQ519" s="27" t="s">
        <v>8</v>
      </c>
      <c r="AT519" s="27" t="s">
        <v>7</v>
      </c>
      <c r="AU519" s="27" t="s">
        <v>8</v>
      </c>
      <c r="IN519" s="27" t="s">
        <v>7</v>
      </c>
      <c r="IO519" s="27" t="s">
        <v>8</v>
      </c>
    </row>
    <row r="520" spans="1:250" x14ac:dyDescent="0.25">
      <c r="A520" s="7">
        <v>3.7688730417113687</v>
      </c>
      <c r="B520"/>
      <c r="C520"/>
      <c r="D520"/>
      <c r="E520"/>
      <c r="AE520" s="27" t="s">
        <v>8</v>
      </c>
      <c r="AF520" s="27" t="s">
        <v>7</v>
      </c>
      <c r="AI520" s="27" t="s">
        <v>8</v>
      </c>
      <c r="AJ520" s="27" t="s">
        <v>7</v>
      </c>
      <c r="AP520" s="27" t="s">
        <v>7</v>
      </c>
      <c r="AQ520" s="27" t="s">
        <v>8</v>
      </c>
      <c r="AT520" s="27" t="s">
        <v>7</v>
      </c>
      <c r="IN520" s="27" t="s">
        <v>7</v>
      </c>
    </row>
    <row r="521" spans="1:250" x14ac:dyDescent="0.25">
      <c r="A521" s="7">
        <v>3.6949735703052635</v>
      </c>
      <c r="B521"/>
      <c r="C521"/>
      <c r="D521"/>
      <c r="E521"/>
      <c r="AE521" s="27" t="s">
        <v>8</v>
      </c>
      <c r="AF521" s="27" t="s">
        <v>7</v>
      </c>
      <c r="AI521" s="27" t="s">
        <v>8</v>
      </c>
      <c r="AP521" s="27" t="s">
        <v>7</v>
      </c>
      <c r="AQ521" s="27" t="s">
        <v>8</v>
      </c>
    </row>
    <row r="522" spans="1:250" x14ac:dyDescent="0.25">
      <c r="A522" s="7">
        <v>3.6225231081424152</v>
      </c>
      <c r="B522"/>
      <c r="C522"/>
      <c r="D522"/>
      <c r="E522"/>
      <c r="AE522" s="27" t="s">
        <v>8</v>
      </c>
      <c r="AF522" s="27" t="s">
        <v>7</v>
      </c>
      <c r="AI522" s="27" t="s">
        <v>8</v>
      </c>
      <c r="AP522" s="27" t="s">
        <v>7</v>
      </c>
      <c r="AQ522" s="27" t="s">
        <v>8</v>
      </c>
    </row>
    <row r="523" spans="1:250" x14ac:dyDescent="0.25">
      <c r="A523" s="7">
        <v>3.5514932432768775</v>
      </c>
      <c r="B523"/>
      <c r="C523"/>
      <c r="D523"/>
      <c r="E523"/>
      <c r="AE523" s="27" t="s">
        <v>8</v>
      </c>
      <c r="AF523" s="27" t="s">
        <v>7</v>
      </c>
      <c r="AI523" s="27" t="s">
        <v>8</v>
      </c>
      <c r="AP523" s="27" t="s">
        <v>7</v>
      </c>
    </row>
    <row r="524" spans="1:250" x14ac:dyDescent="0.25">
      <c r="A524" s="7">
        <v>3.4818561208596837</v>
      </c>
      <c r="B524"/>
      <c r="C524"/>
      <c r="D524"/>
      <c r="E524"/>
      <c r="AE524" s="27" t="s">
        <v>8</v>
      </c>
      <c r="AF524" s="27" t="s">
        <v>7</v>
      </c>
      <c r="AI524" s="27" t="s">
        <v>8</v>
      </c>
    </row>
    <row r="525" spans="1:250" x14ac:dyDescent="0.25">
      <c r="A525" s="7">
        <v>3.4135844322153761</v>
      </c>
      <c r="B525"/>
      <c r="C525"/>
      <c r="D525"/>
      <c r="E525"/>
      <c r="AE525" s="27" t="s">
        <v>8</v>
      </c>
      <c r="AF525" s="27" t="s">
        <v>7</v>
      </c>
      <c r="AI525" s="27" t="s">
        <v>8</v>
      </c>
    </row>
    <row r="526" spans="1:250" x14ac:dyDescent="0.25">
      <c r="A526" s="7">
        <v>3.3466514041327216</v>
      </c>
      <c r="B526"/>
      <c r="C526"/>
      <c r="D526"/>
      <c r="E526"/>
      <c r="AE526" s="27" t="s">
        <v>8</v>
      </c>
      <c r="AF526" s="27" t="s">
        <v>7</v>
      </c>
      <c r="AG526" s="27" t="s">
        <v>8</v>
      </c>
      <c r="AI526" s="27" t="s">
        <v>8</v>
      </c>
    </row>
    <row r="527" spans="1:250" x14ac:dyDescent="0.25">
      <c r="A527" s="7">
        <v>3.2810307883654133</v>
      </c>
      <c r="B527"/>
      <c r="C527"/>
      <c r="D527"/>
      <c r="E527"/>
      <c r="AE527" s="27" t="s">
        <v>8</v>
      </c>
      <c r="AF527" s="27" t="s">
        <v>7</v>
      </c>
      <c r="AG527" s="27" t="s">
        <v>8</v>
      </c>
      <c r="AH527" s="27" t="s">
        <v>7</v>
      </c>
      <c r="AI527" s="27" t="s">
        <v>8</v>
      </c>
    </row>
    <row r="528" spans="1:250" x14ac:dyDescent="0.25">
      <c r="A528" s="7">
        <v>3.2166968513386403</v>
      </c>
      <c r="B528"/>
      <c r="C528"/>
      <c r="D528"/>
      <c r="E528"/>
      <c r="AE528" s="27" t="s">
        <v>8</v>
      </c>
      <c r="AF528" s="27" t="s">
        <v>7</v>
      </c>
      <c r="AG528" s="27" t="s">
        <v>8</v>
      </c>
      <c r="AH528" s="27" t="s">
        <v>7</v>
      </c>
      <c r="AI528" s="27" t="s">
        <v>8</v>
      </c>
    </row>
    <row r="529" spans="1:35" x14ac:dyDescent="0.25">
      <c r="A529" s="7">
        <v>3.1536243640574906</v>
      </c>
      <c r="B529"/>
      <c r="C529"/>
      <c r="D529"/>
      <c r="E529"/>
      <c r="AE529" s="27" t="s">
        <v>8</v>
      </c>
      <c r="AF529" s="27" t="s">
        <v>7</v>
      </c>
      <c r="AG529" s="27" t="s">
        <v>8</v>
      </c>
      <c r="AH529" s="27" t="s">
        <v>7</v>
      </c>
      <c r="AI529" s="27" t="s">
        <v>8</v>
      </c>
    </row>
    <row r="530" spans="1:35" x14ac:dyDescent="0.25">
      <c r="A530" s="7">
        <v>3.0917885922132262</v>
      </c>
      <c r="B530"/>
      <c r="C530"/>
      <c r="D530"/>
      <c r="E530"/>
      <c r="AE530" s="27" t="s">
        <v>8</v>
      </c>
      <c r="AF530" s="27" t="s">
        <v>7</v>
      </c>
      <c r="AG530" s="27" t="s">
        <v>8</v>
      </c>
      <c r="AH530" s="27" t="s">
        <v>7</v>
      </c>
      <c r="AI530" s="27" t="s">
        <v>8</v>
      </c>
    </row>
    <row r="531" spans="1:35" x14ac:dyDescent="0.25">
      <c r="A531" s="7">
        <v>3.0311652864835552</v>
      </c>
      <c r="B531"/>
      <c r="C531"/>
      <c r="D531"/>
      <c r="E531"/>
      <c r="AE531" s="27" t="s">
        <v>8</v>
      </c>
      <c r="AF531" s="27" t="s">
        <v>7</v>
      </c>
      <c r="AG531" s="27" t="s">
        <v>8</v>
      </c>
      <c r="AH531" s="27" t="s">
        <v>7</v>
      </c>
      <c r="AI531" s="27" t="s">
        <v>8</v>
      </c>
    </row>
    <row r="532" spans="1:35" x14ac:dyDescent="0.25">
      <c r="A532" s="7">
        <v>2.9717306730230932</v>
      </c>
      <c r="B532"/>
      <c r="C532"/>
      <c r="D532"/>
      <c r="E532"/>
      <c r="AE532" s="27" t="s">
        <v>8</v>
      </c>
      <c r="AF532" s="27" t="s">
        <v>7</v>
      </c>
      <c r="AG532" s="27" t="s">
        <v>8</v>
      </c>
      <c r="AH532" s="27" t="s">
        <v>7</v>
      </c>
      <c r="AI532" s="27" t="s">
        <v>8</v>
      </c>
    </row>
    <row r="533" spans="1:35" x14ac:dyDescent="0.25">
      <c r="A533" s="7">
        <v>2.9134614441402875</v>
      </c>
      <c r="B533"/>
      <c r="C533"/>
      <c r="D533"/>
      <c r="E533"/>
      <c r="AE533" s="27" t="s">
        <v>8</v>
      </c>
      <c r="AF533" s="27" t="s">
        <v>7</v>
      </c>
      <c r="AG533" s="27" t="s">
        <v>8</v>
      </c>
      <c r="AH533" s="27" t="s">
        <v>7</v>
      </c>
      <c r="AI533" s="27" t="s">
        <v>8</v>
      </c>
    </row>
    <row r="534" spans="1:35" x14ac:dyDescent="0.25">
      <c r="A534" s="7">
        <v>2.8563347491571447</v>
      </c>
      <c r="B534"/>
      <c r="C534"/>
      <c r="D534"/>
      <c r="E534"/>
      <c r="AE534" s="27" t="s">
        <v>8</v>
      </c>
      <c r="AF534" s="27" t="s">
        <v>7</v>
      </c>
      <c r="AH534" s="27" t="s">
        <v>7</v>
      </c>
      <c r="AI534" s="27" t="s">
        <v>8</v>
      </c>
    </row>
    <row r="535" spans="1:35" x14ac:dyDescent="0.25">
      <c r="A535" s="7">
        <v>2.8003281854481812</v>
      </c>
      <c r="B535"/>
      <c r="C535"/>
      <c r="D535"/>
      <c r="E535"/>
      <c r="AE535" s="27" t="s">
        <v>8</v>
      </c>
      <c r="AH535" s="27" t="s">
        <v>7</v>
      </c>
      <c r="AI535" s="27" t="s">
        <v>8</v>
      </c>
    </row>
    <row r="536" spans="1:35" x14ac:dyDescent="0.25">
      <c r="A536" s="7">
        <v>2.7454197896550796</v>
      </c>
      <c r="B536"/>
      <c r="C536"/>
      <c r="D536"/>
      <c r="E536"/>
      <c r="AE536" s="27" t="s">
        <v>8</v>
      </c>
      <c r="AH536" s="27" t="s">
        <v>7</v>
      </c>
    </row>
    <row r="537" spans="1:35" x14ac:dyDescent="0.25">
      <c r="A537" s="7">
        <v>2.6915880290736074</v>
      </c>
      <c r="B537"/>
      <c r="C537"/>
      <c r="D537"/>
      <c r="E537"/>
      <c r="AE537" s="27" t="s">
        <v>8</v>
      </c>
    </row>
    <row r="538" spans="1:35" x14ac:dyDescent="0.25">
      <c r="A538" s="7">
        <v>2.6388117932094191</v>
      </c>
      <c r="B538"/>
      <c r="C538"/>
      <c r="D538"/>
      <c r="E538"/>
      <c r="AE538" s="27" t="s">
        <v>8</v>
      </c>
    </row>
    <row r="539" spans="1:35" x14ac:dyDescent="0.25">
      <c r="A539" s="7">
        <v>2.5870703854994304</v>
      </c>
      <c r="B539"/>
      <c r="C539"/>
      <c r="D539"/>
      <c r="E539"/>
      <c r="AE539" s="27" t="s">
        <v>8</v>
      </c>
    </row>
    <row r="540" spans="1:35" x14ac:dyDescent="0.25">
      <c r="A540" s="7">
        <v>2.53634351519552</v>
      </c>
      <c r="B540"/>
      <c r="C540"/>
      <c r="D540"/>
      <c r="E540"/>
      <c r="AE540" s="27" t="s">
        <v>8</v>
      </c>
    </row>
    <row r="541" spans="1:35" x14ac:dyDescent="0.25">
      <c r="A541" s="7">
        <v>2.4866112894073726</v>
      </c>
      <c r="B541"/>
      <c r="C541"/>
      <c r="D541"/>
      <c r="E541"/>
      <c r="AE541" s="27" t="s">
        <v>8</v>
      </c>
    </row>
    <row r="542" spans="1:35" x14ac:dyDescent="0.25">
      <c r="A542" s="7">
        <v>2.4378542053013459</v>
      </c>
      <c r="B542"/>
      <c r="C542"/>
      <c r="D542"/>
      <c r="E542"/>
      <c r="AE542" s="27" t="s">
        <v>8</v>
      </c>
    </row>
    <row r="543" spans="1:35" x14ac:dyDescent="0.25">
      <c r="A543" s="7">
        <v>2.3900531424522997</v>
      </c>
      <c r="B543"/>
      <c r="C543"/>
      <c r="D543"/>
      <c r="E543"/>
      <c r="AE543" s="27" t="s">
        <v>8</v>
      </c>
    </row>
    <row r="544" spans="1:35" x14ac:dyDescent="0.25">
      <c r="A544" s="7">
        <v>2.343189355345392</v>
      </c>
      <c r="B544"/>
      <c r="C544"/>
      <c r="D544"/>
      <c r="E544"/>
      <c r="AC544" s="27" t="s">
        <v>8</v>
      </c>
      <c r="AE544" s="27" t="s">
        <v>8</v>
      </c>
    </row>
    <row r="545" spans="1:31" x14ac:dyDescent="0.25">
      <c r="A545" s="7">
        <v>2.2972444660248938</v>
      </c>
      <c r="B545"/>
      <c r="C545"/>
      <c r="D545"/>
      <c r="E545"/>
      <c r="AC545" s="27" t="s">
        <v>8</v>
      </c>
      <c r="AD545" s="27" t="s">
        <v>7</v>
      </c>
      <c r="AE545" s="27" t="s">
        <v>8</v>
      </c>
    </row>
    <row r="546" spans="1:31" x14ac:dyDescent="0.25">
      <c r="A546" s="7">
        <v>2.252200456887151</v>
      </c>
      <c r="B546"/>
      <c r="C546"/>
      <c r="D546"/>
      <c r="E546"/>
      <c r="AC546" s="27" t="s">
        <v>8</v>
      </c>
      <c r="AD546" s="27" t="s">
        <v>7</v>
      </c>
      <c r="AE546" s="27" t="s">
        <v>8</v>
      </c>
    </row>
    <row r="547" spans="1:31" x14ac:dyDescent="0.25">
      <c r="A547" s="7">
        <v>2.208039663614854</v>
      </c>
      <c r="B547"/>
      <c r="C547"/>
      <c r="D547"/>
      <c r="E547"/>
      <c r="AC547" s="27" t="s">
        <v>8</v>
      </c>
      <c r="AD547" s="27" t="s">
        <v>7</v>
      </c>
      <c r="AE547" s="27" t="s">
        <v>8</v>
      </c>
    </row>
    <row r="548" spans="1:31" x14ac:dyDescent="0.25">
      <c r="A548" s="7">
        <v>2.1647447682498568</v>
      </c>
      <c r="B548"/>
      <c r="C548"/>
      <c r="D548"/>
      <c r="E548"/>
      <c r="AC548" s="27" t="s">
        <v>8</v>
      </c>
      <c r="AD548" s="27" t="s">
        <v>7</v>
      </c>
      <c r="AE548" s="27" t="s">
        <v>8</v>
      </c>
    </row>
    <row r="549" spans="1:31" x14ac:dyDescent="0.25">
      <c r="A549" s="7">
        <v>2.1222987924018204</v>
      </c>
      <c r="B549"/>
      <c r="C549"/>
      <c r="D549"/>
      <c r="E549"/>
      <c r="AC549" s="27" t="s">
        <v>8</v>
      </c>
      <c r="AD549" s="27" t="s">
        <v>7</v>
      </c>
      <c r="AE549" s="27" t="s">
        <v>8</v>
      </c>
    </row>
    <row r="550" spans="1:31" x14ac:dyDescent="0.25">
      <c r="A550" s="7">
        <v>2.0806850905900198</v>
      </c>
      <c r="B550"/>
      <c r="C550"/>
      <c r="D550"/>
      <c r="E550"/>
      <c r="AC550" s="27" t="s">
        <v>8</v>
      </c>
      <c r="AD550" s="27" t="s">
        <v>7</v>
      </c>
      <c r="AE550" s="27" t="s">
        <v>8</v>
      </c>
    </row>
    <row r="551" spans="1:31" x14ac:dyDescent="0.25">
      <c r="A551" s="7">
        <v>2.0398873437157055</v>
      </c>
      <c r="B551"/>
      <c r="C551"/>
      <c r="D551"/>
      <c r="E551"/>
      <c r="AC551" s="27" t="s">
        <v>8</v>
      </c>
      <c r="AD551" s="27" t="s">
        <v>7</v>
      </c>
      <c r="AE551" s="27" t="s">
        <v>8</v>
      </c>
    </row>
    <row r="552" spans="1:31" x14ac:dyDescent="0.25">
      <c r="A552" s="7">
        <v>1.9998895526624565</v>
      </c>
      <c r="B552"/>
      <c r="C552"/>
      <c r="D552"/>
      <c r="E552"/>
      <c r="AC552" s="27" t="s">
        <v>8</v>
      </c>
      <c r="AD552" s="27" t="s">
        <v>7</v>
      </c>
      <c r="AE552" s="27" t="s">
        <v>8</v>
      </c>
    </row>
    <row r="553" spans="1:31" x14ac:dyDescent="0.25">
      <c r="A553" s="7">
        <v>1.9606760320220162</v>
      </c>
      <c r="B553"/>
      <c r="C553"/>
      <c r="D553"/>
      <c r="E553"/>
      <c r="AC553" s="27" t="s">
        <v>8</v>
      </c>
      <c r="AD553" s="27" t="s">
        <v>7</v>
      </c>
      <c r="AE553" s="27" t="s">
        <v>8</v>
      </c>
    </row>
    <row r="554" spans="1:31" x14ac:dyDescent="0.25">
      <c r="A554" s="7">
        <v>1.9222314039431532</v>
      </c>
      <c r="B554"/>
      <c r="C554"/>
      <c r="D554"/>
      <c r="E554"/>
      <c r="AC554" s="27" t="s">
        <v>8</v>
      </c>
      <c r="AD554" s="27" t="s">
        <v>7</v>
      </c>
      <c r="AE554" s="27" t="s">
        <v>8</v>
      </c>
    </row>
    <row r="555" spans="1:31" x14ac:dyDescent="0.25">
      <c r="A555" s="7">
        <v>1.8845405921011305</v>
      </c>
      <c r="B555"/>
      <c r="C555"/>
      <c r="D555"/>
      <c r="E555"/>
      <c r="AA555" s="27" t="s">
        <v>8</v>
      </c>
      <c r="AC555" s="27" t="s">
        <v>8</v>
      </c>
      <c r="AD555" s="27" t="s">
        <v>7</v>
      </c>
      <c r="AE555" s="27" t="s">
        <v>8</v>
      </c>
    </row>
    <row r="556" spans="1:31" x14ac:dyDescent="0.25">
      <c r="A556" s="7">
        <v>1.8475888157854219</v>
      </c>
      <c r="B556"/>
      <c r="C556"/>
      <c r="D556"/>
      <c r="E556"/>
      <c r="AA556" s="27" t="s">
        <v>8</v>
      </c>
      <c r="AB556" s="27" t="s">
        <v>7</v>
      </c>
      <c r="AC556" s="27" t="s">
        <v>8</v>
      </c>
      <c r="AD556" s="27" t="s">
        <v>7</v>
      </c>
      <c r="AE556" s="27" t="s">
        <v>8</v>
      </c>
    </row>
    <row r="557" spans="1:31" x14ac:dyDescent="0.25">
      <c r="A557" s="7">
        <v>1.8113615841033548</v>
      </c>
      <c r="B557"/>
      <c r="C557"/>
      <c r="D557"/>
      <c r="E557"/>
      <c r="AA557" s="27" t="s">
        <v>8</v>
      </c>
      <c r="AB557" s="27" t="s">
        <v>7</v>
      </c>
      <c r="AC557" s="27" t="s">
        <v>8</v>
      </c>
      <c r="AD557" s="27" t="s">
        <v>7</v>
      </c>
      <c r="AE557" s="27" t="s">
        <v>8</v>
      </c>
    </row>
    <row r="558" spans="1:31" x14ac:dyDescent="0.25">
      <c r="A558" s="7">
        <v>1.7758446902974065</v>
      </c>
      <c r="B558"/>
      <c r="C558"/>
      <c r="D558"/>
      <c r="E558"/>
      <c r="AA558" s="27" t="s">
        <v>8</v>
      </c>
      <c r="AB558" s="27" t="s">
        <v>7</v>
      </c>
      <c r="AC558" s="27" t="s">
        <v>8</v>
      </c>
      <c r="AD558" s="27" t="s">
        <v>7</v>
      </c>
    </row>
    <row r="559" spans="1:31" x14ac:dyDescent="0.25">
      <c r="A559" s="7">
        <v>1.7410242061739281</v>
      </c>
      <c r="B559"/>
      <c r="C559"/>
      <c r="D559"/>
      <c r="E559"/>
      <c r="AA559" s="27" t="s">
        <v>8</v>
      </c>
      <c r="AB559" s="27" t="s">
        <v>7</v>
      </c>
      <c r="AC559" s="27" t="s">
        <v>8</v>
      </c>
    </row>
    <row r="560" spans="1:31" x14ac:dyDescent="0.25">
      <c r="A560" s="7">
        <v>1.7068864766411058</v>
      </c>
      <c r="B560"/>
      <c r="C560"/>
      <c r="D560"/>
      <c r="E560"/>
      <c r="AA560" s="27" t="s">
        <v>8</v>
      </c>
      <c r="AB560" s="27" t="s">
        <v>7</v>
      </c>
      <c r="AC560" s="27" t="s">
        <v>8</v>
      </c>
    </row>
    <row r="561" spans="1:29" x14ac:dyDescent="0.25">
      <c r="A561" s="7">
        <v>1.6734181143540252</v>
      </c>
      <c r="B561"/>
      <c r="C561"/>
      <c r="D561"/>
      <c r="E561"/>
      <c r="Q561" s="27" t="s">
        <v>8</v>
      </c>
      <c r="AA561" s="27" t="s">
        <v>8</v>
      </c>
      <c r="AB561" s="27" t="s">
        <v>7</v>
      </c>
      <c r="AC561" s="27" t="s">
        <v>8</v>
      </c>
    </row>
    <row r="562" spans="1:29" x14ac:dyDescent="0.25">
      <c r="A562" s="7">
        <v>1.6406059944647307</v>
      </c>
      <c r="B562"/>
      <c r="C562"/>
      <c r="D562"/>
      <c r="E562"/>
      <c r="Q562" s="27" t="s">
        <v>8</v>
      </c>
      <c r="R562" s="27" t="s">
        <v>7</v>
      </c>
      <c r="AA562" s="27" t="s">
        <v>8</v>
      </c>
      <c r="AB562" s="27" t="s">
        <v>7</v>
      </c>
      <c r="AC562" s="27" t="s">
        <v>8</v>
      </c>
    </row>
    <row r="563" spans="1:29" x14ac:dyDescent="0.25">
      <c r="A563" s="7">
        <v>1.6084372494752261</v>
      </c>
      <c r="B563"/>
      <c r="C563"/>
      <c r="D563"/>
      <c r="E563"/>
      <c r="Q563" s="27" t="s">
        <v>8</v>
      </c>
      <c r="R563" s="27" t="s">
        <v>7</v>
      </c>
      <c r="AA563" s="27" t="s">
        <v>8</v>
      </c>
      <c r="AB563" s="27" t="s">
        <v>7</v>
      </c>
      <c r="AC563" s="27" t="s">
        <v>8</v>
      </c>
    </row>
    <row r="564" spans="1:29" x14ac:dyDescent="0.25">
      <c r="A564" s="7">
        <v>1.5768992641913981</v>
      </c>
      <c r="B564"/>
      <c r="C564"/>
      <c r="D564"/>
      <c r="E564"/>
      <c r="Q564" s="27" t="s">
        <v>8</v>
      </c>
      <c r="R564" s="27" t="s">
        <v>7</v>
      </c>
      <c r="AA564" s="27" t="s">
        <v>8</v>
      </c>
      <c r="AB564" s="27" t="s">
        <v>7</v>
      </c>
      <c r="AC564" s="27" t="s">
        <v>8</v>
      </c>
    </row>
    <row r="565" spans="1:29" x14ac:dyDescent="0.25">
      <c r="A565" s="7">
        <v>1.5459796707758806</v>
      </c>
      <c r="B565"/>
      <c r="C565"/>
      <c r="D565"/>
      <c r="E565"/>
      <c r="Q565" s="27" t="s">
        <v>8</v>
      </c>
      <c r="R565" s="27" t="s">
        <v>7</v>
      </c>
      <c r="Y565" s="27" t="s">
        <v>8</v>
      </c>
      <c r="AA565" s="27" t="s">
        <v>8</v>
      </c>
      <c r="AB565" s="27" t="s">
        <v>7</v>
      </c>
    </row>
    <row r="566" spans="1:29" x14ac:dyDescent="0.25">
      <c r="A566" s="7">
        <v>1.5156663438979221</v>
      </c>
      <c r="B566"/>
      <c r="C566"/>
      <c r="D566"/>
      <c r="E566"/>
      <c r="Q566" s="27" t="s">
        <v>8</v>
      </c>
      <c r="R566" s="27" t="s">
        <v>7</v>
      </c>
      <c r="S566" s="27" t="s">
        <v>8</v>
      </c>
      <c r="Y566" s="27" t="s">
        <v>8</v>
      </c>
      <c r="Z566" s="27" t="s">
        <v>7</v>
      </c>
      <c r="AA566" s="27" t="s">
        <v>8</v>
      </c>
    </row>
    <row r="567" spans="1:29" x14ac:dyDescent="0.25">
      <c r="A567" s="7">
        <v>1.4859473959783549</v>
      </c>
      <c r="B567"/>
      <c r="C567"/>
      <c r="D567"/>
      <c r="E567"/>
      <c r="Q567" s="27" t="s">
        <v>8</v>
      </c>
      <c r="R567" s="27" t="s">
        <v>7</v>
      </c>
      <c r="S567" s="27" t="s">
        <v>8</v>
      </c>
      <c r="T567" s="27" t="s">
        <v>7</v>
      </c>
      <c r="U567" s="27" t="s">
        <v>8</v>
      </c>
      <c r="Y567" s="27" t="s">
        <v>8</v>
      </c>
      <c r="Z567" s="27" t="s">
        <v>7</v>
      </c>
      <c r="AA567" s="27" t="s">
        <v>8</v>
      </c>
    </row>
    <row r="568" spans="1:29" x14ac:dyDescent="0.25">
      <c r="A568" s="7">
        <v>1.4568111725277988</v>
      </c>
      <c r="B568"/>
      <c r="C568"/>
      <c r="D568"/>
      <c r="E568"/>
      <c r="Q568" s="27" t="s">
        <v>8</v>
      </c>
      <c r="R568" s="27" t="s">
        <v>7</v>
      </c>
      <c r="S568" s="27" t="s">
        <v>8</v>
      </c>
      <c r="T568" s="27" t="s">
        <v>7</v>
      </c>
      <c r="U568" s="27" t="s">
        <v>8</v>
      </c>
      <c r="V568" s="27" t="s">
        <v>7</v>
      </c>
      <c r="Y568" s="27" t="s">
        <v>8</v>
      </c>
      <c r="Z568" s="27" t="s">
        <v>7</v>
      </c>
      <c r="AA568" s="27" t="s">
        <v>8</v>
      </c>
    </row>
    <row r="569" spans="1:29" x14ac:dyDescent="0.25">
      <c r="A569" s="7">
        <v>1.4282462475762734</v>
      </c>
      <c r="B569"/>
      <c r="C569"/>
      <c r="D569"/>
      <c r="E569"/>
      <c r="Q569" s="27" t="s">
        <v>8</v>
      </c>
      <c r="R569" s="27" t="s">
        <v>7</v>
      </c>
      <c r="S569" s="27" t="s">
        <v>8</v>
      </c>
      <c r="T569" s="27" t="s">
        <v>7</v>
      </c>
      <c r="U569" s="27" t="s">
        <v>8</v>
      </c>
      <c r="V569" s="27" t="s">
        <v>7</v>
      </c>
      <c r="Y569" s="27" t="s">
        <v>8</v>
      </c>
      <c r="Z569" s="27" t="s">
        <v>7</v>
      </c>
      <c r="AA569" s="27" t="s">
        <v>8</v>
      </c>
    </row>
    <row r="570" spans="1:29" x14ac:dyDescent="0.25">
      <c r="A570" s="7">
        <v>1.4002414191924248</v>
      </c>
      <c r="B570"/>
      <c r="C570"/>
      <c r="D570"/>
      <c r="E570"/>
      <c r="Q570" s="27" t="s">
        <v>8</v>
      </c>
      <c r="R570" s="27" t="s">
        <v>7</v>
      </c>
      <c r="S570" s="27" t="s">
        <v>8</v>
      </c>
      <c r="T570" s="27" t="s">
        <v>7</v>
      </c>
      <c r="U570" s="27" t="s">
        <v>8</v>
      </c>
      <c r="V570" s="27" t="s">
        <v>7</v>
      </c>
      <c r="Y570" s="27" t="s">
        <v>8</v>
      </c>
      <c r="Z570" s="27" t="s">
        <v>7</v>
      </c>
      <c r="AA570" s="27" t="s">
        <v>8</v>
      </c>
    </row>
    <row r="571" spans="1:29" x14ac:dyDescent="0.25">
      <c r="A571" s="7">
        <v>1.3727857050906125</v>
      </c>
      <c r="B571"/>
      <c r="C571"/>
      <c r="D571"/>
      <c r="E571"/>
      <c r="Q571" s="27" t="s">
        <v>8</v>
      </c>
      <c r="R571" s="27" t="s">
        <v>7</v>
      </c>
      <c r="S571" s="27" t="s">
        <v>8</v>
      </c>
      <c r="T571" s="27" t="s">
        <v>7</v>
      </c>
      <c r="U571" s="27" t="s">
        <v>8</v>
      </c>
      <c r="V571" s="27" t="s">
        <v>7</v>
      </c>
      <c r="Y571" s="27" t="s">
        <v>8</v>
      </c>
      <c r="Z571" s="27" t="s">
        <v>7</v>
      </c>
    </row>
    <row r="572" spans="1:29" x14ac:dyDescent="0.25">
      <c r="A572" s="7">
        <v>1.3458683383241299</v>
      </c>
      <c r="B572"/>
      <c r="C572"/>
      <c r="D572"/>
      <c r="E572"/>
      <c r="Q572" s="27" t="s">
        <v>8</v>
      </c>
      <c r="R572" s="27" t="s">
        <v>7</v>
      </c>
      <c r="S572" s="27" t="s">
        <v>8</v>
      </c>
      <c r="T572" s="27" t="s">
        <v>7</v>
      </c>
      <c r="U572" s="27" t="s">
        <v>8</v>
      </c>
      <c r="V572" s="27" t="s">
        <v>7</v>
      </c>
      <c r="Y572" s="27" t="s">
        <v>8</v>
      </c>
    </row>
    <row r="573" spans="1:29" x14ac:dyDescent="0.25">
      <c r="A573" s="7">
        <v>1.3194787630628724</v>
      </c>
      <c r="B573"/>
      <c r="C573"/>
      <c r="D573"/>
      <c r="E573"/>
      <c r="Q573" s="27" t="s">
        <v>8</v>
      </c>
      <c r="R573" s="27" t="s">
        <v>7</v>
      </c>
      <c r="S573" s="27" t="s">
        <v>8</v>
      </c>
      <c r="T573" s="27" t="s">
        <v>7</v>
      </c>
      <c r="U573" s="27" t="s">
        <v>8</v>
      </c>
      <c r="V573" s="27" t="s">
        <v>7</v>
      </c>
      <c r="Y573" s="27" t="s">
        <v>8</v>
      </c>
    </row>
    <row r="574" spans="1:29" x14ac:dyDescent="0.25">
      <c r="A574" s="7">
        <v>1.2936066304537963</v>
      </c>
      <c r="B574"/>
      <c r="C574"/>
      <c r="D574"/>
      <c r="E574"/>
      <c r="Q574" s="27" t="s">
        <v>8</v>
      </c>
      <c r="R574" s="27" t="s">
        <v>7</v>
      </c>
      <c r="S574" s="27" t="s">
        <v>8</v>
      </c>
      <c r="T574" s="27" t="s">
        <v>7</v>
      </c>
      <c r="U574" s="27" t="s">
        <v>8</v>
      </c>
      <c r="V574" s="27" t="s">
        <v>7</v>
      </c>
      <c r="Y574" s="27" t="s">
        <v>8</v>
      </c>
    </row>
    <row r="575" spans="1:29" x14ac:dyDescent="0.25">
      <c r="A575" s="7">
        <v>1.2682417945625455</v>
      </c>
      <c r="B575"/>
      <c r="C575"/>
      <c r="D575"/>
      <c r="E575"/>
      <c r="Q575" s="27" t="s">
        <v>8</v>
      </c>
      <c r="R575" s="27" t="s">
        <v>7</v>
      </c>
      <c r="S575" s="27" t="s">
        <v>8</v>
      </c>
      <c r="T575" s="27" t="s">
        <v>7</v>
      </c>
      <c r="U575" s="27" t="s">
        <v>8</v>
      </c>
      <c r="V575" s="27" t="s">
        <v>7</v>
      </c>
      <c r="Y575" s="27" t="s">
        <v>8</v>
      </c>
    </row>
    <row r="576" spans="1:29" x14ac:dyDescent="0.25">
      <c r="A576" s="7">
        <v>1.2433743083946525</v>
      </c>
      <c r="B576"/>
      <c r="C576"/>
      <c r="D576"/>
      <c r="E576"/>
      <c r="Q576" s="27" t="s">
        <v>8</v>
      </c>
      <c r="R576" s="27" t="s">
        <v>7</v>
      </c>
      <c r="S576" s="27" t="s">
        <v>8</v>
      </c>
      <c r="T576" s="27" t="s">
        <v>7</v>
      </c>
      <c r="V576" s="27" t="s">
        <v>7</v>
      </c>
      <c r="Y576" s="27" t="s">
        <v>8</v>
      </c>
    </row>
    <row r="577" spans="1:25" x14ac:dyDescent="0.25">
      <c r="A577" s="7">
        <v>1.2189944199947573</v>
      </c>
      <c r="B577"/>
      <c r="C577"/>
      <c r="D577"/>
      <c r="E577"/>
      <c r="G577" s="27" t="s">
        <v>8</v>
      </c>
      <c r="Q577" s="27" t="s">
        <v>8</v>
      </c>
      <c r="R577" s="27" t="s">
        <v>7</v>
      </c>
      <c r="V577" s="27" t="s">
        <v>7</v>
      </c>
      <c r="Y577" s="27" t="s">
        <v>8</v>
      </c>
    </row>
    <row r="578" spans="1:25" x14ac:dyDescent="0.25">
      <c r="A578" s="7">
        <v>1.1950925686223111</v>
      </c>
      <c r="B578"/>
      <c r="C578"/>
      <c r="D578"/>
      <c r="E578"/>
      <c r="G578" s="27" t="s">
        <v>8</v>
      </c>
      <c r="H578" s="27" t="s">
        <v>7</v>
      </c>
      <c r="Q578" s="27" t="s">
        <v>8</v>
      </c>
      <c r="V578" s="27" t="s">
        <v>7</v>
      </c>
      <c r="Y578" s="27" t="s">
        <v>8</v>
      </c>
    </row>
    <row r="579" spans="1:25" x14ac:dyDescent="0.25">
      <c r="A579" s="7">
        <v>1.1716593810022657</v>
      </c>
      <c r="B579"/>
      <c r="C579"/>
      <c r="D579"/>
      <c r="E579"/>
      <c r="G579" s="27" t="s">
        <v>8</v>
      </c>
      <c r="H579" s="27" t="s">
        <v>7</v>
      </c>
      <c r="Q579" s="27" t="s">
        <v>8</v>
      </c>
      <c r="V579" s="27" t="s">
        <v>7</v>
      </c>
      <c r="W579" s="27" t="s">
        <v>8</v>
      </c>
      <c r="Y579" s="27" t="s">
        <v>8</v>
      </c>
    </row>
    <row r="580" spans="1:25" x14ac:dyDescent="0.25">
      <c r="A580" s="7">
        <v>1.14868566764928</v>
      </c>
      <c r="B580"/>
      <c r="C580"/>
      <c r="D580"/>
      <c r="E580"/>
      <c r="G580" s="27" t="s">
        <v>8</v>
      </c>
      <c r="H580" s="27" t="s">
        <v>7</v>
      </c>
      <c r="Q580" s="27" t="s">
        <v>8</v>
      </c>
      <c r="V580" s="27" t="s">
        <v>7</v>
      </c>
      <c r="W580" s="27" t="s">
        <v>8</v>
      </c>
      <c r="X580" s="27" t="s">
        <v>7</v>
      </c>
      <c r="Y580" s="27" t="s">
        <v>8</v>
      </c>
    </row>
    <row r="581" spans="1:25" x14ac:dyDescent="0.25">
      <c r="A581" s="7">
        <v>1.1261624192640001</v>
      </c>
      <c r="B581"/>
      <c r="C581"/>
      <c r="D581"/>
      <c r="E581"/>
      <c r="G581" s="27" t="s">
        <v>8</v>
      </c>
      <c r="H581" s="27" t="s">
        <v>7</v>
      </c>
      <c r="Q581" s="27" t="s">
        <v>8</v>
      </c>
      <c r="V581" s="27" t="s">
        <v>7</v>
      </c>
      <c r="W581" s="27" t="s">
        <v>8</v>
      </c>
      <c r="X581" s="27" t="s">
        <v>7</v>
      </c>
      <c r="Y581" s="27" t="s">
        <v>8</v>
      </c>
    </row>
    <row r="582" spans="1:25" x14ac:dyDescent="0.25">
      <c r="A582" s="7">
        <v>1.1040808032</v>
      </c>
      <c r="B582"/>
      <c r="C582"/>
      <c r="D582"/>
      <c r="E582"/>
      <c r="G582" s="27" t="s">
        <v>8</v>
      </c>
      <c r="H582" s="27" t="s">
        <v>7</v>
      </c>
      <c r="Q582" s="27" t="s">
        <v>8</v>
      </c>
      <c r="V582" s="27" t="s">
        <v>7</v>
      </c>
      <c r="W582" s="27" t="s">
        <v>8</v>
      </c>
      <c r="X582" s="27" t="s">
        <v>7</v>
      </c>
      <c r="Y582" s="27" t="s">
        <v>8</v>
      </c>
    </row>
    <row r="583" spans="1:25" x14ac:dyDescent="0.25">
      <c r="A583" s="7">
        <v>1.08243216</v>
      </c>
      <c r="B583"/>
      <c r="C583"/>
      <c r="D583"/>
      <c r="E583"/>
      <c r="G583" s="27" t="s">
        <v>8</v>
      </c>
      <c r="H583" s="27" t="s">
        <v>7</v>
      </c>
      <c r="Q583" s="27" t="s">
        <v>8</v>
      </c>
      <c r="V583" s="27" t="s">
        <v>7</v>
      </c>
      <c r="W583" s="27" t="s">
        <v>8</v>
      </c>
      <c r="X583" s="27" t="s">
        <v>7</v>
      </c>
    </row>
    <row r="584" spans="1:25" x14ac:dyDescent="0.25">
      <c r="A584" s="7">
        <v>1.0612079999999999</v>
      </c>
      <c r="B584"/>
      <c r="C584"/>
      <c r="D584"/>
      <c r="E584"/>
      <c r="G584" s="27" t="s">
        <v>8</v>
      </c>
      <c r="H584" s="27" t="s">
        <v>7</v>
      </c>
      <c r="O584" s="27" t="s">
        <v>8</v>
      </c>
      <c r="Q584" s="27" t="s">
        <v>8</v>
      </c>
      <c r="V584" s="27" t="s">
        <v>7</v>
      </c>
      <c r="W584" s="27" t="s">
        <v>8</v>
      </c>
    </row>
    <row r="585" spans="1:25" x14ac:dyDescent="0.25">
      <c r="A585" s="7">
        <v>1.0404</v>
      </c>
      <c r="B585"/>
      <c r="C585"/>
      <c r="D585"/>
      <c r="E585"/>
      <c r="G585" s="27" t="s">
        <v>8</v>
      </c>
      <c r="H585" s="27" t="s">
        <v>7</v>
      </c>
      <c r="O585" s="27" t="s">
        <v>8</v>
      </c>
      <c r="P585" s="27" t="s">
        <v>7</v>
      </c>
      <c r="Q585" s="27" t="s">
        <v>8</v>
      </c>
      <c r="V585" s="27" t="s">
        <v>7</v>
      </c>
      <c r="W585" s="27" t="s">
        <v>8</v>
      </c>
    </row>
    <row r="586" spans="1:25" x14ac:dyDescent="0.25">
      <c r="A586" s="7">
        <v>1.02</v>
      </c>
      <c r="B586"/>
      <c r="C586"/>
      <c r="D586"/>
      <c r="E586"/>
      <c r="G586" s="27" t="s">
        <v>8</v>
      </c>
      <c r="H586" s="27" t="s">
        <v>7</v>
      </c>
      <c r="O586" s="27" t="s">
        <v>8</v>
      </c>
      <c r="P586" s="27" t="s">
        <v>7</v>
      </c>
      <c r="Q586" s="27" t="s">
        <v>8</v>
      </c>
      <c r="V586" s="27" t="s">
        <v>7</v>
      </c>
      <c r="W586" s="27" t="s">
        <v>8</v>
      </c>
    </row>
    <row r="587" spans="1:25" x14ac:dyDescent="0.25">
      <c r="A587" s="7">
        <v>1</v>
      </c>
      <c r="B587"/>
      <c r="C587"/>
      <c r="D587"/>
      <c r="E587" s="29" t="s">
        <v>8</v>
      </c>
      <c r="G587" s="27" t="s">
        <v>8</v>
      </c>
      <c r="H587" s="27" t="s">
        <v>7</v>
      </c>
      <c r="O587" s="27" t="s">
        <v>8</v>
      </c>
      <c r="P587" s="27" t="s">
        <v>7</v>
      </c>
      <c r="Q587" s="27" t="s">
        <v>8</v>
      </c>
      <c r="V587" s="27" t="s">
        <v>7</v>
      </c>
      <c r="W587" s="27" t="s">
        <v>8</v>
      </c>
    </row>
    <row r="588" spans="1:25" x14ac:dyDescent="0.25">
      <c r="A588" s="7">
        <v>0.98039215686274506</v>
      </c>
      <c r="B588"/>
      <c r="C588"/>
      <c r="D588"/>
      <c r="E588"/>
      <c r="F588" s="27" t="s">
        <v>7</v>
      </c>
      <c r="G588" s="27" t="s">
        <v>8</v>
      </c>
      <c r="H588" s="27" t="s">
        <v>7</v>
      </c>
      <c r="O588" s="27" t="s">
        <v>8</v>
      </c>
      <c r="P588" s="27" t="s">
        <v>7</v>
      </c>
      <c r="Q588" s="27" t="s">
        <v>8</v>
      </c>
      <c r="V588" s="27" t="s">
        <v>7</v>
      </c>
      <c r="W588" s="27" t="s">
        <v>8</v>
      </c>
    </row>
    <row r="589" spans="1:25" x14ac:dyDescent="0.25">
      <c r="A589" s="7">
        <v>0.96116878123798544</v>
      </c>
      <c r="B589"/>
      <c r="C589"/>
      <c r="D589"/>
      <c r="E589"/>
      <c r="F589" s="27" t="s">
        <v>7</v>
      </c>
      <c r="G589" s="27" t="s">
        <v>8</v>
      </c>
      <c r="H589" s="27" t="s">
        <v>7</v>
      </c>
      <c r="O589" s="27" t="s">
        <v>8</v>
      </c>
      <c r="P589" s="27" t="s">
        <v>7</v>
      </c>
      <c r="Q589" s="27" t="s">
        <v>8</v>
      </c>
      <c r="V589" s="27" t="s">
        <v>7</v>
      </c>
    </row>
    <row r="590" spans="1:25" x14ac:dyDescent="0.25">
      <c r="A590" s="7">
        <v>0.94232233454704462</v>
      </c>
      <c r="B590"/>
      <c r="C590"/>
      <c r="D590"/>
      <c r="E590"/>
      <c r="F590" s="27" t="s">
        <v>7</v>
      </c>
      <c r="G590" s="27" t="s">
        <v>8</v>
      </c>
      <c r="H590" s="27" t="s">
        <v>7</v>
      </c>
      <c r="O590" s="27" t="s">
        <v>8</v>
      </c>
      <c r="P590" s="27" t="s">
        <v>7</v>
      </c>
      <c r="Q590" s="27" t="s">
        <v>8</v>
      </c>
    </row>
    <row r="591" spans="1:25" x14ac:dyDescent="0.25">
      <c r="A591" s="7">
        <v>0.92384542602651432</v>
      </c>
      <c r="B591"/>
      <c r="C591"/>
      <c r="D591"/>
      <c r="E591"/>
      <c r="F591" s="27" t="s">
        <v>7</v>
      </c>
      <c r="G591" s="27" t="s">
        <v>8</v>
      </c>
      <c r="H591" s="27" t="s">
        <v>7</v>
      </c>
      <c r="O591" s="27" t="s">
        <v>8</v>
      </c>
      <c r="P591" s="27" t="s">
        <v>7</v>
      </c>
      <c r="Q591" s="27" t="s">
        <v>8</v>
      </c>
    </row>
    <row r="592" spans="1:25" x14ac:dyDescent="0.25">
      <c r="A592" s="7">
        <v>0.90573080982991594</v>
      </c>
      <c r="B592"/>
      <c r="C592"/>
      <c r="D592"/>
      <c r="E592"/>
      <c r="F592" s="27" t="s">
        <v>7</v>
      </c>
      <c r="G592" s="27" t="s">
        <v>8</v>
      </c>
      <c r="H592" s="27" t="s">
        <v>7</v>
      </c>
      <c r="M592" s="27" t="s">
        <v>8</v>
      </c>
      <c r="O592" s="27" t="s">
        <v>8</v>
      </c>
      <c r="P592" s="27" t="s">
        <v>7</v>
      </c>
      <c r="Q592" s="27" t="s">
        <v>8</v>
      </c>
    </row>
    <row r="593" spans="1:16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H593" s="27" t="s">
        <v>7</v>
      </c>
      <c r="M593" s="27" t="s">
        <v>8</v>
      </c>
      <c r="N593" s="27" t="s">
        <v>7</v>
      </c>
      <c r="O593" s="27" t="s">
        <v>8</v>
      </c>
      <c r="P593" s="27" t="s">
        <v>7</v>
      </c>
    </row>
    <row r="594" spans="1:16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H594" s="27" t="s">
        <v>7</v>
      </c>
      <c r="M594" s="27" t="s">
        <v>8</v>
      </c>
      <c r="N594" s="27" t="s">
        <v>7</v>
      </c>
      <c r="O594" s="27" t="s">
        <v>8</v>
      </c>
    </row>
    <row r="595" spans="1:16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M595" s="27" t="s">
        <v>8</v>
      </c>
      <c r="N595" s="27" t="s">
        <v>7</v>
      </c>
      <c r="O595" s="27" t="s">
        <v>8</v>
      </c>
    </row>
    <row r="596" spans="1:16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M596" s="27" t="s">
        <v>8</v>
      </c>
      <c r="N596" s="27" t="s">
        <v>7</v>
      </c>
      <c r="O596" s="27" t="s">
        <v>8</v>
      </c>
    </row>
    <row r="597" spans="1:16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M597" s="27" t="s">
        <v>8</v>
      </c>
      <c r="N597" s="27" t="s">
        <v>7</v>
      </c>
      <c r="O597" s="27" t="s">
        <v>8</v>
      </c>
    </row>
    <row r="598" spans="1:16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I598" s="27" t="s">
        <v>8</v>
      </c>
      <c r="M598" s="27" t="s">
        <v>8</v>
      </c>
      <c r="N598" s="27" t="s">
        <v>7</v>
      </c>
      <c r="O598" s="27" t="s">
        <v>8</v>
      </c>
    </row>
    <row r="599" spans="1:16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I599" s="27" t="s">
        <v>8</v>
      </c>
      <c r="J599" s="27" t="s">
        <v>7</v>
      </c>
      <c r="M599" s="27" t="s">
        <v>8</v>
      </c>
      <c r="N599" s="27" t="s">
        <v>7</v>
      </c>
      <c r="O599" s="27" t="s">
        <v>8</v>
      </c>
    </row>
    <row r="600" spans="1:16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I600" s="27" t="s">
        <v>8</v>
      </c>
      <c r="J600" s="27" t="s">
        <v>7</v>
      </c>
      <c r="M600" s="27" t="s">
        <v>8</v>
      </c>
      <c r="N600" s="27" t="s">
        <v>7</v>
      </c>
    </row>
    <row r="601" spans="1:16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I601" s="27" t="s">
        <v>8</v>
      </c>
      <c r="J601" s="27" t="s">
        <v>7</v>
      </c>
      <c r="M601" s="27" t="s">
        <v>8</v>
      </c>
    </row>
    <row r="602" spans="1:16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I602" s="27" t="s">
        <v>8</v>
      </c>
      <c r="J602" s="27" t="s">
        <v>7</v>
      </c>
      <c r="K602" s="27" t="s">
        <v>8</v>
      </c>
      <c r="M602" s="27" t="s">
        <v>8</v>
      </c>
    </row>
    <row r="603" spans="1:16" x14ac:dyDescent="0.25">
      <c r="A603" s="7">
        <v>0.72844581371423456</v>
      </c>
      <c r="B603"/>
      <c r="C603"/>
      <c r="D603"/>
      <c r="E603"/>
      <c r="F603" s="27" t="s">
        <v>7</v>
      </c>
      <c r="H603" s="27" t="s">
        <v>7</v>
      </c>
      <c r="I603" s="27" t="s">
        <v>8</v>
      </c>
      <c r="J603" s="27" t="s">
        <v>7</v>
      </c>
      <c r="K603" s="27" t="s">
        <v>8</v>
      </c>
      <c r="L603" s="27" t="s">
        <v>7</v>
      </c>
      <c r="M603" s="27" t="s">
        <v>8</v>
      </c>
    </row>
    <row r="604" spans="1:16" x14ac:dyDescent="0.25">
      <c r="A604" s="7">
        <v>0.71416256246493581</v>
      </c>
      <c r="B604"/>
      <c r="C604"/>
      <c r="D604"/>
      <c r="E604"/>
      <c r="H604" s="27" t="s">
        <v>7</v>
      </c>
      <c r="I604" s="27" t="s">
        <v>8</v>
      </c>
      <c r="J604" s="27" t="s">
        <v>7</v>
      </c>
      <c r="K604" s="27" t="s">
        <v>8</v>
      </c>
      <c r="L604" s="27" t="s">
        <v>7</v>
      </c>
      <c r="M604" s="27" t="s">
        <v>8</v>
      </c>
    </row>
    <row r="605" spans="1:16" x14ac:dyDescent="0.25">
      <c r="A605" s="7">
        <v>0.7001593749656233</v>
      </c>
      <c r="B605"/>
      <c r="C605"/>
      <c r="D605"/>
      <c r="E605"/>
      <c r="H605" s="27" t="s">
        <v>7</v>
      </c>
      <c r="I605" s="27" t="s">
        <v>8</v>
      </c>
      <c r="J605" s="27" t="s">
        <v>7</v>
      </c>
      <c r="K605" s="27" t="s">
        <v>8</v>
      </c>
      <c r="L605" s="27" t="s">
        <v>7</v>
      </c>
      <c r="M605" s="27" t="s">
        <v>8</v>
      </c>
    </row>
    <row r="606" spans="1:16" x14ac:dyDescent="0.25">
      <c r="A606" s="7">
        <v>0.68643075977021883</v>
      </c>
      <c r="B606"/>
      <c r="C606"/>
      <c r="D606"/>
      <c r="E606"/>
      <c r="H606" s="27" t="s">
        <v>7</v>
      </c>
      <c r="I606" s="27" t="s">
        <v>8</v>
      </c>
      <c r="J606" s="27" t="s">
        <v>7</v>
      </c>
      <c r="K606" s="27" t="s">
        <v>8</v>
      </c>
      <c r="L606" s="27" t="s">
        <v>7</v>
      </c>
      <c r="M606" s="27" t="s">
        <v>8</v>
      </c>
    </row>
    <row r="607" spans="1:16" x14ac:dyDescent="0.25">
      <c r="A607" s="7">
        <v>0.67297133310805768</v>
      </c>
      <c r="B607"/>
      <c r="C607"/>
      <c r="D607"/>
      <c r="E607"/>
      <c r="H607" s="27" t="s">
        <v>7</v>
      </c>
      <c r="I607" s="27" t="s">
        <v>8</v>
      </c>
      <c r="J607" s="27" t="s">
        <v>7</v>
      </c>
      <c r="K607" s="27" t="s">
        <v>8</v>
      </c>
      <c r="L607" s="27" t="s">
        <v>7</v>
      </c>
    </row>
    <row r="608" spans="1:16" x14ac:dyDescent="0.25">
      <c r="A608" s="7">
        <v>0.65977581677260566</v>
      </c>
      <c r="B608"/>
      <c r="C608"/>
      <c r="D608"/>
      <c r="E608"/>
      <c r="H608" s="27" t="s">
        <v>7</v>
      </c>
      <c r="J608" s="27" t="s">
        <v>7</v>
      </c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69" operator="equal">
      <formula>$U$1</formula>
    </cfRule>
    <cfRule type="cellIs" dxfId="89" priority="870" operator="equal">
      <formula>$S$1</formula>
    </cfRule>
  </conditionalFormatting>
  <conditionalFormatting sqref="D27">
    <cfRule type="cellIs" dxfId="88" priority="867" operator="equal">
      <formula>$S$1</formula>
    </cfRule>
    <cfRule type="cellIs" dxfId="87" priority="868" operator="equal">
      <formula>$U$1</formula>
    </cfRule>
  </conditionalFormatting>
  <conditionalFormatting sqref="C164">
    <cfRule type="cellIs" dxfId="86" priority="865" operator="equal">
      <formula>$U$1</formula>
    </cfRule>
    <cfRule type="cellIs" dxfId="85" priority="866" operator="equal">
      <formula>$S$1</formula>
    </cfRule>
  </conditionalFormatting>
  <conditionalFormatting sqref="D164">
    <cfRule type="cellIs" dxfId="84" priority="863" operator="equal">
      <formula>$S$1</formula>
    </cfRule>
    <cfRule type="cellIs" dxfId="83" priority="864" operator="equal">
      <formula>$U$1</formula>
    </cfRule>
  </conditionalFormatting>
  <conditionalFormatting sqref="C55">
    <cfRule type="cellIs" dxfId="82" priority="861" operator="equal">
      <formula>$U$1</formula>
    </cfRule>
    <cfRule type="cellIs" dxfId="81" priority="862" operator="equal">
      <formula>$S$1</formula>
    </cfRule>
  </conditionalFormatting>
  <conditionalFormatting sqref="D55">
    <cfRule type="cellIs" dxfId="80" priority="859" operator="equal">
      <formula>$S$1</formula>
    </cfRule>
    <cfRule type="cellIs" dxfId="79" priority="860" operator="equal">
      <formula>$U$1</formula>
    </cfRule>
  </conditionalFormatting>
  <conditionalFormatting sqref="C89">
    <cfRule type="cellIs" dxfId="78" priority="857" operator="equal">
      <formula>$U$1</formula>
    </cfRule>
    <cfRule type="cellIs" dxfId="77" priority="858" operator="equal">
      <formula>$S$1</formula>
    </cfRule>
  </conditionalFormatting>
  <conditionalFormatting sqref="D89">
    <cfRule type="cellIs" dxfId="76" priority="855" operator="equal">
      <formula>$S$1</formula>
    </cfRule>
    <cfRule type="cellIs" dxfId="75" priority="856" operator="equal">
      <formula>$U$1</formula>
    </cfRule>
  </conditionalFormatting>
  <conditionalFormatting sqref="C136">
    <cfRule type="cellIs" dxfId="74" priority="853" operator="equal">
      <formula>$U$1</formula>
    </cfRule>
    <cfRule type="cellIs" dxfId="73" priority="854" operator="equal">
      <formula>$S$1</formula>
    </cfRule>
  </conditionalFormatting>
  <conditionalFormatting sqref="D136">
    <cfRule type="cellIs" dxfId="72" priority="851" operator="equal">
      <formula>$S$1</formula>
    </cfRule>
    <cfRule type="cellIs" dxfId="71" priority="852" operator="equal">
      <formula>$U$1</formula>
    </cfRule>
  </conditionalFormatting>
  <conditionalFormatting sqref="C1">
    <cfRule type="cellIs" dxfId="70" priority="85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M208" sqref="EM20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$A$207</v>
      </c>
      <c r="D111" s="1" t="str">
        <f>ADDRESS(C121-1,D121,1,1)</f>
        <v>$EM$207</v>
      </c>
      <c r="E111"/>
    </row>
    <row r="112" spans="1:5" x14ac:dyDescent="0.25">
      <c r="A112" s="30">
        <v>515.50191262726139</v>
      </c>
      <c r="C112" s="1" t="str">
        <f>ADDRESS(C121,1,1,1)</f>
        <v>$A$208</v>
      </c>
      <c r="D112" s="1" t="str">
        <f>ADDRESS(C121,D121-1,1,1)</f>
        <v>$EL$208</v>
      </c>
      <c r="E112"/>
    </row>
    <row r="113" spans="1:5" x14ac:dyDescent="0.25">
      <c r="A113" s="30">
        <v>490.95420250215363</v>
      </c>
      <c r="C113" s="1" t="str">
        <f>ADDRESS(C121+1,1,1,1)</f>
        <v>$A$209</v>
      </c>
      <c r="D113" s="1" t="str">
        <f>ADDRESS(C121-1,D121+1,1,1)</f>
        <v>$EN$207</v>
      </c>
    </row>
    <row r="114" spans="1:5" x14ac:dyDescent="0.25">
      <c r="A114" s="30">
        <v>467.57543095443202</v>
      </c>
      <c r="C114" s="1" t="str">
        <f>ADDRESS(C121,D121,1,1)</f>
        <v>$EM$208</v>
      </c>
      <c r="D114" s="1" t="str">
        <f>ADDRESS(C121+1,D121+1,1,1)</f>
        <v>$EN$209</v>
      </c>
    </row>
    <row r="115" spans="1:5" x14ac:dyDescent="0.25">
      <c r="A115" s="30">
        <v>445.30993424231622</v>
      </c>
      <c r="C115" s="1" t="str">
        <f>ADDRESS(C121+1,D121,1,1)</f>
        <v>$EM$209</v>
      </c>
    </row>
    <row r="116" spans="1:5" x14ac:dyDescent="0.25">
      <c r="A116" s="30">
        <v>424.10469927839637</v>
      </c>
      <c r="C116" s="1">
        <f>C117-1</f>
        <v>207</v>
      </c>
    </row>
    <row r="117" spans="1:5" x14ac:dyDescent="0.25">
      <c r="A117" s="30">
        <v>403.9092374079965</v>
      </c>
      <c r="C117" s="1">
        <f>C121</f>
        <v>208</v>
      </c>
      <c r="D117" s="1">
        <f>D121</f>
        <v>143</v>
      </c>
    </row>
    <row r="118" spans="1:5" x14ac:dyDescent="0.25">
      <c r="A118" s="30">
        <v>384.6754641980919</v>
      </c>
      <c r="C118" s="1">
        <f>C117+1</f>
        <v>209</v>
      </c>
      <c r="D118" s="1">
        <f>D117+1</f>
        <v>144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208</v>
      </c>
      <c r="D121" s="19">
        <v>143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R208</v>
      </c>
      <c r="D123" s="1" t="str">
        <f>"C"&amp;D121</f>
        <v>C143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4.7649414686036122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78" x14ac:dyDescent="0.25">
      <c r="A161" s="30">
        <v>47.201372444612005</v>
      </c>
      <c r="E161"/>
    </row>
    <row r="162" spans="1:78" x14ac:dyDescent="0.25">
      <c r="A162" s="30">
        <v>44.95368804248762</v>
      </c>
      <c r="E162"/>
    </row>
    <row r="163" spans="1:78" x14ac:dyDescent="0.25">
      <c r="A163" s="30">
        <v>42.81303623094059</v>
      </c>
      <c r="E163"/>
    </row>
    <row r="164" spans="1:78" x14ac:dyDescent="0.25">
      <c r="A164" s="30">
        <v>40.774320219943419</v>
      </c>
      <c r="E164"/>
    </row>
    <row r="165" spans="1:78" x14ac:dyDescent="0.25">
      <c r="A165" s="30">
        <v>38.832685923755633</v>
      </c>
      <c r="E165"/>
    </row>
    <row r="166" spans="1:78" x14ac:dyDescent="0.25">
      <c r="A166" s="30">
        <v>36.983510403576794</v>
      </c>
      <c r="E166"/>
    </row>
    <row r="167" spans="1:78" x14ac:dyDescent="0.25">
      <c r="A167" s="30">
        <v>35.222390860549325</v>
      </c>
      <c r="E167"/>
    </row>
    <row r="168" spans="1:78" x14ac:dyDescent="0.25">
      <c r="A168" s="30">
        <v>33.545134152904119</v>
      </c>
      <c r="E168"/>
    </row>
    <row r="169" spans="1:78" x14ac:dyDescent="0.25">
      <c r="A169" s="30">
        <v>31.947746812289637</v>
      </c>
      <c r="E169"/>
    </row>
    <row r="170" spans="1:78" x14ac:dyDescent="0.25">
      <c r="A170" s="30">
        <v>30.426425535513939</v>
      </c>
      <c r="E170"/>
    </row>
    <row r="171" spans="1:78" x14ac:dyDescent="0.25">
      <c r="A171" s="30">
        <v>28.977548129060892</v>
      </c>
      <c r="E171"/>
    </row>
    <row r="172" spans="1:78" x14ac:dyDescent="0.25">
      <c r="A172" s="30">
        <v>27.597664884819896</v>
      </c>
      <c r="E172"/>
    </row>
    <row r="173" spans="1:78" x14ac:dyDescent="0.25">
      <c r="A173" s="30">
        <v>26.283490366495137</v>
      </c>
      <c r="E173"/>
    </row>
    <row r="174" spans="1:78" x14ac:dyDescent="0.25">
      <c r="A174" s="30">
        <v>25.031895587138223</v>
      </c>
      <c r="E174"/>
      <c r="BW174" s="27" t="s">
        <v>8</v>
      </c>
      <c r="BY174" s="27" t="s">
        <v>8</v>
      </c>
    </row>
    <row r="175" spans="1:78" x14ac:dyDescent="0.25">
      <c r="A175" s="30">
        <v>23.839900559179259</v>
      </c>
      <c r="E175"/>
      <c r="BW175" s="27" t="s">
        <v>8</v>
      </c>
      <c r="BX175" s="27" t="s">
        <v>7</v>
      </c>
      <c r="BY175" s="27" t="s">
        <v>8</v>
      </c>
      <c r="BZ175" s="27" t="s">
        <v>7</v>
      </c>
    </row>
    <row r="176" spans="1:78" x14ac:dyDescent="0.25">
      <c r="A176" s="30">
        <v>22.704667199218342</v>
      </c>
      <c r="E176"/>
      <c r="BW176" s="27" t="s">
        <v>8</v>
      </c>
      <c r="BX176" s="27" t="s">
        <v>7</v>
      </c>
      <c r="BY176" s="27" t="s">
        <v>8</v>
      </c>
      <c r="BZ176" s="27" t="s">
        <v>7</v>
      </c>
    </row>
    <row r="177" spans="1:138" x14ac:dyDescent="0.25">
      <c r="A177" s="30">
        <v>21.623492570684135</v>
      </c>
      <c r="E177"/>
      <c r="BW177" s="27" t="s">
        <v>8</v>
      </c>
      <c r="BX177" s="27" t="s">
        <v>7</v>
      </c>
      <c r="BY177" s="27" t="s">
        <v>8</v>
      </c>
      <c r="BZ177" s="27" t="s">
        <v>7</v>
      </c>
    </row>
    <row r="178" spans="1:138" x14ac:dyDescent="0.25">
      <c r="A178" s="30">
        <v>20.593802448270605</v>
      </c>
      <c r="C178" s="7"/>
      <c r="D178"/>
      <c r="E178"/>
      <c r="BS178" s="27" t="s">
        <v>8</v>
      </c>
      <c r="BU178" s="27" t="s">
        <v>8</v>
      </c>
      <c r="BW178" s="27" t="s">
        <v>8</v>
      </c>
      <c r="BX178" s="27" t="s">
        <v>7</v>
      </c>
      <c r="BY178" s="27" t="s">
        <v>8</v>
      </c>
      <c r="BZ178" s="27" t="s">
        <v>7</v>
      </c>
    </row>
    <row r="179" spans="1:138" x14ac:dyDescent="0.25">
      <c r="A179" s="30">
        <v>19.613145188829147</v>
      </c>
      <c r="E179"/>
      <c r="BS179" s="27" t="s">
        <v>8</v>
      </c>
      <c r="BT179" s="27" t="s">
        <v>7</v>
      </c>
      <c r="BU179" s="27" t="s">
        <v>8</v>
      </c>
      <c r="BV179" s="27" t="s">
        <v>7</v>
      </c>
      <c r="BW179" s="27" t="s">
        <v>8</v>
      </c>
      <c r="BX179" s="27" t="s">
        <v>7</v>
      </c>
      <c r="BY179" s="27" t="s">
        <v>8</v>
      </c>
      <c r="BZ179" s="27" t="s">
        <v>7</v>
      </c>
    </row>
    <row r="180" spans="1:138" x14ac:dyDescent="0.25">
      <c r="A180" s="30">
        <v>18.679185894122998</v>
      </c>
      <c r="E180"/>
      <c r="BS180" s="27" t="s">
        <v>8</v>
      </c>
      <c r="BT180" s="27" t="s">
        <v>7</v>
      </c>
      <c r="BU180" s="27" t="s">
        <v>8</v>
      </c>
      <c r="BV180" s="27" t="s">
        <v>7</v>
      </c>
      <c r="BW180" s="27" t="s">
        <v>8</v>
      </c>
      <c r="BX180" s="27" t="s">
        <v>7</v>
      </c>
      <c r="BY180" s="27" t="s">
        <v>8</v>
      </c>
      <c r="BZ180" s="27" t="s">
        <v>7</v>
      </c>
      <c r="CA180" s="27" t="s">
        <v>8</v>
      </c>
    </row>
    <row r="181" spans="1:138" x14ac:dyDescent="0.25">
      <c r="A181" s="30">
        <v>17.78970085154571</v>
      </c>
      <c r="C181"/>
      <c r="D181"/>
      <c r="E181"/>
      <c r="BA181" s="27" t="s">
        <v>8</v>
      </c>
      <c r="BS181" s="27" t="s">
        <v>8</v>
      </c>
      <c r="BT181" s="27" t="s">
        <v>7</v>
      </c>
      <c r="BU181" s="27" t="s">
        <v>8</v>
      </c>
      <c r="BV181" s="27" t="s">
        <v>7</v>
      </c>
      <c r="BW181" s="27" t="s">
        <v>8</v>
      </c>
      <c r="BX181" s="27" t="s">
        <v>7</v>
      </c>
      <c r="BY181" s="27" t="s">
        <v>8</v>
      </c>
      <c r="BZ181" s="27" t="s">
        <v>7</v>
      </c>
      <c r="CA181" s="27" t="s">
        <v>8</v>
      </c>
      <c r="CB181" s="27" t="s">
        <v>7</v>
      </c>
    </row>
    <row r="182" spans="1:138" x14ac:dyDescent="0.25">
      <c r="A182" s="30">
        <v>16.942572239567344</v>
      </c>
      <c r="E182"/>
      <c r="AY182" s="27" t="s">
        <v>8</v>
      </c>
      <c r="BA182" s="27" t="s">
        <v>8</v>
      </c>
      <c r="BB182" s="27" t="s">
        <v>7</v>
      </c>
      <c r="BS182" s="27" t="s">
        <v>8</v>
      </c>
      <c r="BT182" s="27" t="s">
        <v>7</v>
      </c>
      <c r="BU182" s="27" t="s">
        <v>8</v>
      </c>
      <c r="BV182" s="27" t="s">
        <v>7</v>
      </c>
      <c r="BX182" s="27" t="s">
        <v>7</v>
      </c>
      <c r="BY182" s="27" t="s">
        <v>8</v>
      </c>
      <c r="BZ182" s="27" t="s">
        <v>7</v>
      </c>
      <c r="CA182" s="27" t="s">
        <v>8</v>
      </c>
      <c r="CB182" s="27" t="s">
        <v>7</v>
      </c>
    </row>
    <row r="183" spans="1:138" x14ac:dyDescent="0.25">
      <c r="A183" s="30">
        <v>16.135783085302233</v>
      </c>
      <c r="E183"/>
      <c r="AW183" s="27" t="s">
        <v>8</v>
      </c>
      <c r="AY183" s="27" t="s">
        <v>8</v>
      </c>
      <c r="AZ183" s="27" t="s">
        <v>7</v>
      </c>
      <c r="BA183" s="27" t="s">
        <v>8</v>
      </c>
      <c r="BB183" s="27" t="s">
        <v>7</v>
      </c>
      <c r="BS183" s="27" t="s">
        <v>8</v>
      </c>
      <c r="BT183" s="27" t="s">
        <v>7</v>
      </c>
      <c r="BU183" s="27" t="s">
        <v>8</v>
      </c>
      <c r="BX183" s="27" t="s">
        <v>7</v>
      </c>
      <c r="BZ183" s="27" t="s">
        <v>7</v>
      </c>
      <c r="CA183" s="27" t="s">
        <v>8</v>
      </c>
      <c r="CB183" s="27" t="s">
        <v>7</v>
      </c>
      <c r="DK183" s="27" t="s">
        <v>8</v>
      </c>
    </row>
    <row r="184" spans="1:138" x14ac:dyDescent="0.25">
      <c r="A184" s="30">
        <v>15.367412462192602</v>
      </c>
      <c r="E184"/>
      <c r="AW184" s="27" t="s">
        <v>8</v>
      </c>
      <c r="AX184" s="27" t="s">
        <v>7</v>
      </c>
      <c r="AY184" s="27" t="s">
        <v>8</v>
      </c>
      <c r="AZ184" s="27" t="s">
        <v>7</v>
      </c>
      <c r="BA184" s="27" t="s">
        <v>8</v>
      </c>
      <c r="BB184" s="27" t="s">
        <v>7</v>
      </c>
      <c r="BC184" s="27" t="s">
        <v>8</v>
      </c>
      <c r="BQ184" s="27" t="s">
        <v>8</v>
      </c>
      <c r="BS184" s="27" t="s">
        <v>8</v>
      </c>
      <c r="BT184" s="27" t="s">
        <v>7</v>
      </c>
      <c r="BU184" s="27" t="s">
        <v>8</v>
      </c>
      <c r="BZ184" s="27" t="s">
        <v>7</v>
      </c>
      <c r="CA184" s="27" t="s">
        <v>8</v>
      </c>
      <c r="CB184" s="27" t="s">
        <v>7</v>
      </c>
      <c r="DK184" s="27" t="s">
        <v>8</v>
      </c>
      <c r="DL184" s="27" t="s">
        <v>7</v>
      </c>
    </row>
    <row r="185" spans="1:138" x14ac:dyDescent="0.25">
      <c r="A185" s="30">
        <v>14.635630916373906</v>
      </c>
      <c r="C185"/>
      <c r="E185"/>
      <c r="AW185" s="27" t="s">
        <v>8</v>
      </c>
      <c r="AX185" s="27" t="s">
        <v>7</v>
      </c>
      <c r="AY185" s="27" t="s">
        <v>8</v>
      </c>
      <c r="AZ185" s="27" t="s">
        <v>7</v>
      </c>
      <c r="BA185" s="27" t="s">
        <v>8</v>
      </c>
      <c r="BB185" s="27" t="s">
        <v>7</v>
      </c>
      <c r="BC185" s="27" t="s">
        <v>8</v>
      </c>
      <c r="BD185" s="27" t="s">
        <v>7</v>
      </c>
      <c r="BE185" s="27" t="s">
        <v>8</v>
      </c>
      <c r="BO185" s="27" t="s">
        <v>8</v>
      </c>
      <c r="BQ185" s="27" t="s">
        <v>8</v>
      </c>
      <c r="BR185" s="27" t="s">
        <v>7</v>
      </c>
      <c r="BS185" s="27" t="s">
        <v>8</v>
      </c>
      <c r="BT185" s="27" t="s">
        <v>7</v>
      </c>
      <c r="BU185" s="27" t="s">
        <v>8</v>
      </c>
      <c r="BZ185" s="27" t="s">
        <v>7</v>
      </c>
      <c r="CA185" s="27" t="s">
        <v>8</v>
      </c>
      <c r="CB185" s="27" t="s">
        <v>7</v>
      </c>
      <c r="DI185" s="27" t="s">
        <v>8</v>
      </c>
      <c r="DK185" s="27" t="s">
        <v>8</v>
      </c>
      <c r="DL185" s="27" t="s">
        <v>7</v>
      </c>
      <c r="DY185" s="27" t="s">
        <v>8</v>
      </c>
    </row>
    <row r="186" spans="1:138" x14ac:dyDescent="0.25">
      <c r="A186" s="30">
        <v>13.938696110832291</v>
      </c>
      <c r="E186"/>
      <c r="AU186" s="27" t="s">
        <v>8</v>
      </c>
      <c r="AW186" s="27" t="s">
        <v>8</v>
      </c>
      <c r="AX186" s="27" t="s">
        <v>7</v>
      </c>
      <c r="AZ186" s="27" t="s">
        <v>7</v>
      </c>
      <c r="BA186" s="27" t="s">
        <v>8</v>
      </c>
      <c r="BB186" s="27" t="s">
        <v>7</v>
      </c>
      <c r="BC186" s="27" t="s">
        <v>8</v>
      </c>
      <c r="BD186" s="27" t="s">
        <v>7</v>
      </c>
      <c r="BE186" s="27" t="s">
        <v>8</v>
      </c>
      <c r="BF186" s="27" t="s">
        <v>7</v>
      </c>
      <c r="BG186" s="27" t="s">
        <v>8</v>
      </c>
      <c r="BK186" s="27" t="s">
        <v>8</v>
      </c>
      <c r="BM186" s="27" t="s">
        <v>8</v>
      </c>
      <c r="BO186" s="27" t="s">
        <v>8</v>
      </c>
      <c r="BP186" s="27" t="s">
        <v>7</v>
      </c>
      <c r="BQ186" s="27" t="s">
        <v>8</v>
      </c>
      <c r="BR186" s="27" t="s">
        <v>7</v>
      </c>
      <c r="BS186" s="27" t="s">
        <v>8</v>
      </c>
      <c r="BT186" s="27" t="s">
        <v>7</v>
      </c>
      <c r="BU186" s="27" t="s">
        <v>8</v>
      </c>
      <c r="BZ186" s="27" t="s">
        <v>7</v>
      </c>
      <c r="CB186" s="27" t="s">
        <v>7</v>
      </c>
      <c r="CC186" s="27" t="s">
        <v>8</v>
      </c>
      <c r="DI186" s="27" t="s">
        <v>8</v>
      </c>
      <c r="DJ186" s="27" t="s">
        <v>7</v>
      </c>
      <c r="DK186" s="27" t="s">
        <v>8</v>
      </c>
      <c r="DL186" s="27" t="s">
        <v>7</v>
      </c>
      <c r="DU186" s="27" t="s">
        <v>8</v>
      </c>
      <c r="DW186" s="27" t="s">
        <v>8</v>
      </c>
      <c r="DY186" s="27" t="s">
        <v>8</v>
      </c>
      <c r="DZ186" s="27" t="s">
        <v>7</v>
      </c>
      <c r="EA186" s="27" t="s">
        <v>8</v>
      </c>
      <c r="EC186" s="27" t="s">
        <v>8</v>
      </c>
      <c r="EE186" s="27" t="s">
        <v>8</v>
      </c>
    </row>
    <row r="187" spans="1:13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U187" s="27" t="s">
        <v>8</v>
      </c>
      <c r="AV187" s="27" t="s">
        <v>7</v>
      </c>
      <c r="AW187" s="27" t="s">
        <v>8</v>
      </c>
      <c r="AZ187" s="27" t="s">
        <v>7</v>
      </c>
      <c r="BA187" s="27" t="s">
        <v>8</v>
      </c>
      <c r="BB187" s="27" t="s">
        <v>7</v>
      </c>
      <c r="BC187" s="27" t="s">
        <v>8</v>
      </c>
      <c r="BD187" s="27" t="s">
        <v>7</v>
      </c>
      <c r="BE187" s="27" t="s">
        <v>8</v>
      </c>
      <c r="BF187" s="27" t="s">
        <v>7</v>
      </c>
      <c r="BG187" s="27" t="s">
        <v>8</v>
      </c>
      <c r="BH187" s="27" t="s">
        <v>7</v>
      </c>
      <c r="BI187" s="27" t="s">
        <v>8</v>
      </c>
      <c r="BK187" s="27" t="s">
        <v>8</v>
      </c>
      <c r="BL187" s="27" t="s">
        <v>7</v>
      </c>
      <c r="BM187" s="27" t="s">
        <v>8</v>
      </c>
      <c r="BN187" s="27" t="s">
        <v>7</v>
      </c>
      <c r="BO187" s="27" t="s">
        <v>8</v>
      </c>
      <c r="BP187" s="27" t="s">
        <v>7</v>
      </c>
      <c r="BQ187" s="27" t="s">
        <v>8</v>
      </c>
      <c r="BR187" s="27" t="s">
        <v>7</v>
      </c>
      <c r="BS187" s="27" t="s">
        <v>8</v>
      </c>
      <c r="BT187" s="27" t="s">
        <v>7</v>
      </c>
      <c r="CB187" s="27" t="s">
        <v>7</v>
      </c>
      <c r="CC187" s="27" t="s">
        <v>8</v>
      </c>
      <c r="CD187" s="27" t="s">
        <v>7</v>
      </c>
      <c r="DI187" s="27" t="s">
        <v>8</v>
      </c>
      <c r="DJ187" s="27" t="s">
        <v>7</v>
      </c>
      <c r="DK187" s="27" t="s">
        <v>8</v>
      </c>
      <c r="DL187" s="27" t="s">
        <v>7</v>
      </c>
      <c r="DM187" s="27" t="s">
        <v>8</v>
      </c>
      <c r="DO187" s="27" t="s">
        <v>8</v>
      </c>
      <c r="DU187" s="27" t="s">
        <v>8</v>
      </c>
      <c r="DV187" s="27" t="s">
        <v>7</v>
      </c>
      <c r="DW187" s="27" t="s">
        <v>8</v>
      </c>
      <c r="DX187" s="27" t="s">
        <v>7</v>
      </c>
      <c r="DY187" s="27" t="s">
        <v>8</v>
      </c>
      <c r="DZ187" s="27" t="s">
        <v>7</v>
      </c>
      <c r="EA187" s="27" t="s">
        <v>8</v>
      </c>
      <c r="EB187" s="27" t="s">
        <v>7</v>
      </c>
      <c r="EC187" s="27" t="s">
        <v>8</v>
      </c>
      <c r="ED187" s="27" t="s">
        <v>7</v>
      </c>
      <c r="EE187" s="27" t="s">
        <v>8</v>
      </c>
      <c r="EF187" s="27" t="s">
        <v>7</v>
      </c>
    </row>
    <row r="188" spans="1:138" x14ac:dyDescent="0.25">
      <c r="A188" s="30">
        <v>12.64280826379346</v>
      </c>
      <c r="E188"/>
      <c r="AU188" s="27" t="s">
        <v>8</v>
      </c>
      <c r="AV188" s="27" t="s">
        <v>7</v>
      </c>
      <c r="AW188" s="27" t="s">
        <v>8</v>
      </c>
      <c r="AZ188" s="27" t="s">
        <v>7</v>
      </c>
      <c r="BB188" s="27" t="s">
        <v>7</v>
      </c>
      <c r="BC188" s="27" t="s">
        <v>8</v>
      </c>
      <c r="BD188" s="27" t="s">
        <v>7</v>
      </c>
      <c r="BF188" s="27" t="s">
        <v>7</v>
      </c>
      <c r="BG188" s="27" t="s">
        <v>8</v>
      </c>
      <c r="BH188" s="27" t="s">
        <v>7</v>
      </c>
      <c r="BI188" s="27" t="s">
        <v>8</v>
      </c>
      <c r="BJ188" s="27" t="s">
        <v>7</v>
      </c>
      <c r="BK188" s="27" t="s">
        <v>8</v>
      </c>
      <c r="BL188" s="27" t="s">
        <v>7</v>
      </c>
      <c r="BM188" s="27" t="s">
        <v>8</v>
      </c>
      <c r="BN188" s="27" t="s">
        <v>7</v>
      </c>
      <c r="BO188" s="27" t="s">
        <v>8</v>
      </c>
      <c r="BP188" s="27" t="s">
        <v>7</v>
      </c>
      <c r="BR188" s="27" t="s">
        <v>7</v>
      </c>
      <c r="BS188" s="27" t="s">
        <v>8</v>
      </c>
      <c r="CB188" s="27" t="s">
        <v>7</v>
      </c>
      <c r="CC188" s="27" t="s">
        <v>8</v>
      </c>
      <c r="CD188" s="27" t="s">
        <v>7</v>
      </c>
      <c r="DI188" s="27" t="s">
        <v>8</v>
      </c>
      <c r="DJ188" s="27" t="s">
        <v>7</v>
      </c>
      <c r="DK188" s="27" t="s">
        <v>8</v>
      </c>
      <c r="DL188" s="27" t="s">
        <v>7</v>
      </c>
      <c r="DM188" s="27" t="s">
        <v>8</v>
      </c>
      <c r="DN188" s="27" t="s">
        <v>7</v>
      </c>
      <c r="DO188" s="27" t="s">
        <v>8</v>
      </c>
      <c r="DP188" s="27" t="s">
        <v>7</v>
      </c>
      <c r="DS188" s="27" t="s">
        <v>8</v>
      </c>
      <c r="DU188" s="27" t="s">
        <v>8</v>
      </c>
      <c r="DV188" s="27" t="s">
        <v>7</v>
      </c>
      <c r="DW188" s="27" t="s">
        <v>8</v>
      </c>
      <c r="DX188" s="27" t="s">
        <v>7</v>
      </c>
      <c r="DY188" s="27" t="s">
        <v>8</v>
      </c>
      <c r="DZ188" s="27" t="s">
        <v>7</v>
      </c>
      <c r="EA188" s="27" t="s">
        <v>8</v>
      </c>
      <c r="EB188" s="27" t="s">
        <v>7</v>
      </c>
      <c r="EC188" s="27" t="s">
        <v>8</v>
      </c>
      <c r="ED188" s="27" t="s">
        <v>7</v>
      </c>
      <c r="EE188" s="27" t="s">
        <v>8</v>
      </c>
      <c r="EF188" s="27" t="s">
        <v>7</v>
      </c>
      <c r="EG188" s="27" t="s">
        <v>8</v>
      </c>
    </row>
    <row r="189" spans="1:138" x14ac:dyDescent="0.25">
      <c r="A189" s="30">
        <v>12.04076977504139</v>
      </c>
      <c r="E189"/>
      <c r="AU189" s="27" t="s">
        <v>8</v>
      </c>
      <c r="AV189" s="27" t="s">
        <v>7</v>
      </c>
      <c r="AW189" s="27" t="s">
        <v>8</v>
      </c>
      <c r="BB189" s="27" t="s">
        <v>7</v>
      </c>
      <c r="BC189" s="27" t="s">
        <v>8</v>
      </c>
      <c r="BF189" s="27" t="s">
        <v>7</v>
      </c>
      <c r="BG189" s="27" t="s">
        <v>8</v>
      </c>
      <c r="BH189" s="27" t="s">
        <v>7</v>
      </c>
      <c r="BI189" s="27" t="s">
        <v>8</v>
      </c>
      <c r="BJ189" s="27" t="s">
        <v>7</v>
      </c>
      <c r="BK189" s="27" t="s">
        <v>8</v>
      </c>
      <c r="BL189" s="27" t="s">
        <v>7</v>
      </c>
      <c r="BN189" s="27" t="s">
        <v>7</v>
      </c>
      <c r="BO189" s="27" t="s">
        <v>8</v>
      </c>
      <c r="BR189" s="27" t="s">
        <v>7</v>
      </c>
      <c r="BS189" s="27" t="s">
        <v>8</v>
      </c>
      <c r="CB189" s="27" t="s">
        <v>7</v>
      </c>
      <c r="CC189" s="27" t="s">
        <v>8</v>
      </c>
      <c r="CD189" s="27" t="s">
        <v>7</v>
      </c>
      <c r="DI189" s="27" t="s">
        <v>8</v>
      </c>
      <c r="DJ189" s="27" t="s">
        <v>7</v>
      </c>
      <c r="DK189" s="27" t="s">
        <v>8</v>
      </c>
      <c r="DL189" s="27" t="s">
        <v>7</v>
      </c>
      <c r="DM189" s="27" t="s">
        <v>8</v>
      </c>
      <c r="DN189" s="27" t="s">
        <v>7</v>
      </c>
      <c r="DO189" s="27" t="s">
        <v>8</v>
      </c>
      <c r="DP189" s="27" t="s">
        <v>7</v>
      </c>
      <c r="DQ189" s="27" t="s">
        <v>8</v>
      </c>
      <c r="DS189" s="27" t="s">
        <v>8</v>
      </c>
      <c r="DT189" s="27" t="s">
        <v>7</v>
      </c>
      <c r="DU189" s="27" t="s">
        <v>8</v>
      </c>
      <c r="DV189" s="27" t="s">
        <v>7</v>
      </c>
      <c r="DW189" s="27" t="s">
        <v>8</v>
      </c>
      <c r="DX189" s="27" t="s">
        <v>7</v>
      </c>
      <c r="DY189" s="27" t="s">
        <v>8</v>
      </c>
      <c r="DZ189" s="27" t="s">
        <v>7</v>
      </c>
      <c r="EB189" s="27" t="s">
        <v>7</v>
      </c>
      <c r="EC189" s="27" t="s">
        <v>8</v>
      </c>
      <c r="ED189" s="27" t="s">
        <v>7</v>
      </c>
      <c r="EE189" s="27" t="s">
        <v>8</v>
      </c>
      <c r="EF189" s="27" t="s">
        <v>7</v>
      </c>
      <c r="EG189" s="27" t="s">
        <v>8</v>
      </c>
      <c r="EH189" s="27" t="s">
        <v>7</v>
      </c>
    </row>
    <row r="190" spans="1:138" x14ac:dyDescent="0.25">
      <c r="A190" s="30">
        <v>11.467399785753704</v>
      </c>
      <c r="E190"/>
      <c r="AU190" s="27" t="s">
        <v>8</v>
      </c>
      <c r="AV190" s="27" t="s">
        <v>7</v>
      </c>
      <c r="AW190" s="27" t="s">
        <v>8</v>
      </c>
      <c r="BB190" s="27" t="s">
        <v>7</v>
      </c>
      <c r="BF190" s="27" t="s">
        <v>7</v>
      </c>
      <c r="BG190" s="27" t="s">
        <v>8</v>
      </c>
      <c r="BH190" s="27" t="s">
        <v>7</v>
      </c>
      <c r="BJ190" s="27" t="s">
        <v>7</v>
      </c>
      <c r="BK190" s="27" t="s">
        <v>8</v>
      </c>
      <c r="BN190" s="27" t="s">
        <v>7</v>
      </c>
      <c r="BO190" s="27" t="s">
        <v>8</v>
      </c>
      <c r="BR190" s="27" t="s">
        <v>7</v>
      </c>
      <c r="BS190" s="27" t="s">
        <v>8</v>
      </c>
      <c r="CB190" s="27" t="s">
        <v>7</v>
      </c>
      <c r="CC190" s="27" t="s">
        <v>8</v>
      </c>
      <c r="CD190" s="27" t="s">
        <v>7</v>
      </c>
      <c r="CI190" s="27" t="s">
        <v>8</v>
      </c>
      <c r="DI190" s="27" t="s">
        <v>8</v>
      </c>
      <c r="DJ190" s="27" t="s">
        <v>7</v>
      </c>
      <c r="DK190" s="27" t="s">
        <v>8</v>
      </c>
      <c r="DL190" s="27" t="s">
        <v>7</v>
      </c>
      <c r="DN190" s="27" t="s">
        <v>7</v>
      </c>
      <c r="DO190" s="27" t="s">
        <v>8</v>
      </c>
      <c r="DP190" s="27" t="s">
        <v>7</v>
      </c>
      <c r="DQ190" s="27" t="s">
        <v>8</v>
      </c>
      <c r="DR190" s="27" t="s">
        <v>7</v>
      </c>
      <c r="DS190" s="27" t="s">
        <v>8</v>
      </c>
      <c r="DT190" s="27" t="s">
        <v>7</v>
      </c>
      <c r="DU190" s="27" t="s">
        <v>8</v>
      </c>
      <c r="DV190" s="27" t="s">
        <v>7</v>
      </c>
      <c r="DW190" s="27" t="s">
        <v>8</v>
      </c>
      <c r="DX190" s="27" t="s">
        <v>7</v>
      </c>
      <c r="EB190" s="27" t="s">
        <v>7</v>
      </c>
      <c r="EC190" s="27" t="s">
        <v>8</v>
      </c>
      <c r="ED190" s="27" t="s">
        <v>7</v>
      </c>
      <c r="EF190" s="27" t="s">
        <v>7</v>
      </c>
      <c r="EG190" s="27" t="s">
        <v>8</v>
      </c>
      <c r="EH190" s="27" t="s">
        <v>7</v>
      </c>
    </row>
    <row r="191" spans="1:138" x14ac:dyDescent="0.25">
      <c r="A191" s="30">
        <v>10.921333129289241</v>
      </c>
      <c r="E191"/>
      <c r="AO191" s="27" t="s">
        <v>8</v>
      </c>
      <c r="AU191" s="27" t="s">
        <v>8</v>
      </c>
      <c r="AV191" s="27" t="s">
        <v>7</v>
      </c>
      <c r="AW191" s="27" t="s">
        <v>8</v>
      </c>
      <c r="BF191" s="27" t="s">
        <v>7</v>
      </c>
      <c r="BJ191" s="27" t="s">
        <v>7</v>
      </c>
      <c r="BN191" s="27" t="s">
        <v>7</v>
      </c>
      <c r="BO191" s="27" t="s">
        <v>8</v>
      </c>
      <c r="BR191" s="27" t="s">
        <v>7</v>
      </c>
      <c r="CB191" s="27" t="s">
        <v>7</v>
      </c>
      <c r="CC191" s="27" t="s">
        <v>8</v>
      </c>
      <c r="CD191" s="27" t="s">
        <v>7</v>
      </c>
      <c r="CE191" s="27" t="s">
        <v>8</v>
      </c>
      <c r="CI191" s="27" t="s">
        <v>8</v>
      </c>
      <c r="CJ191" s="27" t="s">
        <v>7</v>
      </c>
      <c r="CK191" s="27" t="s">
        <v>8</v>
      </c>
      <c r="DI191" s="27" t="s">
        <v>8</v>
      </c>
      <c r="DJ191" s="27" t="s">
        <v>7</v>
      </c>
      <c r="DN191" s="27" t="s">
        <v>7</v>
      </c>
      <c r="DP191" s="27" t="s">
        <v>7</v>
      </c>
      <c r="DQ191" s="27" t="s">
        <v>8</v>
      </c>
      <c r="DR191" s="27" t="s">
        <v>7</v>
      </c>
      <c r="DS191" s="27" t="s">
        <v>8</v>
      </c>
      <c r="DT191" s="27" t="s">
        <v>7</v>
      </c>
      <c r="DU191" s="27" t="s">
        <v>8</v>
      </c>
      <c r="DV191" s="27" t="s">
        <v>7</v>
      </c>
      <c r="EB191" s="27" t="s">
        <v>7</v>
      </c>
      <c r="EF191" s="27" t="s">
        <v>7</v>
      </c>
      <c r="EG191" s="27" t="s">
        <v>8</v>
      </c>
      <c r="EH191" s="27" t="s">
        <v>7</v>
      </c>
    </row>
    <row r="192" spans="1:138" x14ac:dyDescent="0.25">
      <c r="A192" s="30">
        <v>10.401269646942135</v>
      </c>
      <c r="E192"/>
      <c r="AO192" s="27" t="s">
        <v>8</v>
      </c>
      <c r="AP192" s="27" t="s">
        <v>7</v>
      </c>
      <c r="AU192" s="27" t="s">
        <v>8</v>
      </c>
      <c r="AV192" s="27" t="s">
        <v>7</v>
      </c>
      <c r="BN192" s="27" t="s">
        <v>7</v>
      </c>
      <c r="BO192" s="27" t="s">
        <v>8</v>
      </c>
      <c r="CB192" s="27" t="s">
        <v>7</v>
      </c>
      <c r="CC192" s="27" t="s">
        <v>8</v>
      </c>
      <c r="CD192" s="27" t="s">
        <v>7</v>
      </c>
      <c r="CE192" s="27" t="s">
        <v>8</v>
      </c>
      <c r="CF192" s="27" t="s">
        <v>7</v>
      </c>
      <c r="CG192" s="27" t="s">
        <v>8</v>
      </c>
      <c r="CI192" s="27" t="s">
        <v>8</v>
      </c>
      <c r="CJ192" s="27" t="s">
        <v>7</v>
      </c>
      <c r="CK192" s="27" t="s">
        <v>8</v>
      </c>
      <c r="CL192" s="27" t="s">
        <v>7</v>
      </c>
      <c r="DG192" s="27" t="s">
        <v>8</v>
      </c>
      <c r="DI192" s="27" t="s">
        <v>8</v>
      </c>
      <c r="DP192" s="27" t="s">
        <v>7</v>
      </c>
      <c r="DQ192" s="27" t="s">
        <v>8</v>
      </c>
      <c r="DR192" s="27" t="s">
        <v>7</v>
      </c>
      <c r="DS192" s="27" t="s">
        <v>8</v>
      </c>
      <c r="DT192" s="27" t="s">
        <v>7</v>
      </c>
      <c r="EF192" s="27" t="s">
        <v>7</v>
      </c>
      <c r="EG192" s="27" t="s">
        <v>8</v>
      </c>
      <c r="EH192" s="27" t="s">
        <v>7</v>
      </c>
    </row>
    <row r="193" spans="1:143" x14ac:dyDescent="0.25">
      <c r="A193" s="30">
        <v>9.9059710923258422</v>
      </c>
      <c r="E193"/>
      <c r="AO193" s="27" t="s">
        <v>8</v>
      </c>
      <c r="AP193" s="27" t="s">
        <v>7</v>
      </c>
      <c r="AS193" s="27" t="s">
        <v>8</v>
      </c>
      <c r="AU193" s="27" t="s">
        <v>8</v>
      </c>
      <c r="BN193" s="27" t="s">
        <v>7</v>
      </c>
      <c r="CB193" s="27" t="s">
        <v>7</v>
      </c>
      <c r="CC193" s="27" t="s">
        <v>8</v>
      </c>
      <c r="CD193" s="27" t="s">
        <v>7</v>
      </c>
      <c r="CE193" s="27" t="s">
        <v>8</v>
      </c>
      <c r="CF193" s="27" t="s">
        <v>7</v>
      </c>
      <c r="CG193" s="27" t="s">
        <v>8</v>
      </c>
      <c r="CH193" s="27" t="s">
        <v>7</v>
      </c>
      <c r="CI193" s="27" t="s">
        <v>8</v>
      </c>
      <c r="CJ193" s="27" t="s">
        <v>7</v>
      </c>
      <c r="CK193" s="27" t="s">
        <v>8</v>
      </c>
      <c r="CL193" s="27" t="s">
        <v>7</v>
      </c>
      <c r="CM193" s="27" t="s">
        <v>8</v>
      </c>
      <c r="DG193" s="27" t="s">
        <v>8</v>
      </c>
      <c r="DH193" s="27" t="s">
        <v>7</v>
      </c>
      <c r="DI193" s="27" t="s">
        <v>8</v>
      </c>
      <c r="DP193" s="27" t="s">
        <v>7</v>
      </c>
      <c r="DQ193" s="27" t="s">
        <v>8</v>
      </c>
      <c r="DR193" s="27" t="s">
        <v>7</v>
      </c>
      <c r="DS193" s="27" t="s">
        <v>8</v>
      </c>
      <c r="EF193" s="27" t="s">
        <v>7</v>
      </c>
      <c r="EG193" s="27" t="s">
        <v>8</v>
      </c>
      <c r="EH193" s="27" t="s">
        <v>7</v>
      </c>
      <c r="EI193" s="27" t="s">
        <v>8</v>
      </c>
    </row>
    <row r="194" spans="1:143" x14ac:dyDescent="0.25">
      <c r="A194" s="30">
        <v>9.4342581831674686</v>
      </c>
      <c r="E194"/>
      <c r="AO194" s="27" t="s">
        <v>8</v>
      </c>
      <c r="AP194" s="27" t="s">
        <v>7</v>
      </c>
      <c r="AS194" s="27" t="s">
        <v>8</v>
      </c>
      <c r="AT194" s="27" t="s">
        <v>7</v>
      </c>
      <c r="AU194" s="27" t="s">
        <v>8</v>
      </c>
      <c r="CB194" s="27" t="s">
        <v>7</v>
      </c>
      <c r="CC194" s="27" t="s">
        <v>8</v>
      </c>
      <c r="CD194" s="27" t="s">
        <v>7</v>
      </c>
      <c r="CE194" s="27" t="s">
        <v>8</v>
      </c>
      <c r="CF194" s="27" t="s">
        <v>7</v>
      </c>
      <c r="CG194" s="27" t="s">
        <v>8</v>
      </c>
      <c r="CH194" s="27" t="s">
        <v>7</v>
      </c>
      <c r="CI194" s="27" t="s">
        <v>8</v>
      </c>
      <c r="CJ194" s="27" t="s">
        <v>7</v>
      </c>
      <c r="CK194" s="27" t="s">
        <v>8</v>
      </c>
      <c r="CL194" s="27" t="s">
        <v>7</v>
      </c>
      <c r="CM194" s="27" t="s">
        <v>8</v>
      </c>
      <c r="CN194" s="27" t="s">
        <v>7</v>
      </c>
      <c r="DE194" s="27" t="s">
        <v>8</v>
      </c>
      <c r="DG194" s="27" t="s">
        <v>8</v>
      </c>
      <c r="DH194" s="27" t="s">
        <v>7</v>
      </c>
      <c r="DI194" s="27" t="s">
        <v>8</v>
      </c>
      <c r="DP194" s="27" t="s">
        <v>7</v>
      </c>
      <c r="DQ194" s="27" t="s">
        <v>8</v>
      </c>
      <c r="DR194" s="27" t="s">
        <v>7</v>
      </c>
      <c r="EF194" s="27" t="s">
        <v>7</v>
      </c>
      <c r="EG194" s="27" t="s">
        <v>8</v>
      </c>
      <c r="EH194" s="27" t="s">
        <v>7</v>
      </c>
      <c r="EI194" s="27" t="s">
        <v>8</v>
      </c>
      <c r="EJ194" s="27" t="s">
        <v>7</v>
      </c>
    </row>
    <row r="195" spans="1:143" x14ac:dyDescent="0.25">
      <c r="A195" s="30">
        <v>8.9850077934928265</v>
      </c>
      <c r="E195"/>
      <c r="AO195" s="27" t="s">
        <v>8</v>
      </c>
      <c r="AP195" s="27" t="s">
        <v>7</v>
      </c>
      <c r="AQ195" s="27" t="s">
        <v>8</v>
      </c>
      <c r="AS195" s="27" t="s">
        <v>8</v>
      </c>
      <c r="AT195" s="27" t="s">
        <v>7</v>
      </c>
      <c r="AU195" s="27" t="s">
        <v>8</v>
      </c>
      <c r="CB195" s="27" t="s">
        <v>7</v>
      </c>
      <c r="CC195" s="27" t="s">
        <v>8</v>
      </c>
      <c r="CD195" s="27" t="s">
        <v>7</v>
      </c>
      <c r="CF195" s="27" t="s">
        <v>7</v>
      </c>
      <c r="CG195" s="27" t="s">
        <v>8</v>
      </c>
      <c r="CH195" s="27" t="s">
        <v>7</v>
      </c>
      <c r="CJ195" s="27" t="s">
        <v>7</v>
      </c>
      <c r="CK195" s="27" t="s">
        <v>8</v>
      </c>
      <c r="CL195" s="27" t="s">
        <v>7</v>
      </c>
      <c r="CM195" s="27" t="s">
        <v>8</v>
      </c>
      <c r="CN195" s="27" t="s">
        <v>7</v>
      </c>
      <c r="CO195" s="27" t="s">
        <v>8</v>
      </c>
      <c r="CQ195" s="27" t="s">
        <v>8</v>
      </c>
      <c r="DE195" s="27" t="s">
        <v>8</v>
      </c>
      <c r="DF195" s="27" t="s">
        <v>7</v>
      </c>
      <c r="DG195" s="27" t="s">
        <v>8</v>
      </c>
      <c r="DH195" s="27" t="s">
        <v>7</v>
      </c>
      <c r="DP195" s="27" t="s">
        <v>7</v>
      </c>
      <c r="DQ195" s="27" t="s">
        <v>8</v>
      </c>
      <c r="EF195" s="27" t="s">
        <v>7</v>
      </c>
      <c r="EG195" s="27" t="s">
        <v>8</v>
      </c>
      <c r="EH195" s="27" t="s">
        <v>7</v>
      </c>
      <c r="EI195" s="27" t="s">
        <v>8</v>
      </c>
      <c r="EJ195" s="27" t="s">
        <v>7</v>
      </c>
    </row>
    <row r="196" spans="1:143" x14ac:dyDescent="0.25">
      <c r="A196" s="30">
        <v>8.5571502795169767</v>
      </c>
      <c r="E196"/>
      <c r="AO196" s="27" t="s">
        <v>8</v>
      </c>
      <c r="AP196" s="27" t="s">
        <v>7</v>
      </c>
      <c r="AQ196" s="27" t="s">
        <v>8</v>
      </c>
      <c r="AR196" s="27" t="s">
        <v>7</v>
      </c>
      <c r="AS196" s="27" t="s">
        <v>8</v>
      </c>
      <c r="AT196" s="27" t="s">
        <v>7</v>
      </c>
      <c r="AU196" s="27" t="s">
        <v>8</v>
      </c>
      <c r="CB196" s="27" t="s">
        <v>7</v>
      </c>
      <c r="CC196" s="27" t="s">
        <v>8</v>
      </c>
      <c r="CF196" s="27" t="s">
        <v>7</v>
      </c>
      <c r="CG196" s="27" t="s">
        <v>8</v>
      </c>
      <c r="CJ196" s="27" t="s">
        <v>7</v>
      </c>
      <c r="CK196" s="27" t="s">
        <v>8</v>
      </c>
      <c r="CL196" s="27" t="s">
        <v>7</v>
      </c>
      <c r="CM196" s="27" t="s">
        <v>8</v>
      </c>
      <c r="CN196" s="27" t="s">
        <v>7</v>
      </c>
      <c r="CO196" s="27" t="s">
        <v>8</v>
      </c>
      <c r="CP196" s="27" t="s">
        <v>7</v>
      </c>
      <c r="CQ196" s="27" t="s">
        <v>8</v>
      </c>
      <c r="CR196" s="27" t="s">
        <v>7</v>
      </c>
      <c r="DE196" s="27" t="s">
        <v>8</v>
      </c>
      <c r="DF196" s="27" t="s">
        <v>7</v>
      </c>
      <c r="DG196" s="27" t="s">
        <v>8</v>
      </c>
      <c r="DP196" s="27" t="s">
        <v>7</v>
      </c>
      <c r="DQ196" s="27" t="s">
        <v>8</v>
      </c>
      <c r="EF196" s="27" t="s">
        <v>7</v>
      </c>
      <c r="EH196" s="27" t="s">
        <v>7</v>
      </c>
      <c r="EI196" s="27" t="s">
        <v>8</v>
      </c>
      <c r="EJ196" s="27" t="s">
        <v>7</v>
      </c>
    </row>
    <row r="197" spans="1:143" x14ac:dyDescent="0.25">
      <c r="A197" s="30">
        <v>8.1496669328733109</v>
      </c>
      <c r="E197"/>
      <c r="AO197" s="27" t="s">
        <v>8</v>
      </c>
      <c r="AP197" s="27" t="s">
        <v>7</v>
      </c>
      <c r="AQ197" s="27" t="s">
        <v>8</v>
      </c>
      <c r="AR197" s="27" t="s">
        <v>7</v>
      </c>
      <c r="AS197" s="27" t="s">
        <v>8</v>
      </c>
      <c r="AT197" s="27" t="s">
        <v>7</v>
      </c>
      <c r="CB197" s="27" t="s">
        <v>7</v>
      </c>
      <c r="CF197" s="27" t="s">
        <v>7</v>
      </c>
      <c r="CG197" s="27" t="s">
        <v>8</v>
      </c>
      <c r="CJ197" s="27" t="s">
        <v>7</v>
      </c>
      <c r="CK197" s="27" t="s">
        <v>8</v>
      </c>
      <c r="CL197" s="27" t="s">
        <v>7</v>
      </c>
      <c r="CM197" s="27" t="s">
        <v>8</v>
      </c>
      <c r="CN197" s="27" t="s">
        <v>7</v>
      </c>
      <c r="CO197" s="27" t="s">
        <v>8</v>
      </c>
      <c r="CP197" s="27" t="s">
        <v>7</v>
      </c>
      <c r="CQ197" s="27" t="s">
        <v>8</v>
      </c>
      <c r="CR197" s="27" t="s">
        <v>7</v>
      </c>
      <c r="CW197" s="27" t="s">
        <v>8</v>
      </c>
      <c r="CY197" s="27" t="s">
        <v>8</v>
      </c>
      <c r="DE197" s="27" t="s">
        <v>8</v>
      </c>
      <c r="DF197" s="27" t="s">
        <v>7</v>
      </c>
      <c r="DP197" s="27" t="s">
        <v>7</v>
      </c>
      <c r="EH197" s="27" t="s">
        <v>7</v>
      </c>
      <c r="EI197" s="27" t="s">
        <v>8</v>
      </c>
      <c r="EJ197" s="27" t="s">
        <v>7</v>
      </c>
    </row>
    <row r="198" spans="1:143" x14ac:dyDescent="0.25">
      <c r="A198" s="30">
        <v>7.7615875551174378</v>
      </c>
      <c r="E198"/>
      <c r="AO198" s="27" t="s">
        <v>8</v>
      </c>
      <c r="AP198" s="27" t="s">
        <v>7</v>
      </c>
      <c r="AQ198" s="27" t="s">
        <v>8</v>
      </c>
      <c r="AR198" s="27" t="s">
        <v>7</v>
      </c>
      <c r="AS198" s="27" t="s">
        <v>8</v>
      </c>
      <c r="CF198" s="27" t="s">
        <v>7</v>
      </c>
      <c r="CG198" s="27" t="s">
        <v>8</v>
      </c>
      <c r="CJ198" s="27" t="s">
        <v>7</v>
      </c>
      <c r="CL198" s="27" t="s">
        <v>7</v>
      </c>
      <c r="CM198" s="27" t="s">
        <v>8</v>
      </c>
      <c r="CN198" s="27" t="s">
        <v>7</v>
      </c>
      <c r="CO198" s="27" t="s">
        <v>8</v>
      </c>
      <c r="CP198" s="27" t="s">
        <v>7</v>
      </c>
      <c r="CR198" s="27" t="s">
        <v>7</v>
      </c>
      <c r="CW198" s="27" t="s">
        <v>8</v>
      </c>
      <c r="CX198" s="27" t="s">
        <v>7</v>
      </c>
      <c r="CY198" s="27" t="s">
        <v>8</v>
      </c>
      <c r="CZ198" s="27" t="s">
        <v>7</v>
      </c>
      <c r="DA198" s="27" t="s">
        <v>8</v>
      </c>
      <c r="DE198" s="27" t="s">
        <v>8</v>
      </c>
      <c r="EH198" s="27" t="s">
        <v>7</v>
      </c>
      <c r="EJ198" s="27" t="s">
        <v>7</v>
      </c>
    </row>
    <row r="199" spans="1:143" x14ac:dyDescent="0.25">
      <c r="A199" s="30">
        <v>7.3919881477308929</v>
      </c>
      <c r="E199"/>
      <c r="AO199" s="27" t="s">
        <v>8</v>
      </c>
      <c r="AP199" s="27" t="s">
        <v>7</v>
      </c>
      <c r="AQ199" s="27" t="s">
        <v>8</v>
      </c>
      <c r="AR199" s="27" t="s">
        <v>7</v>
      </c>
      <c r="CF199" s="27" t="s">
        <v>7</v>
      </c>
      <c r="CG199" s="27" t="s">
        <v>8</v>
      </c>
      <c r="CL199" s="27" t="s">
        <v>7</v>
      </c>
      <c r="CN199" s="27" t="s">
        <v>7</v>
      </c>
      <c r="CR199" s="27" t="s">
        <v>7</v>
      </c>
      <c r="CU199" s="27" t="s">
        <v>8</v>
      </c>
      <c r="CW199" s="27" t="s">
        <v>8</v>
      </c>
      <c r="CX199" s="27" t="s">
        <v>7</v>
      </c>
      <c r="CY199" s="27" t="s">
        <v>8</v>
      </c>
      <c r="CZ199" s="27" t="s">
        <v>7</v>
      </c>
      <c r="DA199" s="27" t="s">
        <v>8</v>
      </c>
      <c r="DB199" s="27" t="s">
        <v>7</v>
      </c>
      <c r="DE199" s="27" t="s">
        <v>8</v>
      </c>
      <c r="EJ199" s="27" t="s">
        <v>7</v>
      </c>
      <c r="EK199" s="27" t="s">
        <v>8</v>
      </c>
    </row>
    <row r="200" spans="1:143" x14ac:dyDescent="0.25">
      <c r="A200" s="30">
        <v>7.0399887121246598</v>
      </c>
      <c r="E200"/>
      <c r="AO200" s="27" t="s">
        <v>8</v>
      </c>
      <c r="AP200" s="27" t="s">
        <v>7</v>
      </c>
      <c r="AQ200" s="27" t="s">
        <v>8</v>
      </c>
      <c r="CF200" s="27" t="s">
        <v>7</v>
      </c>
      <c r="CG200" s="27" t="s">
        <v>8</v>
      </c>
      <c r="CR200" s="27" t="s">
        <v>7</v>
      </c>
      <c r="CU200" s="27" t="s">
        <v>8</v>
      </c>
      <c r="CV200" s="27" t="s">
        <v>7</v>
      </c>
      <c r="CW200" s="27" t="s">
        <v>8</v>
      </c>
      <c r="CX200" s="27" t="s">
        <v>7</v>
      </c>
      <c r="CY200" s="27" t="s">
        <v>8</v>
      </c>
      <c r="CZ200" s="27" t="s">
        <v>7</v>
      </c>
      <c r="DA200" s="27" t="s">
        <v>8</v>
      </c>
      <c r="DB200" s="27" t="s">
        <v>7</v>
      </c>
      <c r="DC200" s="27" t="s">
        <v>8</v>
      </c>
      <c r="DE200" s="27" t="s">
        <v>8</v>
      </c>
      <c r="EJ200" s="27" t="s">
        <v>7</v>
      </c>
      <c r="EK200" s="27" t="s">
        <v>8</v>
      </c>
      <c r="EL200" s="27" t="s">
        <v>7</v>
      </c>
    </row>
    <row r="201" spans="1:143" x14ac:dyDescent="0.25">
      <c r="A201" s="30">
        <v>6.7047511544044376</v>
      </c>
      <c r="E201"/>
      <c r="AM201" s="27" t="s">
        <v>8</v>
      </c>
      <c r="AO201" s="27" t="s">
        <v>8</v>
      </c>
      <c r="AP201" s="27" t="s">
        <v>7</v>
      </c>
      <c r="CF201" s="27" t="s">
        <v>7</v>
      </c>
      <c r="CG201" s="27" t="s">
        <v>8</v>
      </c>
      <c r="CR201" s="27" t="s">
        <v>7</v>
      </c>
      <c r="CU201" s="27" t="s">
        <v>8</v>
      </c>
      <c r="CV201" s="27" t="s">
        <v>7</v>
      </c>
      <c r="CW201" s="27" t="s">
        <v>8</v>
      </c>
      <c r="CX201" s="27" t="s">
        <v>7</v>
      </c>
      <c r="CZ201" s="27" t="s">
        <v>7</v>
      </c>
      <c r="DB201" s="27" t="s">
        <v>7</v>
      </c>
      <c r="DC201" s="27" t="s">
        <v>8</v>
      </c>
      <c r="DD201" s="27" t="s">
        <v>7</v>
      </c>
      <c r="DE201" s="27" t="s">
        <v>8</v>
      </c>
      <c r="EJ201" s="27" t="s">
        <v>7</v>
      </c>
      <c r="EK201" s="27" t="s">
        <v>8</v>
      </c>
      <c r="EL201" s="27" t="s">
        <v>7</v>
      </c>
    </row>
    <row r="202" spans="1:143" x14ac:dyDescent="0.25">
      <c r="A202" s="30">
        <v>6.3854772899089882</v>
      </c>
      <c r="E202"/>
      <c r="AM202" s="27" t="s">
        <v>8</v>
      </c>
      <c r="AN202" s="27" t="s">
        <v>7</v>
      </c>
      <c r="AO202" s="27" t="s">
        <v>8</v>
      </c>
      <c r="CF202" s="27" t="s">
        <v>7</v>
      </c>
      <c r="CG202" s="27" t="s">
        <v>8</v>
      </c>
      <c r="CR202" s="27" t="s">
        <v>7</v>
      </c>
      <c r="CS202" s="27" t="s">
        <v>8</v>
      </c>
      <c r="CU202" s="27" t="s">
        <v>8</v>
      </c>
      <c r="CV202" s="27" t="s">
        <v>7</v>
      </c>
      <c r="DB202" s="27" t="s">
        <v>7</v>
      </c>
      <c r="DC202" s="27" t="s">
        <v>8</v>
      </c>
      <c r="DD202" s="27" t="s">
        <v>7</v>
      </c>
      <c r="DE202" s="27" t="s">
        <v>8</v>
      </c>
      <c r="EJ202" s="27" t="s">
        <v>7</v>
      </c>
      <c r="EL202" s="27" t="s">
        <v>7</v>
      </c>
    </row>
    <row r="203" spans="1:143" x14ac:dyDescent="0.25">
      <c r="A203" s="30">
        <v>6.0814069427704647</v>
      </c>
      <c r="C203" s="7"/>
      <c r="D203"/>
      <c r="E203"/>
      <c r="AM203" s="27" t="s">
        <v>8</v>
      </c>
      <c r="AN203" s="27" t="s">
        <v>7</v>
      </c>
      <c r="AO203" s="27" t="s">
        <v>8</v>
      </c>
      <c r="CF203" s="27" t="s">
        <v>7</v>
      </c>
      <c r="CR203" s="27" t="s">
        <v>7</v>
      </c>
      <c r="CS203" s="27" t="s">
        <v>8</v>
      </c>
      <c r="CT203" s="27" t="s">
        <v>7</v>
      </c>
      <c r="CU203" s="27" t="s">
        <v>8</v>
      </c>
      <c r="DB203" s="27" t="s">
        <v>7</v>
      </c>
      <c r="DC203" s="27" t="s">
        <v>8</v>
      </c>
      <c r="DD203" s="27" t="s">
        <v>7</v>
      </c>
      <c r="DE203" s="27" t="s">
        <v>8</v>
      </c>
      <c r="EL203" s="27" t="s">
        <v>7</v>
      </c>
    </row>
    <row r="204" spans="1:143" x14ac:dyDescent="0.25">
      <c r="A204" s="30">
        <v>5.7918161359718709</v>
      </c>
      <c r="E204"/>
      <c r="AM204" s="27" t="s">
        <v>8</v>
      </c>
      <c r="AN204" s="27" t="s">
        <v>7</v>
      </c>
      <c r="AO204" s="27" t="s">
        <v>8</v>
      </c>
      <c r="CR204" s="27" t="s">
        <v>7</v>
      </c>
      <c r="CS204" s="27" t="s">
        <v>8</v>
      </c>
      <c r="CT204" s="27" t="s">
        <v>7</v>
      </c>
      <c r="CU204" s="27" t="s">
        <v>8</v>
      </c>
      <c r="DB204" s="18" t="s">
        <v>7</v>
      </c>
      <c r="DC204" s="27" t="s">
        <v>8</v>
      </c>
      <c r="DD204" s="27" t="s">
        <v>7</v>
      </c>
      <c r="EL204" s="27" t="s">
        <v>7</v>
      </c>
    </row>
    <row r="205" spans="1:143" x14ac:dyDescent="0.25">
      <c r="A205" s="30">
        <v>5.5160153675922574</v>
      </c>
      <c r="E205"/>
      <c r="AM205" s="27" t="s">
        <v>8</v>
      </c>
      <c r="AN205" s="27" t="s">
        <v>7</v>
      </c>
      <c r="AO205" s="27" t="s">
        <v>8</v>
      </c>
      <c r="CR205" s="27" t="s">
        <v>7</v>
      </c>
      <c r="CS205" s="27" t="s">
        <v>8</v>
      </c>
      <c r="CT205" s="27" t="s">
        <v>7</v>
      </c>
      <c r="CU205" s="27" t="s">
        <v>8</v>
      </c>
      <c r="DB205" s="27" t="s">
        <v>7</v>
      </c>
      <c r="DC205" s="27" t="s">
        <v>8</v>
      </c>
      <c r="EL205" s="27" t="s">
        <v>7</v>
      </c>
    </row>
    <row r="206" spans="1:143" x14ac:dyDescent="0.25">
      <c r="A206" s="30">
        <v>5.2533479691354827</v>
      </c>
      <c r="C206"/>
      <c r="D206"/>
      <c r="E206"/>
      <c r="AC206" s="27" t="s">
        <v>8</v>
      </c>
      <c r="AM206" s="27" t="s">
        <v>8</v>
      </c>
      <c r="AN206" s="27" t="s">
        <v>7</v>
      </c>
      <c r="CR206" s="27" t="s">
        <v>7</v>
      </c>
      <c r="CS206" s="27" t="s">
        <v>8</v>
      </c>
      <c r="CT206" s="27" t="s">
        <v>7</v>
      </c>
      <c r="DB206" s="27" t="s">
        <v>7</v>
      </c>
      <c r="DC206" s="27" t="s">
        <v>8</v>
      </c>
      <c r="EL206" s="27" t="s">
        <v>7</v>
      </c>
    </row>
    <row r="207" spans="1:143" x14ac:dyDescent="0.25">
      <c r="A207" s="30">
        <v>5.0031885420337927</v>
      </c>
      <c r="E207"/>
      <c r="AC207" s="27" t="s">
        <v>8</v>
      </c>
      <c r="AD207" s="27" t="s">
        <v>7</v>
      </c>
      <c r="AG207" s="27" t="s">
        <v>8</v>
      </c>
      <c r="AM207" s="27" t="s">
        <v>8</v>
      </c>
      <c r="CR207" s="27" t="s">
        <v>7</v>
      </c>
      <c r="DB207" s="27" t="s">
        <v>7</v>
      </c>
      <c r="EL207" s="27" t="s">
        <v>7</v>
      </c>
    </row>
    <row r="208" spans="1:143" x14ac:dyDescent="0.25">
      <c r="A208" s="30">
        <v>4.7649414686036122</v>
      </c>
      <c r="E208"/>
      <c r="AC208" s="27" t="s">
        <v>8</v>
      </c>
      <c r="AD208" s="27" t="s">
        <v>7</v>
      </c>
      <c r="AE208" s="27" t="s">
        <v>8</v>
      </c>
      <c r="AG208" s="27" t="s">
        <v>8</v>
      </c>
      <c r="AH208" s="27" t="s">
        <v>7</v>
      </c>
      <c r="AI208" s="27" t="s">
        <v>8</v>
      </c>
      <c r="AK208" s="27" t="s">
        <v>8</v>
      </c>
      <c r="AM208" s="27" t="s">
        <v>8</v>
      </c>
      <c r="EL208" s="27" t="s">
        <v>7</v>
      </c>
      <c r="EM208" s="27" t="s">
        <v>8</v>
      </c>
    </row>
    <row r="209" spans="1:143" x14ac:dyDescent="0.25">
      <c r="A209" s="30">
        <v>4.5380394939082018</v>
      </c>
      <c r="E209"/>
      <c r="AC209" s="27" t="s">
        <v>8</v>
      </c>
      <c r="AD209" s="27" t="s">
        <v>7</v>
      </c>
      <c r="AE209" s="27" t="s">
        <v>8</v>
      </c>
      <c r="AF209" s="27" t="s">
        <v>7</v>
      </c>
      <c r="AG209" s="27" t="s">
        <v>8</v>
      </c>
      <c r="AH209" s="27" t="s">
        <v>7</v>
      </c>
      <c r="AI209" s="27" t="s">
        <v>8</v>
      </c>
      <c r="AJ209" s="27" t="s">
        <v>7</v>
      </c>
      <c r="AK209" s="27" t="s">
        <v>8</v>
      </c>
      <c r="AL209" s="27" t="s">
        <v>7</v>
      </c>
      <c r="AM209" s="27" t="s">
        <v>8</v>
      </c>
      <c r="EL209" s="27" t="s">
        <v>7</v>
      </c>
      <c r="EM209" s="27" t="s">
        <v>8</v>
      </c>
    </row>
    <row r="210" spans="1:143" x14ac:dyDescent="0.25">
      <c r="A210" s="30">
        <v>4.3219423751506678</v>
      </c>
      <c r="C210"/>
      <c r="E210"/>
      <c r="AC210" s="27" t="s">
        <v>8</v>
      </c>
      <c r="AD210" s="27" t="s">
        <v>7</v>
      </c>
      <c r="AE210" s="27" t="s">
        <v>8</v>
      </c>
      <c r="AF210" s="27" t="s">
        <v>7</v>
      </c>
      <c r="AG210" s="27" t="s">
        <v>8</v>
      </c>
      <c r="AH210" s="27" t="s">
        <v>7</v>
      </c>
      <c r="AI210" s="27" t="s">
        <v>8</v>
      </c>
      <c r="AJ210" s="27" t="s">
        <v>7</v>
      </c>
      <c r="AK210" s="27" t="s">
        <v>8</v>
      </c>
      <c r="AL210" s="27" t="s">
        <v>7</v>
      </c>
      <c r="AM210" s="27" t="s">
        <v>8</v>
      </c>
      <c r="EL210" s="27" t="s">
        <v>7</v>
      </c>
      <c r="EM210" s="27" t="s">
        <v>8</v>
      </c>
    </row>
    <row r="211" spans="1:143" x14ac:dyDescent="0.25">
      <c r="A211" s="30">
        <v>4.1161355953815884</v>
      </c>
      <c r="E211"/>
      <c r="AC211" s="27" t="s">
        <v>8</v>
      </c>
      <c r="AD211" s="27" t="s">
        <v>7</v>
      </c>
      <c r="AE211" s="27" t="s">
        <v>8</v>
      </c>
      <c r="AF211" s="27" t="s">
        <v>7</v>
      </c>
      <c r="AG211" s="27" t="s">
        <v>8</v>
      </c>
      <c r="AH211" s="27" t="s">
        <v>7</v>
      </c>
      <c r="AI211" s="27" t="s">
        <v>8</v>
      </c>
      <c r="AJ211" s="27" t="s">
        <v>7</v>
      </c>
      <c r="AL211" s="27" t="s">
        <v>7</v>
      </c>
      <c r="AM211" s="27" t="s">
        <v>8</v>
      </c>
      <c r="EL211" s="27" t="s">
        <v>7</v>
      </c>
      <c r="EM211" s="27" t="s">
        <v>8</v>
      </c>
    </row>
    <row r="212" spans="1:143" x14ac:dyDescent="0.25">
      <c r="A212" s="30">
        <v>3.9201291384586554</v>
      </c>
      <c r="E212"/>
      <c r="AA212" s="27" t="s">
        <v>8</v>
      </c>
      <c r="AC212" s="27" t="s">
        <v>8</v>
      </c>
      <c r="AD212" s="27" t="s">
        <v>7</v>
      </c>
      <c r="AF212" s="27" t="s">
        <v>7</v>
      </c>
      <c r="AH212" s="27" t="s">
        <v>7</v>
      </c>
      <c r="AI212" s="27" t="s">
        <v>8</v>
      </c>
      <c r="AL212" s="27" t="s">
        <v>7</v>
      </c>
      <c r="EL212" s="27" t="s">
        <v>7</v>
      </c>
    </row>
    <row r="213" spans="1:143" x14ac:dyDescent="0.25">
      <c r="A213" s="30">
        <v>3.7334563223415764</v>
      </c>
      <c r="E213"/>
      <c r="AA213" s="27" t="s">
        <v>8</v>
      </c>
      <c r="AB213" s="27" t="s">
        <v>7</v>
      </c>
      <c r="AC213" s="27" t="s">
        <v>8</v>
      </c>
      <c r="AH213" s="27" t="s">
        <v>7</v>
      </c>
      <c r="AI213" s="27" t="s">
        <v>8</v>
      </c>
    </row>
    <row r="214" spans="1:143" x14ac:dyDescent="0.25">
      <c r="A214" s="30">
        <v>3.5556726879443583</v>
      </c>
      <c r="E214"/>
      <c r="AA214" s="27" t="s">
        <v>8</v>
      </c>
      <c r="AB214" s="27" t="s">
        <v>7</v>
      </c>
      <c r="AC214" s="27" t="s">
        <v>8</v>
      </c>
      <c r="AH214" s="27" t="s">
        <v>7</v>
      </c>
    </row>
    <row r="215" spans="1:143" x14ac:dyDescent="0.25">
      <c r="A215" s="30">
        <v>3.3863549408993889</v>
      </c>
      <c r="E215"/>
      <c r="AA215" s="27" t="s">
        <v>8</v>
      </c>
      <c r="AB215" s="27" t="s">
        <v>7</v>
      </c>
      <c r="AC215" s="27" t="s">
        <v>8</v>
      </c>
    </row>
    <row r="216" spans="1:143" x14ac:dyDescent="0.25">
      <c r="A216" s="30">
        <v>3.2250999437137038</v>
      </c>
      <c r="E216"/>
      <c r="AA216" s="27" t="s">
        <v>8</v>
      </c>
      <c r="AB216" s="27" t="s">
        <v>7</v>
      </c>
      <c r="AC216" s="27" t="s">
        <v>8</v>
      </c>
    </row>
    <row r="217" spans="1:143" x14ac:dyDescent="0.25">
      <c r="A217" s="30">
        <v>3.0715237559178128</v>
      </c>
      <c r="E217"/>
      <c r="AA217" s="27" t="s">
        <v>8</v>
      </c>
      <c r="AB217" s="27" t="s">
        <v>7</v>
      </c>
      <c r="AC217" s="27" t="s">
        <v>8</v>
      </c>
    </row>
    <row r="218" spans="1:143" x14ac:dyDescent="0.25">
      <c r="A218" s="30">
        <v>2.9252607199217264</v>
      </c>
      <c r="E218"/>
      <c r="AA218" s="27" t="s">
        <v>8</v>
      </c>
      <c r="AB218" s="27" t="s">
        <v>7</v>
      </c>
      <c r="AC218" s="27" t="s">
        <v>8</v>
      </c>
    </row>
    <row r="219" spans="1:143" x14ac:dyDescent="0.25">
      <c r="A219" s="30">
        <v>2.7859625904016441</v>
      </c>
      <c r="E219"/>
      <c r="AA219" s="27" t="s">
        <v>8</v>
      </c>
      <c r="AB219" s="27" t="s">
        <v>7</v>
      </c>
    </row>
    <row r="220" spans="1:143" x14ac:dyDescent="0.25">
      <c r="A220" s="30">
        <v>2.6532977051444226</v>
      </c>
      <c r="E220"/>
      <c r="AA220" s="27" t="s">
        <v>8</v>
      </c>
    </row>
    <row r="221" spans="1:143" x14ac:dyDescent="0.25">
      <c r="A221" s="30">
        <v>2.5269501953756404</v>
      </c>
      <c r="E221"/>
      <c r="AA221" s="27" t="s">
        <v>8</v>
      </c>
    </row>
    <row r="222" spans="1:143" x14ac:dyDescent="0.25">
      <c r="A222" s="30">
        <v>2.4066192336910861</v>
      </c>
      <c r="E222"/>
      <c r="AA222" s="27" t="s">
        <v>8</v>
      </c>
    </row>
    <row r="223" spans="1:143" x14ac:dyDescent="0.25">
      <c r="A223" s="30">
        <v>2.2920183178010345</v>
      </c>
      <c r="E223"/>
      <c r="Y223" s="27" t="s">
        <v>8</v>
      </c>
      <c r="AA223" s="27" t="s">
        <v>8</v>
      </c>
    </row>
    <row r="224" spans="1:143" x14ac:dyDescent="0.25">
      <c r="A224" s="30">
        <v>2.1828745883819374</v>
      </c>
      <c r="E224"/>
      <c r="Y224" s="27" t="s">
        <v>8</v>
      </c>
      <c r="Z224" s="27" t="s">
        <v>7</v>
      </c>
      <c r="AA224" s="27" t="s">
        <v>8</v>
      </c>
    </row>
    <row r="225" spans="1:27" x14ac:dyDescent="0.25">
      <c r="A225" s="30">
        <v>2.0789281794113688</v>
      </c>
      <c r="E225"/>
      <c r="Y225" s="27" t="s">
        <v>8</v>
      </c>
      <c r="Z225" s="27" t="s">
        <v>7</v>
      </c>
      <c r="AA225" s="27" t="s">
        <v>8</v>
      </c>
    </row>
    <row r="226" spans="1:27" x14ac:dyDescent="0.25">
      <c r="A226" s="30">
        <v>1.9799315994393987</v>
      </c>
      <c r="E226"/>
      <c r="Y226" s="27" t="s">
        <v>8</v>
      </c>
      <c r="Z226" s="27" t="s">
        <v>7</v>
      </c>
      <c r="AA226" s="27" t="s">
        <v>8</v>
      </c>
    </row>
    <row r="227" spans="1:27" x14ac:dyDescent="0.25">
      <c r="A227" s="30">
        <v>1.8856491423232367</v>
      </c>
      <c r="E227"/>
      <c r="W227" s="27" t="s">
        <v>8</v>
      </c>
      <c r="Y227" s="27" t="s">
        <v>8</v>
      </c>
      <c r="Z227" s="27" t="s">
        <v>7</v>
      </c>
      <c r="AA227" s="27" t="s">
        <v>8</v>
      </c>
    </row>
    <row r="228" spans="1:27" x14ac:dyDescent="0.25">
      <c r="A228" s="30">
        <v>1.7958563260221301</v>
      </c>
      <c r="C228" s="7"/>
      <c r="D228"/>
      <c r="E228"/>
      <c r="W228" s="27" t="s">
        <v>8</v>
      </c>
      <c r="X228" s="27" t="s">
        <v>7</v>
      </c>
      <c r="Y228" s="27" t="s">
        <v>8</v>
      </c>
      <c r="Z228" s="27" t="s">
        <v>7</v>
      </c>
    </row>
    <row r="229" spans="1:27" x14ac:dyDescent="0.25">
      <c r="A229" s="30">
        <v>1.7103393581163142</v>
      </c>
      <c r="E229"/>
      <c r="W229" s="27" t="s">
        <v>8</v>
      </c>
      <c r="X229" s="27" t="s">
        <v>7</v>
      </c>
      <c r="Y229" s="27" t="s">
        <v>8</v>
      </c>
    </row>
    <row r="230" spans="1:27" x14ac:dyDescent="0.25">
      <c r="A230" s="30">
        <v>1.628894626777442</v>
      </c>
      <c r="E230"/>
      <c r="Q230" s="27" t="s">
        <v>8</v>
      </c>
      <c r="W230" s="27" t="s">
        <v>8</v>
      </c>
      <c r="X230" s="27" t="s">
        <v>7</v>
      </c>
      <c r="Y230" s="27" t="s">
        <v>8</v>
      </c>
    </row>
    <row r="231" spans="1:27" x14ac:dyDescent="0.25">
      <c r="A231" s="30">
        <v>1.5513282159785162</v>
      </c>
      <c r="C231"/>
      <c r="D231"/>
      <c r="E231"/>
      <c r="Q231" s="27" t="s">
        <v>8</v>
      </c>
      <c r="R231" s="27" t="s">
        <v>7</v>
      </c>
      <c r="W231" s="27" t="s">
        <v>8</v>
      </c>
      <c r="X231" s="27" t="s">
        <v>7</v>
      </c>
    </row>
    <row r="232" spans="1:27" x14ac:dyDescent="0.25">
      <c r="A232" s="30">
        <v>1.477455443789063</v>
      </c>
      <c r="E232"/>
      <c r="Q232" s="27" t="s">
        <v>8</v>
      </c>
      <c r="R232" s="27" t="s">
        <v>7</v>
      </c>
      <c r="S232" s="27" t="s">
        <v>8</v>
      </c>
      <c r="U232" s="27" t="s">
        <v>8</v>
      </c>
      <c r="W232" s="27" t="s">
        <v>8</v>
      </c>
    </row>
    <row r="233" spans="1:27" x14ac:dyDescent="0.25">
      <c r="A233" s="30">
        <v>1.4071004226562505</v>
      </c>
      <c r="E233"/>
      <c r="Q233" s="27" t="s">
        <v>8</v>
      </c>
      <c r="R233" s="27" t="s">
        <v>7</v>
      </c>
      <c r="S233" s="27" t="s">
        <v>8</v>
      </c>
      <c r="T233" s="27" t="s">
        <v>7</v>
      </c>
      <c r="U233" s="27" t="s">
        <v>8</v>
      </c>
      <c r="V233" s="27" t="s">
        <v>7</v>
      </c>
      <c r="W233" s="27" t="s">
        <v>8</v>
      </c>
    </row>
    <row r="234" spans="1:27" x14ac:dyDescent="0.25">
      <c r="A234" s="30">
        <v>1.3400956406250004</v>
      </c>
      <c r="E234"/>
      <c r="Q234" s="27" t="s">
        <v>8</v>
      </c>
      <c r="R234" s="27" t="s">
        <v>7</v>
      </c>
      <c r="S234" s="27" t="s">
        <v>8</v>
      </c>
      <c r="T234" s="27" t="s">
        <v>7</v>
      </c>
      <c r="U234" s="27" t="s">
        <v>8</v>
      </c>
      <c r="V234" s="27" t="s">
        <v>7</v>
      </c>
      <c r="W234" s="27" t="s">
        <v>8</v>
      </c>
    </row>
    <row r="235" spans="1:27" x14ac:dyDescent="0.25">
      <c r="A235" s="30">
        <v>1.2762815625000004</v>
      </c>
      <c r="C235"/>
      <c r="E235"/>
      <c r="Q235" s="27" t="s">
        <v>8</v>
      </c>
      <c r="R235" s="27" t="s">
        <v>7</v>
      </c>
      <c r="S235" s="27" t="s">
        <v>8</v>
      </c>
      <c r="T235" s="27" t="s">
        <v>7</v>
      </c>
      <c r="V235" s="27" t="s">
        <v>7</v>
      </c>
      <c r="W235" s="27" t="s">
        <v>8</v>
      </c>
    </row>
    <row r="236" spans="1:27" x14ac:dyDescent="0.25">
      <c r="A236" s="30">
        <v>1.2155062500000002</v>
      </c>
      <c r="E236"/>
      <c r="G236" s="27" t="s">
        <v>8</v>
      </c>
      <c r="Q236" s="27" t="s">
        <v>8</v>
      </c>
      <c r="R236" s="27" t="s">
        <v>7</v>
      </c>
      <c r="V236" s="27" t="s">
        <v>7</v>
      </c>
      <c r="W236" s="27" t="s">
        <v>8</v>
      </c>
    </row>
    <row r="237" spans="1:27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G237" s="27" t="s">
        <v>8</v>
      </c>
      <c r="H237" s="27" t="s">
        <v>7</v>
      </c>
      <c r="Q237" s="27" t="s">
        <v>8</v>
      </c>
      <c r="V237" s="27" t="s">
        <v>7</v>
      </c>
      <c r="W237" s="27" t="s">
        <v>8</v>
      </c>
    </row>
    <row r="238" spans="1:27" x14ac:dyDescent="0.25">
      <c r="A238" s="30">
        <v>1.1025</v>
      </c>
      <c r="E238"/>
      <c r="G238" s="27" t="s">
        <v>8</v>
      </c>
      <c r="H238" s="27" t="s">
        <v>7</v>
      </c>
      <c r="Q238" s="27" t="s">
        <v>8</v>
      </c>
      <c r="V238" s="27" t="s">
        <v>7</v>
      </c>
      <c r="W238" s="27" t="s">
        <v>8</v>
      </c>
    </row>
    <row r="239" spans="1:27" x14ac:dyDescent="0.25">
      <c r="A239" s="30">
        <v>1.05</v>
      </c>
      <c r="E239"/>
      <c r="G239" s="27" t="s">
        <v>8</v>
      </c>
      <c r="H239" s="27" t="s">
        <v>7</v>
      </c>
      <c r="O239" s="27" t="s">
        <v>8</v>
      </c>
      <c r="Q239" s="27" t="s">
        <v>8</v>
      </c>
      <c r="V239" s="27" t="s">
        <v>7</v>
      </c>
      <c r="W239" s="27" t="s">
        <v>8</v>
      </c>
    </row>
    <row r="240" spans="1:27" x14ac:dyDescent="0.25">
      <c r="A240" s="30">
        <v>1</v>
      </c>
      <c r="E240" s="29" t="s">
        <v>8</v>
      </c>
      <c r="G240" s="27" t="s">
        <v>8</v>
      </c>
      <c r="H240" s="27" t="s">
        <v>7</v>
      </c>
      <c r="O240" s="27" t="s">
        <v>8</v>
      </c>
      <c r="P240" s="27" t="s">
        <v>7</v>
      </c>
      <c r="Q240" s="27" t="s">
        <v>8</v>
      </c>
      <c r="V240" s="27" t="s">
        <v>7</v>
      </c>
      <c r="W240" s="27" t="s">
        <v>8</v>
      </c>
    </row>
    <row r="241" spans="1:22" x14ac:dyDescent="0.25">
      <c r="A241" s="30">
        <v>0.952380952380952</v>
      </c>
      <c r="B241"/>
      <c r="C241"/>
      <c r="D241"/>
      <c r="E241"/>
      <c r="F241" s="27" t="s">
        <v>7</v>
      </c>
      <c r="G241" s="27" t="s">
        <v>8</v>
      </c>
      <c r="H241" s="27" t="s">
        <v>7</v>
      </c>
      <c r="O241" s="27" t="s">
        <v>8</v>
      </c>
      <c r="P241" s="27" t="s">
        <v>7</v>
      </c>
      <c r="Q241" s="27" t="s">
        <v>8</v>
      </c>
      <c r="V241" s="27" t="s">
        <v>7</v>
      </c>
    </row>
    <row r="242" spans="1:22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  <c r="H242" s="27" t="s">
        <v>7</v>
      </c>
      <c r="M242" s="27" t="s">
        <v>8</v>
      </c>
      <c r="O242" s="27" t="s">
        <v>8</v>
      </c>
      <c r="P242" s="27" t="s">
        <v>7</v>
      </c>
    </row>
    <row r="243" spans="1:22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H243" s="27" t="s">
        <v>7</v>
      </c>
      <c r="M243" s="27" t="s">
        <v>8</v>
      </c>
      <c r="N243" s="27" t="s">
        <v>7</v>
      </c>
      <c r="O243" s="27" t="s">
        <v>8</v>
      </c>
    </row>
    <row r="244" spans="1:22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I244" s="27" t="s">
        <v>8</v>
      </c>
      <c r="M244" s="27" t="s">
        <v>8</v>
      </c>
      <c r="N244" s="27" t="s">
        <v>7</v>
      </c>
      <c r="O244" s="27" t="s">
        <v>8</v>
      </c>
    </row>
    <row r="245" spans="1:22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I245" s="27" t="s">
        <v>8</v>
      </c>
      <c r="J245" s="27" t="s">
        <v>7</v>
      </c>
      <c r="K245" s="27" t="s">
        <v>8</v>
      </c>
      <c r="M245" s="27" t="s">
        <v>8</v>
      </c>
      <c r="N245" s="27" t="s">
        <v>7</v>
      </c>
    </row>
    <row r="246" spans="1:22" x14ac:dyDescent="0.25">
      <c r="A246" s="30">
        <v>0.74621539663662584</v>
      </c>
      <c r="B246"/>
      <c r="C246"/>
      <c r="D246"/>
      <c r="E246"/>
      <c r="F246" s="27" t="s">
        <v>7</v>
      </c>
      <c r="H246" s="27" t="s">
        <v>7</v>
      </c>
      <c r="I246" s="27" t="s">
        <v>8</v>
      </c>
      <c r="J246" s="27" t="s">
        <v>7</v>
      </c>
      <c r="K246" s="27" t="s">
        <v>8</v>
      </c>
      <c r="L246" s="27" t="s">
        <v>7</v>
      </c>
      <c r="M246" s="27" t="s">
        <v>8</v>
      </c>
    </row>
    <row r="247" spans="1:22" x14ac:dyDescent="0.25">
      <c r="A247" s="30">
        <v>0.71068133013011958</v>
      </c>
      <c r="B247"/>
      <c r="C247"/>
      <c r="D247"/>
      <c r="E247"/>
      <c r="H247" s="27" t="s">
        <v>7</v>
      </c>
      <c r="I247" s="27" t="s">
        <v>8</v>
      </c>
      <c r="J247" s="27" t="s">
        <v>7</v>
      </c>
      <c r="K247" s="27" t="s">
        <v>8</v>
      </c>
      <c r="L247" s="27" t="s">
        <v>7</v>
      </c>
      <c r="M247" s="27" t="s">
        <v>8</v>
      </c>
    </row>
    <row r="248" spans="1:22" x14ac:dyDescent="0.25">
      <c r="A248" s="30">
        <v>0.676839362028685</v>
      </c>
      <c r="B248"/>
      <c r="C248"/>
      <c r="D248"/>
      <c r="E248"/>
      <c r="H248" s="27" t="s">
        <v>7</v>
      </c>
      <c r="J248" s="27" t="s">
        <v>7</v>
      </c>
      <c r="L248" s="27" t="s">
        <v>7</v>
      </c>
    </row>
    <row r="249" spans="1:22" x14ac:dyDescent="0.25">
      <c r="A249" s="30">
        <v>0.64460891621779492</v>
      </c>
      <c r="B249"/>
      <c r="C249"/>
      <c r="D249"/>
      <c r="E249"/>
    </row>
    <row r="250" spans="1:22" x14ac:dyDescent="0.25">
      <c r="A250" s="30">
        <v>0.61391325354075688</v>
      </c>
      <c r="B250"/>
      <c r="C250"/>
      <c r="D250"/>
      <c r="E250"/>
    </row>
    <row r="251" spans="1:22" x14ac:dyDescent="0.25">
      <c r="A251" s="30">
        <v>0.58467928908643485</v>
      </c>
      <c r="B251"/>
      <c r="C251"/>
      <c r="D251"/>
      <c r="E251"/>
    </row>
    <row r="252" spans="1:22" x14ac:dyDescent="0.25">
      <c r="A252" s="30">
        <v>0.55683741817755672</v>
      </c>
      <c r="B252"/>
      <c r="C252"/>
      <c r="D252"/>
      <c r="E252"/>
    </row>
    <row r="253" spans="1:22" x14ac:dyDescent="0.25">
      <c r="A253" s="30">
        <v>0.53032135064529184</v>
      </c>
      <c r="B253"/>
      <c r="C253"/>
      <c r="D253"/>
      <c r="E253"/>
    </row>
    <row r="254" spans="1:22" x14ac:dyDescent="0.25">
      <c r="A254" s="30">
        <v>0.50506795299551588</v>
      </c>
      <c r="B254"/>
      <c r="C254"/>
      <c r="D254"/>
      <c r="E254"/>
    </row>
    <row r="255" spans="1:22" x14ac:dyDescent="0.25">
      <c r="A255" s="30">
        <v>0.48101709809096732</v>
      </c>
      <c r="E255"/>
    </row>
    <row r="256" spans="1:22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84" operator="equal">
      <formula>$U$1</formula>
    </cfRule>
    <cfRule type="cellIs" dxfId="67" priority="885" operator="equal">
      <formula>$S$1</formula>
    </cfRule>
  </conditionalFormatting>
  <conditionalFormatting sqref="D136">
    <cfRule type="cellIs" dxfId="66" priority="882" operator="equal">
      <formula>$S$1</formula>
    </cfRule>
    <cfRule type="cellIs" dxfId="65" priority="883" operator="equal">
      <formula>$U$1</formula>
    </cfRule>
  </conditionalFormatting>
  <conditionalFormatting sqref="C162">
    <cfRule type="cellIs" dxfId="64" priority="880" operator="equal">
      <formula>$U$1</formula>
    </cfRule>
    <cfRule type="cellIs" dxfId="63" priority="881" operator="equal">
      <formula>$S$1</formula>
    </cfRule>
  </conditionalFormatting>
  <conditionalFormatting sqref="D162">
    <cfRule type="cellIs" dxfId="62" priority="878" operator="equal">
      <formula>$S$1</formula>
    </cfRule>
    <cfRule type="cellIs" dxfId="61" priority="879" operator="equal">
      <formula>$U$1</formula>
    </cfRule>
  </conditionalFormatting>
  <conditionalFormatting sqref="C187">
    <cfRule type="cellIs" dxfId="60" priority="876" operator="equal">
      <formula>$U$1</formula>
    </cfRule>
    <cfRule type="cellIs" dxfId="59" priority="877" operator="equal">
      <formula>$S$1</formula>
    </cfRule>
  </conditionalFormatting>
  <conditionalFormatting sqref="D187">
    <cfRule type="cellIs" dxfId="58" priority="874" operator="equal">
      <formula>$S$1</formula>
    </cfRule>
    <cfRule type="cellIs" dxfId="57" priority="875" operator="equal">
      <formula>$U$1</formula>
    </cfRule>
  </conditionalFormatting>
  <conditionalFormatting sqref="C212">
    <cfRule type="cellIs" dxfId="56" priority="872" operator="equal">
      <formula>$U$1</formula>
    </cfRule>
    <cfRule type="cellIs" dxfId="55" priority="873" operator="equal">
      <formula>$S$1</formula>
    </cfRule>
  </conditionalFormatting>
  <conditionalFormatting sqref="D212">
    <cfRule type="cellIs" dxfId="54" priority="870" operator="equal">
      <formula>$S$1</formula>
    </cfRule>
    <cfRule type="cellIs" dxfId="53" priority="871" operator="equal">
      <formula>$U$1</formula>
    </cfRule>
  </conditionalFormatting>
  <conditionalFormatting sqref="C237">
    <cfRule type="cellIs" dxfId="52" priority="868" operator="equal">
      <formula>$U$1</formula>
    </cfRule>
    <cfRule type="cellIs" dxfId="51" priority="869" operator="equal">
      <formula>$S$1</formula>
    </cfRule>
  </conditionalFormatting>
  <conditionalFormatting sqref="D237">
    <cfRule type="cellIs" dxfId="50" priority="866" operator="equal">
      <formula>$S$1</formula>
    </cfRule>
    <cfRule type="cellIs" dxfId="49" priority="867" operator="equal">
      <formula>$U$1</formula>
    </cfRule>
  </conditionalFormatting>
  <conditionalFormatting sqref="C106">
    <cfRule type="cellIs" dxfId="48" priority="864" operator="equal">
      <formula>$U$1</formula>
    </cfRule>
    <cfRule type="cellIs" dxfId="47" priority="865" operator="equal">
      <formula>$S$1</formula>
    </cfRule>
  </conditionalFormatting>
  <conditionalFormatting sqref="D106">
    <cfRule type="cellIs" dxfId="46" priority="862" operator="equal">
      <formula>$S$1</formula>
    </cfRule>
    <cfRule type="cellIs" dxfId="45" priority="863" operator="equal">
      <formula>$U$1</formula>
    </cfRule>
  </conditionalFormatting>
  <conditionalFormatting sqref="C81">
    <cfRule type="cellIs" dxfId="44" priority="860" operator="equal">
      <formula>$U$1</formula>
    </cfRule>
    <cfRule type="cellIs" dxfId="43" priority="861" operator="equal">
      <formula>$S$1</formula>
    </cfRule>
  </conditionalFormatting>
  <conditionalFormatting sqref="D81">
    <cfRule type="cellIs" dxfId="42" priority="858" operator="equal">
      <formula>$S$1</formula>
    </cfRule>
    <cfRule type="cellIs" dxfId="41" priority="859" operator="equal">
      <formula>$U$1</formula>
    </cfRule>
  </conditionalFormatting>
  <conditionalFormatting sqref="C56">
    <cfRule type="cellIs" dxfId="40" priority="856" operator="equal">
      <formula>$U$1</formula>
    </cfRule>
    <cfRule type="cellIs" dxfId="39" priority="857" operator="equal">
      <formula>$S$1</formula>
    </cfRule>
  </conditionalFormatting>
  <conditionalFormatting sqref="D56">
    <cfRule type="cellIs" dxfId="38" priority="854" operator="equal">
      <formula>$S$1</formula>
    </cfRule>
    <cfRule type="cellIs" dxfId="37" priority="855" operator="equal">
      <formula>$U$1</formula>
    </cfRule>
  </conditionalFormatting>
  <conditionalFormatting sqref="C31">
    <cfRule type="cellIs" dxfId="36" priority="852" operator="equal">
      <formula>$U$1</formula>
    </cfRule>
    <cfRule type="cellIs" dxfId="35" priority="853" operator="equal">
      <formula>$S$1</formula>
    </cfRule>
  </conditionalFormatting>
  <conditionalFormatting sqref="D31">
    <cfRule type="cellIs" dxfId="34" priority="850" operator="equal">
      <formula>$S$1</formula>
    </cfRule>
    <cfRule type="cellIs" dxfId="33" priority="85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V107" sqref="AV10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8" x14ac:dyDescent="0.25">
      <c r="A81" s="30">
        <v>45.259255568176073</v>
      </c>
      <c r="E81"/>
    </row>
    <row r="82" spans="1:48" x14ac:dyDescent="0.25">
      <c r="A82" s="30">
        <v>41.144777789250973</v>
      </c>
      <c r="E82"/>
    </row>
    <row r="83" spans="1:48" x14ac:dyDescent="0.25">
      <c r="A83" s="30">
        <v>37.404343444773609</v>
      </c>
      <c r="E83"/>
    </row>
    <row r="84" spans="1:48" x14ac:dyDescent="0.25">
      <c r="A84" s="30">
        <v>34.003948586157826</v>
      </c>
      <c r="E84"/>
    </row>
    <row r="85" spans="1:48" x14ac:dyDescent="0.25">
      <c r="A85" s="30">
        <v>30.912680532870748</v>
      </c>
      <c r="E85"/>
    </row>
    <row r="86" spans="1:48" x14ac:dyDescent="0.25">
      <c r="A86" s="30">
        <v>28.102436848064315</v>
      </c>
      <c r="E86"/>
    </row>
    <row r="87" spans="1:48" x14ac:dyDescent="0.25">
      <c r="A87" s="30">
        <v>25.547669861876649</v>
      </c>
      <c r="E87"/>
    </row>
    <row r="88" spans="1:48" x14ac:dyDescent="0.25">
      <c r="A88" s="30">
        <v>23.225154419887861</v>
      </c>
      <c r="E88"/>
      <c r="Y88" s="27" t="s">
        <v>8</v>
      </c>
      <c r="AA88" s="27" t="s">
        <v>8</v>
      </c>
    </row>
    <row r="89" spans="1:48" x14ac:dyDescent="0.25">
      <c r="A89" s="30">
        <v>21.113776745352599</v>
      </c>
      <c r="E89"/>
      <c r="W89" s="27" t="s">
        <v>8</v>
      </c>
      <c r="Y89" s="27" t="s">
        <v>8</v>
      </c>
      <c r="Z89" s="27" t="s">
        <v>7</v>
      </c>
      <c r="AA89" s="27" t="s">
        <v>8</v>
      </c>
      <c r="AB89" s="27" t="s">
        <v>7</v>
      </c>
    </row>
    <row r="90" spans="1:48" x14ac:dyDescent="0.25">
      <c r="A90" s="30">
        <v>19.194342495775089</v>
      </c>
      <c r="E90"/>
      <c r="W90" s="27" t="s">
        <v>8</v>
      </c>
      <c r="X90" s="27" t="s">
        <v>7</v>
      </c>
      <c r="Y90" s="27" t="s">
        <v>8</v>
      </c>
      <c r="Z90" s="27" t="s">
        <v>7</v>
      </c>
      <c r="AA90" s="27" t="s">
        <v>8</v>
      </c>
      <c r="AB90" s="27" t="s">
        <v>7</v>
      </c>
    </row>
    <row r="91" spans="1:48" x14ac:dyDescent="0.25">
      <c r="A91" s="30">
        <v>17.449402268886445</v>
      </c>
      <c r="E91"/>
      <c r="U91" s="27" t="s">
        <v>8</v>
      </c>
      <c r="W91" s="27" t="s">
        <v>8</v>
      </c>
      <c r="X91" s="27" t="s">
        <v>7</v>
      </c>
      <c r="Y91" s="27" t="s">
        <v>8</v>
      </c>
      <c r="Z91" s="27" t="s">
        <v>7</v>
      </c>
      <c r="AA91" s="27" t="s">
        <v>8</v>
      </c>
      <c r="AB91" s="27" t="s">
        <v>7</v>
      </c>
    </row>
    <row r="92" spans="1:48" x14ac:dyDescent="0.25">
      <c r="A92" s="30">
        <v>15.863092971714948</v>
      </c>
      <c r="C92" s="1" t="s">
        <v>15</v>
      </c>
      <c r="E92"/>
      <c r="U92" s="27" t="s">
        <v>8</v>
      </c>
      <c r="V92" s="27" t="s">
        <v>7</v>
      </c>
      <c r="W92" s="27" t="s">
        <v>8</v>
      </c>
      <c r="X92" s="27" t="s">
        <v>7</v>
      </c>
      <c r="Y92" s="27" t="s">
        <v>8</v>
      </c>
      <c r="Z92" s="27" t="s">
        <v>7</v>
      </c>
      <c r="AB92" s="27" t="s">
        <v>7</v>
      </c>
      <c r="AO92" s="27" t="s">
        <v>8</v>
      </c>
    </row>
    <row r="93" spans="1:48" x14ac:dyDescent="0.25">
      <c r="A93" s="30">
        <v>14.420993610649951</v>
      </c>
      <c r="C93" s="7">
        <v>0.11167815779424731</v>
      </c>
      <c r="D93"/>
      <c r="E93"/>
      <c r="U93" s="27" t="s">
        <v>8</v>
      </c>
      <c r="V93" s="27" t="s">
        <v>7</v>
      </c>
      <c r="W93" s="27" t="s">
        <v>8</v>
      </c>
      <c r="X93" s="27" t="s">
        <v>7</v>
      </c>
      <c r="Y93" s="27" t="s">
        <v>8</v>
      </c>
      <c r="AB93" s="27" t="s">
        <v>7</v>
      </c>
      <c r="AM93" s="27" t="s">
        <v>8</v>
      </c>
      <c r="AO93" s="27" t="s">
        <v>8</v>
      </c>
      <c r="AP93" s="27" t="s">
        <v>7</v>
      </c>
      <c r="AQ93" s="27" t="s">
        <v>8</v>
      </c>
      <c r="AS93" s="27" t="s">
        <v>8</v>
      </c>
    </row>
    <row r="94" spans="1:48" x14ac:dyDescent="0.25">
      <c r="A94" s="30">
        <v>13.109994191499954</v>
      </c>
      <c r="E94"/>
      <c r="U94" s="27" t="s">
        <v>8</v>
      </c>
      <c r="V94" s="27" t="s">
        <v>7</v>
      </c>
      <c r="W94" s="27" t="s">
        <v>8</v>
      </c>
      <c r="X94" s="27" t="s">
        <v>7</v>
      </c>
      <c r="AB94" s="27" t="s">
        <v>7</v>
      </c>
      <c r="AC94" s="27" t="s">
        <v>8</v>
      </c>
      <c r="AM94" s="27" t="s">
        <v>8</v>
      </c>
      <c r="AN94" s="27" t="s">
        <v>7</v>
      </c>
      <c r="AO94" s="27" t="s">
        <v>8</v>
      </c>
      <c r="AP94" s="27" t="s">
        <v>7</v>
      </c>
      <c r="AQ94" s="27" t="s">
        <v>8</v>
      </c>
      <c r="AR94" s="27" t="s">
        <v>7</v>
      </c>
      <c r="AS94" s="27" t="s">
        <v>8</v>
      </c>
      <c r="AT94" s="27" t="s">
        <v>7</v>
      </c>
    </row>
    <row r="95" spans="1:48" x14ac:dyDescent="0.25">
      <c r="A95" s="30">
        <v>11.918176537727231</v>
      </c>
      <c r="C95" s="1" t="s">
        <v>11</v>
      </c>
      <c r="D95" s="1" t="s">
        <v>12</v>
      </c>
      <c r="E95"/>
      <c r="U95" s="27" t="s">
        <v>8</v>
      </c>
      <c r="V95" s="27" t="s">
        <v>7</v>
      </c>
      <c r="W95" s="27" t="s">
        <v>8</v>
      </c>
      <c r="AB95" s="27" t="s">
        <v>7</v>
      </c>
      <c r="AC95" s="27" t="s">
        <v>8</v>
      </c>
      <c r="AD95" s="27" t="s">
        <v>7</v>
      </c>
      <c r="AM95" s="27" t="s">
        <v>8</v>
      </c>
      <c r="AN95" s="27" t="s">
        <v>7</v>
      </c>
      <c r="AO95" s="27" t="s">
        <v>8</v>
      </c>
      <c r="AP95" s="27" t="s">
        <v>7</v>
      </c>
      <c r="AQ95" s="27" t="s">
        <v>8</v>
      </c>
      <c r="AR95" s="27" t="s">
        <v>7</v>
      </c>
      <c r="AS95" s="27" t="s">
        <v>8</v>
      </c>
      <c r="AT95" s="27" t="s">
        <v>7</v>
      </c>
      <c r="AU95" s="27" t="s">
        <v>8</v>
      </c>
    </row>
    <row r="96" spans="1:48" x14ac:dyDescent="0.25">
      <c r="A96" s="30">
        <v>10.834705943388391</v>
      </c>
      <c r="C96"/>
      <c r="D96"/>
      <c r="E96"/>
      <c r="S96" s="27" t="s">
        <v>8</v>
      </c>
      <c r="U96" s="27" t="s">
        <v>8</v>
      </c>
      <c r="V96" s="27" t="s">
        <v>7</v>
      </c>
      <c r="AB96" s="27" t="s">
        <v>7</v>
      </c>
      <c r="AC96" s="27" t="s">
        <v>8</v>
      </c>
      <c r="AD96" s="27" t="s">
        <v>7</v>
      </c>
      <c r="AE96" s="27" t="s">
        <v>8</v>
      </c>
      <c r="AG96" s="27" t="s">
        <v>8</v>
      </c>
      <c r="AM96" s="27" t="s">
        <v>8</v>
      </c>
      <c r="AN96" s="27" t="s">
        <v>7</v>
      </c>
      <c r="AP96" s="27" t="s">
        <v>7</v>
      </c>
      <c r="AQ96" s="27" t="s">
        <v>8</v>
      </c>
      <c r="AR96" s="27" t="s">
        <v>7</v>
      </c>
      <c r="AT96" s="27" t="s">
        <v>7</v>
      </c>
      <c r="AU96" s="27" t="s">
        <v>8</v>
      </c>
      <c r="AV96" s="27" t="s">
        <v>7</v>
      </c>
    </row>
    <row r="97" spans="1:48" x14ac:dyDescent="0.25">
      <c r="A97" s="30">
        <v>9.849732675807628</v>
      </c>
      <c r="E97"/>
      <c r="S97" s="27" t="s">
        <v>8</v>
      </c>
      <c r="T97" s="27" t="s">
        <v>7</v>
      </c>
      <c r="U97" s="27" t="s">
        <v>8</v>
      </c>
      <c r="AB97" s="27" t="s">
        <v>7</v>
      </c>
      <c r="AC97" s="27" t="s">
        <v>8</v>
      </c>
      <c r="AD97" s="27" t="s">
        <v>7</v>
      </c>
      <c r="AE97" s="27" t="s">
        <v>8</v>
      </c>
      <c r="AF97" s="27" t="s">
        <v>7</v>
      </c>
      <c r="AG97" s="27" t="s">
        <v>8</v>
      </c>
      <c r="AH97" s="27" t="s">
        <v>7</v>
      </c>
      <c r="AI97" s="27" t="s">
        <v>8</v>
      </c>
      <c r="AM97" s="27" t="s">
        <v>8</v>
      </c>
      <c r="AP97" s="27" t="s">
        <v>7</v>
      </c>
      <c r="AQ97" s="27" t="s">
        <v>8</v>
      </c>
      <c r="AT97" s="27" t="s">
        <v>7</v>
      </c>
      <c r="AU97" s="27" t="s">
        <v>8</v>
      </c>
      <c r="AV97" s="27" t="s">
        <v>7</v>
      </c>
    </row>
    <row r="98" spans="1:48" x14ac:dyDescent="0.25">
      <c r="A98" s="30">
        <v>8.9543024325523888</v>
      </c>
      <c r="C98" s="1" t="s">
        <v>13</v>
      </c>
      <c r="E98"/>
      <c r="S98" s="27" t="s">
        <v>8</v>
      </c>
      <c r="T98" s="27" t="s">
        <v>7</v>
      </c>
      <c r="U98" s="27" t="s">
        <v>8</v>
      </c>
      <c r="AB98" s="27" t="s">
        <v>7</v>
      </c>
      <c r="AC98" s="27" t="s">
        <v>8</v>
      </c>
      <c r="AD98" s="27" t="s">
        <v>7</v>
      </c>
      <c r="AE98" s="27" t="s">
        <v>8</v>
      </c>
      <c r="AF98" s="27" t="s">
        <v>7</v>
      </c>
      <c r="AG98" s="27" t="s">
        <v>8</v>
      </c>
      <c r="AH98" s="27" t="s">
        <v>7</v>
      </c>
      <c r="AI98" s="27" t="s">
        <v>8</v>
      </c>
      <c r="AJ98" s="27" t="s">
        <v>7</v>
      </c>
      <c r="AM98" s="27" t="s">
        <v>8</v>
      </c>
      <c r="AP98" s="27" t="s">
        <v>7</v>
      </c>
      <c r="AQ98" s="27" t="s">
        <v>8</v>
      </c>
      <c r="AT98" s="27" t="s">
        <v>7</v>
      </c>
      <c r="AV98" s="27" t="s">
        <v>7</v>
      </c>
    </row>
    <row r="99" spans="1:48" x14ac:dyDescent="0.25">
      <c r="A99" s="30">
        <v>8.140274938683989</v>
      </c>
      <c r="C99" s="1">
        <f>C88</f>
        <v>0</v>
      </c>
      <c r="E99"/>
      <c r="S99" s="27" t="s">
        <v>8</v>
      </c>
      <c r="T99" s="27" t="s">
        <v>7</v>
      </c>
      <c r="U99" s="27" t="s">
        <v>8</v>
      </c>
      <c r="AB99" s="27" t="s">
        <v>7</v>
      </c>
      <c r="AD99" s="27" t="s">
        <v>7</v>
      </c>
      <c r="AE99" s="27" t="s">
        <v>8</v>
      </c>
      <c r="AF99" s="27" t="s">
        <v>7</v>
      </c>
      <c r="AH99" s="27" t="s">
        <v>7</v>
      </c>
      <c r="AI99" s="27" t="s">
        <v>8</v>
      </c>
      <c r="AJ99" s="27" t="s">
        <v>7</v>
      </c>
      <c r="AK99" s="27" t="s">
        <v>8</v>
      </c>
      <c r="AM99" s="27" t="s">
        <v>8</v>
      </c>
      <c r="AP99" s="27" t="s">
        <v>7</v>
      </c>
      <c r="AV99" s="27" t="s">
        <v>7</v>
      </c>
    </row>
    <row r="100" spans="1:48" x14ac:dyDescent="0.25">
      <c r="A100" s="30">
        <v>7.4002499442581717</v>
      </c>
      <c r="C100"/>
      <c r="D100"/>
      <c r="E100"/>
      <c r="S100" s="27" t="s">
        <v>8</v>
      </c>
      <c r="T100" s="27" t="s">
        <v>7</v>
      </c>
      <c r="U100" s="27" t="s">
        <v>8</v>
      </c>
      <c r="AD100" s="27" t="s">
        <v>7</v>
      </c>
      <c r="AE100" s="27" t="s">
        <v>8</v>
      </c>
      <c r="AH100" s="27" t="s">
        <v>7</v>
      </c>
      <c r="AJ100" s="27" t="s">
        <v>7</v>
      </c>
      <c r="AK100" s="27" t="s">
        <v>8</v>
      </c>
      <c r="AL100" s="27" t="s">
        <v>7</v>
      </c>
      <c r="AM100" s="27" t="s">
        <v>8</v>
      </c>
      <c r="AV100" s="27" t="s">
        <v>7</v>
      </c>
    </row>
    <row r="101" spans="1:48" x14ac:dyDescent="0.25">
      <c r="A101" s="30">
        <v>6.72749994932561</v>
      </c>
      <c r="C101" s="1" t="s">
        <v>14</v>
      </c>
      <c r="E101"/>
      <c r="S101" s="27" t="s">
        <v>8</v>
      </c>
      <c r="T101" s="27" t="s">
        <v>7</v>
      </c>
      <c r="AD101" s="27" t="s">
        <v>7</v>
      </c>
      <c r="AE101" s="27" t="s">
        <v>8</v>
      </c>
      <c r="AJ101" s="27" t="s">
        <v>7</v>
      </c>
      <c r="AK101" s="27" t="s">
        <v>8</v>
      </c>
      <c r="AL101" s="27" t="s">
        <v>7</v>
      </c>
      <c r="AM101" s="27" t="s">
        <v>8</v>
      </c>
      <c r="AV101" s="27" t="s">
        <v>7</v>
      </c>
    </row>
    <row r="102" spans="1:4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S102" s="27" t="s">
        <v>8</v>
      </c>
      <c r="AD102" s="27" t="s">
        <v>7</v>
      </c>
      <c r="AJ102" s="27" t="s">
        <v>7</v>
      </c>
      <c r="AK102" s="27" t="s">
        <v>8</v>
      </c>
      <c r="AL102" s="27" t="s">
        <v>7</v>
      </c>
      <c r="AM102" s="27" t="s">
        <v>8</v>
      </c>
      <c r="AV102" s="27" t="s">
        <v>7</v>
      </c>
    </row>
    <row r="103" spans="1:48" x14ac:dyDescent="0.25">
      <c r="A103" s="30">
        <v>5.5599173134922388</v>
      </c>
      <c r="E103"/>
      <c r="S103" s="27" t="s">
        <v>8</v>
      </c>
      <c r="AJ103" s="27" t="s">
        <v>7</v>
      </c>
      <c r="AK103" s="27" t="s">
        <v>8</v>
      </c>
      <c r="AL103" s="18" t="s">
        <v>7</v>
      </c>
      <c r="AM103" s="27" t="s">
        <v>8</v>
      </c>
      <c r="AV103" s="27" t="s">
        <v>7</v>
      </c>
    </row>
    <row r="104" spans="1:48" x14ac:dyDescent="0.25">
      <c r="A104" s="30">
        <v>5.0544702849929442</v>
      </c>
      <c r="E104"/>
      <c r="O104" s="27" t="s">
        <v>8</v>
      </c>
      <c r="Q104" s="27" t="s">
        <v>8</v>
      </c>
      <c r="S104" s="27" t="s">
        <v>8</v>
      </c>
      <c r="AJ104" s="27" t="s">
        <v>7</v>
      </c>
      <c r="AL104" s="27" t="s">
        <v>7</v>
      </c>
      <c r="AV104" s="27" t="s">
        <v>7</v>
      </c>
    </row>
    <row r="105" spans="1:48" x14ac:dyDescent="0.25">
      <c r="A105" s="30">
        <v>4.594972986357222</v>
      </c>
      <c r="E105"/>
      <c r="O105" s="27" t="s">
        <v>8</v>
      </c>
      <c r="P105" s="27" t="s">
        <v>7</v>
      </c>
      <c r="Q105" s="27" t="s">
        <v>8</v>
      </c>
      <c r="R105" s="27" t="s">
        <v>7</v>
      </c>
      <c r="S105" s="27" t="s">
        <v>8</v>
      </c>
      <c r="AV105" s="27" t="s">
        <v>7</v>
      </c>
    </row>
    <row r="106" spans="1:48" x14ac:dyDescent="0.25">
      <c r="A106" s="30">
        <v>4.1772481694156562</v>
      </c>
      <c r="E106"/>
      <c r="O106" s="27" t="s">
        <v>8</v>
      </c>
      <c r="P106" s="27" t="s">
        <v>7</v>
      </c>
      <c r="Q106" s="27" t="s">
        <v>8</v>
      </c>
      <c r="R106" s="27" t="s">
        <v>7</v>
      </c>
      <c r="S106" s="27" t="s">
        <v>8</v>
      </c>
      <c r="AV106" s="27" t="s">
        <v>7</v>
      </c>
    </row>
    <row r="107" spans="1:48" x14ac:dyDescent="0.25">
      <c r="A107" s="30">
        <v>3.7974983358324148</v>
      </c>
      <c r="E107"/>
      <c r="M107" s="27" t="s">
        <v>8</v>
      </c>
      <c r="O107" s="27" t="s">
        <v>8</v>
      </c>
      <c r="P107" s="27" t="s">
        <v>7</v>
      </c>
      <c r="R107" s="27" t="s">
        <v>7</v>
      </c>
      <c r="AV107" s="27" t="s">
        <v>7</v>
      </c>
    </row>
    <row r="108" spans="1:48" x14ac:dyDescent="0.25">
      <c r="A108" s="30">
        <v>3.4522712143931042</v>
      </c>
      <c r="E108"/>
      <c r="M108" s="27" t="s">
        <v>8</v>
      </c>
      <c r="N108" s="27" t="s">
        <v>7</v>
      </c>
      <c r="O108" s="27" t="s">
        <v>8</v>
      </c>
    </row>
    <row r="109" spans="1:48" x14ac:dyDescent="0.25">
      <c r="A109" s="30">
        <v>3.1384283767210035</v>
      </c>
      <c r="E109"/>
      <c r="M109" s="27" t="s">
        <v>8</v>
      </c>
      <c r="N109" s="27" t="s">
        <v>7</v>
      </c>
      <c r="O109" s="27" t="s">
        <v>8</v>
      </c>
    </row>
    <row r="110" spans="1:48" x14ac:dyDescent="0.25">
      <c r="A110" s="30">
        <v>2.8531167061100029</v>
      </c>
      <c r="E110"/>
      <c r="M110" s="27" t="s">
        <v>8</v>
      </c>
      <c r="N110" s="27" t="s">
        <v>7</v>
      </c>
    </row>
    <row r="111" spans="1:48" x14ac:dyDescent="0.25">
      <c r="A111" s="30">
        <v>2.5937424601000023</v>
      </c>
      <c r="C111" s="1" t="str">
        <f>ADDRESS(C121-1,1,1,1)</f>
        <v>$A$106</v>
      </c>
      <c r="D111" s="1" t="str">
        <f>ADDRESS(C121-1,D121,1,1)</f>
        <v>$AV$106</v>
      </c>
      <c r="E111"/>
      <c r="M111" s="27" t="s">
        <v>8</v>
      </c>
    </row>
    <row r="112" spans="1:48" x14ac:dyDescent="0.25">
      <c r="A112" s="30">
        <v>2.3579476910000019</v>
      </c>
      <c r="C112" s="1" t="str">
        <f>ADDRESS(C121,1,1,1)</f>
        <v>$A$107</v>
      </c>
      <c r="D112" s="1" t="str">
        <f>ADDRESS(C121,D121-1,1,1)</f>
        <v>$AU$107</v>
      </c>
      <c r="E112"/>
      <c r="K112" s="27" t="s">
        <v>8</v>
      </c>
      <c r="M112" s="27" t="s">
        <v>8</v>
      </c>
    </row>
    <row r="113" spans="1:13" x14ac:dyDescent="0.25">
      <c r="A113" s="30">
        <v>2.1435888100000016</v>
      </c>
      <c r="C113" s="1" t="str">
        <f>ADDRESS(C121+1,1,1,1)</f>
        <v>$A$108</v>
      </c>
      <c r="D113" s="1" t="str">
        <f>ADDRESS(C121-1,D121+1,1,1)</f>
        <v>$AW$106</v>
      </c>
      <c r="K113" s="27" t="s">
        <v>8</v>
      </c>
      <c r="L113" s="27" t="s">
        <v>7</v>
      </c>
      <c r="M113" s="27" t="s">
        <v>8</v>
      </c>
    </row>
    <row r="114" spans="1:13" x14ac:dyDescent="0.25">
      <c r="A114" s="30">
        <v>1.9487171000000014</v>
      </c>
      <c r="C114" s="1" t="str">
        <f>ADDRESS(C121,D121,1,1)</f>
        <v>$AV$107</v>
      </c>
      <c r="D114" s="1" t="str">
        <f>ADDRESS(C121+1,D121+1,1,1)</f>
        <v>$AW$108</v>
      </c>
      <c r="K114" s="27" t="s">
        <v>8</v>
      </c>
      <c r="L114" s="27" t="s">
        <v>7</v>
      </c>
      <c r="M114" s="27" t="s">
        <v>8</v>
      </c>
    </row>
    <row r="115" spans="1:13" x14ac:dyDescent="0.25">
      <c r="A115" s="30">
        <v>1.7715610000000011</v>
      </c>
      <c r="C115" s="1" t="str">
        <f>ADDRESS(C121+1,D121,1,1)</f>
        <v>$AV$108</v>
      </c>
      <c r="K115" s="27" t="s">
        <v>8</v>
      </c>
      <c r="L115" s="27" t="s">
        <v>7</v>
      </c>
    </row>
    <row r="116" spans="1:13" x14ac:dyDescent="0.25">
      <c r="A116" s="30">
        <v>1.6105100000000008</v>
      </c>
      <c r="C116" s="1">
        <f>C117-1</f>
        <v>106</v>
      </c>
      <c r="I116" s="27" t="s">
        <v>8</v>
      </c>
      <c r="K116" s="27" t="s">
        <v>8</v>
      </c>
    </row>
    <row r="117" spans="1:13" x14ac:dyDescent="0.25">
      <c r="A117" s="30">
        <v>1.4641000000000006</v>
      </c>
      <c r="C117" s="1">
        <f>C121</f>
        <v>107</v>
      </c>
      <c r="D117" s="1">
        <f>D121</f>
        <v>48</v>
      </c>
      <c r="I117" s="27" t="s">
        <v>8</v>
      </c>
      <c r="J117" s="27" t="s">
        <v>7</v>
      </c>
      <c r="K117" s="27" t="s">
        <v>8</v>
      </c>
    </row>
    <row r="118" spans="1:13" x14ac:dyDescent="0.25">
      <c r="A118" s="30">
        <v>1.3310000000000004</v>
      </c>
      <c r="C118" s="1">
        <f>C117+1</f>
        <v>108</v>
      </c>
      <c r="D118" s="1">
        <f>D117+1</f>
        <v>49</v>
      </c>
      <c r="I118" s="27" t="s">
        <v>8</v>
      </c>
      <c r="J118" s="27" t="s">
        <v>7</v>
      </c>
      <c r="K118" s="27" t="s">
        <v>8</v>
      </c>
    </row>
    <row r="119" spans="1:13" x14ac:dyDescent="0.25">
      <c r="A119" s="30">
        <v>1.2100000000000002</v>
      </c>
      <c r="G119" s="27" t="s">
        <v>8</v>
      </c>
      <c r="I119" s="27" t="s">
        <v>8</v>
      </c>
      <c r="J119" s="27" t="s">
        <v>7</v>
      </c>
      <c r="K119" s="27" t="s">
        <v>8</v>
      </c>
    </row>
    <row r="120" spans="1:13" x14ac:dyDescent="0.25">
      <c r="A120" s="30">
        <v>1.1000000000000001</v>
      </c>
      <c r="C120" s="1" t="s">
        <v>9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</row>
    <row r="121" spans="1:13" x14ac:dyDescent="0.25">
      <c r="A121" s="30">
        <v>1</v>
      </c>
      <c r="C121" s="18">
        <v>107</v>
      </c>
      <c r="D121" s="19">
        <v>48</v>
      </c>
      <c r="E121" s="18" t="s">
        <v>8</v>
      </c>
      <c r="G121" s="27" t="s">
        <v>8</v>
      </c>
      <c r="H121" s="27" t="s">
        <v>7</v>
      </c>
      <c r="I121" s="27" t="s">
        <v>8</v>
      </c>
      <c r="J121" s="27" t="s">
        <v>7</v>
      </c>
    </row>
    <row r="122" spans="1:13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H122" s="27" t="s">
        <v>7</v>
      </c>
      <c r="I122" s="27" t="s">
        <v>8</v>
      </c>
    </row>
    <row r="123" spans="1:13" x14ac:dyDescent="0.25">
      <c r="A123" s="30">
        <v>0.82644628099173523</v>
      </c>
      <c r="C123" s="1" t="str">
        <f>"R"&amp;C121</f>
        <v>R107</v>
      </c>
      <c r="D123" s="1" t="str">
        <f>"C"&amp;D121</f>
        <v>C48</v>
      </c>
      <c r="F123" s="27" t="s">
        <v>7</v>
      </c>
      <c r="G123" s="27" t="s">
        <v>8</v>
      </c>
      <c r="H123" s="27" t="s">
        <v>7</v>
      </c>
      <c r="I123" s="27" t="s">
        <v>8</v>
      </c>
    </row>
    <row r="124" spans="1:13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H124" s="27" t="s">
        <v>7</v>
      </c>
      <c r="I124" s="27" t="s">
        <v>8</v>
      </c>
    </row>
    <row r="125" spans="1:13" x14ac:dyDescent="0.25">
      <c r="A125" s="30">
        <v>0.68301345536507019</v>
      </c>
      <c r="H125" s="27" t="s">
        <v>7</v>
      </c>
    </row>
    <row r="126" spans="1:13" x14ac:dyDescent="0.25">
      <c r="A126" s="30">
        <v>0.6209213230591546</v>
      </c>
      <c r="C126" s="1" t="s">
        <v>10</v>
      </c>
    </row>
    <row r="127" spans="1:13" x14ac:dyDescent="0.25">
      <c r="A127" s="30">
        <v>0.56447393005377677</v>
      </c>
      <c r="C127" s="30">
        <v>3.7974983358324148</v>
      </c>
      <c r="D127"/>
    </row>
    <row r="128" spans="1:13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68" operator="equal">
      <formula>$U$1</formula>
    </cfRule>
    <cfRule type="cellIs" dxfId="30" priority="869" operator="equal">
      <formula>$S$1</formula>
    </cfRule>
  </conditionalFormatting>
  <conditionalFormatting sqref="D136">
    <cfRule type="cellIs" dxfId="29" priority="866" operator="equal">
      <formula>$S$1</formula>
    </cfRule>
    <cfRule type="cellIs" dxfId="28" priority="867" operator="equal">
      <formula>$U$1</formula>
    </cfRule>
  </conditionalFormatting>
  <conditionalFormatting sqref="C102">
    <cfRule type="cellIs" dxfId="27" priority="864" operator="equal">
      <formula>$U$1</formula>
    </cfRule>
    <cfRule type="cellIs" dxfId="26" priority="865" operator="equal">
      <formula>$S$1</formula>
    </cfRule>
  </conditionalFormatting>
  <conditionalFormatting sqref="D102">
    <cfRule type="cellIs" dxfId="25" priority="862" operator="equal">
      <formula>$S$1</formula>
    </cfRule>
    <cfRule type="cellIs" dxfId="24" priority="863" operator="equal">
      <formula>$U$1</formula>
    </cfRule>
  </conditionalFormatting>
  <conditionalFormatting sqref="C77">
    <cfRule type="cellIs" dxfId="23" priority="860" operator="equal">
      <formula>$U$1</formula>
    </cfRule>
    <cfRule type="cellIs" dxfId="22" priority="861" operator="equal">
      <formula>$S$1</formula>
    </cfRule>
  </conditionalFormatting>
  <conditionalFormatting sqref="D77">
    <cfRule type="cellIs" dxfId="21" priority="858" operator="equal">
      <formula>$S$1</formula>
    </cfRule>
    <cfRule type="cellIs" dxfId="20" priority="859" operator="equal">
      <formula>$U$1</formula>
    </cfRule>
  </conditionalFormatting>
  <conditionalFormatting sqref="C52">
    <cfRule type="cellIs" dxfId="19" priority="856" operator="equal">
      <formula>$U$1</formula>
    </cfRule>
    <cfRule type="cellIs" dxfId="18" priority="857" operator="equal">
      <formula>$S$1</formula>
    </cfRule>
  </conditionalFormatting>
  <conditionalFormatting sqref="D52">
    <cfRule type="cellIs" dxfId="17" priority="854" operator="equal">
      <formula>$S$1</formula>
    </cfRule>
    <cfRule type="cellIs" dxfId="16" priority="855" operator="equal">
      <formula>$U$1</formula>
    </cfRule>
  </conditionalFormatting>
  <conditionalFormatting sqref="C26">
    <cfRule type="cellIs" dxfId="15" priority="852" operator="equal">
      <formula>$U$1</formula>
    </cfRule>
    <cfRule type="cellIs" dxfId="14" priority="853" operator="equal">
      <formula>$S$1</formula>
    </cfRule>
  </conditionalFormatting>
  <conditionalFormatting sqref="D26">
    <cfRule type="cellIs" dxfId="13" priority="850" operator="equal">
      <formula>$S$1</formula>
    </cfRule>
    <cfRule type="cellIs" dxfId="12" priority="85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2022-01-28T01:17:42Z</dcterms:modified>
</cp:coreProperties>
</file>