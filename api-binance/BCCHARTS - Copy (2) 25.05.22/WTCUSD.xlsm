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BB277E9-1F48-4742-9B11-3526F0BC120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4"/>
  <c r="C133" i="4" s="1"/>
  <c r="C136" i="4" s="1"/>
  <c r="C118" i="4"/>
  <c r="C118" i="3"/>
  <c r="R765" i="1"/>
  <c r="C122" i="3"/>
  <c r="C133" i="3" s="1"/>
  <c r="C136" i="3" s="1"/>
  <c r="C136" i="5" l="1"/>
  <c r="C138" i="5" s="1"/>
  <c r="D136" i="4"/>
  <c r="C138" i="4" s="1"/>
  <c r="R764" i="1"/>
  <c r="S765" i="1"/>
  <c r="T765" i="1" s="1"/>
  <c r="D136" i="3"/>
  <c r="C138" i="3" s="1"/>
  <c r="S764" i="1" l="1"/>
  <c r="T764" i="1" s="1"/>
  <c r="R763" i="1"/>
  <c r="R762" i="1" l="1"/>
  <c r="S763" i="1"/>
  <c r="T763" i="1" s="1"/>
  <c r="S762" i="1" l="1"/>
  <c r="T762" i="1" s="1"/>
  <c r="R761" i="1"/>
  <c r="R760" i="1" l="1"/>
  <c r="S761" i="1"/>
  <c r="T761" i="1" s="1"/>
  <c r="S760" i="1" l="1"/>
  <c r="T760" i="1" s="1"/>
  <c r="R759" i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S725" i="1" l="1"/>
  <c r="T725" i="1" s="1"/>
  <c r="R724" i="1"/>
  <c r="S724" i="1" l="1"/>
  <c r="T724" i="1" s="1"/>
  <c r="R723" i="1"/>
  <c r="R722" i="1" l="1"/>
  <c r="S723" i="1"/>
  <c r="T723" i="1" s="1"/>
  <c r="S722" i="1" l="1"/>
  <c r="T722" i="1" s="1"/>
  <c r="R721" i="1"/>
  <c r="S721" i="1" l="1"/>
  <c r="T721" i="1" s="1"/>
  <c r="R720" i="1"/>
  <c r="S720" i="1" l="1"/>
  <c r="T720" i="1" s="1"/>
  <c r="R719" i="1"/>
  <c r="R718" i="1" l="1"/>
  <c r="S719" i="1"/>
  <c r="T719" i="1" s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R713" i="1" l="1"/>
  <c r="S714" i="1"/>
  <c r="T714" i="1" s="1"/>
  <c r="S713" i="1" l="1"/>
  <c r="T713" i="1" s="1"/>
  <c r="R712" i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S700" i="1" l="1"/>
  <c r="T700" i="1" s="1"/>
  <c r="R699" i="1"/>
  <c r="R698" i="1" l="1"/>
  <c r="S699" i="1"/>
  <c r="T699" i="1" s="1"/>
  <c r="S698" i="1" l="1"/>
  <c r="T698" i="1" s="1"/>
  <c r="R697" i="1"/>
  <c r="S697" i="1" l="1"/>
  <c r="T697" i="1" s="1"/>
  <c r="R696" i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R691" i="1" l="1"/>
  <c r="S692" i="1"/>
  <c r="T692" i="1" s="1"/>
  <c r="S691" i="1" l="1"/>
  <c r="T691" i="1" s="1"/>
  <c r="R690" i="1"/>
  <c r="S690" i="1" l="1"/>
  <c r="T690" i="1" s="1"/>
  <c r="R689" i="1"/>
  <c r="R688" i="1" l="1"/>
  <c r="S689" i="1"/>
  <c r="T689" i="1" s="1"/>
  <c r="S688" i="1" l="1"/>
  <c r="T688" i="1" s="1"/>
  <c r="R687" i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R678" i="1" l="1"/>
  <c r="S679" i="1"/>
  <c r="T679" i="1" s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S673" i="1" l="1"/>
  <c r="T673" i="1" s="1"/>
  <c r="R672" i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R667" i="1" l="1"/>
  <c r="S668" i="1"/>
  <c r="T668" i="1" s="1"/>
  <c r="S667" i="1" l="1"/>
  <c r="T667" i="1" s="1"/>
  <c r="R666" i="1"/>
  <c r="R665" i="1" l="1"/>
  <c r="S666" i="1"/>
  <c r="T666" i="1" s="1"/>
  <c r="R664" i="1" l="1"/>
  <c r="S665" i="1"/>
  <c r="T665" i="1" s="1"/>
  <c r="S664" i="1" l="1"/>
  <c r="T664" i="1" s="1"/>
  <c r="R663" i="1"/>
  <c r="S663" i="1" l="1"/>
  <c r="T663" i="1" s="1"/>
  <c r="R662" i="1"/>
  <c r="R661" i="1" l="1"/>
  <c r="S662" i="1"/>
  <c r="T662" i="1" s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R653" i="1" l="1"/>
  <c r="S654" i="1"/>
  <c r="T654" i="1" s="1"/>
  <c r="R652" i="1" l="1"/>
  <c r="S653" i="1"/>
  <c r="T653" i="1" s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S648" i="1" l="1"/>
  <c r="T648" i="1" s="1"/>
  <c r="R647" i="1"/>
  <c r="S647" i="1" l="1"/>
  <c r="T647" i="1" s="1"/>
  <c r="R646" i="1"/>
  <c r="R645" i="1" l="1"/>
  <c r="S646" i="1"/>
  <c r="T646" i="1" s="1"/>
  <c r="R644" i="1" l="1"/>
  <c r="S645" i="1"/>
  <c r="T645" i="1" s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S634" i="1" l="1"/>
  <c r="T634" i="1" s="1"/>
  <c r="R633" i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R624" i="1" l="1"/>
  <c r="S625" i="1"/>
  <c r="T625" i="1" s="1"/>
  <c r="R623" i="1" l="1"/>
  <c r="S624" i="1"/>
  <c r="T624" i="1" s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S619" i="1" l="1"/>
  <c r="T619" i="1" s="1"/>
  <c r="R618" i="1"/>
  <c r="S618" i="1" l="1"/>
  <c r="T618" i="1" s="1"/>
  <c r="R617" i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S613" i="1" l="1"/>
  <c r="T613" i="1" s="1"/>
  <c r="R612" i="1"/>
  <c r="R611" i="1" l="1"/>
  <c r="S612" i="1"/>
  <c r="T612" i="1" s="1"/>
  <c r="R610" i="1" l="1"/>
  <c r="S611" i="1"/>
  <c r="T611" i="1" s="1"/>
  <c r="S610" i="1" l="1"/>
  <c r="T610" i="1" s="1"/>
  <c r="R609" i="1"/>
  <c r="R608" i="1" l="1"/>
  <c r="S609" i="1"/>
  <c r="T609" i="1" s="1"/>
  <c r="R607" i="1" l="1"/>
  <c r="S608" i="1"/>
  <c r="T608" i="1" s="1"/>
  <c r="S607" i="1" l="1"/>
  <c r="T607" i="1" s="1"/>
  <c r="R606" i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S602" i="1" l="1"/>
  <c r="T602" i="1" s="1"/>
  <c r="R601" i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R596" i="1" l="1"/>
  <c r="S597" i="1"/>
  <c r="T597" i="1" s="1"/>
  <c r="R595" i="1" l="1"/>
  <c r="S596" i="1"/>
  <c r="T596" i="1" s="1"/>
  <c r="S595" i="1" l="1"/>
  <c r="T595" i="1" s="1"/>
  <c r="R594" i="1"/>
  <c r="S594" i="1" l="1"/>
  <c r="T594" i="1" s="1"/>
  <c r="R593" i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S587" i="1" l="1"/>
  <c r="T587" i="1" s="1"/>
  <c r="R586" i="1"/>
  <c r="S586" i="1" l="1"/>
  <c r="T586" i="1" s="1"/>
  <c r="R585" i="1"/>
  <c r="R584" i="1" l="1"/>
  <c r="S585" i="1"/>
  <c r="T585" i="1" s="1"/>
  <c r="S584" i="1" l="1"/>
  <c r="T584" i="1" s="1"/>
  <c r="R583" i="1"/>
  <c r="S583" i="1" l="1"/>
  <c r="T583" i="1" s="1"/>
  <c r="R582" i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S575" i="1" l="1"/>
  <c r="T575" i="1" s="1"/>
  <c r="R574" i="1"/>
  <c r="S574" i="1" l="1"/>
  <c r="T574" i="1" s="1"/>
  <c r="R573" i="1"/>
  <c r="R572" i="1" l="1"/>
  <c r="S573" i="1"/>
  <c r="T573" i="1" s="1"/>
  <c r="R571" i="1" l="1"/>
  <c r="S572" i="1"/>
  <c r="T572" i="1" s="1"/>
  <c r="S571" i="1" l="1"/>
  <c r="T571" i="1" s="1"/>
  <c r="R570" i="1"/>
  <c r="S570" i="1" l="1"/>
  <c r="T570" i="1" s="1"/>
  <c r="R569" i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S563" i="1" l="1"/>
  <c r="T563" i="1" s="1"/>
  <c r="R562" i="1"/>
  <c r="S562" i="1" l="1"/>
  <c r="T562" i="1" s="1"/>
  <c r="R561" i="1"/>
  <c r="S561" i="1" l="1"/>
  <c r="T561" i="1" s="1"/>
  <c r="R560" i="1"/>
  <c r="S560" i="1" l="1"/>
  <c r="T560" i="1" s="1"/>
  <c r="R559" i="1"/>
  <c r="R558" i="1" l="1"/>
  <c r="S559" i="1"/>
  <c r="T559" i="1" s="1"/>
  <c r="R557" i="1" l="1"/>
  <c r="S558" i="1"/>
  <c r="T558" i="1" s="1"/>
  <c r="S557" i="1" l="1"/>
  <c r="T557" i="1" s="1"/>
  <c r="R556" i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R548" i="1" l="1"/>
  <c r="S549" i="1"/>
  <c r="T549" i="1" s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S524" i="1" l="1"/>
  <c r="T524" i="1" s="1"/>
  <c r="R523" i="1"/>
  <c r="R522" i="1" l="1"/>
  <c r="S523" i="1"/>
  <c r="T523" i="1" s="1"/>
  <c r="S522" i="1" l="1"/>
  <c r="T522" i="1" s="1"/>
  <c r="R521" i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S500" i="1" l="1"/>
  <c r="T500" i="1" s="1"/>
  <c r="R499" i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S490" i="1" l="1"/>
  <c r="T490" i="1" s="1"/>
  <c r="R489" i="1"/>
  <c r="S489" i="1" l="1"/>
  <c r="T489" i="1" s="1"/>
  <c r="R488" i="1"/>
  <c r="R487" i="1" l="1"/>
  <c r="S488" i="1"/>
  <c r="T488" i="1" s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S482" i="1" l="1"/>
  <c r="T482" i="1" s="1"/>
  <c r="R481" i="1"/>
  <c r="R480" i="1" l="1"/>
  <c r="S481" i="1"/>
  <c r="T481" i="1" s="1"/>
  <c r="R479" i="1" l="1"/>
  <c r="S480" i="1"/>
  <c r="T480" i="1" s="1"/>
  <c r="S479" i="1" l="1"/>
  <c r="T479" i="1" s="1"/>
  <c r="R478" i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S432" i="1" l="1"/>
  <c r="T432" i="1" s="1"/>
  <c r="R431" i="1"/>
  <c r="S431" i="1" l="1"/>
  <c r="T431" i="1" s="1"/>
  <c r="R430" i="1"/>
  <c r="R429" i="1" l="1"/>
  <c r="S430" i="1"/>
  <c r="T430" i="1" s="1"/>
  <c r="R428" i="1" l="1"/>
  <c r="S429" i="1"/>
  <c r="T429" i="1" s="1"/>
  <c r="S428" i="1" l="1"/>
  <c r="T428" i="1" s="1"/>
  <c r="R427" i="1"/>
  <c r="S427" i="1" l="1"/>
  <c r="T427" i="1" s="1"/>
  <c r="R426" i="1"/>
  <c r="R425" i="1" l="1"/>
  <c r="S426" i="1"/>
  <c r="T426" i="1" s="1"/>
  <c r="S425" i="1" l="1"/>
  <c r="T425" i="1" s="1"/>
  <c r="R424" i="1"/>
  <c r="S424" i="1" l="1"/>
  <c r="T424" i="1" s="1"/>
  <c r="R423" i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R414" i="1" l="1"/>
  <c r="S415" i="1"/>
  <c r="T415" i="1" s="1"/>
  <c r="S414" i="1" l="1"/>
  <c r="T414" i="1" s="1"/>
  <c r="R413" i="1"/>
  <c r="S413" i="1" l="1"/>
  <c r="T413" i="1" s="1"/>
  <c r="R412" i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S405" i="1" l="1"/>
  <c r="T405" i="1" s="1"/>
  <c r="R404" i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R389" i="1" l="1"/>
  <c r="S390" i="1"/>
  <c r="T390" i="1" s="1"/>
  <c r="S389" i="1" l="1"/>
  <c r="T389" i="1" s="1"/>
  <c r="R388" i="1"/>
  <c r="R387" i="1" l="1"/>
  <c r="S388" i="1"/>
  <c r="T388" i="1" s="1"/>
  <c r="R386" i="1" l="1"/>
  <c r="S387" i="1"/>
  <c r="T387" i="1" s="1"/>
  <c r="S386" i="1" l="1"/>
  <c r="T386" i="1" s="1"/>
  <c r="R385" i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R364" i="1" l="1"/>
  <c r="S365" i="1"/>
  <c r="T365" i="1" s="1"/>
  <c r="R363" i="1" l="1"/>
  <c r="S364" i="1"/>
  <c r="T364" i="1" s="1"/>
  <c r="S363" i="1" l="1"/>
  <c r="T363" i="1" s="1"/>
  <c r="R362" i="1"/>
  <c r="S362" i="1" l="1"/>
  <c r="T362" i="1" s="1"/>
  <c r="R361" i="1"/>
  <c r="R360" i="1" l="1"/>
  <c r="S361" i="1"/>
  <c r="T361" i="1" s="1"/>
  <c r="R359" i="1" l="1"/>
  <c r="S360" i="1"/>
  <c r="T360" i="1" s="1"/>
  <c r="S359" i="1" l="1"/>
  <c r="T359" i="1" s="1"/>
  <c r="R358" i="1"/>
  <c r="S358" i="1" l="1"/>
  <c r="T358" i="1" s="1"/>
  <c r="R357" i="1"/>
  <c r="R356" i="1" l="1"/>
  <c r="S357" i="1"/>
  <c r="T357" i="1" s="1"/>
  <c r="S356" i="1" l="1"/>
  <c r="T356" i="1" s="1"/>
  <c r="R355" i="1"/>
  <c r="S355" i="1" l="1"/>
  <c r="T355" i="1" s="1"/>
  <c r="R354" i="1"/>
  <c r="S354" i="1" l="1"/>
  <c r="T354" i="1" s="1"/>
  <c r="R353" i="1"/>
  <c r="R352" i="1" l="1"/>
  <c r="S353" i="1"/>
  <c r="T353" i="1" s="1"/>
  <c r="R351" i="1" l="1"/>
  <c r="S352" i="1"/>
  <c r="T352" i="1" s="1"/>
  <c r="S351" i="1" l="1"/>
  <c r="T351" i="1" s="1"/>
  <c r="R350" i="1"/>
  <c r="S350" i="1" l="1"/>
  <c r="T350" i="1" s="1"/>
  <c r="R349" i="1"/>
  <c r="S349" i="1" l="1"/>
  <c r="T349" i="1" s="1"/>
  <c r="R348" i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R341" i="1" l="1"/>
  <c r="S342" i="1"/>
  <c r="T342" i="1" s="1"/>
  <c r="R340" i="1" l="1"/>
  <c r="S341" i="1"/>
  <c r="T341" i="1" s="1"/>
  <c r="S340" i="1" l="1"/>
  <c r="T340" i="1" s="1"/>
  <c r="R339" i="1"/>
  <c r="S339" i="1" l="1"/>
  <c r="T339" i="1" s="1"/>
  <c r="R338" i="1"/>
  <c r="R337" i="1" l="1"/>
  <c r="S338" i="1"/>
  <c r="T338" i="1" s="1"/>
  <c r="S337" i="1" l="1"/>
  <c r="T337" i="1" s="1"/>
  <c r="R336" i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S332" i="1" l="1"/>
  <c r="T332" i="1" s="1"/>
  <c r="R331" i="1"/>
  <c r="R330" i="1" l="1"/>
  <c r="S331" i="1"/>
  <c r="T331" i="1" s="1"/>
  <c r="R329" i="1" l="1"/>
  <c r="S330" i="1"/>
  <c r="T330" i="1" s="1"/>
  <c r="S329" i="1" l="1"/>
  <c r="T329" i="1" s="1"/>
  <c r="R328" i="1"/>
  <c r="S328" i="1" l="1"/>
  <c r="T328" i="1" s="1"/>
  <c r="R327" i="1"/>
  <c r="R326" i="1" l="1"/>
  <c r="S327" i="1"/>
  <c r="T327" i="1" s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S322" i="1" l="1"/>
  <c r="T322" i="1" s="1"/>
  <c r="R321" i="1"/>
  <c r="S321" i="1" l="1"/>
  <c r="T321" i="1" s="1"/>
  <c r="R320" i="1"/>
  <c r="S320" i="1" l="1"/>
  <c r="T320" i="1" s="1"/>
  <c r="R319" i="1"/>
  <c r="R318" i="1" l="1"/>
  <c r="S319" i="1"/>
  <c r="T319" i="1" s="1"/>
  <c r="R317" i="1" l="1"/>
  <c r="S318" i="1"/>
  <c r="T318" i="1" s="1"/>
  <c r="S317" i="1" l="1"/>
  <c r="T317" i="1" s="1"/>
  <c r="R316" i="1"/>
  <c r="S316" i="1" l="1"/>
  <c r="T316" i="1" s="1"/>
  <c r="R315" i="1"/>
  <c r="R314" i="1" l="1"/>
  <c r="S315" i="1"/>
  <c r="T315" i="1" s="1"/>
  <c r="R313" i="1" l="1"/>
  <c r="S314" i="1"/>
  <c r="T314" i="1" s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S309" i="1" l="1"/>
  <c r="T309" i="1" s="1"/>
  <c r="R308" i="1"/>
  <c r="S308" i="1" l="1"/>
  <c r="T308" i="1" s="1"/>
  <c r="R307" i="1"/>
  <c r="S307" i="1" l="1"/>
  <c r="T307" i="1" s="1"/>
  <c r="R306" i="1"/>
  <c r="S306" i="1" l="1"/>
  <c r="T306" i="1" s="1"/>
  <c r="R305" i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S301" i="1" l="1"/>
  <c r="T301" i="1" s="1"/>
  <c r="R300" i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S289" i="1" l="1"/>
  <c r="T289" i="1" s="1"/>
  <c r="R288" i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S277" i="1" l="1"/>
  <c r="T277" i="1" s="1"/>
  <c r="R276" i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R252" i="1" l="1"/>
  <c r="S253" i="1"/>
  <c r="T253" i="1" s="1"/>
  <c r="R251" i="1" l="1"/>
  <c r="S252" i="1"/>
  <c r="T252" i="1" s="1"/>
  <c r="R250" i="1" l="1"/>
  <c r="S251" i="1"/>
  <c r="T251" i="1" s="1"/>
  <c r="S250" i="1" l="1"/>
  <c r="T250" i="1" s="1"/>
  <c r="R249" i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S245" i="1" l="1"/>
  <c r="T245" i="1" s="1"/>
  <c r="R244" i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R235" i="1" l="1"/>
  <c r="S236" i="1"/>
  <c r="T236" i="1" s="1"/>
  <c r="R234" i="1" l="1"/>
  <c r="S235" i="1"/>
  <c r="T235" i="1" s="1"/>
  <c r="S234" i="1" l="1"/>
  <c r="T234" i="1" s="1"/>
  <c r="R233" i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S222" i="1" l="1"/>
  <c r="T222" i="1" s="1"/>
  <c r="R221" i="1"/>
  <c r="R220" i="1" l="1"/>
  <c r="S221" i="1"/>
  <c r="T221" i="1" s="1"/>
  <c r="R219" i="1" l="1"/>
  <c r="S220" i="1"/>
  <c r="T220" i="1" s="1"/>
  <c r="S219" i="1" l="1"/>
  <c r="T219" i="1" s="1"/>
  <c r="R218" i="1"/>
  <c r="S218" i="1" l="1"/>
  <c r="T218" i="1" s="1"/>
  <c r="R217" i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R210" i="1" l="1"/>
  <c r="S211" i="1"/>
  <c r="T211" i="1" s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S204" i="1" l="1"/>
  <c r="T204" i="1" s="1"/>
  <c r="R203" i="1"/>
  <c r="R202" i="1" l="1"/>
  <c r="S203" i="1"/>
  <c r="T203" i="1" s="1"/>
  <c r="R201" i="1" l="1"/>
  <c r="S202" i="1"/>
  <c r="T202" i="1" s="1"/>
  <c r="S201" i="1" l="1"/>
  <c r="T201" i="1" s="1"/>
  <c r="R200" i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S161" i="1" l="1"/>
  <c r="T161" i="1" s="1"/>
  <c r="R160" i="1"/>
  <c r="S160" i="1" l="1"/>
  <c r="T160" i="1" s="1"/>
  <c r="R159" i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S155" i="1" l="1"/>
  <c r="T155" i="1" s="1"/>
  <c r="R154" i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S138" i="1" l="1"/>
  <c r="T138" i="1" s="1"/>
  <c r="R137" i="1"/>
  <c r="S137" i="1" l="1"/>
  <c r="T137" i="1" s="1"/>
  <c r="R136" i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S124" i="1" l="1"/>
  <c r="T124" i="1" s="1"/>
  <c r="R123" i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S103" i="1" l="1"/>
  <c r="T103" i="1" s="1"/>
  <c r="R102" i="1"/>
  <c r="S102" i="1" l="1"/>
  <c r="T102" i="1" s="1"/>
  <c r="R101" i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S65" i="1" l="1"/>
  <c r="T65" i="1" s="1"/>
  <c r="R64" i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S60" i="1" l="1"/>
  <c r="T60" i="1" s="1"/>
  <c r="R59" i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S52" i="1" l="1"/>
  <c r="T52" i="1" s="1"/>
  <c r="R51" i="1"/>
  <c r="S51" i="1" l="1"/>
  <c r="T51" i="1" s="1"/>
  <c r="R50" i="1"/>
  <c r="S50" i="1" l="1"/>
  <c r="T50" i="1" s="1"/>
  <c r="R49" i="1"/>
  <c r="S49" i="1" l="1"/>
  <c r="T49" i="1" s="1"/>
  <c r="R48" i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S36" i="1" l="1"/>
  <c r="T36" i="1" s="1"/>
  <c r="R35" i="1"/>
  <c r="R34" i="1" l="1"/>
  <c r="S35" i="1"/>
  <c r="T35" i="1" s="1"/>
  <c r="S34" i="1" l="1"/>
  <c r="T34" i="1" s="1"/>
  <c r="R33" i="1"/>
  <c r="R32" i="1" l="1"/>
  <c r="S33" i="1"/>
  <c r="T33" i="1" s="1"/>
  <c r="R31" i="1" l="1"/>
  <c r="S32" i="1"/>
  <c r="T32" i="1" s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<sst xmlns="http://schemas.openxmlformats.org/spreadsheetml/2006/main" count="7092" uniqueCount="34">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</sst>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0.47739999999999999</c:v>
                </c:pt>
                <c:pt idx="1">
                  <c:v>0.47949999999999998</c:v>
                </c:pt>
                <c:pt idx="2">
                  <c:v>0.47520000000000001</c:v>
                </c:pt>
                <c:pt idx="3">
                  <c:v>0.47639999999999999</c:v>
                </c:pt>
                <c:pt idx="4">
                  <c:v>0.50619999999999998</c:v>
                </c:pt>
                <c:pt idx="5">
                  <c:v>0.48909999999999998</c:v>
                </c:pt>
                <c:pt idx="6">
                  <c:v>0.55120000000000002</c:v>
                </c:pt>
                <c:pt idx="7">
                  <c:v>0.6714</c:v>
                </c:pt>
                <c:pt idx="8">
                  <c:v>0.68159999999999998</c:v>
                </c:pt>
                <c:pt idx="9">
                  <c:v>0.72</c:v>
                </c:pt>
                <c:pt idx="10">
                  <c:v>0.72750000000000004</c:v>
                </c:pt>
                <c:pt idx="11">
                  <c:v>0.75209999999999999</c:v>
                </c:pt>
                <c:pt idx="12">
                  <c:v>0.75700000000000001</c:v>
                </c:pt>
                <c:pt idx="13">
                  <c:v>0.75009999999999999</c:v>
                </c:pt>
                <c:pt idx="14">
                  <c:v>0.75049999999999994</c:v>
                </c:pt>
                <c:pt idx="15">
                  <c:v>0.75800000000000001</c:v>
                </c:pt>
                <c:pt idx="16">
                  <c:v>0.73540000000000005</c:v>
                </c:pt>
                <c:pt idx="17">
                  <c:v>0.69599999999999995</c:v>
                </c:pt>
                <c:pt idx="18">
                  <c:v>0.74529999999999996</c:v>
                </c:pt>
                <c:pt idx="19">
                  <c:v>0.74119999999999997</c:v>
                </c:pt>
                <c:pt idx="20">
                  <c:v>0.77210000000000001</c:v>
                </c:pt>
                <c:pt idx="21">
                  <c:v>0.83230000000000004</c:v>
                </c:pt>
                <c:pt idx="22">
                  <c:v>0.84299999999999997</c:v>
                </c:pt>
                <c:pt idx="23">
                  <c:v>0.92979999999999996</c:v>
                </c:pt>
                <c:pt idx="24">
                  <c:v>0.95630000000000004</c:v>
                </c:pt>
                <c:pt idx="25">
                  <c:v>0.98080000000000001</c:v>
                </c:pt>
                <c:pt idx="26">
                  <c:v>0.97399999999999998</c:v>
                </c:pt>
                <c:pt idx="27">
                  <c:v>0.96299999999999997</c:v>
                </c:pt>
                <c:pt idx="28">
                  <c:v>0.98099999999999998</c:v>
                </c:pt>
                <c:pt idx="29">
                  <c:v>0.97929999999999995</c:v>
                </c:pt>
                <c:pt idx="30">
                  <c:v>0.96930000000000005</c:v>
                </c:pt>
                <c:pt idx="31">
                  <c:v>1.0469999999999999</c:v>
                </c:pt>
                <c:pt idx="32">
                  <c:v>1.0741000000000001</c:v>
                </c:pt>
                <c:pt idx="33">
                  <c:v>1.0107999999999999</c:v>
                </c:pt>
                <c:pt idx="34">
                  <c:v>0.98809999999999998</c:v>
                </c:pt>
                <c:pt idx="35">
                  <c:v>1.0092000000000001</c:v>
                </c:pt>
                <c:pt idx="36">
                  <c:v>0.98009999999999997</c:v>
                </c:pt>
                <c:pt idx="37">
                  <c:v>0.98599999999999999</c:v>
                </c:pt>
                <c:pt idx="38">
                  <c:v>0.96960000000000002</c:v>
                </c:pt>
                <c:pt idx="39">
                  <c:v>0.98370000000000002</c:v>
                </c:pt>
                <c:pt idx="40">
                  <c:v>1.0037</c:v>
                </c:pt>
                <c:pt idx="41">
                  <c:v>1.0154000000000001</c:v>
                </c:pt>
                <c:pt idx="42">
                  <c:v>0.99680000000000002</c:v>
                </c:pt>
                <c:pt idx="43">
                  <c:v>0.97550000000000003</c:v>
                </c:pt>
                <c:pt idx="44">
                  <c:v>0.92989999999999995</c:v>
                </c:pt>
                <c:pt idx="45">
                  <c:v>0.9385</c:v>
                </c:pt>
                <c:pt idx="46">
                  <c:v>1.085</c:v>
                </c:pt>
                <c:pt idx="47">
                  <c:v>1.0548999999999999</c:v>
                </c:pt>
                <c:pt idx="48">
                  <c:v>1.0764</c:v>
                </c:pt>
                <c:pt idx="49">
                  <c:v>0.96689999999999998</c:v>
                </c:pt>
                <c:pt idx="50">
                  <c:v>1.0911999999999999</c:v>
                </c:pt>
                <c:pt idx="51">
                  <c:v>1.0524</c:v>
                </c:pt>
                <c:pt idx="52">
                  <c:v>0.91549999999999998</c:v>
                </c:pt>
                <c:pt idx="53">
                  <c:v>0.91100000000000003</c:v>
                </c:pt>
                <c:pt idx="54">
                  <c:v>1.0303</c:v>
                </c:pt>
                <c:pt idx="55">
                  <c:v>1.2304999999999999</c:v>
                </c:pt>
                <c:pt idx="56">
                  <c:v>1.2455000000000001</c:v>
                </c:pt>
                <c:pt idx="57">
                  <c:v>0.94099999999999995</c:v>
                </c:pt>
                <c:pt idx="58">
                  <c:v>0.95199999999999996</c:v>
                </c:pt>
                <c:pt idx="59">
                  <c:v>1.0129999999999999</c:v>
                </c:pt>
                <c:pt idx="60">
                  <c:v>1.0042</c:v>
                </c:pt>
                <c:pt idx="61">
                  <c:v>1.0153000000000001</c:v>
                </c:pt>
                <c:pt idx="62">
                  <c:v>0.93679999999999997</c:v>
                </c:pt>
                <c:pt idx="63">
                  <c:v>1.0266999999999999</c:v>
                </c:pt>
                <c:pt idx="64">
                  <c:v>0.9698</c:v>
                </c:pt>
                <c:pt idx="65">
                  <c:v>0.97799999999999998</c:v>
                </c:pt>
                <c:pt idx="66">
                  <c:v>0.95850000000000002</c:v>
                </c:pt>
                <c:pt idx="67">
                  <c:v>0.99380000000000002</c:v>
                </c:pt>
                <c:pt idx="68">
                  <c:v>1.0230999999999999</c:v>
                </c:pt>
                <c:pt idx="69">
                  <c:v>0.8236</c:v>
                </c:pt>
                <c:pt idx="70">
                  <c:v>0.76800000000000002</c:v>
                </c:pt>
                <c:pt idx="71">
                  <c:v>0.87719999999999998</c:v>
                </c:pt>
                <c:pt idx="72">
                  <c:v>0.86680000000000001</c:v>
                </c:pt>
                <c:pt idx="73">
                  <c:v>0.96630000000000005</c:v>
                </c:pt>
                <c:pt idx="74">
                  <c:v>0.98309999999999997</c:v>
                </c:pt>
                <c:pt idx="75">
                  <c:v>0.9859</c:v>
                </c:pt>
                <c:pt idx="76">
                  <c:v>1.0137</c:v>
                </c:pt>
                <c:pt idx="77">
                  <c:v>0.99880000000000002</c:v>
                </c:pt>
                <c:pt idx="78">
                  <c:v>0.97160000000000002</c:v>
                </c:pt>
                <c:pt idx="79">
                  <c:v>1.0713999999999999</c:v>
                </c:pt>
                <c:pt idx="80">
                  <c:v>1.038</c:v>
                </c:pt>
                <c:pt idx="81">
                  <c:v>1.0258</c:v>
                </c:pt>
                <c:pt idx="82">
                  <c:v>1.0344</c:v>
                </c:pt>
                <c:pt idx="83">
                  <c:v>1.0529999999999999</c:v>
                </c:pt>
                <c:pt idx="84">
                  <c:v>1.0113000000000001</c:v>
                </c:pt>
                <c:pt idx="85">
                  <c:v>1.0068999999999999</c:v>
                </c:pt>
                <c:pt idx="86">
                  <c:v>1.0694999999999999</c:v>
                </c:pt>
                <c:pt idx="87">
                  <c:v>0.97629999999999995</c:v>
                </c:pt>
                <c:pt idx="88">
                  <c:v>0.98429999999999995</c:v>
                </c:pt>
                <c:pt idx="89">
                  <c:v>0.95209999999999995</c:v>
                </c:pt>
                <c:pt idx="90">
                  <c:v>0.95950000000000002</c:v>
                </c:pt>
                <c:pt idx="91">
                  <c:v>0.94089999999999996</c:v>
                </c:pt>
                <c:pt idx="92">
                  <c:v>0.92020000000000002</c:v>
                </c:pt>
                <c:pt idx="93">
                  <c:v>1.0202</c:v>
                </c:pt>
                <c:pt idx="94">
                  <c:v>1.0059</c:v>
                </c:pt>
                <c:pt idx="95">
                  <c:v>1.0009999999999999</c:v>
                </c:pt>
                <c:pt idx="96">
                  <c:v>1.0365</c:v>
                </c:pt>
                <c:pt idx="97">
                  <c:v>0.9587</c:v>
                </c:pt>
                <c:pt idx="98">
                  <c:v>0.97550000000000003</c:v>
                </c:pt>
                <c:pt idx="99">
                  <c:v>1.0125</c:v>
                </c:pt>
                <c:pt idx="100">
                  <c:v>0.97909999999999997</c:v>
                </c:pt>
                <c:pt idx="101">
                  <c:v>0.97330000000000005</c:v>
                </c:pt>
                <c:pt idx="102">
                  <c:v>1.0073000000000001</c:v>
                </c:pt>
                <c:pt idx="103">
                  <c:v>1.0103</c:v>
                </c:pt>
                <c:pt idx="104">
                  <c:v>0.96799999999999997</c:v>
                </c:pt>
                <c:pt idx="105">
                  <c:v>0.96589999999999998</c:v>
                </c:pt>
                <c:pt idx="106">
                  <c:v>0.94410000000000005</c:v>
                </c:pt>
                <c:pt idx="107">
                  <c:v>0.93389999999999995</c:v>
                </c:pt>
                <c:pt idx="108">
                  <c:v>0.95669999999999999</c:v>
                </c:pt>
                <c:pt idx="109">
                  <c:v>0.97499999999999998</c:v>
                </c:pt>
                <c:pt idx="110">
                  <c:v>1.0624</c:v>
                </c:pt>
                <c:pt idx="111">
                  <c:v>1.0276000000000001</c:v>
                </c:pt>
                <c:pt idx="112">
                  <c:v>1.0434000000000001</c:v>
                </c:pt>
                <c:pt idx="113">
                  <c:v>1.0389999999999999</c:v>
                </c:pt>
                <c:pt idx="114">
                  <c:v>0.91210000000000002</c:v>
                </c:pt>
                <c:pt idx="115">
                  <c:v>0.89970000000000006</c:v>
                </c:pt>
                <c:pt idx="116">
                  <c:v>0.93969999999999998</c:v>
                </c:pt>
                <c:pt idx="117">
                  <c:v>0.9214</c:v>
                </c:pt>
                <c:pt idx="118">
                  <c:v>0.92469999999999997</c:v>
                </c:pt>
                <c:pt idx="119">
                  <c:v>0.88439999999999996</c:v>
                </c:pt>
                <c:pt idx="120">
                  <c:v>0.83560000000000001</c:v>
                </c:pt>
                <c:pt idx="121">
                  <c:v>0.79210000000000003</c:v>
                </c:pt>
                <c:pt idx="122">
                  <c:v>0.82879999999999998</c:v>
                </c:pt>
                <c:pt idx="123">
                  <c:v>0.83940000000000003</c:v>
                </c:pt>
                <c:pt idx="124">
                  <c:v>0.87209999999999999</c:v>
                </c:pt>
                <c:pt idx="125">
                  <c:v>0.87809999999999999</c:v>
                </c:pt>
                <c:pt idx="126">
                  <c:v>0.90080000000000005</c:v>
                </c:pt>
                <c:pt idx="127">
                  <c:v>0.92930000000000001</c:v>
                </c:pt>
                <c:pt idx="128">
                  <c:v>0.81059999999999999</c:v>
                </c:pt>
                <c:pt idx="129">
                  <c:v>0.99309999999999998</c:v>
                </c:pt>
                <c:pt idx="130">
                  <c:v>1.1726000000000001</c:v>
                </c:pt>
                <c:pt idx="131">
                  <c:v>1.1831</c:v>
                </c:pt>
                <c:pt idx="132">
                  <c:v>1.1982999999999999</c:v>
                </c:pt>
                <c:pt idx="133">
                  <c:v>1.2081</c:v>
                </c:pt>
                <c:pt idx="134">
                  <c:v>1.2208000000000001</c:v>
                </c:pt>
                <c:pt idx="135">
                  <c:v>1.0285</c:v>
                </c:pt>
                <c:pt idx="136">
                  <c:v>1.0634999999999999</c:v>
                </c:pt>
                <c:pt idx="137">
                  <c:v>0.94930000000000003</c:v>
                </c:pt>
                <c:pt idx="138">
                  <c:v>0.96079999999999999</c:v>
                </c:pt>
                <c:pt idx="139">
                  <c:v>0.88090000000000002</c:v>
                </c:pt>
                <c:pt idx="140">
                  <c:v>0.94299999999999995</c:v>
                </c:pt>
                <c:pt idx="141">
                  <c:v>0.83009999999999995</c:v>
                </c:pt>
                <c:pt idx="142">
                  <c:v>0.82899999999999996</c:v>
                </c:pt>
                <c:pt idx="143">
                  <c:v>1.0627</c:v>
                </c:pt>
                <c:pt idx="144">
                  <c:v>1.0709</c:v>
                </c:pt>
                <c:pt idx="145">
                  <c:v>0.99750000000000005</c:v>
                </c:pt>
                <c:pt idx="146">
                  <c:v>0.96550000000000002</c:v>
                </c:pt>
                <c:pt idx="147">
                  <c:v>0.96230000000000004</c:v>
                </c:pt>
                <c:pt idx="148">
                  <c:v>0.96</c:v>
                </c:pt>
                <c:pt idx="149">
                  <c:v>0.93630000000000002</c:v>
                </c:pt>
                <c:pt idx="150">
                  <c:v>0.94979999999999998</c:v>
                </c:pt>
                <c:pt idx="151">
                  <c:v>0.97729999999999995</c:v>
                </c:pt>
                <c:pt idx="152">
                  <c:v>0.93640000000000001</c:v>
                </c:pt>
                <c:pt idx="153">
                  <c:v>0.96809999999999996</c:v>
                </c:pt>
                <c:pt idx="154">
                  <c:v>0.97599999999999998</c:v>
                </c:pt>
                <c:pt idx="155">
                  <c:v>1.0344</c:v>
                </c:pt>
                <c:pt idx="156">
                  <c:v>1.0524</c:v>
                </c:pt>
                <c:pt idx="157">
                  <c:v>0.97719999999999996</c:v>
                </c:pt>
                <c:pt idx="158">
                  <c:v>0.94589999999999996</c:v>
                </c:pt>
                <c:pt idx="159">
                  <c:v>0.89710000000000001</c:v>
                </c:pt>
                <c:pt idx="160">
                  <c:v>0.94520000000000004</c:v>
                </c:pt>
                <c:pt idx="161">
                  <c:v>0.82530000000000003</c:v>
                </c:pt>
                <c:pt idx="162">
                  <c:v>0.79549999999999998</c:v>
                </c:pt>
                <c:pt idx="163">
                  <c:v>0.79949999999999999</c:v>
                </c:pt>
                <c:pt idx="164">
                  <c:v>0.89070000000000005</c:v>
                </c:pt>
                <c:pt idx="165">
                  <c:v>0.93049999999999999</c:v>
                </c:pt>
                <c:pt idx="166">
                  <c:v>0.85419999999999996</c:v>
                </c:pt>
                <c:pt idx="167">
                  <c:v>0.88119999999999998</c:v>
                </c:pt>
                <c:pt idx="168">
                  <c:v>0.8327</c:v>
                </c:pt>
                <c:pt idx="169">
                  <c:v>0.70689999999999997</c:v>
                </c:pt>
                <c:pt idx="170">
                  <c:v>0.69059999999999999</c:v>
                </c:pt>
                <c:pt idx="171">
                  <c:v>0.68400000000000005</c:v>
                </c:pt>
                <c:pt idx="172">
                  <c:v>0.65869999999999995</c:v>
                </c:pt>
                <c:pt idx="173">
                  <c:v>0.68640000000000001</c:v>
                </c:pt>
                <c:pt idx="174">
                  <c:v>0.65439999999999998</c:v>
                </c:pt>
                <c:pt idx="175">
                  <c:v>0.61970000000000003</c:v>
                </c:pt>
                <c:pt idx="176">
                  <c:v>0.57150000000000001</c:v>
                </c:pt>
                <c:pt idx="177">
                  <c:v>0.53610000000000002</c:v>
                </c:pt>
                <c:pt idx="178">
                  <c:v>0.56899999999999995</c:v>
                </c:pt>
                <c:pt idx="179">
                  <c:v>0.56669999999999998</c:v>
                </c:pt>
                <c:pt idx="180">
                  <c:v>0.58660000000000001</c:v>
                </c:pt>
                <c:pt idx="181">
                  <c:v>0.57289999999999996</c:v>
                </c:pt>
                <c:pt idx="182">
                  <c:v>0.57230000000000003</c:v>
                </c:pt>
                <c:pt idx="183">
                  <c:v>0.55579999999999996</c:v>
                </c:pt>
                <c:pt idx="184">
                  <c:v>0.54620000000000002</c:v>
                </c:pt>
                <c:pt idx="185">
                  <c:v>0.53100000000000003</c:v>
                </c:pt>
                <c:pt idx="186">
                  <c:v>0.53849999999999998</c:v>
                </c:pt>
                <c:pt idx="187">
                  <c:v>0.52339999999999998</c:v>
                </c:pt>
                <c:pt idx="188">
                  <c:v>0.52210000000000001</c:v>
                </c:pt>
                <c:pt idx="189">
                  <c:v>0.49170000000000003</c:v>
                </c:pt>
                <c:pt idx="190">
                  <c:v>0.50060000000000004</c:v>
                </c:pt>
                <c:pt idx="191">
                  <c:v>0.43070000000000003</c:v>
                </c:pt>
                <c:pt idx="192">
                  <c:v>0.4536</c:v>
                </c:pt>
                <c:pt idx="193">
                  <c:v>0.49109999999999998</c:v>
                </c:pt>
                <c:pt idx="194">
                  <c:v>0.48680000000000001</c:v>
                </c:pt>
                <c:pt idx="195">
                  <c:v>0.49120000000000003</c:v>
                </c:pt>
                <c:pt idx="196">
                  <c:v>0.51080000000000003</c:v>
                </c:pt>
                <c:pt idx="197">
                  <c:v>0.53669999999999995</c:v>
                </c:pt>
                <c:pt idx="198">
                  <c:v>0.51229999999999998</c:v>
                </c:pt>
                <c:pt idx="199">
                  <c:v>0.53810000000000002</c:v>
                </c:pt>
                <c:pt idx="200">
                  <c:v>0.55130000000000001</c:v>
                </c:pt>
                <c:pt idx="201">
                  <c:v>0.52059999999999995</c:v>
                </c:pt>
                <c:pt idx="202">
                  <c:v>0.54159999999999997</c:v>
                </c:pt>
                <c:pt idx="203">
                  <c:v>0.5272</c:v>
                </c:pt>
                <c:pt idx="204">
                  <c:v>0.58089999999999997</c:v>
                </c:pt>
                <c:pt idx="205">
                  <c:v>0.59119999999999995</c:v>
                </c:pt>
                <c:pt idx="206">
                  <c:v>0.57130000000000003</c:v>
                </c:pt>
                <c:pt idx="207">
                  <c:v>0.60580000000000001</c:v>
                </c:pt>
                <c:pt idx="208">
                  <c:v>0.64049999999999996</c:v>
                </c:pt>
                <c:pt idx="209">
                  <c:v>0.57079999999999997</c:v>
                </c:pt>
                <c:pt idx="210">
                  <c:v>0.55249999999999999</c:v>
                </c:pt>
                <c:pt idx="211">
                  <c:v>0.57930000000000004</c:v>
                </c:pt>
                <c:pt idx="212">
                  <c:v>0.59240000000000004</c:v>
                </c:pt>
                <c:pt idx="213">
                  <c:v>0.52680000000000005</c:v>
                </c:pt>
                <c:pt idx="214">
                  <c:v>0.49909999999999999</c:v>
                </c:pt>
                <c:pt idx="215">
                  <c:v>0.48880000000000001</c:v>
                </c:pt>
                <c:pt idx="216">
                  <c:v>0.49</c:v>
                </c:pt>
                <c:pt idx="217">
                  <c:v>0.55820000000000003</c:v>
                </c:pt>
                <c:pt idx="218">
                  <c:v>0.52990000000000004</c:v>
                </c:pt>
                <c:pt idx="219">
                  <c:v>0.4899</c:v>
                </c:pt>
                <c:pt idx="220">
                  <c:v>0.52080000000000004</c:v>
                </c:pt>
                <c:pt idx="221">
                  <c:v>0.69640000000000002</c:v>
                </c:pt>
                <c:pt idx="222">
                  <c:v>0.70609999999999995</c:v>
                </c:pt>
                <c:pt idx="223">
                  <c:v>0.75229999999999997</c:v>
                </c:pt>
                <c:pt idx="224">
                  <c:v>0.75560000000000005</c:v>
                </c:pt>
                <c:pt idx="225">
                  <c:v>0.75590000000000002</c:v>
                </c:pt>
                <c:pt idx="226">
                  <c:v>0.74170000000000003</c:v>
                </c:pt>
                <c:pt idx="227">
                  <c:v>0.75449999999999995</c:v>
                </c:pt>
                <c:pt idx="228">
                  <c:v>0.74</c:v>
                </c:pt>
                <c:pt idx="229">
                  <c:v>0.69350000000000001</c:v>
                </c:pt>
                <c:pt idx="230">
                  <c:v>0.70509999999999995</c:v>
                </c:pt>
                <c:pt idx="231">
                  <c:v>0.76729999999999998</c:v>
                </c:pt>
                <c:pt idx="232">
                  <c:v>0.84760000000000002</c:v>
                </c:pt>
                <c:pt idx="233">
                  <c:v>0.7228</c:v>
                </c:pt>
                <c:pt idx="234">
                  <c:v>0.70030000000000003</c:v>
                </c:pt>
                <c:pt idx="235">
                  <c:v>0.78590000000000004</c:v>
                </c:pt>
                <c:pt idx="236">
                  <c:v>0.75870000000000004</c:v>
                </c:pt>
                <c:pt idx="237">
                  <c:v>0.79559999999999997</c:v>
                </c:pt>
                <c:pt idx="238">
                  <c:v>0.90759999999999996</c:v>
                </c:pt>
                <c:pt idx="239">
                  <c:v>0.88949999999999996</c:v>
                </c:pt>
                <c:pt idx="240">
                  <c:v>0.81979999999999997</c:v>
                </c:pt>
                <c:pt idx="241">
                  <c:v>0.86029999999999995</c:v>
                </c:pt>
                <c:pt idx="242">
                  <c:v>0.80430000000000001</c:v>
                </c:pt>
                <c:pt idx="243">
                  <c:v>0.75160000000000005</c:v>
                </c:pt>
                <c:pt idx="244">
                  <c:v>0.78769999999999996</c:v>
                </c:pt>
                <c:pt idx="245">
                  <c:v>0.92449999999999999</c:v>
                </c:pt>
                <c:pt idx="246">
                  <c:v>0.98580000000000001</c:v>
                </c:pt>
                <c:pt idx="247">
                  <c:v>0.88460000000000005</c:v>
                </c:pt>
                <c:pt idx="248">
                  <c:v>0.82379999999999998</c:v>
                </c:pt>
                <c:pt idx="249">
                  <c:v>0.66100000000000003</c:v>
                </c:pt>
                <c:pt idx="250">
                  <c:v>0.83299999999999996</c:v>
                </c:pt>
                <c:pt idx="251">
                  <c:v>0.87819999999999998</c:v>
                </c:pt>
                <c:pt idx="252">
                  <c:v>1.0648</c:v>
                </c:pt>
                <c:pt idx="253">
                  <c:v>0.93010000000000004</c:v>
                </c:pt>
                <c:pt idx="254">
                  <c:v>1.4554</c:v>
                </c:pt>
                <c:pt idx="255">
                  <c:v>1.4438</c:v>
                </c:pt>
                <c:pt idx="256">
                  <c:v>1.6397999999999999</c:v>
                </c:pt>
                <c:pt idx="257">
                  <c:v>1.6238999999999999</c:v>
                </c:pt>
                <c:pt idx="258">
                  <c:v>1.8785000000000001</c:v>
                </c:pt>
                <c:pt idx="259">
                  <c:v>1.6476</c:v>
                </c:pt>
                <c:pt idx="260">
                  <c:v>1.6332</c:v>
                </c:pt>
                <c:pt idx="261">
                  <c:v>1.8622000000000001</c:v>
                </c:pt>
                <c:pt idx="262">
                  <c:v>1.7714000000000001</c:v>
                </c:pt>
                <c:pt idx="263">
                  <c:v>1.9648000000000001</c:v>
                </c:pt>
                <c:pt idx="264">
                  <c:v>2.1434000000000002</c:v>
                </c:pt>
                <c:pt idx="265">
                  <c:v>1.948</c:v>
                </c:pt>
                <c:pt idx="266">
                  <c:v>1.8788</c:v>
                </c:pt>
                <c:pt idx="267">
                  <c:v>1.7087000000000001</c:v>
                </c:pt>
                <c:pt idx="268">
                  <c:v>1.5673999999999999</c:v>
                </c:pt>
                <c:pt idx="269">
                  <c:v>1.7702</c:v>
                </c:pt>
                <c:pt idx="270">
                  <c:v>1.7315</c:v>
                </c:pt>
                <c:pt idx="271">
                  <c:v>1.7753000000000001</c:v>
                </c:pt>
                <c:pt idx="272">
                  <c:v>1.7266999999999999</c:v>
                </c:pt>
                <c:pt idx="273">
                  <c:v>1.556</c:v>
                </c:pt>
                <c:pt idx="274">
                  <c:v>1.5737000000000001</c:v>
                </c:pt>
                <c:pt idx="275">
                  <c:v>1.6428</c:v>
                </c:pt>
                <c:pt idx="276">
                  <c:v>1.4748000000000001</c:v>
                </c:pt>
                <c:pt idx="277">
                  <c:v>1.2951999999999999</c:v>
                </c:pt>
                <c:pt idx="278">
                  <c:v>1.2283999999999999</c:v>
                </c:pt>
                <c:pt idx="279">
                  <c:v>1.3633999999999999</c:v>
                </c:pt>
                <c:pt idx="280">
                  <c:v>1.4302999999999999</c:v>
                </c:pt>
                <c:pt idx="281">
                  <c:v>1.6304000000000001</c:v>
                </c:pt>
                <c:pt idx="282">
                  <c:v>1.8244</c:v>
                </c:pt>
                <c:pt idx="283">
                  <c:v>1.7629999999999999</c:v>
                </c:pt>
                <c:pt idx="284">
                  <c:v>1.8909</c:v>
                </c:pt>
                <c:pt idx="285">
                  <c:v>2.1145999999999998</c:v>
                </c:pt>
                <c:pt idx="286">
                  <c:v>1.9815</c:v>
                </c:pt>
                <c:pt idx="287">
                  <c:v>2.1284999999999998</c:v>
                </c:pt>
                <c:pt idx="288">
                  <c:v>1.9796</c:v>
                </c:pt>
                <c:pt idx="289">
                  <c:v>1.9858</c:v>
                </c:pt>
                <c:pt idx="290">
                  <c:v>2.0219</c:v>
                </c:pt>
                <c:pt idx="291">
                  <c:v>2.1749999999999998</c:v>
                </c:pt>
                <c:pt idx="292">
                  <c:v>2.1591999999999998</c:v>
                </c:pt>
                <c:pt idx="293">
                  <c:v>2.1162000000000001</c:v>
                </c:pt>
                <c:pt idx="294">
                  <c:v>2.2576000000000001</c:v>
                </c:pt>
                <c:pt idx="295">
                  <c:v>2.0706000000000002</c:v>
                </c:pt>
                <c:pt idx="296">
                  <c:v>2.2115</c:v>
                </c:pt>
                <c:pt idx="297">
                  <c:v>2.1213000000000002</c:v>
                </c:pt>
                <c:pt idx="298">
                  <c:v>1.7988999999999999</c:v>
                </c:pt>
                <c:pt idx="299">
                  <c:v>1.6618999999999999</c:v>
                </c:pt>
                <c:pt idx="300">
                  <c:v>1.8769</c:v>
                </c:pt>
                <c:pt idx="301">
                  <c:v>1.8581000000000001</c:v>
                </c:pt>
                <c:pt idx="302">
                  <c:v>1.9681</c:v>
                </c:pt>
                <c:pt idx="303">
                  <c:v>1.9319999999999999</c:v>
                </c:pt>
                <c:pt idx="304">
                  <c:v>1.9</c:v>
                </c:pt>
                <c:pt idx="305">
                  <c:v>1.6596</c:v>
                </c:pt>
                <c:pt idx="306">
                  <c:v>1.5589999999999999</c:v>
                </c:pt>
                <c:pt idx="307">
                  <c:v>1.6138999999999999</c:v>
                </c:pt>
                <c:pt idx="308">
                  <c:v>1.3815999999999999</c:v>
                </c:pt>
                <c:pt idx="309">
                  <c:v>1.4236</c:v>
                </c:pt>
                <c:pt idx="310">
                  <c:v>1.4444999999999999</c:v>
                </c:pt>
                <c:pt idx="311">
                  <c:v>1.3568</c:v>
                </c:pt>
                <c:pt idx="312">
                  <c:v>1.4497</c:v>
                </c:pt>
                <c:pt idx="313">
                  <c:v>1.5536000000000001</c:v>
                </c:pt>
                <c:pt idx="314">
                  <c:v>1.5549999999999999</c:v>
                </c:pt>
                <c:pt idx="315">
                  <c:v>1.6705000000000001</c:v>
                </c:pt>
                <c:pt idx="316">
                  <c:v>1.5269999999999999</c:v>
                </c:pt>
                <c:pt idx="317">
                  <c:v>1.4138999999999999</c:v>
                </c:pt>
                <c:pt idx="318">
                  <c:v>1.3218000000000001</c:v>
                </c:pt>
                <c:pt idx="319">
                  <c:v>1.2067000000000001</c:v>
                </c:pt>
                <c:pt idx="320">
                  <c:v>1.3185</c:v>
                </c:pt>
                <c:pt idx="321">
                  <c:v>1.2461</c:v>
                </c:pt>
                <c:pt idx="322">
                  <c:v>1.4428000000000001</c:v>
                </c:pt>
                <c:pt idx="323">
                  <c:v>1.0344</c:v>
                </c:pt>
                <c:pt idx="324">
                  <c:v>1.1240000000000001</c:v>
                </c:pt>
                <c:pt idx="325">
                  <c:v>1.1016999999999999</c:v>
                </c:pt>
                <c:pt idx="326">
                  <c:v>0.99629999999999996</c:v>
                </c:pt>
                <c:pt idx="327">
                  <c:v>1.0286</c:v>
                </c:pt>
                <c:pt idx="328">
                  <c:v>0.98350000000000004</c:v>
                </c:pt>
                <c:pt idx="329">
                  <c:v>0.93859999999999999</c:v>
                </c:pt>
                <c:pt idx="330">
                  <c:v>0.99099999999999999</c:v>
                </c:pt>
                <c:pt idx="331">
                  <c:v>0.94379999999999997</c:v>
                </c:pt>
                <c:pt idx="332">
                  <c:v>0.96299999999999997</c:v>
                </c:pt>
                <c:pt idx="333">
                  <c:v>0.81089999999999995</c:v>
                </c:pt>
                <c:pt idx="334">
                  <c:v>0.88070000000000004</c:v>
                </c:pt>
                <c:pt idx="335">
                  <c:v>0.92979999999999996</c:v>
                </c:pt>
                <c:pt idx="336">
                  <c:v>0.81299999999999994</c:v>
                </c:pt>
                <c:pt idx="337">
                  <c:v>0.91180000000000005</c:v>
                </c:pt>
                <c:pt idx="338">
                  <c:v>0.84279999999999999</c:v>
                </c:pt>
                <c:pt idx="339">
                  <c:v>1.0436000000000001</c:v>
                </c:pt>
                <c:pt idx="340">
                  <c:v>1.1496999999999999</c:v>
                </c:pt>
                <c:pt idx="341">
                  <c:v>1.0948</c:v>
                </c:pt>
                <c:pt idx="342">
                  <c:v>1.1311</c:v>
                </c:pt>
                <c:pt idx="343">
                  <c:v>1.1574</c:v>
                </c:pt>
                <c:pt idx="344">
                  <c:v>1.1235999999999999</c:v>
                </c:pt>
                <c:pt idx="345">
                  <c:v>1.0746</c:v>
                </c:pt>
                <c:pt idx="346">
                  <c:v>1.1380999999999999</c:v>
                </c:pt>
                <c:pt idx="347">
                  <c:v>1.2902</c:v>
                </c:pt>
                <c:pt idx="348">
                  <c:v>1.49</c:v>
                </c:pt>
                <c:pt idx="349">
                  <c:v>1.1356999999999999</c:v>
                </c:pt>
                <c:pt idx="350">
                  <c:v>0.72030000000000005</c:v>
                </c:pt>
                <c:pt idx="351">
                  <c:v>0.60140000000000005</c:v>
                </c:pt>
                <c:pt idx="352">
                  <c:v>0.61809999999999998</c:v>
                </c:pt>
                <c:pt idx="353">
                  <c:v>0.46400000000000002</c:v>
                </c:pt>
                <c:pt idx="354">
                  <c:v>0.44769999999999999</c:v>
                </c:pt>
                <c:pt idx="355">
                  <c:v>0.45479999999999998</c:v>
                </c:pt>
                <c:pt idx="356">
                  <c:v>0.46899999999999997</c:v>
                </c:pt>
                <c:pt idx="357">
                  <c:v>0.44059999999999999</c:v>
                </c:pt>
                <c:pt idx="358">
                  <c:v>0.43049999999999999</c:v>
                </c:pt>
                <c:pt idx="359">
                  <c:v>0.36930000000000002</c:v>
                </c:pt>
                <c:pt idx="360">
                  <c:v>0.36630000000000001</c:v>
                </c:pt>
                <c:pt idx="361">
                  <c:v>0.3569</c:v>
                </c:pt>
                <c:pt idx="362">
                  <c:v>0.35980000000000001</c:v>
                </c:pt>
                <c:pt idx="363">
                  <c:v>0.33439999999999998</c:v>
                </c:pt>
                <c:pt idx="364">
                  <c:v>0.33489999999999998</c:v>
                </c:pt>
                <c:pt idx="365">
                  <c:v>0.32550000000000001</c:v>
                </c:pt>
                <c:pt idx="366">
                  <c:v>0.35160000000000002</c:v>
                </c:pt>
                <c:pt idx="367">
                  <c:v>0.35649999999999998</c:v>
                </c:pt>
                <c:pt idx="368">
                  <c:v>0.37569999999999998</c:v>
                </c:pt>
                <c:pt idx="369">
                  <c:v>0.34920000000000001</c:v>
                </c:pt>
                <c:pt idx="370">
                  <c:v>0.34910000000000002</c:v>
                </c:pt>
                <c:pt idx="371">
                  <c:v>0.3453</c:v>
                </c:pt>
                <c:pt idx="372">
                  <c:v>0.37390000000000001</c:v>
                </c:pt>
                <c:pt idx="373">
                  <c:v>0.35089999999999999</c:v>
                </c:pt>
                <c:pt idx="374">
                  <c:v>0.36709999999999998</c:v>
                </c:pt>
                <c:pt idx="375">
                  <c:v>0.34849999999999998</c:v>
                </c:pt>
                <c:pt idx="376">
                  <c:v>0.33379999999999999</c:v>
                </c:pt>
                <c:pt idx="377">
                  <c:v>0.3332</c:v>
                </c:pt>
                <c:pt idx="378">
                  <c:v>0.32350000000000001</c:v>
                </c:pt>
                <c:pt idx="379">
                  <c:v>0.32550000000000001</c:v>
                </c:pt>
                <c:pt idx="380">
                  <c:v>0.31230000000000002</c:v>
                </c:pt>
                <c:pt idx="381">
                  <c:v>0.31940000000000002</c:v>
                </c:pt>
                <c:pt idx="382">
                  <c:v>0.39350000000000002</c:v>
                </c:pt>
                <c:pt idx="383">
                  <c:v>0.35870000000000002</c:v>
                </c:pt>
                <c:pt idx="384">
                  <c:v>0.32990000000000003</c:v>
                </c:pt>
                <c:pt idx="385">
                  <c:v>0.35630000000000001</c:v>
                </c:pt>
                <c:pt idx="386">
                  <c:v>0.32240000000000002</c:v>
                </c:pt>
                <c:pt idx="387">
                  <c:v>0.28660000000000002</c:v>
                </c:pt>
                <c:pt idx="388">
                  <c:v>0.28789999999999999</c:v>
                </c:pt>
                <c:pt idx="389">
                  <c:v>0.28739999999999999</c:v>
                </c:pt>
                <c:pt idx="390">
                  <c:v>0.28029999999999999</c:v>
                </c:pt>
                <c:pt idx="391">
                  <c:v>0.2838</c:v>
                </c:pt>
                <c:pt idx="392">
                  <c:v>0.27500000000000002</c:v>
                </c:pt>
                <c:pt idx="393">
                  <c:v>0.27539999999999998</c:v>
                </c:pt>
                <c:pt idx="394">
                  <c:v>0.29089999999999999</c:v>
                </c:pt>
                <c:pt idx="395">
                  <c:v>0.28199999999999997</c:v>
                </c:pt>
                <c:pt idx="396">
                  <c:v>0.27660000000000001</c:v>
                </c:pt>
                <c:pt idx="397">
                  <c:v>0.28299999999999997</c:v>
                </c:pt>
                <c:pt idx="398">
                  <c:v>0.29430000000000001</c:v>
                </c:pt>
                <c:pt idx="399">
                  <c:v>0.29370000000000002</c:v>
                </c:pt>
                <c:pt idx="400">
                  <c:v>0.27889999999999998</c:v>
                </c:pt>
                <c:pt idx="401">
                  <c:v>0.32940000000000003</c:v>
                </c:pt>
                <c:pt idx="402">
                  <c:v>0.33150000000000002</c:v>
                </c:pt>
                <c:pt idx="403">
                  <c:v>0.33860000000000001</c:v>
                </c:pt>
                <c:pt idx="404">
                  <c:v>0.35299999999999998</c:v>
                </c:pt>
                <c:pt idx="405">
                  <c:v>0.33629999999999999</c:v>
                </c:pt>
                <c:pt idx="406">
                  <c:v>0.32790000000000002</c:v>
                </c:pt>
                <c:pt idx="407">
                  <c:v>0.33400000000000002</c:v>
                </c:pt>
                <c:pt idx="408">
                  <c:v>0.32800000000000001</c:v>
                </c:pt>
                <c:pt idx="409">
                  <c:v>0.33789999999999998</c:v>
                </c:pt>
                <c:pt idx="410">
                  <c:v>0.3387</c:v>
                </c:pt>
                <c:pt idx="411">
                  <c:v>0.3286</c:v>
                </c:pt>
                <c:pt idx="412">
                  <c:v>0.31730000000000003</c:v>
                </c:pt>
                <c:pt idx="413">
                  <c:v>0.3271</c:v>
                </c:pt>
                <c:pt idx="414">
                  <c:v>0.3362</c:v>
                </c:pt>
                <c:pt idx="415">
                  <c:v>0.32479999999999998</c:v>
                </c:pt>
                <c:pt idx="416">
                  <c:v>0.35410000000000003</c:v>
                </c:pt>
                <c:pt idx="417">
                  <c:v>0.37040000000000001</c:v>
                </c:pt>
                <c:pt idx="418">
                  <c:v>0.37309999999999999</c:v>
                </c:pt>
                <c:pt idx="419">
                  <c:v>0.34649999999999997</c:v>
                </c:pt>
                <c:pt idx="420">
                  <c:v>0.38469999999999999</c:v>
                </c:pt>
                <c:pt idx="421">
                  <c:v>0.37259999999999999</c:v>
                </c:pt>
                <c:pt idx="422">
                  <c:v>0.3579</c:v>
                </c:pt>
                <c:pt idx="423">
                  <c:v>0.37330000000000002</c:v>
                </c:pt>
                <c:pt idx="424">
                  <c:v>0.35470000000000002</c:v>
                </c:pt>
                <c:pt idx="425">
                  <c:v>0.36459999999999998</c:v>
                </c:pt>
                <c:pt idx="426">
                  <c:v>0.35099999999999998</c:v>
                </c:pt>
                <c:pt idx="427">
                  <c:v>0.35880000000000001</c:v>
                </c:pt>
                <c:pt idx="428">
                  <c:v>0.39579999999999999</c:v>
                </c:pt>
                <c:pt idx="429">
                  <c:v>0.39379999999999998</c:v>
                </c:pt>
                <c:pt idx="430">
                  <c:v>0.38440000000000002</c:v>
                </c:pt>
                <c:pt idx="431">
                  <c:v>0.34320000000000001</c:v>
                </c:pt>
                <c:pt idx="432">
                  <c:v>0.36259999999999998</c:v>
                </c:pt>
                <c:pt idx="433">
                  <c:v>0.32650000000000001</c:v>
                </c:pt>
                <c:pt idx="434">
                  <c:v>0.32169999999999999</c:v>
                </c:pt>
                <c:pt idx="435">
                  <c:v>0.3115</c:v>
                </c:pt>
                <c:pt idx="436">
                  <c:v>0.318</c:v>
                </c:pt>
                <c:pt idx="437">
                  <c:v>0.31850000000000001</c:v>
                </c:pt>
                <c:pt idx="438">
                  <c:v>0.29749999999999999</c:v>
                </c:pt>
                <c:pt idx="439">
                  <c:v>0.31109999999999999</c:v>
                </c:pt>
                <c:pt idx="440">
                  <c:v>0.3165</c:v>
                </c:pt>
                <c:pt idx="441">
                  <c:v>0.30499999999999999</c:v>
                </c:pt>
                <c:pt idx="442">
                  <c:v>0.32029999999999997</c:v>
                </c:pt>
                <c:pt idx="443">
                  <c:v>0.34760000000000002</c:v>
                </c:pt>
                <c:pt idx="444">
                  <c:v>0.30520000000000003</c:v>
                </c:pt>
                <c:pt idx="445">
                  <c:v>0.30399999999999999</c:v>
                </c:pt>
                <c:pt idx="446">
                  <c:v>0.29170000000000001</c:v>
                </c:pt>
                <c:pt idx="447">
                  <c:v>0.3135</c:v>
                </c:pt>
                <c:pt idx="448">
                  <c:v>0.27739999999999998</c:v>
                </c:pt>
                <c:pt idx="449">
                  <c:v>0.25</c:v>
                </c:pt>
                <c:pt idx="450">
                  <c:v>0.2407</c:v>
                </c:pt>
                <c:pt idx="451">
                  <c:v>0.25459999999999999</c:v>
                </c:pt>
                <c:pt idx="452">
                  <c:v>0.25900000000000001</c:v>
                </c:pt>
                <c:pt idx="453">
                  <c:v>0.25540000000000002</c:v>
                </c:pt>
                <c:pt idx="454">
                  <c:v>0.25740000000000002</c:v>
                </c:pt>
                <c:pt idx="455">
                  <c:v>0.26690000000000003</c:v>
                </c:pt>
                <c:pt idx="456">
                  <c:v>0.27739999999999998</c:v>
                </c:pt>
                <c:pt idx="457">
                  <c:v>0.29849999999999999</c:v>
                </c:pt>
                <c:pt idx="458">
                  <c:v>0.2944</c:v>
                </c:pt>
                <c:pt idx="459">
                  <c:v>0.31759999999999999</c:v>
                </c:pt>
                <c:pt idx="460">
                  <c:v>0.32450000000000001</c:v>
                </c:pt>
                <c:pt idx="461">
                  <c:v>0.32740000000000002</c:v>
                </c:pt>
                <c:pt idx="462">
                  <c:v>0.33</c:v>
                </c:pt>
                <c:pt idx="463">
                  <c:v>0.3296</c:v>
                </c:pt>
                <c:pt idx="464">
                  <c:v>0.32019999999999998</c:v>
                </c:pt>
                <c:pt idx="465">
                  <c:v>0.3286</c:v>
                </c:pt>
                <c:pt idx="466">
                  <c:v>0.32479999999999998</c:v>
                </c:pt>
                <c:pt idx="467">
                  <c:v>0.34260000000000002</c:v>
                </c:pt>
                <c:pt idx="468">
                  <c:v>0.31509999999999999</c:v>
                </c:pt>
                <c:pt idx="469">
                  <c:v>0.33350000000000002</c:v>
                </c:pt>
                <c:pt idx="470">
                  <c:v>0.35389999999999999</c:v>
                </c:pt>
                <c:pt idx="471">
                  <c:v>0.36720000000000003</c:v>
                </c:pt>
                <c:pt idx="472">
                  <c:v>0.36709999999999998</c:v>
                </c:pt>
                <c:pt idx="473">
                  <c:v>0.3669</c:v>
                </c:pt>
                <c:pt idx="474">
                  <c:v>0.36899999999999999</c:v>
                </c:pt>
                <c:pt idx="475">
                  <c:v>0.36430000000000001</c:v>
                </c:pt>
                <c:pt idx="476">
                  <c:v>0.34539999999999998</c:v>
                </c:pt>
                <c:pt idx="477">
                  <c:v>0.32090000000000002</c:v>
                </c:pt>
                <c:pt idx="478">
                  <c:v>0.31230000000000002</c:v>
                </c:pt>
                <c:pt idx="479">
                  <c:v>0.35199999999999998</c:v>
                </c:pt>
                <c:pt idx="480">
                  <c:v>0.34660000000000002</c:v>
                </c:pt>
                <c:pt idx="481">
                  <c:v>0.34649999999999997</c:v>
                </c:pt>
                <c:pt idx="482">
                  <c:v>0.35120000000000001</c:v>
                </c:pt>
                <c:pt idx="483">
                  <c:v>0.37140000000000001</c:v>
                </c:pt>
                <c:pt idx="484">
                  <c:v>0.3987</c:v>
                </c:pt>
                <c:pt idx="485">
                  <c:v>0.39589999999999997</c:v>
                </c:pt>
                <c:pt idx="486">
                  <c:v>0.3795</c:v>
                </c:pt>
                <c:pt idx="487">
                  <c:v>0.37190000000000001</c:v>
                </c:pt>
                <c:pt idx="488">
                  <c:v>0.378</c:v>
                </c:pt>
                <c:pt idx="489">
                  <c:v>0.378</c:v>
                </c:pt>
                <c:pt idx="490">
                  <c:v>0.37230000000000002</c:v>
                </c:pt>
                <c:pt idx="491">
                  <c:v>0.33610000000000001</c:v>
                </c:pt>
                <c:pt idx="492">
                  <c:v>0.36670000000000003</c:v>
                </c:pt>
                <c:pt idx="493">
                  <c:v>0.35749999999999998</c:v>
                </c:pt>
                <c:pt idx="494">
                  <c:v>0.41170000000000001</c:v>
                </c:pt>
                <c:pt idx="495">
                  <c:v>0.4209</c:v>
                </c:pt>
                <c:pt idx="496">
                  <c:v>0.41549999999999998</c:v>
                </c:pt>
                <c:pt idx="497">
                  <c:v>0.44729999999999998</c:v>
                </c:pt>
                <c:pt idx="498">
                  <c:v>0.43930000000000002</c:v>
                </c:pt>
                <c:pt idx="499">
                  <c:v>0.45590000000000003</c:v>
                </c:pt>
                <c:pt idx="500">
                  <c:v>0.48930000000000001</c:v>
                </c:pt>
                <c:pt idx="501">
                  <c:v>0.49359999999999998</c:v>
                </c:pt>
                <c:pt idx="502">
                  <c:v>0.55130000000000001</c:v>
                </c:pt>
                <c:pt idx="503">
                  <c:v>0.53720000000000001</c:v>
                </c:pt>
                <c:pt idx="504">
                  <c:v>0.5091</c:v>
                </c:pt>
                <c:pt idx="505">
                  <c:v>0.48</c:v>
                </c:pt>
                <c:pt idx="506">
                  <c:v>0.46789999999999998</c:v>
                </c:pt>
                <c:pt idx="507">
                  <c:v>0.48249999999999998</c:v>
                </c:pt>
                <c:pt idx="508">
                  <c:v>0.48070000000000002</c:v>
                </c:pt>
                <c:pt idx="509">
                  <c:v>0.4577</c:v>
                </c:pt>
                <c:pt idx="510">
                  <c:v>0.54849999999999999</c:v>
                </c:pt>
                <c:pt idx="511">
                  <c:v>0.4506</c:v>
                </c:pt>
                <c:pt idx="512">
                  <c:v>0.56999999999999995</c:v>
                </c:pt>
                <c:pt idx="513">
                  <c:v>0.60029999999999994</c:v>
                </c:pt>
                <c:pt idx="514">
                  <c:v>0.65159999999999996</c:v>
                </c:pt>
                <c:pt idx="515">
                  <c:v>0.60850000000000004</c:v>
                </c:pt>
                <c:pt idx="516">
                  <c:v>0.62509999999999999</c:v>
                </c:pt>
                <c:pt idx="517">
                  <c:v>0.62729999999999997</c:v>
                </c:pt>
                <c:pt idx="518">
                  <c:v>0.58830000000000005</c:v>
                </c:pt>
                <c:pt idx="519">
                  <c:v>0.63029999999999997</c:v>
                </c:pt>
                <c:pt idx="520">
                  <c:v>0.66479999999999995</c:v>
                </c:pt>
                <c:pt idx="521">
                  <c:v>0.69430000000000003</c:v>
                </c:pt>
                <c:pt idx="522">
                  <c:v>0.71009999999999995</c:v>
                </c:pt>
                <c:pt idx="523">
                  <c:v>0.74690000000000001</c:v>
                </c:pt>
                <c:pt idx="524">
                  <c:v>0.64180000000000004</c:v>
                </c:pt>
                <c:pt idx="525">
                  <c:v>0.66820000000000002</c:v>
                </c:pt>
                <c:pt idx="526">
                  <c:v>0.59899999999999998</c:v>
                </c:pt>
                <c:pt idx="527">
                  <c:v>0.64059999999999995</c:v>
                </c:pt>
                <c:pt idx="528">
                  <c:v>0.55359999999999998</c:v>
                </c:pt>
                <c:pt idx="529">
                  <c:v>0.57120000000000004</c:v>
                </c:pt>
                <c:pt idx="530">
                  <c:v>0.5373</c:v>
                </c:pt>
                <c:pt idx="531">
                  <c:v>0.54659999999999997</c:v>
                </c:pt>
                <c:pt idx="532">
                  <c:v>0.58089999999999997</c:v>
                </c:pt>
                <c:pt idx="533">
                  <c:v>0.50270000000000004</c:v>
                </c:pt>
                <c:pt idx="534">
                  <c:v>0.47989999999999999</c:v>
                </c:pt>
                <c:pt idx="535">
                  <c:v>0.51070000000000004</c:v>
                </c:pt>
                <c:pt idx="536">
                  <c:v>0.4899</c:v>
                </c:pt>
                <c:pt idx="537">
                  <c:v>0.48430000000000001</c:v>
                </c:pt>
                <c:pt idx="538">
                  <c:v>0.44679999999999997</c:v>
                </c:pt>
                <c:pt idx="539">
                  <c:v>0.4476</c:v>
                </c:pt>
                <c:pt idx="540">
                  <c:v>0.43070000000000003</c:v>
                </c:pt>
                <c:pt idx="541">
                  <c:v>0.44429999999999997</c:v>
                </c:pt>
                <c:pt idx="542">
                  <c:v>0.42909999999999998</c:v>
                </c:pt>
                <c:pt idx="543">
                  <c:v>0.4335</c:v>
                </c:pt>
                <c:pt idx="544">
                  <c:v>0.43230000000000002</c:v>
                </c:pt>
                <c:pt idx="545">
                  <c:v>0.42459999999999998</c:v>
                </c:pt>
                <c:pt idx="546">
                  <c:v>0.43709999999999999</c:v>
                </c:pt>
                <c:pt idx="547">
                  <c:v>0.42980000000000002</c:v>
                </c:pt>
                <c:pt idx="548">
                  <c:v>0.44619999999999999</c:v>
                </c:pt>
                <c:pt idx="549">
                  <c:v>0.41249999999999998</c:v>
                </c:pt>
                <c:pt idx="550">
                  <c:v>0.46750000000000003</c:v>
                </c:pt>
                <c:pt idx="551">
                  <c:v>0.47560000000000002</c:v>
                </c:pt>
                <c:pt idx="552">
                  <c:v>0.48780000000000001</c:v>
                </c:pt>
                <c:pt idx="553">
                  <c:v>0.51619999999999999</c:v>
                </c:pt>
                <c:pt idx="554">
                  <c:v>0.53559999999999997</c:v>
                </c:pt>
                <c:pt idx="555">
                  <c:v>0.47810000000000002</c:v>
                </c:pt>
                <c:pt idx="556">
                  <c:v>0.47870000000000001</c:v>
                </c:pt>
                <c:pt idx="557">
                  <c:v>0.45179999999999998</c:v>
                </c:pt>
                <c:pt idx="558">
                  <c:v>0.46439999999999998</c:v>
                </c:pt>
                <c:pt idx="559">
                  <c:v>0.4531</c:v>
                </c:pt>
                <c:pt idx="560">
                  <c:v>0.4204</c:v>
                </c:pt>
                <c:pt idx="561">
                  <c:v>0.41610000000000003</c:v>
                </c:pt>
                <c:pt idx="562">
                  <c:v>0.4335</c:v>
                </c:pt>
                <c:pt idx="563">
                  <c:v>0.42680000000000001</c:v>
                </c:pt>
                <c:pt idx="564">
                  <c:v>0.4839</c:v>
                </c:pt>
                <c:pt idx="565">
                  <c:v>0.42070000000000002</c:v>
                </c:pt>
                <c:pt idx="566">
                  <c:v>0.3992</c:v>
                </c:pt>
                <c:pt idx="567">
                  <c:v>0.41830000000000001</c:v>
                </c:pt>
                <c:pt idx="568">
                  <c:v>0.4148</c:v>
                </c:pt>
                <c:pt idx="569">
                  <c:v>0.38469999999999999</c:v>
                </c:pt>
                <c:pt idx="570">
                  <c:v>0.36499999999999999</c:v>
                </c:pt>
                <c:pt idx="571">
                  <c:v>0.3503</c:v>
                </c:pt>
                <c:pt idx="572">
                  <c:v>0.35099999999999998</c:v>
                </c:pt>
                <c:pt idx="573">
                  <c:v>0.33250000000000002</c:v>
                </c:pt>
                <c:pt idx="574">
                  <c:v>0.3296</c:v>
                </c:pt>
                <c:pt idx="575">
                  <c:v>0.33979999999999999</c:v>
                </c:pt>
                <c:pt idx="576">
                  <c:v>0.33239999999999997</c:v>
                </c:pt>
                <c:pt idx="577">
                  <c:v>0.33329999999999999</c:v>
                </c:pt>
                <c:pt idx="578">
                  <c:v>0.33279999999999998</c:v>
                </c:pt>
                <c:pt idx="579">
                  <c:v>0.32329999999999998</c:v>
                </c:pt>
                <c:pt idx="580">
                  <c:v>0.34870000000000001</c:v>
                </c:pt>
                <c:pt idx="581">
                  <c:v>0.35859999999999997</c:v>
                </c:pt>
                <c:pt idx="582">
                  <c:v>0.37480000000000002</c:v>
                </c:pt>
                <c:pt idx="583">
                  <c:v>0.37690000000000001</c:v>
                </c:pt>
                <c:pt idx="584">
                  <c:v>0.37459999999999999</c:v>
                </c:pt>
                <c:pt idx="585">
                  <c:v>0.35899999999999999</c:v>
                </c:pt>
                <c:pt idx="586">
                  <c:v>0.36220000000000002</c:v>
                </c:pt>
                <c:pt idx="587">
                  <c:v>0.371</c:v>
                </c:pt>
                <c:pt idx="588">
                  <c:v>0.35880000000000001</c:v>
                </c:pt>
                <c:pt idx="589">
                  <c:v>0.3584</c:v>
                </c:pt>
                <c:pt idx="590">
                  <c:v>0.37180000000000002</c:v>
                </c:pt>
                <c:pt idx="591">
                  <c:v>0.35680000000000001</c:v>
                </c:pt>
                <c:pt idx="592">
                  <c:v>0.35520000000000002</c:v>
                </c:pt>
                <c:pt idx="593">
                  <c:v>0.38450000000000001</c:v>
                </c:pt>
                <c:pt idx="594">
                  <c:v>0.38350000000000001</c:v>
                </c:pt>
                <c:pt idx="595">
                  <c:v>0.36870000000000003</c:v>
                </c:pt>
                <c:pt idx="596">
                  <c:v>0.41</c:v>
                </c:pt>
                <c:pt idx="597">
                  <c:v>0.3972</c:v>
                </c:pt>
                <c:pt idx="598">
                  <c:v>0.40079999999999999</c:v>
                </c:pt>
                <c:pt idx="599">
                  <c:v>0.36749999999999999</c:v>
                </c:pt>
                <c:pt idx="600">
                  <c:v>0.3881</c:v>
                </c:pt>
                <c:pt idx="601">
                  <c:v>0.3589</c:v>
                </c:pt>
                <c:pt idx="602">
                  <c:v>0.34029999999999999</c:v>
                </c:pt>
                <c:pt idx="603">
                  <c:v>0.34520000000000001</c:v>
                </c:pt>
                <c:pt idx="604">
                  <c:v>0.3427</c:v>
                </c:pt>
                <c:pt idx="605">
                  <c:v>0.34560000000000002</c:v>
                </c:pt>
                <c:pt idx="606">
                  <c:v>0.3488</c:v>
                </c:pt>
                <c:pt idx="607">
                  <c:v>0.36009999999999998</c:v>
                </c:pt>
                <c:pt idx="608">
                  <c:v>0.36059999999999998</c:v>
                </c:pt>
                <c:pt idx="609">
                  <c:v>0.3488</c:v>
                </c:pt>
                <c:pt idx="610">
                  <c:v>0.34710000000000002</c:v>
                </c:pt>
                <c:pt idx="611">
                  <c:v>0.35649999999999998</c:v>
                </c:pt>
                <c:pt idx="612">
                  <c:v>0.33169999999999999</c:v>
                </c:pt>
                <c:pt idx="613">
                  <c:v>0.29249999999999998</c:v>
                </c:pt>
                <c:pt idx="614">
                  <c:v>0.29809999999999998</c:v>
                </c:pt>
                <c:pt idx="615">
                  <c:v>0.29399999999999998</c:v>
                </c:pt>
                <c:pt idx="616">
                  <c:v>0.2621</c:v>
                </c:pt>
                <c:pt idx="617">
                  <c:v>0.27689999999999998</c:v>
                </c:pt>
                <c:pt idx="618">
                  <c:v>0.2722</c:v>
                </c:pt>
                <c:pt idx="619">
                  <c:v>0.26790000000000003</c:v>
                </c:pt>
                <c:pt idx="620">
                  <c:v>0.26319999999999999</c:v>
                </c:pt>
                <c:pt idx="621">
                  <c:v>0.26769999999999999</c:v>
                </c:pt>
                <c:pt idx="622">
                  <c:v>0.26079999999999998</c:v>
                </c:pt>
                <c:pt idx="623">
                  <c:v>0.26450000000000001</c:v>
                </c:pt>
                <c:pt idx="624">
                  <c:v>0.2712</c:v>
                </c:pt>
                <c:pt idx="625">
                  <c:v>0.25650000000000001</c:v>
                </c:pt>
                <c:pt idx="626">
                  <c:v>0.25700000000000001</c:v>
                </c:pt>
                <c:pt idx="627">
                  <c:v>0.26479999999999998</c:v>
                </c:pt>
                <c:pt idx="628">
                  <c:v>0.29459999999999997</c:v>
                </c:pt>
                <c:pt idx="629">
                  <c:v>0.29459999999999997</c:v>
                </c:pt>
                <c:pt idx="630">
                  <c:v>0.28949999999999998</c:v>
                </c:pt>
                <c:pt idx="631">
                  <c:v>0.28689999999999999</c:v>
                </c:pt>
                <c:pt idx="632">
                  <c:v>0.30149999999999999</c:v>
                </c:pt>
                <c:pt idx="633">
                  <c:v>0.29249999999999998</c:v>
                </c:pt>
                <c:pt idx="634">
                  <c:v>0.29380000000000001</c:v>
                </c:pt>
                <c:pt idx="635">
                  <c:v>0.29909999999999998</c:v>
                </c:pt>
                <c:pt idx="636">
                  <c:v>0.29270000000000002</c:v>
                </c:pt>
                <c:pt idx="637">
                  <c:v>0.28349999999999997</c:v>
                </c:pt>
                <c:pt idx="638">
                  <c:v>0.29699999999999999</c:v>
                </c:pt>
                <c:pt idx="639">
                  <c:v>0.28489999999999999</c:v>
                </c:pt>
                <c:pt idx="640">
                  <c:v>0.28749999999999998</c:v>
                </c:pt>
                <c:pt idx="641">
                  <c:v>0.29580000000000001</c:v>
                </c:pt>
                <c:pt idx="642">
                  <c:v>0.3004</c:v>
                </c:pt>
                <c:pt idx="643">
                  <c:v>0.2918</c:v>
                </c:pt>
                <c:pt idx="644">
                  <c:v>0.28520000000000001</c:v>
                </c:pt>
                <c:pt idx="645">
                  <c:v>0.28839999999999999</c:v>
                </c:pt>
                <c:pt idx="646">
                  <c:v>0.27950000000000003</c:v>
                </c:pt>
                <c:pt idx="647">
                  <c:v>0.25929999999999997</c:v>
                </c:pt>
                <c:pt idx="648">
                  <c:v>0.28910000000000002</c:v>
                </c:pt>
                <c:pt idx="649">
                  <c:v>0.3029</c:v>
                </c:pt>
                <c:pt idx="650">
                  <c:v>0.30470000000000003</c:v>
                </c:pt>
                <c:pt idx="651">
                  <c:v>0.2697</c:v>
                </c:pt>
                <c:pt idx="652">
                  <c:v>0.2261</c:v>
                </c:pt>
                <c:pt idx="653">
                  <c:v>0.2298</c:v>
                </c:pt>
                <c:pt idx="654">
                  <c:v>0.22639999999999999</c:v>
                </c:pt>
                <c:pt idx="655">
                  <c:v>0.23319999999999999</c:v>
                </c:pt>
                <c:pt idx="656">
                  <c:v>0.22989999999999999</c:v>
                </c:pt>
                <c:pt idx="657">
                  <c:v>0.23050000000000001</c:v>
                </c:pt>
                <c:pt idx="658">
                  <c:v>0.2626</c:v>
                </c:pt>
                <c:pt idx="659">
                  <c:v>0.2601</c:v>
                </c:pt>
                <c:pt idx="660">
                  <c:v>0.25619999999999998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8-4C0D-9E65-A4F91FBDB34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-4.6606114062454012</c:v>
                </c:pt>
                <c:pt idx="1">
                  <c:v>-4.6592218628726192</c:v>
                </c:pt>
                <c:pt idx="2">
                  <c:v>-4.620310286119631</c:v>
                </c:pt>
                <c:pt idx="3">
                  <c:v>-4.6180080930761536</c:v>
                </c:pt>
                <c:pt idx="4">
                  <c:v>-4.6233215253035489</c:v>
                </c:pt>
                <c:pt idx="5">
                  <c:v>-4.6267086261800419</c:v>
                </c:pt>
                <c:pt idx="6">
                  <c:v>-4.6152803111543577</c:v>
                </c:pt>
                <c:pt idx="7">
                  <c:v>-4.5584656323575103</c:v>
                </c:pt>
                <c:pt idx="8">
                  <c:v>-4.5376500184209183</c:v>
                </c:pt>
                <c:pt idx="9">
                  <c:v>-4.5288779514945121</c:v>
                </c:pt>
                <c:pt idx="10">
                  <c:v>-4.5358353744945115</c:v>
                </c:pt>
                <c:pt idx="11">
                  <c:v>-4.533870444979093</c:v>
                </c:pt>
                <c:pt idx="12">
                  <c:v>-4.5350357149790934</c:v>
                </c:pt>
                <c:pt idx="13">
                  <c:v>-4.5309257270721162</c:v>
                </c:pt>
                <c:pt idx="14">
                  <c:v>-4.5376634925691928</c:v>
                </c:pt>
                <c:pt idx="15">
                  <c:v>-4.4915076839421042</c:v>
                </c:pt>
                <c:pt idx="16">
                  <c:v>-4.5010353311033953</c:v>
                </c:pt>
                <c:pt idx="17">
                  <c:v>-4.5164802864960647</c:v>
                </c:pt>
                <c:pt idx="18">
                  <c:v>-4.5037405577849539</c:v>
                </c:pt>
                <c:pt idx="19">
                  <c:v>-4.4986237699003375</c:v>
                </c:pt>
                <c:pt idx="20">
                  <c:v>-4.4834033873845582</c:v>
                </c:pt>
                <c:pt idx="21">
                  <c:v>-4.4709101117369503</c:v>
                </c:pt>
                <c:pt idx="22">
                  <c:v>-4.4746672299446901</c:v>
                </c:pt>
                <c:pt idx="23">
                  <c:v>-4.4399163189184367</c:v>
                </c:pt>
                <c:pt idx="24">
                  <c:v>-4.4176913443470083</c:v>
                </c:pt>
                <c:pt idx="25">
                  <c:v>-4.4069338968161444</c:v>
                </c:pt>
                <c:pt idx="26">
                  <c:v>-4.3962154663813617</c:v>
                </c:pt>
                <c:pt idx="27">
                  <c:v>-4.3992130104722706</c:v>
                </c:pt>
                <c:pt idx="28">
                  <c:v>-4.3904953255165182</c:v>
                </c:pt>
                <c:pt idx="29">
                  <c:v>-4.3779023608139687</c:v>
                </c:pt>
                <c:pt idx="30">
                  <c:v>-4.3147822826627076</c:v>
                </c:pt>
                <c:pt idx="31">
                  <c:v>-4.2859899254596003</c:v>
                </c:pt>
                <c:pt idx="32">
                  <c:v>-4.2221872436876442</c:v>
                </c:pt>
                <c:pt idx="33">
                  <c:v>-4.1421301946071845</c:v>
                </c:pt>
                <c:pt idx="34">
                  <c:v>-4.155004071675247</c:v>
                </c:pt>
                <c:pt idx="35">
                  <c:v>-4.1289910584399534</c:v>
                </c:pt>
                <c:pt idx="36">
                  <c:v>-4.1360621277075964</c:v>
                </c:pt>
                <c:pt idx="37">
                  <c:v>-4.1003289032820636</c:v>
                </c:pt>
                <c:pt idx="38">
                  <c:v>-4.0929783136221998</c:v>
                </c:pt>
                <c:pt idx="39">
                  <c:v>-4.1171947026436788</c:v>
                </c:pt>
                <c:pt idx="40">
                  <c:v>-4.087895148872053</c:v>
                </c:pt>
                <c:pt idx="41">
                  <c:v>-4.0658553913898681</c:v>
                </c:pt>
                <c:pt idx="42">
                  <c:v>-4.005815870952941</c:v>
                </c:pt>
                <c:pt idx="43">
                  <c:v>-3.932719282787803</c:v>
                </c:pt>
                <c:pt idx="44">
                  <c:v>-3.9489175529764822</c:v>
                </c:pt>
                <c:pt idx="45">
                  <c:v>-3.9330533061559692</c:v>
                </c:pt>
                <c:pt idx="46">
                  <c:v>-3.8517149061559688</c:v>
                </c:pt>
                <c:pt idx="47">
                  <c:v>-3.8852597025415112</c:v>
                </c:pt>
                <c:pt idx="48">
                  <c:v>-3.8874332670979026</c:v>
                </c:pt>
                <c:pt idx="49">
                  <c:v>-3.9700535886743831</c:v>
                </c:pt>
                <c:pt idx="50">
                  <c:v>-3.8635334941611088</c:v>
                </c:pt>
                <c:pt idx="51">
                  <c:v>-3.3037591162445539</c:v>
                </c:pt>
                <c:pt idx="52">
                  <c:v>-3.3414247773099617</c:v>
                </c:pt>
                <c:pt idx="53">
                  <c:v>-3.4081650673966863</c:v>
                </c:pt>
                <c:pt idx="54">
                  <c:v>-3.2982083178808974</c:v>
                </c:pt>
                <c:pt idx="55">
                  <c:v>-3.3010290355927427</c:v>
                </c:pt>
                <c:pt idx="56">
                  <c:v>-2.241556010587872</c:v>
                </c:pt>
                <c:pt idx="57">
                  <c:v>-1.9590492674505167</c:v>
                </c:pt>
                <c:pt idx="58">
                  <c:v>-1.9515731516889274</c:v>
                </c:pt>
                <c:pt idx="59">
                  <c:v>-1.9268409694603559</c:v>
                </c:pt>
                <c:pt idx="60">
                  <c:v>-1.9309296914115752</c:v>
                </c:pt>
                <c:pt idx="61">
                  <c:v>-1.9407211972140443</c:v>
                </c:pt>
                <c:pt idx="62">
                  <c:v>-1.9455547220403697</c:v>
                </c:pt>
                <c:pt idx="63">
                  <c:v>-1.9315865538725376</c:v>
                </c:pt>
                <c:pt idx="64">
                  <c:v>-1.9132513969041787</c:v>
                </c:pt>
                <c:pt idx="65">
                  <c:v>-1.909072247100257</c:v>
                </c:pt>
                <c:pt idx="66">
                  <c:v>-1.9189588697099307</c:v>
                </c:pt>
                <c:pt idx="67">
                  <c:v>-1.8921030448206635</c:v>
                </c:pt>
                <c:pt idx="68">
                  <c:v>-1.6760731653107532</c:v>
                </c:pt>
                <c:pt idx="69">
                  <c:v>-1.6572350640829223</c:v>
                </c:pt>
                <c:pt idx="70">
                  <c:v>-1.6708951379064518</c:v>
                </c:pt>
                <c:pt idx="71">
                  <c:v>-1.6495492326464221</c:v>
                </c:pt>
                <c:pt idx="72">
                  <c:v>-1.6573722775532544</c:v>
                </c:pt>
                <c:pt idx="73">
                  <c:v>-1.6446754297500668</c:v>
                </c:pt>
                <c:pt idx="74">
                  <c:v>-1.6301887201582301</c:v>
                </c:pt>
                <c:pt idx="75">
                  <c:v>-1.6349282048457301</c:v>
                </c:pt>
                <c:pt idx="76">
                  <c:v>-1.6236558205123968</c:v>
                </c:pt>
                <c:pt idx="77">
                  <c:v>-1.6391408593672023</c:v>
                </c:pt>
                <c:pt idx="78">
                  <c:v>-1.6453216377335391</c:v>
                </c:pt>
                <c:pt idx="79">
                  <c:v>-1.6257239770831324</c:v>
                </c:pt>
                <c:pt idx="80">
                  <c:v>-1.6289422181204769</c:v>
                </c:pt>
                <c:pt idx="81">
                  <c:v>-1.640736194473418</c:v>
                </c:pt>
                <c:pt idx="82">
                  <c:v>-1.6252325571366031</c:v>
                </c:pt>
                <c:pt idx="83">
                  <c:v>-1.6043168087953712</c:v>
                </c:pt>
                <c:pt idx="84">
                  <c:v>-1.5891322699718418</c:v>
                </c:pt>
                <c:pt idx="85">
                  <c:v>-1.5814057680632931</c:v>
                </c:pt>
                <c:pt idx="86">
                  <c:v>-1.5642445347855152</c:v>
                </c:pt>
                <c:pt idx="87">
                  <c:v>-1.6025301706586554</c:v>
                </c:pt>
                <c:pt idx="88">
                  <c:v>-1.5921978619337009</c:v>
                </c:pt>
                <c:pt idx="89">
                  <c:v>-1.5994302888628349</c:v>
                </c:pt>
                <c:pt idx="90">
                  <c:v>-1.5852032929473419</c:v>
                </c:pt>
                <c:pt idx="91">
                  <c:v>-1.5942867261052367</c:v>
                </c:pt>
                <c:pt idx="92">
                  <c:v>-1.5938079529422975</c:v>
                </c:pt>
                <c:pt idx="93">
                  <c:v>-1.5343797941994402</c:v>
                </c:pt>
                <c:pt idx="94">
                  <c:v>-1.4911458439257561</c:v>
                </c:pt>
                <c:pt idx="95">
                  <c:v>-1.4978662564662966</c:v>
                </c:pt>
                <c:pt idx="96">
                  <c:v>-1.4962060617493154</c:v>
                </c:pt>
                <c:pt idx="97">
                  <c:v>-1.5213800451247095</c:v>
                </c:pt>
                <c:pt idx="98">
                  <c:v>-1.514006071220743</c:v>
                </c:pt>
                <c:pt idx="99">
                  <c:v>-1.5019519605064575</c:v>
                </c:pt>
                <c:pt idx="100">
                  <c:v>-1.5096421024290023</c:v>
                </c:pt>
                <c:pt idx="101">
                  <c:v>-1.5029302594497873</c:v>
                </c:pt>
                <c:pt idx="102">
                  <c:v>-1.4816740384553122</c:v>
                </c:pt>
                <c:pt idx="103">
                  <c:v>-1.4512975265777617</c:v>
                </c:pt>
                <c:pt idx="104">
                  <c:v>-1.4162932628775273</c:v>
                </c:pt>
                <c:pt idx="105">
                  <c:v>-1.4251798431514997</c:v>
                </c:pt>
                <c:pt idx="106">
                  <c:v>-1.4189190369786602</c:v>
                </c:pt>
                <c:pt idx="107">
                  <c:v>-1.4289453193316015</c:v>
                </c:pt>
                <c:pt idx="108">
                  <c:v>-1.4371843397861468</c:v>
                </c:pt>
                <c:pt idx="109">
                  <c:v>-1.4275374601933868</c:v>
                </c:pt>
                <c:pt idx="110">
                  <c:v>-1.3981870221264718</c:v>
                </c:pt>
                <c:pt idx="111">
                  <c:v>-1.4035219763700144</c:v>
                </c:pt>
                <c:pt idx="112">
                  <c:v>-1.3579334936066558</c:v>
                </c:pt>
                <c:pt idx="113">
                  <c:v>-1.3774795133341351</c:v>
                </c:pt>
                <c:pt idx="114">
                  <c:v>-1.4473799474129616</c:v>
                </c:pt>
                <c:pt idx="115">
                  <c:v>-1.4477317556069416</c:v>
                </c:pt>
                <c:pt idx="116">
                  <c:v>-1.4405453303642233</c:v>
                </c:pt>
                <c:pt idx="117">
                  <c:v>-1.4447953442564385</c:v>
                </c:pt>
                <c:pt idx="118">
                  <c:v>-1.4097750016388271</c:v>
                </c:pt>
                <c:pt idx="119">
                  <c:v>-1.4370408822839884</c:v>
                </c:pt>
                <c:pt idx="120">
                  <c:v>-1.4707969199203519</c:v>
                </c:pt>
                <c:pt idx="121">
                  <c:v>-1.4530152096679858</c:v>
                </c:pt>
                <c:pt idx="122">
                  <c:v>-1.4205609479572547</c:v>
                </c:pt>
                <c:pt idx="123">
                  <c:v>-1.3585938967785476</c:v>
                </c:pt>
                <c:pt idx="124">
                  <c:v>-1.3704655017192591</c:v>
                </c:pt>
                <c:pt idx="125">
                  <c:v>-1.3092692564517692</c:v>
                </c:pt>
                <c:pt idx="126">
                  <c:v>-1.3593820983872529</c:v>
                </c:pt>
                <c:pt idx="127">
                  <c:v>-1.3271479830122532</c:v>
                </c:pt>
                <c:pt idx="128">
                  <c:v>-1.365139087468775</c:v>
                </c:pt>
                <c:pt idx="129">
                  <c:v>-1.316537936540598</c:v>
                </c:pt>
                <c:pt idx="130">
                  <c:v>-1.290731654413567</c:v>
                </c:pt>
                <c:pt idx="131">
                  <c:v>-1.26348663904652</c:v>
                </c:pt>
                <c:pt idx="132">
                  <c:v>-1.2132861830415105</c:v>
                </c:pt>
                <c:pt idx="133">
                  <c:v>-1.152959230798702</c:v>
                </c:pt>
                <c:pt idx="134">
                  <c:v>-1.0444881402024806</c:v>
                </c:pt>
                <c:pt idx="135">
                  <c:v>-1.1173265894158677</c:v>
                </c:pt>
                <c:pt idx="136">
                  <c:v>-1.12816963982173</c:v>
                </c:pt>
                <c:pt idx="137">
                  <c:v>-1.1629336788132454</c:v>
                </c:pt>
                <c:pt idx="138">
                  <c:v>-1.1477579328078837</c:v>
                </c:pt>
                <c:pt idx="139">
                  <c:v>-1.1682546071414199</c:v>
                </c:pt>
                <c:pt idx="140">
                  <c:v>-1.1397712190883842</c:v>
                </c:pt>
                <c:pt idx="141">
                  <c:v>-1.1588376743586546</c:v>
                </c:pt>
                <c:pt idx="142">
                  <c:v>-1.1741185512715333</c:v>
                </c:pt>
                <c:pt idx="143">
                  <c:v>-1.1523490065179678</c:v>
                </c:pt>
                <c:pt idx="144">
                  <c:v>-1.1370819210798322</c:v>
                </c:pt>
                <c:pt idx="145">
                  <c:v>-1.1543069538545032</c:v>
                </c:pt>
                <c:pt idx="146">
                  <c:v>-1.1558852748042239</c:v>
                </c:pt>
                <c:pt idx="147">
                  <c:v>-1.1357333822990905</c:v>
                </c:pt>
                <c:pt idx="148">
                  <c:v>-1.1011558199574929</c:v>
                </c:pt>
                <c:pt idx="149">
                  <c:v>-1.1291928708871981</c:v>
                </c:pt>
                <c:pt idx="150">
                  <c:v>-1.1215661958871981</c:v>
                </c:pt>
                <c:pt idx="151">
                  <c:v>-1.0536465477939505</c:v>
                </c:pt>
                <c:pt idx="152">
                  <c:v>-1.0565606149565006</c:v>
                </c:pt>
                <c:pt idx="153">
                  <c:v>-1.0422826259958706</c:v>
                </c:pt>
                <c:pt idx="154">
                  <c:v>-1.0589701857039786</c:v>
                </c:pt>
                <c:pt idx="155">
                  <c:v>-1.0511345682721143</c:v>
                </c:pt>
                <c:pt idx="156">
                  <c:v>-1.0216231157021283</c:v>
                </c:pt>
                <c:pt idx="157">
                  <c:v>-1.0590176121554171</c:v>
                </c:pt>
                <c:pt idx="158">
                  <c:v>-1.0514635096705964</c:v>
                </c:pt>
                <c:pt idx="159">
                  <c:v>-1.0671984815531244</c:v>
                </c:pt>
                <c:pt idx="160">
                  <c:v>-1.0404204707685971</c:v>
                </c:pt>
                <c:pt idx="161">
                  <c:v>-1.116620711314499</c:v>
                </c:pt>
                <c:pt idx="162">
                  <c:v>-1.1335409276272028</c:v>
                </c:pt>
                <c:pt idx="163">
                  <c:v>-1.1234609142176188</c:v>
                </c:pt>
                <c:pt idx="164">
                  <c:v>-1.091976044891068</c:v>
                </c:pt>
                <c:pt idx="165">
                  <c:v>-1.0625215654908686</c:v>
                </c:pt>
                <c:pt idx="166">
                  <c:v>-1.1057603390101522</c:v>
                </c:pt>
                <c:pt idx="167">
                  <c:v>-1.0673990027572338</c:v>
                </c:pt>
                <c:pt idx="168">
                  <c:v>-0.98830636460238996</c:v>
                </c:pt>
                <c:pt idx="169">
                  <c:v>-1.0364424917732808</c:v>
                </c:pt>
                <c:pt idx="170">
                  <c:v>-1.0263947378424052</c:v>
                </c:pt>
                <c:pt idx="171">
                  <c:v>-1.0106444566813433</c:v>
                </c:pt>
                <c:pt idx="172">
                  <c:v>-1.0332207753573699</c:v>
                </c:pt>
                <c:pt idx="173">
                  <c:v>-1.0095487770779581</c:v>
                </c:pt>
                <c:pt idx="174">
                  <c:v>-1.0222536775067403</c:v>
                </c:pt>
                <c:pt idx="175">
                  <c:v>-1.0390681967256079</c:v>
                </c:pt>
                <c:pt idx="176">
                  <c:v>-1.0657625438417799</c:v>
                </c:pt>
                <c:pt idx="177">
                  <c:v>-1.0781976949148324</c:v>
                </c:pt>
                <c:pt idx="178">
                  <c:v>-1.0520978664552665</c:v>
                </c:pt>
                <c:pt idx="179">
                  <c:v>-1.0592392307636633</c:v>
                </c:pt>
                <c:pt idx="180">
                  <c:v>-1.0211829387594229</c:v>
                </c:pt>
                <c:pt idx="181">
                  <c:v>-1.0223396979407704</c:v>
                </c:pt>
                <c:pt idx="182">
                  <c:v>-1.0306331985513228</c:v>
                </c:pt>
                <c:pt idx="183">
                  <c:v>-1.0388779006212616</c:v>
                </c:pt>
                <c:pt idx="184">
                  <c:v>-1.0327931904429064</c:v>
                </c:pt>
                <c:pt idx="185">
                  <c:v>-1.0487354679700425</c:v>
                </c:pt>
                <c:pt idx="186">
                  <c:v>-1.0213259537100425</c:v>
                </c:pt>
                <c:pt idx="187">
                  <c:v>-1.0248652920106385</c:v>
                </c:pt>
                <c:pt idx="188">
                  <c:v>-1.0192435952459327</c:v>
                </c:pt>
                <c:pt idx="189">
                  <c:v>-0.98988489630367327</c:v>
                </c:pt>
                <c:pt idx="190">
                  <c:v>-0.96852515302614528</c:v>
                </c:pt>
                <c:pt idx="191">
                  <c:v>-0.96178547485270693</c:v>
                </c:pt>
                <c:pt idx="192">
                  <c:v>-0.95996780474358079</c:v>
                </c:pt>
                <c:pt idx="193">
                  <c:v>-0.95396397164190216</c:v>
                </c:pt>
                <c:pt idx="194">
                  <c:v>-0.95289232597714024</c:v>
                </c:pt>
                <c:pt idx="195">
                  <c:v>-0.94880889758879061</c:v>
                </c:pt>
                <c:pt idx="196">
                  <c:v>-0.93956518943990741</c:v>
                </c:pt>
                <c:pt idx="197">
                  <c:v>-0.93049295988696623</c:v>
                </c:pt>
                <c:pt idx="198">
                  <c:v>-0.94489185384961683</c:v>
                </c:pt>
                <c:pt idx="199">
                  <c:v>-0.93612268481803784</c:v>
                </c:pt>
                <c:pt idx="200">
                  <c:v>-0.93134766659836576</c:v>
                </c:pt>
                <c:pt idx="201">
                  <c:v>-0.93655971697717366</c:v>
                </c:pt>
                <c:pt idx="202">
                  <c:v>-0.93085394484231654</c:v>
                </c:pt>
                <c:pt idx="203">
                  <c:v>-0.94518238285587142</c:v>
                </c:pt>
                <c:pt idx="204">
                  <c:v>-0.93005742320330353</c:v>
                </c:pt>
                <c:pt idx="205">
                  <c:v>-0.88431811442894459</c:v>
                </c:pt>
                <c:pt idx="206">
                  <c:v>-0.8857251696435724</c:v>
                </c:pt>
                <c:pt idx="207">
                  <c:v>-0.87014422823563586</c:v>
                </c:pt>
                <c:pt idx="208">
                  <c:v>-0.84859675594326645</c:v>
                </c:pt>
                <c:pt idx="209">
                  <c:v>-0.85775017032645806</c:v>
                </c:pt>
                <c:pt idx="210">
                  <c:v>-0.88037659381432276</c:v>
                </c:pt>
                <c:pt idx="211">
                  <c:v>-0.87659062184637182</c:v>
                </c:pt>
                <c:pt idx="212">
                  <c:v>-0.89301223533017993</c:v>
                </c:pt>
                <c:pt idx="213">
                  <c:v>-0.92968573471899107</c:v>
                </c:pt>
                <c:pt idx="214">
                  <c:v>-0.93791928146340053</c:v>
                </c:pt>
                <c:pt idx="215">
                  <c:v>-0.93434872525488677</c:v>
                </c:pt>
                <c:pt idx="216">
                  <c:v>-0.94836294938613674</c:v>
                </c:pt>
                <c:pt idx="217">
                  <c:v>-0.91885620467798701</c:v>
                </c:pt>
                <c:pt idx="218">
                  <c:v>-0.931764849064316</c:v>
                </c:pt>
                <c:pt idx="219">
                  <c:v>-0.94181416708700705</c:v>
                </c:pt>
                <c:pt idx="220">
                  <c:v>-0.9437024264773296</c:v>
                </c:pt>
                <c:pt idx="221">
                  <c:v>-0.88227910326313752</c:v>
                </c:pt>
                <c:pt idx="222">
                  <c:v>-0.89269850750329494</c:v>
                </c:pt>
                <c:pt idx="223">
                  <c:v>-0.82477618137431075</c:v>
                </c:pt>
                <c:pt idx="224">
                  <c:v>-0.83659055080604106</c:v>
                </c:pt>
                <c:pt idx="225">
                  <c:v>-0.83141669466286272</c:v>
                </c:pt>
                <c:pt idx="226">
                  <c:v>-0.81979311343882844</c:v>
                </c:pt>
                <c:pt idx="227">
                  <c:v>-0.81932521066665454</c:v>
                </c:pt>
                <c:pt idx="228">
                  <c:v>-0.82672891182632913</c:v>
                </c:pt>
                <c:pt idx="229">
                  <c:v>-0.85642937066632929</c:v>
                </c:pt>
                <c:pt idx="230">
                  <c:v>-0.85261918516377999</c:v>
                </c:pt>
                <c:pt idx="231">
                  <c:v>-0.83182946840343519</c:v>
                </c:pt>
                <c:pt idx="232">
                  <c:v>-0.80612227017055049</c:v>
                </c:pt>
                <c:pt idx="233">
                  <c:v>-0.85312191114788816</c:v>
                </c:pt>
                <c:pt idx="234">
                  <c:v>-0.88097847974924348</c:v>
                </c:pt>
                <c:pt idx="235">
                  <c:v>-0.85930789609047431</c:v>
                </c:pt>
                <c:pt idx="236">
                  <c:v>-0.85965199110822577</c:v>
                </c:pt>
                <c:pt idx="237">
                  <c:v>-0.84232235607896588</c:v>
                </c:pt>
                <c:pt idx="238">
                  <c:v>-0.81716749996226445</c:v>
                </c:pt>
                <c:pt idx="239">
                  <c:v>-0.8254741887796242</c:v>
                </c:pt>
                <c:pt idx="240">
                  <c:v>-0.84380364046127709</c:v>
                </c:pt>
                <c:pt idx="241">
                  <c:v>-0.83285490288614483</c:v>
                </c:pt>
                <c:pt idx="242">
                  <c:v>-0.85970565550466649</c:v>
                </c:pt>
                <c:pt idx="243">
                  <c:v>-0.87197822252731472</c:v>
                </c:pt>
                <c:pt idx="244">
                  <c:v>-0.85449564110653875</c:v>
                </c:pt>
                <c:pt idx="245">
                  <c:v>-0.83786755757098108</c:v>
                </c:pt>
                <c:pt idx="246">
                  <c:v>-0.83947005264744712</c:v>
                </c:pt>
                <c:pt idx="247">
                  <c:v>-0.87578476147411377</c:v>
                </c:pt>
                <c:pt idx="248">
                  <c:v>-0.90560248278267963</c:v>
                </c:pt>
                <c:pt idx="249">
                  <c:v>-0.9404122243888966</c:v>
                </c:pt>
                <c:pt idx="250">
                  <c:v>-0.92253710896041774</c:v>
                </c:pt>
                <c:pt idx="251">
                  <c:v>-0.91889271428098518</c:v>
                </c:pt>
                <c:pt idx="252">
                  <c:v>-0.90468174176845551</c:v>
                </c:pt>
                <c:pt idx="253">
                  <c:v>-0.92885934157584193</c:v>
                </c:pt>
                <c:pt idx="254">
                  <c:v>-0.87285057774753838</c:v>
                </c:pt>
                <c:pt idx="255">
                  <c:v>-0.84662008004441336</c:v>
                </c:pt>
                <c:pt idx="256">
                  <c:v>-0.81104699439443284</c:v>
                </c:pt>
                <c:pt idx="257">
                  <c:v>-0.80864183019330071</c:v>
                </c:pt>
                <c:pt idx="258">
                  <c:v>-0.75413612153752008</c:v>
                </c:pt>
                <c:pt idx="259">
                  <c:v>-0.78621308449154481</c:v>
                </c:pt>
                <c:pt idx="260">
                  <c:v>-0.78331743700506595</c:v>
                </c:pt>
                <c:pt idx="261">
                  <c:v>-0.68397149148961489</c:v>
                </c:pt>
                <c:pt idx="262">
                  <c:v>-0.71370694380028266</c:v>
                </c:pt>
                <c:pt idx="263">
                  <c:v>-0.66832296625628174</c:v>
                </c:pt>
                <c:pt idx="264">
                  <c:v>-0.58650768547392496</c:v>
                </c:pt>
                <c:pt idx="265">
                  <c:v>-0.61858840579629448</c:v>
                </c:pt>
                <c:pt idx="266">
                  <c:v>-0.41110885398455016</c:v>
                </c:pt>
                <c:pt idx="267">
                  <c:v>-0.44841157034849483</c:v>
                </c:pt>
                <c:pt idx="268">
                  <c:v>-0.4777924897715492</c:v>
                </c:pt>
                <c:pt idx="269">
                  <c:v>-0.44713528974062755</c:v>
                </c:pt>
                <c:pt idx="270">
                  <c:v>-0.42103242548094272</c:v>
                </c:pt>
                <c:pt idx="271">
                  <c:v>-0.43088443799482268</c:v>
                </c:pt>
                <c:pt idx="272">
                  <c:v>-0.45680651613844181</c:v>
                </c:pt>
                <c:pt idx="273">
                  <c:v>-0.4814143236010176</c:v>
                </c:pt>
                <c:pt idx="274">
                  <c:v>-0.47142141957708317</c:v>
                </c:pt>
                <c:pt idx="275">
                  <c:v>-0.47311303822128115</c:v>
                </c:pt>
                <c:pt idx="276">
                  <c:v>-0.50597476249217865</c:v>
                </c:pt>
                <c:pt idx="277">
                  <c:v>-0.53889587095296565</c:v>
                </c:pt>
                <c:pt idx="278">
                  <c:v>-0.53551303932886574</c:v>
                </c:pt>
                <c:pt idx="279">
                  <c:v>-0.50346683690776706</c:v>
                </c:pt>
                <c:pt idx="280">
                  <c:v>-0.52784450385590642</c:v>
                </c:pt>
                <c:pt idx="281">
                  <c:v>-0.48285747854479222</c:v>
                </c:pt>
                <c:pt idx="282">
                  <c:v>-0.45284388059512337</c:v>
                </c:pt>
                <c:pt idx="283">
                  <c:v>-0.45912934552256995</c:v>
                </c:pt>
                <c:pt idx="284">
                  <c:v>-0.41821059166524344</c:v>
                </c:pt>
                <c:pt idx="285">
                  <c:v>-0.41630064354952917</c:v>
                </c:pt>
                <c:pt idx="286">
                  <c:v>-0.3824120998814543</c:v>
                </c:pt>
                <c:pt idx="287">
                  <c:v>-0.37428644138495515</c:v>
                </c:pt>
                <c:pt idx="288">
                  <c:v>-0.39564301741061408</c:v>
                </c:pt>
                <c:pt idx="289">
                  <c:v>-0.40665702508110591</c:v>
                </c:pt>
                <c:pt idx="290">
                  <c:v>-0.40564433768702013</c:v>
                </c:pt>
                <c:pt idx="291">
                  <c:v>-0.38913202403888186</c:v>
                </c:pt>
                <c:pt idx="292">
                  <c:v>-0.37826749363504669</c:v>
                </c:pt>
                <c:pt idx="293">
                  <c:v>-0.39198975435159611</c:v>
                </c:pt>
                <c:pt idx="294">
                  <c:v>-0.34926308741744988</c:v>
                </c:pt>
                <c:pt idx="295">
                  <c:v>-0.36542854967641797</c:v>
                </c:pt>
                <c:pt idx="296">
                  <c:v>-0.31412240675962527</c:v>
                </c:pt>
                <c:pt idx="297">
                  <c:v>-9.694331611885848E-2</c:v>
                </c:pt>
                <c:pt idx="298">
                  <c:v>-0.14569206952765942</c:v>
                </c:pt>
                <c:pt idx="299">
                  <c:v>-0.15029453089351638</c:v>
                </c:pt>
                <c:pt idx="300">
                  <c:v>-0.101927354474424</c:v>
                </c:pt>
                <c:pt idx="301">
                  <c:v>-8.9964998943367153E-2</c:v>
                </c:pt>
                <c:pt idx="302">
                  <c:v>-6.3722576527079355E-2</c:v>
                </c:pt>
                <c:pt idx="303">
                  <c:v>-2.4323209233822553E-2</c:v>
                </c:pt>
                <c:pt idx="304">
                  <c:v>8.7978184676838714E-3</c:v>
                </c:pt>
                <c:pt idx="305">
                  <c:v>4.1702042621857326E-3</c:v>
                </c:pt>
                <c:pt idx="306">
                  <c:v>-1.7082232042409443E-2</c:v>
                </c:pt>
                <c:pt idx="307">
                  <c:v>-1.8915435135124659E-2</c:v>
                </c:pt>
                <c:pt idx="308">
                  <c:v>-5.4599084180132491E-2</c:v>
                </c:pt>
                <c:pt idx="309">
                  <c:v>-3.3081004957484339E-2</c:v>
                </c:pt>
                <c:pt idx="310">
                  <c:v>1.9125279209182326E-2</c:v>
                </c:pt>
                <c:pt idx="311">
                  <c:v>1.5493975287569487E-2</c:v>
                </c:pt>
                <c:pt idx="312">
                  <c:v>3.9714284546777584E-2</c:v>
                </c:pt>
                <c:pt idx="313">
                  <c:v>6.061304317392989E-2</c:v>
                </c:pt>
                <c:pt idx="314">
                  <c:v>8.0505438164184345E-2</c:v>
                </c:pt>
                <c:pt idx="315">
                  <c:v>0.14333381339275583</c:v>
                </c:pt>
                <c:pt idx="316">
                  <c:v>0.13527173118759653</c:v>
                </c:pt>
                <c:pt idx="317">
                  <c:v>0.10341486181503189</c:v>
                </c:pt>
                <c:pt idx="318">
                  <c:v>7.4077605643603425E-2</c:v>
                </c:pt>
                <c:pt idx="319">
                  <c:v>2.9562471895905409E-2</c:v>
                </c:pt>
                <c:pt idx="320">
                  <c:v>7.2509503038167986E-2</c:v>
                </c:pt>
                <c:pt idx="321">
                  <c:v>4.6887317222593802E-2</c:v>
                </c:pt>
                <c:pt idx="322">
                  <c:v>0.17272606031789967</c:v>
                </c:pt>
                <c:pt idx="323">
                  <c:v>0.11336428434687952</c:v>
                </c:pt>
                <c:pt idx="324">
                  <c:v>0.12712499779505704</c:v>
                </c:pt>
                <c:pt idx="325">
                  <c:v>0.11623525522775206</c:v>
                </c:pt>
                <c:pt idx="326">
                  <c:v>0.10070753201382808</c:v>
                </c:pt>
                <c:pt idx="327">
                  <c:v>0.12337800591977342</c:v>
                </c:pt>
                <c:pt idx="328">
                  <c:v>9.7243145112196186E-2</c:v>
                </c:pt>
                <c:pt idx="329">
                  <c:v>7.7171473647841618E-2</c:v>
                </c:pt>
                <c:pt idx="330">
                  <c:v>9.1245798780744833E-2</c:v>
                </c:pt>
                <c:pt idx="331">
                  <c:v>7.3486577034169442E-2</c:v>
                </c:pt>
                <c:pt idx="332">
                  <c:v>8.9398682729664988E-2</c:v>
                </c:pt>
                <c:pt idx="333">
                  <c:v>2.6386903812050253E-2</c:v>
                </c:pt>
                <c:pt idx="334">
                  <c:v>2.9996065237559693E-2</c:v>
                </c:pt>
                <c:pt idx="335">
                  <c:v>3.6536647638043707E-2</c:v>
                </c:pt>
                <c:pt idx="336">
                  <c:v>1.8230710566676415E-2</c:v>
                </c:pt>
                <c:pt idx="337">
                  <c:v>4.5872060088415594E-2</c:v>
                </c:pt>
                <c:pt idx="338">
                  <c:v>4.0263749629253262E-2</c:v>
                </c:pt>
                <c:pt idx="339">
                  <c:v>4.4999555229357814E-2</c:v>
                </c:pt>
                <c:pt idx="340">
                  <c:v>3.1974249925744866E-2</c:v>
                </c:pt>
                <c:pt idx="341">
                  <c:v>3.0692962580511653E-2</c:v>
                </c:pt>
                <c:pt idx="342">
                  <c:v>4.4530517797171577E-2</c:v>
                </c:pt>
                <c:pt idx="343">
                  <c:v>5.4276132594748894E-2</c:v>
                </c:pt>
                <c:pt idx="344">
                  <c:v>6.0886255380786028E-2</c:v>
                </c:pt>
                <c:pt idx="345">
                  <c:v>4.7959675055924182E-2</c:v>
                </c:pt>
                <c:pt idx="346">
                  <c:v>5.7199367174203715E-2</c:v>
                </c:pt>
                <c:pt idx="347">
                  <c:v>7.183212772420379E-2</c:v>
                </c:pt>
                <c:pt idx="348">
                  <c:v>0.202014171253142</c:v>
                </c:pt>
                <c:pt idx="349">
                  <c:v>9.2321859564404377E-2</c:v>
                </c:pt>
                <c:pt idx="350">
                  <c:v>-5.4634317190332803E-3</c:v>
                </c:pt>
                <c:pt idx="351">
                  <c:v>-4.5900984336964358E-2</c:v>
                </c:pt>
                <c:pt idx="352">
                  <c:v>-4.852077315042886E-2</c:v>
                </c:pt>
                <c:pt idx="353">
                  <c:v>-0.1030893366625273</c:v>
                </c:pt>
                <c:pt idx="354">
                  <c:v>-9.8830320881062805E-2</c:v>
                </c:pt>
                <c:pt idx="355">
                  <c:v>-0.10707492247550723</c:v>
                </c:pt>
                <c:pt idx="356">
                  <c:v>-9.949872326999E-2</c:v>
                </c:pt>
                <c:pt idx="357">
                  <c:v>-8.52406814995674E-2</c:v>
                </c:pt>
                <c:pt idx="358">
                  <c:v>-7.6916158241497071E-2</c:v>
                </c:pt>
                <c:pt idx="359">
                  <c:v>-0.13214601443971133</c:v>
                </c:pt>
                <c:pt idx="360">
                  <c:v>-0.13421311772048058</c:v>
                </c:pt>
                <c:pt idx="361">
                  <c:v>-0.14243485871130632</c:v>
                </c:pt>
                <c:pt idx="362">
                  <c:v>-0.14518845201801181</c:v>
                </c:pt>
                <c:pt idx="363">
                  <c:v>-0.15635546018198243</c:v>
                </c:pt>
                <c:pt idx="364">
                  <c:v>-0.15994938398515701</c:v>
                </c:pt>
                <c:pt idx="365">
                  <c:v>-0.16254206090343654</c:v>
                </c:pt>
                <c:pt idx="366">
                  <c:v>-0.15883256453171937</c:v>
                </c:pt>
                <c:pt idx="367">
                  <c:v>-0.16139791481139421</c:v>
                </c:pt>
                <c:pt idx="368">
                  <c:v>-0.14375691877541988</c:v>
                </c:pt>
                <c:pt idx="369">
                  <c:v>-0.16179078314465062</c:v>
                </c:pt>
                <c:pt idx="370">
                  <c:v>-0.15405603424020617</c:v>
                </c:pt>
                <c:pt idx="371">
                  <c:v>-0.15558202481261998</c:v>
                </c:pt>
                <c:pt idx="372">
                  <c:v>-0.13925294949482336</c:v>
                </c:pt>
                <c:pt idx="373">
                  <c:v>-0.15594058932596111</c:v>
                </c:pt>
                <c:pt idx="374">
                  <c:v>-0.1469534547236688</c:v>
                </c:pt>
                <c:pt idx="375">
                  <c:v>-0.14876032241828982</c:v>
                </c:pt>
                <c:pt idx="376">
                  <c:v>-0.16057521479738246</c:v>
                </c:pt>
                <c:pt idx="377">
                  <c:v>-0.15870347461259984</c:v>
                </c:pt>
                <c:pt idx="378">
                  <c:v>-0.17252198880607811</c:v>
                </c:pt>
                <c:pt idx="379">
                  <c:v>-0.17154746161267154</c:v>
                </c:pt>
                <c:pt idx="380">
                  <c:v>-0.1747569050358323</c:v>
                </c:pt>
                <c:pt idx="381">
                  <c:v>-0.17108960456030786</c:v>
                </c:pt>
                <c:pt idx="382">
                  <c:v>-0.16462288841925163</c:v>
                </c:pt>
                <c:pt idx="383">
                  <c:v>-0.19656261877517589</c:v>
                </c:pt>
                <c:pt idx="384">
                  <c:v>-0.19190122323727823</c:v>
                </c:pt>
                <c:pt idx="385">
                  <c:v>-0.18182518447727825</c:v>
                </c:pt>
                <c:pt idx="386">
                  <c:v>-0.17637546398751852</c:v>
                </c:pt>
                <c:pt idx="387">
                  <c:v>-0.18767484229065445</c:v>
                </c:pt>
                <c:pt idx="388">
                  <c:v>-0.19056622672771742</c:v>
                </c:pt>
                <c:pt idx="389">
                  <c:v>-0.18910200770491944</c:v>
                </c:pt>
                <c:pt idx="390">
                  <c:v>-0.19832533896874927</c:v>
                </c:pt>
                <c:pt idx="391">
                  <c:v>-0.19652512370787972</c:v>
                </c:pt>
                <c:pt idx="392">
                  <c:v>-0.19458835497879601</c:v>
                </c:pt>
                <c:pt idx="393">
                  <c:v>-0.19418458479989695</c:v>
                </c:pt>
                <c:pt idx="394">
                  <c:v>-0.19188122489756235</c:v>
                </c:pt>
                <c:pt idx="395">
                  <c:v>-0.19285607780461239</c:v>
                </c:pt>
                <c:pt idx="396">
                  <c:v>-0.18931883561254187</c:v>
                </c:pt>
                <c:pt idx="397">
                  <c:v>-0.18594788838566445</c:v>
                </c:pt>
                <c:pt idx="398">
                  <c:v>-0.18401039831719967</c:v>
                </c:pt>
                <c:pt idx="399">
                  <c:v>-0.18263122749961175</c:v>
                </c:pt>
                <c:pt idx="400">
                  <c:v>-0.18809604792632187</c:v>
                </c:pt>
                <c:pt idx="401">
                  <c:v>-0.18255853530318134</c:v>
                </c:pt>
                <c:pt idx="402">
                  <c:v>-0.18224672616721646</c:v>
                </c:pt>
                <c:pt idx="403">
                  <c:v>-0.18288907946221647</c:v>
                </c:pt>
                <c:pt idx="404">
                  <c:v>-0.17548501144072118</c:v>
                </c:pt>
                <c:pt idx="405">
                  <c:v>-0.18093566869033945</c:v>
                </c:pt>
                <c:pt idx="406">
                  <c:v>-0.18282773734367277</c:v>
                </c:pt>
                <c:pt idx="407">
                  <c:v>-0.17462673119082725</c:v>
                </c:pt>
                <c:pt idx="408">
                  <c:v>-0.17643677597587404</c:v>
                </c:pt>
                <c:pt idx="409">
                  <c:v>-0.17016569399834594</c:v>
                </c:pt>
                <c:pt idx="410">
                  <c:v>-0.17025667679467246</c:v>
                </c:pt>
                <c:pt idx="411">
                  <c:v>-0.17306640665424694</c:v>
                </c:pt>
                <c:pt idx="412">
                  <c:v>-0.1705788254178833</c:v>
                </c:pt>
                <c:pt idx="413">
                  <c:v>-0.17046470947601139</c:v>
                </c:pt>
                <c:pt idx="414">
                  <c:v>-0.16989026928712253</c:v>
                </c:pt>
                <c:pt idx="415">
                  <c:v>-0.17717018484774427</c:v>
                </c:pt>
                <c:pt idx="416">
                  <c:v>-0.16867029489799554</c:v>
                </c:pt>
                <c:pt idx="417">
                  <c:v>-0.16274867387691935</c:v>
                </c:pt>
                <c:pt idx="418">
                  <c:v>-0.16629154512365302</c:v>
                </c:pt>
                <c:pt idx="419">
                  <c:v>-0.17304647403917026</c:v>
                </c:pt>
                <c:pt idx="420">
                  <c:v>-0.16039221468433151</c:v>
                </c:pt>
                <c:pt idx="421">
                  <c:v>-0.16089984089622339</c:v>
                </c:pt>
                <c:pt idx="422">
                  <c:v>-0.16436181441777814</c:v>
                </c:pt>
                <c:pt idx="423">
                  <c:v>-0.14642194891540347</c:v>
                </c:pt>
                <c:pt idx="424">
                  <c:v>-0.15863886112722617</c:v>
                </c:pt>
                <c:pt idx="425">
                  <c:v>-0.1556585468239475</c:v>
                </c:pt>
                <c:pt idx="426">
                  <c:v>-0.15892936099766347</c:v>
                </c:pt>
                <c:pt idx="427">
                  <c:v>-0.15930367028000236</c:v>
                </c:pt>
                <c:pt idx="428">
                  <c:v>-0.14111722290266246</c:v>
                </c:pt>
                <c:pt idx="429">
                  <c:v>-0.13371852684897118</c:v>
                </c:pt>
                <c:pt idx="430">
                  <c:v>-0.13785852099545948</c:v>
                </c:pt>
                <c:pt idx="431">
                  <c:v>-0.1524319749588493</c:v>
                </c:pt>
                <c:pt idx="432">
                  <c:v>-0.14991454823884931</c:v>
                </c:pt>
                <c:pt idx="433">
                  <c:v>-0.1646543270351456</c:v>
                </c:pt>
                <c:pt idx="434">
                  <c:v>-0.1608059850940389</c:v>
                </c:pt>
                <c:pt idx="435">
                  <c:v>-0.15424507924893149</c:v>
                </c:pt>
                <c:pt idx="436">
                  <c:v>-0.15578281814771197</c:v>
                </c:pt>
                <c:pt idx="437">
                  <c:v>-0.1543821509497528</c:v>
                </c:pt>
                <c:pt idx="438">
                  <c:v>-0.15933486732239857</c:v>
                </c:pt>
                <c:pt idx="439">
                  <c:v>-0.15722826397275827</c:v>
                </c:pt>
                <c:pt idx="440">
                  <c:v>-0.15752739182831382</c:v>
                </c:pt>
                <c:pt idx="441">
                  <c:v>-0.1588256987423235</c:v>
                </c:pt>
                <c:pt idx="442">
                  <c:v>-0.155328891220674</c:v>
                </c:pt>
                <c:pt idx="443">
                  <c:v>-0.14620420742067397</c:v>
                </c:pt>
                <c:pt idx="444">
                  <c:v>-0.1527639199216386</c:v>
                </c:pt>
                <c:pt idx="445">
                  <c:v>-0.15261012338638222</c:v>
                </c:pt>
                <c:pt idx="446">
                  <c:v>-0.15210025111971556</c:v>
                </c:pt>
                <c:pt idx="447">
                  <c:v>-0.14744419774487277</c:v>
                </c:pt>
                <c:pt idx="448">
                  <c:v>-0.15266601682185121</c:v>
                </c:pt>
                <c:pt idx="449">
                  <c:v>-0.15495841253307746</c:v>
                </c:pt>
                <c:pt idx="450">
                  <c:v>-0.15900248192736316</c:v>
                </c:pt>
                <c:pt idx="451">
                  <c:v>-0.15655782956838882</c:v>
                </c:pt>
                <c:pt idx="452">
                  <c:v>-0.15382486166497972</c:v>
                </c:pt>
                <c:pt idx="453">
                  <c:v>-0.15459210420274194</c:v>
                </c:pt>
                <c:pt idx="454">
                  <c:v>-0.1520873946393011</c:v>
                </c:pt>
                <c:pt idx="455">
                  <c:v>-0.15091890223882717</c:v>
                </c:pt>
                <c:pt idx="456">
                  <c:v>-0.1483283074431129</c:v>
                </c:pt>
                <c:pt idx="457">
                  <c:v>-0.14546384046364269</c:v>
                </c:pt>
                <c:pt idx="458">
                  <c:v>-0.14856802388671961</c:v>
                </c:pt>
                <c:pt idx="459">
                  <c:v>-0.14473534615824499</c:v>
                </c:pt>
                <c:pt idx="460">
                  <c:v>-0.144755087564645</c:v>
                </c:pt>
                <c:pt idx="461">
                  <c:v>-0.14393900774242277</c:v>
                </c:pt>
                <c:pt idx="462">
                  <c:v>-0.14254022899242277</c:v>
                </c:pt>
                <c:pt idx="463">
                  <c:v>-0.14086884854058604</c:v>
                </c:pt>
                <c:pt idx="464">
                  <c:v>-0.14143158177808604</c:v>
                </c:pt>
                <c:pt idx="465">
                  <c:v>-0.14048949825908963</c:v>
                </c:pt>
                <c:pt idx="466">
                  <c:v>-0.14087828793371651</c:v>
                </c:pt>
                <c:pt idx="467">
                  <c:v>-0.13716875171371648</c:v>
                </c:pt>
                <c:pt idx="468">
                  <c:v>-0.13600938440562721</c:v>
                </c:pt>
                <c:pt idx="469">
                  <c:v>-0.13175047624773248</c:v>
                </c:pt>
                <c:pt idx="470">
                  <c:v>-0.12595289464773249</c:v>
                </c:pt>
                <c:pt idx="471">
                  <c:v>-0.12524818194004017</c:v>
                </c:pt>
                <c:pt idx="472">
                  <c:v>-0.1264351003357391</c:v>
                </c:pt>
                <c:pt idx="473">
                  <c:v>-0.12370074623372568</c:v>
                </c:pt>
                <c:pt idx="474">
                  <c:v>-0.12389116541253363</c:v>
                </c:pt>
                <c:pt idx="475">
                  <c:v>-0.12282977707798817</c:v>
                </c:pt>
                <c:pt idx="476">
                  <c:v>-0.12686464730124397</c:v>
                </c:pt>
                <c:pt idx="477">
                  <c:v>-0.12809687420242041</c:v>
                </c:pt>
                <c:pt idx="478">
                  <c:v>-0.13044951045801889</c:v>
                </c:pt>
                <c:pt idx="479">
                  <c:v>-0.1221187435092794</c:v>
                </c:pt>
                <c:pt idx="480">
                  <c:v>-0.1262920933092794</c:v>
                </c:pt>
                <c:pt idx="481">
                  <c:v>-0.12651911189059808</c:v>
                </c:pt>
                <c:pt idx="482">
                  <c:v>-0.12411153934024345</c:v>
                </c:pt>
                <c:pt idx="483">
                  <c:v>-0.12209510418014614</c:v>
                </c:pt>
                <c:pt idx="484">
                  <c:v>-0.11668731191182931</c:v>
                </c:pt>
                <c:pt idx="485">
                  <c:v>-0.11886213549673498</c:v>
                </c:pt>
                <c:pt idx="486">
                  <c:v>-0.12224759214673497</c:v>
                </c:pt>
                <c:pt idx="487">
                  <c:v>-0.11619933644999079</c:v>
                </c:pt>
                <c:pt idx="488">
                  <c:v>-0.11627027334603823</c:v>
                </c:pt>
                <c:pt idx="489">
                  <c:v>-0.11564193409988438</c:v>
                </c:pt>
                <c:pt idx="490">
                  <c:v>-0.11734284536562255</c:v>
                </c:pt>
                <c:pt idx="491">
                  <c:v>-0.12249812482288572</c:v>
                </c:pt>
                <c:pt idx="492">
                  <c:v>-0.11587366361275914</c:v>
                </c:pt>
                <c:pt idx="493">
                  <c:v>-0.11936708669275913</c:v>
                </c:pt>
                <c:pt idx="494">
                  <c:v>-0.10868155777623117</c:v>
                </c:pt>
                <c:pt idx="495">
                  <c:v>-0.10767620105848372</c:v>
                </c:pt>
                <c:pt idx="496">
                  <c:v>-0.10702724084128915</c:v>
                </c:pt>
                <c:pt idx="497">
                  <c:v>-9.9245407608768821E-2</c:v>
                </c:pt>
                <c:pt idx="498">
                  <c:v>-9.6431319156268805E-2</c:v>
                </c:pt>
                <c:pt idx="499">
                  <c:v>-9.4132302517632452E-2</c:v>
                </c:pt>
                <c:pt idx="500">
                  <c:v>-8.6170170291825998E-2</c:v>
                </c:pt>
                <c:pt idx="501">
                  <c:v>-8.4884108954591975E-2</c:v>
                </c:pt>
                <c:pt idx="502">
                  <c:v>-7.5937442535833524E-2</c:v>
                </c:pt>
                <c:pt idx="503">
                  <c:v>-8.3713440635547018E-2</c:v>
                </c:pt>
                <c:pt idx="504">
                  <c:v>-9.6792522917283005E-2</c:v>
                </c:pt>
                <c:pt idx="505">
                  <c:v>-0.10488422409903485</c:v>
                </c:pt>
                <c:pt idx="506">
                  <c:v>-0.10793915566405386</c:v>
                </c:pt>
                <c:pt idx="507">
                  <c:v>-0.10788631846859929</c:v>
                </c:pt>
                <c:pt idx="508">
                  <c:v>-0.11990328449116029</c:v>
                </c:pt>
                <c:pt idx="509">
                  <c:v>-0.13155577890094752</c:v>
                </c:pt>
                <c:pt idx="510">
                  <c:v>-0.11917200441675781</c:v>
                </c:pt>
                <c:pt idx="511">
                  <c:v>-0.1396552138923064</c:v>
                </c:pt>
                <c:pt idx="512">
                  <c:v>-0.12629475209223814</c:v>
                </c:pt>
                <c:pt idx="513">
                  <c:v>-0.12664885200505865</c:v>
                </c:pt>
                <c:pt idx="514">
                  <c:v>-0.10960646640505864</c:v>
                </c:pt>
                <c:pt idx="515">
                  <c:v>-0.12427161400238301</c:v>
                </c:pt>
                <c:pt idx="516">
                  <c:v>-0.11979082727433427</c:v>
                </c:pt>
                <c:pt idx="517">
                  <c:v>-0.10929194625039411</c:v>
                </c:pt>
                <c:pt idx="518">
                  <c:v>-0.11946254658738832</c:v>
                </c:pt>
                <c:pt idx="519">
                  <c:v>-0.10634690078417787</c:v>
                </c:pt>
                <c:pt idx="520">
                  <c:v>-8.9951632007582147E-2</c:v>
                </c:pt>
                <c:pt idx="521">
                  <c:v>-9.0033594280249665E-2</c:v>
                </c:pt>
                <c:pt idx="522">
                  <c:v>-7.6188966721849688E-2</c:v>
                </c:pt>
                <c:pt idx="523">
                  <c:v>-6.5993621441776548E-2</c:v>
                </c:pt>
                <c:pt idx="524">
                  <c:v>-8.406994338055078E-2</c:v>
                </c:pt>
                <c:pt idx="525">
                  <c:v>-4.6415538816271258E-2</c:v>
                </c:pt>
                <c:pt idx="526">
                  <c:v>-6.8206378657249128E-2</c:v>
                </c:pt>
                <c:pt idx="527">
                  <c:v>-6.5983856802584381E-2</c:v>
                </c:pt>
                <c:pt idx="528">
                  <c:v>-9.4490083644202846E-2</c:v>
                </c:pt>
                <c:pt idx="529">
                  <c:v>-7.5798417892186679E-2</c:v>
                </c:pt>
                <c:pt idx="530">
                  <c:v>-8.8606648799594095E-2</c:v>
                </c:pt>
                <c:pt idx="531">
                  <c:v>-7.8119737270182316E-2</c:v>
                </c:pt>
                <c:pt idx="532">
                  <c:v>-5.4787035591645723E-2</c:v>
                </c:pt>
                <c:pt idx="533">
                  <c:v>-0.10590102375495881</c:v>
                </c:pt>
                <c:pt idx="534">
                  <c:v>-0.11881260109360423</c:v>
                </c:pt>
                <c:pt idx="535">
                  <c:v>-0.10957973208887196</c:v>
                </c:pt>
                <c:pt idx="536">
                  <c:v>-0.11841326932883882</c:v>
                </c:pt>
                <c:pt idx="537">
                  <c:v>-0.1262415525807869</c:v>
                </c:pt>
                <c:pt idx="538">
                  <c:v>-0.1383981081964186</c:v>
                </c:pt>
                <c:pt idx="539">
                  <c:v>-0.14126638600105629</c:v>
                </c:pt>
                <c:pt idx="540">
                  <c:v>-0.14688932250105627</c:v>
                </c:pt>
                <c:pt idx="541">
                  <c:v>-0.14305586150978991</c:v>
                </c:pt>
                <c:pt idx="542">
                  <c:v>-0.14750992269051277</c:v>
                </c:pt>
                <c:pt idx="543">
                  <c:v>-0.14761199444804704</c:v>
                </c:pt>
                <c:pt idx="544">
                  <c:v>-0.15286326595429703</c:v>
                </c:pt>
                <c:pt idx="545">
                  <c:v>-0.15774801605280447</c:v>
                </c:pt>
                <c:pt idx="546">
                  <c:v>-0.15652594693502669</c:v>
                </c:pt>
                <c:pt idx="547">
                  <c:v>-0.15847628753937451</c:v>
                </c:pt>
                <c:pt idx="548">
                  <c:v>-0.15622336613479437</c:v>
                </c:pt>
                <c:pt idx="549">
                  <c:v>-0.16305636898746256</c:v>
                </c:pt>
                <c:pt idx="550">
                  <c:v>-0.15461617051473528</c:v>
                </c:pt>
                <c:pt idx="551">
                  <c:v>-0.15311233123661766</c:v>
                </c:pt>
                <c:pt idx="552">
                  <c:v>-0.14556265533517881</c:v>
                </c:pt>
                <c:pt idx="553">
                  <c:v>-0.13591035567837409</c:v>
                </c:pt>
                <c:pt idx="554">
                  <c:v>-0.13465948583123122</c:v>
                </c:pt>
                <c:pt idx="555">
                  <c:v>-0.14497607127117798</c:v>
                </c:pt>
                <c:pt idx="556">
                  <c:v>-0.13533310875876417</c:v>
                </c:pt>
                <c:pt idx="557">
                  <c:v>-0.13440193280474122</c:v>
                </c:pt>
                <c:pt idx="558">
                  <c:v>-0.13081320577984323</c:v>
                </c:pt>
                <c:pt idx="559">
                  <c:v>-0.10529716090660375</c:v>
                </c:pt>
                <c:pt idx="560">
                  <c:v>-0.10739648035825469</c:v>
                </c:pt>
                <c:pt idx="561">
                  <c:v>-0.11427596039504116</c:v>
                </c:pt>
                <c:pt idx="562">
                  <c:v>-0.11095656197616793</c:v>
                </c:pt>
                <c:pt idx="563">
                  <c:v>-0.11151800521057655</c:v>
                </c:pt>
                <c:pt idx="564">
                  <c:v>-0.10105952361057653</c:v>
                </c:pt>
                <c:pt idx="565">
                  <c:v>-0.13155706053570604</c:v>
                </c:pt>
                <c:pt idx="566">
                  <c:v>-0.13789106113787994</c:v>
                </c:pt>
                <c:pt idx="567">
                  <c:v>-0.13710133389518334</c:v>
                </c:pt>
                <c:pt idx="568">
                  <c:v>-0.14324884386820494</c:v>
                </c:pt>
                <c:pt idx="569">
                  <c:v>-0.15320749314085452</c:v>
                </c:pt>
                <c:pt idx="570">
                  <c:v>-0.1588198273251622</c:v>
                </c:pt>
                <c:pt idx="571">
                  <c:v>-0.16280251644875768</c:v>
                </c:pt>
                <c:pt idx="572">
                  <c:v>-0.16493251668120804</c:v>
                </c:pt>
                <c:pt idx="573">
                  <c:v>-0.16898648579096412</c:v>
                </c:pt>
                <c:pt idx="574">
                  <c:v>-0.16814707089916084</c:v>
                </c:pt>
                <c:pt idx="575">
                  <c:v>-0.16728901568750443</c:v>
                </c:pt>
                <c:pt idx="576">
                  <c:v>-0.16787610502405059</c:v>
                </c:pt>
                <c:pt idx="577">
                  <c:v>-0.16830196047859605</c:v>
                </c:pt>
                <c:pt idx="578">
                  <c:v>-0.16890050054121286</c:v>
                </c:pt>
                <c:pt idx="579">
                  <c:v>-0.16976181928195361</c:v>
                </c:pt>
                <c:pt idx="580">
                  <c:v>-0.16949959552748933</c:v>
                </c:pt>
                <c:pt idx="581">
                  <c:v>-0.16811157690104306</c:v>
                </c:pt>
                <c:pt idx="582">
                  <c:v>-0.1670709608192249</c:v>
                </c:pt>
                <c:pt idx="583">
                  <c:v>-0.156314444382466</c:v>
                </c:pt>
                <c:pt idx="584">
                  <c:v>-0.15897609264646601</c:v>
                </c:pt>
                <c:pt idx="585">
                  <c:v>-0.1628795259846478</c:v>
                </c:pt>
                <c:pt idx="586">
                  <c:v>-0.16120116461464781</c:v>
                </c:pt>
                <c:pt idx="587">
                  <c:v>-0.16054904756464783</c:v>
                </c:pt>
                <c:pt idx="588">
                  <c:v>-0.16458008122455969</c:v>
                </c:pt>
                <c:pt idx="589">
                  <c:v>-0.15937047489449835</c:v>
                </c:pt>
                <c:pt idx="590">
                  <c:v>-0.15852662446399643</c:v>
                </c:pt>
                <c:pt idx="591">
                  <c:v>-0.16355703303580851</c:v>
                </c:pt>
                <c:pt idx="592">
                  <c:v>-0.17185632516247518</c:v>
                </c:pt>
                <c:pt idx="593">
                  <c:v>-0.169066209554256</c:v>
                </c:pt>
                <c:pt idx="594">
                  <c:v>-0.16910317784293524</c:v>
                </c:pt>
                <c:pt idx="595">
                  <c:v>-0.16857162319956176</c:v>
                </c:pt>
                <c:pt idx="596">
                  <c:v>-0.15624793860596262</c:v>
                </c:pt>
                <c:pt idx="597">
                  <c:v>-0.15715495011505351</c:v>
                </c:pt>
                <c:pt idx="598">
                  <c:v>-0.15473490446320168</c:v>
                </c:pt>
                <c:pt idx="599">
                  <c:v>-0.15853719699117103</c:v>
                </c:pt>
                <c:pt idx="600">
                  <c:v>-0.15273873820935283</c:v>
                </c:pt>
                <c:pt idx="601">
                  <c:v>-0.16311724547877032</c:v>
                </c:pt>
                <c:pt idx="602">
                  <c:v>-0.16624793374281527</c:v>
                </c:pt>
                <c:pt idx="603">
                  <c:v>-0.16574357902011255</c:v>
                </c:pt>
                <c:pt idx="604">
                  <c:v>-0.1663488474139673</c:v>
                </c:pt>
                <c:pt idx="605">
                  <c:v>-0.17375173597509846</c:v>
                </c:pt>
                <c:pt idx="606">
                  <c:v>-0.16972079498408052</c:v>
                </c:pt>
                <c:pt idx="607">
                  <c:v>-0.16752277813023436</c:v>
                </c:pt>
                <c:pt idx="608">
                  <c:v>-0.17026507923776124</c:v>
                </c:pt>
                <c:pt idx="609">
                  <c:v>-0.17023077317232585</c:v>
                </c:pt>
                <c:pt idx="610">
                  <c:v>-0.17308809087307772</c:v>
                </c:pt>
                <c:pt idx="611">
                  <c:v>-0.1743849126596449</c:v>
                </c:pt>
                <c:pt idx="612">
                  <c:v>-0.16844463756508901</c:v>
                </c:pt>
                <c:pt idx="613">
                  <c:v>-0.17753353086791254</c:v>
                </c:pt>
                <c:pt idx="614">
                  <c:v>-0.16600981616791252</c:v>
                </c:pt>
                <c:pt idx="615">
                  <c:v>-0.14320837048853752</c:v>
                </c:pt>
                <c:pt idx="616">
                  <c:v>-0.14692764932453753</c:v>
                </c:pt>
                <c:pt idx="617">
                  <c:v>-0.14389865023943113</c:v>
                </c:pt>
                <c:pt idx="618">
                  <c:v>-0.14308131446165334</c:v>
                </c:pt>
                <c:pt idx="619">
                  <c:v>-0.14411929097593906</c:v>
                </c:pt>
                <c:pt idx="620">
                  <c:v>-0.14577113702700287</c:v>
                </c:pt>
                <c:pt idx="621">
                  <c:v>-0.14408743170700289</c:v>
                </c:pt>
                <c:pt idx="622">
                  <c:v>-0.14550149274583782</c:v>
                </c:pt>
                <c:pt idx="623">
                  <c:v>-0.14500136273344111</c:v>
                </c:pt>
                <c:pt idx="624">
                  <c:v>-0.14334159633344112</c:v>
                </c:pt>
                <c:pt idx="625">
                  <c:v>-0.144380678724914</c:v>
                </c:pt>
                <c:pt idx="626">
                  <c:v>-0.14379448237233666</c:v>
                </c:pt>
                <c:pt idx="627">
                  <c:v>-0.1445220560087003</c:v>
                </c:pt>
                <c:pt idx="628">
                  <c:v>-0.14280879587712136</c:v>
                </c:pt>
                <c:pt idx="629">
                  <c:v>-0.13881209728908714</c:v>
                </c:pt>
                <c:pt idx="630">
                  <c:v>-0.13906749645823002</c:v>
                </c:pt>
                <c:pt idx="631">
                  <c:v>-0.13990071492911604</c:v>
                </c:pt>
                <c:pt idx="632">
                  <c:v>-0.1275820661637827</c:v>
                </c:pt>
                <c:pt idx="633">
                  <c:v>-0.12976697232806841</c:v>
                </c:pt>
                <c:pt idx="634">
                  <c:v>-0.13183117612311793</c:v>
                </c:pt>
                <c:pt idx="635">
                  <c:v>-0.13186324516385867</c:v>
                </c:pt>
                <c:pt idx="636">
                  <c:v>-0.13543467451571051</c:v>
                </c:pt>
                <c:pt idx="637">
                  <c:v>-0.1358610748590631</c:v>
                </c:pt>
                <c:pt idx="638">
                  <c:v>-0.13135465648939096</c:v>
                </c:pt>
                <c:pt idx="639">
                  <c:v>-0.13951440369805237</c:v>
                </c:pt>
                <c:pt idx="640">
                  <c:v>-0.1414316240656994</c:v>
                </c:pt>
                <c:pt idx="641">
                  <c:v>-0.1422581568762257</c:v>
                </c:pt>
                <c:pt idx="642">
                  <c:v>-0.14243054183336859</c:v>
                </c:pt>
                <c:pt idx="643">
                  <c:v>-0.14764459057565046</c:v>
                </c:pt>
                <c:pt idx="644">
                  <c:v>-0.14255902939840176</c:v>
                </c:pt>
                <c:pt idx="645">
                  <c:v>-0.14812722052983049</c:v>
                </c:pt>
                <c:pt idx="646">
                  <c:v>-0.15416981342023042</c:v>
                </c:pt>
                <c:pt idx="647">
                  <c:v>-0.16330840537716476</c:v>
                </c:pt>
                <c:pt idx="648">
                  <c:v>-0.10863324406939268</c:v>
                </c:pt>
                <c:pt idx="649">
                  <c:v>-6.2442103277485318E-2</c:v>
                </c:pt>
                <c:pt idx="650">
                  <c:v>2.7479006731817107E-2</c:v>
                </c:pt>
                <c:pt idx="651">
                  <c:v>-1.3441991397113915E-2</c:v>
                </c:pt>
                <c:pt idx="652">
                  <c:v>-2.3998610019919644E-3</c:v>
                </c:pt>
                <c:pt idx="653">
                  <c:v>-2.0060051435013973E-3</c:v>
                </c:pt>
                <c:pt idx="654">
                  <c:v>-2.2460412674683398E-3</c:v>
                </c:pt>
                <c:pt idx="655">
                  <c:v>-2.5340966174683395E-3</c:v>
                </c:pt>
                <c:pt idx="656">
                  <c:v>-2.2499491378002883E-3</c:v>
                </c:pt>
                <c:pt idx="657">
                  <c:v>-2.0478443687862022E-3</c:v>
                </c:pt>
                <c:pt idx="658">
                  <c:v>-1.0674813182911537E-3</c:v>
                </c:pt>
                <c:pt idx="659">
                  <c:v>-1.2831655068625825E-3</c:v>
                </c:pt>
                <c:pt idx="660">
                  <c:v>-1.0465590046153874E-3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48-4C0D-9E65-A4F91FBDB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052239"/>
        <c:axId val="311052655"/>
      </c:lineChart>
      <c:dateAx>
        <c:axId val="3110522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52655"/>
        <c:crosses val="autoZero"/>
        <c:auto val="1"/>
        <c:lblOffset val="100"/>
        <c:baseTimeUnit val="days"/>
      </c:dateAx>
      <c:valAx>
        <c:axId val="311052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52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9D7FCDC-BEA3-460F-A9C6-F1A810FA1BEA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CBBCC5-8BBD-4180-83E3-9E742500DD6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2.9241999999999999</v>
      </c>
      <c r="D2" s="4">
        <f>MIN(D3:D1912)</f>
        <v>0.2165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0.4783</v>
      </c>
      <c r="C5">
        <v>0.49199999999999999</v>
      </c>
      <c r="D5">
        <v>0.47510000000000002</v>
      </c>
      <c r="E5">
        <v>0.47739999999999999</v>
      </c>
      <c r="F5">
        <v>190921</v>
      </c>
      <c r="G5">
        <v>0.47739999999999999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-0.72781065088757724</v>
      </c>
      <c r="Q5">
        <f t="shared" ref="Q5" si="1">F5*P5</f>
        <v>-138954.33727810712</v>
      </c>
      <c r="R5">
        <f t="shared" ref="R5" si="2">R6+Q5</f>
        <v>-466061140.62454009</v>
      </c>
      <c r="S5">
        <f t="shared" ref="S5" si="3">R5/100000</f>
        <v>-4660.6114062454008</v>
      </c>
      <c r="T5">
        <f t="shared" ref="T5" si="4">S5/1000</f>
        <v>-4.6606114062454012</v>
      </c>
    </row>
    <row r="6" spans="1:20" x14ac:dyDescent="0.25">
      <c r="A6" s="5">
        <v>44587</v>
      </c>
      <c r="B6">
        <v>0.47449999999999998</v>
      </c>
      <c r="C6">
        <v>0.56499999999999995</v>
      </c>
      <c r="D6">
        <v>0.46460000000000001</v>
      </c>
      <c r="E6">
        <v>0.47949999999999998</v>
      </c>
      <c r="F6">
        <v>5533601</v>
      </c>
      <c r="G6">
        <v>0.47949999999999998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-0.70318725099601631</v>
      </c>
      <c r="Q6">
        <f t="shared" ref="Q6" si="6">F6*P6</f>
        <v>-3891157.6752988067</v>
      </c>
      <c r="R6">
        <f t="shared" ref="R6" si="7">R7+Q6</f>
        <v>-465922186.28726196</v>
      </c>
      <c r="S6">
        <f t="shared" ref="S6" si="8">R6/100000</f>
        <v>-4659.2218628726196</v>
      </c>
      <c r="T6">
        <f t="shared" ref="T6" si="9">S6/1000</f>
        <v>-4.6592218628726192</v>
      </c>
    </row>
    <row r="7" spans="1:20" x14ac:dyDescent="0.25">
      <c r="A7" s="5">
        <v>44586</v>
      </c>
      <c r="B7">
        <v>0.47649999999999998</v>
      </c>
      <c r="C7">
        <v>0.49680000000000002</v>
      </c>
      <c r="D7">
        <v>0.46</v>
      </c>
      <c r="E7">
        <v>0.47520000000000001</v>
      </c>
      <c r="F7">
        <v>1323761</v>
      </c>
      <c r="G7">
        <v>0.47520000000000001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-0.17391304347826134</v>
      </c>
      <c r="Q7">
        <f t="shared" ref="Q7" si="11">F7*P7</f>
        <v>-230219.30434782669</v>
      </c>
      <c r="R7">
        <f t="shared" ref="R7" si="12">R8+Q7</f>
        <v>-462031028.61196315</v>
      </c>
      <c r="S7">
        <f t="shared" ref="S7" si="13">R7/100000</f>
        <v>-4620.3102861196312</v>
      </c>
      <c r="T7">
        <f t="shared" ref="T7" si="14">S7/1000</f>
        <v>-4.620310286119631</v>
      </c>
    </row>
    <row r="8" spans="1:20" x14ac:dyDescent="0.25">
      <c r="A8" s="5">
        <v>44585</v>
      </c>
      <c r="B8">
        <v>0.50619999999999998</v>
      </c>
      <c r="C8">
        <v>0.50619999999999998</v>
      </c>
      <c r="D8">
        <v>0.43209999999999998</v>
      </c>
      <c r="E8">
        <v>0.47639999999999999</v>
      </c>
      <c r="F8">
        <v>2715347.09</v>
      </c>
      <c r="G8">
        <v>0.47639999999999999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0.19568151147098534</v>
      </c>
      <c r="Q8">
        <f t="shared" ref="Q8" si="16">F8*P8</f>
        <v>531343.22273954167</v>
      </c>
      <c r="R8">
        <f t="shared" ref="R8" si="17">R9+Q8</f>
        <v>-461800809.30761534</v>
      </c>
      <c r="S8">
        <f t="shared" ref="S8" si="18">R8/100000</f>
        <v>-4618.0080930761533</v>
      </c>
      <c r="T8">
        <f t="shared" ref="T8" si="19">S8/1000</f>
        <v>-4.6180080930761536</v>
      </c>
    </row>
    <row r="9" spans="1:20" x14ac:dyDescent="0.25">
      <c r="A9" s="5">
        <v>44584</v>
      </c>
      <c r="B9">
        <v>0.4899</v>
      </c>
      <c r="C9">
        <v>0.52710000000000001</v>
      </c>
      <c r="D9">
        <v>0.47689999999999999</v>
      </c>
      <c r="E9">
        <v>0.50619999999999998</v>
      </c>
      <c r="F9">
        <v>2024196</v>
      </c>
      <c r="G9">
        <v>0.50619999999999998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0.16733067729083584</v>
      </c>
      <c r="Q9">
        <f t="shared" ref="Q9" si="21">F9*P9</f>
        <v>338710.08764940075</v>
      </c>
      <c r="R9">
        <f t="shared" ref="R9" si="22">R10+Q9</f>
        <v>-462332152.53035486</v>
      </c>
      <c r="S9">
        <f t="shared" ref="S9" si="23">R9/100000</f>
        <v>-4623.3215253035487</v>
      </c>
      <c r="T9">
        <f t="shared" ref="T9" si="24">S9/1000</f>
        <v>-4.6233215253035489</v>
      </c>
    </row>
    <row r="10" spans="1:20" x14ac:dyDescent="0.25">
      <c r="A10" s="5">
        <v>44583</v>
      </c>
      <c r="B10">
        <v>0.55049999999999999</v>
      </c>
      <c r="C10">
        <v>0.56000000000000005</v>
      </c>
      <c r="D10">
        <v>0.44319999999999998</v>
      </c>
      <c r="E10">
        <v>0.48909999999999998</v>
      </c>
      <c r="F10">
        <v>5339308.78</v>
      </c>
      <c r="G10">
        <v>0.48909999999999998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-0.21404109589041151</v>
      </c>
      <c r="Q10">
        <f t="shared" ref="Q10" si="26">F10*P10</f>
        <v>-1142831.5025684962</v>
      </c>
      <c r="R10">
        <f t="shared" ref="R10" si="27">R11+Q10</f>
        <v>-462670862.61800426</v>
      </c>
      <c r="S10">
        <f t="shared" ref="S10" si="28">R10/100000</f>
        <v>-4626.7086261800423</v>
      </c>
      <c r="T10">
        <f t="shared" ref="T10" si="29">S10/1000</f>
        <v>-4.6267086261800419</v>
      </c>
    </row>
    <row r="11" spans="1:20" x14ac:dyDescent="0.25">
      <c r="A11" s="5">
        <v>44582</v>
      </c>
      <c r="B11">
        <v>0.67030000000000001</v>
      </c>
      <c r="C11">
        <v>0.67710000000000004</v>
      </c>
      <c r="D11">
        <v>0.53749999999999998</v>
      </c>
      <c r="E11">
        <v>0.55120000000000002</v>
      </c>
      <c r="F11">
        <v>7068920.8200000003</v>
      </c>
      <c r="G11">
        <v>0.55120000000000002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-0.80372492836676157</v>
      </c>
      <c r="Q11">
        <f t="shared" ref="Q11" si="31">F11*P11</f>
        <v>-5681467.8796848096</v>
      </c>
      <c r="R11">
        <f t="shared" ref="R11" si="32">R12+Q11</f>
        <v>-461528031.11543578</v>
      </c>
      <c r="S11">
        <f t="shared" ref="S11" si="33">R11/100000</f>
        <v>-4615.2803111543581</v>
      </c>
      <c r="T11">
        <f t="shared" ref="T11" si="34">S11/1000</f>
        <v>-4.6152803111543577</v>
      </c>
    </row>
    <row r="12" spans="1:20" x14ac:dyDescent="0.25">
      <c r="A12" s="5">
        <v>44581</v>
      </c>
      <c r="B12">
        <v>0.68140000000000001</v>
      </c>
      <c r="C12">
        <v>0.74450000000000005</v>
      </c>
      <c r="D12">
        <v>0.66879999999999995</v>
      </c>
      <c r="E12">
        <v>0.6714</v>
      </c>
      <c r="F12">
        <v>2235095</v>
      </c>
      <c r="G12">
        <v>0.6714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-0.93130779392338059</v>
      </c>
      <c r="Q12">
        <f t="shared" ref="Q12" si="36">F12*P12</f>
        <v>-2081561.3936591784</v>
      </c>
      <c r="R12">
        <f t="shared" ref="R12" si="37">R13+Q12</f>
        <v>-455846563.23575097</v>
      </c>
      <c r="S12">
        <f t="shared" ref="S12" si="38">R12/100000</f>
        <v>-4558.46563235751</v>
      </c>
      <c r="T12">
        <f t="shared" ref="T12" si="39">S12/1000</f>
        <v>-4.5584656323575103</v>
      </c>
    </row>
    <row r="13" spans="1:20" x14ac:dyDescent="0.25">
      <c r="A13" s="5">
        <v>44580</v>
      </c>
      <c r="B13">
        <v>0.71970000000000001</v>
      </c>
      <c r="C13">
        <v>0.72409999999999997</v>
      </c>
      <c r="D13">
        <v>0.67789999999999995</v>
      </c>
      <c r="E13">
        <v>0.68159999999999998</v>
      </c>
      <c r="F13">
        <v>1044509</v>
      </c>
      <c r="G13">
        <v>0.68159999999999998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-0.83982683982683826</v>
      </c>
      <c r="Q13">
        <f t="shared" ref="Q13" si="41">F13*P13</f>
        <v>-877206.69264069095</v>
      </c>
      <c r="R13">
        <f t="shared" ref="R13" si="42">R14+Q13</f>
        <v>-453765001.8420918</v>
      </c>
      <c r="S13">
        <f t="shared" ref="S13" si="43">R13/100000</f>
        <v>-4537.6500184209181</v>
      </c>
      <c r="T13">
        <f t="shared" ref="T13" si="44">S13/1000</f>
        <v>-4.5376500184209183</v>
      </c>
    </row>
    <row r="14" spans="1:20" x14ac:dyDescent="0.25">
      <c r="A14" s="5">
        <v>44579</v>
      </c>
      <c r="B14">
        <v>0.73040000000000005</v>
      </c>
      <c r="C14">
        <v>0.73160000000000003</v>
      </c>
      <c r="D14">
        <v>0.68359999999999999</v>
      </c>
      <c r="E14">
        <v>0.72</v>
      </c>
      <c r="F14">
        <v>1346598</v>
      </c>
      <c r="G14">
        <v>0.72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0.51666666666666483</v>
      </c>
      <c r="Q14">
        <f t="shared" ref="Q14" si="46">F14*P14</f>
        <v>695742.29999999749</v>
      </c>
      <c r="R14">
        <f t="shared" ref="R14" si="47">R15+Q14</f>
        <v>-452887795.14945114</v>
      </c>
      <c r="S14">
        <f t="shared" ref="S14" si="48">R14/100000</f>
        <v>-4528.8779514945118</v>
      </c>
      <c r="T14">
        <f t="shared" ref="T14" si="49">S14/1000</f>
        <v>-4.5288779514945121</v>
      </c>
    </row>
    <row r="15" spans="1:20" x14ac:dyDescent="0.25">
      <c r="A15" s="5">
        <v>44578</v>
      </c>
      <c r="B15">
        <v>0.752</v>
      </c>
      <c r="C15">
        <v>0.75449999999999995</v>
      </c>
      <c r="D15">
        <v>0.70909999999999995</v>
      </c>
      <c r="E15">
        <v>0.72750000000000004</v>
      </c>
      <c r="F15">
        <v>1037300</v>
      </c>
      <c r="G15">
        <v>0.72750000000000004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-0.18942731277532668</v>
      </c>
      <c r="Q15">
        <f t="shared" ref="Q15" si="51">F15*P15</f>
        <v>-196492.95154184636</v>
      </c>
      <c r="R15">
        <f t="shared" ref="R15" si="52">R16+Q15</f>
        <v>-453583537.44945115</v>
      </c>
      <c r="S15">
        <f t="shared" ref="S15" si="53">R15/100000</f>
        <v>-4535.8353744945116</v>
      </c>
      <c r="T15">
        <f t="shared" ref="T15" si="54">S15/1000</f>
        <v>-4.5358353744945115</v>
      </c>
    </row>
    <row r="16" spans="1:20" x14ac:dyDescent="0.25">
      <c r="A16" s="5">
        <v>44577</v>
      </c>
      <c r="B16">
        <v>0.75680000000000003</v>
      </c>
      <c r="C16">
        <v>0.76049999999999995</v>
      </c>
      <c r="D16">
        <v>0.74160000000000004</v>
      </c>
      <c r="E16">
        <v>0.75209999999999999</v>
      </c>
      <c r="F16">
        <v>1048743</v>
      </c>
      <c r="G16">
        <v>0.75209999999999999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0.1111111111111111</v>
      </c>
      <c r="Q16">
        <f t="shared" ref="Q16" si="56">F16*P16</f>
        <v>116527</v>
      </c>
      <c r="R16">
        <f t="shared" ref="R16" si="57">R17+Q16</f>
        <v>-453387044.49790931</v>
      </c>
      <c r="S16">
        <f t="shared" ref="S16" si="58">R16/100000</f>
        <v>-4533.870444979093</v>
      </c>
      <c r="T16">
        <f t="shared" ref="T16" si="59">S16/1000</f>
        <v>-4.533870444979093</v>
      </c>
    </row>
    <row r="17" spans="1:20" x14ac:dyDescent="0.25">
      <c r="A17" s="5">
        <v>44576</v>
      </c>
      <c r="B17">
        <v>0.75249999999999995</v>
      </c>
      <c r="C17">
        <v>0.78</v>
      </c>
      <c r="D17">
        <v>0.74560000000000004</v>
      </c>
      <c r="E17">
        <v>0.75700000000000001</v>
      </c>
      <c r="F17">
        <v>1218824</v>
      </c>
      <c r="G17">
        <v>0.75700000000000001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-0.3372093023255831</v>
      </c>
      <c r="Q17">
        <f t="shared" ref="Q17" si="61">F17*P17</f>
        <v>-410998.79069767648</v>
      </c>
      <c r="R17">
        <f t="shared" ref="R17" si="62">R18+Q17</f>
        <v>-453503571.49790931</v>
      </c>
      <c r="S17">
        <f t="shared" ref="S17" si="63">R17/100000</f>
        <v>-4535.0357149790934</v>
      </c>
      <c r="T17">
        <f t="shared" ref="T17" si="64">S17/1000</f>
        <v>-4.5350357149790934</v>
      </c>
    </row>
    <row r="18" spans="1:20" x14ac:dyDescent="0.25">
      <c r="A18" s="5">
        <v>44575</v>
      </c>
      <c r="B18">
        <v>0.75109999999999999</v>
      </c>
      <c r="C18">
        <v>0.76129999999999998</v>
      </c>
      <c r="D18">
        <v>0.72709999999999997</v>
      </c>
      <c r="E18">
        <v>0.75009999999999999</v>
      </c>
      <c r="F18">
        <v>1952810</v>
      </c>
      <c r="G18">
        <v>0.75009999999999999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0.34502923976608274</v>
      </c>
      <c r="Q18">
        <f t="shared" ref="Q18" si="66">F18*P18</f>
        <v>673776.54970760399</v>
      </c>
      <c r="R18">
        <f t="shared" ref="R18" si="67">R19+Q18</f>
        <v>-453092572.70721161</v>
      </c>
      <c r="S18">
        <f t="shared" ref="S18" si="68">R18/100000</f>
        <v>-4530.9257270721164</v>
      </c>
      <c r="T18">
        <f t="shared" ref="T18" si="69">S18/1000</f>
        <v>-4.5309257270721162</v>
      </c>
    </row>
    <row r="19" spans="1:20" x14ac:dyDescent="0.25">
      <c r="A19" s="5">
        <v>44574</v>
      </c>
      <c r="B19">
        <v>0.75900000000000001</v>
      </c>
      <c r="C19">
        <v>0.84389999999999998</v>
      </c>
      <c r="D19">
        <v>0.73609999999999998</v>
      </c>
      <c r="E19">
        <v>0.75049999999999994</v>
      </c>
      <c r="F19">
        <v>6298223</v>
      </c>
      <c r="G19">
        <v>0.75049999999999994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-0.73283858998144769</v>
      </c>
      <c r="Q19">
        <f t="shared" ref="Q19" si="71">F19*P19</f>
        <v>-4615580.8627087232</v>
      </c>
      <c r="R19">
        <f t="shared" ref="R19" si="72">R20+Q19</f>
        <v>-453766349.25691921</v>
      </c>
      <c r="S19">
        <f t="shared" ref="S19" si="73">R19/100000</f>
        <v>-4537.6634925691924</v>
      </c>
      <c r="T19">
        <f t="shared" ref="T19" si="74">S19/1000</f>
        <v>-4.5376634925691928</v>
      </c>
    </row>
    <row r="20" spans="1:20" x14ac:dyDescent="0.25">
      <c r="A20" s="5">
        <v>44573</v>
      </c>
      <c r="B20">
        <v>0.73540000000000005</v>
      </c>
      <c r="C20">
        <v>0.76970000000000005</v>
      </c>
      <c r="D20">
        <v>0.72319999999999995</v>
      </c>
      <c r="E20">
        <v>0.75800000000000001</v>
      </c>
      <c r="F20">
        <v>1917903</v>
      </c>
      <c r="G20">
        <v>0.75800000000000001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0.49677419354838626</v>
      </c>
      <c r="Q20">
        <f t="shared" ref="Q20" si="76">F20*P20</f>
        <v>952764.71612903068</v>
      </c>
      <c r="R20">
        <f t="shared" ref="R20" si="77">R21+Q20</f>
        <v>-449150768.39421046</v>
      </c>
      <c r="S20">
        <f t="shared" ref="S20" si="78">R20/100000</f>
        <v>-4491.5076839421044</v>
      </c>
      <c r="T20">
        <f t="shared" ref="T20" si="79">S20/1000</f>
        <v>-4.4915076839421042</v>
      </c>
    </row>
    <row r="21" spans="1:20" x14ac:dyDescent="0.25">
      <c r="A21" s="5">
        <v>44572</v>
      </c>
      <c r="B21">
        <v>0.69589999999999996</v>
      </c>
      <c r="C21">
        <v>0.745</v>
      </c>
      <c r="D21">
        <v>0.68769999999999998</v>
      </c>
      <c r="E21">
        <v>0.73540000000000005</v>
      </c>
      <c r="F21">
        <v>2322824</v>
      </c>
      <c r="G21">
        <v>0.73540000000000005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0.66492146596858848</v>
      </c>
      <c r="Q21">
        <f t="shared" ref="Q21" si="81">F21*P21</f>
        <v>1544495.5392670205</v>
      </c>
      <c r="R21">
        <f t="shared" ref="R21" si="82">R22+Q21</f>
        <v>-450103533.11033946</v>
      </c>
      <c r="S21">
        <f t="shared" ref="S21" si="83">R21/100000</f>
        <v>-4501.035331103395</v>
      </c>
      <c r="T21">
        <f t="shared" ref="T21" si="84">S21/1000</f>
        <v>-4.5010353311033953</v>
      </c>
    </row>
    <row r="22" spans="1:20" x14ac:dyDescent="0.25">
      <c r="A22" s="5">
        <v>44571</v>
      </c>
      <c r="B22">
        <v>0.74519999999999997</v>
      </c>
      <c r="C22">
        <v>0.75700000000000001</v>
      </c>
      <c r="D22">
        <v>0.66700000000000004</v>
      </c>
      <c r="E22">
        <v>0.69599999999999995</v>
      </c>
      <c r="F22">
        <v>3583048.7</v>
      </c>
      <c r="G22">
        <v>0.69599999999999995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-0.35555555555555723</v>
      </c>
      <c r="Q22">
        <f t="shared" ref="Q22" si="86">F22*P22</f>
        <v>-1273972.8711111173</v>
      </c>
      <c r="R22">
        <f t="shared" ref="R22" si="87">R23+Q22</f>
        <v>-451648028.64960647</v>
      </c>
      <c r="S22">
        <f t="shared" ref="S22" si="88">R22/100000</f>
        <v>-4516.4802864960648</v>
      </c>
      <c r="T22">
        <f t="shared" ref="T22" si="89">S22/1000</f>
        <v>-4.5164802864960647</v>
      </c>
    </row>
    <row r="23" spans="1:20" x14ac:dyDescent="0.25">
      <c r="A23" s="5">
        <v>44570</v>
      </c>
      <c r="B23">
        <v>0.74280000000000002</v>
      </c>
      <c r="C23">
        <v>0.78</v>
      </c>
      <c r="D23">
        <v>0.72799999999999998</v>
      </c>
      <c r="E23">
        <v>0.74529999999999996</v>
      </c>
      <c r="F23">
        <v>1529155</v>
      </c>
      <c r="G23">
        <v>0.74529999999999996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-0.33461538461538587</v>
      </c>
      <c r="Q23">
        <f t="shared" ref="Q23" si="91">F23*P23</f>
        <v>-511678.78846154036</v>
      </c>
      <c r="R23">
        <f t="shared" ref="R23" si="92">R24+Q23</f>
        <v>-450374055.77849537</v>
      </c>
      <c r="S23">
        <f t="shared" ref="S23" si="93">R23/100000</f>
        <v>-4503.740557784954</v>
      </c>
      <c r="T23">
        <f t="shared" ref="T23" si="94">S23/1000</f>
        <v>-4.5037405577849539</v>
      </c>
    </row>
    <row r="24" spans="1:20" x14ac:dyDescent="0.25">
      <c r="A24" s="5">
        <v>44569</v>
      </c>
      <c r="B24">
        <v>0.77210000000000001</v>
      </c>
      <c r="C24">
        <v>0.82299999999999995</v>
      </c>
      <c r="D24">
        <v>0.71209999999999996</v>
      </c>
      <c r="E24">
        <v>0.74119999999999997</v>
      </c>
      <c r="F24">
        <v>3202923</v>
      </c>
      <c r="G24">
        <v>0.74119999999999997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-0.47520288548241629</v>
      </c>
      <c r="Q24">
        <f t="shared" ref="Q24" si="96">F24*P24</f>
        <v>-1522038.2515779973</v>
      </c>
      <c r="R24">
        <f t="shared" ref="R24" si="97">R25+Q24</f>
        <v>-449862376.99003381</v>
      </c>
      <c r="S24">
        <f t="shared" ref="S24" si="98">R24/100000</f>
        <v>-4498.6237699003377</v>
      </c>
      <c r="T24">
        <f t="shared" ref="T24" si="99">S24/1000</f>
        <v>-4.4986237699003375</v>
      </c>
    </row>
    <row r="25" spans="1:20" x14ac:dyDescent="0.25">
      <c r="A25" s="5">
        <v>44568</v>
      </c>
      <c r="B25">
        <v>0.83199999999999996</v>
      </c>
      <c r="C25">
        <v>0.83350000000000002</v>
      </c>
      <c r="D25">
        <v>0.74780000000000002</v>
      </c>
      <c r="E25">
        <v>0.77210000000000001</v>
      </c>
      <c r="F25">
        <v>2885913</v>
      </c>
      <c r="G25">
        <v>0.77210000000000001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-0.43290548424737485</v>
      </c>
      <c r="Q25">
        <f t="shared" ref="Q25" si="101">F25*P25</f>
        <v>-1249327.5647607944</v>
      </c>
      <c r="R25">
        <f t="shared" ref="R25" si="102">R26+Q25</f>
        <v>-448340338.73845583</v>
      </c>
      <c r="S25">
        <f t="shared" ref="S25" si="103">R25/100000</f>
        <v>-4483.4033873845583</v>
      </c>
      <c r="T25">
        <f t="shared" ref="T25" si="104">S25/1000</f>
        <v>-4.4834033873845582</v>
      </c>
    </row>
    <row r="26" spans="1:20" x14ac:dyDescent="0.25">
      <c r="A26" s="5">
        <v>44567</v>
      </c>
      <c r="B26">
        <v>0.84370000000000001</v>
      </c>
      <c r="C26">
        <v>0.85319999999999996</v>
      </c>
      <c r="D26">
        <v>0.80410000000000004</v>
      </c>
      <c r="E26">
        <v>0.83230000000000004</v>
      </c>
      <c r="F26">
        <v>2527048</v>
      </c>
      <c r="G26">
        <v>0.83230000000000004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0.14867617107943168</v>
      </c>
      <c r="Q26">
        <f t="shared" ref="Q26" si="106">F26*P26</f>
        <v>375711.82077393564</v>
      </c>
      <c r="R26">
        <f t="shared" ref="R26" si="107">R27+Q26</f>
        <v>-447091011.17369503</v>
      </c>
      <c r="S26">
        <f t="shared" ref="S26" si="108">R26/100000</f>
        <v>-4470.9101117369501</v>
      </c>
      <c r="T26">
        <f t="shared" ref="T26" si="109">S26/1000</f>
        <v>-4.4709101117369503</v>
      </c>
    </row>
    <row r="27" spans="1:20" x14ac:dyDescent="0.25">
      <c r="A27" s="5">
        <v>44566</v>
      </c>
      <c r="B27">
        <v>0.93020000000000003</v>
      </c>
      <c r="C27">
        <v>0.98360000000000003</v>
      </c>
      <c r="D27">
        <v>0.81599999999999995</v>
      </c>
      <c r="E27">
        <v>0.84299999999999997</v>
      </c>
      <c r="F27">
        <v>5126983</v>
      </c>
      <c r="G27">
        <v>0.84299999999999997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-0.67780429594272062</v>
      </c>
      <c r="Q27">
        <f t="shared" ref="Q27" si="111">F27*P27</f>
        <v>-3475091.1026252978</v>
      </c>
      <c r="R27">
        <f t="shared" ref="R27" si="112">R28+Q27</f>
        <v>-447466722.99446899</v>
      </c>
      <c r="S27">
        <f t="shared" ref="S27" si="113">R27/100000</f>
        <v>-4474.66722994469</v>
      </c>
      <c r="T27">
        <f t="shared" ref="T27" si="114">S27/1000</f>
        <v>-4.4746672299446901</v>
      </c>
    </row>
    <row r="28" spans="1:20" x14ac:dyDescent="0.25">
      <c r="A28" s="5">
        <v>44565</v>
      </c>
      <c r="B28">
        <v>0.95569999999999999</v>
      </c>
      <c r="C28">
        <v>0.9667</v>
      </c>
      <c r="D28">
        <v>0.92469999999999997</v>
      </c>
      <c r="E28">
        <v>0.92979999999999996</v>
      </c>
      <c r="F28">
        <v>2935374</v>
      </c>
      <c r="G28">
        <v>0.92979999999999996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-0.75714285714285767</v>
      </c>
      <c r="Q28">
        <f t="shared" ref="Q28" si="116">F28*P28</f>
        <v>-2222497.4571428588</v>
      </c>
      <c r="R28">
        <f t="shared" ref="R28" si="117">R29+Q28</f>
        <v>-443991631.89184368</v>
      </c>
      <c r="S28">
        <f t="shared" ref="S28" si="118">R28/100000</f>
        <v>-4439.9163189184364</v>
      </c>
      <c r="T28">
        <f t="shared" ref="T28" si="119">S28/1000</f>
        <v>-4.4399163189184367</v>
      </c>
    </row>
    <row r="29" spans="1:20" x14ac:dyDescent="0.25">
      <c r="A29" s="5">
        <v>44564</v>
      </c>
      <c r="B29">
        <v>0.98080000000000001</v>
      </c>
      <c r="C29">
        <v>0.99870000000000003</v>
      </c>
      <c r="D29">
        <v>0.93389999999999995</v>
      </c>
      <c r="E29">
        <v>0.95630000000000004</v>
      </c>
      <c r="F29">
        <v>3485413</v>
      </c>
      <c r="G29">
        <v>0.95630000000000004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-0.30864197530864018</v>
      </c>
      <c r="Q29">
        <f t="shared" ref="Q29" si="121">F29*P29</f>
        <v>-1075744.7530864135</v>
      </c>
      <c r="R29">
        <f t="shared" ref="R29" si="122">R30+Q29</f>
        <v>-441769134.43470085</v>
      </c>
      <c r="S29">
        <f t="shared" ref="S29" si="123">R29/100000</f>
        <v>-4417.6913443470085</v>
      </c>
      <c r="T29">
        <f t="shared" ref="T29" si="124">S29/1000</f>
        <v>-4.4176913443470083</v>
      </c>
    </row>
    <row r="30" spans="1:20" x14ac:dyDescent="0.25">
      <c r="A30" s="5">
        <v>44563</v>
      </c>
      <c r="B30">
        <v>0.97450000000000003</v>
      </c>
      <c r="C30">
        <v>1.0269999999999999</v>
      </c>
      <c r="D30">
        <v>0.96260000000000001</v>
      </c>
      <c r="E30">
        <v>0.98080000000000001</v>
      </c>
      <c r="F30">
        <v>2465239</v>
      </c>
      <c r="G30">
        <v>0.98080000000000001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-0.4347826086956515</v>
      </c>
      <c r="Q30">
        <f t="shared" ref="Q30" si="126">F30*P30</f>
        <v>-1071843.0434782591</v>
      </c>
      <c r="R30">
        <f t="shared" ref="R30" si="127">R31+Q30</f>
        <v>-440693389.68161446</v>
      </c>
      <c r="S30">
        <f t="shared" ref="S30" si="128">R30/100000</f>
        <v>-4406.9338968161446</v>
      </c>
      <c r="T30">
        <f t="shared" ref="T30" si="129">S30/1000</f>
        <v>-4.4069338968161444</v>
      </c>
    </row>
    <row r="31" spans="1:20" x14ac:dyDescent="0.25">
      <c r="A31" s="5">
        <v>44562</v>
      </c>
      <c r="B31">
        <v>0.96299999999999997</v>
      </c>
      <c r="C31">
        <v>0.98450000000000004</v>
      </c>
      <c r="D31">
        <v>0.95809999999999995</v>
      </c>
      <c r="E31">
        <v>0.97399999999999998</v>
      </c>
      <c r="F31">
        <v>1465466</v>
      </c>
      <c r="G31">
        <v>0.97399999999999998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0.20454545454545234</v>
      </c>
      <c r="Q31">
        <f t="shared" ref="Q31" si="131">F31*P31</f>
        <v>299754.40909090586</v>
      </c>
      <c r="R31">
        <f t="shared" ref="R31" si="132">R32+Q31</f>
        <v>-439621546.63813621</v>
      </c>
      <c r="S31">
        <f t="shared" ref="S31" si="133">R31/100000</f>
        <v>-4396.2154663813617</v>
      </c>
      <c r="T31">
        <f t="shared" ref="T31" si="134">S31/1000</f>
        <v>-4.3962154663813617</v>
      </c>
    </row>
    <row r="32" spans="1:20" x14ac:dyDescent="0.25">
      <c r="A32" s="5">
        <v>44561</v>
      </c>
      <c r="B32">
        <v>0.98089999999999999</v>
      </c>
      <c r="C32">
        <v>1.0079</v>
      </c>
      <c r="D32">
        <v>0.94010000000000005</v>
      </c>
      <c r="E32">
        <v>0.96299999999999997</v>
      </c>
      <c r="F32">
        <v>2686632</v>
      </c>
      <c r="G32">
        <v>0.96299999999999997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-0.32448377581121152</v>
      </c>
      <c r="Q32">
        <f t="shared" ref="Q32" si="136">F32*P32</f>
        <v>-871768.49557522684</v>
      </c>
      <c r="R32">
        <f t="shared" ref="R32" si="137">R33+Q32</f>
        <v>-439921301.04722708</v>
      </c>
      <c r="S32">
        <f t="shared" ref="S32" si="138">R32/100000</f>
        <v>-4399.213010472271</v>
      </c>
      <c r="T32">
        <f t="shared" ref="T32" si="139">S32/1000</f>
        <v>-4.3992130104722706</v>
      </c>
    </row>
    <row r="33" spans="1:20" x14ac:dyDescent="0.25">
      <c r="A33" s="5">
        <v>44560</v>
      </c>
      <c r="B33">
        <v>0.97929999999999995</v>
      </c>
      <c r="C33">
        <v>1.0288999999999999</v>
      </c>
      <c r="D33">
        <v>0.95830000000000004</v>
      </c>
      <c r="E33">
        <v>0.98099999999999998</v>
      </c>
      <c r="F33">
        <v>3528029</v>
      </c>
      <c r="G33">
        <v>0.98099999999999998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-0.35694050991501475</v>
      </c>
      <c r="Q33">
        <f t="shared" ref="Q33" si="141">F33*P33</f>
        <v>-1259296.4702549595</v>
      </c>
      <c r="R33">
        <f t="shared" ref="R33" si="142">R34+Q33</f>
        <v>-439049532.55165184</v>
      </c>
      <c r="S33">
        <f t="shared" ref="S33" si="143">R33/100000</f>
        <v>-4390.4953255165183</v>
      </c>
      <c r="T33">
        <f t="shared" ref="T33" si="144">S33/1000</f>
        <v>-4.3904953255165182</v>
      </c>
    </row>
    <row r="34" spans="1:20" x14ac:dyDescent="0.25">
      <c r="A34" s="5">
        <v>44559</v>
      </c>
      <c r="B34">
        <v>0.96870000000000001</v>
      </c>
      <c r="C34">
        <v>1.0838000000000001</v>
      </c>
      <c r="D34">
        <v>0.96479999999999999</v>
      </c>
      <c r="E34">
        <v>0.97929999999999995</v>
      </c>
      <c r="F34">
        <v>8345877</v>
      </c>
      <c r="G34">
        <v>0.97929999999999995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-0.75630252100840434</v>
      </c>
      <c r="Q34">
        <f t="shared" ref="Q34" si="146">F34*P34</f>
        <v>-6312007.8151260586</v>
      </c>
      <c r="R34">
        <f t="shared" ref="R34" si="147">R35+Q34</f>
        <v>-437790236.08139688</v>
      </c>
      <c r="S34">
        <f t="shared" ref="S34" si="148">R34/100000</f>
        <v>-4377.9023608139687</v>
      </c>
      <c r="T34">
        <f t="shared" ref="T34" si="149">S34/1000</f>
        <v>-4.3779023608139687</v>
      </c>
    </row>
    <row r="35" spans="1:20" x14ac:dyDescent="0.25">
      <c r="A35" s="5">
        <v>44558</v>
      </c>
      <c r="B35">
        <v>1.0469999999999999</v>
      </c>
      <c r="C35">
        <v>1.0469999999999999</v>
      </c>
      <c r="D35">
        <v>0.95689999999999997</v>
      </c>
      <c r="E35">
        <v>0.96930000000000005</v>
      </c>
      <c r="F35">
        <v>3972728</v>
      </c>
      <c r="G35">
        <v>0.96930000000000005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-0.72475027746947651</v>
      </c>
      <c r="Q35">
        <f t="shared" ref="Q35" si="151">F35*P35</f>
        <v>-2879235.7203107583</v>
      </c>
      <c r="R35">
        <f t="shared" ref="R35" si="152">R36+Q35</f>
        <v>-431478228.26627082</v>
      </c>
      <c r="S35">
        <f t="shared" ref="S35" si="153">R35/100000</f>
        <v>-4314.782282662708</v>
      </c>
      <c r="T35">
        <f t="shared" ref="T35" si="154">S35/1000</f>
        <v>-4.3147822826627076</v>
      </c>
    </row>
    <row r="36" spans="1:20" x14ac:dyDescent="0.25">
      <c r="A36" s="5">
        <v>44557</v>
      </c>
      <c r="B36">
        <v>1.0758000000000001</v>
      </c>
      <c r="C36">
        <v>1.1100000000000001</v>
      </c>
      <c r="D36">
        <v>1.0450999999999999</v>
      </c>
      <c r="E36">
        <v>1.0469999999999999</v>
      </c>
      <c r="F36">
        <v>6777077</v>
      </c>
      <c r="G36">
        <v>1.0469999999999999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-0.94144838212634796</v>
      </c>
      <c r="Q36">
        <f t="shared" ref="Q36" si="156">F36*P36</f>
        <v>-6380268.1771956841</v>
      </c>
      <c r="R36">
        <f t="shared" ref="R36" si="157">R37+Q36</f>
        <v>-428598992.54596007</v>
      </c>
      <c r="S36">
        <f t="shared" ref="S36" si="158">R36/100000</f>
        <v>-4285.9899254596003</v>
      </c>
      <c r="T36">
        <f t="shared" ref="T36" si="159">S36/1000</f>
        <v>-4.2859899254596003</v>
      </c>
    </row>
    <row r="37" spans="1:20" x14ac:dyDescent="0.25">
      <c r="A37" s="5">
        <v>44556</v>
      </c>
      <c r="B37">
        <v>1.0108999999999999</v>
      </c>
      <c r="C37">
        <v>1.2670999999999999</v>
      </c>
      <c r="D37">
        <v>0.98</v>
      </c>
      <c r="E37">
        <v>1.0741000000000001</v>
      </c>
      <c r="F37">
        <v>23240019</v>
      </c>
      <c r="G37">
        <v>1.0741000000000001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-0.34447927551375757</v>
      </c>
      <c r="Q37">
        <f t="shared" ref="Q37" si="161">F37*P37</f>
        <v>-8005704.9080459606</v>
      </c>
      <c r="R37">
        <f t="shared" ref="R37" si="162">R38+Q37</f>
        <v>-422218724.3687644</v>
      </c>
      <c r="S37">
        <f t="shared" ref="S37" si="163">R37/100000</f>
        <v>-4222.1872436876438</v>
      </c>
      <c r="T37">
        <f t="shared" ref="T37" si="164">S37/1000</f>
        <v>-4.2221872436876442</v>
      </c>
    </row>
    <row r="38" spans="1:20" x14ac:dyDescent="0.25">
      <c r="A38" s="5">
        <v>44555</v>
      </c>
      <c r="B38">
        <v>0.99009999999999998</v>
      </c>
      <c r="C38">
        <v>1.0273000000000001</v>
      </c>
      <c r="D38">
        <v>0.97</v>
      </c>
      <c r="E38">
        <v>1.0107999999999999</v>
      </c>
      <c r="F38">
        <v>3035692</v>
      </c>
      <c r="G38">
        <v>1.0107999999999999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0.42408376963350281</v>
      </c>
      <c r="Q38">
        <f t="shared" ref="Q38" si="166">F38*P38</f>
        <v>1287387.7068062674</v>
      </c>
      <c r="R38">
        <f t="shared" ref="R38" si="167">R39+Q38</f>
        <v>-414213019.46071845</v>
      </c>
      <c r="S38">
        <f t="shared" ref="S38" si="168">R38/100000</f>
        <v>-4142.1301946071844</v>
      </c>
      <c r="T38">
        <f t="shared" ref="T38" si="169">S38/1000</f>
        <v>-4.1421301946071845</v>
      </c>
    </row>
    <row r="39" spans="1:20" x14ac:dyDescent="0.25">
      <c r="A39" s="5">
        <v>44554</v>
      </c>
      <c r="B39">
        <v>1.0065</v>
      </c>
      <c r="C39">
        <v>1.0371999999999999</v>
      </c>
      <c r="D39">
        <v>0.97599999999999998</v>
      </c>
      <c r="E39">
        <v>0.98809999999999998</v>
      </c>
      <c r="F39">
        <v>4302693</v>
      </c>
      <c r="G39">
        <v>0.98809999999999998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-0.60457516339869233</v>
      </c>
      <c r="Q39">
        <f t="shared" ref="Q39" si="171">F39*P39</f>
        <v>-2601301.3235294097</v>
      </c>
      <c r="R39">
        <f t="shared" ref="R39" si="172">R40+Q39</f>
        <v>-415500407.1675247</v>
      </c>
      <c r="S39">
        <f t="shared" ref="S39" si="173">R39/100000</f>
        <v>-4155.0040716752474</v>
      </c>
      <c r="T39">
        <f t="shared" ref="T39" si="174">S39/1000</f>
        <v>-4.155004071675247</v>
      </c>
    </row>
    <row r="40" spans="1:20" x14ac:dyDescent="0.25">
      <c r="A40" s="5">
        <v>44553</v>
      </c>
      <c r="B40">
        <v>0.98009999999999997</v>
      </c>
      <c r="C40">
        <v>1.0397000000000001</v>
      </c>
      <c r="D40">
        <v>0.96460000000000001</v>
      </c>
      <c r="E40">
        <v>1.0092000000000001</v>
      </c>
      <c r="F40">
        <v>3766222</v>
      </c>
      <c r="G40">
        <v>1.0092000000000001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0.18774966711052066</v>
      </c>
      <c r="Q40">
        <f t="shared" ref="Q40" si="176">F40*P40</f>
        <v>707106.9267643193</v>
      </c>
      <c r="R40">
        <f t="shared" ref="R40" si="177">R41+Q40</f>
        <v>-412899105.84399527</v>
      </c>
      <c r="S40">
        <f t="shared" ref="S40" si="178">R40/100000</f>
        <v>-4128.9910584399531</v>
      </c>
      <c r="T40">
        <f t="shared" ref="T40" si="179">S40/1000</f>
        <v>-4.1289910584399534</v>
      </c>
    </row>
    <row r="41" spans="1:20" x14ac:dyDescent="0.25">
      <c r="A41" s="5">
        <v>44552</v>
      </c>
      <c r="B41">
        <v>0.98599999999999999</v>
      </c>
      <c r="C41">
        <v>1.0178</v>
      </c>
      <c r="D41">
        <v>0.9708</v>
      </c>
      <c r="E41">
        <v>0.98009999999999997</v>
      </c>
      <c r="F41">
        <v>5913597</v>
      </c>
      <c r="G41">
        <v>0.98009999999999997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-0.6042553191489376</v>
      </c>
      <c r="Q41">
        <f t="shared" ref="Q41" si="181">F41*P41</f>
        <v>-3573322.4425531998</v>
      </c>
      <c r="R41">
        <f t="shared" ref="R41" si="182">R42+Q41</f>
        <v>-413606212.77075958</v>
      </c>
      <c r="S41">
        <f t="shared" ref="S41" si="183">R41/100000</f>
        <v>-4136.0621277075961</v>
      </c>
      <c r="T41">
        <f t="shared" ref="T41" si="184">S41/1000</f>
        <v>-4.1360621277075964</v>
      </c>
    </row>
    <row r="42" spans="1:20" x14ac:dyDescent="0.25">
      <c r="A42" s="5">
        <v>44551</v>
      </c>
      <c r="B42">
        <v>0.97019999999999995</v>
      </c>
      <c r="C42">
        <v>1.0197000000000001</v>
      </c>
      <c r="D42">
        <v>0.96089999999999998</v>
      </c>
      <c r="E42">
        <v>0.98599999999999999</v>
      </c>
      <c r="F42">
        <v>5025752</v>
      </c>
      <c r="G42">
        <v>0.98599999999999999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-0.14625850340136123</v>
      </c>
      <c r="Q42">
        <f t="shared" ref="Q42" si="186">F42*P42</f>
        <v>-735058.96598639805</v>
      </c>
      <c r="R42">
        <f t="shared" ref="R42" si="187">R43+Q42</f>
        <v>-410032890.32820636</v>
      </c>
      <c r="S42">
        <f t="shared" ref="S42" si="188">R42/100000</f>
        <v>-4100.3289032820639</v>
      </c>
      <c r="T42">
        <f t="shared" ref="T42" si="189">S42/1000</f>
        <v>-4.1003289032820636</v>
      </c>
    </row>
    <row r="43" spans="1:20" x14ac:dyDescent="0.25">
      <c r="A43" s="5">
        <v>44550</v>
      </c>
      <c r="B43">
        <v>0.98370000000000002</v>
      </c>
      <c r="C43">
        <v>0.99</v>
      </c>
      <c r="D43">
        <v>0.90620000000000001</v>
      </c>
      <c r="E43">
        <v>0.96960000000000002</v>
      </c>
      <c r="F43">
        <v>4719380</v>
      </c>
      <c r="G43">
        <v>0.96960000000000002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0.51312649164677859</v>
      </c>
      <c r="Q43">
        <f t="shared" ref="Q43" si="191">F43*P43</f>
        <v>2421638.9021479739</v>
      </c>
      <c r="R43">
        <f t="shared" ref="R43" si="192">R44+Q43</f>
        <v>-409297831.36221999</v>
      </c>
      <c r="S43">
        <f t="shared" ref="S43" si="193">R43/100000</f>
        <v>-4092.9783136221999</v>
      </c>
      <c r="T43">
        <f t="shared" ref="T43" si="194">S43/1000</f>
        <v>-4.0929783136221998</v>
      </c>
    </row>
    <row r="44" spans="1:20" x14ac:dyDescent="0.25">
      <c r="A44" s="5">
        <v>44549</v>
      </c>
      <c r="B44">
        <v>1.0037</v>
      </c>
      <c r="C44">
        <v>1.0369999999999999</v>
      </c>
      <c r="D44">
        <v>0.97919999999999996</v>
      </c>
      <c r="E44">
        <v>0.98370000000000002</v>
      </c>
      <c r="F44">
        <v>3470316</v>
      </c>
      <c r="G44">
        <v>0.98370000000000002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-0.8442906574394442</v>
      </c>
      <c r="Q44">
        <f t="shared" ref="Q44" si="196">F44*P44</f>
        <v>-2929955.3771626223</v>
      </c>
      <c r="R44">
        <f t="shared" ref="R44" si="197">R45+Q44</f>
        <v>-411719470.26436794</v>
      </c>
      <c r="S44">
        <f t="shared" ref="S44" si="198">R44/100000</f>
        <v>-4117.1947026436792</v>
      </c>
      <c r="T44">
        <f t="shared" ref="T44" si="199">S44/1000</f>
        <v>-4.1171947026436788</v>
      </c>
    </row>
    <row r="45" spans="1:20" x14ac:dyDescent="0.25">
      <c r="A45" s="5">
        <v>44548</v>
      </c>
      <c r="B45">
        <v>1.0153000000000001</v>
      </c>
      <c r="C45">
        <v>1.0643</v>
      </c>
      <c r="D45">
        <v>0.98009999999999997</v>
      </c>
      <c r="E45">
        <v>1.0037</v>
      </c>
      <c r="F45">
        <v>5015534</v>
      </c>
      <c r="G45">
        <v>1.0037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-0.43942992874109144</v>
      </c>
      <c r="Q45">
        <f t="shared" ref="Q45" si="201">F45*P45</f>
        <v>-2203975.7482185215</v>
      </c>
      <c r="R45">
        <f t="shared" ref="R45" si="202">R46+Q45</f>
        <v>-408789514.8872053</v>
      </c>
      <c r="S45">
        <f t="shared" ref="S45" si="203">R45/100000</f>
        <v>-4087.8951488720531</v>
      </c>
      <c r="T45">
        <f t="shared" ref="T45" si="204">S45/1000</f>
        <v>-4.087895148872053</v>
      </c>
    </row>
    <row r="46" spans="1:20" x14ac:dyDescent="0.25">
      <c r="A46" s="5">
        <v>44547</v>
      </c>
      <c r="B46">
        <v>0.99690000000000001</v>
      </c>
      <c r="C46">
        <v>1.1200000000000001</v>
      </c>
      <c r="D46">
        <v>0.97809999999999997</v>
      </c>
      <c r="E46">
        <v>1.0154000000000001</v>
      </c>
      <c r="F46">
        <v>12659150</v>
      </c>
      <c r="G46">
        <v>1.0154000000000001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-0.4742776603241709</v>
      </c>
      <c r="Q46">
        <f t="shared" ref="Q46" si="206">F46*P46</f>
        <v>-6003952.0436927285</v>
      </c>
      <c r="R46">
        <f t="shared" ref="R46" si="207">R47+Q46</f>
        <v>-406585539.13898677</v>
      </c>
      <c r="S46">
        <f t="shared" ref="S46" si="208">R46/100000</f>
        <v>-4065.8553913898677</v>
      </c>
      <c r="T46">
        <f t="shared" ref="T46" si="209">S46/1000</f>
        <v>-4.0658553913898681</v>
      </c>
    </row>
    <row r="47" spans="1:20" x14ac:dyDescent="0.25">
      <c r="A47" s="5">
        <v>44546</v>
      </c>
      <c r="B47">
        <v>0.97560000000000002</v>
      </c>
      <c r="C47">
        <v>1.1200000000000001</v>
      </c>
      <c r="D47">
        <v>0.96740000000000004</v>
      </c>
      <c r="E47">
        <v>0.99680000000000002</v>
      </c>
      <c r="F47">
        <v>11891833</v>
      </c>
      <c r="G47">
        <v>0.99680000000000002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-0.61467889908256923</v>
      </c>
      <c r="Q47">
        <f t="shared" ref="Q47" si="211">F47*P47</f>
        <v>-7309658.8165137665</v>
      </c>
      <c r="R47">
        <f t="shared" ref="R47" si="212">R48+Q47</f>
        <v>-400581587.09529406</v>
      </c>
      <c r="S47">
        <f t="shared" ref="S47" si="213">R47/100000</f>
        <v>-4005.8158709529407</v>
      </c>
      <c r="T47">
        <f t="shared" ref="T47" si="214">S47/1000</f>
        <v>-4.005815870952941</v>
      </c>
    </row>
    <row r="48" spans="1:20" x14ac:dyDescent="0.25">
      <c r="A48" s="5">
        <v>44545</v>
      </c>
      <c r="B48">
        <v>0.92989999999999995</v>
      </c>
      <c r="C48">
        <v>1.0309999999999999</v>
      </c>
      <c r="D48">
        <v>0.872</v>
      </c>
      <c r="E48">
        <v>0.97550000000000003</v>
      </c>
      <c r="F48">
        <v>5365677</v>
      </c>
      <c r="G48">
        <v>0.97550000000000003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0.30188679245283129</v>
      </c>
      <c r="Q48">
        <f t="shared" ref="Q48" si="216">F48*P48</f>
        <v>1619827.0188679304</v>
      </c>
      <c r="R48">
        <f t="shared" ref="R48" si="217">R49+Q48</f>
        <v>-393271928.27878028</v>
      </c>
      <c r="S48">
        <f t="shared" ref="S48" si="218">R48/100000</f>
        <v>-3932.719282787803</v>
      </c>
      <c r="T48">
        <f t="shared" ref="T48" si="219">S48/1000</f>
        <v>-3.932719282787803</v>
      </c>
    </row>
    <row r="49" spans="1:20" x14ac:dyDescent="0.25">
      <c r="A49" s="5">
        <v>44544</v>
      </c>
      <c r="B49">
        <v>0.9385</v>
      </c>
      <c r="C49">
        <v>0.96960000000000002</v>
      </c>
      <c r="D49">
        <v>0.91110000000000002</v>
      </c>
      <c r="E49">
        <v>0.92989999999999995</v>
      </c>
      <c r="F49">
        <v>4440471</v>
      </c>
      <c r="G49">
        <v>0.92989999999999995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-0.35726495726495971</v>
      </c>
      <c r="Q49">
        <f t="shared" ref="Q49" si="221">F49*P49</f>
        <v>-1586424.6820512929</v>
      </c>
      <c r="R49">
        <f t="shared" ref="R49" si="222">R50+Q49</f>
        <v>-394891755.29764819</v>
      </c>
      <c r="S49">
        <f t="shared" ref="S49" si="223">R49/100000</f>
        <v>-3948.9175529764821</v>
      </c>
      <c r="T49">
        <f t="shared" ref="T49" si="224">S49/1000</f>
        <v>-3.9489175529764822</v>
      </c>
    </row>
    <row r="50" spans="1:20" x14ac:dyDescent="0.25">
      <c r="A50" s="5">
        <v>44543</v>
      </c>
      <c r="B50">
        <v>1.085</v>
      </c>
      <c r="C50">
        <v>1.127</v>
      </c>
      <c r="D50">
        <v>0.93</v>
      </c>
      <c r="E50">
        <v>0.9385</v>
      </c>
      <c r="F50">
        <v>8902036</v>
      </c>
      <c r="G50">
        <v>0.9385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-0.9137055837563457</v>
      </c>
      <c r="Q50">
        <f t="shared" ref="Q50" si="226">F50*P50</f>
        <v>-8133840.0000000047</v>
      </c>
      <c r="R50">
        <f t="shared" ref="R50" si="227">R51+Q50</f>
        <v>-393305330.61559689</v>
      </c>
      <c r="S50">
        <f t="shared" ref="S50" si="228">R50/100000</f>
        <v>-3933.053306155969</v>
      </c>
      <c r="T50">
        <f t="shared" ref="T50" si="229">S50/1000</f>
        <v>-3.9330533061559692</v>
      </c>
    </row>
    <row r="51" spans="1:20" x14ac:dyDescent="0.25">
      <c r="A51" s="5">
        <v>44542</v>
      </c>
      <c r="B51">
        <v>1.0187999999999999</v>
      </c>
      <c r="C51">
        <v>1.1274</v>
      </c>
      <c r="D51">
        <v>0.99460000000000004</v>
      </c>
      <c r="E51">
        <v>1.085</v>
      </c>
      <c r="F51">
        <v>9280727</v>
      </c>
      <c r="G51">
        <v>1.085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0.36144578313252984</v>
      </c>
      <c r="Q51">
        <f t="shared" ref="Q51" si="231">F51*P51</f>
        <v>3354479.6385542145</v>
      </c>
      <c r="R51">
        <f t="shared" ref="R51" si="232">R52+Q51</f>
        <v>-385171490.61559689</v>
      </c>
      <c r="S51">
        <f t="shared" ref="S51" si="233">R51/100000</f>
        <v>-3851.7149061559689</v>
      </c>
      <c r="T51">
        <f t="shared" ref="T51" si="234">S51/1000</f>
        <v>-3.8517149061559688</v>
      </c>
    </row>
    <row r="52" spans="1:20" x14ac:dyDescent="0.25">
      <c r="A52" s="5">
        <v>44541</v>
      </c>
      <c r="B52">
        <v>1.077</v>
      </c>
      <c r="C52">
        <v>1.08</v>
      </c>
      <c r="D52">
        <v>1.0135000000000001</v>
      </c>
      <c r="E52">
        <v>1.0548999999999999</v>
      </c>
      <c r="F52">
        <v>886761</v>
      </c>
      <c r="G52">
        <v>1.0548999999999999</v>
      </c>
      <c r="L52" t="s">
        <v>8</v>
      </c>
      <c r="M52" t="s">
        <v>7</v>
      </c>
      <c r="N52" t="s">
        <v>7</v>
      </c>
      <c r="P52">
        <f t="shared" ref="P52" si="235">IF(C52=D52,0,((E52-D52)-(C52-E52))/(C52-D52))</f>
        <v>0.24511278195488359</v>
      </c>
      <c r="Q52">
        <f t="shared" ref="Q52" si="236">F52*P52</f>
        <v>217356.45563909452</v>
      </c>
      <c r="R52">
        <f t="shared" ref="R52" si="237">R53+Q52</f>
        <v>-388525970.25415111</v>
      </c>
      <c r="S52">
        <f t="shared" ref="S52" si="238">R52/100000</f>
        <v>-3885.2597025415112</v>
      </c>
      <c r="T52">
        <f t="shared" ref="T52" si="239">S52/1000</f>
        <v>-3.8852597025415112</v>
      </c>
    </row>
    <row r="53" spans="1:20" x14ac:dyDescent="0.25">
      <c r="A53" s="5">
        <v>44540</v>
      </c>
      <c r="B53">
        <v>0.9667</v>
      </c>
      <c r="C53">
        <v>1.1447000000000001</v>
      </c>
      <c r="D53">
        <v>0.91</v>
      </c>
      <c r="E53">
        <v>1.0764</v>
      </c>
      <c r="F53">
        <v>19766554</v>
      </c>
      <c r="G53">
        <v>1.0764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0.41798040051129082</v>
      </c>
      <c r="Q53">
        <f t="shared" ref="Q53" si="241">F53*P53</f>
        <v>8262032.1576480577</v>
      </c>
      <c r="R53">
        <f t="shared" ref="R53" si="242">R54+Q53</f>
        <v>-388743326.70979023</v>
      </c>
      <c r="S53">
        <f t="shared" ref="S53" si="243">R53/100000</f>
        <v>-3887.4332670979024</v>
      </c>
      <c r="T53">
        <f t="shared" ref="T53" si="244">S53/1000</f>
        <v>-3.8874332670979026</v>
      </c>
    </row>
    <row r="54" spans="1:20" x14ac:dyDescent="0.25">
      <c r="A54" s="5">
        <v>44539</v>
      </c>
      <c r="B54">
        <v>1.0912999999999999</v>
      </c>
      <c r="C54">
        <v>1.127</v>
      </c>
      <c r="D54">
        <v>0.95750000000000002</v>
      </c>
      <c r="E54">
        <v>0.96689999999999998</v>
      </c>
      <c r="F54">
        <v>11980860</v>
      </c>
      <c r="G54">
        <v>0.96689999999999998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-0.88908554572271425</v>
      </c>
      <c r="Q54">
        <f t="shared" ref="Q54" si="246">F54*P54</f>
        <v>-10652009.451327438</v>
      </c>
      <c r="R54">
        <f t="shared" ref="R54" si="247">R55+Q54</f>
        <v>-397005358.86743832</v>
      </c>
      <c r="S54">
        <f t="shared" ref="S54" si="248">R54/100000</f>
        <v>-3970.0535886743833</v>
      </c>
      <c r="T54">
        <f t="shared" ref="T54" si="249">S54/1000</f>
        <v>-3.9700535886743831</v>
      </c>
    </row>
    <row r="55" spans="1:20" x14ac:dyDescent="0.25">
      <c r="A55" s="5">
        <v>44538</v>
      </c>
      <c r="B55">
        <v>1.0523</v>
      </c>
      <c r="C55">
        <v>1.41</v>
      </c>
      <c r="D55">
        <v>1.0385</v>
      </c>
      <c r="E55">
        <v>1.0911999999999999</v>
      </c>
      <c r="F55">
        <v>78149636</v>
      </c>
      <c r="G55">
        <v>1.0911999999999999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-0.71628532974428005</v>
      </c>
      <c r="Q55">
        <f t="shared" ref="Q55" si="251">F55*P55</f>
        <v>-55977437.791655459</v>
      </c>
      <c r="R55">
        <f t="shared" ref="R55" si="252">R56+Q55</f>
        <v>-386353349.41611087</v>
      </c>
      <c r="S55">
        <f t="shared" ref="S55" si="253">R55/100000</f>
        <v>-3863.5334941611086</v>
      </c>
      <c r="T55">
        <f t="shared" ref="T55" si="254">S55/1000</f>
        <v>-3.8635334941611088</v>
      </c>
    </row>
    <row r="56" spans="1:20" x14ac:dyDescent="0.25">
      <c r="A56" s="5">
        <v>44537</v>
      </c>
      <c r="B56">
        <v>0.91400000000000003</v>
      </c>
      <c r="C56">
        <v>1.1798999999999999</v>
      </c>
      <c r="D56">
        <v>0.88329999999999997</v>
      </c>
      <c r="E56">
        <v>1.0524</v>
      </c>
      <c r="F56">
        <v>26854892</v>
      </c>
      <c r="G56">
        <v>1.0524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0.14025623735670967</v>
      </c>
      <c r="Q56">
        <f t="shared" ref="Q56" si="256">F56*P56</f>
        <v>3766566.1065408038</v>
      </c>
      <c r="R56">
        <f t="shared" ref="R56" si="257">R57+Q56</f>
        <v>-330375911.62445539</v>
      </c>
      <c r="S56">
        <f t="shared" ref="S56" si="258">R56/100000</f>
        <v>-3303.7591162445538</v>
      </c>
      <c r="T56">
        <f t="shared" ref="T56" si="259">S56/1000</f>
        <v>-3.3037591162445539</v>
      </c>
    </row>
    <row r="57" spans="1:20" x14ac:dyDescent="0.25">
      <c r="A57" s="5">
        <v>44536</v>
      </c>
      <c r="B57">
        <v>0.91279999999999994</v>
      </c>
      <c r="C57">
        <v>0.94989999999999997</v>
      </c>
      <c r="D57">
        <v>0.8</v>
      </c>
      <c r="E57">
        <v>0.91549999999999998</v>
      </c>
      <c r="F57">
        <v>12335844</v>
      </c>
      <c r="G57">
        <v>0.91549999999999998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0.54102735156771176</v>
      </c>
      <c r="Q57">
        <f t="shared" ref="Q57" si="261">F57*P57</f>
        <v>6674029.0086724479</v>
      </c>
      <c r="R57">
        <f t="shared" ref="R57" si="262">R58+Q57</f>
        <v>-334142477.73099619</v>
      </c>
      <c r="S57">
        <f t="shared" ref="S57" si="263">R57/100000</f>
        <v>-3341.4247773099619</v>
      </c>
      <c r="T57">
        <f t="shared" ref="T57" si="264">S57/1000</f>
        <v>-3.3414247773099617</v>
      </c>
    </row>
    <row r="58" spans="1:20" x14ac:dyDescent="0.25">
      <c r="A58" s="5">
        <v>44535</v>
      </c>
      <c r="B58">
        <v>1.0306999999999999</v>
      </c>
      <c r="C58">
        <v>1.1299999999999999</v>
      </c>
      <c r="D58">
        <v>0.89249999999999996</v>
      </c>
      <c r="E58">
        <v>0.91100000000000003</v>
      </c>
      <c r="F58">
        <v>13024802</v>
      </c>
      <c r="G58">
        <v>0.91100000000000003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-0.84421052631578886</v>
      </c>
      <c r="Q58">
        <f t="shared" ref="Q58" si="266">F58*P58</f>
        <v>-10995674.951578939</v>
      </c>
      <c r="R58">
        <f t="shared" ref="R58" si="267">R59+Q58</f>
        <v>-340816506.73966867</v>
      </c>
      <c r="S58">
        <f t="shared" ref="S58" si="268">R58/100000</f>
        <v>-3408.1650673966865</v>
      </c>
      <c r="T58">
        <f t="shared" ref="T58" si="269">S58/1000</f>
        <v>-3.4081650673966863</v>
      </c>
    </row>
    <row r="59" spans="1:20" x14ac:dyDescent="0.25">
      <c r="A59" s="5">
        <v>44534</v>
      </c>
      <c r="B59">
        <v>1.2276</v>
      </c>
      <c r="C59">
        <v>1.25</v>
      </c>
      <c r="D59">
        <v>0.80510000000000004</v>
      </c>
      <c r="E59">
        <v>1.0303</v>
      </c>
      <c r="F59">
        <v>22817042</v>
      </c>
      <c r="G59">
        <v>1.0303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1.2362328613171386E-2</v>
      </c>
      <c r="Q59">
        <f t="shared" ref="Q59" si="271">F59*P59</f>
        <v>282071.77118453325</v>
      </c>
      <c r="R59">
        <f t="shared" ref="R59" si="272">R60+Q59</f>
        <v>-329820831.78808975</v>
      </c>
      <c r="S59">
        <f t="shared" ref="S59" si="273">R59/100000</f>
        <v>-3298.2083178808975</v>
      </c>
      <c r="T59">
        <f t="shared" ref="T59" si="274">S59/1000</f>
        <v>-3.2982083178808974</v>
      </c>
    </row>
    <row r="60" spans="1:20" x14ac:dyDescent="0.25">
      <c r="A60" s="5">
        <v>44533</v>
      </c>
      <c r="B60">
        <v>1.2492000000000001</v>
      </c>
      <c r="C60">
        <v>1.8689</v>
      </c>
      <c r="D60">
        <v>1.2078</v>
      </c>
      <c r="E60">
        <v>1.2304999999999999</v>
      </c>
      <c r="F60">
        <v>113759560.95999999</v>
      </c>
      <c r="G60">
        <v>1.2304999999999999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-0.93132657691725929</v>
      </c>
      <c r="Q60">
        <f t="shared" ref="Q60" si="276">F60*P60</f>
        <v>-105947302.50048707</v>
      </c>
      <c r="R60">
        <f t="shared" ref="R60" si="277">R61+Q60</f>
        <v>-330102903.55927426</v>
      </c>
      <c r="S60">
        <f t="shared" ref="S60" si="278">R60/100000</f>
        <v>-3301.0290355927427</v>
      </c>
      <c r="T60">
        <f t="shared" ref="T60" si="279">S60/1000</f>
        <v>-3.3010290355927427</v>
      </c>
    </row>
    <row r="61" spans="1:20" x14ac:dyDescent="0.25">
      <c r="A61" s="5">
        <v>44532</v>
      </c>
      <c r="B61">
        <v>0.93910000000000005</v>
      </c>
      <c r="C61">
        <v>1.74</v>
      </c>
      <c r="D61">
        <v>0.90210000000000001</v>
      </c>
      <c r="E61">
        <v>1.2455000000000001</v>
      </c>
      <c r="F61">
        <v>156659430.88999999</v>
      </c>
      <c r="G61">
        <v>1.2455000000000001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-0.18033178183554113</v>
      </c>
      <c r="Q61">
        <f t="shared" ref="Q61" si="281">F61*P61</f>
        <v>-28250674.313735511</v>
      </c>
      <c r="R61">
        <f t="shared" ref="R61" si="282">R62+Q61</f>
        <v>-224155601.0587872</v>
      </c>
      <c r="S61">
        <f t="shared" ref="S61" si="283">R61/100000</f>
        <v>-2241.5560105878722</v>
      </c>
      <c r="T61">
        <f t="shared" ref="T61" si="284">S61/1000</f>
        <v>-2.241556010587872</v>
      </c>
    </row>
    <row r="62" spans="1:20" x14ac:dyDescent="0.25">
      <c r="A62" s="5">
        <v>44531</v>
      </c>
      <c r="B62">
        <v>0.95150000000000001</v>
      </c>
      <c r="C62">
        <v>0.98</v>
      </c>
      <c r="D62">
        <v>0.91959999999999997</v>
      </c>
      <c r="E62">
        <v>0.94099999999999995</v>
      </c>
      <c r="F62">
        <v>2565667</v>
      </c>
      <c r="G62">
        <v>0.94099999999999995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-0.29139072847682213</v>
      </c>
      <c r="Q62">
        <f t="shared" ref="Q62" si="286">F62*P62</f>
        <v>-747611.57615894277</v>
      </c>
      <c r="R62">
        <f t="shared" ref="R62" si="287">R63+Q62</f>
        <v>-195904926.74505168</v>
      </c>
      <c r="S62">
        <f t="shared" ref="S62" si="288">R62/100000</f>
        <v>-1959.0492674505167</v>
      </c>
      <c r="T62">
        <f t="shared" ref="T62" si="289">S62/1000</f>
        <v>-1.9590492674505167</v>
      </c>
    </row>
    <row r="63" spans="1:20" x14ac:dyDescent="0.25">
      <c r="A63" s="5">
        <v>44530</v>
      </c>
      <c r="B63">
        <v>1.0132000000000001</v>
      </c>
      <c r="C63">
        <v>1.028</v>
      </c>
      <c r="D63">
        <v>0.9405</v>
      </c>
      <c r="E63">
        <v>0.95199999999999996</v>
      </c>
      <c r="F63">
        <v>3355141</v>
      </c>
      <c r="G63">
        <v>0.95199999999999996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-0.73714285714285821</v>
      </c>
      <c r="Q63">
        <f t="shared" ref="Q63" si="291">F63*P63</f>
        <v>-2473218.2228571465</v>
      </c>
      <c r="R63">
        <f t="shared" ref="R63" si="292">R64+Q63</f>
        <v>-195157315.16889274</v>
      </c>
      <c r="S63">
        <f t="shared" ref="S63" si="293">R63/100000</f>
        <v>-1951.5731516889275</v>
      </c>
      <c r="T63">
        <f t="shared" ref="T63" si="294">S63/1000</f>
        <v>-1.9515731516889274</v>
      </c>
    </row>
    <row r="64" spans="1:20" x14ac:dyDescent="0.25">
      <c r="A64" s="5">
        <v>44529</v>
      </c>
      <c r="B64">
        <v>1.0041</v>
      </c>
      <c r="C64">
        <v>1.0323</v>
      </c>
      <c r="D64">
        <v>0.98719999999999997</v>
      </c>
      <c r="E64">
        <v>1.0129999999999999</v>
      </c>
      <c r="F64">
        <v>2836944</v>
      </c>
      <c r="G64">
        <v>1.0129999999999999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0.14412416851440876</v>
      </c>
      <c r="Q64">
        <f t="shared" ref="Q64" si="296">F64*P64</f>
        <v>408872.19512194087</v>
      </c>
      <c r="R64">
        <f t="shared" ref="R64" si="297">R65+Q64</f>
        <v>-192684096.94603559</v>
      </c>
      <c r="S64">
        <f t="shared" ref="S64" si="298">R64/100000</f>
        <v>-1926.8409694603558</v>
      </c>
      <c r="T64">
        <f t="shared" ref="T64" si="299">S64/1000</f>
        <v>-1.9268409694603559</v>
      </c>
    </row>
    <row r="65" spans="1:20" x14ac:dyDescent="0.25">
      <c r="A65" s="5">
        <v>44528</v>
      </c>
      <c r="B65">
        <v>1.0158</v>
      </c>
      <c r="C65">
        <v>1.0739000000000001</v>
      </c>
      <c r="D65">
        <v>0.91190000000000004</v>
      </c>
      <c r="E65">
        <v>1.0042</v>
      </c>
      <c r="F65">
        <v>7018690</v>
      </c>
      <c r="G65">
        <v>1.0042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0.13950617283950517</v>
      </c>
      <c r="Q65">
        <f t="shared" ref="Q65" si="301">F65*P65</f>
        <v>979150.58024690649</v>
      </c>
      <c r="R65">
        <f t="shared" ref="R65" si="302">R66+Q65</f>
        <v>-193092969.14115754</v>
      </c>
      <c r="S65">
        <f t="shared" ref="S65" si="303">R65/100000</f>
        <v>-1930.9296914115753</v>
      </c>
      <c r="T65">
        <f t="shared" ref="T65" si="304">S65/1000</f>
        <v>-1.9309296914115752</v>
      </c>
    </row>
    <row r="66" spans="1:20" x14ac:dyDescent="0.25">
      <c r="A66" s="5">
        <v>44527</v>
      </c>
      <c r="B66">
        <v>0.94040000000000001</v>
      </c>
      <c r="C66">
        <v>1.0900000000000001</v>
      </c>
      <c r="D66">
        <v>0.92589999999999995</v>
      </c>
      <c r="E66">
        <v>1.0153000000000001</v>
      </c>
      <c r="F66">
        <v>5395792</v>
      </c>
      <c r="G66">
        <v>1.0153000000000001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8.9579524680074019E-2</v>
      </c>
      <c r="Q66">
        <f t="shared" ref="Q66" si="306">F66*P66</f>
        <v>483352.48263254593</v>
      </c>
      <c r="R66">
        <f t="shared" ref="R66" si="307">R67+Q66</f>
        <v>-194072119.72140443</v>
      </c>
      <c r="S66">
        <f t="shared" ref="S66" si="308">R66/100000</f>
        <v>-1940.7211972140444</v>
      </c>
      <c r="T66">
        <f t="shared" ref="T66" si="309">S66/1000</f>
        <v>-1.9407211972140443</v>
      </c>
    </row>
    <row r="67" spans="1:20" x14ac:dyDescent="0.25">
      <c r="A67" s="5">
        <v>44526</v>
      </c>
      <c r="B67">
        <v>1.0279</v>
      </c>
      <c r="C67">
        <v>1.0330999999999999</v>
      </c>
      <c r="D67">
        <v>0.8901</v>
      </c>
      <c r="E67">
        <v>0.93679999999999997</v>
      </c>
      <c r="F67">
        <v>4027113</v>
      </c>
      <c r="G67">
        <v>0.93679999999999997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-0.34685314685314694</v>
      </c>
      <c r="Q67">
        <f t="shared" ref="Q67" si="311">F67*P67</f>
        <v>-1396816.8167832172</v>
      </c>
      <c r="R67">
        <f t="shared" ref="R67" si="312">R68+Q67</f>
        <v>-194555472.20403698</v>
      </c>
      <c r="S67">
        <f t="shared" ref="S67" si="313">R67/100000</f>
        <v>-1945.5547220403698</v>
      </c>
      <c r="T67">
        <f t="shared" ref="T67" si="314">S67/1000</f>
        <v>-1.9455547220403697</v>
      </c>
    </row>
    <row r="68" spans="1:20" x14ac:dyDescent="0.25">
      <c r="A68" s="5">
        <v>44525</v>
      </c>
      <c r="B68">
        <v>0.93130000000000002</v>
      </c>
      <c r="C68">
        <v>1.1927000000000001</v>
      </c>
      <c r="D68">
        <v>0.92090000000000005</v>
      </c>
      <c r="E68">
        <v>1.0266999999999999</v>
      </c>
      <c r="F68">
        <v>8278232</v>
      </c>
      <c r="G68">
        <v>1.0266999999999999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-0.22148638704930185</v>
      </c>
      <c r="Q68">
        <f t="shared" ref="Q68" si="316">F68*P68</f>
        <v>-1833515.696835916</v>
      </c>
      <c r="R68">
        <f t="shared" ref="R68" si="317">R69+Q68</f>
        <v>-193158655.38725376</v>
      </c>
      <c r="S68">
        <f t="shared" ref="S68" si="318">R68/100000</f>
        <v>-1931.5865538725377</v>
      </c>
      <c r="T68">
        <f t="shared" ref="T68" si="319">S68/1000</f>
        <v>-1.9315865538725376</v>
      </c>
    </row>
    <row r="69" spans="1:20" x14ac:dyDescent="0.25">
      <c r="A69" s="5">
        <v>44524</v>
      </c>
      <c r="B69">
        <v>0.9788</v>
      </c>
      <c r="C69">
        <v>1.0196000000000001</v>
      </c>
      <c r="D69">
        <v>0.95840000000000003</v>
      </c>
      <c r="E69">
        <v>0.9698</v>
      </c>
      <c r="F69">
        <v>666052</v>
      </c>
      <c r="G69">
        <v>0.9698</v>
      </c>
      <c r="L69" t="s">
        <v>8</v>
      </c>
      <c r="M69" t="s">
        <v>7</v>
      </c>
      <c r="N69" t="s">
        <v>8</v>
      </c>
      <c r="P69">
        <f t="shared" ref="P69" si="320">IF(C69=D69,0,((E69-D69)-(C69-E69))/(C69-D69))</f>
        <v>-0.62745098039215819</v>
      </c>
      <c r="Q69">
        <f t="shared" ref="Q69" si="321">F69*P69</f>
        <v>-417914.98039215774</v>
      </c>
      <c r="R69">
        <f t="shared" ref="R69" si="322">R70+Q69</f>
        <v>-191325139.69041786</v>
      </c>
      <c r="S69">
        <f t="shared" ref="S69" si="323">R69/100000</f>
        <v>-1913.2513969041786</v>
      </c>
      <c r="T69">
        <f t="shared" ref="T69" si="324">S69/1000</f>
        <v>-1.9132513969041787</v>
      </c>
    </row>
    <row r="70" spans="1:20" x14ac:dyDescent="0.25">
      <c r="A70" s="5">
        <v>44523</v>
      </c>
      <c r="B70">
        <v>0.95899999999999996</v>
      </c>
      <c r="C70">
        <v>1.0088999999999999</v>
      </c>
      <c r="D70">
        <v>0.92</v>
      </c>
      <c r="E70">
        <v>0.97799999999999998</v>
      </c>
      <c r="F70">
        <v>3243250</v>
      </c>
      <c r="G70">
        <v>0.97799999999999998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0.30483689538807707</v>
      </c>
      <c r="Q70">
        <f t="shared" ref="Q70" si="326">F70*P70</f>
        <v>988662.26096738095</v>
      </c>
      <c r="R70">
        <f t="shared" ref="R70" si="327">R71+Q70</f>
        <v>-190907224.7100257</v>
      </c>
      <c r="S70">
        <f t="shared" ref="S70" si="328">R70/100000</f>
        <v>-1909.0722471002571</v>
      </c>
      <c r="T70">
        <f t="shared" ref="T70" si="329">S70/1000</f>
        <v>-1.909072247100257</v>
      </c>
    </row>
    <row r="71" spans="1:20" x14ac:dyDescent="0.25">
      <c r="A71" s="5">
        <v>44522</v>
      </c>
      <c r="B71">
        <v>0.99380000000000002</v>
      </c>
      <c r="C71">
        <v>1.0581</v>
      </c>
      <c r="D71">
        <v>0.94069999999999998</v>
      </c>
      <c r="E71">
        <v>0.95850000000000002</v>
      </c>
      <c r="F71">
        <v>3854369</v>
      </c>
      <c r="G71">
        <v>0.95850000000000002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-0.69676320272572356</v>
      </c>
      <c r="Q71">
        <f t="shared" ref="Q71" si="331">F71*P71</f>
        <v>-2685582.4889267446</v>
      </c>
      <c r="R71">
        <f t="shared" ref="R71" si="332">R72+Q71</f>
        <v>-191895886.97099307</v>
      </c>
      <c r="S71">
        <f t="shared" ref="S71" si="333">R71/100000</f>
        <v>-1918.9588697099307</v>
      </c>
      <c r="T71">
        <f t="shared" ref="T71" si="334">S71/1000</f>
        <v>-1.9189588697099307</v>
      </c>
    </row>
    <row r="72" spans="1:20" x14ac:dyDescent="0.25">
      <c r="A72" s="5">
        <v>44521</v>
      </c>
      <c r="B72">
        <v>1.0239</v>
      </c>
      <c r="C72">
        <v>1.266</v>
      </c>
      <c r="D72">
        <v>0.98850000000000005</v>
      </c>
      <c r="E72">
        <v>0.99380000000000002</v>
      </c>
      <c r="F72">
        <v>22460956</v>
      </c>
      <c r="G72">
        <v>0.99380000000000002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-0.96180180180180197</v>
      </c>
      <c r="Q72">
        <f t="shared" ref="Q72" si="336">F72*P72</f>
        <v>-21602987.950990994</v>
      </c>
      <c r="R72">
        <f t="shared" ref="R72" si="337">R73+Q72</f>
        <v>-189210304.48206633</v>
      </c>
      <c r="S72">
        <f t="shared" ref="S72" si="338">R72/100000</f>
        <v>-1892.1030448206634</v>
      </c>
      <c r="T72">
        <f t="shared" ref="T72" si="339">S72/1000</f>
        <v>-1.8921030448206635</v>
      </c>
    </row>
    <row r="73" spans="1:20" x14ac:dyDescent="0.25">
      <c r="A73" s="5">
        <v>44520</v>
      </c>
      <c r="B73">
        <v>0.82350000000000001</v>
      </c>
      <c r="C73">
        <v>1.26</v>
      </c>
      <c r="D73">
        <v>0.82020000000000004</v>
      </c>
      <c r="E73">
        <v>1.0230999999999999</v>
      </c>
      <c r="F73">
        <v>24367638</v>
      </c>
      <c r="G73">
        <v>1.0230999999999999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-7.7307867212369832E-2</v>
      </c>
      <c r="Q73">
        <f t="shared" ref="Q73" si="341">F73*P73</f>
        <v>-1883810.1227830972</v>
      </c>
      <c r="R73">
        <f t="shared" ref="R73" si="342">R74+Q73</f>
        <v>-167607316.53107533</v>
      </c>
      <c r="S73">
        <f t="shared" ref="S73" si="343">R73/100000</f>
        <v>-1676.0731653107532</v>
      </c>
      <c r="T73">
        <f t="shared" ref="T73" si="344">S73/1000</f>
        <v>-1.6760731653107532</v>
      </c>
    </row>
    <row r="74" spans="1:20" x14ac:dyDescent="0.25">
      <c r="A74" s="5">
        <v>44519</v>
      </c>
      <c r="B74">
        <v>0.7681</v>
      </c>
      <c r="C74">
        <v>0.83389999999999997</v>
      </c>
      <c r="D74">
        <v>0.7591</v>
      </c>
      <c r="E74">
        <v>0.8236</v>
      </c>
      <c r="F74">
        <v>1885191</v>
      </c>
      <c r="G74">
        <v>0.8236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0.72459893048128399</v>
      </c>
      <c r="Q74">
        <f t="shared" ref="Q74" si="346">F74*P74</f>
        <v>1366007.3823529421</v>
      </c>
      <c r="R74">
        <f t="shared" ref="R74" si="347">R75+Q74</f>
        <v>-165723506.40829223</v>
      </c>
      <c r="S74">
        <f t="shared" ref="S74" si="348">R74/100000</f>
        <v>-1657.2350640829222</v>
      </c>
      <c r="T74">
        <f t="shared" ref="T74" si="349">S74/1000</f>
        <v>-1.6572350640829223</v>
      </c>
    </row>
    <row r="75" spans="1:20" x14ac:dyDescent="0.25">
      <c r="A75" s="5">
        <v>44518</v>
      </c>
      <c r="B75">
        <v>0.87739999999999996</v>
      </c>
      <c r="C75">
        <v>0.88570000000000004</v>
      </c>
      <c r="D75">
        <v>0.75109999999999999</v>
      </c>
      <c r="E75">
        <v>0.76800000000000002</v>
      </c>
      <c r="F75">
        <v>2850356</v>
      </c>
      <c r="G75">
        <v>0.76800000000000002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-0.74888558692421958</v>
      </c>
      <c r="Q75">
        <f t="shared" ref="Q75" si="351">F75*P75</f>
        <v>-2134590.526002971</v>
      </c>
      <c r="R75">
        <f t="shared" ref="R75" si="352">R76+Q75</f>
        <v>-167089513.79064518</v>
      </c>
      <c r="S75">
        <f t="shared" ref="S75" si="353">R75/100000</f>
        <v>-1670.8951379064517</v>
      </c>
      <c r="T75">
        <f t="shared" ref="T75" si="354">S75/1000</f>
        <v>-1.6708951379064518</v>
      </c>
    </row>
    <row r="76" spans="1:20" x14ac:dyDescent="0.25">
      <c r="A76" s="5">
        <v>44517</v>
      </c>
      <c r="B76">
        <v>0.86599999999999999</v>
      </c>
      <c r="C76">
        <v>0.9</v>
      </c>
      <c r="D76">
        <v>0.83560000000000001</v>
      </c>
      <c r="E76">
        <v>0.87719999999999998</v>
      </c>
      <c r="F76">
        <v>2679809</v>
      </c>
      <c r="G76">
        <v>0.87719999999999998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0.29192546583850815</v>
      </c>
      <c r="Q76">
        <f t="shared" ref="Q76" si="356">F76*P76</f>
        <v>782304.49068322673</v>
      </c>
      <c r="R76">
        <f t="shared" ref="R76" si="357">R77+Q76</f>
        <v>-164954923.26464221</v>
      </c>
      <c r="S76">
        <f t="shared" ref="S76" si="358">R76/100000</f>
        <v>-1649.5492326464221</v>
      </c>
      <c r="T76">
        <f t="shared" ref="T76" si="359">S76/1000</f>
        <v>-1.6495492326464221</v>
      </c>
    </row>
    <row r="77" spans="1:20" x14ac:dyDescent="0.25">
      <c r="A77" s="5">
        <v>44516</v>
      </c>
      <c r="B77">
        <v>0.96740000000000004</v>
      </c>
      <c r="C77">
        <v>0.96750000000000003</v>
      </c>
      <c r="D77">
        <v>0.82320000000000004</v>
      </c>
      <c r="E77">
        <v>0.86680000000000001</v>
      </c>
      <c r="F77">
        <v>3208678</v>
      </c>
      <c r="G77">
        <v>0.86680000000000001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-0.39570339570339602</v>
      </c>
      <c r="Q77">
        <f t="shared" ref="Q77" si="361">F77*P77</f>
        <v>-1269684.7803187813</v>
      </c>
      <c r="R77">
        <f t="shared" ref="R77" si="362">R78+Q77</f>
        <v>-165737227.75532544</v>
      </c>
      <c r="S77">
        <f t="shared" ref="S77" si="363">R77/100000</f>
        <v>-1657.3722775532544</v>
      </c>
      <c r="T77">
        <f t="shared" ref="T77" si="364">S77/1000</f>
        <v>-1.6573722775532544</v>
      </c>
    </row>
    <row r="78" spans="1:20" x14ac:dyDescent="0.25">
      <c r="A78" s="5">
        <v>44515</v>
      </c>
      <c r="B78">
        <v>0.9839</v>
      </c>
      <c r="C78">
        <v>1.0023</v>
      </c>
      <c r="D78">
        <v>0.95330000000000004</v>
      </c>
      <c r="E78">
        <v>0.96630000000000005</v>
      </c>
      <c r="F78">
        <v>3086299</v>
      </c>
      <c r="G78">
        <v>0.96630000000000005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-0.46938775510203962</v>
      </c>
      <c r="Q78">
        <f t="shared" ref="Q78" si="366">F78*P78</f>
        <v>-1448670.9591836699</v>
      </c>
      <c r="R78">
        <f t="shared" ref="R78" si="367">R79+Q78</f>
        <v>-164467542.97500667</v>
      </c>
      <c r="S78">
        <f t="shared" ref="S78" si="368">R78/100000</f>
        <v>-1644.6754297500668</v>
      </c>
      <c r="T78">
        <f t="shared" ref="T78" si="369">S78/1000</f>
        <v>-1.6446754297500668</v>
      </c>
    </row>
    <row r="79" spans="1:20" x14ac:dyDescent="0.25">
      <c r="A79" s="5">
        <v>44514</v>
      </c>
      <c r="B79">
        <v>0.98609999999999998</v>
      </c>
      <c r="C79">
        <v>0.99180000000000001</v>
      </c>
      <c r="D79">
        <v>0.96619999999999995</v>
      </c>
      <c r="E79">
        <v>0.98309999999999997</v>
      </c>
      <c r="F79">
        <v>1479644</v>
      </c>
      <c r="G79">
        <v>0.98309999999999997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0.32031249999999856</v>
      </c>
      <c r="Q79">
        <f t="shared" ref="Q79" si="371">F79*P79</f>
        <v>473948.46874999785</v>
      </c>
      <c r="R79">
        <f t="shared" ref="R79" si="372">R80+Q79</f>
        <v>-163018872.01582301</v>
      </c>
      <c r="S79">
        <f t="shared" ref="S79" si="373">R79/100000</f>
        <v>-1630.1887201582301</v>
      </c>
      <c r="T79">
        <f t="shared" ref="T79" si="374">S79/1000</f>
        <v>-1.6301887201582301</v>
      </c>
    </row>
    <row r="80" spans="1:20" x14ac:dyDescent="0.25">
      <c r="A80" s="5">
        <v>44513</v>
      </c>
      <c r="B80">
        <v>1.0159</v>
      </c>
      <c r="C80">
        <v>1.0229999999999999</v>
      </c>
      <c r="D80">
        <v>0.98099999999999998</v>
      </c>
      <c r="E80">
        <v>0.9859</v>
      </c>
      <c r="F80">
        <v>1470311</v>
      </c>
      <c r="G80">
        <v>0.9859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-0.7666666666666655</v>
      </c>
      <c r="Q80">
        <f t="shared" ref="Q80" si="376">F80*P80</f>
        <v>-1127238.4333333317</v>
      </c>
      <c r="R80">
        <f t="shared" ref="R80" si="377">R81+Q80</f>
        <v>-163492820.48457301</v>
      </c>
      <c r="S80">
        <f t="shared" ref="S80" si="378">R80/100000</f>
        <v>-1634.9282048457301</v>
      </c>
      <c r="T80">
        <f t="shared" ref="T80" si="379">S80/1000</f>
        <v>-1.6349282048457301</v>
      </c>
    </row>
    <row r="81" spans="1:20" x14ac:dyDescent="0.25">
      <c r="A81" s="5">
        <v>44512</v>
      </c>
      <c r="B81">
        <v>0.99870000000000003</v>
      </c>
      <c r="C81">
        <v>1.0378000000000001</v>
      </c>
      <c r="D81">
        <v>0.94</v>
      </c>
      <c r="E81">
        <v>1.0137</v>
      </c>
      <c r="F81">
        <v>3053300</v>
      </c>
      <c r="G81">
        <v>1.0137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0.50715746421267927</v>
      </c>
      <c r="Q81">
        <f t="shared" ref="Q81" si="381">F81*P81</f>
        <v>1548503.8854805736</v>
      </c>
      <c r="R81">
        <f t="shared" ref="R81" si="382">R82+Q81</f>
        <v>-162365582.05123967</v>
      </c>
      <c r="S81">
        <f t="shared" ref="S81" si="383">R81/100000</f>
        <v>-1623.6558205123968</v>
      </c>
      <c r="T81">
        <f t="shared" ref="T81" si="384">S81/1000</f>
        <v>-1.6236558205123968</v>
      </c>
    </row>
    <row r="82" spans="1:20" x14ac:dyDescent="0.25">
      <c r="A82" s="5">
        <v>44511</v>
      </c>
      <c r="B82">
        <v>0.97050000000000003</v>
      </c>
      <c r="C82">
        <v>1.0289999999999999</v>
      </c>
      <c r="D82">
        <v>0.94820000000000004</v>
      </c>
      <c r="E82">
        <v>0.99880000000000002</v>
      </c>
      <c r="F82">
        <v>2448073</v>
      </c>
      <c r="G82">
        <v>0.99880000000000002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0.25247524752475392</v>
      </c>
      <c r="Q82">
        <f t="shared" ref="Q82" si="386">F82*P82</f>
        <v>618077.83663366688</v>
      </c>
      <c r="R82">
        <f t="shared" ref="R82" si="387">R83+Q82</f>
        <v>-163914085.93672025</v>
      </c>
      <c r="S82">
        <f t="shared" ref="S82" si="388">R82/100000</f>
        <v>-1639.1408593672024</v>
      </c>
      <c r="T82">
        <f t="shared" ref="T82" si="389">S82/1000</f>
        <v>-1.6391408593672023</v>
      </c>
    </row>
    <row r="83" spans="1:20" x14ac:dyDescent="0.25">
      <c r="A83" s="5">
        <v>44510</v>
      </c>
      <c r="B83">
        <v>1.0702</v>
      </c>
      <c r="C83">
        <v>1.0899000000000001</v>
      </c>
      <c r="D83">
        <v>0.93</v>
      </c>
      <c r="E83">
        <v>0.97160000000000002</v>
      </c>
      <c r="F83">
        <v>4085614</v>
      </c>
      <c r="G83">
        <v>0.97160000000000002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-0.47967479674796798</v>
      </c>
      <c r="Q83">
        <f t="shared" ref="Q83" si="391">F83*P83</f>
        <v>-1959766.0650406524</v>
      </c>
      <c r="R83">
        <f t="shared" ref="R83" si="392">R84+Q83</f>
        <v>-164532163.7733539</v>
      </c>
      <c r="S83">
        <f t="shared" ref="S83" si="393">R83/100000</f>
        <v>-1645.3216377335391</v>
      </c>
      <c r="T83">
        <f t="shared" ref="T83" si="394">S83/1000</f>
        <v>-1.6453216377335391</v>
      </c>
    </row>
    <row r="84" spans="1:20" x14ac:dyDescent="0.25">
      <c r="A84" s="5">
        <v>44509</v>
      </c>
      <c r="B84">
        <v>1.038</v>
      </c>
      <c r="C84">
        <v>1.1045</v>
      </c>
      <c r="D84">
        <v>1.0322</v>
      </c>
      <c r="E84">
        <v>1.0713999999999999</v>
      </c>
      <c r="F84">
        <v>3814407</v>
      </c>
      <c r="G84">
        <v>1.0713999999999999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8.4370677731670396E-2</v>
      </c>
      <c r="Q84">
        <f t="shared" ref="Q84" si="396">F84*P84</f>
        <v>321824.10373442766</v>
      </c>
      <c r="R84">
        <f t="shared" ref="R84" si="397">R85+Q84</f>
        <v>-162572397.70831326</v>
      </c>
      <c r="S84">
        <f t="shared" ref="S84" si="398">R84/100000</f>
        <v>-1625.7239770831325</v>
      </c>
      <c r="T84">
        <f t="shared" ref="T84" si="399">S84/1000</f>
        <v>-1.6257239770831324</v>
      </c>
    </row>
    <row r="85" spans="1:20" x14ac:dyDescent="0.25">
      <c r="A85" s="5">
        <v>44508</v>
      </c>
      <c r="B85">
        <v>1.0259</v>
      </c>
      <c r="C85">
        <v>1.05</v>
      </c>
      <c r="D85">
        <v>1.0075000000000001</v>
      </c>
      <c r="E85">
        <v>1.038</v>
      </c>
      <c r="F85">
        <v>2709427</v>
      </c>
      <c r="G85">
        <v>1.038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0.43529411764705811</v>
      </c>
      <c r="Q85">
        <f t="shared" ref="Q85" si="401">F85*P85</f>
        <v>1179397.6352941156</v>
      </c>
      <c r="R85">
        <f t="shared" ref="R85" si="402">R86+Q85</f>
        <v>-162894221.81204769</v>
      </c>
      <c r="S85">
        <f t="shared" ref="S85" si="403">R85/100000</f>
        <v>-1628.9422181204768</v>
      </c>
      <c r="T85">
        <f t="shared" ref="T85" si="404">S85/1000</f>
        <v>-1.6289422181204769</v>
      </c>
    </row>
    <row r="86" spans="1:20" x14ac:dyDescent="0.25">
      <c r="A86" s="5">
        <v>44507</v>
      </c>
      <c r="B86">
        <v>1.0350999999999999</v>
      </c>
      <c r="C86">
        <v>1.0583</v>
      </c>
      <c r="D86">
        <v>1.02</v>
      </c>
      <c r="E86">
        <v>1.0258</v>
      </c>
      <c r="F86">
        <v>2223930</v>
      </c>
      <c r="G86">
        <v>1.0258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-0.69712793733681322</v>
      </c>
      <c r="Q86">
        <f t="shared" ref="Q86" si="406">F86*P86</f>
        <v>-1550363.733681459</v>
      </c>
      <c r="R86">
        <f t="shared" ref="R86" si="407">R87+Q86</f>
        <v>-164073619.4473418</v>
      </c>
      <c r="S86">
        <f t="shared" ref="S86" si="408">R86/100000</f>
        <v>-1640.736194473418</v>
      </c>
      <c r="T86">
        <f t="shared" ref="T86" si="409">S86/1000</f>
        <v>-1.640736194473418</v>
      </c>
    </row>
    <row r="87" spans="1:20" x14ac:dyDescent="0.25">
      <c r="A87" s="5">
        <v>44506</v>
      </c>
      <c r="B87">
        <v>1.0545</v>
      </c>
      <c r="C87">
        <v>1.1267</v>
      </c>
      <c r="D87">
        <v>1.0001</v>
      </c>
      <c r="E87">
        <v>1.0344</v>
      </c>
      <c r="F87">
        <v>4565403</v>
      </c>
      <c r="G87">
        <v>1.0344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-0.45813586097946313</v>
      </c>
      <c r="Q87">
        <f t="shared" ref="Q87" si="411">F87*P87</f>
        <v>-2091574.8341232238</v>
      </c>
      <c r="R87">
        <f t="shared" ref="R87" si="412">R88+Q87</f>
        <v>-162523255.71366033</v>
      </c>
      <c r="S87">
        <f t="shared" ref="S87" si="413">R87/100000</f>
        <v>-1625.2325571366032</v>
      </c>
      <c r="T87">
        <f t="shared" ref="T87" si="414">S87/1000</f>
        <v>-1.6252325571366031</v>
      </c>
    </row>
    <row r="88" spans="1:20" x14ac:dyDescent="0.25">
      <c r="A88" s="5">
        <v>44505</v>
      </c>
      <c r="B88">
        <v>1.0126999999999999</v>
      </c>
      <c r="C88">
        <v>1.1299999999999999</v>
      </c>
      <c r="D88">
        <v>0.99909999999999999</v>
      </c>
      <c r="E88">
        <v>1.0529999999999999</v>
      </c>
      <c r="F88">
        <v>8604572</v>
      </c>
      <c r="G88">
        <v>1.0529999999999999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-0.17647058823529432</v>
      </c>
      <c r="Q88">
        <f t="shared" ref="Q88" si="416">F88*P88</f>
        <v>-1518453.8823529428</v>
      </c>
      <c r="R88">
        <f t="shared" ref="R88" si="417">R89+Q88</f>
        <v>-160431680.87953711</v>
      </c>
      <c r="S88">
        <f t="shared" ref="S88" si="418">R88/100000</f>
        <v>-1604.3168087953711</v>
      </c>
      <c r="T88">
        <f t="shared" ref="T88" si="419">S88/1000</f>
        <v>-1.6043168087953712</v>
      </c>
    </row>
    <row r="89" spans="1:20" x14ac:dyDescent="0.25">
      <c r="A89" s="5">
        <v>44504</v>
      </c>
      <c r="B89">
        <v>1.0062</v>
      </c>
      <c r="C89">
        <v>1.0425</v>
      </c>
      <c r="D89">
        <v>0.99219999999999997</v>
      </c>
      <c r="E89">
        <v>1.0113000000000001</v>
      </c>
      <c r="F89">
        <v>3211926</v>
      </c>
      <c r="G89">
        <v>1.0113000000000001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-0.24055666003975695</v>
      </c>
      <c r="Q89">
        <f t="shared" ref="Q89" si="421">F89*P89</f>
        <v>-772650.1908548564</v>
      </c>
      <c r="R89">
        <f t="shared" ref="R89" si="422">R90+Q89</f>
        <v>-158913226.99718416</v>
      </c>
      <c r="S89">
        <f t="shared" ref="S89" si="423">R89/100000</f>
        <v>-1589.1322699718417</v>
      </c>
      <c r="T89">
        <f t="shared" ref="T89" si="424">S89/1000</f>
        <v>-1.5891322699718418</v>
      </c>
    </row>
    <row r="90" spans="1:20" x14ac:dyDescent="0.25">
      <c r="A90" s="5">
        <v>44503</v>
      </c>
      <c r="B90">
        <v>1.0694999999999999</v>
      </c>
      <c r="C90">
        <v>1.08</v>
      </c>
      <c r="D90">
        <v>0.97199999999999998</v>
      </c>
      <c r="E90">
        <v>1.0068999999999999</v>
      </c>
      <c r="F90">
        <v>4851867</v>
      </c>
      <c r="G90">
        <v>1.0068999999999999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-0.35370370370370557</v>
      </c>
      <c r="Q90">
        <f t="shared" ref="Q90" si="426">F90*P90</f>
        <v>-1716123.3277777869</v>
      </c>
      <c r="R90">
        <f t="shared" ref="R90" si="427">R91+Q90</f>
        <v>-158140576.80632931</v>
      </c>
      <c r="S90">
        <f t="shared" ref="S90" si="428">R90/100000</f>
        <v>-1581.4057680632932</v>
      </c>
      <c r="T90">
        <f t="shared" ref="T90" si="429">S90/1000</f>
        <v>-1.5814057680632931</v>
      </c>
    </row>
    <row r="91" spans="1:20" x14ac:dyDescent="0.25">
      <c r="A91" s="5">
        <v>44502</v>
      </c>
      <c r="B91">
        <v>0.97689999999999999</v>
      </c>
      <c r="C91">
        <v>1.089</v>
      </c>
      <c r="D91">
        <v>0.96130000000000004</v>
      </c>
      <c r="E91">
        <v>1.0694999999999999</v>
      </c>
      <c r="F91">
        <v>5511923</v>
      </c>
      <c r="G91">
        <v>1.0694999999999999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0.69459671104150222</v>
      </c>
      <c r="Q91">
        <f t="shared" ref="Q91" si="431">F91*P91</f>
        <v>3828563.5873140101</v>
      </c>
      <c r="R91">
        <f t="shared" ref="R91" si="432">R92+Q91</f>
        <v>-156424453.47855154</v>
      </c>
      <c r="S91">
        <f t="shared" ref="S91" si="433">R91/100000</f>
        <v>-1564.2445347855153</v>
      </c>
      <c r="T91">
        <f t="shared" ref="T91" si="434">S91/1000</f>
        <v>-1.5642445347855152</v>
      </c>
    </row>
    <row r="92" spans="1:20" x14ac:dyDescent="0.25">
      <c r="A92" s="5">
        <v>44501</v>
      </c>
      <c r="B92">
        <v>0.98619999999999997</v>
      </c>
      <c r="C92">
        <v>1.0143</v>
      </c>
      <c r="D92">
        <v>0.95940000000000003</v>
      </c>
      <c r="E92">
        <v>0.97629999999999995</v>
      </c>
      <c r="F92">
        <v>2688359</v>
      </c>
      <c r="G92">
        <v>0.97629999999999995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-0.38433515482696062</v>
      </c>
      <c r="Q92">
        <f t="shared" ref="Q92" si="436">F92*P92</f>
        <v>-1033230.872495453</v>
      </c>
      <c r="R92">
        <f t="shared" ref="R92" si="437">R93+Q92</f>
        <v>-160253017.06586555</v>
      </c>
      <c r="S92">
        <f t="shared" ref="S92" si="438">R92/100000</f>
        <v>-1602.5301706586554</v>
      </c>
      <c r="T92">
        <f t="shared" ref="T92" si="439">S92/1000</f>
        <v>-1.6025301706586554</v>
      </c>
    </row>
    <row r="93" spans="1:20" x14ac:dyDescent="0.25">
      <c r="A93" s="5">
        <v>44500</v>
      </c>
      <c r="B93">
        <v>0.95209999999999995</v>
      </c>
      <c r="C93">
        <v>1.0162</v>
      </c>
      <c r="D93">
        <v>0.94</v>
      </c>
      <c r="E93">
        <v>0.98429999999999995</v>
      </c>
      <c r="F93">
        <v>4444443</v>
      </c>
      <c r="G93">
        <v>0.98429999999999995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0.16272965879265039</v>
      </c>
      <c r="Q93">
        <f t="shared" ref="Q93" si="441">F93*P93</f>
        <v>723242.69291338348</v>
      </c>
      <c r="R93">
        <f t="shared" ref="R93" si="442">R94+Q93</f>
        <v>-159219786.1933701</v>
      </c>
      <c r="S93">
        <f t="shared" ref="S93" si="443">R93/100000</f>
        <v>-1592.197861933701</v>
      </c>
      <c r="T93">
        <f t="shared" ref="T93" si="444">S93/1000</f>
        <v>-1.5921978619337009</v>
      </c>
    </row>
    <row r="94" spans="1:20" x14ac:dyDescent="0.25">
      <c r="A94" s="5">
        <v>44499</v>
      </c>
      <c r="B94">
        <v>0.96060000000000001</v>
      </c>
      <c r="C94">
        <v>0.9929</v>
      </c>
      <c r="D94">
        <v>0.93610000000000004</v>
      </c>
      <c r="E94">
        <v>0.95209999999999995</v>
      </c>
      <c r="F94">
        <v>3258441</v>
      </c>
      <c r="G94">
        <v>0.95209999999999995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-0.43661971830986218</v>
      </c>
      <c r="Q94">
        <f t="shared" ref="Q94" si="446">F94*P94</f>
        <v>-1422699.5915493057</v>
      </c>
      <c r="R94">
        <f t="shared" ref="R94" si="447">R95+Q94</f>
        <v>-159943028.88628349</v>
      </c>
      <c r="S94">
        <f t="shared" ref="S94" si="448">R94/100000</f>
        <v>-1599.4302888628349</v>
      </c>
      <c r="T94">
        <f t="shared" ref="T94" si="449">S94/1000</f>
        <v>-1.5994302888628349</v>
      </c>
    </row>
    <row r="95" spans="1:20" x14ac:dyDescent="0.25">
      <c r="A95" s="5">
        <v>44498</v>
      </c>
      <c r="B95">
        <v>0.94089999999999996</v>
      </c>
      <c r="C95">
        <v>0.97109999999999996</v>
      </c>
      <c r="D95">
        <v>0.93500000000000005</v>
      </c>
      <c r="E95">
        <v>0.95950000000000002</v>
      </c>
      <c r="F95">
        <v>2541953</v>
      </c>
      <c r="G95">
        <v>0.95950000000000002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0.35734072022160818</v>
      </c>
      <c r="Q95">
        <f t="shared" ref="Q95" si="451">F95*P95</f>
        <v>908343.31578947755</v>
      </c>
      <c r="R95">
        <f t="shared" ref="R95" si="452">R96+Q95</f>
        <v>-158520329.29473418</v>
      </c>
      <c r="S95">
        <f t="shared" ref="S95" si="453">R95/100000</f>
        <v>-1585.2032929473419</v>
      </c>
      <c r="T95">
        <f t="shared" ref="T95" si="454">S95/1000</f>
        <v>-1.5852032929473419</v>
      </c>
    </row>
    <row r="96" spans="1:20" x14ac:dyDescent="0.25">
      <c r="A96" s="5">
        <v>44497</v>
      </c>
      <c r="B96">
        <v>0.92230000000000001</v>
      </c>
      <c r="C96">
        <v>0.97260000000000002</v>
      </c>
      <c r="D96">
        <v>0.91</v>
      </c>
      <c r="E96">
        <v>0.94089999999999996</v>
      </c>
      <c r="F96">
        <v>3746400</v>
      </c>
      <c r="G96">
        <v>0.94089999999999996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-1.2779552715657094E-2</v>
      </c>
      <c r="Q96">
        <f t="shared" ref="Q96" si="456">F96*P96</f>
        <v>-47877.316293937736</v>
      </c>
      <c r="R96">
        <f t="shared" ref="R96" si="457">R97+Q96</f>
        <v>-159428672.61052367</v>
      </c>
      <c r="S96">
        <f t="shared" ref="S96" si="458">R96/100000</f>
        <v>-1594.2867261052368</v>
      </c>
      <c r="T96">
        <f t="shared" ref="T96" si="459">S96/1000</f>
        <v>-1.5942867261052367</v>
      </c>
    </row>
    <row r="97" spans="1:20" x14ac:dyDescent="0.25">
      <c r="A97" s="5">
        <v>44496</v>
      </c>
      <c r="B97">
        <v>1.0224</v>
      </c>
      <c r="C97">
        <v>1.06</v>
      </c>
      <c r="D97">
        <v>0.92</v>
      </c>
      <c r="E97">
        <v>0.92020000000000002</v>
      </c>
      <c r="F97">
        <v>5959844</v>
      </c>
      <c r="G97">
        <v>0.92020000000000002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-0.99714285714285744</v>
      </c>
      <c r="Q97">
        <f t="shared" ref="Q97" si="461">F97*P97</f>
        <v>-5942815.8742857156</v>
      </c>
      <c r="R97">
        <f t="shared" ref="R97" si="462">R98+Q97</f>
        <v>-159380795.29422975</v>
      </c>
      <c r="S97">
        <f t="shared" ref="S97" si="463">R97/100000</f>
        <v>-1593.8079529422976</v>
      </c>
      <c r="T97">
        <f t="shared" ref="T97" si="464">S97/1000</f>
        <v>-1.5938079529422975</v>
      </c>
    </row>
    <row r="98" spans="1:20" x14ac:dyDescent="0.25">
      <c r="A98" s="5">
        <v>44495</v>
      </c>
      <c r="B98">
        <v>1.0059</v>
      </c>
      <c r="C98">
        <v>1.0999000000000001</v>
      </c>
      <c r="D98">
        <v>1.0048999999999999</v>
      </c>
      <c r="E98">
        <v>1.0202</v>
      </c>
      <c r="F98">
        <v>6377679</v>
      </c>
      <c r="G98">
        <v>1.0202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-0.677894736842104</v>
      </c>
      <c r="Q98">
        <f t="shared" ref="Q98" si="466">F98*P98</f>
        <v>-4323395.0273684133</v>
      </c>
      <c r="R98">
        <f t="shared" ref="R98" si="467">R99+Q98</f>
        <v>-153437979.41994402</v>
      </c>
      <c r="S98">
        <f t="shared" ref="S98" si="468">R98/100000</f>
        <v>-1534.3797941994401</v>
      </c>
      <c r="T98">
        <f t="shared" ref="T98" si="469">S98/1000</f>
        <v>-1.5343797941994402</v>
      </c>
    </row>
    <row r="99" spans="1:20" x14ac:dyDescent="0.25">
      <c r="A99" s="5">
        <v>44494</v>
      </c>
      <c r="B99">
        <v>1.0004</v>
      </c>
      <c r="C99">
        <v>1.02</v>
      </c>
      <c r="D99">
        <v>0.98299999999999998</v>
      </c>
      <c r="E99">
        <v>1.0059</v>
      </c>
      <c r="F99">
        <v>2825628</v>
      </c>
      <c r="G99">
        <v>1.0059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0.23783783783783843</v>
      </c>
      <c r="Q99">
        <f t="shared" ref="Q99" si="471">F99*P99</f>
        <v>672041.25405405578</v>
      </c>
      <c r="R99">
        <f t="shared" ref="R99" si="472">R100+Q99</f>
        <v>-149114584.39257559</v>
      </c>
      <c r="S99">
        <f t="shared" ref="S99" si="473">R99/100000</f>
        <v>-1491.145843925756</v>
      </c>
      <c r="T99">
        <f t="shared" ref="T99" si="474">S99/1000</f>
        <v>-1.4911458439257561</v>
      </c>
    </row>
    <row r="100" spans="1:20" x14ac:dyDescent="0.25">
      <c r="A100" s="5">
        <v>44493</v>
      </c>
      <c r="B100">
        <v>1.0347999999999999</v>
      </c>
      <c r="C100">
        <v>1.0435000000000001</v>
      </c>
      <c r="D100">
        <v>0.96399999999999997</v>
      </c>
      <c r="E100">
        <v>1.0009999999999999</v>
      </c>
      <c r="F100">
        <v>2399736</v>
      </c>
      <c r="G100">
        <v>1.0009999999999999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-6.9182389937110358E-2</v>
      </c>
      <c r="Q100">
        <f t="shared" ref="Q100" si="476">F100*P100</f>
        <v>-166019.47169812146</v>
      </c>
      <c r="R100">
        <f t="shared" ref="R100" si="477">R101+Q100</f>
        <v>-149786625.64662966</v>
      </c>
      <c r="S100">
        <f t="shared" ref="S100" si="478">R100/100000</f>
        <v>-1497.8662564662966</v>
      </c>
      <c r="T100">
        <f t="shared" ref="T100" si="479">S100/1000</f>
        <v>-1.4978662564662966</v>
      </c>
    </row>
    <row r="101" spans="1:20" x14ac:dyDescent="0.25">
      <c r="A101" s="5">
        <v>44492</v>
      </c>
      <c r="B101">
        <v>0.96</v>
      </c>
      <c r="C101">
        <v>1.08</v>
      </c>
      <c r="D101">
        <v>0.95320000000000005</v>
      </c>
      <c r="E101">
        <v>1.0365</v>
      </c>
      <c r="F101">
        <v>8020254</v>
      </c>
      <c r="G101">
        <v>1.0365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0.31388012618296396</v>
      </c>
      <c r="Q101">
        <f t="shared" ref="Q101" si="481">F101*P101</f>
        <v>2517398.3375394214</v>
      </c>
      <c r="R101">
        <f t="shared" ref="R101" si="482">R102+Q101</f>
        <v>-149620606.17493153</v>
      </c>
      <c r="S101">
        <f t="shared" ref="S101" si="483">R101/100000</f>
        <v>-1496.2060617493153</v>
      </c>
      <c r="T101">
        <f t="shared" ref="T101" si="484">S101/1000</f>
        <v>-1.4962060617493154</v>
      </c>
    </row>
    <row r="102" spans="1:20" x14ac:dyDescent="0.25">
      <c r="A102" s="5">
        <v>44491</v>
      </c>
      <c r="B102">
        <v>0.97940000000000005</v>
      </c>
      <c r="C102">
        <v>0.99099999999999999</v>
      </c>
      <c r="D102">
        <v>0.94310000000000005</v>
      </c>
      <c r="E102">
        <v>0.9587</v>
      </c>
      <c r="F102">
        <v>2115050</v>
      </c>
      <c r="G102">
        <v>0.9587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-0.34864300626304945</v>
      </c>
      <c r="Q102">
        <f t="shared" ref="Q102" si="486">F102*P102</f>
        <v>-737397.39039666275</v>
      </c>
      <c r="R102">
        <f t="shared" ref="R102" si="487">R103+Q102</f>
        <v>-152138004.51247096</v>
      </c>
      <c r="S102">
        <f t="shared" ref="S102" si="488">R102/100000</f>
        <v>-1521.3800451247096</v>
      </c>
      <c r="T102">
        <f t="shared" ref="T102" si="489">S102/1000</f>
        <v>-1.5213800451247095</v>
      </c>
    </row>
    <row r="103" spans="1:20" x14ac:dyDescent="0.25">
      <c r="A103" s="5">
        <v>44490</v>
      </c>
      <c r="B103">
        <v>1.0149999999999999</v>
      </c>
      <c r="C103">
        <v>1.0229999999999999</v>
      </c>
      <c r="D103">
        <v>0.95299999999999996</v>
      </c>
      <c r="E103">
        <v>0.97550000000000003</v>
      </c>
      <c r="F103">
        <v>3375151</v>
      </c>
      <c r="G103">
        <v>0.97550000000000003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-0.35714285714285454</v>
      </c>
      <c r="Q103">
        <f t="shared" ref="Q103" si="491">F103*P103</f>
        <v>-1205411.0714285627</v>
      </c>
      <c r="R103">
        <f t="shared" ref="R103" si="492">R104+Q103</f>
        <v>-151400607.12207431</v>
      </c>
      <c r="S103">
        <f t="shared" ref="S103" si="493">R103/100000</f>
        <v>-1514.006071220743</v>
      </c>
      <c r="T103">
        <f t="shared" ref="T103" si="494">S103/1000</f>
        <v>-1.514006071220743</v>
      </c>
    </row>
    <row r="104" spans="1:20" x14ac:dyDescent="0.25">
      <c r="A104" s="5">
        <v>44489</v>
      </c>
      <c r="B104">
        <v>0.97619999999999996</v>
      </c>
      <c r="C104">
        <v>1.04</v>
      </c>
      <c r="D104">
        <v>0.9677</v>
      </c>
      <c r="E104">
        <v>1.0125</v>
      </c>
      <c r="F104">
        <v>3213857</v>
      </c>
      <c r="G104">
        <v>1.0125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0.23928077455048222</v>
      </c>
      <c r="Q104">
        <f t="shared" ref="Q104" si="496">F104*P104</f>
        <v>769014.19225448917</v>
      </c>
      <c r="R104">
        <f t="shared" ref="R104" si="497">R105+Q104</f>
        <v>-150195196.05064574</v>
      </c>
      <c r="S104">
        <f t="shared" ref="S104" si="498">R104/100000</f>
        <v>-1501.9519605064575</v>
      </c>
      <c r="T104">
        <f t="shared" ref="T104" si="499">S104/1000</f>
        <v>-1.5019519605064575</v>
      </c>
    </row>
    <row r="105" spans="1:20" x14ac:dyDescent="0.25">
      <c r="A105" s="5">
        <v>44488</v>
      </c>
      <c r="B105">
        <v>0.97619999999999996</v>
      </c>
      <c r="C105">
        <v>1.0068999999999999</v>
      </c>
      <c r="D105">
        <v>0.96360000000000001</v>
      </c>
      <c r="E105">
        <v>0.97909999999999997</v>
      </c>
      <c r="F105">
        <v>2362787</v>
      </c>
      <c r="G105">
        <v>0.97909999999999997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-0.28406466512702094</v>
      </c>
      <c r="Q105">
        <f t="shared" ref="Q105" si="501">F105*P105</f>
        <v>-671184.2979214784</v>
      </c>
      <c r="R105">
        <f t="shared" ref="R105" si="502">R106+Q105</f>
        <v>-150964210.24290022</v>
      </c>
      <c r="S105">
        <f t="shared" ref="S105" si="503">R105/100000</f>
        <v>-1509.6421024290023</v>
      </c>
      <c r="T105">
        <f t="shared" ref="T105" si="504">S105/1000</f>
        <v>-1.5096421024290023</v>
      </c>
    </row>
    <row r="106" spans="1:20" x14ac:dyDescent="0.25">
      <c r="A106" s="5">
        <v>44487</v>
      </c>
      <c r="B106">
        <v>1.008</v>
      </c>
      <c r="C106">
        <v>1.036</v>
      </c>
      <c r="D106">
        <v>0.96360000000000001</v>
      </c>
      <c r="E106">
        <v>0.97330000000000005</v>
      </c>
      <c r="F106">
        <v>2903680</v>
      </c>
      <c r="G106">
        <v>0.97330000000000005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-0.73204419889502659</v>
      </c>
      <c r="Q106">
        <f t="shared" ref="Q106" si="506">F106*P106</f>
        <v>-2125622.0994475107</v>
      </c>
      <c r="R106">
        <f t="shared" ref="R106" si="507">R107+Q106</f>
        <v>-150293025.94497874</v>
      </c>
      <c r="S106">
        <f t="shared" ref="S106" si="508">R106/100000</f>
        <v>-1502.9302594497874</v>
      </c>
      <c r="T106">
        <f t="shared" ref="T106" si="509">S106/1000</f>
        <v>-1.5029302594497873</v>
      </c>
    </row>
    <row r="107" spans="1:20" x14ac:dyDescent="0.25">
      <c r="A107" s="5">
        <v>44486</v>
      </c>
      <c r="B107">
        <v>1.0103</v>
      </c>
      <c r="C107">
        <v>1.0953999999999999</v>
      </c>
      <c r="D107">
        <v>0.97289999999999999</v>
      </c>
      <c r="E107">
        <v>1.0073000000000001</v>
      </c>
      <c r="F107">
        <v>6929465</v>
      </c>
      <c r="G107">
        <v>1.0073000000000001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-0.43836734693877366</v>
      </c>
      <c r="Q107">
        <f t="shared" ref="Q107" si="511">F107*P107</f>
        <v>-3037651.1877550893</v>
      </c>
      <c r="R107">
        <f t="shared" ref="R107" si="512">R108+Q107</f>
        <v>-148167403.84553123</v>
      </c>
      <c r="S107">
        <f t="shared" ref="S107" si="513">R107/100000</f>
        <v>-1481.6740384553123</v>
      </c>
      <c r="T107">
        <f t="shared" ref="T107" si="514">S107/1000</f>
        <v>-1.4816740384553122</v>
      </c>
    </row>
    <row r="108" spans="1:20" x14ac:dyDescent="0.25">
      <c r="A108" s="5">
        <v>44485</v>
      </c>
      <c r="B108">
        <v>0.96679999999999999</v>
      </c>
      <c r="C108">
        <v>1.1367</v>
      </c>
      <c r="D108">
        <v>0.96589999999999998</v>
      </c>
      <c r="E108">
        <v>1.0103</v>
      </c>
      <c r="F108">
        <v>7291132</v>
      </c>
      <c r="G108">
        <v>1.0103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-0.48009367681498855</v>
      </c>
      <c r="Q108">
        <f t="shared" ref="Q108" si="516">F108*P108</f>
        <v>-3500426.370023421</v>
      </c>
      <c r="R108">
        <f t="shared" ref="R108" si="517">R109+Q108</f>
        <v>-145129752.65777615</v>
      </c>
      <c r="S108">
        <f t="shared" ref="S108" si="518">R108/100000</f>
        <v>-1451.2975265777616</v>
      </c>
      <c r="T108">
        <f t="shared" ref="T108" si="519">S108/1000</f>
        <v>-1.4512975265777617</v>
      </c>
    </row>
    <row r="109" spans="1:20" x14ac:dyDescent="0.25">
      <c r="A109" s="5">
        <v>44484</v>
      </c>
      <c r="B109">
        <v>0.96660000000000001</v>
      </c>
      <c r="C109">
        <v>0.98440000000000005</v>
      </c>
      <c r="D109">
        <v>0.93330000000000002</v>
      </c>
      <c r="E109">
        <v>0.96799999999999997</v>
      </c>
      <c r="F109">
        <v>2481444</v>
      </c>
      <c r="G109">
        <v>0.96799999999999997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0.35812133072406771</v>
      </c>
      <c r="Q109">
        <f t="shared" ref="Q109" si="521">F109*P109</f>
        <v>888658.02739725343</v>
      </c>
      <c r="R109">
        <f t="shared" ref="R109" si="522">R110+Q109</f>
        <v>-141629326.28775272</v>
      </c>
      <c r="S109">
        <f t="shared" ref="S109" si="523">R109/100000</f>
        <v>-1416.2932628775272</v>
      </c>
      <c r="T109">
        <f t="shared" ref="T109" si="524">S109/1000</f>
        <v>-1.4162932628775273</v>
      </c>
    </row>
    <row r="110" spans="1:20" x14ac:dyDescent="0.25">
      <c r="A110" s="5">
        <v>44483</v>
      </c>
      <c r="B110">
        <v>0.9446</v>
      </c>
      <c r="C110">
        <v>1.0067999999999999</v>
      </c>
      <c r="D110">
        <v>0.94199999999999995</v>
      </c>
      <c r="E110">
        <v>0.96589999999999998</v>
      </c>
      <c r="F110">
        <v>2386472</v>
      </c>
      <c r="G110">
        <v>0.96589999999999998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-0.26234567901234435</v>
      </c>
      <c r="Q110">
        <f t="shared" ref="Q110" si="526">F110*P110</f>
        <v>-626080.61728394742</v>
      </c>
      <c r="R110">
        <f t="shared" ref="R110" si="527">R111+Q110</f>
        <v>-142517984.31514996</v>
      </c>
      <c r="S110">
        <f t="shared" ref="S110" si="528">R110/100000</f>
        <v>-1425.1798431514997</v>
      </c>
      <c r="T110">
        <f t="shared" ref="T110" si="529">S110/1000</f>
        <v>-1.4251798431514997</v>
      </c>
    </row>
    <row r="111" spans="1:20" x14ac:dyDescent="0.25">
      <c r="A111" s="5">
        <v>44482</v>
      </c>
      <c r="B111">
        <v>0.93300000000000005</v>
      </c>
      <c r="C111">
        <v>0.95389999999999997</v>
      </c>
      <c r="D111">
        <v>0.90629999999999999</v>
      </c>
      <c r="E111">
        <v>0.94410000000000005</v>
      </c>
      <c r="F111">
        <v>1704468</v>
      </c>
      <c r="G111">
        <v>0.94410000000000005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0.58823529411765019</v>
      </c>
      <c r="Q111">
        <f t="shared" ref="Q111" si="531">F111*P111</f>
        <v>1002628.2352941229</v>
      </c>
      <c r="R111">
        <f t="shared" ref="R111" si="532">R112+Q111</f>
        <v>-141891903.69786602</v>
      </c>
      <c r="S111">
        <f t="shared" ref="S111" si="533">R111/100000</f>
        <v>-1418.9190369786602</v>
      </c>
      <c r="T111">
        <f t="shared" ref="T111" si="534">S111/1000</f>
        <v>-1.4189190369786602</v>
      </c>
    </row>
    <row r="112" spans="1:20" x14ac:dyDescent="0.25">
      <c r="A112" s="5">
        <v>44481</v>
      </c>
      <c r="B112">
        <v>0.95530000000000004</v>
      </c>
      <c r="C112">
        <v>0.95569999999999999</v>
      </c>
      <c r="D112">
        <v>0.88529999999999998</v>
      </c>
      <c r="E112">
        <v>0.93389999999999995</v>
      </c>
      <c r="F112">
        <v>2164280</v>
      </c>
      <c r="G112">
        <v>0.93389999999999995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0.38068181818181718</v>
      </c>
      <c r="Q112">
        <f t="shared" ref="Q112" si="536">F112*P112</f>
        <v>823902.04545454332</v>
      </c>
      <c r="R112">
        <f t="shared" ref="R112" si="537">R113+Q112</f>
        <v>-142894531.93316016</v>
      </c>
      <c r="S112">
        <f t="shared" ref="S112" si="538">R112/100000</f>
        <v>-1428.9453193316015</v>
      </c>
      <c r="T112">
        <f t="shared" ref="T112" si="539">S112/1000</f>
        <v>-1.4289453193316015</v>
      </c>
    </row>
    <row r="113" spans="1:20" x14ac:dyDescent="0.25">
      <c r="A113" s="5">
        <v>44480</v>
      </c>
      <c r="B113">
        <v>0.97450000000000003</v>
      </c>
      <c r="C113">
        <v>1.0169999999999999</v>
      </c>
      <c r="D113">
        <v>0.92859999999999998</v>
      </c>
      <c r="E113">
        <v>0.95669999999999999</v>
      </c>
      <c r="F113">
        <v>2648398</v>
      </c>
      <c r="G113">
        <v>0.95669999999999999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-0.36425339366515752</v>
      </c>
      <c r="Q113">
        <f t="shared" ref="Q113" si="541">F113*P113</f>
        <v>-964687.95927601587</v>
      </c>
      <c r="R113">
        <f t="shared" ref="R113" si="542">R114+Q113</f>
        <v>-143718433.97861469</v>
      </c>
      <c r="S113">
        <f t="shared" ref="S113" si="543">R113/100000</f>
        <v>-1437.1843397861469</v>
      </c>
      <c r="T113">
        <f t="shared" ref="T113" si="544">S113/1000</f>
        <v>-1.4371843397861468</v>
      </c>
    </row>
    <row r="114" spans="1:20" x14ac:dyDescent="0.25">
      <c r="A114" s="5">
        <v>44479</v>
      </c>
      <c r="B114">
        <v>1.0641</v>
      </c>
      <c r="C114">
        <v>1.08</v>
      </c>
      <c r="D114">
        <v>0.97240000000000004</v>
      </c>
      <c r="E114">
        <v>0.97499999999999998</v>
      </c>
      <c r="F114">
        <v>3084089</v>
      </c>
      <c r="G114">
        <v>0.97499999999999998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-0.95167286245353278</v>
      </c>
      <c r="Q114">
        <f t="shared" ref="Q114" si="546">F114*P114</f>
        <v>-2935043.8066914533</v>
      </c>
      <c r="R114">
        <f t="shared" ref="R114" si="547">R115+Q114</f>
        <v>-142753746.01933867</v>
      </c>
      <c r="S114">
        <f t="shared" ref="S114" si="548">R114/100000</f>
        <v>-1427.5374601933868</v>
      </c>
      <c r="T114">
        <f t="shared" ref="T114" si="549">S114/1000</f>
        <v>-1.4275374601933868</v>
      </c>
    </row>
    <row r="115" spans="1:20" x14ac:dyDescent="0.25">
      <c r="A115" s="5">
        <v>44478</v>
      </c>
      <c r="B115">
        <v>1.028</v>
      </c>
      <c r="C115">
        <v>1.0963000000000001</v>
      </c>
      <c r="D115">
        <v>1.0149999999999999</v>
      </c>
      <c r="E115">
        <v>1.0624</v>
      </c>
      <c r="F115">
        <v>3212828</v>
      </c>
      <c r="G115">
        <v>1.0624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0.16605166051660569</v>
      </c>
      <c r="Q115">
        <f t="shared" ref="Q115" si="551">F115*P115</f>
        <v>533495.42435424519</v>
      </c>
      <c r="R115">
        <f t="shared" ref="R115" si="552">R116+Q115</f>
        <v>-139818702.2126472</v>
      </c>
      <c r="S115">
        <f t="shared" ref="S115" si="553">R115/100000</f>
        <v>-1398.1870221264719</v>
      </c>
      <c r="T115">
        <f t="shared" ref="T115" si="554">S115/1000</f>
        <v>-1.3981870221264718</v>
      </c>
    </row>
    <row r="116" spans="1:20" x14ac:dyDescent="0.25">
      <c r="A116" s="5">
        <v>44477</v>
      </c>
      <c r="B116">
        <v>1.0431999999999999</v>
      </c>
      <c r="C116">
        <v>1.1464000000000001</v>
      </c>
      <c r="D116">
        <v>1.0154000000000001</v>
      </c>
      <c r="E116">
        <v>1.0276000000000001</v>
      </c>
      <c r="F116">
        <v>5602337</v>
      </c>
      <c r="G116">
        <v>1.0276000000000001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-0.8137404580152674</v>
      </c>
      <c r="Q116">
        <f t="shared" ref="Q116" si="556">F116*P116</f>
        <v>-4558848.2763358792</v>
      </c>
      <c r="R116">
        <f t="shared" ref="R116" si="557">R117+Q116</f>
        <v>-140352197.63700145</v>
      </c>
      <c r="S116">
        <f t="shared" ref="S116" si="558">R116/100000</f>
        <v>-1403.5219763700145</v>
      </c>
      <c r="T116">
        <f t="shared" ref="T116" si="559">S116/1000</f>
        <v>-1.4035219763700144</v>
      </c>
    </row>
    <row r="117" spans="1:20" x14ac:dyDescent="0.25">
      <c r="A117" s="5">
        <v>44476</v>
      </c>
      <c r="B117">
        <v>1.0388999999999999</v>
      </c>
      <c r="C117">
        <v>1.0981000000000001</v>
      </c>
      <c r="D117">
        <v>0.96599999999999997</v>
      </c>
      <c r="E117">
        <v>1.0434000000000001</v>
      </c>
      <c r="F117">
        <v>11374578</v>
      </c>
      <c r="G117">
        <v>1.0434000000000001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0.17183951551854768</v>
      </c>
      <c r="Q117">
        <f t="shared" ref="Q117" si="561">F117*P117</f>
        <v>1954601.972747931</v>
      </c>
      <c r="R117">
        <f t="shared" ref="R117" si="562">R118+Q117</f>
        <v>-135793349.36066559</v>
      </c>
      <c r="S117">
        <f t="shared" ref="S117" si="563">R117/100000</f>
        <v>-1357.9334936066559</v>
      </c>
      <c r="T117">
        <f t="shared" ref="T117" si="564">S117/1000</f>
        <v>-1.3579334936066558</v>
      </c>
    </row>
    <row r="118" spans="1:20" x14ac:dyDescent="0.25">
      <c r="A118" s="5">
        <v>44475</v>
      </c>
      <c r="B118">
        <v>0.91220000000000001</v>
      </c>
      <c r="C118">
        <v>1.0687</v>
      </c>
      <c r="D118">
        <v>0.85050000000000003</v>
      </c>
      <c r="E118">
        <v>1.0389999999999999</v>
      </c>
      <c r="F118">
        <v>9604707</v>
      </c>
      <c r="G118">
        <v>1.0389999999999999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0.7277726856095319</v>
      </c>
      <c r="Q118">
        <f t="shared" ref="Q118" si="566">F118*P118</f>
        <v>6990043.4078826699</v>
      </c>
      <c r="R118">
        <f t="shared" ref="R118" si="567">R119+Q118</f>
        <v>-137747951.33341351</v>
      </c>
      <c r="S118">
        <f t="shared" ref="S118" si="568">R118/100000</f>
        <v>-1377.4795133341352</v>
      </c>
      <c r="T118">
        <f t="shared" ref="T118" si="569">S118/1000</f>
        <v>-1.3774795133341351</v>
      </c>
    </row>
    <row r="119" spans="1:20" x14ac:dyDescent="0.25">
      <c r="A119" s="5">
        <v>44474</v>
      </c>
      <c r="B119">
        <v>0.9</v>
      </c>
      <c r="C119">
        <v>0.94169999999999998</v>
      </c>
      <c r="D119">
        <v>0.88190000000000002</v>
      </c>
      <c r="E119">
        <v>0.91210000000000002</v>
      </c>
      <c r="F119">
        <v>3506355</v>
      </c>
      <c r="G119">
        <v>0.91210000000000002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1.003344481605427E-2</v>
      </c>
      <c r="Q119">
        <f t="shared" ref="Q119" si="571">F119*P119</f>
        <v>35180.819397995969</v>
      </c>
      <c r="R119">
        <f t="shared" ref="R119" si="572">R120+Q119</f>
        <v>-144737994.74129617</v>
      </c>
      <c r="S119">
        <f t="shared" ref="S119" si="573">R119/100000</f>
        <v>-1447.3799474129617</v>
      </c>
      <c r="T119">
        <f t="shared" ref="T119" si="574">S119/1000</f>
        <v>-1.4473799474129616</v>
      </c>
    </row>
    <row r="120" spans="1:20" x14ac:dyDescent="0.25">
      <c r="A120" s="5">
        <v>44473</v>
      </c>
      <c r="B120">
        <v>0.94020000000000004</v>
      </c>
      <c r="C120">
        <v>0.94740000000000002</v>
      </c>
      <c r="D120">
        <v>0.86499999999999999</v>
      </c>
      <c r="E120">
        <v>0.89970000000000006</v>
      </c>
      <c r="F120">
        <v>4555088</v>
      </c>
      <c r="G120">
        <v>0.89970000000000006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-0.15776699029126087</v>
      </c>
      <c r="Q120">
        <f t="shared" ref="Q120" si="576">F120*P120</f>
        <v>-718642.52427183895</v>
      </c>
      <c r="R120">
        <f t="shared" ref="R120" si="577">R121+Q120</f>
        <v>-144773175.56069416</v>
      </c>
      <c r="S120">
        <f t="shared" ref="S120" si="578">R120/100000</f>
        <v>-1447.7317556069415</v>
      </c>
      <c r="T120">
        <f t="shared" ref="T120" si="579">S120/1000</f>
        <v>-1.4477317556069416</v>
      </c>
    </row>
    <row r="121" spans="1:20" x14ac:dyDescent="0.25">
      <c r="A121" s="5">
        <v>44472</v>
      </c>
      <c r="B121">
        <v>0.92090000000000005</v>
      </c>
      <c r="C121">
        <v>0.96989999999999998</v>
      </c>
      <c r="D121">
        <v>0.90310000000000001</v>
      </c>
      <c r="E121">
        <v>0.93969999999999998</v>
      </c>
      <c r="F121">
        <v>4435952</v>
      </c>
      <c r="G121">
        <v>0.93969999999999998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9.5808383233532399E-2</v>
      </c>
      <c r="Q121">
        <f t="shared" ref="Q121" si="581">F121*P121</f>
        <v>425001.38922155451</v>
      </c>
      <c r="R121">
        <f t="shared" ref="R121" si="582">R122+Q121</f>
        <v>-144054533.03642231</v>
      </c>
      <c r="S121">
        <f t="shared" ref="S121" si="583">R121/100000</f>
        <v>-1440.5453303642232</v>
      </c>
      <c r="T121">
        <f t="shared" ref="T121" si="584">S121/1000</f>
        <v>-1.4405453303642233</v>
      </c>
    </row>
    <row r="122" spans="1:20" x14ac:dyDescent="0.25">
      <c r="A122" s="5">
        <v>44471</v>
      </c>
      <c r="B122">
        <v>0.92449999999999999</v>
      </c>
      <c r="C122">
        <v>0.98599999999999999</v>
      </c>
      <c r="D122">
        <v>0.90310000000000001</v>
      </c>
      <c r="E122">
        <v>0.9214</v>
      </c>
      <c r="F122">
        <v>6270381</v>
      </c>
      <c r="G122">
        <v>0.9214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-0.55850422195416194</v>
      </c>
      <c r="Q122">
        <f t="shared" ref="Q122" si="586">F122*P122</f>
        <v>-3502034.2617611601</v>
      </c>
      <c r="R122">
        <f t="shared" ref="R122" si="587">R123+Q122</f>
        <v>-144479534.42564386</v>
      </c>
      <c r="S122">
        <f t="shared" ref="S122" si="588">R122/100000</f>
        <v>-1444.7953442564385</v>
      </c>
      <c r="T122">
        <f t="shared" ref="T122" si="589">S122/1000</f>
        <v>-1.4447953442564385</v>
      </c>
    </row>
    <row r="123" spans="1:20" x14ac:dyDescent="0.25">
      <c r="A123" s="5">
        <v>44470</v>
      </c>
      <c r="B123">
        <v>0.88719999999999999</v>
      </c>
      <c r="C123">
        <v>0.94089999999999996</v>
      </c>
      <c r="D123">
        <v>0.86650000000000005</v>
      </c>
      <c r="E123">
        <v>0.92469999999999997</v>
      </c>
      <c r="F123">
        <v>4829956</v>
      </c>
      <c r="G123">
        <v>0.92469999999999997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0.56451612903225779</v>
      </c>
      <c r="Q123">
        <f t="shared" ref="Q123" si="591">F123*P123</f>
        <v>2726588.0645161276</v>
      </c>
      <c r="R123">
        <f t="shared" ref="R123" si="592">R124+Q123</f>
        <v>-140977500.1638827</v>
      </c>
      <c r="S123">
        <f t="shared" ref="S123" si="593">R123/100000</f>
        <v>-1409.775001638827</v>
      </c>
      <c r="T123">
        <f t="shared" ref="T123" si="594">S123/1000</f>
        <v>-1.4097750016388271</v>
      </c>
    </row>
    <row r="124" spans="1:20" x14ac:dyDescent="0.25">
      <c r="A124" s="5">
        <v>44469</v>
      </c>
      <c r="B124">
        <v>0.83720000000000006</v>
      </c>
      <c r="C124">
        <v>0.91</v>
      </c>
      <c r="D124">
        <v>0.8</v>
      </c>
      <c r="E124">
        <v>0.88439999999999996</v>
      </c>
      <c r="F124">
        <v>6314905</v>
      </c>
      <c r="G124">
        <v>0.88439999999999996</v>
      </c>
      <c r="L124" t="s">
        <v>7</v>
      </c>
      <c r="M124" t="s">
        <v>8</v>
      </c>
      <c r="N124" t="s">
        <v>7</v>
      </c>
      <c r="P124">
        <f t="shared" ref="P124" si="595">IF(C124=D124,0,((E124-D124)-(C124-E124))/(C124-D124))</f>
        <v>0.53454545454545321</v>
      </c>
      <c r="Q124">
        <f t="shared" ref="Q124" si="596">F124*P124</f>
        <v>3375603.7636363553</v>
      </c>
      <c r="R124">
        <f t="shared" ref="R124" si="597">R125+Q124</f>
        <v>-143704088.22839883</v>
      </c>
      <c r="S124">
        <f t="shared" ref="S124" si="598">R124/100000</f>
        <v>-1437.0408822839884</v>
      </c>
      <c r="T124">
        <f t="shared" ref="T124" si="599">S124/1000</f>
        <v>-1.4370408822839884</v>
      </c>
    </row>
    <row r="125" spans="1:20" x14ac:dyDescent="0.25">
      <c r="A125" s="5">
        <v>44468</v>
      </c>
      <c r="B125">
        <v>0.79320000000000002</v>
      </c>
      <c r="C125">
        <v>0.92</v>
      </c>
      <c r="D125">
        <v>0.79320000000000002</v>
      </c>
      <c r="E125">
        <v>0.83560000000000001</v>
      </c>
      <c r="F125">
        <v>5368383</v>
      </c>
      <c r="G125">
        <v>0.83560000000000001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-0.33123028391167214</v>
      </c>
      <c r="Q125">
        <f t="shared" ref="Q125" si="601">F125*P125</f>
        <v>-1778171.0252365943</v>
      </c>
      <c r="R125">
        <f t="shared" ref="R125" si="602">R126+Q125</f>
        <v>-147079691.99203518</v>
      </c>
      <c r="S125">
        <f t="shared" ref="S125" si="603">R125/100000</f>
        <v>-1470.7969199203519</v>
      </c>
      <c r="T125">
        <f t="shared" ref="T125" si="604">S125/1000</f>
        <v>-1.4707969199203519</v>
      </c>
    </row>
    <row r="126" spans="1:20" x14ac:dyDescent="0.25">
      <c r="A126" s="5">
        <v>44467</v>
      </c>
      <c r="B126">
        <v>0.8286</v>
      </c>
      <c r="C126">
        <v>0.85429999999999995</v>
      </c>
      <c r="D126">
        <v>0.79</v>
      </c>
      <c r="E126">
        <v>0.79210000000000003</v>
      </c>
      <c r="F126">
        <v>3472228</v>
      </c>
      <c r="G126">
        <v>0.79210000000000003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-0.93468118195956473</v>
      </c>
      <c r="Q126">
        <f t="shared" ref="Q126" si="606">F126*P126</f>
        <v>-3245426.1710730954</v>
      </c>
      <c r="R126">
        <f t="shared" ref="R126" si="607">R127+Q126</f>
        <v>-145301520.96679857</v>
      </c>
      <c r="S126">
        <f t="shared" ref="S126" si="608">R126/100000</f>
        <v>-1453.0152096679858</v>
      </c>
      <c r="T126">
        <f t="shared" ref="T126" si="609">S126/1000</f>
        <v>-1.4530152096679858</v>
      </c>
    </row>
    <row r="127" spans="1:20" x14ac:dyDescent="0.25">
      <c r="A127" s="5">
        <v>44466</v>
      </c>
      <c r="B127">
        <v>0.83899999999999997</v>
      </c>
      <c r="C127">
        <v>0.93</v>
      </c>
      <c r="D127">
        <v>0.82479999999999998</v>
      </c>
      <c r="E127">
        <v>0.82879999999999998</v>
      </c>
      <c r="F127">
        <v>6706722</v>
      </c>
      <c r="G127">
        <v>0.82879999999999998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-0.92395437262357416</v>
      </c>
      <c r="Q127">
        <f t="shared" ref="Q127" si="611">F127*P127</f>
        <v>-6196705.1178707229</v>
      </c>
      <c r="R127">
        <f t="shared" ref="R127" si="612">R128+Q127</f>
        <v>-142056094.79572546</v>
      </c>
      <c r="S127">
        <f t="shared" ref="S127" si="613">R127/100000</f>
        <v>-1420.5609479572547</v>
      </c>
      <c r="T127">
        <f t="shared" ref="T127" si="614">S127/1000</f>
        <v>-1.4205609479572547</v>
      </c>
    </row>
    <row r="128" spans="1:20" x14ac:dyDescent="0.25">
      <c r="A128" s="5">
        <v>44465</v>
      </c>
      <c r="B128">
        <v>0.87429999999999997</v>
      </c>
      <c r="C128">
        <v>0.87970000000000004</v>
      </c>
      <c r="D128">
        <v>0.77849999999999997</v>
      </c>
      <c r="E128">
        <v>0.83940000000000003</v>
      </c>
      <c r="F128">
        <v>5832070</v>
      </c>
      <c r="G128">
        <v>0.83940000000000003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0.20355731225296492</v>
      </c>
      <c r="Q128">
        <f t="shared" ref="Q128" si="616">F128*P128</f>
        <v>1187160.494071149</v>
      </c>
      <c r="R128">
        <f t="shared" ref="R128" si="617">R129+Q128</f>
        <v>-135859389.67785475</v>
      </c>
      <c r="S128">
        <f t="shared" ref="S128" si="618">R128/100000</f>
        <v>-1358.5938967785476</v>
      </c>
      <c r="T128">
        <f t="shared" ref="T128" si="619">S128/1000</f>
        <v>-1.3585938967785476</v>
      </c>
    </row>
    <row r="129" spans="1:20" x14ac:dyDescent="0.25">
      <c r="A129" s="5">
        <v>44464</v>
      </c>
      <c r="B129">
        <v>0.878</v>
      </c>
      <c r="C129">
        <v>0.95</v>
      </c>
      <c r="D129">
        <v>0.8528</v>
      </c>
      <c r="E129">
        <v>0.87209999999999999</v>
      </c>
      <c r="F129">
        <v>10150640</v>
      </c>
      <c r="G129">
        <v>0.87209999999999999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-0.60288065843621408</v>
      </c>
      <c r="Q129">
        <f t="shared" ref="Q129" si="621">F129*P129</f>
        <v>-6119624.526748972</v>
      </c>
      <c r="R129">
        <f t="shared" ref="R129" si="622">R130+Q129</f>
        <v>-137046550.1719259</v>
      </c>
      <c r="S129">
        <f t="shared" ref="S129" si="623">R129/100000</f>
        <v>-1370.465501719259</v>
      </c>
      <c r="T129">
        <f t="shared" ref="T129" si="624">S129/1000</f>
        <v>-1.3704655017192591</v>
      </c>
    </row>
    <row r="130" spans="1:20" x14ac:dyDescent="0.25">
      <c r="A130" s="5">
        <v>44463</v>
      </c>
      <c r="B130">
        <v>0.90110000000000001</v>
      </c>
      <c r="C130">
        <v>0.94530000000000003</v>
      </c>
      <c r="D130">
        <v>0.74690000000000001</v>
      </c>
      <c r="E130">
        <v>0.87809999999999999</v>
      </c>
      <c r="F130">
        <v>15534981</v>
      </c>
      <c r="G130">
        <v>0.87809999999999999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0.32258064516129004</v>
      </c>
      <c r="Q130">
        <f t="shared" ref="Q130" si="626">F130*P130</f>
        <v>5011284.1935483823</v>
      </c>
      <c r="R130">
        <f t="shared" ref="R130" si="627">R131+Q130</f>
        <v>-130926925.64517692</v>
      </c>
      <c r="S130">
        <f t="shared" ref="S130" si="628">R130/100000</f>
        <v>-1309.2692564517693</v>
      </c>
      <c r="T130">
        <f t="shared" ref="T130" si="629">S130/1000</f>
        <v>-1.3092692564517692</v>
      </c>
    </row>
    <row r="131" spans="1:20" x14ac:dyDescent="0.25">
      <c r="A131" s="5">
        <v>44462</v>
      </c>
      <c r="B131">
        <v>0.92779999999999996</v>
      </c>
      <c r="C131">
        <v>0.97899999999999998</v>
      </c>
      <c r="D131">
        <v>0.85099999999999998</v>
      </c>
      <c r="E131">
        <v>0.90080000000000005</v>
      </c>
      <c r="F131">
        <v>14528052</v>
      </c>
      <c r="G131">
        <v>0.90080000000000005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-0.22187499999999899</v>
      </c>
      <c r="Q131">
        <f t="shared" ref="Q131" si="631">F131*P131</f>
        <v>-3223411.5374999852</v>
      </c>
      <c r="R131">
        <f t="shared" ref="R131" si="632">R132+Q131</f>
        <v>-135938209.8387253</v>
      </c>
      <c r="S131">
        <f t="shared" ref="S131" si="633">R131/100000</f>
        <v>-1359.3820983872529</v>
      </c>
      <c r="T131">
        <f t="shared" ref="T131" si="634">S131/1000</f>
        <v>-1.3593820983872529</v>
      </c>
    </row>
    <row r="132" spans="1:20" x14ac:dyDescent="0.25">
      <c r="A132" s="5">
        <v>44461</v>
      </c>
      <c r="B132">
        <v>0.81100000000000005</v>
      </c>
      <c r="C132">
        <v>0.94610000000000005</v>
      </c>
      <c r="D132">
        <v>0.79890000000000005</v>
      </c>
      <c r="E132">
        <v>0.92930000000000001</v>
      </c>
      <c r="F132">
        <v>4922791</v>
      </c>
      <c r="G132">
        <v>0.92930000000000001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0.77173913043478215</v>
      </c>
      <c r="Q132">
        <f t="shared" ref="Q132" si="636">F132*P132</f>
        <v>3799110.4456521715</v>
      </c>
      <c r="R132">
        <f t="shared" ref="R132" si="637">R133+Q132</f>
        <v>-132714798.30122532</v>
      </c>
      <c r="S132">
        <f t="shared" ref="S132" si="638">R132/100000</f>
        <v>-1327.1479830122532</v>
      </c>
      <c r="T132">
        <f t="shared" ref="T132" si="639">S132/1000</f>
        <v>-1.3271479830122532</v>
      </c>
    </row>
    <row r="133" spans="1:20" x14ac:dyDescent="0.25">
      <c r="A133" s="5">
        <v>44460</v>
      </c>
      <c r="B133">
        <v>0.90710000000000002</v>
      </c>
      <c r="C133">
        <v>0.96299999999999997</v>
      </c>
      <c r="D133">
        <v>0.78200000000000003</v>
      </c>
      <c r="E133">
        <v>0.81059999999999999</v>
      </c>
      <c r="F133">
        <v>7105661</v>
      </c>
      <c r="G133">
        <v>0.81059999999999999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-0.68397790055248653</v>
      </c>
      <c r="Q133">
        <f t="shared" ref="Q133" si="641">F133*P133</f>
        <v>-4860115.0928176818</v>
      </c>
      <c r="R133">
        <f t="shared" ref="R133" si="642">R134+Q133</f>
        <v>-136513908.74687749</v>
      </c>
      <c r="S133">
        <f t="shared" ref="S133" si="643">R133/100000</f>
        <v>-1365.139087468775</v>
      </c>
      <c r="T133">
        <f t="shared" ref="T133" si="644">S133/1000</f>
        <v>-1.365139087468775</v>
      </c>
    </row>
    <row r="134" spans="1:20" x14ac:dyDescent="0.25">
      <c r="A134" s="5">
        <v>44459</v>
      </c>
      <c r="B134">
        <v>1.1734</v>
      </c>
      <c r="C134">
        <v>1.1749000000000001</v>
      </c>
      <c r="D134">
        <v>0.9718</v>
      </c>
      <c r="E134">
        <v>0.99309999999999998</v>
      </c>
      <c r="F134">
        <v>3265580</v>
      </c>
      <c r="G134">
        <v>0.99309999999999998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-0.79025110782865604</v>
      </c>
      <c r="Q134">
        <f t="shared" ref="Q134" si="646">F134*P134</f>
        <v>-2580628.2127031027</v>
      </c>
      <c r="R134">
        <f t="shared" ref="R134" si="647">R135+Q134</f>
        <v>-131653793.65405981</v>
      </c>
      <c r="S134">
        <f t="shared" ref="S134" si="648">R134/100000</f>
        <v>-1316.5379365405981</v>
      </c>
      <c r="T134">
        <f t="shared" ref="T134" si="649">S134/1000</f>
        <v>-1.316537936540598</v>
      </c>
    </row>
    <row r="135" spans="1:20" x14ac:dyDescent="0.25">
      <c r="A135" s="5">
        <v>44458</v>
      </c>
      <c r="B135">
        <v>1.1835</v>
      </c>
      <c r="C135">
        <v>1.2988999999999999</v>
      </c>
      <c r="D135">
        <v>1.115</v>
      </c>
      <c r="E135">
        <v>1.1726000000000001</v>
      </c>
      <c r="F135">
        <v>7293098</v>
      </c>
      <c r="G135">
        <v>1.1726000000000001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-0.37357259380097757</v>
      </c>
      <c r="Q135">
        <f t="shared" ref="Q135" si="651">F135*P135</f>
        <v>-2724501.5367047219</v>
      </c>
      <c r="R135">
        <f t="shared" ref="R135" si="652">R136+Q135</f>
        <v>-129073165.4413567</v>
      </c>
      <c r="S135">
        <f t="shared" ref="S135" si="653">R135/100000</f>
        <v>-1290.731654413567</v>
      </c>
      <c r="T135">
        <f t="shared" ref="T135" si="654">S135/1000</f>
        <v>-1.290731654413567</v>
      </c>
    </row>
    <row r="136" spans="1:20" x14ac:dyDescent="0.25">
      <c r="A136" s="5">
        <v>44457</v>
      </c>
      <c r="B136">
        <v>1.1983999999999999</v>
      </c>
      <c r="C136">
        <v>1.3188</v>
      </c>
      <c r="D136">
        <v>1.1591</v>
      </c>
      <c r="E136">
        <v>1.1831</v>
      </c>
      <c r="F136">
        <v>7177272</v>
      </c>
      <c r="G136">
        <v>1.1831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-0.69943644333124577</v>
      </c>
      <c r="Q136">
        <f t="shared" ref="Q136" si="656">F136*P136</f>
        <v>-5020045.6005009366</v>
      </c>
      <c r="R136">
        <f t="shared" ref="R136" si="657">R137+Q136</f>
        <v>-126348663.90465198</v>
      </c>
      <c r="S136">
        <f t="shared" ref="S136" si="658">R136/100000</f>
        <v>-1263.4866390465199</v>
      </c>
      <c r="T136">
        <f t="shared" ref="T136" si="659">S136/1000</f>
        <v>-1.26348663904652</v>
      </c>
    </row>
    <row r="137" spans="1:20" x14ac:dyDescent="0.25">
      <c r="A137" s="5">
        <v>44456</v>
      </c>
      <c r="B137">
        <v>1.208</v>
      </c>
      <c r="C137">
        <v>1.37</v>
      </c>
      <c r="D137">
        <v>1.1649</v>
      </c>
      <c r="E137">
        <v>1.1982999999999999</v>
      </c>
      <c r="F137">
        <v>8946535</v>
      </c>
      <c r="G137">
        <v>1.1982999999999999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-0.67430521696733436</v>
      </c>
      <c r="Q137">
        <f t="shared" ref="Q137" si="661">F137*P137</f>
        <v>-6032695.224280851</v>
      </c>
      <c r="R137">
        <f t="shared" ref="R137" si="662">R138+Q137</f>
        <v>-121328618.30415104</v>
      </c>
      <c r="S137">
        <f t="shared" ref="S137" si="663">R137/100000</f>
        <v>-1213.2861830415104</v>
      </c>
      <c r="T137">
        <f t="shared" ref="T137" si="664">S137/1000</f>
        <v>-1.2132861830415105</v>
      </c>
    </row>
    <row r="138" spans="1:20" x14ac:dyDescent="0.25">
      <c r="A138" s="5">
        <v>44455</v>
      </c>
      <c r="B138">
        <v>1.2186999999999999</v>
      </c>
      <c r="C138">
        <v>1.45</v>
      </c>
      <c r="D138">
        <v>1.143</v>
      </c>
      <c r="E138">
        <v>1.2081</v>
      </c>
      <c r="F138">
        <v>18835195.030000001</v>
      </c>
      <c r="G138">
        <v>1.2081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-0.57589576547231303</v>
      </c>
      <c r="Q138">
        <f t="shared" ref="Q138" si="666">F138*P138</f>
        <v>-10847109.059622157</v>
      </c>
      <c r="R138">
        <f t="shared" ref="R138" si="667">R139+Q138</f>
        <v>-115295923.07987019</v>
      </c>
      <c r="S138">
        <f t="shared" ref="S138" si="668">R138/100000</f>
        <v>-1152.959230798702</v>
      </c>
      <c r="T138">
        <f t="shared" ref="T138" si="669">S138/1000</f>
        <v>-1.152959230798702</v>
      </c>
    </row>
    <row r="139" spans="1:20" x14ac:dyDescent="0.25">
      <c r="A139" s="5">
        <v>44454</v>
      </c>
      <c r="B139">
        <v>1.0276000000000001</v>
      </c>
      <c r="C139">
        <v>1.2707999999999999</v>
      </c>
      <c r="D139">
        <v>1.0101</v>
      </c>
      <c r="E139">
        <v>1.2208000000000001</v>
      </c>
      <c r="F139">
        <v>11816417.99</v>
      </c>
      <c r="G139">
        <v>1.2208000000000001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0.61641733793632658</v>
      </c>
      <c r="Q139">
        <f t="shared" ref="Q139" si="671">F139*P139</f>
        <v>7283844.9213387193</v>
      </c>
      <c r="R139">
        <f t="shared" ref="R139" si="672">R140+Q139</f>
        <v>-104448814.02024804</v>
      </c>
      <c r="S139">
        <f t="shared" ref="S139" si="673">R139/100000</f>
        <v>-1044.4881402024805</v>
      </c>
      <c r="T139">
        <f t="shared" ref="T139" si="674">S139/1000</f>
        <v>-1.0444881402024806</v>
      </c>
    </row>
    <row r="140" spans="1:20" x14ac:dyDescent="0.25">
      <c r="A140" s="5">
        <v>44453</v>
      </c>
      <c r="B140">
        <v>1.0622</v>
      </c>
      <c r="C140">
        <v>1.0680000000000001</v>
      </c>
      <c r="D140">
        <v>0.97929999999999995</v>
      </c>
      <c r="E140">
        <v>1.0285</v>
      </c>
      <c r="F140">
        <v>9915243</v>
      </c>
      <c r="G140">
        <v>1.0285</v>
      </c>
      <c r="L140" t="s">
        <v>7</v>
      </c>
      <c r="M140" t="s">
        <v>7</v>
      </c>
      <c r="N140" t="s">
        <v>8</v>
      </c>
      <c r="P140">
        <f t="shared" ref="P140" si="675">IF(C140=D140,0,((E140-D140)-(C140-E140))/(C140-D140))</f>
        <v>0.10935738444193821</v>
      </c>
      <c r="Q140">
        <f t="shared" ref="Q140" si="676">F140*P140</f>
        <v>1084305.0405862366</v>
      </c>
      <c r="R140">
        <f t="shared" ref="R140" si="677">R141+Q140</f>
        <v>-111732658.94158676</v>
      </c>
      <c r="S140">
        <f t="shared" ref="S140" si="678">R140/100000</f>
        <v>-1117.3265894158676</v>
      </c>
      <c r="T140">
        <f t="shared" ref="T140" si="679">S140/1000</f>
        <v>-1.1173265894158677</v>
      </c>
    </row>
    <row r="141" spans="1:20" x14ac:dyDescent="0.25">
      <c r="A141" s="5">
        <v>44452</v>
      </c>
      <c r="B141">
        <v>0.94730000000000003</v>
      </c>
      <c r="C141">
        <v>1.1859999999999999</v>
      </c>
      <c r="D141">
        <v>0.89370000000000005</v>
      </c>
      <c r="E141">
        <v>1.0634999999999999</v>
      </c>
      <c r="F141">
        <v>21483147.140000001</v>
      </c>
      <c r="G141">
        <v>1.0634999999999999</v>
      </c>
      <c r="L141" t="s">
        <v>8</v>
      </c>
      <c r="M141" t="s">
        <v>8</v>
      </c>
      <c r="N141" t="s">
        <v>8</v>
      </c>
      <c r="P141">
        <f t="shared" ref="P141" si="680">IF(C141=D141,0,((E141-D141)-(C141-E141))/(C141-D141))</f>
        <v>0.1618200478959966</v>
      </c>
      <c r="Q141">
        <f t="shared" ref="Q141" si="681">F141*P141</f>
        <v>3476403.8991515427</v>
      </c>
      <c r="R141">
        <f t="shared" ref="R141" si="682">R142+Q141</f>
        <v>-112816963.982173</v>
      </c>
      <c r="S141">
        <f t="shared" ref="S141" si="683">R141/100000</f>
        <v>-1128.16963982173</v>
      </c>
      <c r="T141">
        <f t="shared" ref="T141" si="684">S141/1000</f>
        <v>-1.12816963982173</v>
      </c>
    </row>
    <row r="142" spans="1:20" x14ac:dyDescent="0.25">
      <c r="A142" s="5">
        <v>44451</v>
      </c>
      <c r="B142">
        <v>0.95850000000000002</v>
      </c>
      <c r="C142">
        <v>1.0168999999999999</v>
      </c>
      <c r="D142">
        <v>0.90500000000000003</v>
      </c>
      <c r="E142">
        <v>0.94930000000000003</v>
      </c>
      <c r="F142">
        <v>7288266</v>
      </c>
      <c r="G142">
        <v>0.94930000000000003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-0.20822162645218856</v>
      </c>
      <c r="Q142">
        <f t="shared" ref="Q142" si="686">F142*P142</f>
        <v>-1517574.6005361865</v>
      </c>
      <c r="R142">
        <f t="shared" ref="R142" si="687">R143+Q142</f>
        <v>-116293367.88132454</v>
      </c>
      <c r="S142">
        <f t="shared" ref="S142" si="688">R142/100000</f>
        <v>-1162.9336788132455</v>
      </c>
      <c r="T142">
        <f t="shared" ref="T142" si="689">S142/1000</f>
        <v>-1.1629336788132454</v>
      </c>
    </row>
    <row r="143" spans="1:20" x14ac:dyDescent="0.25">
      <c r="A143" s="5">
        <v>44450</v>
      </c>
      <c r="B143">
        <v>0.88190000000000002</v>
      </c>
      <c r="C143">
        <v>1.02</v>
      </c>
      <c r="D143">
        <v>0.85570000000000002</v>
      </c>
      <c r="E143">
        <v>0.96079999999999999</v>
      </c>
      <c r="F143">
        <v>7336827</v>
      </c>
      <c r="G143">
        <v>0.96079999999999999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0.27936701156421145</v>
      </c>
      <c r="Q143">
        <f t="shared" ref="Q143" si="691">F143*P143</f>
        <v>2049667.4333536187</v>
      </c>
      <c r="R143">
        <f t="shared" ref="R143" si="692">R144+Q143</f>
        <v>-114775793.28078836</v>
      </c>
      <c r="S143">
        <f t="shared" ref="S143" si="693">R143/100000</f>
        <v>-1147.7579328078837</v>
      </c>
      <c r="T143">
        <f t="shared" ref="T143" si="694">S143/1000</f>
        <v>-1.1477579328078837</v>
      </c>
    </row>
    <row r="144" spans="1:20" x14ac:dyDescent="0.25">
      <c r="A144" s="5">
        <v>44449</v>
      </c>
      <c r="B144">
        <v>0.94330000000000003</v>
      </c>
      <c r="C144">
        <v>0.99</v>
      </c>
      <c r="D144">
        <v>0.84670000000000001</v>
      </c>
      <c r="E144">
        <v>0.88090000000000002</v>
      </c>
      <c r="F144">
        <v>5449492</v>
      </c>
      <c r="G144">
        <v>0.88090000000000002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-0.52267969295184913</v>
      </c>
      <c r="Q144">
        <f t="shared" ref="Q144" si="696">F144*P144</f>
        <v>-2848338.8053035582</v>
      </c>
      <c r="R144">
        <f t="shared" ref="R144" si="697">R145+Q144</f>
        <v>-116825460.71414198</v>
      </c>
      <c r="S144">
        <f t="shared" ref="S144" si="698">R144/100000</f>
        <v>-1168.2546071414199</v>
      </c>
      <c r="T144">
        <f t="shared" ref="T144" si="699">S144/1000</f>
        <v>-1.1682546071414199</v>
      </c>
    </row>
    <row r="145" spans="1:20" x14ac:dyDescent="0.25">
      <c r="A145" s="5">
        <v>44448</v>
      </c>
      <c r="B145">
        <v>0.83089999999999997</v>
      </c>
      <c r="C145">
        <v>1.0249999999999999</v>
      </c>
      <c r="D145">
        <v>0.78820000000000001</v>
      </c>
      <c r="E145">
        <v>0.94299999999999995</v>
      </c>
      <c r="F145">
        <v>6201836</v>
      </c>
      <c r="G145">
        <v>0.94299999999999995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0.30743243243243246</v>
      </c>
      <c r="Q145">
        <f t="shared" ref="Q145" si="701">F145*P145</f>
        <v>1906645.5270270272</v>
      </c>
      <c r="R145">
        <f t="shared" ref="R145" si="702">R146+Q145</f>
        <v>-113977121.90883842</v>
      </c>
      <c r="S145">
        <f t="shared" ref="S145" si="703">R145/100000</f>
        <v>-1139.7712190883842</v>
      </c>
      <c r="T145">
        <f t="shared" ref="T145" si="704">S145/1000</f>
        <v>-1.1397712190883842</v>
      </c>
    </row>
    <row r="146" spans="1:20" x14ac:dyDescent="0.25">
      <c r="A146" s="5">
        <v>44447</v>
      </c>
      <c r="B146">
        <v>0.82940000000000003</v>
      </c>
      <c r="C146">
        <v>0.85899999999999999</v>
      </c>
      <c r="D146">
        <v>0.75339999999999996</v>
      </c>
      <c r="E146">
        <v>0.83009999999999995</v>
      </c>
      <c r="F146">
        <v>3375859</v>
      </c>
      <c r="G146">
        <v>0.83009999999999995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0.45265151515151458</v>
      </c>
      <c r="Q146">
        <f t="shared" ref="Q146" si="706">F146*P146</f>
        <v>1528087.6912878768</v>
      </c>
      <c r="R146">
        <f t="shared" ref="R146" si="707">R147+Q146</f>
        <v>-115883767.43586545</v>
      </c>
      <c r="S146">
        <f t="shared" ref="S146" si="708">R146/100000</f>
        <v>-1158.8376743586546</v>
      </c>
      <c r="T146">
        <f t="shared" ref="T146" si="709">S146/1000</f>
        <v>-1.1588376743586546</v>
      </c>
    </row>
    <row r="147" spans="1:20" x14ac:dyDescent="0.25">
      <c r="A147" s="5">
        <v>44446</v>
      </c>
      <c r="B147">
        <v>1.0640000000000001</v>
      </c>
      <c r="C147">
        <v>1.0641</v>
      </c>
      <c r="D147">
        <v>0.71350000000000002</v>
      </c>
      <c r="E147">
        <v>0.82899999999999996</v>
      </c>
      <c r="F147">
        <v>6381607.3499999996</v>
      </c>
      <c r="G147">
        <v>0.82899999999999996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-0.34112949229891654</v>
      </c>
      <c r="Q147">
        <f t="shared" ref="Q147" si="711">F147*P147</f>
        <v>-2176954.4753565341</v>
      </c>
      <c r="R147">
        <f t="shared" ref="R147" si="712">R148+Q147</f>
        <v>-117411855.12715332</v>
      </c>
      <c r="S147">
        <f t="shared" ref="S147" si="713">R147/100000</f>
        <v>-1174.1185512715333</v>
      </c>
      <c r="T147">
        <f t="shared" ref="T147" si="714">S147/1000</f>
        <v>-1.1741185512715333</v>
      </c>
    </row>
    <row r="148" spans="1:20" x14ac:dyDescent="0.25">
      <c r="A148" s="5">
        <v>44445</v>
      </c>
      <c r="B148">
        <v>1.0716000000000001</v>
      </c>
      <c r="C148">
        <v>1.1379999999999999</v>
      </c>
      <c r="D148">
        <v>1.02</v>
      </c>
      <c r="E148">
        <v>1.0627</v>
      </c>
      <c r="F148">
        <v>5526122.9500000002</v>
      </c>
      <c r="G148">
        <v>1.0627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-0.27627118644067794</v>
      </c>
      <c r="Q148">
        <f t="shared" ref="Q148" si="716">F148*P148</f>
        <v>-1526708.5438135592</v>
      </c>
      <c r="R148">
        <f t="shared" ref="R148" si="717">R149+Q148</f>
        <v>-115234900.65179679</v>
      </c>
      <c r="S148">
        <f t="shared" ref="S148" si="718">R148/100000</f>
        <v>-1152.3490065179678</v>
      </c>
      <c r="T148">
        <f t="shared" ref="T148" si="719">S148/1000</f>
        <v>-1.1523490065179678</v>
      </c>
    </row>
    <row r="149" spans="1:20" x14ac:dyDescent="0.25">
      <c r="A149" s="5">
        <v>44444</v>
      </c>
      <c r="B149">
        <v>0.99529999999999996</v>
      </c>
      <c r="C149">
        <v>1.1198999999999999</v>
      </c>
      <c r="D149">
        <v>0.99080000000000001</v>
      </c>
      <c r="E149">
        <v>1.0709</v>
      </c>
      <c r="F149">
        <v>7150327.1100000003</v>
      </c>
      <c r="G149">
        <v>1.0709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0.2408985282726572</v>
      </c>
      <c r="Q149">
        <f t="shared" ref="Q149" si="721">F149*P149</f>
        <v>1722503.2774670823</v>
      </c>
      <c r="R149">
        <f t="shared" ref="R149" si="722">R150+Q149</f>
        <v>-113708192.10798323</v>
      </c>
      <c r="S149">
        <f t="shared" ref="S149" si="723">R149/100000</f>
        <v>-1137.0819210798322</v>
      </c>
      <c r="T149">
        <f t="shared" ref="T149" si="724">S149/1000</f>
        <v>-1.1370819210798322</v>
      </c>
    </row>
    <row r="150" spans="1:20" x14ac:dyDescent="0.25">
      <c r="A150" s="5">
        <v>44443</v>
      </c>
      <c r="B150">
        <v>0.96730000000000005</v>
      </c>
      <c r="C150">
        <v>1.04</v>
      </c>
      <c r="D150">
        <v>0.95050000000000001</v>
      </c>
      <c r="E150">
        <v>0.99750000000000005</v>
      </c>
      <c r="F150">
        <v>3139105</v>
      </c>
      <c r="G150">
        <v>0.99750000000000005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5.0279329608939202E-2</v>
      </c>
      <c r="Q150">
        <f t="shared" ref="Q150" si="726">F150*P150</f>
        <v>157832.09497206908</v>
      </c>
      <c r="R150">
        <f t="shared" ref="R150" si="727">R151+Q150</f>
        <v>-115430695.38545032</v>
      </c>
      <c r="S150">
        <f t="shared" ref="S150" si="728">R150/100000</f>
        <v>-1154.3069538545033</v>
      </c>
      <c r="T150">
        <f t="shared" ref="T150" si="729">S150/1000</f>
        <v>-1.1543069538545032</v>
      </c>
    </row>
    <row r="151" spans="1:20" x14ac:dyDescent="0.25">
      <c r="A151" s="5">
        <v>44442</v>
      </c>
      <c r="B151">
        <v>0.96260000000000001</v>
      </c>
      <c r="C151">
        <v>1.0375000000000001</v>
      </c>
      <c r="D151">
        <v>0.94010000000000005</v>
      </c>
      <c r="E151">
        <v>0.96550000000000002</v>
      </c>
      <c r="F151">
        <v>4212005</v>
      </c>
      <c r="G151">
        <v>0.96550000000000002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-0.47843942505133535</v>
      </c>
      <c r="Q151">
        <f t="shared" ref="Q151" si="731">F151*P151</f>
        <v>-2015189.2505133497</v>
      </c>
      <c r="R151">
        <f t="shared" ref="R151" si="732">R152+Q151</f>
        <v>-115588527.48042239</v>
      </c>
      <c r="S151">
        <f t="shared" ref="S151" si="733">R151/100000</f>
        <v>-1155.8852748042239</v>
      </c>
      <c r="T151">
        <f t="shared" ref="T151" si="734">S151/1000</f>
        <v>-1.1558852748042239</v>
      </c>
    </row>
    <row r="152" spans="1:20" x14ac:dyDescent="0.25">
      <c r="A152" s="5">
        <v>44441</v>
      </c>
      <c r="B152">
        <v>0.96209999999999996</v>
      </c>
      <c r="C152">
        <v>1.0273000000000001</v>
      </c>
      <c r="D152">
        <v>0.95469999999999999</v>
      </c>
      <c r="E152">
        <v>0.96230000000000004</v>
      </c>
      <c r="F152">
        <v>4373399</v>
      </c>
      <c r="G152">
        <v>0.96230000000000004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-0.79063360881542588</v>
      </c>
      <c r="Q152">
        <f t="shared" ref="Q152" si="736">F152*P152</f>
        <v>-3457756.2341597746</v>
      </c>
      <c r="R152">
        <f t="shared" ref="R152" si="737">R153+Q152</f>
        <v>-113573338.22990905</v>
      </c>
      <c r="S152">
        <f t="shared" ref="S152" si="738">R152/100000</f>
        <v>-1135.7333822990904</v>
      </c>
      <c r="T152">
        <f t="shared" ref="T152" si="739">S152/1000</f>
        <v>-1.1357333822990905</v>
      </c>
    </row>
    <row r="153" spans="1:20" x14ac:dyDescent="0.25">
      <c r="A153" s="5">
        <v>44440</v>
      </c>
      <c r="B153">
        <v>0.93820000000000003</v>
      </c>
      <c r="C153">
        <v>0.97</v>
      </c>
      <c r="D153">
        <v>0.88180000000000003</v>
      </c>
      <c r="E153">
        <v>0.96</v>
      </c>
      <c r="F153">
        <v>3625906</v>
      </c>
      <c r="G153">
        <v>0.96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0.77324263038548724</v>
      </c>
      <c r="Q153">
        <f t="shared" ref="Q153" si="741">F153*P153</f>
        <v>2803705.0929705207</v>
      </c>
      <c r="R153">
        <f t="shared" ref="R153" si="742">R154+Q153</f>
        <v>-110115581.99574928</v>
      </c>
      <c r="S153">
        <f t="shared" ref="S153" si="743">R153/100000</f>
        <v>-1101.1558199574929</v>
      </c>
      <c r="T153">
        <f t="shared" ref="T153" si="744">S153/1000</f>
        <v>-1.1011558199574929</v>
      </c>
    </row>
    <row r="154" spans="1:20" x14ac:dyDescent="0.25">
      <c r="A154" s="5">
        <v>44439</v>
      </c>
      <c r="B154">
        <v>0.94920000000000004</v>
      </c>
      <c r="C154">
        <v>0.97640000000000005</v>
      </c>
      <c r="D154">
        <v>0.91080000000000005</v>
      </c>
      <c r="E154">
        <v>0.93630000000000002</v>
      </c>
      <c r="F154">
        <v>3426780</v>
      </c>
      <c r="G154">
        <v>0.93630000000000002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-0.22256097560975699</v>
      </c>
      <c r="Q154">
        <f t="shared" ref="Q154" si="746">F154*P154</f>
        <v>-762667.50000000303</v>
      </c>
      <c r="R154">
        <f t="shared" ref="R154" si="747">R155+Q154</f>
        <v>-112919287.0887198</v>
      </c>
      <c r="S154">
        <f t="shared" ref="S154" si="748">R154/100000</f>
        <v>-1129.1928708871981</v>
      </c>
      <c r="T154">
        <f t="shared" ref="T154" si="749">S154/1000</f>
        <v>-1.1291928708871981</v>
      </c>
    </row>
    <row r="155" spans="1:20" x14ac:dyDescent="0.25">
      <c r="A155" s="5">
        <v>44438</v>
      </c>
      <c r="B155">
        <v>0.97840000000000005</v>
      </c>
      <c r="C155">
        <v>1.0649999999999999</v>
      </c>
      <c r="D155">
        <v>0.94059999999999999</v>
      </c>
      <c r="E155">
        <v>0.94979999999999998</v>
      </c>
      <c r="F155">
        <v>7970947.3799999999</v>
      </c>
      <c r="G155">
        <v>0.94979999999999998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-0.85209003215434098</v>
      </c>
      <c r="Q155">
        <f t="shared" ref="Q155" si="751">F155*P155</f>
        <v>-6791964.80932476</v>
      </c>
      <c r="R155">
        <f t="shared" ref="R155" si="752">R156+Q155</f>
        <v>-112156619.5887198</v>
      </c>
      <c r="S155">
        <f t="shared" ref="S155" si="753">R155/100000</f>
        <v>-1121.5661958871981</v>
      </c>
      <c r="T155">
        <f t="shared" ref="T155" si="754">S155/1000</f>
        <v>-1.1215661958871981</v>
      </c>
    </row>
    <row r="156" spans="1:20" x14ac:dyDescent="0.25">
      <c r="A156" s="5">
        <v>44437</v>
      </c>
      <c r="B156">
        <v>0.93940000000000001</v>
      </c>
      <c r="C156">
        <v>1.0347999999999999</v>
      </c>
      <c r="D156">
        <v>0.91010000000000002</v>
      </c>
      <c r="E156">
        <v>0.97729999999999995</v>
      </c>
      <c r="F156">
        <v>3746228.61</v>
      </c>
      <c r="G156">
        <v>0.97729999999999995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7.7786688051322675E-2</v>
      </c>
      <c r="Q156">
        <f t="shared" ref="Q156" si="756">F156*P156</f>
        <v>291406.71625501016</v>
      </c>
      <c r="R156">
        <f t="shared" ref="R156" si="757">R157+Q156</f>
        <v>-105364654.77939504</v>
      </c>
      <c r="S156">
        <f t="shared" ref="S156" si="758">R156/100000</f>
        <v>-1053.6465477939505</v>
      </c>
      <c r="T156">
        <f t="shared" ref="T156" si="759">S156/1000</f>
        <v>-1.0536465477939505</v>
      </c>
    </row>
    <row r="157" spans="1:20" x14ac:dyDescent="0.25">
      <c r="A157" s="5">
        <v>44436</v>
      </c>
      <c r="B157">
        <v>0.96860000000000002</v>
      </c>
      <c r="C157">
        <v>0.98450000000000004</v>
      </c>
      <c r="D157">
        <v>0.92100000000000004</v>
      </c>
      <c r="E157">
        <v>0.93640000000000001</v>
      </c>
      <c r="F157">
        <v>2772637</v>
      </c>
      <c r="G157">
        <v>0.93640000000000001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-0.51496062992126079</v>
      </c>
      <c r="Q157">
        <f t="shared" ref="Q157" si="761">F157*P157</f>
        <v>-1427798.8960629948</v>
      </c>
      <c r="R157">
        <f t="shared" ref="R157" si="762">R158+Q157</f>
        <v>-105656061.49565005</v>
      </c>
      <c r="S157">
        <f t="shared" ref="S157" si="763">R157/100000</f>
        <v>-1056.5606149565006</v>
      </c>
      <c r="T157">
        <f t="shared" ref="T157" si="764">S157/1000</f>
        <v>-1.0565606149565006</v>
      </c>
    </row>
    <row r="158" spans="1:20" x14ac:dyDescent="0.25">
      <c r="A158" s="5">
        <v>44435</v>
      </c>
      <c r="B158">
        <v>0.97629999999999995</v>
      </c>
      <c r="C158">
        <v>0.99339999999999995</v>
      </c>
      <c r="D158">
        <v>0.8972</v>
      </c>
      <c r="E158">
        <v>0.96809999999999996</v>
      </c>
      <c r="F158">
        <v>3520489.57</v>
      </c>
      <c r="G158">
        <v>0.96809999999999996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0.47401247401247398</v>
      </c>
      <c r="Q158">
        <f t="shared" ref="Q158" si="766">F158*P158</f>
        <v>1668755.9708108106</v>
      </c>
      <c r="R158">
        <f t="shared" ref="R158" si="767">R159+Q158</f>
        <v>-104228262.59958705</v>
      </c>
      <c r="S158">
        <f t="shared" ref="S158" si="768">R158/100000</f>
        <v>-1042.2826259958706</v>
      </c>
      <c r="T158">
        <f t="shared" ref="T158" si="769">S158/1000</f>
        <v>-1.0422826259958706</v>
      </c>
    </row>
    <row r="159" spans="1:20" x14ac:dyDescent="0.25">
      <c r="A159" s="5">
        <v>44434</v>
      </c>
      <c r="B159">
        <v>1.0359</v>
      </c>
      <c r="C159">
        <v>1.0446</v>
      </c>
      <c r="D159">
        <v>0.92659999999999998</v>
      </c>
      <c r="E159">
        <v>0.97599999999999998</v>
      </c>
      <c r="F159">
        <v>4815639.88</v>
      </c>
      <c r="G159">
        <v>0.97599999999999998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-0.16271186440677962</v>
      </c>
      <c r="Q159">
        <f t="shared" ref="Q159" si="771">F159*P159</f>
        <v>-783561.74318644044</v>
      </c>
      <c r="R159">
        <f t="shared" ref="R159" si="772">R160+Q159</f>
        <v>-105897018.57039787</v>
      </c>
      <c r="S159">
        <f t="shared" ref="S159" si="773">R159/100000</f>
        <v>-1058.9701857039786</v>
      </c>
      <c r="T159">
        <f t="shared" ref="T159" si="774">S159/1000</f>
        <v>-1.0589701857039786</v>
      </c>
    </row>
    <row r="160" spans="1:20" x14ac:dyDescent="0.25">
      <c r="A160" s="5">
        <v>44433</v>
      </c>
      <c r="B160">
        <v>1.0524</v>
      </c>
      <c r="C160">
        <v>1.1299999999999999</v>
      </c>
      <c r="D160">
        <v>0.98740000000000006</v>
      </c>
      <c r="E160">
        <v>1.0344</v>
      </c>
      <c r="F160">
        <v>8659121.6799999997</v>
      </c>
      <c r="G160">
        <v>1.0344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-0.34081346423562436</v>
      </c>
      <c r="Q160">
        <f t="shared" ref="Q160" si="776">F160*P160</f>
        <v>-2951145.2569985995</v>
      </c>
      <c r="R160">
        <f t="shared" ref="R160" si="777">R161+Q160</f>
        <v>-105113456.82721142</v>
      </c>
      <c r="S160">
        <f t="shared" ref="S160" si="778">R160/100000</f>
        <v>-1051.1345682721142</v>
      </c>
      <c r="T160">
        <f t="shared" ref="T160" si="779">S160/1000</f>
        <v>-1.0511345682721143</v>
      </c>
    </row>
    <row r="161" spans="1:20" x14ac:dyDescent="0.25">
      <c r="A161" s="5">
        <v>44432</v>
      </c>
      <c r="B161">
        <v>0.97299999999999998</v>
      </c>
      <c r="C161">
        <v>1.1288</v>
      </c>
      <c r="D161">
        <v>0.91900000000000004</v>
      </c>
      <c r="E161">
        <v>1.0524</v>
      </c>
      <c r="F161">
        <v>13763798.869999999</v>
      </c>
      <c r="G161">
        <v>1.0524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0.271687321258341</v>
      </c>
      <c r="Q161">
        <f t="shared" ref="Q161" si="781">F161*P161</f>
        <v>3739449.6453288808</v>
      </c>
      <c r="R161">
        <f t="shared" ref="R161" si="782">R162+Q161</f>
        <v>-102162311.57021283</v>
      </c>
      <c r="S161">
        <f t="shared" ref="S161" si="783">R161/100000</f>
        <v>-1021.6231157021283</v>
      </c>
      <c r="T161">
        <f t="shared" ref="T161" si="784">S161/1000</f>
        <v>-1.0216231157021283</v>
      </c>
    </row>
    <row r="162" spans="1:20" x14ac:dyDescent="0.25">
      <c r="A162" s="5">
        <v>44431</v>
      </c>
      <c r="B162">
        <v>1.0195000000000001</v>
      </c>
      <c r="C162">
        <v>1.0363</v>
      </c>
      <c r="D162">
        <v>0.92759999999999998</v>
      </c>
      <c r="E162">
        <v>0.97719999999999996</v>
      </c>
      <c r="F162">
        <v>8643483.5800000001</v>
      </c>
      <c r="G162">
        <v>0.97719999999999996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-8.7396504139834977E-2</v>
      </c>
      <c r="Q162">
        <f t="shared" ref="Q162" si="786">F162*P162</f>
        <v>-755410.24848206562</v>
      </c>
      <c r="R162">
        <f t="shared" ref="R162" si="787">R163+Q162</f>
        <v>-105901761.21554171</v>
      </c>
      <c r="S162">
        <f t="shared" ref="S162" si="788">R162/100000</f>
        <v>-1059.0176121554171</v>
      </c>
      <c r="T162">
        <f t="shared" ref="T162" si="789">S162/1000</f>
        <v>-1.0590176121554171</v>
      </c>
    </row>
    <row r="163" spans="1:20" x14ac:dyDescent="0.25">
      <c r="A163" s="5">
        <v>44430</v>
      </c>
      <c r="B163">
        <v>0.89739999999999998</v>
      </c>
      <c r="C163">
        <v>0.95</v>
      </c>
      <c r="D163">
        <v>0.8962</v>
      </c>
      <c r="E163">
        <v>0.94589999999999996</v>
      </c>
      <c r="F163">
        <v>1856450.63</v>
      </c>
      <c r="G163">
        <v>0.94589999999999996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0.84758364312267676</v>
      </c>
      <c r="Q163">
        <f t="shared" ref="Q163" si="791">F163*P163</f>
        <v>1573497.1882527883</v>
      </c>
      <c r="R163">
        <f t="shared" ref="R163" si="792">R164+Q163</f>
        <v>-105146350.96705964</v>
      </c>
      <c r="S163">
        <f t="shared" ref="S163" si="793">R163/100000</f>
        <v>-1051.4635096705965</v>
      </c>
      <c r="T163">
        <f t="shared" ref="T163" si="794">S163/1000</f>
        <v>-1.0514635096705964</v>
      </c>
    </row>
    <row r="164" spans="1:20" x14ac:dyDescent="0.25">
      <c r="A164" s="5">
        <v>44429</v>
      </c>
      <c r="B164">
        <v>0.9466</v>
      </c>
      <c r="C164">
        <v>0.95420000000000005</v>
      </c>
      <c r="D164">
        <v>0.88439999999999996</v>
      </c>
      <c r="E164">
        <v>0.89710000000000001</v>
      </c>
      <c r="F164">
        <v>4209696.29</v>
      </c>
      <c r="G164">
        <v>0.89710000000000001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-0.63610315186246336</v>
      </c>
      <c r="Q164">
        <f t="shared" ref="Q164" si="796">F164*P164</f>
        <v>-2677801.0784527184</v>
      </c>
      <c r="R164">
        <f t="shared" ref="R164" si="797">R165+Q164</f>
        <v>-106719848.15531243</v>
      </c>
      <c r="S164">
        <f t="shared" ref="S164" si="798">R164/100000</f>
        <v>-1067.1984815531243</v>
      </c>
      <c r="T164">
        <f t="shared" ref="T164" si="799">S164/1000</f>
        <v>-1.0671984815531244</v>
      </c>
    </row>
    <row r="165" spans="1:20" x14ac:dyDescent="0.25">
      <c r="A165" s="5">
        <v>44428</v>
      </c>
      <c r="B165">
        <v>0.82530000000000003</v>
      </c>
      <c r="C165">
        <v>0.97</v>
      </c>
      <c r="D165">
        <v>0.8236</v>
      </c>
      <c r="E165">
        <v>0.94520000000000004</v>
      </c>
      <c r="F165">
        <v>11524499.189999999</v>
      </c>
      <c r="G165">
        <v>0.94520000000000004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0.66120218579235057</v>
      </c>
      <c r="Q165">
        <f t="shared" ref="Q165" si="801">F165*P165</f>
        <v>7620024.0545901731</v>
      </c>
      <c r="R165">
        <f t="shared" ref="R165" si="802">R166+Q165</f>
        <v>-104042047.07685971</v>
      </c>
      <c r="S165">
        <f t="shared" ref="S165" si="803">R165/100000</f>
        <v>-1040.4204707685972</v>
      </c>
      <c r="T165">
        <f t="shared" ref="T165" si="804">S165/1000</f>
        <v>-1.0404204707685971</v>
      </c>
    </row>
    <row r="166" spans="1:20" x14ac:dyDescent="0.25">
      <c r="A166" s="5">
        <v>44427</v>
      </c>
      <c r="B166">
        <v>0.79530000000000001</v>
      </c>
      <c r="C166">
        <v>0.84899999999999998</v>
      </c>
      <c r="D166">
        <v>0.78759999999999997</v>
      </c>
      <c r="E166">
        <v>0.82530000000000003</v>
      </c>
      <c r="F166">
        <v>7420723.4400000004</v>
      </c>
      <c r="G166">
        <v>0.82530000000000003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0.22801302931596287</v>
      </c>
      <c r="Q166">
        <f t="shared" ref="Q166" si="806">F166*P166</f>
        <v>1692021.631270373</v>
      </c>
      <c r="R166">
        <f t="shared" ref="R166" si="807">R167+Q166</f>
        <v>-111662071.13144989</v>
      </c>
      <c r="S166">
        <f t="shared" ref="S166" si="808">R166/100000</f>
        <v>-1116.620711314499</v>
      </c>
      <c r="T166">
        <f t="shared" ref="T166" si="809">S166/1000</f>
        <v>-1.116620711314499</v>
      </c>
    </row>
    <row r="167" spans="1:20" x14ac:dyDescent="0.25">
      <c r="A167" s="5">
        <v>44426</v>
      </c>
      <c r="B167">
        <v>0.79790000000000005</v>
      </c>
      <c r="C167">
        <v>0.84930000000000005</v>
      </c>
      <c r="D167">
        <v>0.77</v>
      </c>
      <c r="E167">
        <v>0.79549999999999998</v>
      </c>
      <c r="F167">
        <v>2824540.86</v>
      </c>
      <c r="G167">
        <v>0.79549999999999998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-0.35687263556116128</v>
      </c>
      <c r="Q167">
        <f t="shared" ref="Q167" si="811">F167*P167</f>
        <v>-1008001.340958389</v>
      </c>
      <c r="R167">
        <f t="shared" ref="R167" si="812">R168+Q167</f>
        <v>-113354092.76272027</v>
      </c>
      <c r="S167">
        <f t="shared" ref="S167" si="813">R167/100000</f>
        <v>-1133.5409276272028</v>
      </c>
      <c r="T167">
        <f t="shared" ref="T167" si="814">S167/1000</f>
        <v>-1.1335409276272028</v>
      </c>
    </row>
    <row r="168" spans="1:20" x14ac:dyDescent="0.25">
      <c r="A168" s="5">
        <v>44425</v>
      </c>
      <c r="B168">
        <v>0.89059999999999995</v>
      </c>
      <c r="C168">
        <v>0.90749999999999997</v>
      </c>
      <c r="D168">
        <v>0.78659999999999997</v>
      </c>
      <c r="E168">
        <v>0.79949999999999999</v>
      </c>
      <c r="F168">
        <v>4002650.58</v>
      </c>
      <c r="G168">
        <v>0.79949999999999999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-0.78660049627791528</v>
      </c>
      <c r="Q168">
        <f t="shared" ref="Q168" si="816">F168*P168</f>
        <v>-3148486.9326550853</v>
      </c>
      <c r="R168">
        <f t="shared" ref="R168" si="817">R169+Q168</f>
        <v>-112346091.42176189</v>
      </c>
      <c r="S168">
        <f t="shared" ref="S168" si="818">R168/100000</f>
        <v>-1123.4609142176189</v>
      </c>
      <c r="T168">
        <f t="shared" ref="T168" si="819">S168/1000</f>
        <v>-1.1234609142176188</v>
      </c>
    </row>
    <row r="169" spans="1:20" x14ac:dyDescent="0.25">
      <c r="A169" s="5">
        <v>44424</v>
      </c>
      <c r="B169">
        <v>0.93079999999999996</v>
      </c>
      <c r="C169">
        <v>0.96650000000000003</v>
      </c>
      <c r="D169">
        <v>0.86629999999999996</v>
      </c>
      <c r="E169">
        <v>0.89070000000000005</v>
      </c>
      <c r="F169">
        <v>5741904.3499999996</v>
      </c>
      <c r="G169">
        <v>0.89070000000000005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-0.51297405189620615</v>
      </c>
      <c r="Q169">
        <f t="shared" ref="Q169" si="821">F169*P169</f>
        <v>-2945447.9400199517</v>
      </c>
      <c r="R169">
        <f t="shared" ref="R169" si="822">R170+Q169</f>
        <v>-109197604.4891068</v>
      </c>
      <c r="S169">
        <f t="shared" ref="S169" si="823">R169/100000</f>
        <v>-1091.9760448910681</v>
      </c>
      <c r="T169">
        <f t="shared" ref="T169" si="824">S169/1000</f>
        <v>-1.091976044891068</v>
      </c>
    </row>
    <row r="170" spans="1:20" x14ac:dyDescent="0.25">
      <c r="A170" s="5">
        <v>44423</v>
      </c>
      <c r="B170">
        <v>0.85419999999999996</v>
      </c>
      <c r="C170">
        <v>0.99</v>
      </c>
      <c r="D170">
        <v>0.8085</v>
      </c>
      <c r="E170">
        <v>0.93049999999999999</v>
      </c>
      <c r="F170">
        <v>12556539.83</v>
      </c>
      <c r="G170">
        <v>0.93049999999999999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0.34435261707988984</v>
      </c>
      <c r="Q170">
        <f t="shared" ref="Q170" si="826">F170*P170</f>
        <v>4323877.3519283747</v>
      </c>
      <c r="R170">
        <f t="shared" ref="R170" si="827">R171+Q170</f>
        <v>-106252156.54908685</v>
      </c>
      <c r="S170">
        <f t="shared" ref="S170" si="828">R170/100000</f>
        <v>-1062.5215654908686</v>
      </c>
      <c r="T170">
        <f t="shared" ref="T170" si="829">S170/1000</f>
        <v>-1.0625215654908686</v>
      </c>
    </row>
    <row r="171" spans="1:20" x14ac:dyDescent="0.25">
      <c r="A171" s="5">
        <v>44422</v>
      </c>
      <c r="B171">
        <v>0.88119999999999998</v>
      </c>
      <c r="C171">
        <v>0.93159999999999998</v>
      </c>
      <c r="D171">
        <v>0.82879999999999998</v>
      </c>
      <c r="E171">
        <v>0.85419999999999996</v>
      </c>
      <c r="F171">
        <v>7583741.0899999999</v>
      </c>
      <c r="G171">
        <v>0.85419999999999996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-0.5058365758754868</v>
      </c>
      <c r="Q171">
        <f t="shared" ref="Q171" si="831">F171*P171</f>
        <v>-3836133.6252918318</v>
      </c>
      <c r="R171">
        <f t="shared" ref="R171" si="832">R172+Q171</f>
        <v>-110576033.90101522</v>
      </c>
      <c r="S171">
        <f t="shared" ref="S171" si="833">R171/100000</f>
        <v>-1105.7603390101522</v>
      </c>
      <c r="T171">
        <f t="shared" ref="T171" si="834">S171/1000</f>
        <v>-1.1057603390101522</v>
      </c>
    </row>
    <row r="172" spans="1:20" x14ac:dyDescent="0.25">
      <c r="A172" s="5">
        <v>44421</v>
      </c>
      <c r="B172">
        <v>0.83379999999999999</v>
      </c>
      <c r="C172">
        <v>1.0449999999999999</v>
      </c>
      <c r="D172">
        <v>0.79520000000000002</v>
      </c>
      <c r="E172">
        <v>0.88119999999999998</v>
      </c>
      <c r="F172">
        <v>25395039.859999999</v>
      </c>
      <c r="G172">
        <v>0.88119999999999998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-0.31144915932746198</v>
      </c>
      <c r="Q172">
        <f t="shared" ref="Q172" si="836">F172*P172</f>
        <v>-7909263.8154843878</v>
      </c>
      <c r="R172">
        <f t="shared" ref="R172" si="837">R173+Q172</f>
        <v>-106739900.27572338</v>
      </c>
      <c r="S172">
        <f t="shared" ref="S172" si="838">R172/100000</f>
        <v>-1067.3990027572338</v>
      </c>
      <c r="T172">
        <f t="shared" ref="T172" si="839">S172/1000</f>
        <v>-1.0673990027572338</v>
      </c>
    </row>
    <row r="173" spans="1:20" x14ac:dyDescent="0.25">
      <c r="A173" s="5">
        <v>44420</v>
      </c>
      <c r="B173">
        <v>0.70689999999999997</v>
      </c>
      <c r="C173">
        <v>0.93459999999999999</v>
      </c>
      <c r="D173">
        <v>0.6663</v>
      </c>
      <c r="E173">
        <v>0.8327</v>
      </c>
      <c r="F173">
        <v>20023136.309999999</v>
      </c>
      <c r="G173">
        <v>0.8327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0.24040253447633247</v>
      </c>
      <c r="Q173">
        <f t="shared" ref="Q173" si="841">F173*P173</f>
        <v>4813612.7170890793</v>
      </c>
      <c r="R173">
        <f t="shared" ref="R173" si="842">R174+Q173</f>
        <v>-98830636.460238993</v>
      </c>
      <c r="S173">
        <f t="shared" ref="S173" si="843">R173/100000</f>
        <v>-988.30636460238998</v>
      </c>
      <c r="T173">
        <f t="shared" ref="T173" si="844">S173/1000</f>
        <v>-0.98830636460238996</v>
      </c>
    </row>
    <row r="174" spans="1:20" x14ac:dyDescent="0.25">
      <c r="A174" s="5">
        <v>44419</v>
      </c>
      <c r="B174">
        <v>0.69069999999999998</v>
      </c>
      <c r="C174">
        <v>0.745</v>
      </c>
      <c r="D174">
        <v>0.67989999999999995</v>
      </c>
      <c r="E174">
        <v>0.70689999999999997</v>
      </c>
      <c r="F174">
        <v>5892871.9000000004</v>
      </c>
      <c r="G174">
        <v>0.70689999999999997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-0.17050691244239619</v>
      </c>
      <c r="Q174">
        <f t="shared" ref="Q174" si="846">F174*P174</f>
        <v>-1004775.3930875569</v>
      </c>
      <c r="R174">
        <f t="shared" ref="R174" si="847">R175+Q174</f>
        <v>-103644249.17732808</v>
      </c>
      <c r="S174">
        <f t="shared" ref="S174" si="848">R174/100000</f>
        <v>-1036.4424917732808</v>
      </c>
      <c r="T174">
        <f t="shared" ref="T174" si="849">S174/1000</f>
        <v>-1.0364424917732808</v>
      </c>
    </row>
    <row r="175" spans="1:20" x14ac:dyDescent="0.25">
      <c r="A175" s="5">
        <v>44418</v>
      </c>
      <c r="B175">
        <v>0.68400000000000005</v>
      </c>
      <c r="C175">
        <v>0.75</v>
      </c>
      <c r="D175">
        <v>0.64829999999999999</v>
      </c>
      <c r="E175">
        <v>0.69059999999999999</v>
      </c>
      <c r="F175">
        <v>9367272.4800000004</v>
      </c>
      <c r="G175">
        <v>0.69059999999999999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-0.16814159292035399</v>
      </c>
      <c r="Q175">
        <f t="shared" ref="Q175" si="851">F175*P175</f>
        <v>-1575028.1161061949</v>
      </c>
      <c r="R175">
        <f t="shared" ref="R175" si="852">R176+Q175</f>
        <v>-102639473.78424053</v>
      </c>
      <c r="S175">
        <f t="shared" ref="S175" si="853">R175/100000</f>
        <v>-1026.3947378424052</v>
      </c>
      <c r="T175">
        <f t="shared" ref="T175" si="854">S175/1000</f>
        <v>-1.0263947378424052</v>
      </c>
    </row>
    <row r="176" spans="1:20" x14ac:dyDescent="0.25">
      <c r="A176" s="5">
        <v>44417</v>
      </c>
      <c r="B176">
        <v>0.65900000000000003</v>
      </c>
      <c r="C176">
        <v>0.70930000000000004</v>
      </c>
      <c r="D176">
        <v>0.63380000000000003</v>
      </c>
      <c r="E176">
        <v>0.68400000000000005</v>
      </c>
      <c r="F176">
        <v>6845429.96</v>
      </c>
      <c r="G176">
        <v>0.68400000000000005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0.32980132450331162</v>
      </c>
      <c r="Q176">
        <f t="shared" ref="Q176" si="856">F176*P176</f>
        <v>2257631.8676026515</v>
      </c>
      <c r="R176">
        <f t="shared" ref="R176" si="857">R177+Q176</f>
        <v>-101064445.66813433</v>
      </c>
      <c r="S176">
        <f t="shared" ref="S176" si="858">R176/100000</f>
        <v>-1010.6444566813433</v>
      </c>
      <c r="T176">
        <f t="shared" ref="T176" si="859">S176/1000</f>
        <v>-1.0106444566813433</v>
      </c>
    </row>
    <row r="177" spans="1:20" x14ac:dyDescent="0.25">
      <c r="A177" s="5">
        <v>44416</v>
      </c>
      <c r="B177">
        <v>0.68559999999999999</v>
      </c>
      <c r="C177">
        <v>0.74</v>
      </c>
      <c r="D177">
        <v>0.63800000000000001</v>
      </c>
      <c r="E177">
        <v>0.65869999999999995</v>
      </c>
      <c r="F177">
        <v>3984395.75</v>
      </c>
      <c r="G177">
        <v>0.65869999999999995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-0.59411764705882464</v>
      </c>
      <c r="Q177">
        <f t="shared" ref="Q177" si="861">F177*P177</f>
        <v>-2367199.8279411807</v>
      </c>
      <c r="R177">
        <f t="shared" ref="R177" si="862">R178+Q177</f>
        <v>-103322077.53573698</v>
      </c>
      <c r="S177">
        <f t="shared" ref="S177" si="863">R177/100000</f>
        <v>-1033.2207753573698</v>
      </c>
      <c r="T177">
        <f t="shared" ref="T177" si="864">S177/1000</f>
        <v>-1.0332207753573699</v>
      </c>
    </row>
    <row r="178" spans="1:20" x14ac:dyDescent="0.25">
      <c r="A178" s="5">
        <v>44415</v>
      </c>
      <c r="B178">
        <v>0.65449999999999997</v>
      </c>
      <c r="C178">
        <v>0.71740000000000004</v>
      </c>
      <c r="D178">
        <v>0.6361</v>
      </c>
      <c r="E178">
        <v>0.68640000000000001</v>
      </c>
      <c r="F178">
        <v>5351857.0199999996</v>
      </c>
      <c r="G178">
        <v>0.68640000000000001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0.23739237392373894</v>
      </c>
      <c r="Q178">
        <f t="shared" ref="Q178" si="866">F178*P178</f>
        <v>1270490.0428782271</v>
      </c>
      <c r="R178">
        <f t="shared" ref="R178" si="867">R179+Q178</f>
        <v>-100954877.7077958</v>
      </c>
      <c r="S178">
        <f t="shared" ref="S178" si="868">R178/100000</f>
        <v>-1009.548777077958</v>
      </c>
      <c r="T178">
        <f t="shared" ref="T178" si="869">S178/1000</f>
        <v>-1.0095487770779581</v>
      </c>
    </row>
    <row r="179" spans="1:20" x14ac:dyDescent="0.25">
      <c r="A179" s="5">
        <v>44414</v>
      </c>
      <c r="B179">
        <v>0.62</v>
      </c>
      <c r="C179">
        <v>0.67</v>
      </c>
      <c r="D179">
        <v>0.60109999999999997</v>
      </c>
      <c r="E179">
        <v>0.65439999999999998</v>
      </c>
      <c r="F179">
        <v>3072998.34</v>
      </c>
      <c r="G179">
        <v>0.65439999999999998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0.54716981132075349</v>
      </c>
      <c r="Q179">
        <f t="shared" ref="Q179" si="871">F179*P179</f>
        <v>1681451.9218867887</v>
      </c>
      <c r="R179">
        <f t="shared" ref="R179" si="872">R180+Q179</f>
        <v>-102225367.75067402</v>
      </c>
      <c r="S179">
        <f t="shared" ref="S179" si="873">R179/100000</f>
        <v>-1022.2536775067402</v>
      </c>
      <c r="T179">
        <f t="shared" ref="T179" si="874">S179/1000</f>
        <v>-1.0222536775067403</v>
      </c>
    </row>
    <row r="180" spans="1:20" x14ac:dyDescent="0.25">
      <c r="A180" s="5">
        <v>44413</v>
      </c>
      <c r="B180">
        <v>0.57120000000000004</v>
      </c>
      <c r="C180">
        <v>0.62219999999999998</v>
      </c>
      <c r="D180">
        <v>0.56159999999999999</v>
      </c>
      <c r="E180">
        <v>0.61970000000000003</v>
      </c>
      <c r="F180">
        <v>2909491.79</v>
      </c>
      <c r="G180">
        <v>0.61970000000000003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0.91749174917491927</v>
      </c>
      <c r="Q180">
        <f t="shared" ref="Q180" si="876">F180*P180</f>
        <v>2669434.7116171671</v>
      </c>
      <c r="R180">
        <f t="shared" ref="R180" si="877">R181+Q180</f>
        <v>-103906819.67256081</v>
      </c>
      <c r="S180">
        <f t="shared" ref="S180" si="878">R180/100000</f>
        <v>-1039.068196725608</v>
      </c>
      <c r="T180">
        <f t="shared" ref="T180" si="879">S180/1000</f>
        <v>-1.0390681967256079</v>
      </c>
    </row>
    <row r="181" spans="1:20" x14ac:dyDescent="0.25">
      <c r="A181" s="5">
        <v>44412</v>
      </c>
      <c r="B181">
        <v>0.5373</v>
      </c>
      <c r="C181">
        <v>0.57709999999999995</v>
      </c>
      <c r="D181">
        <v>0.52959999999999996</v>
      </c>
      <c r="E181">
        <v>0.57150000000000001</v>
      </c>
      <c r="F181">
        <v>1627189.19</v>
      </c>
      <c r="G181">
        <v>0.57150000000000001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0.764210526315792</v>
      </c>
      <c r="Q181">
        <f t="shared" ref="Q181" si="881">F181*P181</f>
        <v>1243515.1073052671</v>
      </c>
      <c r="R181">
        <f t="shared" ref="R181" si="882">R182+Q181</f>
        <v>-106576254.38417798</v>
      </c>
      <c r="S181">
        <f t="shared" ref="S181" si="883">R181/100000</f>
        <v>-1065.7625438417799</v>
      </c>
      <c r="T181">
        <f t="shared" ref="T181" si="884">S181/1000</f>
        <v>-1.0657625438417799</v>
      </c>
    </row>
    <row r="182" spans="1:20" x14ac:dyDescent="0.25">
      <c r="A182" s="5">
        <v>44411</v>
      </c>
      <c r="B182">
        <v>0.56899999999999995</v>
      </c>
      <c r="C182">
        <v>0.57820000000000005</v>
      </c>
      <c r="D182">
        <v>0.52749999999999997</v>
      </c>
      <c r="E182">
        <v>0.53610000000000002</v>
      </c>
      <c r="F182">
        <v>3950033.74</v>
      </c>
      <c r="G182">
        <v>0.53610000000000002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-0.66074950690335155</v>
      </c>
      <c r="Q182">
        <f t="shared" ref="Q182" si="886">F182*P182</f>
        <v>-2609982.8459566017</v>
      </c>
      <c r="R182">
        <f t="shared" ref="R182" si="887">R183+Q182</f>
        <v>-107819769.49148326</v>
      </c>
      <c r="S182">
        <f t="shared" ref="S182" si="888">R182/100000</f>
        <v>-1078.1976949148325</v>
      </c>
      <c r="T182">
        <f t="shared" ref="T182" si="889">S182/1000</f>
        <v>-1.0781976949148324</v>
      </c>
    </row>
    <row r="183" spans="1:20" x14ac:dyDescent="0.25">
      <c r="A183" s="5">
        <v>44410</v>
      </c>
      <c r="B183">
        <v>0.56720000000000004</v>
      </c>
      <c r="C183">
        <v>0.57699999999999996</v>
      </c>
      <c r="D183">
        <v>0.55079999999999996</v>
      </c>
      <c r="E183">
        <v>0.56899999999999995</v>
      </c>
      <c r="F183">
        <v>1834350.44</v>
      </c>
      <c r="G183">
        <v>0.56899999999999995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0.38931297709923612</v>
      </c>
      <c r="Q183">
        <f t="shared" ref="Q183" si="891">F183*P183</f>
        <v>714136.43083969364</v>
      </c>
      <c r="R183">
        <f t="shared" ref="R183" si="892">R184+Q183</f>
        <v>-105209786.64552665</v>
      </c>
      <c r="S183">
        <f t="shared" ref="S183" si="893">R183/100000</f>
        <v>-1052.0978664552665</v>
      </c>
      <c r="T183">
        <f t="shared" ref="T183" si="894">S183/1000</f>
        <v>-1.0520978664552665</v>
      </c>
    </row>
    <row r="184" spans="1:20" x14ac:dyDescent="0.25">
      <c r="A184" s="5">
        <v>44409</v>
      </c>
      <c r="B184">
        <v>0.58740000000000003</v>
      </c>
      <c r="C184">
        <v>0.61880000000000002</v>
      </c>
      <c r="D184">
        <v>0.56220000000000003</v>
      </c>
      <c r="E184">
        <v>0.56669999999999998</v>
      </c>
      <c r="F184">
        <v>4525180.9400000004</v>
      </c>
      <c r="G184">
        <v>0.56669999999999998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-0.84098939929328798</v>
      </c>
      <c r="Q184">
        <f t="shared" ref="Q184" si="896">F184*P184</f>
        <v>-3805629.2004240365</v>
      </c>
      <c r="R184">
        <f t="shared" ref="R184" si="897">R185+Q184</f>
        <v>-105923923.07636634</v>
      </c>
      <c r="S184">
        <f t="shared" ref="S184" si="898">R184/100000</f>
        <v>-1059.2392307636633</v>
      </c>
      <c r="T184">
        <f t="shared" ref="T184" si="899">S184/1000</f>
        <v>-1.0592392307636633</v>
      </c>
    </row>
    <row r="185" spans="1:20" x14ac:dyDescent="0.25">
      <c r="A185" s="5">
        <v>44408</v>
      </c>
      <c r="B185">
        <v>0.57450000000000001</v>
      </c>
      <c r="C185">
        <v>0.60489999999999999</v>
      </c>
      <c r="D185">
        <v>0.56630000000000003</v>
      </c>
      <c r="E185">
        <v>0.58660000000000001</v>
      </c>
      <c r="F185">
        <v>2232545.2200000002</v>
      </c>
      <c r="G185">
        <v>0.58660000000000001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5.1813471502590761E-2</v>
      </c>
      <c r="Q185">
        <f t="shared" ref="Q185" si="901">F185*P185</f>
        <v>115675.91813471523</v>
      </c>
      <c r="R185">
        <f t="shared" ref="R185" si="902">R186+Q185</f>
        <v>-102118293.8759423</v>
      </c>
      <c r="S185">
        <f t="shared" ref="S185" si="903">R185/100000</f>
        <v>-1021.182938759423</v>
      </c>
      <c r="T185">
        <f t="shared" ref="T185" si="904">S185/1000</f>
        <v>-1.0211829387594229</v>
      </c>
    </row>
    <row r="186" spans="1:20" x14ac:dyDescent="0.25">
      <c r="A186" s="5">
        <v>44407</v>
      </c>
      <c r="B186">
        <v>0.57269999999999999</v>
      </c>
      <c r="C186">
        <v>0.5837</v>
      </c>
      <c r="D186">
        <v>0.54390000000000005</v>
      </c>
      <c r="E186">
        <v>0.57289999999999996</v>
      </c>
      <c r="F186">
        <v>1813633.65</v>
      </c>
      <c r="G186">
        <v>0.57289999999999996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0.45728643216080167</v>
      </c>
      <c r="Q186">
        <f t="shared" ref="Q186" si="906">F186*P186</f>
        <v>829350.06105527212</v>
      </c>
      <c r="R186">
        <f t="shared" ref="R186" si="907">R187+Q186</f>
        <v>-102233969.79407702</v>
      </c>
      <c r="S186">
        <f t="shared" ref="S186" si="908">R186/100000</f>
        <v>-1022.3396979407703</v>
      </c>
      <c r="T186">
        <f t="shared" ref="T186" si="909">S186/1000</f>
        <v>-1.0223396979407704</v>
      </c>
    </row>
    <row r="187" spans="1:20" x14ac:dyDescent="0.25">
      <c r="A187" s="5">
        <v>44406</v>
      </c>
      <c r="B187">
        <v>0.55789999999999995</v>
      </c>
      <c r="C187">
        <v>0.58599999999999997</v>
      </c>
      <c r="D187">
        <v>0.5534</v>
      </c>
      <c r="E187">
        <v>0.57230000000000003</v>
      </c>
      <c r="F187">
        <v>5168793.99</v>
      </c>
      <c r="G187">
        <v>0.57230000000000003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0.15950920245399078</v>
      </c>
      <c r="Q187">
        <f t="shared" ref="Q187" si="911">F187*P187</f>
        <v>824470.2069938808</v>
      </c>
      <c r="R187">
        <f t="shared" ref="R187" si="912">R188+Q187</f>
        <v>-103063319.8551323</v>
      </c>
      <c r="S187">
        <f t="shared" ref="S187" si="913">R187/100000</f>
        <v>-1030.6331985513229</v>
      </c>
      <c r="T187">
        <f t="shared" ref="T187" si="914">S187/1000</f>
        <v>-1.0306331985513228</v>
      </c>
    </row>
    <row r="188" spans="1:20" x14ac:dyDescent="0.25">
      <c r="A188" s="5">
        <v>44405</v>
      </c>
      <c r="B188">
        <v>0.54469999999999996</v>
      </c>
      <c r="C188">
        <v>0.58120000000000005</v>
      </c>
      <c r="D188">
        <v>0.53500000000000003</v>
      </c>
      <c r="E188">
        <v>0.55579999999999996</v>
      </c>
      <c r="F188">
        <v>6111165.4400000004</v>
      </c>
      <c r="G188">
        <v>0.55579999999999996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-9.9567099567102982E-2</v>
      </c>
      <c r="Q188">
        <f t="shared" ref="Q188" si="916">F188*P188</f>
        <v>-608471.01783551869</v>
      </c>
      <c r="R188">
        <f t="shared" ref="R188" si="917">R189+Q188</f>
        <v>-103887790.06212617</v>
      </c>
      <c r="S188">
        <f t="shared" ref="S188" si="918">R188/100000</f>
        <v>-1038.8779006212617</v>
      </c>
      <c r="T188">
        <f t="shared" ref="T188" si="919">S188/1000</f>
        <v>-1.0388779006212616</v>
      </c>
    </row>
    <row r="189" spans="1:20" x14ac:dyDescent="0.25">
      <c r="A189" s="5">
        <v>44404</v>
      </c>
      <c r="B189">
        <v>0.53110000000000002</v>
      </c>
      <c r="C189">
        <v>0.55479999999999996</v>
      </c>
      <c r="D189">
        <v>0.51500000000000001</v>
      </c>
      <c r="E189">
        <v>0.54620000000000002</v>
      </c>
      <c r="F189">
        <v>2807533.83</v>
      </c>
      <c r="G189">
        <v>0.54620000000000002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0.56783919597990185</v>
      </c>
      <c r="Q189">
        <f t="shared" ref="Q189" si="921">F189*P189</f>
        <v>1594227.7527135746</v>
      </c>
      <c r="R189">
        <f t="shared" ref="R189" si="922">R190+Q189</f>
        <v>-103279319.04429066</v>
      </c>
      <c r="S189">
        <f t="shared" ref="S189" si="923">R189/100000</f>
        <v>-1032.7931904429065</v>
      </c>
      <c r="T189">
        <f t="shared" ref="T189" si="924">S189/1000</f>
        <v>-1.0327931904429064</v>
      </c>
    </row>
    <row r="190" spans="1:20" x14ac:dyDescent="0.25">
      <c r="A190" s="5">
        <v>44403</v>
      </c>
      <c r="B190">
        <v>0.53979999999999995</v>
      </c>
      <c r="C190">
        <v>0.58030000000000004</v>
      </c>
      <c r="D190">
        <v>0.52629999999999999</v>
      </c>
      <c r="E190">
        <v>0.53100000000000003</v>
      </c>
      <c r="F190">
        <v>3318640.74</v>
      </c>
      <c r="G190">
        <v>0.53100000000000003</v>
      </c>
      <c r="L190" t="s">
        <v>8</v>
      </c>
      <c r="M190" t="s">
        <v>7</v>
      </c>
      <c r="N190" t="s">
        <v>8</v>
      </c>
      <c r="P190">
        <f t="shared" ref="P190" si="925">IF(C190=D190,0,((E190-D190)-(C190-E190))/(C190-D190))</f>
        <v>-0.82592592592592473</v>
      </c>
      <c r="Q190">
        <f t="shared" ref="Q190" si="926">F190*P190</f>
        <v>-2740951.4259999963</v>
      </c>
      <c r="R190">
        <f t="shared" ref="R190" si="927">R191+Q190</f>
        <v>-104873546.79700424</v>
      </c>
      <c r="S190">
        <f t="shared" ref="S190" si="928">R190/100000</f>
        <v>-1048.7354679700425</v>
      </c>
      <c r="T190">
        <f t="shared" ref="T190" si="929">S190/1000</f>
        <v>-1.0487354679700425</v>
      </c>
    </row>
    <row r="191" spans="1:20" x14ac:dyDescent="0.25">
      <c r="A191" s="5">
        <v>44402</v>
      </c>
      <c r="B191">
        <v>0.52310000000000001</v>
      </c>
      <c r="C191">
        <v>0.56889999999999996</v>
      </c>
      <c r="D191">
        <v>0.50180000000000002</v>
      </c>
      <c r="E191">
        <v>0.53849999999999998</v>
      </c>
      <c r="F191">
        <v>3769676.19</v>
      </c>
      <c r="G191">
        <v>0.53849999999999998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9.388971684053618E-2</v>
      </c>
      <c r="Q191">
        <f t="shared" ref="Q191" si="931">F191*P191</f>
        <v>353933.83005961124</v>
      </c>
      <c r="R191">
        <f t="shared" ref="R191" si="932">R192+Q191</f>
        <v>-102132595.37100424</v>
      </c>
      <c r="S191">
        <f t="shared" ref="S191" si="933">R191/100000</f>
        <v>-1021.3259537100424</v>
      </c>
      <c r="T191">
        <f t="shared" ref="T191:T197" si="934">S191/1000</f>
        <v>-1.0213259537100425</v>
      </c>
    </row>
    <row r="192" spans="1:20" x14ac:dyDescent="0.25">
      <c r="A192" s="5">
        <v>44401</v>
      </c>
      <c r="B192">
        <v>0.52249999999999996</v>
      </c>
      <c r="C192">
        <v>0.53990000000000005</v>
      </c>
      <c r="D192">
        <v>0.51439999999999997</v>
      </c>
      <c r="E192">
        <v>0.52339999999999998</v>
      </c>
      <c r="F192">
        <v>1911376.9</v>
      </c>
      <c r="G192">
        <v>0.52339999999999998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-0.29411764705882509</v>
      </c>
      <c r="Q192">
        <f t="shared" ref="Q192" si="936">F192*P192</f>
        <v>-562169.67647059122</v>
      </c>
      <c r="R192">
        <f t="shared" ref="R192" si="937">R193+Q192</f>
        <v>-102486529.20106386</v>
      </c>
      <c r="S192">
        <f t="shared" ref="S192" si="938">R192/100000</f>
        <v>-1024.8652920106385</v>
      </c>
      <c r="T192">
        <f t="shared" si="934"/>
        <v>-1.0248652920106385</v>
      </c>
    </row>
    <row r="193" spans="1:20" x14ac:dyDescent="0.25">
      <c r="A193" s="5">
        <v>44400</v>
      </c>
      <c r="B193">
        <v>0.49349999999999999</v>
      </c>
      <c r="C193">
        <v>0.58699999999999997</v>
      </c>
      <c r="D193">
        <v>0.4914</v>
      </c>
      <c r="E193">
        <v>0.52210000000000001</v>
      </c>
      <c r="F193">
        <v>8206700.6399999997</v>
      </c>
      <c r="G193">
        <v>0.52210000000000001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-0.35774058577405821</v>
      </c>
      <c r="Q193">
        <f t="shared" ref="Q193" si="940">F193*P193</f>
        <v>-2935869.8942259382</v>
      </c>
      <c r="R193">
        <f t="shared" ref="R193" si="941">R194+Q193</f>
        <v>-101924359.52459326</v>
      </c>
      <c r="S193">
        <f t="shared" ref="S193" si="942">R193/100000</f>
        <v>-1019.2435952459326</v>
      </c>
      <c r="T193">
        <f t="shared" si="934"/>
        <v>-1.0192435952459327</v>
      </c>
    </row>
    <row r="194" spans="1:20" x14ac:dyDescent="0.25">
      <c r="A194" s="5">
        <v>44399</v>
      </c>
      <c r="B194">
        <v>0.50060000000000004</v>
      </c>
      <c r="C194">
        <v>0.53549999999999998</v>
      </c>
      <c r="D194">
        <v>0.48209999999999997</v>
      </c>
      <c r="E194">
        <v>0.49170000000000003</v>
      </c>
      <c r="F194">
        <v>3335117.81</v>
      </c>
      <c r="G194">
        <v>0.49170000000000003</v>
      </c>
      <c r="L194" t="s">
        <v>7</v>
      </c>
      <c r="M194" t="s">
        <v>7</v>
      </c>
      <c r="N194" t="s">
        <v>8</v>
      </c>
      <c r="P194">
        <f t="shared" ref="P194" si="943">IF(C194=D194,0,((E194-D194)-(C194-E194))/(C194-D194))</f>
        <v>-0.6404494382022452</v>
      </c>
      <c r="Q194">
        <f t="shared" ref="Q194" si="944">F194*P194</f>
        <v>-2135974.3277528025</v>
      </c>
      <c r="R194">
        <f t="shared" ref="R194" si="945">R195+Q194</f>
        <v>-98988489.630367324</v>
      </c>
      <c r="S194">
        <f t="shared" ref="S194" si="946">R194/100000</f>
        <v>-989.88489630367326</v>
      </c>
      <c r="T194">
        <f t="shared" si="934"/>
        <v>-0.98988489630367327</v>
      </c>
    </row>
    <row r="195" spans="1:20" x14ac:dyDescent="0.25">
      <c r="A195" s="5">
        <v>44398</v>
      </c>
      <c r="B195">
        <v>0.43159999999999998</v>
      </c>
      <c r="C195">
        <v>0.58799999999999997</v>
      </c>
      <c r="D195">
        <v>0.42309999999999998</v>
      </c>
      <c r="E195">
        <v>0.50060000000000004</v>
      </c>
      <c r="F195">
        <v>11225989.199999999</v>
      </c>
      <c r="G195">
        <v>0.50060000000000004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-6.0036385688295051E-2</v>
      </c>
      <c r="Q195">
        <f t="shared" ref="Q195" si="948">F195*P195</f>
        <v>-673967.81734383479</v>
      </c>
      <c r="R195">
        <f t="shared" ref="R195" si="949">R196+Q195</f>
        <v>-96852515.302614525</v>
      </c>
      <c r="S195">
        <f t="shared" ref="S195" si="950">R195/100000</f>
        <v>-968.52515302614529</v>
      </c>
      <c r="T195">
        <f t="shared" si="934"/>
        <v>-0.96852515302614528</v>
      </c>
    </row>
    <row r="196" spans="1:20" x14ac:dyDescent="0.25">
      <c r="A196" s="5">
        <v>44397</v>
      </c>
      <c r="B196">
        <v>0.45500000000000002</v>
      </c>
      <c r="C196">
        <v>0.45889999999999997</v>
      </c>
      <c r="D196">
        <v>0.40739999999999998</v>
      </c>
      <c r="E196">
        <v>0.43070000000000003</v>
      </c>
      <c r="F196">
        <v>1910408.38</v>
      </c>
      <c r="G196">
        <v>0.43070000000000003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-9.5145631067959327E-2</v>
      </c>
      <c r="Q196">
        <f t="shared" ref="Q196" si="952">F196*P196</f>
        <v>-181767.01091261784</v>
      </c>
      <c r="R196">
        <f t="shared" ref="R196" si="953">R197+Q196</f>
        <v>-96178547.485270694</v>
      </c>
      <c r="S196">
        <f t="shared" ref="S196" si="954">R196/100000</f>
        <v>-961.7854748527069</v>
      </c>
      <c r="T196">
        <f t="shared" si="934"/>
        <v>-0.96178547485270693</v>
      </c>
    </row>
    <row r="197" spans="1:20" x14ac:dyDescent="0.25">
      <c r="A197" s="5">
        <v>44396</v>
      </c>
      <c r="B197">
        <v>0.49009999999999998</v>
      </c>
      <c r="C197">
        <v>0.49099999999999999</v>
      </c>
      <c r="D197">
        <v>0.44929999999999998</v>
      </c>
      <c r="E197">
        <v>0.4536</v>
      </c>
      <c r="F197">
        <v>756374.14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-0.79376498800959117</v>
      </c>
      <c r="Q197">
        <f t="shared" ref="Q197" si="956">F197*P197</f>
        <v>-600383.3101678649</v>
      </c>
      <c r="R197">
        <f t="shared" ref="R197" si="957">R198+Q197</f>
        <v>-95996780.474358082</v>
      </c>
      <c r="S197">
        <f t="shared" ref="S197" si="958">R197/100000</f>
        <v>-959.96780474358081</v>
      </c>
      <c r="T197">
        <f t="shared" si="934"/>
        <v>-0.95996780474358079</v>
      </c>
    </row>
    <row r="198" spans="1:20" x14ac:dyDescent="0.25">
      <c r="A198" s="5">
        <v>44395</v>
      </c>
      <c r="B198">
        <v>0.4849</v>
      </c>
      <c r="C198">
        <v>0.50290000000000001</v>
      </c>
      <c r="D198">
        <v>0.4819</v>
      </c>
      <c r="E198">
        <v>0.49109999999999998</v>
      </c>
      <c r="F198">
        <v>865559.96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-0.12380952380952592</v>
      </c>
      <c r="Q198">
        <f t="shared" ref="Q198:Q261" si="960">F198*P198</f>
        <v>-107164.5664761923</v>
      </c>
      <c r="R198">
        <f t="shared" ref="R198:R261" si="961">R199+Q198</f>
        <v>-95396397.164190218</v>
      </c>
      <c r="S198">
        <f t="shared" ref="S198:S261" si="962">R198/100000</f>
        <v>-953.96397164190216</v>
      </c>
      <c r="T198">
        <f t="shared" ref="T198:T261" si="963">S198/1000</f>
        <v>-0.95396397164190216</v>
      </c>
    </row>
    <row r="199" spans="1:20" x14ac:dyDescent="0.25">
      <c r="A199" s="5">
        <v>44394</v>
      </c>
      <c r="B199">
        <v>0.49009999999999998</v>
      </c>
      <c r="C199">
        <v>0.50129999999999997</v>
      </c>
      <c r="D199">
        <v>0.48070000000000002</v>
      </c>
      <c r="E199">
        <v>0.48680000000000001</v>
      </c>
      <c r="F199">
        <v>1001412.2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-0.40776699029126129</v>
      </c>
      <c r="Q199">
        <f t="shared" si="960"/>
        <v>-408342.83883495058</v>
      </c>
      <c r="R199">
        <f t="shared" si="961"/>
        <v>-95289232.597714022</v>
      </c>
      <c r="S199">
        <f t="shared" si="962"/>
        <v>-952.89232597714022</v>
      </c>
      <c r="T199">
        <f t="shared" si="963"/>
        <v>-0.95289232597714024</v>
      </c>
    </row>
    <row r="200" spans="1:20" x14ac:dyDescent="0.25">
      <c r="A200" s="5">
        <v>44393</v>
      </c>
      <c r="B200">
        <v>0.51080000000000003</v>
      </c>
      <c r="C200">
        <v>0.52590000000000003</v>
      </c>
      <c r="D200">
        <v>0.48559999999999998</v>
      </c>
      <c r="E200">
        <v>0.49120000000000003</v>
      </c>
      <c r="F200">
        <v>1280142.3999999999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-0.7220843672456555</v>
      </c>
      <c r="Q200">
        <f t="shared" si="960"/>
        <v>-924370.81488833472</v>
      </c>
      <c r="R200">
        <f t="shared" si="961"/>
        <v>-94880889.758879066</v>
      </c>
      <c r="S200">
        <f t="shared" si="962"/>
        <v>-948.80889758879061</v>
      </c>
      <c r="T200">
        <f t="shared" si="963"/>
        <v>-0.94880889758879061</v>
      </c>
    </row>
    <row r="201" spans="1:20" x14ac:dyDescent="0.25">
      <c r="A201" s="5">
        <v>44392</v>
      </c>
      <c r="B201">
        <v>0.53680000000000005</v>
      </c>
      <c r="C201">
        <v>0.54669999999999996</v>
      </c>
      <c r="D201">
        <v>0.49569999999999997</v>
      </c>
      <c r="E201">
        <v>0.51080000000000003</v>
      </c>
      <c r="F201">
        <v>2224440.9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-0.40784313725489957</v>
      </c>
      <c r="Q201">
        <f t="shared" si="960"/>
        <v>-907222.95529411233</v>
      </c>
      <c r="R201">
        <f t="shared" si="961"/>
        <v>-93956518.943990737</v>
      </c>
      <c r="S201">
        <f t="shared" si="962"/>
        <v>-939.56518943990739</v>
      </c>
      <c r="T201">
        <f t="shared" si="963"/>
        <v>-0.93956518943990741</v>
      </c>
    </row>
    <row r="202" spans="1:20" x14ac:dyDescent="0.25">
      <c r="A202" s="5">
        <v>44391</v>
      </c>
      <c r="B202">
        <v>0.51190000000000002</v>
      </c>
      <c r="C202">
        <v>0.54720000000000002</v>
      </c>
      <c r="D202">
        <v>0.48909999999999998</v>
      </c>
      <c r="E202">
        <v>0.53669999999999995</v>
      </c>
      <c r="F202">
        <v>2254921.13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0.63855421686746794</v>
      </c>
      <c r="Q202">
        <f t="shared" si="960"/>
        <v>1439889.3962650558</v>
      </c>
      <c r="R202">
        <f t="shared" si="961"/>
        <v>-93049295.98869662</v>
      </c>
      <c r="S202">
        <f t="shared" si="962"/>
        <v>-930.49295988696622</v>
      </c>
      <c r="T202">
        <f t="shared" si="963"/>
        <v>-0.93049295988696623</v>
      </c>
    </row>
    <row r="203" spans="1:20" x14ac:dyDescent="0.25">
      <c r="A203" s="5">
        <v>44390</v>
      </c>
      <c r="B203">
        <v>0.53810000000000002</v>
      </c>
      <c r="C203">
        <v>0.54049999999999998</v>
      </c>
      <c r="D203">
        <v>0.50629999999999997</v>
      </c>
      <c r="E203">
        <v>0.51229999999999998</v>
      </c>
      <c r="F203">
        <v>1350926.04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-0.64912280701754366</v>
      </c>
      <c r="Q203">
        <f t="shared" si="960"/>
        <v>-876916.9031578945</v>
      </c>
      <c r="R203">
        <f t="shared" si="961"/>
        <v>-94489185.38496168</v>
      </c>
      <c r="S203">
        <f t="shared" si="962"/>
        <v>-944.89185384961684</v>
      </c>
      <c r="T203">
        <f t="shared" si="963"/>
        <v>-0.94489185384961683</v>
      </c>
    </row>
    <row r="204" spans="1:20" x14ac:dyDescent="0.25">
      <c r="A204" s="5">
        <v>44389</v>
      </c>
      <c r="B204">
        <v>0.55130000000000001</v>
      </c>
      <c r="C204">
        <v>0.5544</v>
      </c>
      <c r="D204">
        <v>0.53</v>
      </c>
      <c r="E204">
        <v>0.53810000000000002</v>
      </c>
      <c r="F204">
        <v>1420859.08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-0.33606557377049151</v>
      </c>
      <c r="Q204">
        <f t="shared" si="960"/>
        <v>-477501.82196721272</v>
      </c>
      <c r="R204">
        <f t="shared" si="961"/>
        <v>-93612268.48180379</v>
      </c>
      <c r="S204">
        <f t="shared" si="962"/>
        <v>-936.1226848180379</v>
      </c>
      <c r="T204">
        <f t="shared" si="963"/>
        <v>-0.93612268481803784</v>
      </c>
    </row>
    <row r="205" spans="1:20" x14ac:dyDescent="0.25">
      <c r="A205" s="5">
        <v>44388</v>
      </c>
      <c r="B205">
        <v>0.52190000000000003</v>
      </c>
      <c r="C205">
        <v>0.56330000000000002</v>
      </c>
      <c r="D205">
        <v>0.51800000000000002</v>
      </c>
      <c r="E205">
        <v>0.55130000000000001</v>
      </c>
      <c r="F205">
        <v>1108478.32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0.47019867549668837</v>
      </c>
      <c r="Q205">
        <f t="shared" si="960"/>
        <v>521205.03788079432</v>
      </c>
      <c r="R205">
        <f t="shared" si="961"/>
        <v>-93134766.659836575</v>
      </c>
      <c r="S205">
        <f t="shared" si="962"/>
        <v>-931.34766659836578</v>
      </c>
      <c r="T205">
        <f t="shared" si="963"/>
        <v>-0.93134766659836576</v>
      </c>
    </row>
    <row r="206" spans="1:20" x14ac:dyDescent="0.25">
      <c r="A206" s="5">
        <v>44387</v>
      </c>
      <c r="B206">
        <v>0.54079999999999995</v>
      </c>
      <c r="C206">
        <v>0.54779999999999995</v>
      </c>
      <c r="D206">
        <v>0.51280000000000003</v>
      </c>
      <c r="E206">
        <v>0.52059999999999995</v>
      </c>
      <c r="F206">
        <v>1029391.88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-0.55428571428571793</v>
      </c>
      <c r="Q206">
        <f t="shared" si="960"/>
        <v>-570577.21348571801</v>
      </c>
      <c r="R206">
        <f t="shared" si="961"/>
        <v>-93655971.697717369</v>
      </c>
      <c r="S206">
        <f t="shared" si="962"/>
        <v>-936.55971697717371</v>
      </c>
      <c r="T206">
        <f t="shared" si="963"/>
        <v>-0.93655971697717366</v>
      </c>
    </row>
    <row r="207" spans="1:20" x14ac:dyDescent="0.25">
      <c r="A207" s="5">
        <v>44386</v>
      </c>
      <c r="B207">
        <v>0.52549999999999997</v>
      </c>
      <c r="C207">
        <v>0.54349999999999998</v>
      </c>
      <c r="D207">
        <v>0.50439999999999996</v>
      </c>
      <c r="E207">
        <v>0.54159999999999997</v>
      </c>
      <c r="F207">
        <v>1587087.61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0.90281329923273601</v>
      </c>
      <c r="Q207">
        <f t="shared" si="960"/>
        <v>1432843.8013554979</v>
      </c>
      <c r="R207">
        <f t="shared" si="961"/>
        <v>-93085394.484231651</v>
      </c>
      <c r="S207">
        <f t="shared" si="962"/>
        <v>-930.85394484231654</v>
      </c>
      <c r="T207">
        <f t="shared" si="963"/>
        <v>-0.93085394484231654</v>
      </c>
    </row>
    <row r="208" spans="1:20" x14ac:dyDescent="0.25">
      <c r="A208" s="5">
        <v>44385</v>
      </c>
      <c r="B208">
        <v>0.57920000000000005</v>
      </c>
      <c r="C208">
        <v>0.58279999999999998</v>
      </c>
      <c r="D208">
        <v>0.51659999999999995</v>
      </c>
      <c r="E208">
        <v>0.5272</v>
      </c>
      <c r="F208">
        <v>2225049.62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-0.67975830815709826</v>
      </c>
      <c r="Q208">
        <f t="shared" si="960"/>
        <v>-1512495.9652567944</v>
      </c>
      <c r="R208">
        <f t="shared" si="961"/>
        <v>-94518238.285587147</v>
      </c>
      <c r="S208">
        <f t="shared" si="962"/>
        <v>-945.18238285587142</v>
      </c>
      <c r="T208">
        <f t="shared" si="963"/>
        <v>-0.94518238285587142</v>
      </c>
    </row>
    <row r="209" spans="1:20" x14ac:dyDescent="0.25">
      <c r="A209" s="5">
        <v>44384</v>
      </c>
      <c r="B209">
        <v>0.59099999999999997</v>
      </c>
      <c r="C209">
        <v>0.62490000000000001</v>
      </c>
      <c r="D209">
        <v>0.57809999999999995</v>
      </c>
      <c r="E209">
        <v>0.58089999999999997</v>
      </c>
      <c r="F209">
        <v>5195630.22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-0.88034188034187943</v>
      </c>
      <c r="Q209">
        <f t="shared" si="960"/>
        <v>-4573930.8774358928</v>
      </c>
      <c r="R209">
        <f t="shared" si="961"/>
        <v>-93005742.320330352</v>
      </c>
      <c r="S209">
        <f t="shared" si="962"/>
        <v>-930.05742320330353</v>
      </c>
      <c r="T209">
        <f t="shared" si="963"/>
        <v>-0.93005742320330353</v>
      </c>
    </row>
    <row r="210" spans="1:20" x14ac:dyDescent="0.25">
      <c r="A210" s="5">
        <v>44383</v>
      </c>
      <c r="B210">
        <v>0.57010000000000005</v>
      </c>
      <c r="C210">
        <v>0.61180000000000001</v>
      </c>
      <c r="D210">
        <v>0.57010000000000005</v>
      </c>
      <c r="E210">
        <v>0.59119999999999995</v>
      </c>
      <c r="F210">
        <v>11734840.49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1.1990407673856941E-2</v>
      </c>
      <c r="Q210">
        <f t="shared" si="960"/>
        <v>140705.52146278313</v>
      </c>
      <c r="R210">
        <f t="shared" si="961"/>
        <v>-88431811.442894459</v>
      </c>
      <c r="S210">
        <f t="shared" si="962"/>
        <v>-884.31811442894457</v>
      </c>
      <c r="T210">
        <f t="shared" si="963"/>
        <v>-0.88431811442894459</v>
      </c>
    </row>
    <row r="211" spans="1:20" x14ac:dyDescent="0.25">
      <c r="A211" s="5">
        <v>44382</v>
      </c>
      <c r="B211">
        <v>0.60509999999999997</v>
      </c>
      <c r="C211">
        <v>0.60840000000000005</v>
      </c>
      <c r="D211">
        <v>0.56430000000000002</v>
      </c>
      <c r="E211">
        <v>0.57130000000000003</v>
      </c>
      <c r="F211">
        <v>2282789.09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-0.68253968253968245</v>
      </c>
      <c r="Q211">
        <f t="shared" si="960"/>
        <v>-1558094.1407936504</v>
      </c>
      <c r="R211">
        <f t="shared" si="961"/>
        <v>-88572516.964357242</v>
      </c>
      <c r="S211">
        <f t="shared" si="962"/>
        <v>-885.72516964357237</v>
      </c>
      <c r="T211">
        <f t="shared" si="963"/>
        <v>-0.8857251696435724</v>
      </c>
    </row>
    <row r="212" spans="1:20" x14ac:dyDescent="0.25">
      <c r="A212" s="5">
        <v>44381</v>
      </c>
      <c r="B212">
        <v>0.64229999999999998</v>
      </c>
      <c r="C212">
        <v>0.64229999999999998</v>
      </c>
      <c r="D212">
        <v>0.59250000000000003</v>
      </c>
      <c r="E212">
        <v>0.60580000000000001</v>
      </c>
      <c r="F212">
        <v>4625276.38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-0.46586345381526145</v>
      </c>
      <c r="Q212">
        <f t="shared" si="960"/>
        <v>-2154747.2292369497</v>
      </c>
      <c r="R212">
        <f t="shared" si="961"/>
        <v>-87014422.823563591</v>
      </c>
      <c r="S212">
        <f t="shared" si="962"/>
        <v>-870.14422823563586</v>
      </c>
      <c r="T212">
        <f t="shared" si="963"/>
        <v>-0.87014422823563586</v>
      </c>
    </row>
    <row r="213" spans="1:20" x14ac:dyDescent="0.25">
      <c r="A213" s="5">
        <v>44380</v>
      </c>
      <c r="B213">
        <v>0.56930000000000003</v>
      </c>
      <c r="C213">
        <v>0.70989999999999998</v>
      </c>
      <c r="D213">
        <v>0.55700000000000005</v>
      </c>
      <c r="E213">
        <v>0.64049999999999996</v>
      </c>
      <c r="F213">
        <v>9925936.5899999999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9.221713538260233E-2</v>
      </c>
      <c r="Q213">
        <f t="shared" si="960"/>
        <v>915341.43831915606</v>
      </c>
      <c r="R213">
        <f t="shared" si="961"/>
        <v>-84859675.594326645</v>
      </c>
      <c r="S213">
        <f t="shared" si="962"/>
        <v>-848.59675594326643</v>
      </c>
      <c r="T213">
        <f t="shared" si="963"/>
        <v>-0.84859675594326645</v>
      </c>
    </row>
    <row r="214" spans="1:20" x14ac:dyDescent="0.25">
      <c r="A214" s="5">
        <v>44379</v>
      </c>
      <c r="B214">
        <v>0.54990000000000006</v>
      </c>
      <c r="C214">
        <v>0.57120000000000004</v>
      </c>
      <c r="D214">
        <v>0.50609999999999999</v>
      </c>
      <c r="E214">
        <v>0.57079999999999997</v>
      </c>
      <c r="F214">
        <v>2290793.42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0.98771121351766311</v>
      </c>
      <c r="Q214">
        <f t="shared" si="960"/>
        <v>2262642.3487864775</v>
      </c>
      <c r="R214">
        <f t="shared" si="961"/>
        <v>-85775017.032645807</v>
      </c>
      <c r="S214">
        <f t="shared" si="962"/>
        <v>-857.75017032645803</v>
      </c>
      <c r="T214">
        <f t="shared" si="963"/>
        <v>-0.85775017032645806</v>
      </c>
    </row>
    <row r="215" spans="1:20" x14ac:dyDescent="0.25">
      <c r="A215" s="5">
        <v>44378</v>
      </c>
      <c r="B215">
        <v>0.57909999999999995</v>
      </c>
      <c r="C215">
        <v>0.58499999999999996</v>
      </c>
      <c r="D215">
        <v>0.52790000000000004</v>
      </c>
      <c r="E215">
        <v>0.55249999999999999</v>
      </c>
      <c r="F215">
        <v>2736443.03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-0.13835376532399349</v>
      </c>
      <c r="Q215">
        <f t="shared" si="960"/>
        <v>-378597.19679509767</v>
      </c>
      <c r="R215">
        <f t="shared" si="961"/>
        <v>-88037659.38143228</v>
      </c>
      <c r="S215">
        <f t="shared" si="962"/>
        <v>-880.37659381432275</v>
      </c>
      <c r="T215">
        <f t="shared" si="963"/>
        <v>-0.88037659381432276</v>
      </c>
    </row>
    <row r="216" spans="1:20" x14ac:dyDescent="0.25">
      <c r="A216" s="5">
        <v>44377</v>
      </c>
      <c r="B216">
        <v>0.59219999999999995</v>
      </c>
      <c r="C216">
        <v>0.59230000000000005</v>
      </c>
      <c r="D216">
        <v>0.52559999999999996</v>
      </c>
      <c r="E216">
        <v>0.57930000000000004</v>
      </c>
      <c r="F216">
        <v>2691207.91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0.61019490254872588</v>
      </c>
      <c r="Q216">
        <f t="shared" si="960"/>
        <v>1642161.3483808103</v>
      </c>
      <c r="R216">
        <f t="shared" si="961"/>
        <v>-87659062.184637189</v>
      </c>
      <c r="S216">
        <f t="shared" si="962"/>
        <v>-876.59062184637185</v>
      </c>
      <c r="T216">
        <f t="shared" si="963"/>
        <v>-0.87659062184637182</v>
      </c>
    </row>
    <row r="217" spans="1:20" x14ac:dyDescent="0.25">
      <c r="A217" s="5">
        <v>44376</v>
      </c>
      <c r="B217">
        <v>0.52790000000000004</v>
      </c>
      <c r="C217">
        <v>0.59840000000000004</v>
      </c>
      <c r="D217">
        <v>0.52690000000000003</v>
      </c>
      <c r="E217">
        <v>0.59240000000000004</v>
      </c>
      <c r="F217">
        <v>4406983.54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0.83216783216783208</v>
      </c>
      <c r="Q217">
        <f t="shared" si="960"/>
        <v>3667349.9388811183</v>
      </c>
      <c r="R217">
        <f t="shared" si="961"/>
        <v>-89301223.533017993</v>
      </c>
      <c r="S217">
        <f t="shared" si="962"/>
        <v>-893.01223533017992</v>
      </c>
      <c r="T217">
        <f t="shared" si="963"/>
        <v>-0.89301223533017993</v>
      </c>
    </row>
    <row r="218" spans="1:20" x14ac:dyDescent="0.25">
      <c r="A218" s="5">
        <v>44375</v>
      </c>
      <c r="B218">
        <v>0.49740000000000001</v>
      </c>
      <c r="C218">
        <v>0.54990000000000006</v>
      </c>
      <c r="D218">
        <v>0.4864</v>
      </c>
      <c r="E218">
        <v>0.52680000000000005</v>
      </c>
      <c r="F218">
        <v>3022139.99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0.27244094488189013</v>
      </c>
      <c r="Q218">
        <f t="shared" si="960"/>
        <v>823354.67444094608</v>
      </c>
      <c r="R218">
        <f t="shared" si="961"/>
        <v>-92968573.471899107</v>
      </c>
      <c r="S218">
        <f t="shared" si="962"/>
        <v>-929.68573471899106</v>
      </c>
      <c r="T218">
        <f t="shared" si="963"/>
        <v>-0.92968573471899107</v>
      </c>
    </row>
    <row r="219" spans="1:20" x14ac:dyDescent="0.25">
      <c r="A219" s="5">
        <v>44374</v>
      </c>
      <c r="B219">
        <v>0.48770000000000002</v>
      </c>
      <c r="C219">
        <v>0.53500000000000003</v>
      </c>
      <c r="D219">
        <v>0.4657</v>
      </c>
      <c r="E219">
        <v>0.49909999999999999</v>
      </c>
      <c r="F219">
        <v>9897581.8100000005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-3.6075036075036891E-2</v>
      </c>
      <c r="Q219">
        <f t="shared" si="960"/>
        <v>-357055.62085137895</v>
      </c>
      <c r="R219">
        <f t="shared" si="961"/>
        <v>-93791928.146340057</v>
      </c>
      <c r="S219">
        <f t="shared" si="962"/>
        <v>-937.91928146340058</v>
      </c>
      <c r="T219">
        <f t="shared" si="963"/>
        <v>-0.93791928146340053</v>
      </c>
    </row>
    <row r="220" spans="1:20" x14ac:dyDescent="0.25">
      <c r="A220" s="5">
        <v>44373</v>
      </c>
      <c r="B220">
        <v>0.4869</v>
      </c>
      <c r="C220">
        <v>0.49980000000000002</v>
      </c>
      <c r="D220">
        <v>0.45500000000000002</v>
      </c>
      <c r="E220">
        <v>0.48880000000000001</v>
      </c>
      <c r="F220">
        <v>2753672.11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0.50892857142857106</v>
      </c>
      <c r="Q220">
        <f t="shared" si="960"/>
        <v>1401422.413124999</v>
      </c>
      <c r="R220">
        <f t="shared" si="961"/>
        <v>-93434872.525488675</v>
      </c>
      <c r="S220">
        <f t="shared" si="962"/>
        <v>-934.34872525488674</v>
      </c>
      <c r="T220">
        <f t="shared" si="963"/>
        <v>-0.93434872525488677</v>
      </c>
    </row>
    <row r="221" spans="1:20" x14ac:dyDescent="0.25">
      <c r="A221" s="5">
        <v>44372</v>
      </c>
      <c r="B221">
        <v>0.56079999999999997</v>
      </c>
      <c r="C221">
        <v>0.56989999999999996</v>
      </c>
      <c r="D221">
        <v>0.47910000000000003</v>
      </c>
      <c r="E221">
        <v>0.49</v>
      </c>
      <c r="F221">
        <v>3882916.55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-0.75991189427312833</v>
      </c>
      <c r="Q221">
        <f t="shared" si="960"/>
        <v>-2950674.4708149801</v>
      </c>
      <c r="R221">
        <f t="shared" si="961"/>
        <v>-94836294.938613668</v>
      </c>
      <c r="S221">
        <f t="shared" si="962"/>
        <v>-948.36294938613673</v>
      </c>
      <c r="T221">
        <f t="shared" si="963"/>
        <v>-0.94836294938613674</v>
      </c>
    </row>
    <row r="222" spans="1:20" x14ac:dyDescent="0.25">
      <c r="A222" s="5">
        <v>44371</v>
      </c>
      <c r="B222">
        <v>0.53</v>
      </c>
      <c r="C222">
        <v>0.58160000000000001</v>
      </c>
      <c r="D222">
        <v>0.50260000000000005</v>
      </c>
      <c r="E222">
        <v>0.55820000000000003</v>
      </c>
      <c r="F222">
        <v>3167027.66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0.40759493670886104</v>
      </c>
      <c r="Q222">
        <f t="shared" si="960"/>
        <v>1290864.4386329125</v>
      </c>
      <c r="R222">
        <f t="shared" si="961"/>
        <v>-91885620.467798695</v>
      </c>
      <c r="S222">
        <f t="shared" si="962"/>
        <v>-918.85620467798697</v>
      </c>
      <c r="T222">
        <f t="shared" si="963"/>
        <v>-0.91885620467798701</v>
      </c>
    </row>
    <row r="223" spans="1:20" x14ac:dyDescent="0.25">
      <c r="A223" s="5">
        <v>44370</v>
      </c>
      <c r="B223">
        <v>0.4909</v>
      </c>
      <c r="C223">
        <v>0.56269999999999998</v>
      </c>
      <c r="D223">
        <v>0.47499999999999998</v>
      </c>
      <c r="E223">
        <v>0.52990000000000004</v>
      </c>
      <c r="F223">
        <v>3987896.79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0.25199543899658061</v>
      </c>
      <c r="Q223">
        <f t="shared" si="960"/>
        <v>1004931.8022691046</v>
      </c>
      <c r="R223">
        <f t="shared" si="961"/>
        <v>-93176484.9064316</v>
      </c>
      <c r="S223">
        <f t="shared" si="962"/>
        <v>-931.76484906431597</v>
      </c>
      <c r="T223">
        <f t="shared" si="963"/>
        <v>-0.931764849064316</v>
      </c>
    </row>
    <row r="224" spans="1:20" x14ac:dyDescent="0.25">
      <c r="A224" s="5">
        <v>44369</v>
      </c>
      <c r="B224">
        <v>0.51990000000000003</v>
      </c>
      <c r="C224">
        <v>0.5544</v>
      </c>
      <c r="D224">
        <v>0.42109999999999997</v>
      </c>
      <c r="E224">
        <v>0.4899</v>
      </c>
      <c r="F224">
        <v>5853604.1100000003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3.2258064516129219E-2</v>
      </c>
      <c r="Q224">
        <f t="shared" si="960"/>
        <v>188825.93903225916</v>
      </c>
      <c r="R224">
        <f t="shared" si="961"/>
        <v>-94181416.708700702</v>
      </c>
      <c r="S224">
        <f t="shared" si="962"/>
        <v>-941.81416708700704</v>
      </c>
      <c r="T224">
        <f t="shared" si="963"/>
        <v>-0.94181416708700705</v>
      </c>
    </row>
    <row r="225" spans="1:20" x14ac:dyDescent="0.25">
      <c r="A225" s="5">
        <v>44368</v>
      </c>
      <c r="B225">
        <v>0.69789999999999996</v>
      </c>
      <c r="C225">
        <v>0.70269999999999999</v>
      </c>
      <c r="D225">
        <v>0.51949999999999996</v>
      </c>
      <c r="E225">
        <v>0.52080000000000004</v>
      </c>
      <c r="F225">
        <v>6230760.1399999997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-0.98580786026200784</v>
      </c>
      <c r="Q225">
        <f t="shared" si="960"/>
        <v>-6142332.3214192083</v>
      </c>
      <c r="R225">
        <f t="shared" si="961"/>
        <v>-94370242.647732958</v>
      </c>
      <c r="S225">
        <f t="shared" si="962"/>
        <v>-943.7024264773296</v>
      </c>
      <c r="T225">
        <f t="shared" si="963"/>
        <v>-0.9437024264773296</v>
      </c>
    </row>
    <row r="226" spans="1:20" x14ac:dyDescent="0.25">
      <c r="A226" s="5">
        <v>44367</v>
      </c>
      <c r="B226">
        <v>0.70550000000000002</v>
      </c>
      <c r="C226">
        <v>0.72499999999999998</v>
      </c>
      <c r="D226">
        <v>0.64880000000000004</v>
      </c>
      <c r="E226">
        <v>0.69640000000000002</v>
      </c>
      <c r="F226">
        <v>4178729.49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0.2493438320209978</v>
      </c>
      <c r="Q226">
        <f t="shared" si="960"/>
        <v>1041940.4240157498</v>
      </c>
      <c r="R226">
        <f t="shared" si="961"/>
        <v>-88227910.326313749</v>
      </c>
      <c r="S226">
        <f t="shared" si="962"/>
        <v>-882.27910326313747</v>
      </c>
      <c r="T226">
        <f t="shared" si="963"/>
        <v>-0.88227910326313752</v>
      </c>
    </row>
    <row r="227" spans="1:20" x14ac:dyDescent="0.25">
      <c r="A227" s="5">
        <v>44366</v>
      </c>
      <c r="B227">
        <v>0.75280000000000002</v>
      </c>
      <c r="C227">
        <v>0.81240000000000001</v>
      </c>
      <c r="D227">
        <v>0.70509999999999995</v>
      </c>
      <c r="E227">
        <v>0.70609999999999995</v>
      </c>
      <c r="F227">
        <v>6921239.8799999999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-0.98136067101584346</v>
      </c>
      <c r="Q227">
        <f t="shared" si="960"/>
        <v>-6792232.6128984159</v>
      </c>
      <c r="R227">
        <f t="shared" si="961"/>
        <v>-89269850.750329494</v>
      </c>
      <c r="S227">
        <f t="shared" si="962"/>
        <v>-892.69850750329499</v>
      </c>
      <c r="T227">
        <f t="shared" si="963"/>
        <v>-0.89269850750329494</v>
      </c>
    </row>
    <row r="228" spans="1:20" x14ac:dyDescent="0.25">
      <c r="A228" s="5">
        <v>44365</v>
      </c>
      <c r="B228">
        <v>0.75670000000000004</v>
      </c>
      <c r="C228">
        <v>0.82389999999999997</v>
      </c>
      <c r="D228">
        <v>0.66379999999999995</v>
      </c>
      <c r="E228">
        <v>0.75229999999999997</v>
      </c>
      <c r="F228">
        <v>11192192.58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0.10555902560899452</v>
      </c>
      <c r="Q228">
        <f t="shared" si="960"/>
        <v>1181436.9431730185</v>
      </c>
      <c r="R228">
        <f t="shared" si="961"/>
        <v>-82477618.137431085</v>
      </c>
      <c r="S228">
        <f t="shared" si="962"/>
        <v>-824.7761813743108</v>
      </c>
      <c r="T228">
        <f t="shared" si="963"/>
        <v>-0.82477618137431075</v>
      </c>
    </row>
    <row r="229" spans="1:20" x14ac:dyDescent="0.25">
      <c r="A229" s="5">
        <v>44364</v>
      </c>
      <c r="B229">
        <v>0.75590000000000002</v>
      </c>
      <c r="C229">
        <v>0.79500000000000004</v>
      </c>
      <c r="D229">
        <v>0.72829999999999995</v>
      </c>
      <c r="E229">
        <v>0.75560000000000005</v>
      </c>
      <c r="F229">
        <v>2852034.75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-0.18140929535232192</v>
      </c>
      <c r="Q229">
        <f t="shared" si="960"/>
        <v>-517385.6143178356</v>
      </c>
      <c r="R229">
        <f t="shared" si="961"/>
        <v>-83659055.080604106</v>
      </c>
      <c r="S229">
        <f t="shared" si="962"/>
        <v>-836.59055080604105</v>
      </c>
      <c r="T229">
        <f t="shared" si="963"/>
        <v>-0.83659055080604106</v>
      </c>
    </row>
    <row r="230" spans="1:20" x14ac:dyDescent="0.25">
      <c r="A230" s="5">
        <v>44363</v>
      </c>
      <c r="B230">
        <v>0.74080000000000001</v>
      </c>
      <c r="C230">
        <v>0.81159999999999999</v>
      </c>
      <c r="D230">
        <v>0.71840000000000004</v>
      </c>
      <c r="E230">
        <v>0.75590000000000002</v>
      </c>
      <c r="F230">
        <v>5952295.4400000004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-0.19527896995708158</v>
      </c>
      <c r="Q230">
        <f t="shared" si="960"/>
        <v>-1162358.1224034338</v>
      </c>
      <c r="R230">
        <f t="shared" si="961"/>
        <v>-83141669.466286272</v>
      </c>
      <c r="S230">
        <f t="shared" si="962"/>
        <v>-831.41669466286271</v>
      </c>
      <c r="T230">
        <f t="shared" si="963"/>
        <v>-0.83141669466286272</v>
      </c>
    </row>
    <row r="231" spans="1:20" x14ac:dyDescent="0.25">
      <c r="A231" s="5">
        <v>44362</v>
      </c>
      <c r="B231">
        <v>0.75449999999999995</v>
      </c>
      <c r="C231">
        <v>0.7651</v>
      </c>
      <c r="D231">
        <v>0.71909999999999996</v>
      </c>
      <c r="E231">
        <v>0.74170000000000003</v>
      </c>
      <c r="F231">
        <v>2690440.94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-1.7391304347824155E-2</v>
      </c>
      <c r="Q231">
        <f t="shared" si="960"/>
        <v>-46790.277217386101</v>
      </c>
      <c r="R231">
        <f t="shared" si="961"/>
        <v>-81979311.343882844</v>
      </c>
      <c r="S231">
        <f t="shared" si="962"/>
        <v>-819.79311343882841</v>
      </c>
      <c r="T231">
        <f t="shared" si="963"/>
        <v>-0.81979311343882844</v>
      </c>
    </row>
    <row r="232" spans="1:20" x14ac:dyDescent="0.25">
      <c r="A232" s="5">
        <v>44361</v>
      </c>
      <c r="B232">
        <v>0.73929999999999996</v>
      </c>
      <c r="C232">
        <v>0.77680000000000005</v>
      </c>
      <c r="D232">
        <v>0.71530000000000005</v>
      </c>
      <c r="E232">
        <v>0.75449999999999995</v>
      </c>
      <c r="F232">
        <v>2694246.28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0.2747967479674765</v>
      </c>
      <c r="Q232">
        <f t="shared" si="960"/>
        <v>740370.11596747104</v>
      </c>
      <c r="R232">
        <f t="shared" si="961"/>
        <v>-81932521.066665456</v>
      </c>
      <c r="S232">
        <f t="shared" si="962"/>
        <v>-819.32521066665458</v>
      </c>
      <c r="T232">
        <f t="shared" si="963"/>
        <v>-0.81932521066665454</v>
      </c>
    </row>
    <row r="233" spans="1:20" x14ac:dyDescent="0.25">
      <c r="A233" s="5">
        <v>44360</v>
      </c>
      <c r="B233">
        <v>0.69669999999999999</v>
      </c>
      <c r="C233">
        <v>0.745</v>
      </c>
      <c r="D233">
        <v>0.67</v>
      </c>
      <c r="E233">
        <v>0.74</v>
      </c>
      <c r="F233">
        <v>3426976.02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0.86666666666666647</v>
      </c>
      <c r="Q233">
        <f t="shared" si="960"/>
        <v>2970045.8839999991</v>
      </c>
      <c r="R233">
        <f t="shared" si="961"/>
        <v>-82672891.182632923</v>
      </c>
      <c r="S233">
        <f t="shared" si="962"/>
        <v>-826.72891182632918</v>
      </c>
      <c r="T233">
        <f t="shared" si="963"/>
        <v>-0.82672891182632913</v>
      </c>
    </row>
    <row r="234" spans="1:20" x14ac:dyDescent="0.25">
      <c r="A234" s="5">
        <v>44359</v>
      </c>
      <c r="B234">
        <v>0.70320000000000005</v>
      </c>
      <c r="C234">
        <v>0.74270000000000003</v>
      </c>
      <c r="D234">
        <v>0.65639999999999998</v>
      </c>
      <c r="E234">
        <v>0.69350000000000001</v>
      </c>
      <c r="F234">
        <v>2717512.47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-0.1402085747392815</v>
      </c>
      <c r="Q234">
        <f t="shared" si="960"/>
        <v>-381018.55025492451</v>
      </c>
      <c r="R234">
        <f t="shared" si="961"/>
        <v>-85642937.066632926</v>
      </c>
      <c r="S234">
        <f t="shared" si="962"/>
        <v>-856.42937066632931</v>
      </c>
      <c r="T234">
        <f t="shared" si="963"/>
        <v>-0.85642937066632929</v>
      </c>
    </row>
    <row r="235" spans="1:20" x14ac:dyDescent="0.25">
      <c r="A235" s="5">
        <v>44358</v>
      </c>
      <c r="B235">
        <v>0.76759999999999995</v>
      </c>
      <c r="C235">
        <v>0.78180000000000005</v>
      </c>
      <c r="D235">
        <v>0.7006</v>
      </c>
      <c r="E235">
        <v>0.70509999999999995</v>
      </c>
      <c r="F235">
        <v>2338123.27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-0.88916256157635598</v>
      </c>
      <c r="Q235">
        <f t="shared" si="960"/>
        <v>-2078971.6760344859</v>
      </c>
      <c r="R235">
        <f t="shared" si="961"/>
        <v>-85261918.516378</v>
      </c>
      <c r="S235">
        <f t="shared" si="962"/>
        <v>-852.61918516378</v>
      </c>
      <c r="T235">
        <f t="shared" si="963"/>
        <v>-0.85261918516377999</v>
      </c>
    </row>
    <row r="236" spans="1:20" x14ac:dyDescent="0.25">
      <c r="A236" s="5">
        <v>44357</v>
      </c>
      <c r="B236">
        <v>0.84770000000000001</v>
      </c>
      <c r="C236">
        <v>0.85929999999999995</v>
      </c>
      <c r="D236">
        <v>0.74039999999999995</v>
      </c>
      <c r="E236">
        <v>0.76729999999999998</v>
      </c>
      <c r="F236">
        <v>4695216.3899999997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-0.54751892346509612</v>
      </c>
      <c r="Q236">
        <f t="shared" si="960"/>
        <v>-2570719.8232884747</v>
      </c>
      <c r="R236">
        <f t="shared" si="961"/>
        <v>-83182946.84034352</v>
      </c>
      <c r="S236">
        <f t="shared" si="962"/>
        <v>-831.82946840343516</v>
      </c>
      <c r="T236">
        <f t="shared" si="963"/>
        <v>-0.83182946840343519</v>
      </c>
    </row>
    <row r="237" spans="1:20" x14ac:dyDescent="0.25">
      <c r="A237" s="5">
        <v>44356</v>
      </c>
      <c r="B237">
        <v>0.71779999999999999</v>
      </c>
      <c r="C237">
        <v>0.90469999999999995</v>
      </c>
      <c r="D237">
        <v>0.68759999999999999</v>
      </c>
      <c r="E237">
        <v>0.84760000000000002</v>
      </c>
      <c r="F237">
        <v>9916056.4199999999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0.47397512666973801</v>
      </c>
      <c r="Q237">
        <f t="shared" si="960"/>
        <v>4699964.0977337686</v>
      </c>
      <c r="R237">
        <f t="shared" si="961"/>
        <v>-80612227.01705505</v>
      </c>
      <c r="S237">
        <f t="shared" si="962"/>
        <v>-806.12227017055045</v>
      </c>
      <c r="T237">
        <f t="shared" si="963"/>
        <v>-0.80612227017055049</v>
      </c>
    </row>
    <row r="238" spans="1:20" x14ac:dyDescent="0.25">
      <c r="A238" s="5">
        <v>44355</v>
      </c>
      <c r="B238">
        <v>0.70150000000000001</v>
      </c>
      <c r="C238">
        <v>0.73209999999999997</v>
      </c>
      <c r="D238">
        <v>0.62880000000000003</v>
      </c>
      <c r="E238">
        <v>0.7228</v>
      </c>
      <c r="F238">
        <v>3397383.16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0.8199419167473383</v>
      </c>
      <c r="Q238">
        <f t="shared" si="960"/>
        <v>2785656.8601355292</v>
      </c>
      <c r="R238">
        <f t="shared" si="961"/>
        <v>-85312191.114788815</v>
      </c>
      <c r="S238">
        <f t="shared" si="962"/>
        <v>-853.12191114788811</v>
      </c>
      <c r="T238">
        <f t="shared" si="963"/>
        <v>-0.85312191114788816</v>
      </c>
    </row>
    <row r="239" spans="1:20" x14ac:dyDescent="0.25">
      <c r="A239" s="5">
        <v>44354</v>
      </c>
      <c r="B239">
        <v>0.78600000000000003</v>
      </c>
      <c r="C239">
        <v>0.82</v>
      </c>
      <c r="D239">
        <v>0.69</v>
      </c>
      <c r="E239">
        <v>0.70030000000000003</v>
      </c>
      <c r="F239">
        <v>2575115.06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-0.84153846153846024</v>
      </c>
      <c r="Q239">
        <f t="shared" si="960"/>
        <v>-2167058.3658769196</v>
      </c>
      <c r="R239">
        <f t="shared" si="961"/>
        <v>-88097847.974924341</v>
      </c>
      <c r="S239">
        <f t="shared" si="962"/>
        <v>-880.97847974924343</v>
      </c>
      <c r="T239">
        <f t="shared" si="963"/>
        <v>-0.88097847974924348</v>
      </c>
    </row>
    <row r="240" spans="1:20" x14ac:dyDescent="0.25">
      <c r="A240" s="5">
        <v>44353</v>
      </c>
      <c r="B240">
        <v>0.75770000000000004</v>
      </c>
      <c r="C240">
        <v>0.81930000000000003</v>
      </c>
      <c r="D240">
        <v>0.75170000000000003</v>
      </c>
      <c r="E240">
        <v>0.78590000000000004</v>
      </c>
      <c r="F240">
        <v>2907602.9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1.1834319526627559E-2</v>
      </c>
      <c r="Q240">
        <f t="shared" si="960"/>
        <v>34409.501775148914</v>
      </c>
      <c r="R240">
        <f t="shared" si="961"/>
        <v>-85930789.609047428</v>
      </c>
      <c r="S240">
        <f t="shared" si="962"/>
        <v>-859.30789609047429</v>
      </c>
      <c r="T240">
        <f t="shared" si="963"/>
        <v>-0.85930789609047431</v>
      </c>
    </row>
    <row r="241" spans="1:20" x14ac:dyDescent="0.25">
      <c r="A241" s="5">
        <v>44352</v>
      </c>
      <c r="B241">
        <v>0.79710000000000003</v>
      </c>
      <c r="C241">
        <v>0.84519999999999995</v>
      </c>
      <c r="D241">
        <v>0.72899999999999998</v>
      </c>
      <c r="E241">
        <v>0.75870000000000004</v>
      </c>
      <c r="F241">
        <v>3545252.8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-0.4888123924268491</v>
      </c>
      <c r="Q241">
        <f t="shared" si="960"/>
        <v>-1732963.5029259855</v>
      </c>
      <c r="R241">
        <f t="shared" si="961"/>
        <v>-85965199.110822573</v>
      </c>
      <c r="S241">
        <f t="shared" si="962"/>
        <v>-859.65199110822573</v>
      </c>
      <c r="T241">
        <f t="shared" si="963"/>
        <v>-0.85965199110822577</v>
      </c>
    </row>
    <row r="242" spans="1:20" x14ac:dyDescent="0.25">
      <c r="A242" s="5">
        <v>44351</v>
      </c>
      <c r="B242">
        <v>0.90749999999999997</v>
      </c>
      <c r="C242">
        <v>0.90759999999999996</v>
      </c>
      <c r="D242">
        <v>0.76329999999999998</v>
      </c>
      <c r="E242">
        <v>0.79559999999999997</v>
      </c>
      <c r="F242">
        <v>4554386.12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-0.55232155232155233</v>
      </c>
      <c r="Q242">
        <f t="shared" si="960"/>
        <v>-2515485.6116701318</v>
      </c>
      <c r="R242">
        <f t="shared" si="961"/>
        <v>-84232235.607896581</v>
      </c>
      <c r="S242">
        <f t="shared" si="962"/>
        <v>-842.32235607896587</v>
      </c>
      <c r="T242">
        <f t="shared" si="963"/>
        <v>-0.84232235607896588</v>
      </c>
    </row>
    <row r="243" spans="1:20" x14ac:dyDescent="0.25">
      <c r="A243" s="5">
        <v>44350</v>
      </c>
      <c r="B243">
        <v>0.89100000000000001</v>
      </c>
      <c r="C243">
        <v>0.92949999999999999</v>
      </c>
      <c r="D243">
        <v>0.87419999999999998</v>
      </c>
      <c r="E243">
        <v>0.90759999999999996</v>
      </c>
      <c r="F243">
        <v>3994433.84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0.20795660036166277</v>
      </c>
      <c r="Q243">
        <f t="shared" si="960"/>
        <v>830668.88173598202</v>
      </c>
      <c r="R243">
        <f t="shared" si="961"/>
        <v>-81716749.996226445</v>
      </c>
      <c r="S243">
        <f t="shared" si="962"/>
        <v>-817.1674999622644</v>
      </c>
      <c r="T243">
        <f t="shared" si="963"/>
        <v>-0.81716749996226445</v>
      </c>
    </row>
    <row r="244" spans="1:20" x14ac:dyDescent="0.25">
      <c r="A244" s="5">
        <v>44349</v>
      </c>
      <c r="B244">
        <v>0.81969999999999998</v>
      </c>
      <c r="C244">
        <v>0.92649999999999999</v>
      </c>
      <c r="D244">
        <v>0.79459999999999997</v>
      </c>
      <c r="E244">
        <v>0.88949999999999996</v>
      </c>
      <c r="F244">
        <v>4175569.39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0.43896891584533693</v>
      </c>
      <c r="Q244">
        <f t="shared" si="960"/>
        <v>1832945.1681652749</v>
      </c>
      <c r="R244">
        <f t="shared" si="961"/>
        <v>-82547418.877962425</v>
      </c>
      <c r="S244">
        <f t="shared" si="962"/>
        <v>-825.47418877962423</v>
      </c>
      <c r="T244">
        <f t="shared" si="963"/>
        <v>-0.8254741887796242</v>
      </c>
    </row>
    <row r="245" spans="1:20" x14ac:dyDescent="0.25">
      <c r="A245" s="5">
        <v>44348</v>
      </c>
      <c r="B245">
        <v>0.85580000000000001</v>
      </c>
      <c r="C245">
        <v>0.87780000000000002</v>
      </c>
      <c r="D245">
        <v>0.80220000000000002</v>
      </c>
      <c r="E245">
        <v>0.81979999999999997</v>
      </c>
      <c r="F245">
        <v>2048823.17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-0.53439153439153575</v>
      </c>
      <c r="Q245">
        <f t="shared" si="960"/>
        <v>-1094873.7575132302</v>
      </c>
      <c r="R245">
        <f t="shared" si="961"/>
        <v>-84380364.046127707</v>
      </c>
      <c r="S245">
        <f t="shared" si="962"/>
        <v>-843.80364046127704</v>
      </c>
      <c r="T245">
        <f t="shared" si="963"/>
        <v>-0.84380364046127709</v>
      </c>
    </row>
    <row r="246" spans="1:20" x14ac:dyDescent="0.25">
      <c r="A246" s="5">
        <v>44347</v>
      </c>
      <c r="B246">
        <v>0.8044</v>
      </c>
      <c r="C246">
        <v>0.86240000000000006</v>
      </c>
      <c r="D246">
        <v>0.75009999999999999</v>
      </c>
      <c r="E246">
        <v>0.86029999999999995</v>
      </c>
      <c r="F246">
        <v>2789398.26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0.96260017809438825</v>
      </c>
      <c r="Q246">
        <f t="shared" si="960"/>
        <v>2685075.2618521764</v>
      </c>
      <c r="R246">
        <f t="shared" si="961"/>
        <v>-83285490.288614482</v>
      </c>
      <c r="S246">
        <f t="shared" si="962"/>
        <v>-832.85490288614483</v>
      </c>
      <c r="T246">
        <f t="shared" si="963"/>
        <v>-0.83285490288614483</v>
      </c>
    </row>
    <row r="247" spans="1:20" x14ac:dyDescent="0.25">
      <c r="A247" s="5">
        <v>44346</v>
      </c>
      <c r="B247">
        <v>0.74980000000000002</v>
      </c>
      <c r="C247">
        <v>0.84470000000000001</v>
      </c>
      <c r="D247">
        <v>0.70120000000000005</v>
      </c>
      <c r="E247">
        <v>0.80430000000000001</v>
      </c>
      <c r="F247">
        <v>2808793.25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0.43693379790940762</v>
      </c>
      <c r="Q247">
        <f t="shared" si="960"/>
        <v>1227256.7022648081</v>
      </c>
      <c r="R247">
        <f t="shared" si="961"/>
        <v>-85970565.550466657</v>
      </c>
      <c r="S247">
        <f t="shared" si="962"/>
        <v>-859.70565550466654</v>
      </c>
      <c r="T247">
        <f t="shared" si="963"/>
        <v>-0.85970565550466649</v>
      </c>
    </row>
    <row r="248" spans="1:20" x14ac:dyDescent="0.25">
      <c r="A248" s="5">
        <v>44345</v>
      </c>
      <c r="B248">
        <v>0.78659999999999997</v>
      </c>
      <c r="C248">
        <v>0.8679</v>
      </c>
      <c r="D248">
        <v>0.70809999999999995</v>
      </c>
      <c r="E248">
        <v>0.75160000000000005</v>
      </c>
      <c r="F248">
        <v>3837522.68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-0.45556946182728308</v>
      </c>
      <c r="Q248">
        <f t="shared" si="960"/>
        <v>-1748258.1420775931</v>
      </c>
      <c r="R248">
        <f t="shared" si="961"/>
        <v>-87197822.252731472</v>
      </c>
      <c r="S248">
        <f t="shared" si="962"/>
        <v>-871.97822252731476</v>
      </c>
      <c r="T248">
        <f t="shared" si="963"/>
        <v>-0.87197822252731472</v>
      </c>
    </row>
    <row r="249" spans="1:20" x14ac:dyDescent="0.25">
      <c r="A249" s="5">
        <v>44344</v>
      </c>
      <c r="B249">
        <v>0.92390000000000005</v>
      </c>
      <c r="C249">
        <v>0.93810000000000004</v>
      </c>
      <c r="D249">
        <v>0.73280000000000001</v>
      </c>
      <c r="E249">
        <v>0.78769999999999996</v>
      </c>
      <c r="F249">
        <v>3574602.67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-0.46517291768144237</v>
      </c>
      <c r="Q249">
        <f t="shared" si="960"/>
        <v>-1662808.3535557741</v>
      </c>
      <c r="R249">
        <f t="shared" si="961"/>
        <v>-85449564.110653877</v>
      </c>
      <c r="S249">
        <f t="shared" si="962"/>
        <v>-854.49564110653876</v>
      </c>
      <c r="T249">
        <f t="shared" si="963"/>
        <v>-0.85449564110653875</v>
      </c>
    </row>
    <row r="250" spans="1:20" x14ac:dyDescent="0.25">
      <c r="A250" s="5">
        <v>44343</v>
      </c>
      <c r="B250">
        <v>0.98380000000000001</v>
      </c>
      <c r="C250">
        <v>0.9859</v>
      </c>
      <c r="D250">
        <v>0.85799999999999998</v>
      </c>
      <c r="E250">
        <v>0.92449999999999999</v>
      </c>
      <c r="F250">
        <v>4018806.28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3.9874902267396345E-2</v>
      </c>
      <c r="Q250">
        <f t="shared" si="960"/>
        <v>160249.50764659865</v>
      </c>
      <c r="R250">
        <f t="shared" si="961"/>
        <v>-83786755.757098109</v>
      </c>
      <c r="S250">
        <f t="shared" si="962"/>
        <v>-837.86755757098103</v>
      </c>
      <c r="T250">
        <f t="shared" si="963"/>
        <v>-0.83786755757098108</v>
      </c>
    </row>
    <row r="251" spans="1:20" x14ac:dyDescent="0.25">
      <c r="A251" s="5">
        <v>44342</v>
      </c>
      <c r="B251">
        <v>0.88819999999999999</v>
      </c>
      <c r="C251">
        <v>0.98970000000000002</v>
      </c>
      <c r="D251">
        <v>0.87270000000000003</v>
      </c>
      <c r="E251">
        <v>0.98580000000000001</v>
      </c>
      <c r="F251">
        <v>3890861.66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0.93333333333333313</v>
      </c>
      <c r="Q251">
        <f t="shared" si="960"/>
        <v>3631470.8826666661</v>
      </c>
      <c r="R251">
        <f t="shared" si="961"/>
        <v>-83947005.264744714</v>
      </c>
      <c r="S251">
        <f t="shared" si="962"/>
        <v>-839.47005264744712</v>
      </c>
      <c r="T251">
        <f t="shared" si="963"/>
        <v>-0.83947005264744712</v>
      </c>
    </row>
    <row r="252" spans="1:20" x14ac:dyDescent="0.25">
      <c r="A252" s="5">
        <v>44341</v>
      </c>
      <c r="B252">
        <v>0.81950000000000001</v>
      </c>
      <c r="C252">
        <v>0.89990000000000003</v>
      </c>
      <c r="D252">
        <v>0.74580000000000002</v>
      </c>
      <c r="E252">
        <v>0.88460000000000005</v>
      </c>
      <c r="F252">
        <v>3720575.59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0.80142764438676217</v>
      </c>
      <c r="Q252">
        <f t="shared" si="960"/>
        <v>2981772.1308565876</v>
      </c>
      <c r="R252">
        <f t="shared" si="961"/>
        <v>-87578476.147411376</v>
      </c>
      <c r="S252">
        <f t="shared" si="962"/>
        <v>-875.78476147411379</v>
      </c>
      <c r="T252">
        <f t="shared" si="963"/>
        <v>-0.87578476147411377</v>
      </c>
    </row>
    <row r="253" spans="1:20" x14ac:dyDescent="0.25">
      <c r="A253" s="5">
        <v>44340</v>
      </c>
      <c r="B253">
        <v>0.6603</v>
      </c>
      <c r="C253">
        <v>0.84619999999999995</v>
      </c>
      <c r="D253">
        <v>0.63870000000000005</v>
      </c>
      <c r="E253">
        <v>0.82379999999999998</v>
      </c>
      <c r="F253">
        <v>4439472.2699999996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0.78409638554216876</v>
      </c>
      <c r="Q253">
        <f t="shared" si="960"/>
        <v>3480974.1606216868</v>
      </c>
      <c r="R253">
        <f t="shared" si="961"/>
        <v>-90560248.278267965</v>
      </c>
      <c r="S253">
        <f t="shared" si="962"/>
        <v>-905.60248278267966</v>
      </c>
      <c r="T253">
        <f t="shared" si="963"/>
        <v>-0.90560248278267963</v>
      </c>
    </row>
    <row r="254" spans="1:20" x14ac:dyDescent="0.25">
      <c r="A254" s="5">
        <v>44339</v>
      </c>
      <c r="B254">
        <v>0.83860000000000001</v>
      </c>
      <c r="C254">
        <v>0.88429999999999997</v>
      </c>
      <c r="D254">
        <v>0.53</v>
      </c>
      <c r="E254">
        <v>0.66100000000000003</v>
      </c>
      <c r="F254">
        <v>6861487.9699999997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-0.26051368896415456</v>
      </c>
      <c r="Q254">
        <f t="shared" si="960"/>
        <v>-1787511.5428478683</v>
      </c>
      <c r="R254">
        <f t="shared" si="961"/>
        <v>-94041222.438889652</v>
      </c>
      <c r="S254">
        <f t="shared" si="962"/>
        <v>-940.41222438889656</v>
      </c>
      <c r="T254">
        <f t="shared" si="963"/>
        <v>-0.9404122243888966</v>
      </c>
    </row>
    <row r="255" spans="1:20" x14ac:dyDescent="0.25">
      <c r="A255" s="5">
        <v>44338</v>
      </c>
      <c r="B255">
        <v>0.88519999999999999</v>
      </c>
      <c r="C255">
        <v>0.91839999999999999</v>
      </c>
      <c r="D255">
        <v>0.76329999999999998</v>
      </c>
      <c r="E255">
        <v>0.83299999999999996</v>
      </c>
      <c r="F255">
        <v>3600290.54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-0.10122501611863344</v>
      </c>
      <c r="Q255">
        <f t="shared" si="960"/>
        <v>-364439.46794326347</v>
      </c>
      <c r="R255">
        <f t="shared" si="961"/>
        <v>-92253710.896041781</v>
      </c>
      <c r="S255">
        <f t="shared" si="962"/>
        <v>-922.53710896041775</v>
      </c>
      <c r="T255">
        <f t="shared" si="963"/>
        <v>-0.92253710896041774</v>
      </c>
    </row>
    <row r="256" spans="1:20" x14ac:dyDescent="0.25">
      <c r="A256" s="5">
        <v>44337</v>
      </c>
      <c r="B256">
        <v>1.0649999999999999</v>
      </c>
      <c r="C256">
        <v>1.1165</v>
      </c>
      <c r="D256">
        <v>0.73740000000000006</v>
      </c>
      <c r="E256">
        <v>0.87819999999999998</v>
      </c>
      <c r="F256">
        <v>5525517.6200000001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-0.25718807702453217</v>
      </c>
      <c r="Q256">
        <f t="shared" si="960"/>
        <v>-1421097.2512529697</v>
      </c>
      <c r="R256">
        <f t="shared" si="961"/>
        <v>-91889271.428098515</v>
      </c>
      <c r="S256">
        <f t="shared" si="962"/>
        <v>-918.89271428098516</v>
      </c>
      <c r="T256">
        <f t="shared" si="963"/>
        <v>-0.91889271428098518</v>
      </c>
    </row>
    <row r="257" spans="1:20" x14ac:dyDescent="0.25">
      <c r="A257" s="5">
        <v>44336</v>
      </c>
      <c r="B257">
        <v>0.93530000000000002</v>
      </c>
      <c r="C257">
        <v>1.1395</v>
      </c>
      <c r="D257">
        <v>0.82269999999999999</v>
      </c>
      <c r="E257">
        <v>1.0648</v>
      </c>
      <c r="F257">
        <v>4575545.7699999996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0.52840909090909094</v>
      </c>
      <c r="Q257">
        <f t="shared" si="960"/>
        <v>2417759.9807386361</v>
      </c>
      <c r="R257">
        <f t="shared" si="961"/>
        <v>-90468174.176845551</v>
      </c>
      <c r="S257">
        <f t="shared" si="962"/>
        <v>-904.68174176845548</v>
      </c>
      <c r="T257">
        <f t="shared" si="963"/>
        <v>-0.90468174176845551</v>
      </c>
    </row>
    <row r="258" spans="1:20" x14ac:dyDescent="0.25">
      <c r="A258" s="5">
        <v>44335</v>
      </c>
      <c r="B258">
        <v>1.4592000000000001</v>
      </c>
      <c r="C258">
        <v>1.4850000000000001</v>
      </c>
      <c r="D258">
        <v>0.76</v>
      </c>
      <c r="E258">
        <v>0.93010000000000004</v>
      </c>
      <c r="F258">
        <v>10552586.74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-0.53075862068965518</v>
      </c>
      <c r="Q258">
        <f t="shared" si="960"/>
        <v>-5600876.3828303451</v>
      </c>
      <c r="R258">
        <f t="shared" si="961"/>
        <v>-92885934.15758419</v>
      </c>
      <c r="S258">
        <f t="shared" si="962"/>
        <v>-928.85934157584188</v>
      </c>
      <c r="T258">
        <f t="shared" si="963"/>
        <v>-0.92885934157584193</v>
      </c>
    </row>
    <row r="259" spans="1:20" x14ac:dyDescent="0.25">
      <c r="A259" s="5">
        <v>44334</v>
      </c>
      <c r="B259">
        <v>1.4472</v>
      </c>
      <c r="C259">
        <v>1.5736000000000001</v>
      </c>
      <c r="D259">
        <v>1.42</v>
      </c>
      <c r="E259">
        <v>1.4554</v>
      </c>
      <c r="F259">
        <v>4865947.4000000004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-0.53906249999999922</v>
      </c>
      <c r="Q259">
        <f t="shared" si="960"/>
        <v>-2623049.7703124965</v>
      </c>
      <c r="R259">
        <f t="shared" si="961"/>
        <v>-87285057.774753839</v>
      </c>
      <c r="S259">
        <f t="shared" si="962"/>
        <v>-872.85057774753841</v>
      </c>
      <c r="T259">
        <f t="shared" si="963"/>
        <v>-0.87285057774753838</v>
      </c>
    </row>
    <row r="260" spans="1:20" x14ac:dyDescent="0.25">
      <c r="A260" s="5">
        <v>44333</v>
      </c>
      <c r="B260">
        <v>1.6397999999999999</v>
      </c>
      <c r="C260">
        <v>1.6447000000000001</v>
      </c>
      <c r="D260">
        <v>1.389</v>
      </c>
      <c r="E260">
        <v>1.4438</v>
      </c>
      <c r="F260">
        <v>6225898.7000000002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-0.57137270238560856</v>
      </c>
      <c r="Q260">
        <f t="shared" si="960"/>
        <v>-3557308.5649980474</v>
      </c>
      <c r="R260">
        <f t="shared" si="961"/>
        <v>-84662008.004441336</v>
      </c>
      <c r="S260">
        <f t="shared" si="962"/>
        <v>-846.62008004441338</v>
      </c>
      <c r="T260">
        <f t="shared" si="963"/>
        <v>-0.84662008004441336</v>
      </c>
    </row>
    <row r="261" spans="1:20" x14ac:dyDescent="0.25">
      <c r="A261" s="5">
        <v>44332</v>
      </c>
      <c r="B261">
        <v>1.6278999999999999</v>
      </c>
      <c r="C261">
        <v>1.7905</v>
      </c>
      <c r="D261">
        <v>1.4990000000000001</v>
      </c>
      <c r="E261">
        <v>1.6397999999999999</v>
      </c>
      <c r="F261">
        <v>7081872.3700000001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-3.3962264150944242E-2</v>
      </c>
      <c r="Q261">
        <f t="shared" si="960"/>
        <v>-240516.42011321353</v>
      </c>
      <c r="R261">
        <f t="shared" si="961"/>
        <v>-81104699.43944329</v>
      </c>
      <c r="S261">
        <f t="shared" si="962"/>
        <v>-811.04699439443289</v>
      </c>
      <c r="T261">
        <f t="shared" si="963"/>
        <v>-0.81104699439443284</v>
      </c>
    </row>
    <row r="262" spans="1:20" x14ac:dyDescent="0.25">
      <c r="A262" s="5">
        <v>44331</v>
      </c>
      <c r="B262">
        <v>1.8795999999999999</v>
      </c>
      <c r="C262">
        <v>1.909</v>
      </c>
      <c r="D262">
        <v>1.6028</v>
      </c>
      <c r="E262">
        <v>1.6238999999999999</v>
      </c>
      <c r="F262">
        <v>6321836.3600000003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-0.86218158066623196</v>
      </c>
      <c r="Q262">
        <f t="shared" ref="Q262:Q325" si="965">F262*P262</f>
        <v>-5450570.8655780582</v>
      </c>
      <c r="R262">
        <f t="shared" ref="R262:R325" si="966">R263+Q262</f>
        <v>-80864183.019330069</v>
      </c>
      <c r="S262">
        <f t="shared" ref="S262:S325" si="967">R262/100000</f>
        <v>-808.64183019330073</v>
      </c>
      <c r="T262">
        <f t="shared" ref="T262:T325" si="968">S262/1000</f>
        <v>-0.80864183019330071</v>
      </c>
    </row>
    <row r="263" spans="1:20" x14ac:dyDescent="0.25">
      <c r="A263" s="5">
        <v>44330</v>
      </c>
      <c r="B263">
        <v>1.6476</v>
      </c>
      <c r="C263">
        <v>1.9847999999999999</v>
      </c>
      <c r="D263">
        <v>1.6356999999999999</v>
      </c>
      <c r="E263">
        <v>1.8785000000000001</v>
      </c>
      <c r="F263">
        <v>8203712.6500000004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0.39100544256660069</v>
      </c>
      <c r="Q263">
        <f t="shared" si="965"/>
        <v>3207696.2954024705</v>
      </c>
      <c r="R263">
        <f t="shared" si="966"/>
        <v>-75413612.153752014</v>
      </c>
      <c r="S263">
        <f t="shared" si="967"/>
        <v>-754.13612153752013</v>
      </c>
      <c r="T263">
        <f t="shared" si="968"/>
        <v>-0.75413612153752008</v>
      </c>
    </row>
    <row r="264" spans="1:20" x14ac:dyDescent="0.25">
      <c r="A264" s="5">
        <v>44329</v>
      </c>
      <c r="B264">
        <v>1.6296999999999999</v>
      </c>
      <c r="C264">
        <v>1.7978000000000001</v>
      </c>
      <c r="D264">
        <v>1.5138</v>
      </c>
      <c r="E264">
        <v>1.6476</v>
      </c>
      <c r="F264">
        <v>5014413.9400000004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-5.7746478873240109E-2</v>
      </c>
      <c r="Q264">
        <f t="shared" si="965"/>
        <v>-289564.74864789069</v>
      </c>
      <c r="R264">
        <f t="shared" si="966"/>
        <v>-78621308.449154481</v>
      </c>
      <c r="S264">
        <f t="shared" si="967"/>
        <v>-786.21308449154481</v>
      </c>
      <c r="T264">
        <f t="shared" si="968"/>
        <v>-0.78621308449154481</v>
      </c>
    </row>
    <row r="265" spans="1:20" x14ac:dyDescent="0.25">
      <c r="A265" s="5">
        <v>44328</v>
      </c>
      <c r="B265">
        <v>1.8651</v>
      </c>
      <c r="C265">
        <v>2.1</v>
      </c>
      <c r="D265">
        <v>1.6146</v>
      </c>
      <c r="E265">
        <v>1.6332</v>
      </c>
      <c r="F265">
        <v>10759152.6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-0.92336217552534017</v>
      </c>
      <c r="Q265">
        <f t="shared" si="965"/>
        <v>-9934594.5515451189</v>
      </c>
      <c r="R265">
        <f t="shared" si="966"/>
        <v>-78331743.700506598</v>
      </c>
      <c r="S265">
        <f t="shared" si="967"/>
        <v>-783.31743700506593</v>
      </c>
      <c r="T265">
        <f t="shared" si="968"/>
        <v>-0.78331743700506595</v>
      </c>
    </row>
    <row r="266" spans="1:20" x14ac:dyDescent="0.25">
      <c r="A266" s="5">
        <v>44327</v>
      </c>
      <c r="B266">
        <v>1.7689999999999999</v>
      </c>
      <c r="C266">
        <v>1.9356</v>
      </c>
      <c r="D266">
        <v>1.675</v>
      </c>
      <c r="E266">
        <v>1.8622000000000001</v>
      </c>
      <c r="F266">
        <v>6809366.3200000003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0.43668457405986244</v>
      </c>
      <c r="Q266">
        <f t="shared" si="965"/>
        <v>2973545.2310667732</v>
      </c>
      <c r="R266">
        <f t="shared" si="966"/>
        <v>-68397149.148961484</v>
      </c>
      <c r="S266">
        <f t="shared" si="967"/>
        <v>-683.97149148961489</v>
      </c>
      <c r="T266">
        <f t="shared" si="968"/>
        <v>-0.68397149148961489</v>
      </c>
    </row>
    <row r="267" spans="1:20" x14ac:dyDescent="0.25">
      <c r="A267" s="5">
        <v>44326</v>
      </c>
      <c r="B267">
        <v>1.9661999999999999</v>
      </c>
      <c r="C267">
        <v>2.0920000000000001</v>
      </c>
      <c r="D267">
        <v>1.6611</v>
      </c>
      <c r="E267">
        <v>1.7714000000000001</v>
      </c>
      <c r="F267">
        <v>9299075.5700000003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-0.48804827106057069</v>
      </c>
      <c r="Q267">
        <f t="shared" si="965"/>
        <v>-4538397.7544000912</v>
      </c>
      <c r="R267">
        <f t="shared" si="966"/>
        <v>-71370694.380028263</v>
      </c>
      <c r="S267">
        <f t="shared" si="967"/>
        <v>-713.7069438002826</v>
      </c>
      <c r="T267">
        <f t="shared" si="968"/>
        <v>-0.71370694380028266</v>
      </c>
    </row>
    <row r="268" spans="1:20" x14ac:dyDescent="0.25">
      <c r="A268" s="5">
        <v>44325</v>
      </c>
      <c r="B268">
        <v>2.1417999999999999</v>
      </c>
      <c r="C268">
        <v>2.2323</v>
      </c>
      <c r="D268">
        <v>1.9319</v>
      </c>
      <c r="E268">
        <v>1.9648000000000001</v>
      </c>
      <c r="F268">
        <v>10476261.869999999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-0.78095872170439318</v>
      </c>
      <c r="Q268">
        <f t="shared" si="965"/>
        <v>-8181528.0782356746</v>
      </c>
      <c r="R268">
        <f t="shared" si="966"/>
        <v>-66832296.625628173</v>
      </c>
      <c r="S268">
        <f t="shared" si="967"/>
        <v>-668.32296625628169</v>
      </c>
      <c r="T268">
        <f t="shared" si="968"/>
        <v>-0.66832296625628174</v>
      </c>
    </row>
    <row r="269" spans="1:20" x14ac:dyDescent="0.25">
      <c r="A269" s="5">
        <v>44324</v>
      </c>
      <c r="B269">
        <v>1.948</v>
      </c>
      <c r="C269">
        <v>2.3199999999999998</v>
      </c>
      <c r="D269">
        <v>1.8818999999999999</v>
      </c>
      <c r="E269">
        <v>2.1434000000000002</v>
      </c>
      <c r="F269">
        <v>16554256.27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0.19379137183291636</v>
      </c>
      <c r="Q269">
        <f t="shared" si="965"/>
        <v>3208072.032236957</v>
      </c>
      <c r="R269">
        <f t="shared" si="966"/>
        <v>-58650768.547392495</v>
      </c>
      <c r="S269">
        <f t="shared" si="967"/>
        <v>-586.50768547392499</v>
      </c>
      <c r="T269">
        <f t="shared" si="968"/>
        <v>-0.58650768547392496</v>
      </c>
    </row>
    <row r="270" spans="1:20" x14ac:dyDescent="0.25">
      <c r="A270" s="5">
        <v>44323</v>
      </c>
      <c r="B270">
        <v>1.8771</v>
      </c>
      <c r="C270">
        <v>2.4159000000000002</v>
      </c>
      <c r="D270">
        <v>1.8403</v>
      </c>
      <c r="E270">
        <v>1.948</v>
      </c>
      <c r="F270">
        <v>33155255.420000002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-0.62578179291174463</v>
      </c>
      <c r="Q270">
        <f t="shared" si="965"/>
        <v>-20747955.181174438</v>
      </c>
      <c r="R270">
        <f t="shared" si="966"/>
        <v>-61858840.579629451</v>
      </c>
      <c r="S270">
        <f t="shared" si="967"/>
        <v>-618.58840579629452</v>
      </c>
      <c r="T270">
        <f t="shared" si="968"/>
        <v>-0.61858840579629448</v>
      </c>
    </row>
    <row r="271" spans="1:20" x14ac:dyDescent="0.25">
      <c r="A271" s="5">
        <v>44322</v>
      </c>
      <c r="B271">
        <v>1.7094</v>
      </c>
      <c r="C271">
        <v>1.9750000000000001</v>
      </c>
      <c r="D271">
        <v>1.6211</v>
      </c>
      <c r="E271">
        <v>1.8788</v>
      </c>
      <c r="F271">
        <v>8174260.8799999999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0.45634359988697354</v>
      </c>
      <c r="Q271">
        <f t="shared" si="965"/>
        <v>3730271.6363944602</v>
      </c>
      <c r="R271">
        <f t="shared" si="966"/>
        <v>-41110885.398455016</v>
      </c>
      <c r="S271">
        <f t="shared" si="967"/>
        <v>-411.10885398455014</v>
      </c>
      <c r="T271">
        <f t="shared" si="968"/>
        <v>-0.41110885398455016</v>
      </c>
    </row>
    <row r="272" spans="1:20" x14ac:dyDescent="0.25">
      <c r="A272" s="5">
        <v>44321</v>
      </c>
      <c r="B272">
        <v>1.5674999999999999</v>
      </c>
      <c r="C272">
        <v>1.7423</v>
      </c>
      <c r="D272">
        <v>1.538</v>
      </c>
      <c r="E272">
        <v>1.7087000000000001</v>
      </c>
      <c r="F272">
        <v>4378207.03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0.67107195301028033</v>
      </c>
      <c r="Q272">
        <f t="shared" si="965"/>
        <v>2938091.9423054392</v>
      </c>
      <c r="R272">
        <f t="shared" si="966"/>
        <v>-44841157.03484948</v>
      </c>
      <c r="S272">
        <f t="shared" si="967"/>
        <v>-448.41157034849482</v>
      </c>
      <c r="T272">
        <f t="shared" si="968"/>
        <v>-0.44841157034849483</v>
      </c>
    </row>
    <row r="273" spans="1:20" x14ac:dyDescent="0.25">
      <c r="A273" s="5">
        <v>44320</v>
      </c>
      <c r="B273">
        <v>1.774</v>
      </c>
      <c r="C273">
        <v>1.7778</v>
      </c>
      <c r="D273">
        <v>1.5152000000000001</v>
      </c>
      <c r="E273">
        <v>1.5673999999999999</v>
      </c>
      <c r="F273">
        <v>5088862.66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-0.60243716679360382</v>
      </c>
      <c r="Q273">
        <f t="shared" si="965"/>
        <v>-3065720.0030921623</v>
      </c>
      <c r="R273">
        <f t="shared" si="966"/>
        <v>-47779248.977154918</v>
      </c>
      <c r="S273">
        <f t="shared" si="967"/>
        <v>-477.79248977154919</v>
      </c>
      <c r="T273">
        <f t="shared" si="968"/>
        <v>-0.4777924897715492</v>
      </c>
    </row>
    <row r="274" spans="1:20" x14ac:dyDescent="0.25">
      <c r="A274" s="5">
        <v>44319</v>
      </c>
      <c r="B274">
        <v>1.7286999999999999</v>
      </c>
      <c r="C274">
        <v>1.9206000000000001</v>
      </c>
      <c r="D274">
        <v>1.7239</v>
      </c>
      <c r="E274">
        <v>1.7702</v>
      </c>
      <c r="F274">
        <v>4932212.68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-0.5292323335027963</v>
      </c>
      <c r="Q274">
        <f t="shared" si="965"/>
        <v>-2610286.4259684808</v>
      </c>
      <c r="R274">
        <f t="shared" si="966"/>
        <v>-44713528.974062756</v>
      </c>
      <c r="S274">
        <f t="shared" si="967"/>
        <v>-447.13528974062757</v>
      </c>
      <c r="T274">
        <f t="shared" si="968"/>
        <v>-0.44713528974062755</v>
      </c>
    </row>
    <row r="275" spans="1:20" x14ac:dyDescent="0.25">
      <c r="A275" s="5">
        <v>44318</v>
      </c>
      <c r="B275">
        <v>1.7742</v>
      </c>
      <c r="C275">
        <v>1.7907</v>
      </c>
      <c r="D275">
        <v>1.6357999999999999</v>
      </c>
      <c r="E275">
        <v>1.7315</v>
      </c>
      <c r="F275">
        <v>4181032.16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0.23563589412524333</v>
      </c>
      <c r="Q275">
        <f t="shared" si="965"/>
        <v>985201.25138799741</v>
      </c>
      <c r="R275">
        <f t="shared" si="966"/>
        <v>-42103242.548094273</v>
      </c>
      <c r="S275">
        <f t="shared" si="967"/>
        <v>-421.03242548094272</v>
      </c>
      <c r="T275">
        <f t="shared" si="968"/>
        <v>-0.42103242548094272</v>
      </c>
    </row>
    <row r="276" spans="1:20" x14ac:dyDescent="0.25">
      <c r="A276" s="5">
        <v>44317</v>
      </c>
      <c r="B276">
        <v>1.7269000000000001</v>
      </c>
      <c r="C276">
        <v>1.8</v>
      </c>
      <c r="D276">
        <v>1.6425000000000001</v>
      </c>
      <c r="E276">
        <v>1.7753000000000001</v>
      </c>
      <c r="F276">
        <v>3776806.02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0.68634920634920704</v>
      </c>
      <c r="Q276">
        <f t="shared" si="965"/>
        <v>2592207.8143619075</v>
      </c>
      <c r="R276">
        <f t="shared" si="966"/>
        <v>-43088443.799482271</v>
      </c>
      <c r="S276">
        <f t="shared" si="967"/>
        <v>-430.88443799482269</v>
      </c>
      <c r="T276">
        <f t="shared" si="968"/>
        <v>-0.43088443799482268</v>
      </c>
    </row>
    <row r="277" spans="1:20" x14ac:dyDescent="0.25">
      <c r="A277" s="5">
        <v>44316</v>
      </c>
      <c r="B277">
        <v>1.556</v>
      </c>
      <c r="C277">
        <v>1.8285</v>
      </c>
      <c r="D277">
        <v>1.5319</v>
      </c>
      <c r="E277">
        <v>1.7266999999999999</v>
      </c>
      <c r="F277">
        <v>7848038.3799999999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0.31355360755225814</v>
      </c>
      <c r="Q277">
        <f t="shared" si="965"/>
        <v>2460780.7462575799</v>
      </c>
      <c r="R277">
        <f t="shared" si="966"/>
        <v>-45680651.613844179</v>
      </c>
      <c r="S277">
        <f t="shared" si="967"/>
        <v>-456.80651613844179</v>
      </c>
      <c r="T277">
        <f t="shared" si="968"/>
        <v>-0.45680651613844181</v>
      </c>
    </row>
    <row r="278" spans="1:20" x14ac:dyDescent="0.25">
      <c r="A278" s="5">
        <v>44315</v>
      </c>
      <c r="B278">
        <v>1.5737000000000001</v>
      </c>
      <c r="C278">
        <v>1.6748000000000001</v>
      </c>
      <c r="D278">
        <v>1.4918</v>
      </c>
      <c r="E278">
        <v>1.556</v>
      </c>
      <c r="F278">
        <v>3349270.03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-0.29836065573770476</v>
      </c>
      <c r="Q278">
        <f t="shared" si="965"/>
        <v>-999290.402393442</v>
      </c>
      <c r="R278">
        <f t="shared" si="966"/>
        <v>-48141432.360101759</v>
      </c>
      <c r="S278">
        <f t="shared" si="967"/>
        <v>-481.4143236010176</v>
      </c>
      <c r="T278">
        <f t="shared" si="968"/>
        <v>-0.4814143236010176</v>
      </c>
    </row>
    <row r="279" spans="1:20" x14ac:dyDescent="0.25">
      <c r="A279" s="5">
        <v>44314</v>
      </c>
      <c r="B279">
        <v>1.6428</v>
      </c>
      <c r="C279">
        <v>1.6843999999999999</v>
      </c>
      <c r="D279">
        <v>1.45</v>
      </c>
      <c r="E279">
        <v>1.5737000000000001</v>
      </c>
      <c r="F279">
        <v>3050118.54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5.5460750853243805E-2</v>
      </c>
      <c r="Q279">
        <f t="shared" si="965"/>
        <v>169161.86441979976</v>
      </c>
      <c r="R279">
        <f t="shared" si="966"/>
        <v>-47142141.957708314</v>
      </c>
      <c r="S279">
        <f t="shared" si="967"/>
        <v>-471.42141957708316</v>
      </c>
      <c r="T279">
        <f t="shared" si="968"/>
        <v>-0.47142141957708317</v>
      </c>
    </row>
    <row r="280" spans="1:20" x14ac:dyDescent="0.25">
      <c r="A280" s="5">
        <v>44313</v>
      </c>
      <c r="B280">
        <v>1.4748000000000001</v>
      </c>
      <c r="C280">
        <v>1.6545000000000001</v>
      </c>
      <c r="D280">
        <v>1.4339</v>
      </c>
      <c r="E280">
        <v>1.6428</v>
      </c>
      <c r="F280">
        <v>3676113.78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0.89392565729827711</v>
      </c>
      <c r="Q280">
        <f t="shared" si="965"/>
        <v>3286172.427089754</v>
      </c>
      <c r="R280">
        <f t="shared" si="966"/>
        <v>-47311303.822128117</v>
      </c>
      <c r="S280">
        <f t="shared" si="967"/>
        <v>-473.11303822128116</v>
      </c>
      <c r="T280">
        <f t="shared" si="968"/>
        <v>-0.47311303822128115</v>
      </c>
    </row>
    <row r="281" spans="1:20" x14ac:dyDescent="0.25">
      <c r="A281" s="5">
        <v>44312</v>
      </c>
      <c r="B281">
        <v>1.2963</v>
      </c>
      <c r="C281">
        <v>1.51</v>
      </c>
      <c r="D281">
        <v>1.2786999999999999</v>
      </c>
      <c r="E281">
        <v>1.4748000000000001</v>
      </c>
      <c r="F281">
        <v>4732537.22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0.69563337656722968</v>
      </c>
      <c r="Q281">
        <f t="shared" si="965"/>
        <v>3292110.8460786901</v>
      </c>
      <c r="R281">
        <f t="shared" si="966"/>
        <v>-50597476.249217868</v>
      </c>
      <c r="S281">
        <f t="shared" si="967"/>
        <v>-505.97476249217868</v>
      </c>
      <c r="T281">
        <f t="shared" si="968"/>
        <v>-0.50597476249217865</v>
      </c>
    </row>
    <row r="282" spans="1:20" x14ac:dyDescent="0.25">
      <c r="A282" s="5">
        <v>44311</v>
      </c>
      <c r="B282">
        <v>1.2296</v>
      </c>
      <c r="C282">
        <v>1.44</v>
      </c>
      <c r="D282">
        <v>1.1677999999999999</v>
      </c>
      <c r="E282">
        <v>1.2951999999999999</v>
      </c>
      <c r="F282">
        <v>5291992.92</v>
      </c>
      <c r="G282">
        <v>0</v>
      </c>
      <c r="L282" t="s">
        <v>8</v>
      </c>
      <c r="M282" t="s">
        <v>7</v>
      </c>
      <c r="N282" t="s">
        <v>7</v>
      </c>
      <c r="P282">
        <f t="shared" si="964"/>
        <v>-6.3923585598824689E-2</v>
      </c>
      <c r="Q282">
        <f t="shared" si="965"/>
        <v>-338283.16240999423</v>
      </c>
      <c r="R282">
        <f t="shared" si="966"/>
        <v>-53889587.095296562</v>
      </c>
      <c r="S282">
        <f t="shared" si="967"/>
        <v>-538.89587095296565</v>
      </c>
      <c r="T282">
        <f t="shared" si="968"/>
        <v>-0.53889587095296565</v>
      </c>
    </row>
    <row r="283" spans="1:20" x14ac:dyDescent="0.25">
      <c r="A283" s="5">
        <v>44310</v>
      </c>
      <c r="B283">
        <v>1.3634999999999999</v>
      </c>
      <c r="C283">
        <v>1.4214</v>
      </c>
      <c r="D283">
        <v>1.2157</v>
      </c>
      <c r="E283">
        <v>1.2283999999999999</v>
      </c>
      <c r="F283">
        <v>3656075.34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-0.87651920272241191</v>
      </c>
      <c r="Q283">
        <f t="shared" si="965"/>
        <v>-3204620.242109871</v>
      </c>
      <c r="R283">
        <f t="shared" si="966"/>
        <v>-53551303.932886571</v>
      </c>
      <c r="S283">
        <f t="shared" si="967"/>
        <v>-535.51303932886572</v>
      </c>
      <c r="T283">
        <f t="shared" si="968"/>
        <v>-0.53551303932886574</v>
      </c>
    </row>
    <row r="284" spans="1:20" x14ac:dyDescent="0.25">
      <c r="A284" s="5">
        <v>44309</v>
      </c>
      <c r="B284">
        <v>1.4301999999999999</v>
      </c>
      <c r="C284">
        <v>1.4584999999999999</v>
      </c>
      <c r="D284">
        <v>1.1198999999999999</v>
      </c>
      <c r="E284">
        <v>1.3633999999999999</v>
      </c>
      <c r="F284">
        <v>5562181.96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0.43827525103366827</v>
      </c>
      <c r="Q284">
        <f t="shared" si="965"/>
        <v>2437766.6948139411</v>
      </c>
      <c r="R284">
        <f t="shared" si="966"/>
        <v>-50346683.690776698</v>
      </c>
      <c r="S284">
        <f t="shared" si="967"/>
        <v>-503.466836907767</v>
      </c>
      <c r="T284">
        <f t="shared" si="968"/>
        <v>-0.50346683690776706</v>
      </c>
    </row>
    <row r="285" spans="1:20" x14ac:dyDescent="0.25">
      <c r="A285" s="5">
        <v>44308</v>
      </c>
      <c r="B285">
        <v>1.6293</v>
      </c>
      <c r="C285">
        <v>1.7599</v>
      </c>
      <c r="D285">
        <v>1.4</v>
      </c>
      <c r="E285">
        <v>1.4302999999999999</v>
      </c>
      <c r="F285">
        <v>5409565.79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-0.83161989441511541</v>
      </c>
      <c r="Q285">
        <f t="shared" si="965"/>
        <v>-4498702.5311114201</v>
      </c>
      <c r="R285">
        <f t="shared" si="966"/>
        <v>-52784450.385590643</v>
      </c>
      <c r="S285">
        <f t="shared" si="967"/>
        <v>-527.8445038559064</v>
      </c>
      <c r="T285">
        <f t="shared" si="968"/>
        <v>-0.52784450385590642</v>
      </c>
    </row>
    <row r="286" spans="1:20" x14ac:dyDescent="0.25">
      <c r="A286" s="5">
        <v>44307</v>
      </c>
      <c r="B286">
        <v>1.8243</v>
      </c>
      <c r="C286">
        <v>1.8676999999999999</v>
      </c>
      <c r="D286">
        <v>1.611</v>
      </c>
      <c r="E286">
        <v>1.6304000000000001</v>
      </c>
      <c r="F286">
        <v>3535791.92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-0.84885079859758406</v>
      </c>
      <c r="Q286">
        <f t="shared" si="965"/>
        <v>-3001359.7949668849</v>
      </c>
      <c r="R286">
        <f t="shared" si="966"/>
        <v>-48285747.854479223</v>
      </c>
      <c r="S286">
        <f t="shared" si="967"/>
        <v>-482.85747854479223</v>
      </c>
      <c r="T286">
        <f t="shared" si="968"/>
        <v>-0.48285747854479222</v>
      </c>
    </row>
    <row r="287" spans="1:20" x14ac:dyDescent="0.25">
      <c r="A287" s="5">
        <v>44306</v>
      </c>
      <c r="B287">
        <v>1.7627999999999999</v>
      </c>
      <c r="C287">
        <v>2.0179</v>
      </c>
      <c r="D287">
        <v>1.5733999999999999</v>
      </c>
      <c r="E287">
        <v>1.8244</v>
      </c>
      <c r="F287">
        <v>4858937.67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0.12935883014623192</v>
      </c>
      <c r="Q287">
        <f t="shared" si="965"/>
        <v>628546.49274465791</v>
      </c>
      <c r="R287">
        <f t="shared" si="966"/>
        <v>-45284388.05951234</v>
      </c>
      <c r="S287">
        <f t="shared" si="967"/>
        <v>-452.84388059512338</v>
      </c>
      <c r="T287">
        <f t="shared" si="968"/>
        <v>-0.45284388059512337</v>
      </c>
    </row>
    <row r="288" spans="1:20" x14ac:dyDescent="0.25">
      <c r="A288" s="5">
        <v>44305</v>
      </c>
      <c r="B288">
        <v>1.8875999999999999</v>
      </c>
      <c r="C288">
        <v>2.1349999999999998</v>
      </c>
      <c r="D288">
        <v>1.746</v>
      </c>
      <c r="E288">
        <v>1.7629999999999999</v>
      </c>
      <c r="F288">
        <v>4483773.3099999996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-0.9125964010282781</v>
      </c>
      <c r="Q288">
        <f t="shared" si="965"/>
        <v>-4091875.3857326494</v>
      </c>
      <c r="R288">
        <f t="shared" si="966"/>
        <v>-45912934.552256994</v>
      </c>
      <c r="S288">
        <f t="shared" si="967"/>
        <v>-459.12934552256996</v>
      </c>
      <c r="T288">
        <f t="shared" si="968"/>
        <v>-0.45912934552256995</v>
      </c>
    </row>
    <row r="289" spans="1:20" x14ac:dyDescent="0.25">
      <c r="A289" s="5">
        <v>44304</v>
      </c>
      <c r="B289">
        <v>2.1131000000000002</v>
      </c>
      <c r="C289">
        <v>2.1541999999999999</v>
      </c>
      <c r="D289">
        <v>1.6501999999999999</v>
      </c>
      <c r="E289">
        <v>1.8909</v>
      </c>
      <c r="F289">
        <v>4259353.32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-4.4841269841269307E-2</v>
      </c>
      <c r="Q289">
        <f t="shared" si="965"/>
        <v>-190994.81157142631</v>
      </c>
      <c r="R289">
        <f t="shared" si="966"/>
        <v>-41821059.166524343</v>
      </c>
      <c r="S289">
        <f t="shared" si="967"/>
        <v>-418.21059166524344</v>
      </c>
      <c r="T289">
        <f t="shared" si="968"/>
        <v>-0.41821059166524344</v>
      </c>
    </row>
    <row r="290" spans="1:20" x14ac:dyDescent="0.25">
      <c r="A290" s="5">
        <v>44303</v>
      </c>
      <c r="B290">
        <v>1.9838</v>
      </c>
      <c r="C290">
        <v>2.4336000000000002</v>
      </c>
      <c r="D290">
        <v>1.9838</v>
      </c>
      <c r="E290">
        <v>2.1145999999999998</v>
      </c>
      <c r="F290">
        <v>8099397.9500000002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-0.41840818141396291</v>
      </c>
      <c r="Q290">
        <f t="shared" si="965"/>
        <v>-3388854.3668074794</v>
      </c>
      <c r="R290">
        <f t="shared" si="966"/>
        <v>-41630064.354952917</v>
      </c>
      <c r="S290">
        <f t="shared" si="967"/>
        <v>-416.30064354952918</v>
      </c>
      <c r="T290">
        <f t="shared" si="968"/>
        <v>-0.41630064354952917</v>
      </c>
    </row>
    <row r="291" spans="1:20" x14ac:dyDescent="0.25">
      <c r="A291" s="5">
        <v>44302</v>
      </c>
      <c r="B291">
        <v>2.1288999999999998</v>
      </c>
      <c r="C291">
        <v>2.1427999999999998</v>
      </c>
      <c r="D291">
        <v>1.88</v>
      </c>
      <c r="E291">
        <v>1.9815</v>
      </c>
      <c r="F291">
        <v>3570941.56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-0.22754946727549333</v>
      </c>
      <c r="Q291">
        <f t="shared" si="965"/>
        <v>-812565.84964991908</v>
      </c>
      <c r="R291">
        <f t="shared" si="966"/>
        <v>-38241209.988145433</v>
      </c>
      <c r="S291">
        <f t="shared" si="967"/>
        <v>-382.41209988145431</v>
      </c>
      <c r="T291">
        <f t="shared" si="968"/>
        <v>-0.3824120998814543</v>
      </c>
    </row>
    <row r="292" spans="1:20" x14ac:dyDescent="0.25">
      <c r="A292" s="5">
        <v>44301</v>
      </c>
      <c r="B292">
        <v>1.9806999999999999</v>
      </c>
      <c r="C292">
        <v>2.1776</v>
      </c>
      <c r="D292">
        <v>1.95</v>
      </c>
      <c r="E292">
        <v>2.1284999999999998</v>
      </c>
      <c r="F292">
        <v>3756380.76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0.56854130052723961</v>
      </c>
      <c r="Q292">
        <f t="shared" si="965"/>
        <v>2135657.6025659004</v>
      </c>
      <c r="R292">
        <f t="shared" si="966"/>
        <v>-37428644.138495512</v>
      </c>
      <c r="S292">
        <f t="shared" si="967"/>
        <v>-374.28644138495514</v>
      </c>
      <c r="T292">
        <f t="shared" si="968"/>
        <v>-0.37428644138495515</v>
      </c>
    </row>
    <row r="293" spans="1:20" x14ac:dyDescent="0.25">
      <c r="A293" s="5">
        <v>44300</v>
      </c>
      <c r="B293">
        <v>1.9852000000000001</v>
      </c>
      <c r="C293">
        <v>2.0464000000000002</v>
      </c>
      <c r="D293">
        <v>1.8512</v>
      </c>
      <c r="E293">
        <v>1.9796</v>
      </c>
      <c r="F293">
        <v>3490153.08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0.31557377049180224</v>
      </c>
      <c r="Q293">
        <f t="shared" si="965"/>
        <v>1101400.7670491766</v>
      </c>
      <c r="R293">
        <f t="shared" si="966"/>
        <v>-39564301.741061412</v>
      </c>
      <c r="S293">
        <f t="shared" si="967"/>
        <v>-395.64301741061411</v>
      </c>
      <c r="T293">
        <f t="shared" si="968"/>
        <v>-0.39564301741061408</v>
      </c>
    </row>
    <row r="294" spans="1:20" x14ac:dyDescent="0.25">
      <c r="A294" s="5">
        <v>44299</v>
      </c>
      <c r="B294">
        <v>2.0232999999999999</v>
      </c>
      <c r="C294">
        <v>2.0712000000000002</v>
      </c>
      <c r="D294">
        <v>1.9055</v>
      </c>
      <c r="E294">
        <v>1.9858</v>
      </c>
      <c r="F294">
        <v>3290241.2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-3.0778515389258292E-2</v>
      </c>
      <c r="Q294">
        <f t="shared" si="965"/>
        <v>-101268.73940857168</v>
      </c>
      <c r="R294">
        <f t="shared" si="966"/>
        <v>-40665702.50811059</v>
      </c>
      <c r="S294">
        <f t="shared" si="967"/>
        <v>-406.65702508110593</v>
      </c>
      <c r="T294">
        <f t="shared" si="968"/>
        <v>-0.40665702508110591</v>
      </c>
    </row>
    <row r="295" spans="1:20" x14ac:dyDescent="0.25">
      <c r="A295" s="5">
        <v>44298</v>
      </c>
      <c r="B295">
        <v>2.1779000000000002</v>
      </c>
      <c r="C295">
        <v>2.1956000000000002</v>
      </c>
      <c r="D295">
        <v>1.97</v>
      </c>
      <c r="E295">
        <v>2.0219</v>
      </c>
      <c r="F295">
        <v>3058438.39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-0.53989361702127658</v>
      </c>
      <c r="Q295">
        <f t="shared" si="965"/>
        <v>-1651231.3648138298</v>
      </c>
      <c r="R295">
        <f t="shared" si="966"/>
        <v>-40564433.768702015</v>
      </c>
      <c r="S295">
        <f t="shared" si="967"/>
        <v>-405.64433768702014</v>
      </c>
      <c r="T295">
        <f t="shared" si="968"/>
        <v>-0.40564433768702013</v>
      </c>
    </row>
    <row r="296" spans="1:20" x14ac:dyDescent="0.25">
      <c r="A296" s="5">
        <v>44297</v>
      </c>
      <c r="B296">
        <v>2.1591</v>
      </c>
      <c r="C296">
        <v>2.3117000000000001</v>
      </c>
      <c r="D296">
        <v>2.1031</v>
      </c>
      <c r="E296">
        <v>2.1749999999999998</v>
      </c>
      <c r="F296">
        <v>3497439.88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-0.31064237775647352</v>
      </c>
      <c r="Q296">
        <f t="shared" si="965"/>
        <v>-1086453.0403835154</v>
      </c>
      <c r="R296">
        <f t="shared" si="966"/>
        <v>-38913202.403888188</v>
      </c>
      <c r="S296">
        <f t="shared" si="967"/>
        <v>-389.13202403888187</v>
      </c>
      <c r="T296">
        <f t="shared" si="968"/>
        <v>-0.38913202403888186</v>
      </c>
    </row>
    <row r="297" spans="1:20" x14ac:dyDescent="0.25">
      <c r="A297" s="5">
        <v>44296</v>
      </c>
      <c r="B297">
        <v>2.1164000000000001</v>
      </c>
      <c r="C297">
        <v>2.2200000000000002</v>
      </c>
      <c r="D297">
        <v>2.0350999999999999</v>
      </c>
      <c r="E297">
        <v>2.1591999999999998</v>
      </c>
      <c r="F297">
        <v>4008287.53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0.34234721471065099</v>
      </c>
      <c r="Q297">
        <f t="shared" si="965"/>
        <v>1372226.0716549349</v>
      </c>
      <c r="R297">
        <f t="shared" si="966"/>
        <v>-37826749.363504671</v>
      </c>
      <c r="S297">
        <f t="shared" si="967"/>
        <v>-378.26749363504672</v>
      </c>
      <c r="T297">
        <f t="shared" si="968"/>
        <v>-0.37826749363504669</v>
      </c>
    </row>
    <row r="298" spans="1:20" x14ac:dyDescent="0.25">
      <c r="A298" s="5">
        <v>44295</v>
      </c>
      <c r="B298">
        <v>2.2530999999999999</v>
      </c>
      <c r="C298">
        <v>2.2534000000000001</v>
      </c>
      <c r="D298">
        <v>2.0811999999999999</v>
      </c>
      <c r="E298">
        <v>2.1162000000000001</v>
      </c>
      <c r="F298">
        <v>7199150.7300000004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-0.59349593495934827</v>
      </c>
      <c r="Q298">
        <f t="shared" si="965"/>
        <v>-4272666.6934146248</v>
      </c>
      <c r="R298">
        <f t="shared" si="966"/>
        <v>-39198975.435159609</v>
      </c>
      <c r="S298">
        <f t="shared" si="967"/>
        <v>-391.9897543515961</v>
      </c>
      <c r="T298">
        <f t="shared" si="968"/>
        <v>-0.39198975435159611</v>
      </c>
    </row>
    <row r="299" spans="1:20" x14ac:dyDescent="0.25">
      <c r="A299" s="5">
        <v>44294</v>
      </c>
      <c r="B299">
        <v>2.0706000000000002</v>
      </c>
      <c r="C299">
        <v>2.3780000000000001</v>
      </c>
      <c r="D299">
        <v>2.0524</v>
      </c>
      <c r="E299">
        <v>2.2576000000000001</v>
      </c>
      <c r="F299">
        <v>6206927.4900000002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0.26044226044226032</v>
      </c>
      <c r="Q299">
        <f t="shared" si="965"/>
        <v>1616546.2258968053</v>
      </c>
      <c r="R299">
        <f t="shared" si="966"/>
        <v>-34926308.741744988</v>
      </c>
      <c r="S299">
        <f t="shared" si="967"/>
        <v>-349.26308741744987</v>
      </c>
      <c r="T299">
        <f t="shared" si="968"/>
        <v>-0.34926308741744988</v>
      </c>
    </row>
    <row r="300" spans="1:20" x14ac:dyDescent="0.25">
      <c r="A300" s="5">
        <v>44293</v>
      </c>
      <c r="B300">
        <v>2.2128999999999999</v>
      </c>
      <c r="C300">
        <v>2.4668000000000001</v>
      </c>
      <c r="D300">
        <v>1.9379999999999999</v>
      </c>
      <c r="E300">
        <v>2.0706000000000002</v>
      </c>
      <c r="F300">
        <v>10292370.4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-0.49848714069591438</v>
      </c>
      <c r="Q300">
        <f t="shared" si="965"/>
        <v>-5130614.291679265</v>
      </c>
      <c r="R300">
        <f t="shared" si="966"/>
        <v>-36542854.967641793</v>
      </c>
      <c r="S300">
        <f t="shared" si="967"/>
        <v>-365.42854967641796</v>
      </c>
      <c r="T300">
        <f t="shared" si="968"/>
        <v>-0.36542854967641797</v>
      </c>
    </row>
    <row r="301" spans="1:20" x14ac:dyDescent="0.25">
      <c r="A301" s="5">
        <v>44292</v>
      </c>
      <c r="B301">
        <v>2.1215000000000002</v>
      </c>
      <c r="C301">
        <v>2.9241999999999999</v>
      </c>
      <c r="D301">
        <v>2.1</v>
      </c>
      <c r="E301">
        <v>2.2115</v>
      </c>
      <c r="F301">
        <v>29773620.510000002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-0.729434603251638</v>
      </c>
      <c r="Q301">
        <f t="shared" si="965"/>
        <v>-21717909.064076684</v>
      </c>
      <c r="R301">
        <f t="shared" si="966"/>
        <v>-31412240.67596253</v>
      </c>
      <c r="S301">
        <f t="shared" si="967"/>
        <v>-314.12240675962528</v>
      </c>
      <c r="T301">
        <f t="shared" si="968"/>
        <v>-0.31412240675962527</v>
      </c>
    </row>
    <row r="302" spans="1:20" x14ac:dyDescent="0.25">
      <c r="A302" s="5">
        <v>44291</v>
      </c>
      <c r="B302">
        <v>1.7997000000000001</v>
      </c>
      <c r="C302">
        <v>2.2999999999999998</v>
      </c>
      <c r="D302">
        <v>1.7045999999999999</v>
      </c>
      <c r="E302">
        <v>2.1213000000000002</v>
      </c>
      <c r="F302">
        <v>12195381.42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0.39973127309371964</v>
      </c>
      <c r="Q302">
        <f t="shared" si="965"/>
        <v>4874875.3408800941</v>
      </c>
      <c r="R302">
        <f t="shared" si="966"/>
        <v>-9694331.6118858475</v>
      </c>
      <c r="S302">
        <f t="shared" si="967"/>
        <v>-96.943316118858476</v>
      </c>
      <c r="T302">
        <f t="shared" si="968"/>
        <v>-9.694331611885848E-2</v>
      </c>
    </row>
    <row r="303" spans="1:20" x14ac:dyDescent="0.25">
      <c r="A303" s="5">
        <v>44290</v>
      </c>
      <c r="B303">
        <v>1.6621999999999999</v>
      </c>
      <c r="C303">
        <v>1.9363999999999999</v>
      </c>
      <c r="D303">
        <v>1.64</v>
      </c>
      <c r="E303">
        <v>1.7988999999999999</v>
      </c>
      <c r="F303">
        <v>6374624.0599999996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7.2199730094467229E-2</v>
      </c>
      <c r="Q303">
        <f t="shared" si="965"/>
        <v>460246.13658569683</v>
      </c>
      <c r="R303">
        <f t="shared" si="966"/>
        <v>-14569206.952765942</v>
      </c>
      <c r="S303">
        <f t="shared" si="967"/>
        <v>-145.69206952765941</v>
      </c>
      <c r="T303">
        <f t="shared" si="968"/>
        <v>-0.14569206952765942</v>
      </c>
    </row>
    <row r="304" spans="1:20" x14ac:dyDescent="0.25">
      <c r="A304" s="5">
        <v>44289</v>
      </c>
      <c r="B304">
        <v>1.8735999999999999</v>
      </c>
      <c r="C304">
        <v>1.9079999999999999</v>
      </c>
      <c r="D304">
        <v>1.6524000000000001</v>
      </c>
      <c r="E304">
        <v>1.6618999999999999</v>
      </c>
      <c r="F304">
        <v>5225126.92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-0.9256651017214409</v>
      </c>
      <c r="Q304">
        <f t="shared" si="965"/>
        <v>-4836717.6419092389</v>
      </c>
      <c r="R304">
        <f t="shared" si="966"/>
        <v>-15029453.089351639</v>
      </c>
      <c r="S304">
        <f t="shared" si="967"/>
        <v>-150.2945308935164</v>
      </c>
      <c r="T304">
        <f t="shared" si="968"/>
        <v>-0.15029453089351638</v>
      </c>
    </row>
    <row r="305" spans="1:20" x14ac:dyDescent="0.25">
      <c r="A305" s="5">
        <v>44288</v>
      </c>
      <c r="B305">
        <v>1.8581000000000001</v>
      </c>
      <c r="C305">
        <v>2.0081000000000002</v>
      </c>
      <c r="D305">
        <v>1.7914000000000001</v>
      </c>
      <c r="E305">
        <v>1.8769</v>
      </c>
      <c r="F305">
        <v>5672302.9400000004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-0.21089063221043042</v>
      </c>
      <c r="Q305">
        <f t="shared" si="965"/>
        <v>-1196235.5531056833</v>
      </c>
      <c r="R305">
        <f t="shared" si="966"/>
        <v>-10192735.447442399</v>
      </c>
      <c r="S305">
        <f t="shared" si="967"/>
        <v>-101.92735447442399</v>
      </c>
      <c r="T305">
        <f t="shared" si="968"/>
        <v>-0.101927354474424</v>
      </c>
    </row>
    <row r="306" spans="1:20" x14ac:dyDescent="0.25">
      <c r="A306" s="5">
        <v>44287</v>
      </c>
      <c r="B306">
        <v>1.9728000000000001</v>
      </c>
      <c r="C306">
        <v>1.986</v>
      </c>
      <c r="D306">
        <v>1.8275999999999999</v>
      </c>
      <c r="E306">
        <v>1.8581000000000001</v>
      </c>
      <c r="F306">
        <v>4267761.51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-0.61489898989898772</v>
      </c>
      <c r="Q306">
        <f t="shared" si="965"/>
        <v>-2624242.2416287786</v>
      </c>
      <c r="R306">
        <f t="shared" si="966"/>
        <v>-8996499.8943367153</v>
      </c>
      <c r="S306">
        <f t="shared" si="967"/>
        <v>-89.964998943367149</v>
      </c>
      <c r="T306">
        <f t="shared" si="968"/>
        <v>-8.9964998943367153E-2</v>
      </c>
    </row>
    <row r="307" spans="1:20" x14ac:dyDescent="0.25">
      <c r="A307" s="5">
        <v>44286</v>
      </c>
      <c r="B307">
        <v>1.9308000000000001</v>
      </c>
      <c r="C307">
        <v>2.1688000000000001</v>
      </c>
      <c r="D307">
        <v>1.89</v>
      </c>
      <c r="E307">
        <v>1.9681</v>
      </c>
      <c r="F307">
        <v>8959660.3599999994</v>
      </c>
      <c r="G307">
        <v>0</v>
      </c>
      <c r="L307" t="s">
        <v>8</v>
      </c>
      <c r="M307" t="s">
        <v>7</v>
      </c>
      <c r="N307" t="s">
        <v>8</v>
      </c>
      <c r="P307">
        <f t="shared" si="964"/>
        <v>-0.43974175035867996</v>
      </c>
      <c r="Q307">
        <f t="shared" si="965"/>
        <v>-3939936.7293256805</v>
      </c>
      <c r="R307">
        <f t="shared" si="966"/>
        <v>-6372257.6527079362</v>
      </c>
      <c r="S307">
        <f t="shared" si="967"/>
        <v>-63.722576527079362</v>
      </c>
      <c r="T307">
        <f t="shared" si="968"/>
        <v>-6.3722576527079355E-2</v>
      </c>
    </row>
    <row r="308" spans="1:20" x14ac:dyDescent="0.25">
      <c r="A308" s="5">
        <v>44285</v>
      </c>
      <c r="B308">
        <v>1.8963000000000001</v>
      </c>
      <c r="C308">
        <v>2.14</v>
      </c>
      <c r="D308">
        <v>1.8479000000000001</v>
      </c>
      <c r="E308">
        <v>1.9319999999999999</v>
      </c>
      <c r="F308">
        <v>7808435.9900000002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-0.42416980486134997</v>
      </c>
      <c r="Q308">
        <f t="shared" si="965"/>
        <v>-3312102.7701506424</v>
      </c>
      <c r="R308">
        <f t="shared" si="966"/>
        <v>-2432320.9233822552</v>
      </c>
      <c r="S308">
        <f t="shared" si="967"/>
        <v>-24.323209233822553</v>
      </c>
      <c r="T308">
        <f t="shared" si="968"/>
        <v>-2.4323209233822553E-2</v>
      </c>
    </row>
    <row r="309" spans="1:20" x14ac:dyDescent="0.25">
      <c r="A309" s="5">
        <v>44284</v>
      </c>
      <c r="B309">
        <v>1.6547000000000001</v>
      </c>
      <c r="C309">
        <v>2.1840000000000002</v>
      </c>
      <c r="D309">
        <v>1.6020000000000001</v>
      </c>
      <c r="E309">
        <v>1.9</v>
      </c>
      <c r="F309">
        <v>19237653.34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2.4054982817868671E-2</v>
      </c>
      <c r="Q309">
        <f t="shared" si="965"/>
        <v>462761.42054981383</v>
      </c>
      <c r="R309">
        <f t="shared" si="966"/>
        <v>879781.84676838713</v>
      </c>
      <c r="S309">
        <f t="shared" si="967"/>
        <v>8.7978184676838715</v>
      </c>
      <c r="T309">
        <f t="shared" si="968"/>
        <v>8.7978184676838714E-3</v>
      </c>
    </row>
    <row r="310" spans="1:20" x14ac:dyDescent="0.25">
      <c r="A310" s="5">
        <v>44283</v>
      </c>
      <c r="B310">
        <v>1.5579000000000001</v>
      </c>
      <c r="C310">
        <v>1.7238</v>
      </c>
      <c r="D310">
        <v>1.5409999999999999</v>
      </c>
      <c r="E310">
        <v>1.6596</v>
      </c>
      <c r="F310">
        <v>7141443.6699999999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0.29759299781181608</v>
      </c>
      <c r="Q310">
        <f t="shared" si="965"/>
        <v>2125243.6304595177</v>
      </c>
      <c r="R310">
        <f t="shared" si="966"/>
        <v>417020.42621857324</v>
      </c>
      <c r="S310">
        <f t="shared" si="967"/>
        <v>4.1702042621857327</v>
      </c>
      <c r="T310">
        <f t="shared" si="968"/>
        <v>4.1702042621857326E-3</v>
      </c>
    </row>
    <row r="311" spans="1:20" x14ac:dyDescent="0.25">
      <c r="A311" s="5">
        <v>44282</v>
      </c>
      <c r="B311">
        <v>1.6134999999999999</v>
      </c>
      <c r="C311">
        <v>1.6388</v>
      </c>
      <c r="D311">
        <v>1.4726999999999999</v>
      </c>
      <c r="E311">
        <v>1.5589999999999999</v>
      </c>
      <c r="F311">
        <v>4684538.9800000004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3.9133052378085162E-2</v>
      </c>
      <c r="Q311">
        <f t="shared" si="965"/>
        <v>183320.30927152166</v>
      </c>
      <c r="R311">
        <f t="shared" si="966"/>
        <v>-1708223.2042409445</v>
      </c>
      <c r="S311">
        <f t="shared" si="967"/>
        <v>-17.082232042409444</v>
      </c>
      <c r="T311">
        <f t="shared" si="968"/>
        <v>-1.7082232042409443E-2</v>
      </c>
    </row>
    <row r="312" spans="1:20" x14ac:dyDescent="0.25">
      <c r="A312" s="5">
        <v>44281</v>
      </c>
      <c r="B312">
        <v>1.3846000000000001</v>
      </c>
      <c r="C312">
        <v>1.69</v>
      </c>
      <c r="D312">
        <v>1.3725000000000001</v>
      </c>
      <c r="E312">
        <v>1.6138999999999999</v>
      </c>
      <c r="F312">
        <v>6853937.4299999997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0.52062992125984198</v>
      </c>
      <c r="Q312">
        <f t="shared" si="965"/>
        <v>3568364.9045007834</v>
      </c>
      <c r="R312">
        <f t="shared" si="966"/>
        <v>-1891543.5135124661</v>
      </c>
      <c r="S312">
        <f t="shared" si="967"/>
        <v>-18.91543513512466</v>
      </c>
      <c r="T312">
        <f t="shared" si="968"/>
        <v>-1.8915435135124659E-2</v>
      </c>
    </row>
    <row r="313" spans="1:20" x14ac:dyDescent="0.25">
      <c r="A313" s="5">
        <v>44280</v>
      </c>
      <c r="B313">
        <v>1.4289000000000001</v>
      </c>
      <c r="C313">
        <v>1.51</v>
      </c>
      <c r="D313">
        <v>1.3378000000000001</v>
      </c>
      <c r="E313">
        <v>1.3815999999999999</v>
      </c>
      <c r="F313">
        <v>4379921.09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-0.4912891986062734</v>
      </c>
      <c r="Q313">
        <f t="shared" si="965"/>
        <v>-2151807.9222648153</v>
      </c>
      <c r="R313">
        <f t="shared" si="966"/>
        <v>-5459908.4180132495</v>
      </c>
      <c r="S313">
        <f t="shared" si="967"/>
        <v>-54.599084180132493</v>
      </c>
      <c r="T313">
        <f t="shared" si="968"/>
        <v>-5.4599084180132491E-2</v>
      </c>
    </row>
    <row r="314" spans="1:20" x14ac:dyDescent="0.25">
      <c r="A314" s="5">
        <v>44279</v>
      </c>
      <c r="B314">
        <v>1.4431</v>
      </c>
      <c r="C314">
        <v>1.6099000000000001</v>
      </c>
      <c r="D314">
        <v>1.4155</v>
      </c>
      <c r="E314">
        <v>1.4236</v>
      </c>
      <c r="F314">
        <v>5695231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-0.91666666666666674</v>
      </c>
      <c r="Q314">
        <f t="shared" si="965"/>
        <v>-5220628.416666667</v>
      </c>
      <c r="R314">
        <f t="shared" si="966"/>
        <v>-3308100.4957484342</v>
      </c>
      <c r="S314">
        <f t="shared" si="967"/>
        <v>-33.081004957484339</v>
      </c>
      <c r="T314">
        <f t="shared" si="968"/>
        <v>-3.3081004957484339E-2</v>
      </c>
    </row>
    <row r="315" spans="1:20" x14ac:dyDescent="0.25">
      <c r="A315" s="5">
        <v>44278</v>
      </c>
      <c r="B315">
        <v>1.357</v>
      </c>
      <c r="C315">
        <v>1.59</v>
      </c>
      <c r="D315">
        <v>1.28</v>
      </c>
      <c r="E315">
        <v>1.4444999999999999</v>
      </c>
      <c r="F315">
        <v>5924759.0300000003</v>
      </c>
      <c r="G315">
        <v>0</v>
      </c>
      <c r="L315" t="s">
        <v>7</v>
      </c>
      <c r="M315" t="s">
        <v>8</v>
      </c>
      <c r="N315" t="s">
        <v>7</v>
      </c>
      <c r="P315">
        <f t="shared" si="964"/>
        <v>6.1290322580644131E-2</v>
      </c>
      <c r="Q315">
        <f t="shared" si="965"/>
        <v>363130.39216128422</v>
      </c>
      <c r="R315">
        <f t="shared" si="966"/>
        <v>1912527.9209182328</v>
      </c>
      <c r="S315">
        <f t="shared" si="967"/>
        <v>19.125279209182327</v>
      </c>
      <c r="T315">
        <f t="shared" si="968"/>
        <v>1.9125279209182326E-2</v>
      </c>
    </row>
    <row r="316" spans="1:20" x14ac:dyDescent="0.25">
      <c r="A316" s="5">
        <v>44277</v>
      </c>
      <c r="B316">
        <v>1.4515</v>
      </c>
      <c r="C316">
        <v>1.5439000000000001</v>
      </c>
      <c r="D316">
        <v>1.3267</v>
      </c>
      <c r="E316">
        <v>1.3568</v>
      </c>
      <c r="F316">
        <v>3350733.23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-0.72283609576427255</v>
      </c>
      <c r="Q316">
        <f t="shared" si="965"/>
        <v>-2422030.9259208101</v>
      </c>
      <c r="R316">
        <f t="shared" si="966"/>
        <v>1549397.5287569487</v>
      </c>
      <c r="S316">
        <f t="shared" si="967"/>
        <v>15.493975287569487</v>
      </c>
      <c r="T316">
        <f t="shared" si="968"/>
        <v>1.5493975287569487E-2</v>
      </c>
    </row>
    <row r="317" spans="1:20" x14ac:dyDescent="0.25">
      <c r="A317" s="5">
        <v>44276</v>
      </c>
      <c r="B317">
        <v>1.5535000000000001</v>
      </c>
      <c r="C317">
        <v>1.5861000000000001</v>
      </c>
      <c r="D317">
        <v>1.42</v>
      </c>
      <c r="E317">
        <v>1.4497</v>
      </c>
      <c r="F317">
        <v>3253311.91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-0.64238410596026452</v>
      </c>
      <c r="Q317">
        <f t="shared" si="965"/>
        <v>-2089875.8627152306</v>
      </c>
      <c r="R317">
        <f t="shared" si="966"/>
        <v>3971428.4546777587</v>
      </c>
      <c r="S317">
        <f t="shared" si="967"/>
        <v>39.714284546777584</v>
      </c>
      <c r="T317">
        <f t="shared" si="968"/>
        <v>3.9714284546777584E-2</v>
      </c>
    </row>
    <row r="318" spans="1:20" x14ac:dyDescent="0.25">
      <c r="A318" s="5">
        <v>44275</v>
      </c>
      <c r="B318">
        <v>1.5517000000000001</v>
      </c>
      <c r="C318">
        <v>1.6498999999999999</v>
      </c>
      <c r="D318">
        <v>1.5124</v>
      </c>
      <c r="E318">
        <v>1.5536000000000001</v>
      </c>
      <c r="F318">
        <v>4964073.16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-0.40072727272727071</v>
      </c>
      <c r="Q318">
        <f t="shared" si="965"/>
        <v>-1989239.4990254445</v>
      </c>
      <c r="R318">
        <f t="shared" si="966"/>
        <v>6061304.3173929891</v>
      </c>
      <c r="S318">
        <f t="shared" si="967"/>
        <v>60.613043173929888</v>
      </c>
      <c r="T318">
        <f t="shared" si="968"/>
        <v>6.061304317392989E-2</v>
      </c>
    </row>
    <row r="319" spans="1:20" x14ac:dyDescent="0.25">
      <c r="A319" s="5">
        <v>44274</v>
      </c>
      <c r="B319">
        <v>1.6718999999999999</v>
      </c>
      <c r="C319">
        <v>1.75</v>
      </c>
      <c r="D319">
        <v>1.54</v>
      </c>
      <c r="E319">
        <v>1.5549999999999999</v>
      </c>
      <c r="F319">
        <v>7329977.1100000003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-0.85714285714285809</v>
      </c>
      <c r="Q319">
        <f t="shared" si="965"/>
        <v>-6282837.5228571501</v>
      </c>
      <c r="R319">
        <f t="shared" si="966"/>
        <v>8050543.8164184336</v>
      </c>
      <c r="S319">
        <f t="shared" si="967"/>
        <v>80.505438164184341</v>
      </c>
      <c r="T319">
        <f t="shared" si="968"/>
        <v>8.0505438164184345E-2</v>
      </c>
    </row>
    <row r="320" spans="1:20" x14ac:dyDescent="0.25">
      <c r="A320" s="5">
        <v>44273</v>
      </c>
      <c r="B320">
        <v>1.5270999999999999</v>
      </c>
      <c r="C320">
        <v>1.845</v>
      </c>
      <c r="D320">
        <v>1.4805999999999999</v>
      </c>
      <c r="E320">
        <v>1.6705000000000001</v>
      </c>
      <c r="F320">
        <v>19076771.140000001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4.2261251372119377E-2</v>
      </c>
      <c r="Q320">
        <f t="shared" si="965"/>
        <v>806208.22051593231</v>
      </c>
      <c r="R320">
        <f t="shared" si="966"/>
        <v>14333381.339275584</v>
      </c>
      <c r="S320">
        <f t="shared" si="967"/>
        <v>143.33381339275584</v>
      </c>
      <c r="T320">
        <f t="shared" si="968"/>
        <v>0.14333381339275583</v>
      </c>
    </row>
    <row r="321" spans="1:20" x14ac:dyDescent="0.25">
      <c r="A321" s="5">
        <v>44272</v>
      </c>
      <c r="B321">
        <v>1.4075</v>
      </c>
      <c r="C321">
        <v>1.5980000000000001</v>
      </c>
      <c r="D321">
        <v>1.2848999999999999</v>
      </c>
      <c r="E321">
        <v>1.5269999999999999</v>
      </c>
      <c r="F321">
        <v>5829565.0499999998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0.54647077610986816</v>
      </c>
      <c r="Q321">
        <f t="shared" si="965"/>
        <v>3185686.9372564624</v>
      </c>
      <c r="R321">
        <f t="shared" si="966"/>
        <v>13527173.118759651</v>
      </c>
      <c r="S321">
        <f t="shared" si="967"/>
        <v>135.27173118759652</v>
      </c>
      <c r="T321">
        <f t="shared" si="968"/>
        <v>0.13527173118759653</v>
      </c>
    </row>
    <row r="322" spans="1:20" x14ac:dyDescent="0.25">
      <c r="A322" s="5">
        <v>44271</v>
      </c>
      <c r="B322">
        <v>1.3199000000000001</v>
      </c>
      <c r="C322">
        <v>1.4990000000000001</v>
      </c>
      <c r="D322">
        <v>1.2414000000000001</v>
      </c>
      <c r="E322">
        <v>1.4138999999999999</v>
      </c>
      <c r="F322">
        <v>8646770.2400000002</v>
      </c>
      <c r="G322">
        <v>0</v>
      </c>
      <c r="L322" t="s">
        <v>8</v>
      </c>
      <c r="M322" t="s">
        <v>8</v>
      </c>
      <c r="N322" t="s">
        <v>7</v>
      </c>
      <c r="P322">
        <f t="shared" si="964"/>
        <v>0.33928571428571308</v>
      </c>
      <c r="Q322">
        <f t="shared" si="965"/>
        <v>2933725.6171428468</v>
      </c>
      <c r="R322">
        <f t="shared" si="966"/>
        <v>10341486.181503188</v>
      </c>
      <c r="S322">
        <f t="shared" si="967"/>
        <v>103.41486181503188</v>
      </c>
      <c r="T322">
        <f t="shared" si="968"/>
        <v>0.10341486181503189</v>
      </c>
    </row>
    <row r="323" spans="1:20" x14ac:dyDescent="0.25">
      <c r="A323" s="5">
        <v>44270</v>
      </c>
      <c r="B323">
        <v>1.2096</v>
      </c>
      <c r="C323">
        <v>1.3888</v>
      </c>
      <c r="D323">
        <v>1.1173</v>
      </c>
      <c r="E323">
        <v>1.3218000000000001</v>
      </c>
      <c r="F323">
        <v>8789715.5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0.50644567219152903</v>
      </c>
      <c r="Q323">
        <f t="shared" si="965"/>
        <v>4451513.3747698013</v>
      </c>
      <c r="R323">
        <f t="shared" si="966"/>
        <v>7407760.564360342</v>
      </c>
      <c r="S323">
        <f t="shared" si="967"/>
        <v>74.07760564360342</v>
      </c>
      <c r="T323">
        <f t="shared" si="968"/>
        <v>7.4077605643603425E-2</v>
      </c>
    </row>
    <row r="324" spans="1:20" x14ac:dyDescent="0.25">
      <c r="A324" s="5">
        <v>44269</v>
      </c>
      <c r="B324">
        <v>1.3219000000000001</v>
      </c>
      <c r="C324">
        <v>1.36</v>
      </c>
      <c r="D324">
        <v>1.2061999999999999</v>
      </c>
      <c r="E324">
        <v>1.2067000000000001</v>
      </c>
      <c r="F324">
        <v>4322809.8099999996</v>
      </c>
      <c r="G324">
        <v>0</v>
      </c>
      <c r="L324" t="s">
        <v>7</v>
      </c>
      <c r="M324" t="s">
        <v>7</v>
      </c>
      <c r="N324" t="s">
        <v>7</v>
      </c>
      <c r="P324">
        <f t="shared" si="964"/>
        <v>-0.99349804941482234</v>
      </c>
      <c r="Q324">
        <f t="shared" si="965"/>
        <v>-4294703.1142262584</v>
      </c>
      <c r="R324">
        <f t="shared" si="966"/>
        <v>2956247.1895905407</v>
      </c>
      <c r="S324">
        <f t="shared" si="967"/>
        <v>29.562471895905407</v>
      </c>
      <c r="T324">
        <f t="shared" si="968"/>
        <v>2.9562471895905409E-2</v>
      </c>
    </row>
    <row r="325" spans="1:20" x14ac:dyDescent="0.25">
      <c r="A325" s="5">
        <v>44268</v>
      </c>
      <c r="B325">
        <v>1.2461</v>
      </c>
      <c r="C325">
        <v>1.39</v>
      </c>
      <c r="D325">
        <v>1.1749000000000001</v>
      </c>
      <c r="E325">
        <v>1.3185</v>
      </c>
      <c r="F325">
        <v>7644011.3300000001</v>
      </c>
      <c r="G325">
        <v>0</v>
      </c>
      <c r="L325" t="s">
        <v>8</v>
      </c>
      <c r="M325" t="s">
        <v>7</v>
      </c>
      <c r="N325" t="s">
        <v>7</v>
      </c>
      <c r="P325">
        <f t="shared" si="964"/>
        <v>0.33519293351929386</v>
      </c>
      <c r="Q325">
        <f t="shared" si="965"/>
        <v>2562218.5815574192</v>
      </c>
      <c r="R325">
        <f t="shared" si="966"/>
        <v>7250950.3038167991</v>
      </c>
      <c r="S325">
        <f t="shared" si="967"/>
        <v>72.509503038167992</v>
      </c>
      <c r="T325">
        <f t="shared" si="968"/>
        <v>7.2509503038167986E-2</v>
      </c>
    </row>
    <row r="326" spans="1:20" x14ac:dyDescent="0.25">
      <c r="A326" s="5">
        <v>44267</v>
      </c>
      <c r="B326">
        <v>1.4427000000000001</v>
      </c>
      <c r="C326">
        <v>1.615</v>
      </c>
      <c r="D326">
        <v>1.1932</v>
      </c>
      <c r="E326">
        <v>1.2461</v>
      </c>
      <c r="F326">
        <v>16797082.859999999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-0.74917022285443358</v>
      </c>
      <c r="Q326">
        <f t="shared" ref="Q326:Q389" si="970">F326*P326</f>
        <v>-12583874.309530586</v>
      </c>
      <c r="R326">
        <f t="shared" ref="R326:R389" si="971">R327+Q326</f>
        <v>4688731.7222593799</v>
      </c>
      <c r="S326">
        <f t="shared" ref="S326:S389" si="972">R326/100000</f>
        <v>46.887317222593801</v>
      </c>
      <c r="T326">
        <f t="shared" ref="T326:T389" si="973">S326/1000</f>
        <v>4.6887317222593802E-2</v>
      </c>
    </row>
    <row r="327" spans="1:20" x14ac:dyDescent="0.25">
      <c r="A327" s="5">
        <v>44266</v>
      </c>
      <c r="B327">
        <v>1.0328999999999999</v>
      </c>
      <c r="C327">
        <v>1.6455</v>
      </c>
      <c r="D327">
        <v>1.0229999999999999</v>
      </c>
      <c r="E327">
        <v>1.4428000000000001</v>
      </c>
      <c r="F327">
        <v>17021052.760000002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0.34875502008032172</v>
      </c>
      <c r="Q327">
        <f t="shared" si="970"/>
        <v>5936177.5971020162</v>
      </c>
      <c r="R327">
        <f t="shared" si="971"/>
        <v>17272606.031789966</v>
      </c>
      <c r="S327">
        <f t="shared" si="972"/>
        <v>172.72606031789965</v>
      </c>
      <c r="T327">
        <f t="shared" si="973"/>
        <v>0.17272606031789967</v>
      </c>
    </row>
    <row r="328" spans="1:20" x14ac:dyDescent="0.25">
      <c r="A328" s="5">
        <v>44265</v>
      </c>
      <c r="B328">
        <v>1.1241000000000001</v>
      </c>
      <c r="C328">
        <v>1.1242000000000001</v>
      </c>
      <c r="D328">
        <v>0.998</v>
      </c>
      <c r="E328">
        <v>1.0344</v>
      </c>
      <c r="F328">
        <v>3252063.74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-0.42313787638668837</v>
      </c>
      <c r="Q328">
        <f t="shared" si="970"/>
        <v>-1376071.3448177516</v>
      </c>
      <c r="R328">
        <f t="shared" si="971"/>
        <v>11336428.434687952</v>
      </c>
      <c r="S328">
        <f t="shared" si="972"/>
        <v>113.36428434687951</v>
      </c>
      <c r="T328">
        <f t="shared" si="973"/>
        <v>0.11336428434687952</v>
      </c>
    </row>
    <row r="329" spans="1:20" x14ac:dyDescent="0.25">
      <c r="A329" s="5">
        <v>44264</v>
      </c>
      <c r="B329">
        <v>1.1049</v>
      </c>
      <c r="C329">
        <v>1.1488</v>
      </c>
      <c r="D329">
        <v>1.0809</v>
      </c>
      <c r="E329">
        <v>1.1240000000000001</v>
      </c>
      <c r="F329">
        <v>4040511.04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0.26951399116347846</v>
      </c>
      <c r="Q329">
        <f t="shared" si="970"/>
        <v>1088974.2567304971</v>
      </c>
      <c r="R329">
        <f t="shared" si="971"/>
        <v>12712499.779505704</v>
      </c>
      <c r="S329">
        <f t="shared" si="972"/>
        <v>127.12499779505704</v>
      </c>
      <c r="T329">
        <f t="shared" si="973"/>
        <v>0.12712499779505704</v>
      </c>
    </row>
    <row r="330" spans="1:20" x14ac:dyDescent="0.25">
      <c r="A330" s="5">
        <v>44263</v>
      </c>
      <c r="B330">
        <v>0.99850000000000005</v>
      </c>
      <c r="C330">
        <v>1.1771</v>
      </c>
      <c r="D330">
        <v>0.97170000000000001</v>
      </c>
      <c r="E330">
        <v>1.1016999999999999</v>
      </c>
      <c r="F330">
        <v>5841381.5899999999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0.26582278481012539</v>
      </c>
      <c r="Q330">
        <f t="shared" si="970"/>
        <v>1552772.3213923981</v>
      </c>
      <c r="R330">
        <f t="shared" si="971"/>
        <v>11623525.522775207</v>
      </c>
      <c r="S330">
        <f t="shared" si="972"/>
        <v>116.23525522775206</v>
      </c>
      <c r="T330">
        <f t="shared" si="973"/>
        <v>0.11623525522775206</v>
      </c>
    </row>
    <row r="331" spans="1:20" x14ac:dyDescent="0.25">
      <c r="A331" s="5">
        <v>44262</v>
      </c>
      <c r="B331">
        <v>1.0285</v>
      </c>
      <c r="C331">
        <v>1.0647</v>
      </c>
      <c r="D331">
        <v>0.98060000000000003</v>
      </c>
      <c r="E331">
        <v>0.99629999999999996</v>
      </c>
      <c r="F331">
        <v>3617811.87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-0.62663495838287886</v>
      </c>
      <c r="Q331">
        <f t="shared" si="970"/>
        <v>-2267047.390594535</v>
      </c>
      <c r="R331">
        <f t="shared" si="971"/>
        <v>10070753.201382808</v>
      </c>
      <c r="S331">
        <f t="shared" si="972"/>
        <v>100.70753201382809</v>
      </c>
      <c r="T331">
        <f t="shared" si="973"/>
        <v>0.10070753201382808</v>
      </c>
    </row>
    <row r="332" spans="1:20" x14ac:dyDescent="0.25">
      <c r="A332" s="5">
        <v>44261</v>
      </c>
      <c r="B332">
        <v>0.98460000000000003</v>
      </c>
      <c r="C332">
        <v>1.03</v>
      </c>
      <c r="D332">
        <v>0.92969999999999997</v>
      </c>
      <c r="E332">
        <v>1.0286</v>
      </c>
      <c r="F332">
        <v>2688540.04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0.97208374875373749</v>
      </c>
      <c r="Q332">
        <f t="shared" si="970"/>
        <v>2613486.0807577232</v>
      </c>
      <c r="R332">
        <f t="shared" si="971"/>
        <v>12337800.591977343</v>
      </c>
      <c r="S332">
        <f t="shared" si="972"/>
        <v>123.37800591977343</v>
      </c>
      <c r="T332">
        <f t="shared" si="973"/>
        <v>0.12337800591977342</v>
      </c>
    </row>
    <row r="333" spans="1:20" x14ac:dyDescent="0.25">
      <c r="A333" s="5">
        <v>44260</v>
      </c>
      <c r="B333">
        <v>0.93520000000000003</v>
      </c>
      <c r="C333">
        <v>0.98939999999999995</v>
      </c>
      <c r="D333">
        <v>0.88560000000000005</v>
      </c>
      <c r="E333">
        <v>0.98350000000000004</v>
      </c>
      <c r="F333">
        <v>2264608.15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0.88631984585741985</v>
      </c>
      <c r="Q333">
        <f t="shared" si="970"/>
        <v>2007167.1464354566</v>
      </c>
      <c r="R333">
        <f t="shared" si="971"/>
        <v>9724314.5112196188</v>
      </c>
      <c r="S333">
        <f t="shared" si="972"/>
        <v>97.243145112196189</v>
      </c>
      <c r="T333">
        <f t="shared" si="973"/>
        <v>9.7243145112196186E-2</v>
      </c>
    </row>
    <row r="334" spans="1:20" x14ac:dyDescent="0.25">
      <c r="A334" s="5">
        <v>44259</v>
      </c>
      <c r="B334">
        <v>0.9909</v>
      </c>
      <c r="C334">
        <v>1.0525</v>
      </c>
      <c r="D334">
        <v>0.89749999999999996</v>
      </c>
      <c r="E334">
        <v>0.93859999999999999</v>
      </c>
      <c r="F334">
        <v>2996593.95</v>
      </c>
      <c r="G334">
        <v>0</v>
      </c>
      <c r="L334" t="s">
        <v>8</v>
      </c>
      <c r="M334" t="s">
        <v>7</v>
      </c>
      <c r="N334" t="s">
        <v>8</v>
      </c>
      <c r="P334">
        <f t="shared" si="969"/>
        <v>-0.46967741935483848</v>
      </c>
      <c r="Q334">
        <f t="shared" si="970"/>
        <v>-1407432.5132903219</v>
      </c>
      <c r="R334">
        <f t="shared" si="971"/>
        <v>7717147.3647841625</v>
      </c>
      <c r="S334">
        <f t="shared" si="972"/>
        <v>77.171473647841623</v>
      </c>
      <c r="T334">
        <f t="shared" si="973"/>
        <v>7.7171473647841618E-2</v>
      </c>
    </row>
    <row r="335" spans="1:20" x14ac:dyDescent="0.25">
      <c r="A335" s="5">
        <v>44258</v>
      </c>
      <c r="B335">
        <v>0.94410000000000005</v>
      </c>
      <c r="C335">
        <v>1.0109999999999999</v>
      </c>
      <c r="D335">
        <v>0.9234</v>
      </c>
      <c r="E335">
        <v>0.99099999999999999</v>
      </c>
      <c r="F335">
        <v>3268293.75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0.54337899543379153</v>
      </c>
      <c r="Q335">
        <f t="shared" si="970"/>
        <v>1775922.1746575395</v>
      </c>
      <c r="R335">
        <f t="shared" si="971"/>
        <v>9124579.8780744839</v>
      </c>
      <c r="S335">
        <f t="shared" si="972"/>
        <v>91.245798780744835</v>
      </c>
      <c r="T335">
        <f t="shared" si="973"/>
        <v>9.1245798780744833E-2</v>
      </c>
    </row>
    <row r="336" spans="1:20" x14ac:dyDescent="0.25">
      <c r="A336" s="5">
        <v>44257</v>
      </c>
      <c r="B336">
        <v>0.96360000000000001</v>
      </c>
      <c r="C336">
        <v>1.0199</v>
      </c>
      <c r="D336">
        <v>0.90890000000000004</v>
      </c>
      <c r="E336">
        <v>0.94379999999999997</v>
      </c>
      <c r="F336">
        <v>4286999.3499999996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-0.37117117117117232</v>
      </c>
      <c r="Q336">
        <f t="shared" si="970"/>
        <v>-1591210.5695495543</v>
      </c>
      <c r="R336">
        <f t="shared" si="971"/>
        <v>7348657.7034169445</v>
      </c>
      <c r="S336">
        <f t="shared" si="972"/>
        <v>73.486577034169443</v>
      </c>
      <c r="T336">
        <f t="shared" si="973"/>
        <v>7.3486577034169442E-2</v>
      </c>
    </row>
    <row r="337" spans="1:20" x14ac:dyDescent="0.25">
      <c r="A337" s="5">
        <v>44256</v>
      </c>
      <c r="B337">
        <v>0.81259999999999999</v>
      </c>
      <c r="C337">
        <v>1.0647</v>
      </c>
      <c r="D337">
        <v>0.80979999999999996</v>
      </c>
      <c r="E337">
        <v>0.96299999999999997</v>
      </c>
      <c r="F337">
        <v>31187771.739999998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0.20204001569242835</v>
      </c>
      <c r="Q337">
        <f t="shared" si="970"/>
        <v>6301177.8917614734</v>
      </c>
      <c r="R337">
        <f t="shared" si="971"/>
        <v>8939868.2729664985</v>
      </c>
      <c r="S337">
        <f t="shared" si="972"/>
        <v>89.398682729664984</v>
      </c>
      <c r="T337">
        <f t="shared" si="973"/>
        <v>8.9398682729664988E-2</v>
      </c>
    </row>
    <row r="338" spans="1:20" x14ac:dyDescent="0.25">
      <c r="A338" s="5">
        <v>44255</v>
      </c>
      <c r="B338">
        <v>0.87829999999999997</v>
      </c>
      <c r="C338">
        <v>0.88800000000000001</v>
      </c>
      <c r="D338">
        <v>0.75549999999999995</v>
      </c>
      <c r="E338">
        <v>0.81089999999999995</v>
      </c>
      <c r="F338">
        <v>2203750.64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-0.16377358490566069</v>
      </c>
      <c r="Q338">
        <f t="shared" si="970"/>
        <v>-360916.14255094412</v>
      </c>
      <c r="R338">
        <f t="shared" si="971"/>
        <v>2638690.3812050251</v>
      </c>
      <c r="S338">
        <f t="shared" si="972"/>
        <v>26.386903812050253</v>
      </c>
      <c r="T338">
        <f t="shared" si="973"/>
        <v>2.6386903812050253E-2</v>
      </c>
    </row>
    <row r="339" spans="1:20" x14ac:dyDescent="0.25">
      <c r="A339" s="5">
        <v>44254</v>
      </c>
      <c r="B339">
        <v>0.92979999999999996</v>
      </c>
      <c r="C339">
        <v>0.94420000000000004</v>
      </c>
      <c r="D339">
        <v>0.84089999999999998</v>
      </c>
      <c r="E339">
        <v>0.88070000000000004</v>
      </c>
      <c r="F339">
        <v>2850810.81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-0.22942884801548818</v>
      </c>
      <c r="Q339">
        <f t="shared" si="970"/>
        <v>-654058.24004840082</v>
      </c>
      <c r="R339">
        <f t="shared" si="971"/>
        <v>2999606.5237559695</v>
      </c>
      <c r="S339">
        <f t="shared" si="972"/>
        <v>29.996065237559694</v>
      </c>
      <c r="T339">
        <f t="shared" si="973"/>
        <v>2.9996065237559693E-2</v>
      </c>
    </row>
    <row r="340" spans="1:20" x14ac:dyDescent="0.25">
      <c r="A340" s="5">
        <v>44253</v>
      </c>
      <c r="B340">
        <v>0.81889999999999996</v>
      </c>
      <c r="C340">
        <v>0.99990000000000001</v>
      </c>
      <c r="D340">
        <v>0.79</v>
      </c>
      <c r="E340">
        <v>0.92979999999999996</v>
      </c>
      <c r="F340">
        <v>5512792.2400000002</v>
      </c>
      <c r="G340">
        <v>0</v>
      </c>
      <c r="L340" t="s">
        <v>7</v>
      </c>
      <c r="M340" t="s">
        <v>8</v>
      </c>
      <c r="N340" t="s">
        <v>8</v>
      </c>
      <c r="P340">
        <f t="shared" si="969"/>
        <v>0.33206288708908949</v>
      </c>
      <c r="Q340">
        <f t="shared" si="970"/>
        <v>1830593.7071367288</v>
      </c>
      <c r="R340">
        <f t="shared" si="971"/>
        <v>3653664.7638043701</v>
      </c>
      <c r="S340">
        <f t="shared" si="972"/>
        <v>36.536647638043704</v>
      </c>
      <c r="T340">
        <f t="shared" si="973"/>
        <v>3.6536647638043707E-2</v>
      </c>
    </row>
    <row r="341" spans="1:20" x14ac:dyDescent="0.25">
      <c r="A341" s="5">
        <v>44252</v>
      </c>
      <c r="B341">
        <v>0.90969999999999995</v>
      </c>
      <c r="C341">
        <v>0.94799999999999995</v>
      </c>
      <c r="D341">
        <v>0.81</v>
      </c>
      <c r="E341">
        <v>0.81299999999999994</v>
      </c>
      <c r="F341">
        <v>2889777.45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-0.95652173913043637</v>
      </c>
      <c r="Q341">
        <f t="shared" si="970"/>
        <v>-2764134.952173918</v>
      </c>
      <c r="R341">
        <f t="shared" si="971"/>
        <v>1823071.0566676413</v>
      </c>
      <c r="S341">
        <f t="shared" si="972"/>
        <v>18.230710566676414</v>
      </c>
      <c r="T341">
        <f t="shared" si="973"/>
        <v>1.8230710566676415E-2</v>
      </c>
    </row>
    <row r="342" spans="1:20" x14ac:dyDescent="0.25">
      <c r="A342" s="5">
        <v>44251</v>
      </c>
      <c r="B342">
        <v>0.84289999999999998</v>
      </c>
      <c r="C342">
        <v>1.0123</v>
      </c>
      <c r="D342">
        <v>0.78310000000000002</v>
      </c>
      <c r="E342">
        <v>0.91180000000000005</v>
      </c>
      <c r="F342">
        <v>4558243.82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0.1230366492146602</v>
      </c>
      <c r="Q342">
        <f t="shared" si="970"/>
        <v>560831.04591623275</v>
      </c>
      <c r="R342">
        <f t="shared" si="971"/>
        <v>4587206.0088415593</v>
      </c>
      <c r="S342">
        <f t="shared" si="972"/>
        <v>45.872060088415594</v>
      </c>
      <c r="T342">
        <f t="shared" si="973"/>
        <v>4.5872060088415594E-2</v>
      </c>
    </row>
    <row r="343" spans="1:20" x14ac:dyDescent="0.25">
      <c r="A343" s="5">
        <v>44250</v>
      </c>
      <c r="B343">
        <v>1.0508999999999999</v>
      </c>
      <c r="C343">
        <v>1.0526</v>
      </c>
      <c r="D343">
        <v>0.67</v>
      </c>
      <c r="E343">
        <v>0.84279999999999999</v>
      </c>
      <c r="F343">
        <v>4897078.9800000004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-9.6706743335075895E-2</v>
      </c>
      <c r="Q343">
        <f t="shared" si="970"/>
        <v>-473580.56001045532</v>
      </c>
      <c r="R343">
        <f t="shared" si="971"/>
        <v>4026374.9629253261</v>
      </c>
      <c r="S343">
        <f t="shared" si="972"/>
        <v>40.263749629253262</v>
      </c>
      <c r="T343">
        <f t="shared" si="973"/>
        <v>4.0263749629253262E-2</v>
      </c>
    </row>
    <row r="344" spans="1:20" x14ac:dyDescent="0.25">
      <c r="A344" s="5">
        <v>44249</v>
      </c>
      <c r="B344">
        <v>1.1496999999999999</v>
      </c>
      <c r="C344">
        <v>1.1599999999999999</v>
      </c>
      <c r="D344">
        <v>0.85</v>
      </c>
      <c r="E344">
        <v>1.0436000000000001</v>
      </c>
      <c r="F344">
        <v>5230368.71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0.24903225806451704</v>
      </c>
      <c r="Q344">
        <f t="shared" si="970"/>
        <v>1302530.530361295</v>
      </c>
      <c r="R344">
        <f t="shared" si="971"/>
        <v>4499955.5229357816</v>
      </c>
      <c r="S344">
        <f t="shared" si="972"/>
        <v>44.999555229357817</v>
      </c>
      <c r="T344">
        <f t="shared" si="973"/>
        <v>4.4999555229357814E-2</v>
      </c>
    </row>
    <row r="345" spans="1:20" x14ac:dyDescent="0.25">
      <c r="A345" s="5">
        <v>44248</v>
      </c>
      <c r="B345">
        <v>1.0947</v>
      </c>
      <c r="C345">
        <v>1.222</v>
      </c>
      <c r="D345">
        <v>1.0741000000000001</v>
      </c>
      <c r="E345">
        <v>1.1496999999999999</v>
      </c>
      <c r="F345">
        <v>5742496.9199999999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2.2312373225151186E-2</v>
      </c>
      <c r="Q345">
        <f t="shared" si="970"/>
        <v>128128.73452332115</v>
      </c>
      <c r="R345">
        <f t="shared" si="971"/>
        <v>3197424.9925744864</v>
      </c>
      <c r="S345">
        <f t="shared" si="972"/>
        <v>31.974249925744864</v>
      </c>
      <c r="T345">
        <f t="shared" si="973"/>
        <v>3.1974249925744866E-2</v>
      </c>
    </row>
    <row r="346" spans="1:20" x14ac:dyDescent="0.25">
      <c r="A346" s="5">
        <v>44247</v>
      </c>
      <c r="B346">
        <v>1.1311</v>
      </c>
      <c r="C346">
        <v>1.2382</v>
      </c>
      <c r="D346">
        <v>0.99029999999999996</v>
      </c>
      <c r="E346">
        <v>1.0948</v>
      </c>
      <c r="F346">
        <v>8818328.8900000006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-0.15691811214199247</v>
      </c>
      <c r="Q346">
        <f t="shared" si="970"/>
        <v>-1383755.521665992</v>
      </c>
      <c r="R346">
        <f t="shared" si="971"/>
        <v>3069296.2580511654</v>
      </c>
      <c r="S346">
        <f t="shared" si="972"/>
        <v>30.692962580511654</v>
      </c>
      <c r="T346">
        <f t="shared" si="973"/>
        <v>3.0692962580511653E-2</v>
      </c>
    </row>
    <row r="347" spans="1:20" x14ac:dyDescent="0.25">
      <c r="A347" s="5">
        <v>44246</v>
      </c>
      <c r="B347">
        <v>1.1574</v>
      </c>
      <c r="C347">
        <v>1.1778999999999999</v>
      </c>
      <c r="D347">
        <v>1.1035999999999999</v>
      </c>
      <c r="E347">
        <v>1.1311</v>
      </c>
      <c r="F347">
        <v>3751809.22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-0.25975773889636428</v>
      </c>
      <c r="Q347">
        <f t="shared" si="970"/>
        <v>-974561.47975773213</v>
      </c>
      <c r="R347">
        <f t="shared" si="971"/>
        <v>4453051.7797171576</v>
      </c>
      <c r="S347">
        <f t="shared" si="972"/>
        <v>44.530517797171576</v>
      </c>
      <c r="T347">
        <f t="shared" si="973"/>
        <v>4.4530517797171577E-2</v>
      </c>
    </row>
    <row r="348" spans="1:20" x14ac:dyDescent="0.25">
      <c r="A348" s="5">
        <v>44245</v>
      </c>
      <c r="B348">
        <v>1.1235999999999999</v>
      </c>
      <c r="C348">
        <v>1.2293000000000001</v>
      </c>
      <c r="D348">
        <v>1.1053999999999999</v>
      </c>
      <c r="E348">
        <v>1.1574</v>
      </c>
      <c r="F348">
        <v>4115548.81</v>
      </c>
      <c r="G348">
        <v>0</v>
      </c>
      <c r="L348" t="s">
        <v>7</v>
      </c>
      <c r="M348" t="s">
        <v>8</v>
      </c>
      <c r="N348" t="s">
        <v>7</v>
      </c>
      <c r="P348">
        <f t="shared" si="969"/>
        <v>-0.16061339790153356</v>
      </c>
      <c r="Q348">
        <f t="shared" si="970"/>
        <v>-661012.27860371291</v>
      </c>
      <c r="R348">
        <f t="shared" si="971"/>
        <v>5427613.2594748894</v>
      </c>
      <c r="S348">
        <f t="shared" si="972"/>
        <v>54.276132594748894</v>
      </c>
      <c r="T348">
        <f t="shared" si="973"/>
        <v>5.4276132594748894E-2</v>
      </c>
    </row>
    <row r="349" spans="1:20" x14ac:dyDescent="0.25">
      <c r="A349" s="5">
        <v>44244</v>
      </c>
      <c r="B349">
        <v>1.0741000000000001</v>
      </c>
      <c r="C349">
        <v>1.2396</v>
      </c>
      <c r="D349">
        <v>0.95</v>
      </c>
      <c r="E349">
        <v>1.1235999999999999</v>
      </c>
      <c r="F349">
        <v>6499197.3300000001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0.19889502762430891</v>
      </c>
      <c r="Q349">
        <f t="shared" si="970"/>
        <v>1292658.0324861847</v>
      </c>
      <c r="R349">
        <f t="shared" si="971"/>
        <v>6088625.5380786024</v>
      </c>
      <c r="S349">
        <f t="shared" si="972"/>
        <v>60.886255380786025</v>
      </c>
      <c r="T349">
        <f t="shared" si="973"/>
        <v>6.0886255380786028E-2</v>
      </c>
    </row>
    <row r="350" spans="1:20" x14ac:dyDescent="0.25">
      <c r="A350" s="5">
        <v>44243</v>
      </c>
      <c r="B350">
        <v>1.1371</v>
      </c>
      <c r="C350">
        <v>1.1677</v>
      </c>
      <c r="D350">
        <v>1.0188999999999999</v>
      </c>
      <c r="E350">
        <v>1.0746</v>
      </c>
      <c r="F350">
        <v>3676112.8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-0.25134408602150449</v>
      </c>
      <c r="Q350">
        <f t="shared" si="970"/>
        <v>-923969.2118279537</v>
      </c>
      <c r="R350">
        <f t="shared" si="971"/>
        <v>4795967.5055924179</v>
      </c>
      <c r="S350">
        <f t="shared" si="972"/>
        <v>47.95967505592418</v>
      </c>
      <c r="T350">
        <f t="shared" si="973"/>
        <v>4.7959675055924182E-2</v>
      </c>
    </row>
    <row r="351" spans="1:20" x14ac:dyDescent="0.25">
      <c r="A351" s="5">
        <v>44242</v>
      </c>
      <c r="B351">
        <v>1.2873000000000001</v>
      </c>
      <c r="C351">
        <v>1.3520000000000001</v>
      </c>
      <c r="D351">
        <v>0.98</v>
      </c>
      <c r="E351">
        <v>1.1380999999999999</v>
      </c>
      <c r="F351">
        <v>9755173.6999999993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-0.15000000000000074</v>
      </c>
      <c r="Q351">
        <f t="shared" si="970"/>
        <v>-1463276.0550000072</v>
      </c>
      <c r="R351">
        <f t="shared" si="971"/>
        <v>5719936.7174203712</v>
      </c>
      <c r="S351">
        <f t="shared" si="972"/>
        <v>57.199367174203715</v>
      </c>
      <c r="T351">
        <f t="shared" si="973"/>
        <v>5.7199367174203715E-2</v>
      </c>
    </row>
    <row r="352" spans="1:20" x14ac:dyDescent="0.25">
      <c r="A352" s="5">
        <v>44241</v>
      </c>
      <c r="B352">
        <v>1.4899</v>
      </c>
      <c r="C352">
        <v>1.5980000000000001</v>
      </c>
      <c r="D352">
        <v>1.2241</v>
      </c>
      <c r="E352">
        <v>1.2902</v>
      </c>
      <c r="F352">
        <v>20138628.91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-0.6464295266113933</v>
      </c>
      <c r="Q352">
        <f t="shared" si="970"/>
        <v>-13018204.35289382</v>
      </c>
      <c r="R352">
        <f t="shared" si="971"/>
        <v>7183212.7724203784</v>
      </c>
      <c r="S352">
        <f t="shared" si="972"/>
        <v>71.832127724203787</v>
      </c>
      <c r="T352">
        <f t="shared" si="973"/>
        <v>7.183212772420379E-2</v>
      </c>
    </row>
    <row r="353" spans="1:20" x14ac:dyDescent="0.25">
      <c r="A353" s="5">
        <v>44240</v>
      </c>
      <c r="B353">
        <v>1.1355999999999999</v>
      </c>
      <c r="C353">
        <v>1.8349</v>
      </c>
      <c r="D353">
        <v>1.0562</v>
      </c>
      <c r="E353">
        <v>1.49</v>
      </c>
      <c r="F353">
        <v>96082568.180000007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0.11416463336329778</v>
      </c>
      <c r="Q353">
        <f t="shared" si="970"/>
        <v>10969231.168873763</v>
      </c>
      <c r="R353">
        <f t="shared" si="971"/>
        <v>20201417.125314198</v>
      </c>
      <c r="S353">
        <f t="shared" si="972"/>
        <v>202.014171253142</v>
      </c>
      <c r="T353">
        <f t="shared" si="973"/>
        <v>0.202014171253142</v>
      </c>
    </row>
    <row r="354" spans="1:20" x14ac:dyDescent="0.25">
      <c r="A354" s="5">
        <v>44239</v>
      </c>
      <c r="B354">
        <v>0.72250000000000003</v>
      </c>
      <c r="C354">
        <v>1.1800999999999999</v>
      </c>
      <c r="D354">
        <v>0.65300000000000002</v>
      </c>
      <c r="E354">
        <v>1.1356999999999999</v>
      </c>
      <c r="F354">
        <v>11759668.5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0.83153101878201474</v>
      </c>
      <c r="Q354">
        <f t="shared" si="970"/>
        <v>9778529.1283437666</v>
      </c>
      <c r="R354">
        <f t="shared" si="971"/>
        <v>9232185.9564404376</v>
      </c>
      <c r="S354">
        <f t="shared" si="972"/>
        <v>92.321859564404377</v>
      </c>
      <c r="T354">
        <f t="shared" si="973"/>
        <v>9.2321859564404377E-2</v>
      </c>
    </row>
    <row r="355" spans="1:20" x14ac:dyDescent="0.25">
      <c r="A355" s="5">
        <v>44238</v>
      </c>
      <c r="B355">
        <v>0.60189999999999999</v>
      </c>
      <c r="C355">
        <v>0.75</v>
      </c>
      <c r="D355">
        <v>0.57599999999999996</v>
      </c>
      <c r="E355">
        <v>0.72030000000000005</v>
      </c>
      <c r="F355">
        <v>6139733.1200000001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0.65862068965517306</v>
      </c>
      <c r="Q355">
        <f t="shared" si="970"/>
        <v>4043755.2617931077</v>
      </c>
      <c r="R355">
        <f t="shared" si="971"/>
        <v>-546343.17190332804</v>
      </c>
      <c r="S355">
        <f t="shared" si="972"/>
        <v>-5.46343171903328</v>
      </c>
      <c r="T355">
        <f t="shared" si="973"/>
        <v>-5.4634317190332803E-3</v>
      </c>
    </row>
    <row r="356" spans="1:20" x14ac:dyDescent="0.25">
      <c r="A356" s="5">
        <v>44237</v>
      </c>
      <c r="B356">
        <v>0.61919999999999997</v>
      </c>
      <c r="C356">
        <v>0.66539999999999999</v>
      </c>
      <c r="D356">
        <v>0.53320000000000001</v>
      </c>
      <c r="E356">
        <v>0.60140000000000005</v>
      </c>
      <c r="F356">
        <v>8246097.1699999999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3.1770045385779828E-2</v>
      </c>
      <c r="Q356">
        <f t="shared" si="970"/>
        <v>261978.88134645059</v>
      </c>
      <c r="R356">
        <f t="shared" si="971"/>
        <v>-4590098.4336964358</v>
      </c>
      <c r="S356">
        <f t="shared" si="972"/>
        <v>-45.900984336964356</v>
      </c>
      <c r="T356">
        <f t="shared" si="973"/>
        <v>-4.5900984336964358E-2</v>
      </c>
    </row>
    <row r="357" spans="1:20" x14ac:dyDescent="0.25">
      <c r="A357" s="5">
        <v>44236</v>
      </c>
      <c r="B357">
        <v>0.4652</v>
      </c>
      <c r="C357">
        <v>0.68969999999999998</v>
      </c>
      <c r="D357">
        <v>0.45</v>
      </c>
      <c r="E357">
        <v>0.61809999999999998</v>
      </c>
      <c r="F357">
        <v>13554491.890000001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0.40258656654151015</v>
      </c>
      <c r="Q357">
        <f t="shared" si="970"/>
        <v>5456856.3512098445</v>
      </c>
      <c r="R357">
        <f t="shared" si="971"/>
        <v>-4852077.315042886</v>
      </c>
      <c r="S357">
        <f t="shared" si="972"/>
        <v>-48.520773150428859</v>
      </c>
      <c r="T357">
        <f t="shared" si="973"/>
        <v>-4.852077315042886E-2</v>
      </c>
    </row>
    <row r="358" spans="1:20" x14ac:dyDescent="0.25">
      <c r="A358" s="5">
        <v>44235</v>
      </c>
      <c r="B358">
        <v>0.44769999999999999</v>
      </c>
      <c r="C358">
        <v>0.48859999999999998</v>
      </c>
      <c r="D358">
        <v>0.44490000000000002</v>
      </c>
      <c r="E358">
        <v>0.46400000000000002</v>
      </c>
      <c r="F358">
        <v>3383981.63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-0.12585812356979301</v>
      </c>
      <c r="Q358">
        <f t="shared" si="970"/>
        <v>-425901.57814644952</v>
      </c>
      <c r="R358">
        <f t="shared" si="971"/>
        <v>-10308933.66625273</v>
      </c>
      <c r="S358">
        <f t="shared" si="972"/>
        <v>-103.0893366625273</v>
      </c>
      <c r="T358">
        <f t="shared" si="973"/>
        <v>-0.1030893366625273</v>
      </c>
    </row>
    <row r="359" spans="1:20" x14ac:dyDescent="0.25">
      <c r="A359" s="5">
        <v>44234</v>
      </c>
      <c r="B359">
        <v>0.45469999999999999</v>
      </c>
      <c r="C359">
        <v>0.45979999999999999</v>
      </c>
      <c r="D359">
        <v>0.42020000000000002</v>
      </c>
      <c r="E359">
        <v>0.44769999999999999</v>
      </c>
      <c r="F359">
        <v>2120040.41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0.3888888888888884</v>
      </c>
      <c r="Q359">
        <f t="shared" si="970"/>
        <v>824460.15944444342</v>
      </c>
      <c r="R359">
        <f t="shared" si="971"/>
        <v>-9883032.0881062802</v>
      </c>
      <c r="S359">
        <f t="shared" si="972"/>
        <v>-98.830320881062804</v>
      </c>
      <c r="T359">
        <f t="shared" si="973"/>
        <v>-9.8830320881062805E-2</v>
      </c>
    </row>
    <row r="360" spans="1:20" x14ac:dyDescent="0.25">
      <c r="A360" s="5">
        <v>44233</v>
      </c>
      <c r="B360">
        <v>0.46860000000000002</v>
      </c>
      <c r="C360">
        <v>0.49</v>
      </c>
      <c r="D360">
        <v>0.432</v>
      </c>
      <c r="E360">
        <v>0.45479999999999998</v>
      </c>
      <c r="F360">
        <v>3543706.08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-0.21379310344827626</v>
      </c>
      <c r="Q360">
        <f t="shared" si="970"/>
        <v>-757619.92055172555</v>
      </c>
      <c r="R360">
        <f t="shared" si="971"/>
        <v>-10707492.247550724</v>
      </c>
      <c r="S360">
        <f t="shared" si="972"/>
        <v>-107.07492247550724</v>
      </c>
      <c r="T360">
        <f t="shared" si="973"/>
        <v>-0.10707492247550723</v>
      </c>
    </row>
    <row r="361" spans="1:20" x14ac:dyDescent="0.25">
      <c r="A361" s="5">
        <v>44232</v>
      </c>
      <c r="B361">
        <v>0.44090000000000001</v>
      </c>
      <c r="C361">
        <v>0.52270000000000005</v>
      </c>
      <c r="D361">
        <v>0.4375</v>
      </c>
      <c r="E361">
        <v>0.46899999999999997</v>
      </c>
      <c r="F361">
        <v>5472005.2199999997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-0.26056338028169124</v>
      </c>
      <c r="Q361">
        <f t="shared" si="970"/>
        <v>-1425804.1770422594</v>
      </c>
      <c r="R361">
        <f t="shared" si="971"/>
        <v>-9949872.3269989993</v>
      </c>
      <c r="S361">
        <f t="shared" si="972"/>
        <v>-99.498723269989995</v>
      </c>
      <c r="T361">
        <f t="shared" si="973"/>
        <v>-9.949872326999E-2</v>
      </c>
    </row>
    <row r="362" spans="1:20" x14ac:dyDescent="0.25">
      <c r="A362" s="5">
        <v>44231</v>
      </c>
      <c r="B362">
        <v>0.43049999999999999</v>
      </c>
      <c r="C362">
        <v>0.50339999999999996</v>
      </c>
      <c r="D362">
        <v>0.39250000000000002</v>
      </c>
      <c r="E362">
        <v>0.44059999999999999</v>
      </c>
      <c r="F362">
        <v>6280201.5599999996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-0.13255184851217311</v>
      </c>
      <c r="Q362">
        <f t="shared" si="970"/>
        <v>-832452.32580703322</v>
      </c>
      <c r="R362">
        <f t="shared" si="971"/>
        <v>-8524068.1499567404</v>
      </c>
      <c r="S362">
        <f t="shared" si="972"/>
        <v>-85.240681499567401</v>
      </c>
      <c r="T362">
        <f t="shared" si="973"/>
        <v>-8.52406814995674E-2</v>
      </c>
    </row>
    <row r="363" spans="1:20" x14ac:dyDescent="0.25">
      <c r="A363" s="5">
        <v>44230</v>
      </c>
      <c r="B363">
        <v>0.36890000000000001</v>
      </c>
      <c r="C363">
        <v>0.432</v>
      </c>
      <c r="D363">
        <v>0.36480000000000001</v>
      </c>
      <c r="E363">
        <v>0.43049999999999999</v>
      </c>
      <c r="F363">
        <v>5781069.0599999996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0.95535714285714279</v>
      </c>
      <c r="Q363">
        <f t="shared" si="970"/>
        <v>5522985.6198214274</v>
      </c>
      <c r="R363">
        <f t="shared" si="971"/>
        <v>-7691615.8241497073</v>
      </c>
      <c r="S363">
        <f t="shared" si="972"/>
        <v>-76.916158241497072</v>
      </c>
      <c r="T363">
        <f t="shared" si="973"/>
        <v>-7.6916158241497071E-2</v>
      </c>
    </row>
    <row r="364" spans="1:20" x14ac:dyDescent="0.25">
      <c r="A364" s="5">
        <v>44229</v>
      </c>
      <c r="B364">
        <v>0.3664</v>
      </c>
      <c r="C364">
        <v>0.3785</v>
      </c>
      <c r="D364">
        <v>0.35770000000000002</v>
      </c>
      <c r="E364">
        <v>0.36930000000000002</v>
      </c>
      <c r="F364">
        <v>1791489.51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0.1153846153846161</v>
      </c>
      <c r="Q364">
        <f t="shared" si="970"/>
        <v>206710.32807692434</v>
      </c>
      <c r="R364">
        <f t="shared" si="971"/>
        <v>-13214601.443971135</v>
      </c>
      <c r="S364">
        <f t="shared" si="972"/>
        <v>-132.14601443971134</v>
      </c>
      <c r="T364">
        <f t="shared" si="973"/>
        <v>-0.13214601443971133</v>
      </c>
    </row>
    <row r="365" spans="1:20" x14ac:dyDescent="0.25">
      <c r="A365" s="5">
        <v>44228</v>
      </c>
      <c r="B365">
        <v>0.35630000000000001</v>
      </c>
      <c r="C365">
        <v>0.372</v>
      </c>
      <c r="D365">
        <v>0.35020000000000001</v>
      </c>
      <c r="E365">
        <v>0.36630000000000001</v>
      </c>
      <c r="F365">
        <v>1723403.4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0.47706422018348749</v>
      </c>
      <c r="Q365">
        <f t="shared" si="970"/>
        <v>822174.09908257087</v>
      </c>
      <c r="R365">
        <f t="shared" si="971"/>
        <v>-13421311.77204806</v>
      </c>
      <c r="S365">
        <f t="shared" si="972"/>
        <v>-134.2131177204806</v>
      </c>
      <c r="T365">
        <f t="shared" si="973"/>
        <v>-0.13421311772048058</v>
      </c>
    </row>
    <row r="366" spans="1:20" x14ac:dyDescent="0.25">
      <c r="A366" s="5">
        <v>44227</v>
      </c>
      <c r="B366">
        <v>0.35949999999999999</v>
      </c>
      <c r="C366">
        <v>0.37190000000000001</v>
      </c>
      <c r="D366">
        <v>0.33760000000000001</v>
      </c>
      <c r="E366">
        <v>0.3569</v>
      </c>
      <c r="F366">
        <v>2196470.94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0.12536443148687962</v>
      </c>
      <c r="Q366">
        <f t="shared" si="970"/>
        <v>275359.33067055204</v>
      </c>
      <c r="R366">
        <f t="shared" si="971"/>
        <v>-14243485.87113063</v>
      </c>
      <c r="S366">
        <f t="shared" si="972"/>
        <v>-142.4348587113063</v>
      </c>
      <c r="T366">
        <f t="shared" si="973"/>
        <v>-0.14243485871130632</v>
      </c>
    </row>
    <row r="367" spans="1:20" x14ac:dyDescent="0.25">
      <c r="A367" s="5">
        <v>44226</v>
      </c>
      <c r="B367">
        <v>0.33400000000000002</v>
      </c>
      <c r="C367">
        <v>0.37759999999999999</v>
      </c>
      <c r="D367">
        <v>0.32319999999999999</v>
      </c>
      <c r="E367">
        <v>0.35980000000000001</v>
      </c>
      <c r="F367">
        <v>3231304.49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0.34558823529411836</v>
      </c>
      <c r="Q367">
        <f t="shared" si="970"/>
        <v>1116700.8163970611</v>
      </c>
      <c r="R367">
        <f t="shared" si="971"/>
        <v>-14518845.201801183</v>
      </c>
      <c r="S367">
        <f t="shared" si="972"/>
        <v>-145.18845201801182</v>
      </c>
      <c r="T367">
        <f t="shared" si="973"/>
        <v>-0.14518845201801181</v>
      </c>
    </row>
    <row r="368" spans="1:20" x14ac:dyDescent="0.25">
      <c r="A368" s="5">
        <v>44225</v>
      </c>
      <c r="B368">
        <v>0.33489999999999998</v>
      </c>
      <c r="C368">
        <v>0.3453</v>
      </c>
      <c r="D368">
        <v>0.3201</v>
      </c>
      <c r="E368">
        <v>0.33439999999999998</v>
      </c>
      <c r="F368">
        <v>2663731.7599999998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0.13492063492063328</v>
      </c>
      <c r="Q368">
        <f t="shared" si="970"/>
        <v>359392.38031745591</v>
      </c>
      <c r="R368">
        <f t="shared" si="971"/>
        <v>-15635546.018198244</v>
      </c>
      <c r="S368">
        <f t="shared" si="972"/>
        <v>-156.35546018198244</v>
      </c>
      <c r="T368">
        <f t="shared" si="973"/>
        <v>-0.15635546018198243</v>
      </c>
    </row>
    <row r="369" spans="1:20" x14ac:dyDescent="0.25">
      <c r="A369" s="5">
        <v>44224</v>
      </c>
      <c r="B369">
        <v>0.32550000000000001</v>
      </c>
      <c r="C369">
        <v>0.34689999999999999</v>
      </c>
      <c r="D369">
        <v>0.31900000000000001</v>
      </c>
      <c r="E369">
        <v>0.33489999999999998</v>
      </c>
      <c r="F369">
        <v>1854761.18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0.13978494623655777</v>
      </c>
      <c r="Q369">
        <f t="shared" si="970"/>
        <v>259267.69182795443</v>
      </c>
      <c r="R369">
        <f t="shared" si="971"/>
        <v>-15994938.398515699</v>
      </c>
      <c r="S369">
        <f t="shared" si="972"/>
        <v>-159.949383985157</v>
      </c>
      <c r="T369">
        <f t="shared" si="973"/>
        <v>-0.15994938398515701</v>
      </c>
    </row>
    <row r="370" spans="1:20" x14ac:dyDescent="0.25">
      <c r="A370" s="5">
        <v>44223</v>
      </c>
      <c r="B370">
        <v>0.35110000000000002</v>
      </c>
      <c r="C370">
        <v>0.35170000000000001</v>
      </c>
      <c r="D370">
        <v>0.31209999999999999</v>
      </c>
      <c r="E370">
        <v>0.32550000000000001</v>
      </c>
      <c r="F370">
        <v>1147625.44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-0.32323232323232248</v>
      </c>
      <c r="Q370">
        <f t="shared" si="970"/>
        <v>-370949.63717171631</v>
      </c>
      <c r="R370">
        <f t="shared" si="971"/>
        <v>-16254206.090343654</v>
      </c>
      <c r="S370">
        <f t="shared" si="972"/>
        <v>-162.54206090343655</v>
      </c>
      <c r="T370">
        <f t="shared" si="973"/>
        <v>-0.16254206090343654</v>
      </c>
    </row>
    <row r="371" spans="1:20" x14ac:dyDescent="0.25">
      <c r="A371" s="5">
        <v>44222</v>
      </c>
      <c r="B371">
        <v>0.35649999999999998</v>
      </c>
      <c r="C371">
        <v>0.36170000000000002</v>
      </c>
      <c r="D371">
        <v>0.33710000000000001</v>
      </c>
      <c r="E371">
        <v>0.35160000000000002</v>
      </c>
      <c r="F371">
        <v>1434264.02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0.17886178861788671</v>
      </c>
      <c r="Q371">
        <f t="shared" si="970"/>
        <v>256535.02796748045</v>
      </c>
      <c r="R371">
        <f t="shared" si="971"/>
        <v>-15883256.453171939</v>
      </c>
      <c r="S371">
        <f t="shared" si="972"/>
        <v>-158.83256453171938</v>
      </c>
      <c r="T371">
        <f t="shared" si="973"/>
        <v>-0.15883256453171937</v>
      </c>
    </row>
    <row r="372" spans="1:20" x14ac:dyDescent="0.25">
      <c r="A372" s="5">
        <v>44221</v>
      </c>
      <c r="B372">
        <v>0.37569999999999998</v>
      </c>
      <c r="C372">
        <v>0.39739999999999998</v>
      </c>
      <c r="D372">
        <v>0.35070000000000001</v>
      </c>
      <c r="E372">
        <v>0.35649999999999998</v>
      </c>
      <c r="F372">
        <v>2347106.88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-0.75160599571734577</v>
      </c>
      <c r="Q372">
        <f t="shared" si="970"/>
        <v>-1764099.6035974326</v>
      </c>
      <c r="R372">
        <f t="shared" si="971"/>
        <v>-16139791.48113942</v>
      </c>
      <c r="S372">
        <f t="shared" si="972"/>
        <v>-161.3979148113942</v>
      </c>
      <c r="T372">
        <f t="shared" si="973"/>
        <v>-0.16139791481139421</v>
      </c>
    </row>
    <row r="373" spans="1:20" x14ac:dyDescent="0.25">
      <c r="A373" s="5">
        <v>44220</v>
      </c>
      <c r="B373">
        <v>0.34949999999999998</v>
      </c>
      <c r="C373">
        <v>0.378</v>
      </c>
      <c r="D373">
        <v>0.34810000000000002</v>
      </c>
      <c r="E373">
        <v>0.37569999999999998</v>
      </c>
      <c r="F373">
        <v>2131274.88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0.84615384615384448</v>
      </c>
      <c r="Q373">
        <f t="shared" si="970"/>
        <v>1803386.4369230734</v>
      </c>
      <c r="R373">
        <f t="shared" si="971"/>
        <v>-14375691.877541987</v>
      </c>
      <c r="S373">
        <f t="shared" si="972"/>
        <v>-143.75691877541988</v>
      </c>
      <c r="T373">
        <f t="shared" si="973"/>
        <v>-0.14375691877541988</v>
      </c>
    </row>
    <row r="374" spans="1:20" x14ac:dyDescent="0.25">
      <c r="A374" s="5">
        <v>44219</v>
      </c>
      <c r="B374">
        <v>0.35039999999999999</v>
      </c>
      <c r="C374">
        <v>0.37</v>
      </c>
      <c r="D374">
        <v>0.34300000000000003</v>
      </c>
      <c r="E374">
        <v>0.34920000000000001</v>
      </c>
      <c r="F374">
        <v>1430398.77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-0.54074074074074141</v>
      </c>
      <c r="Q374">
        <f t="shared" si="970"/>
        <v>-773474.89044444542</v>
      </c>
      <c r="R374">
        <f t="shared" si="971"/>
        <v>-16179078.314465061</v>
      </c>
      <c r="S374">
        <f t="shared" si="972"/>
        <v>-161.79078314465062</v>
      </c>
      <c r="T374">
        <f t="shared" si="973"/>
        <v>-0.16179078314465062</v>
      </c>
    </row>
    <row r="375" spans="1:20" x14ac:dyDescent="0.25">
      <c r="A375" s="5">
        <v>44218</v>
      </c>
      <c r="B375">
        <v>0.34379999999999999</v>
      </c>
      <c r="C375">
        <v>0.37509999999999999</v>
      </c>
      <c r="D375">
        <v>0.31709999999999999</v>
      </c>
      <c r="E375">
        <v>0.34910000000000002</v>
      </c>
      <c r="F375">
        <v>1475124.22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0.10344827586207002</v>
      </c>
      <c r="Q375">
        <f t="shared" si="970"/>
        <v>152599.05724138085</v>
      </c>
      <c r="R375">
        <f t="shared" si="971"/>
        <v>-15405603.424020616</v>
      </c>
      <c r="S375">
        <f t="shared" si="972"/>
        <v>-154.05603424020617</v>
      </c>
      <c r="T375">
        <f t="shared" si="973"/>
        <v>-0.15405603424020617</v>
      </c>
    </row>
    <row r="376" spans="1:20" x14ac:dyDescent="0.25">
      <c r="A376" s="5">
        <v>44217</v>
      </c>
      <c r="B376">
        <v>0.37340000000000001</v>
      </c>
      <c r="C376">
        <v>0.38390000000000002</v>
      </c>
      <c r="D376">
        <v>0.3367</v>
      </c>
      <c r="E376">
        <v>0.3453</v>
      </c>
      <c r="F376">
        <v>2569107.85</v>
      </c>
      <c r="G376">
        <v>0</v>
      </c>
      <c r="L376" t="s">
        <v>8</v>
      </c>
      <c r="M376" t="s">
        <v>7</v>
      </c>
      <c r="N376" t="s">
        <v>8</v>
      </c>
      <c r="P376">
        <f t="shared" si="969"/>
        <v>-0.63559322033898336</v>
      </c>
      <c r="Q376">
        <f t="shared" si="970"/>
        <v>-1632907.5317796618</v>
      </c>
      <c r="R376">
        <f t="shared" si="971"/>
        <v>-15558202.481261997</v>
      </c>
      <c r="S376">
        <f t="shared" si="972"/>
        <v>-155.58202481261998</v>
      </c>
      <c r="T376">
        <f t="shared" si="973"/>
        <v>-0.15558202481261998</v>
      </c>
    </row>
    <row r="377" spans="1:20" x14ac:dyDescent="0.25">
      <c r="A377" s="5">
        <v>44216</v>
      </c>
      <c r="B377">
        <v>0.35039999999999999</v>
      </c>
      <c r="C377">
        <v>0.39960000000000001</v>
      </c>
      <c r="D377">
        <v>0.33279999999999998</v>
      </c>
      <c r="E377">
        <v>0.37390000000000001</v>
      </c>
      <c r="F377">
        <v>7238534.6799999997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0.23053892215568891</v>
      </c>
      <c r="Q377">
        <f t="shared" si="970"/>
        <v>1668763.9831137746</v>
      </c>
      <c r="R377">
        <f t="shared" si="971"/>
        <v>-13925294.949482335</v>
      </c>
      <c r="S377">
        <f t="shared" si="972"/>
        <v>-139.25294949482335</v>
      </c>
      <c r="T377">
        <f t="shared" si="973"/>
        <v>-0.13925294949482336</v>
      </c>
    </row>
    <row r="378" spans="1:20" x14ac:dyDescent="0.25">
      <c r="A378" s="5">
        <v>44215</v>
      </c>
      <c r="B378">
        <v>0.36770000000000003</v>
      </c>
      <c r="C378">
        <v>0.37790000000000001</v>
      </c>
      <c r="D378">
        <v>0.34300000000000003</v>
      </c>
      <c r="E378">
        <v>0.35089999999999999</v>
      </c>
      <c r="F378">
        <v>1642151.82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-0.54727793696275273</v>
      </c>
      <c r="Q378">
        <f t="shared" si="970"/>
        <v>-898713.46022922965</v>
      </c>
      <c r="R378">
        <f t="shared" si="971"/>
        <v>-15594058.93259611</v>
      </c>
      <c r="S378">
        <f t="shared" si="972"/>
        <v>-155.9405893259611</v>
      </c>
      <c r="T378">
        <f t="shared" si="973"/>
        <v>-0.15594058932596111</v>
      </c>
    </row>
    <row r="379" spans="1:20" x14ac:dyDescent="0.25">
      <c r="A379" s="5">
        <v>44214</v>
      </c>
      <c r="B379">
        <v>0.34960000000000002</v>
      </c>
      <c r="C379">
        <v>0.38590000000000002</v>
      </c>
      <c r="D379">
        <v>0.34499999999999997</v>
      </c>
      <c r="E379">
        <v>0.36709999999999998</v>
      </c>
      <c r="F379">
        <v>2239420.87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8.0684596577016279E-2</v>
      </c>
      <c r="Q379">
        <f t="shared" si="970"/>
        <v>180686.76946210084</v>
      </c>
      <c r="R379">
        <f t="shared" si="971"/>
        <v>-14695345.472366881</v>
      </c>
      <c r="S379">
        <f t="shared" si="972"/>
        <v>-146.95345472366881</v>
      </c>
      <c r="T379">
        <f t="shared" si="973"/>
        <v>-0.1469534547236688</v>
      </c>
    </row>
    <row r="380" spans="1:20" x14ac:dyDescent="0.25">
      <c r="A380" s="5">
        <v>44213</v>
      </c>
      <c r="B380">
        <v>0.33379999999999999</v>
      </c>
      <c r="C380">
        <v>0.36070000000000002</v>
      </c>
      <c r="D380">
        <v>0.31</v>
      </c>
      <c r="E380">
        <v>0.34849999999999998</v>
      </c>
      <c r="F380">
        <v>2277623.7400000002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0.51873767258382486</v>
      </c>
      <c r="Q380">
        <f t="shared" si="970"/>
        <v>1181489.2379092667</v>
      </c>
      <c r="R380">
        <f t="shared" si="971"/>
        <v>-14876032.241828982</v>
      </c>
      <c r="S380">
        <f t="shared" si="972"/>
        <v>-148.76032241828983</v>
      </c>
      <c r="T380">
        <f t="shared" si="973"/>
        <v>-0.14876032241828982</v>
      </c>
    </row>
    <row r="381" spans="1:20" x14ac:dyDescent="0.25">
      <c r="A381" s="5">
        <v>44212</v>
      </c>
      <c r="B381">
        <v>0.33410000000000001</v>
      </c>
      <c r="C381">
        <v>0.34910000000000002</v>
      </c>
      <c r="D381">
        <v>0.32150000000000001</v>
      </c>
      <c r="E381">
        <v>0.33379999999999999</v>
      </c>
      <c r="F381">
        <v>1722000.97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-0.10869565217391509</v>
      </c>
      <c r="Q381">
        <f t="shared" si="970"/>
        <v>-187174.01847826439</v>
      </c>
      <c r="R381">
        <f t="shared" si="971"/>
        <v>-16057521.479738249</v>
      </c>
      <c r="S381">
        <f t="shared" si="972"/>
        <v>-160.57521479738247</v>
      </c>
      <c r="T381">
        <f t="shared" si="973"/>
        <v>-0.16057521479738246</v>
      </c>
    </row>
    <row r="382" spans="1:20" x14ac:dyDescent="0.25">
      <c r="A382" s="5">
        <v>44211</v>
      </c>
      <c r="B382">
        <v>0.32350000000000001</v>
      </c>
      <c r="C382">
        <v>0.33789999999999998</v>
      </c>
      <c r="D382">
        <v>0.29189999999999999</v>
      </c>
      <c r="E382">
        <v>0.3332</v>
      </c>
      <c r="F382">
        <v>1736753.15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0.79565217391304421</v>
      </c>
      <c r="Q382">
        <f t="shared" si="970"/>
        <v>1381851.4193478273</v>
      </c>
      <c r="R382">
        <f t="shared" si="971"/>
        <v>-15870347.461259983</v>
      </c>
      <c r="S382">
        <f t="shared" si="972"/>
        <v>-158.70347461259985</v>
      </c>
      <c r="T382">
        <f t="shared" si="973"/>
        <v>-0.15870347461259984</v>
      </c>
    </row>
    <row r="383" spans="1:20" x14ac:dyDescent="0.25">
      <c r="A383" s="5">
        <v>44210</v>
      </c>
      <c r="B383">
        <v>0.3251</v>
      </c>
      <c r="C383">
        <v>0.3332</v>
      </c>
      <c r="D383">
        <v>0.315</v>
      </c>
      <c r="E383">
        <v>0.32350000000000001</v>
      </c>
      <c r="F383">
        <v>1478032.91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-6.5934065934064798E-2</v>
      </c>
      <c r="Q383">
        <f t="shared" si="970"/>
        <v>-97452.719340657655</v>
      </c>
      <c r="R383">
        <f t="shared" si="971"/>
        <v>-17252198.88060781</v>
      </c>
      <c r="S383">
        <f t="shared" si="972"/>
        <v>-172.5219888060781</v>
      </c>
      <c r="T383">
        <f t="shared" si="973"/>
        <v>-0.17252198880607811</v>
      </c>
    </row>
    <row r="384" spans="1:20" x14ac:dyDescent="0.25">
      <c r="A384" s="5">
        <v>44209</v>
      </c>
      <c r="B384">
        <v>0.3125</v>
      </c>
      <c r="C384">
        <v>0.33889999999999998</v>
      </c>
      <c r="D384">
        <v>0.30220000000000002</v>
      </c>
      <c r="E384">
        <v>0.32550000000000001</v>
      </c>
      <c r="F384">
        <v>1189763.3700000001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0.26975476839237145</v>
      </c>
      <c r="Q384">
        <f t="shared" si="970"/>
        <v>320944.34231607738</v>
      </c>
      <c r="R384">
        <f t="shared" si="971"/>
        <v>-17154746.161267154</v>
      </c>
      <c r="S384">
        <f t="shared" si="972"/>
        <v>-171.54746161267153</v>
      </c>
      <c r="T384">
        <f t="shared" si="973"/>
        <v>-0.17154746161267154</v>
      </c>
    </row>
    <row r="385" spans="1:20" x14ac:dyDescent="0.25">
      <c r="A385" s="5">
        <v>44208</v>
      </c>
      <c r="B385">
        <v>0.31919999999999998</v>
      </c>
      <c r="C385">
        <v>0.3306</v>
      </c>
      <c r="D385">
        <v>0.30199999999999999</v>
      </c>
      <c r="E385">
        <v>0.31230000000000002</v>
      </c>
      <c r="F385">
        <v>1311059.92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-0.27972027972027791</v>
      </c>
      <c r="Q385">
        <f t="shared" si="970"/>
        <v>-366730.04755244515</v>
      </c>
      <c r="R385">
        <f t="shared" si="971"/>
        <v>-17475690.50358323</v>
      </c>
      <c r="S385">
        <f t="shared" si="972"/>
        <v>-174.75690503583229</v>
      </c>
      <c r="T385">
        <f t="shared" si="973"/>
        <v>-0.1747569050358323</v>
      </c>
    </row>
    <row r="386" spans="1:20" x14ac:dyDescent="0.25">
      <c r="A386" s="5">
        <v>44207</v>
      </c>
      <c r="B386">
        <v>0.39279999999999998</v>
      </c>
      <c r="C386">
        <v>0.39340000000000003</v>
      </c>
      <c r="D386">
        <v>0.27600000000000002</v>
      </c>
      <c r="E386">
        <v>0.31940000000000002</v>
      </c>
      <c r="F386">
        <v>2481021.16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-0.26064735945485534</v>
      </c>
      <c r="Q386">
        <f t="shared" si="970"/>
        <v>-646671.61410562217</v>
      </c>
      <c r="R386">
        <f t="shared" si="971"/>
        <v>-17108960.456030786</v>
      </c>
      <c r="S386">
        <f t="shared" si="972"/>
        <v>-171.08960456030786</v>
      </c>
      <c r="T386">
        <f t="shared" si="973"/>
        <v>-0.17108960456030786</v>
      </c>
    </row>
    <row r="387" spans="1:20" x14ac:dyDescent="0.25">
      <c r="A387" s="5">
        <v>44206</v>
      </c>
      <c r="B387">
        <v>0.35909999999999997</v>
      </c>
      <c r="C387">
        <v>0.39989999999999998</v>
      </c>
      <c r="D387">
        <v>0.35770000000000002</v>
      </c>
      <c r="E387">
        <v>0.39350000000000002</v>
      </c>
      <c r="F387">
        <v>4584546.33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0.69668246445497783</v>
      </c>
      <c r="Q387">
        <f t="shared" si="970"/>
        <v>3193973.0355924242</v>
      </c>
      <c r="R387">
        <f t="shared" si="971"/>
        <v>-16462288.841925165</v>
      </c>
      <c r="S387">
        <f t="shared" si="972"/>
        <v>-164.62288841925164</v>
      </c>
      <c r="T387">
        <f t="shared" si="973"/>
        <v>-0.16462288841925163</v>
      </c>
    </row>
    <row r="388" spans="1:20" x14ac:dyDescent="0.25">
      <c r="A388" s="5">
        <v>44205</v>
      </c>
      <c r="B388">
        <v>0.32969999999999999</v>
      </c>
      <c r="C388">
        <v>0.4</v>
      </c>
      <c r="D388">
        <v>0.32769999999999999</v>
      </c>
      <c r="E388">
        <v>0.35870000000000002</v>
      </c>
      <c r="F388">
        <v>3272028.13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-0.14246196403872713</v>
      </c>
      <c r="Q388">
        <f t="shared" si="970"/>
        <v>-466139.55378976354</v>
      </c>
      <c r="R388">
        <f t="shared" si="971"/>
        <v>-19656261.877517588</v>
      </c>
      <c r="S388">
        <f t="shared" si="972"/>
        <v>-196.56261877517588</v>
      </c>
      <c r="T388">
        <f t="shared" si="973"/>
        <v>-0.19656261877517589</v>
      </c>
    </row>
    <row r="389" spans="1:20" x14ac:dyDescent="0.25">
      <c r="A389" s="5">
        <v>44204</v>
      </c>
      <c r="B389">
        <v>0.35680000000000001</v>
      </c>
      <c r="C389">
        <v>0.36599999999999999</v>
      </c>
      <c r="D389">
        <v>0.314</v>
      </c>
      <c r="E389">
        <v>0.32990000000000003</v>
      </c>
      <c r="F389">
        <v>2593831.7599999998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-0.38846153846153736</v>
      </c>
      <c r="Q389">
        <f t="shared" si="970"/>
        <v>-1007603.875999997</v>
      </c>
      <c r="R389">
        <f t="shared" si="971"/>
        <v>-19190122.323727824</v>
      </c>
      <c r="S389">
        <f t="shared" si="972"/>
        <v>-191.90122323727823</v>
      </c>
      <c r="T389">
        <f t="shared" si="973"/>
        <v>-0.19190122323727823</v>
      </c>
    </row>
    <row r="390" spans="1:20" x14ac:dyDescent="0.25">
      <c r="A390" s="5">
        <v>44203</v>
      </c>
      <c r="B390">
        <v>0.32279999999999998</v>
      </c>
      <c r="C390">
        <v>0.39989999999999998</v>
      </c>
      <c r="D390">
        <v>0.32079999999999997</v>
      </c>
      <c r="E390">
        <v>0.35630000000000001</v>
      </c>
      <c r="F390">
        <v>5321887.54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-0.1024020227560043</v>
      </c>
      <c r="Q390">
        <f t="shared" ref="Q390:Q453" si="975">F390*P390</f>
        <v>-544972.04897597572</v>
      </c>
      <c r="R390">
        <f t="shared" ref="R390:R453" si="976">R391+Q390</f>
        <v>-18182518.447727825</v>
      </c>
      <c r="S390">
        <f t="shared" ref="S390:S453" si="977">R390/100000</f>
        <v>-181.82518447727824</v>
      </c>
      <c r="T390">
        <f t="shared" ref="T390:T453" si="978">S390/1000</f>
        <v>-0.18182518447727825</v>
      </c>
    </row>
    <row r="391" spans="1:20" x14ac:dyDescent="0.25">
      <c r="A391" s="5">
        <v>44202</v>
      </c>
      <c r="B391">
        <v>0.28760000000000002</v>
      </c>
      <c r="C391">
        <v>0.33979999999999999</v>
      </c>
      <c r="D391">
        <v>0.28239999999999998</v>
      </c>
      <c r="E391">
        <v>0.32240000000000002</v>
      </c>
      <c r="F391">
        <v>2869842.1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0.39372822299651677</v>
      </c>
      <c r="Q391">
        <f t="shared" si="975"/>
        <v>1129937.830313592</v>
      </c>
      <c r="R391">
        <f t="shared" si="976"/>
        <v>-17637546.398751851</v>
      </c>
      <c r="S391">
        <f t="shared" si="977"/>
        <v>-176.37546398751851</v>
      </c>
      <c r="T391">
        <f t="shared" si="978"/>
        <v>-0.17637546398751852</v>
      </c>
    </row>
    <row r="392" spans="1:20" x14ac:dyDescent="0.25">
      <c r="A392" s="5">
        <v>44201</v>
      </c>
      <c r="B392">
        <v>0.28789999999999999</v>
      </c>
      <c r="C392">
        <v>0.2974</v>
      </c>
      <c r="D392">
        <v>0.26879999999999998</v>
      </c>
      <c r="E392">
        <v>0.28660000000000002</v>
      </c>
      <c r="F392">
        <v>1181337.07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0.24475524475524679</v>
      </c>
      <c r="Q392">
        <f t="shared" si="975"/>
        <v>289138.44370629615</v>
      </c>
      <c r="R392">
        <f t="shared" si="976"/>
        <v>-18767484.229065444</v>
      </c>
      <c r="S392">
        <f t="shared" si="977"/>
        <v>-187.67484229065445</v>
      </c>
      <c r="T392">
        <f t="shared" si="978"/>
        <v>-0.18767484229065445</v>
      </c>
    </row>
    <row r="393" spans="1:20" x14ac:dyDescent="0.25">
      <c r="A393" s="5">
        <v>44200</v>
      </c>
      <c r="B393">
        <v>0.28739999999999999</v>
      </c>
      <c r="C393">
        <v>0.30859999999999999</v>
      </c>
      <c r="D393">
        <v>0.27</v>
      </c>
      <c r="E393">
        <v>0.28789999999999999</v>
      </c>
      <c r="F393">
        <v>2018530.51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-7.2538860103627645E-2</v>
      </c>
      <c r="Q393">
        <f t="shared" si="975"/>
        <v>-146421.90227979416</v>
      </c>
      <c r="R393">
        <f t="shared" si="976"/>
        <v>-19056622.672771741</v>
      </c>
      <c r="S393">
        <f t="shared" si="977"/>
        <v>-190.56622672771741</v>
      </c>
      <c r="T393">
        <f t="shared" si="978"/>
        <v>-0.19056622672771742</v>
      </c>
    </row>
    <row r="394" spans="1:20" x14ac:dyDescent="0.25">
      <c r="A394" s="5">
        <v>44199</v>
      </c>
      <c r="B394">
        <v>0.28029999999999999</v>
      </c>
      <c r="C394">
        <v>0.28999999999999998</v>
      </c>
      <c r="D394">
        <v>0.2712</v>
      </c>
      <c r="E394">
        <v>0.28739999999999999</v>
      </c>
      <c r="F394">
        <v>1274989.9099999999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0.72340425531914965</v>
      </c>
      <c r="Q394">
        <f t="shared" si="975"/>
        <v>922333.12638297956</v>
      </c>
      <c r="R394">
        <f t="shared" si="976"/>
        <v>-18910200.770491946</v>
      </c>
      <c r="S394">
        <f t="shared" si="977"/>
        <v>-189.10200770491946</v>
      </c>
      <c r="T394">
        <f t="shared" si="978"/>
        <v>-0.18910200770491944</v>
      </c>
    </row>
    <row r="395" spans="1:20" x14ac:dyDescent="0.25">
      <c r="A395" s="5">
        <v>44198</v>
      </c>
      <c r="B395">
        <v>0.28349999999999997</v>
      </c>
      <c r="C395">
        <v>0.29149999999999998</v>
      </c>
      <c r="D395">
        <v>0.27310000000000001</v>
      </c>
      <c r="E395">
        <v>0.28029999999999999</v>
      </c>
      <c r="F395">
        <v>828099.02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-0.21739130434782661</v>
      </c>
      <c r="Q395">
        <f t="shared" si="975"/>
        <v>-180021.52608695696</v>
      </c>
      <c r="R395">
        <f t="shared" si="976"/>
        <v>-19832533.896874927</v>
      </c>
      <c r="S395">
        <f t="shared" si="977"/>
        <v>-198.32533896874926</v>
      </c>
      <c r="T395">
        <f t="shared" si="978"/>
        <v>-0.19832533896874927</v>
      </c>
    </row>
    <row r="396" spans="1:20" x14ac:dyDescent="0.25">
      <c r="A396" s="5">
        <v>44197</v>
      </c>
      <c r="B396">
        <v>0.27479999999999999</v>
      </c>
      <c r="C396">
        <v>0.29909999999999998</v>
      </c>
      <c r="D396">
        <v>0.27400000000000002</v>
      </c>
      <c r="E396">
        <v>0.2838</v>
      </c>
      <c r="F396">
        <v>883870.82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-0.2191235059760962</v>
      </c>
      <c r="Q396">
        <f t="shared" si="975"/>
        <v>-193676.87290836705</v>
      </c>
      <c r="R396">
        <f t="shared" si="976"/>
        <v>-19652512.370787971</v>
      </c>
      <c r="S396">
        <f t="shared" si="977"/>
        <v>-196.52512370787971</v>
      </c>
      <c r="T396">
        <f t="shared" si="978"/>
        <v>-0.19652512370787972</v>
      </c>
    </row>
    <row r="397" spans="1:20" x14ac:dyDescent="0.25">
      <c r="A397" s="5">
        <v>44196</v>
      </c>
      <c r="B397">
        <v>0.27560000000000001</v>
      </c>
      <c r="C397">
        <v>0.28089999999999998</v>
      </c>
      <c r="D397">
        <v>0.27</v>
      </c>
      <c r="E397">
        <v>0.27500000000000002</v>
      </c>
      <c r="F397">
        <v>489010.55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-8.2568807339445799E-2</v>
      </c>
      <c r="Q397">
        <f t="shared" si="975"/>
        <v>-40377.017889906427</v>
      </c>
      <c r="R397">
        <f t="shared" si="976"/>
        <v>-19458835.497879602</v>
      </c>
      <c r="S397">
        <f t="shared" si="977"/>
        <v>-194.58835497879602</v>
      </c>
      <c r="T397">
        <f t="shared" si="978"/>
        <v>-0.19458835497879601</v>
      </c>
    </row>
    <row r="398" spans="1:20" x14ac:dyDescent="0.25">
      <c r="A398" s="5">
        <v>44195</v>
      </c>
      <c r="B398">
        <v>0.29120000000000001</v>
      </c>
      <c r="C398">
        <v>0.29239999999999999</v>
      </c>
      <c r="D398">
        <v>0.26669999999999999</v>
      </c>
      <c r="E398">
        <v>0.27539999999999998</v>
      </c>
      <c r="F398">
        <v>713209.03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-0.3229571984435809</v>
      </c>
      <c r="Q398">
        <f t="shared" si="975"/>
        <v>-230335.99023346385</v>
      </c>
      <c r="R398">
        <f t="shared" si="976"/>
        <v>-19418458.479989696</v>
      </c>
      <c r="S398">
        <f t="shared" si="977"/>
        <v>-194.18458479989695</v>
      </c>
      <c r="T398">
        <f t="shared" si="978"/>
        <v>-0.19418458479989695</v>
      </c>
    </row>
    <row r="399" spans="1:20" x14ac:dyDescent="0.25">
      <c r="A399" s="5">
        <v>44194</v>
      </c>
      <c r="B399">
        <v>0.28100000000000003</v>
      </c>
      <c r="C399">
        <v>0.31590000000000001</v>
      </c>
      <c r="D399">
        <v>0.26200000000000001</v>
      </c>
      <c r="E399">
        <v>0.29089999999999999</v>
      </c>
      <c r="F399">
        <v>1347296.71</v>
      </c>
      <c r="G399">
        <v>0</v>
      </c>
      <c r="L399" t="s">
        <v>8</v>
      </c>
      <c r="M399" t="s">
        <v>8</v>
      </c>
      <c r="N399" t="s">
        <v>7</v>
      </c>
      <c r="P399">
        <f t="shared" si="974"/>
        <v>7.2356215213357306E-2</v>
      </c>
      <c r="Q399">
        <f t="shared" si="975"/>
        <v>97485.290705008243</v>
      </c>
      <c r="R399">
        <f t="shared" si="976"/>
        <v>-19188122.489756234</v>
      </c>
      <c r="S399">
        <f t="shared" si="977"/>
        <v>-191.88122489756233</v>
      </c>
      <c r="T399">
        <f t="shared" si="978"/>
        <v>-0.19188122489756235</v>
      </c>
    </row>
    <row r="400" spans="1:20" x14ac:dyDescent="0.25">
      <c r="A400" s="5">
        <v>44193</v>
      </c>
      <c r="B400">
        <v>0.27660000000000001</v>
      </c>
      <c r="C400">
        <v>0.29730000000000001</v>
      </c>
      <c r="D400">
        <v>0.27460000000000001</v>
      </c>
      <c r="E400">
        <v>0.28199999999999997</v>
      </c>
      <c r="F400">
        <v>1016397.44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-0.34801762114537771</v>
      </c>
      <c r="Q400">
        <f t="shared" si="975"/>
        <v>-353724.21920705173</v>
      </c>
      <c r="R400">
        <f t="shared" si="976"/>
        <v>-19285607.780461241</v>
      </c>
      <c r="S400">
        <f t="shared" si="977"/>
        <v>-192.8560778046124</v>
      </c>
      <c r="T400">
        <f t="shared" si="978"/>
        <v>-0.19285607780461239</v>
      </c>
    </row>
    <row r="401" spans="1:20" x14ac:dyDescent="0.25">
      <c r="A401" s="5">
        <v>44192</v>
      </c>
      <c r="B401">
        <v>0.28310000000000002</v>
      </c>
      <c r="C401">
        <v>0.29160000000000003</v>
      </c>
      <c r="D401">
        <v>0.26629999999999998</v>
      </c>
      <c r="E401">
        <v>0.27660000000000001</v>
      </c>
      <c r="F401">
        <v>1814573.72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-0.18577075098814125</v>
      </c>
      <c r="Q401">
        <f t="shared" si="975"/>
        <v>-337094.72268774512</v>
      </c>
      <c r="R401">
        <f t="shared" si="976"/>
        <v>-18931883.561254188</v>
      </c>
      <c r="S401">
        <f t="shared" si="977"/>
        <v>-189.31883561254187</v>
      </c>
      <c r="T401">
        <f t="shared" si="978"/>
        <v>-0.18931883561254187</v>
      </c>
    </row>
    <row r="402" spans="1:20" x14ac:dyDescent="0.25">
      <c r="A402" s="5">
        <v>44191</v>
      </c>
      <c r="B402">
        <v>0.29430000000000001</v>
      </c>
      <c r="C402">
        <v>0.2974</v>
      </c>
      <c r="D402">
        <v>0.27329999999999999</v>
      </c>
      <c r="E402">
        <v>0.28299999999999997</v>
      </c>
      <c r="F402">
        <v>993478.95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-0.19502074688796828</v>
      </c>
      <c r="Q402">
        <f t="shared" si="975"/>
        <v>-193749.00684647448</v>
      </c>
      <c r="R402">
        <f t="shared" si="976"/>
        <v>-18594788.838566445</v>
      </c>
      <c r="S402">
        <f t="shared" si="977"/>
        <v>-185.94788838566444</v>
      </c>
      <c r="T402">
        <f t="shared" si="978"/>
        <v>-0.18594788838566445</v>
      </c>
    </row>
    <row r="403" spans="1:20" x14ac:dyDescent="0.25">
      <c r="A403" s="5">
        <v>44190</v>
      </c>
      <c r="B403">
        <v>0.29370000000000002</v>
      </c>
      <c r="C403">
        <v>0.30669999999999997</v>
      </c>
      <c r="D403">
        <v>0.2868</v>
      </c>
      <c r="E403">
        <v>0.29430000000000001</v>
      </c>
      <c r="F403">
        <v>560112.23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-0.24623115577889279</v>
      </c>
      <c r="Q403">
        <f t="shared" si="975"/>
        <v>-137917.08175879304</v>
      </c>
      <c r="R403">
        <f t="shared" si="976"/>
        <v>-18401039.831719968</v>
      </c>
      <c r="S403">
        <f t="shared" si="977"/>
        <v>-184.01039831719967</v>
      </c>
      <c r="T403">
        <f t="shared" si="978"/>
        <v>-0.18401039831719967</v>
      </c>
    </row>
    <row r="404" spans="1:20" x14ac:dyDescent="0.25">
      <c r="A404" s="5">
        <v>44189</v>
      </c>
      <c r="B404">
        <v>0.27889999999999998</v>
      </c>
      <c r="C404">
        <v>0.29920000000000002</v>
      </c>
      <c r="D404">
        <v>0.26850000000000002</v>
      </c>
      <c r="E404">
        <v>0.29370000000000002</v>
      </c>
      <c r="F404">
        <v>851624.3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0.6416938110749183</v>
      </c>
      <c r="Q404">
        <f t="shared" si="975"/>
        <v>546482.04267100955</v>
      </c>
      <c r="R404">
        <f t="shared" si="976"/>
        <v>-18263122.749961175</v>
      </c>
      <c r="S404">
        <f t="shared" si="977"/>
        <v>-182.63122749961175</v>
      </c>
      <c r="T404">
        <f t="shared" si="978"/>
        <v>-0.18263122749961175</v>
      </c>
    </row>
    <row r="405" spans="1:20" x14ac:dyDescent="0.25">
      <c r="A405" s="5">
        <v>44188</v>
      </c>
      <c r="B405">
        <v>0.32929999999999998</v>
      </c>
      <c r="C405">
        <v>0.32940000000000003</v>
      </c>
      <c r="D405">
        <v>0.25679999999999997</v>
      </c>
      <c r="E405">
        <v>0.27889999999999998</v>
      </c>
      <c r="F405">
        <v>1415575.41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-0.39118457300275505</v>
      </c>
      <c r="Q405">
        <f t="shared" si="975"/>
        <v>-553751.26231404988</v>
      </c>
      <c r="R405">
        <f t="shared" si="976"/>
        <v>-18809604.792632185</v>
      </c>
      <c r="S405">
        <f t="shared" si="977"/>
        <v>-188.09604792632186</v>
      </c>
      <c r="T405">
        <f t="shared" si="978"/>
        <v>-0.18809604792632187</v>
      </c>
    </row>
    <row r="406" spans="1:20" x14ac:dyDescent="0.25">
      <c r="A406" s="5">
        <v>44187</v>
      </c>
      <c r="B406">
        <v>0.33150000000000002</v>
      </c>
      <c r="C406">
        <v>0.34129999999999999</v>
      </c>
      <c r="D406">
        <v>0.31850000000000001</v>
      </c>
      <c r="E406">
        <v>0.32940000000000003</v>
      </c>
      <c r="F406">
        <v>710924.83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-4.3859649122804649E-2</v>
      </c>
      <c r="Q406">
        <f t="shared" si="975"/>
        <v>-31180.913596489543</v>
      </c>
      <c r="R406">
        <f t="shared" si="976"/>
        <v>-18255853.530318134</v>
      </c>
      <c r="S406">
        <f t="shared" si="977"/>
        <v>-182.55853530318134</v>
      </c>
      <c r="T406">
        <f t="shared" si="978"/>
        <v>-0.18255853530318134</v>
      </c>
    </row>
    <row r="407" spans="1:20" x14ac:dyDescent="0.25">
      <c r="A407" s="5">
        <v>44186</v>
      </c>
      <c r="B407">
        <v>0.33839999999999998</v>
      </c>
      <c r="C407">
        <v>0.35</v>
      </c>
      <c r="D407">
        <v>0.31</v>
      </c>
      <c r="E407">
        <v>0.33150000000000002</v>
      </c>
      <c r="F407">
        <v>856471.06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7.5000000000001496E-2</v>
      </c>
      <c r="Q407">
        <f t="shared" si="975"/>
        <v>64235.329500001288</v>
      </c>
      <c r="R407">
        <f t="shared" si="976"/>
        <v>-18224672.616721645</v>
      </c>
      <c r="S407">
        <f t="shared" si="977"/>
        <v>-182.24672616721645</v>
      </c>
      <c r="T407">
        <f t="shared" si="978"/>
        <v>-0.18224672616721646</v>
      </c>
    </row>
    <row r="408" spans="1:20" x14ac:dyDescent="0.25">
      <c r="A408" s="5">
        <v>44185</v>
      </c>
      <c r="B408">
        <v>0.35270000000000001</v>
      </c>
      <c r="C408">
        <v>0.35620000000000002</v>
      </c>
      <c r="D408">
        <v>0.33479999999999999</v>
      </c>
      <c r="E408">
        <v>0.33860000000000001</v>
      </c>
      <c r="F408">
        <v>1148167.07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-0.64485981308411022</v>
      </c>
      <c r="Q408">
        <f t="shared" si="975"/>
        <v>-740406.8021495305</v>
      </c>
      <c r="R408">
        <f t="shared" si="976"/>
        <v>-18288907.946221646</v>
      </c>
      <c r="S408">
        <f t="shared" si="977"/>
        <v>-182.88907946221647</v>
      </c>
      <c r="T408">
        <f t="shared" si="978"/>
        <v>-0.18288907946221647</v>
      </c>
    </row>
    <row r="409" spans="1:20" x14ac:dyDescent="0.25">
      <c r="A409" s="5">
        <v>44184</v>
      </c>
      <c r="B409">
        <v>0.33660000000000001</v>
      </c>
      <c r="C409">
        <v>0.36120000000000002</v>
      </c>
      <c r="D409">
        <v>0.33500000000000002</v>
      </c>
      <c r="E409">
        <v>0.35299999999999998</v>
      </c>
      <c r="F409">
        <v>1457216.53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0.37404580152671446</v>
      </c>
      <c r="Q409">
        <f t="shared" si="975"/>
        <v>545065.72496182751</v>
      </c>
      <c r="R409">
        <f t="shared" si="976"/>
        <v>-17548501.144072115</v>
      </c>
      <c r="S409">
        <f t="shared" si="977"/>
        <v>-175.48501144072117</v>
      </c>
      <c r="T409">
        <f t="shared" si="978"/>
        <v>-0.17548501144072118</v>
      </c>
    </row>
    <row r="410" spans="1:20" x14ac:dyDescent="0.25">
      <c r="A410" s="5">
        <v>44183</v>
      </c>
      <c r="B410">
        <v>0.32779999999999998</v>
      </c>
      <c r="C410">
        <v>0.34389999999999998</v>
      </c>
      <c r="D410">
        <v>0.32290000000000002</v>
      </c>
      <c r="E410">
        <v>0.33629999999999999</v>
      </c>
      <c r="F410">
        <v>685059.34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0.27619047619047532</v>
      </c>
      <c r="Q410">
        <f t="shared" si="975"/>
        <v>189206.86533333274</v>
      </c>
      <c r="R410">
        <f t="shared" si="976"/>
        <v>-18093566.869033944</v>
      </c>
      <c r="S410">
        <f t="shared" si="977"/>
        <v>-180.93566869033944</v>
      </c>
      <c r="T410">
        <f t="shared" si="978"/>
        <v>-0.18093566869033945</v>
      </c>
    </row>
    <row r="411" spans="1:20" x14ac:dyDescent="0.25">
      <c r="A411" s="5">
        <v>44182</v>
      </c>
      <c r="B411">
        <v>0.3337</v>
      </c>
      <c r="C411">
        <v>0.34660000000000002</v>
      </c>
      <c r="D411">
        <v>0.32200000000000001</v>
      </c>
      <c r="E411">
        <v>0.32790000000000002</v>
      </c>
      <c r="F411">
        <v>1576130.87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-0.52032520325203135</v>
      </c>
      <c r="Q411">
        <f t="shared" si="975"/>
        <v>-820100.61528455105</v>
      </c>
      <c r="R411">
        <f t="shared" si="976"/>
        <v>-18282773.734367277</v>
      </c>
      <c r="S411">
        <f t="shared" si="977"/>
        <v>-182.82773734367277</v>
      </c>
      <c r="T411">
        <f t="shared" si="978"/>
        <v>-0.18282773734367277</v>
      </c>
    </row>
    <row r="412" spans="1:20" x14ac:dyDescent="0.25">
      <c r="A412" s="5">
        <v>44181</v>
      </c>
      <c r="B412">
        <v>0.32790000000000002</v>
      </c>
      <c r="C412">
        <v>0.34320000000000001</v>
      </c>
      <c r="D412">
        <v>0.32179999999999997</v>
      </c>
      <c r="E412">
        <v>0.33400000000000002</v>
      </c>
      <c r="F412">
        <v>1291165.28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0.14018691588785298</v>
      </c>
      <c r="Q412">
        <f t="shared" si="975"/>
        <v>181004.47850467614</v>
      </c>
      <c r="R412">
        <f t="shared" si="976"/>
        <v>-17462673.119082727</v>
      </c>
      <c r="S412">
        <f t="shared" si="977"/>
        <v>-174.62673119082726</v>
      </c>
      <c r="T412">
        <f t="shared" si="978"/>
        <v>-0.17462673119082725</v>
      </c>
    </row>
    <row r="413" spans="1:20" x14ac:dyDescent="0.25">
      <c r="A413" s="5">
        <v>44180</v>
      </c>
      <c r="B413">
        <v>0.33800000000000002</v>
      </c>
      <c r="C413">
        <v>0.34489999999999998</v>
      </c>
      <c r="D413">
        <v>0.3271</v>
      </c>
      <c r="E413">
        <v>0.32800000000000001</v>
      </c>
      <c r="F413">
        <v>697657.87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-0.89887640449438055</v>
      </c>
      <c r="Q413">
        <f t="shared" si="975"/>
        <v>-627108.19775280799</v>
      </c>
      <c r="R413">
        <f t="shared" si="976"/>
        <v>-17643677.597587403</v>
      </c>
      <c r="S413">
        <f t="shared" si="977"/>
        <v>-176.43677597587404</v>
      </c>
      <c r="T413">
        <f t="shared" si="978"/>
        <v>-0.17643677597587404</v>
      </c>
    </row>
    <row r="414" spans="1:20" x14ac:dyDescent="0.25">
      <c r="A414" s="5">
        <v>44179</v>
      </c>
      <c r="B414">
        <v>0.3387</v>
      </c>
      <c r="C414">
        <v>0.35</v>
      </c>
      <c r="D414">
        <v>0.32550000000000001</v>
      </c>
      <c r="E414">
        <v>0.33789999999999998</v>
      </c>
      <c r="F414">
        <v>743026.17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1.2244897959182342E-2</v>
      </c>
      <c r="Q414">
        <f t="shared" si="975"/>
        <v>9098.2796326520729</v>
      </c>
      <c r="R414">
        <f t="shared" si="976"/>
        <v>-17016569.399834596</v>
      </c>
      <c r="S414">
        <f t="shared" si="977"/>
        <v>-170.16569399834594</v>
      </c>
      <c r="T414">
        <f t="shared" si="978"/>
        <v>-0.17016569399834594</v>
      </c>
    </row>
    <row r="415" spans="1:20" x14ac:dyDescent="0.25">
      <c r="A415" s="5">
        <v>44178</v>
      </c>
      <c r="B415">
        <v>0.32829999999999998</v>
      </c>
      <c r="C415">
        <v>0.34370000000000001</v>
      </c>
      <c r="D415">
        <v>0.32490000000000002</v>
      </c>
      <c r="E415">
        <v>0.3387</v>
      </c>
      <c r="F415">
        <v>600260.47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0.46808510638297779</v>
      </c>
      <c r="Q415">
        <f t="shared" si="975"/>
        <v>280972.98595744622</v>
      </c>
      <c r="R415">
        <f t="shared" si="976"/>
        <v>-17025667.679467246</v>
      </c>
      <c r="S415">
        <f t="shared" si="977"/>
        <v>-170.25667679467247</v>
      </c>
      <c r="T415">
        <f t="shared" si="978"/>
        <v>-0.17025667679467246</v>
      </c>
    </row>
    <row r="416" spans="1:20" x14ac:dyDescent="0.25">
      <c r="A416" s="5">
        <v>44177</v>
      </c>
      <c r="B416">
        <v>0.317</v>
      </c>
      <c r="C416">
        <v>0.3503</v>
      </c>
      <c r="D416">
        <v>0.31619999999999998</v>
      </c>
      <c r="E416">
        <v>0.3286</v>
      </c>
      <c r="F416">
        <v>912113.12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-0.27272727272727182</v>
      </c>
      <c r="Q416">
        <f t="shared" si="975"/>
        <v>-248758.12363636281</v>
      </c>
      <c r="R416">
        <f t="shared" si="976"/>
        <v>-17306640.665424693</v>
      </c>
      <c r="S416">
        <f t="shared" si="977"/>
        <v>-173.06640665424695</v>
      </c>
      <c r="T416">
        <f t="shared" si="978"/>
        <v>-0.17306640665424694</v>
      </c>
    </row>
    <row r="417" spans="1:20" x14ac:dyDescent="0.25">
      <c r="A417" s="5">
        <v>44176</v>
      </c>
      <c r="B417">
        <v>0.32740000000000002</v>
      </c>
      <c r="C417">
        <v>0.3276</v>
      </c>
      <c r="D417">
        <v>0.30730000000000002</v>
      </c>
      <c r="E417">
        <v>0.31730000000000003</v>
      </c>
      <c r="F417">
        <v>772184.54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-1.4778325123151094E-2</v>
      </c>
      <c r="Q417">
        <f t="shared" si="975"/>
        <v>-11411.594187190871</v>
      </c>
      <c r="R417">
        <f t="shared" si="976"/>
        <v>-17057882.541788332</v>
      </c>
      <c r="S417">
        <f t="shared" si="977"/>
        <v>-170.57882541788331</v>
      </c>
      <c r="T417">
        <f t="shared" si="978"/>
        <v>-0.1705788254178833</v>
      </c>
    </row>
    <row r="418" spans="1:20" x14ac:dyDescent="0.25">
      <c r="A418" s="5">
        <v>44175</v>
      </c>
      <c r="B418">
        <v>0.33739999999999998</v>
      </c>
      <c r="C418">
        <v>0.33760000000000001</v>
      </c>
      <c r="D418">
        <v>0.31869999999999998</v>
      </c>
      <c r="E418">
        <v>0.3271</v>
      </c>
      <c r="F418">
        <v>516996.17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-0.11111111111111045</v>
      </c>
      <c r="Q418">
        <f t="shared" si="975"/>
        <v>-57444.018888888546</v>
      </c>
      <c r="R418">
        <f t="shared" si="976"/>
        <v>-17046470.94760114</v>
      </c>
      <c r="S418">
        <f t="shared" si="977"/>
        <v>-170.46470947601139</v>
      </c>
      <c r="T418">
        <f t="shared" si="978"/>
        <v>-0.17046470947601139</v>
      </c>
    </row>
    <row r="419" spans="1:20" x14ac:dyDescent="0.25">
      <c r="A419" s="5">
        <v>44174</v>
      </c>
      <c r="B419">
        <v>0.32479999999999998</v>
      </c>
      <c r="C419">
        <v>0.33989999999999998</v>
      </c>
      <c r="D419">
        <v>0.30130000000000001</v>
      </c>
      <c r="E419">
        <v>0.3362</v>
      </c>
      <c r="F419">
        <v>900656.22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0.80829015544041538</v>
      </c>
      <c r="Q419">
        <f t="shared" si="975"/>
        <v>727991.55606217694</v>
      </c>
      <c r="R419">
        <f t="shared" si="976"/>
        <v>-16989026.928712253</v>
      </c>
      <c r="S419">
        <f t="shared" si="977"/>
        <v>-169.89026928712252</v>
      </c>
      <c r="T419">
        <f t="shared" si="978"/>
        <v>-0.16989026928712253</v>
      </c>
    </row>
    <row r="420" spans="1:20" x14ac:dyDescent="0.25">
      <c r="A420" s="5">
        <v>44173</v>
      </c>
      <c r="B420">
        <v>0.35420000000000001</v>
      </c>
      <c r="C420">
        <v>0.3619</v>
      </c>
      <c r="D420">
        <v>0.3221</v>
      </c>
      <c r="E420">
        <v>0.32479999999999998</v>
      </c>
      <c r="F420">
        <v>983417.5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-0.86432160804020197</v>
      </c>
      <c r="Q420">
        <f t="shared" si="975"/>
        <v>-849988.99497487536</v>
      </c>
      <c r="R420">
        <f t="shared" si="976"/>
        <v>-17717018.484774429</v>
      </c>
      <c r="S420">
        <f t="shared" si="977"/>
        <v>-177.17018484774428</v>
      </c>
      <c r="T420">
        <f t="shared" si="978"/>
        <v>-0.17717018484774427</v>
      </c>
    </row>
    <row r="421" spans="1:20" x14ac:dyDescent="0.25">
      <c r="A421" s="5">
        <v>44172</v>
      </c>
      <c r="B421">
        <v>0.37040000000000001</v>
      </c>
      <c r="C421">
        <v>0.37180000000000002</v>
      </c>
      <c r="D421">
        <v>0.34949999999999998</v>
      </c>
      <c r="E421">
        <v>0.35410000000000003</v>
      </c>
      <c r="F421">
        <v>1008031.67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-0.58744394618833728</v>
      </c>
      <c r="Q421">
        <f t="shared" si="975"/>
        <v>-592162.10210761975</v>
      </c>
      <c r="R421">
        <f t="shared" si="976"/>
        <v>-16867029.489799555</v>
      </c>
      <c r="S421">
        <f t="shared" si="977"/>
        <v>-168.67029489799555</v>
      </c>
      <c r="T421">
        <f t="shared" si="978"/>
        <v>-0.16867029489799554</v>
      </c>
    </row>
    <row r="422" spans="1:20" x14ac:dyDescent="0.25">
      <c r="A422" s="5">
        <v>44171</v>
      </c>
      <c r="B422">
        <v>0.373</v>
      </c>
      <c r="C422">
        <v>0.375</v>
      </c>
      <c r="D422">
        <v>0.35510000000000003</v>
      </c>
      <c r="E422">
        <v>0.37040000000000001</v>
      </c>
      <c r="F422">
        <v>658907.82999999996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0.53768844221105538</v>
      </c>
      <c r="Q422">
        <f t="shared" si="975"/>
        <v>354287.1246733669</v>
      </c>
      <c r="R422">
        <f t="shared" si="976"/>
        <v>-16274867.387691936</v>
      </c>
      <c r="S422">
        <f t="shared" si="977"/>
        <v>-162.74867387691936</v>
      </c>
      <c r="T422">
        <f t="shared" si="978"/>
        <v>-0.16274867387691935</v>
      </c>
    </row>
    <row r="423" spans="1:20" x14ac:dyDescent="0.25">
      <c r="A423" s="5">
        <v>44170</v>
      </c>
      <c r="B423">
        <v>0.34589999999999999</v>
      </c>
      <c r="C423">
        <v>0.37990000000000002</v>
      </c>
      <c r="D423">
        <v>0.33350000000000002</v>
      </c>
      <c r="E423">
        <v>0.37309999999999999</v>
      </c>
      <c r="F423">
        <v>955575.31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0.70689655172413668</v>
      </c>
      <c r="Q423">
        <f t="shared" si="975"/>
        <v>675492.89155172301</v>
      </c>
      <c r="R423">
        <f t="shared" si="976"/>
        <v>-16629154.512365302</v>
      </c>
      <c r="S423">
        <f t="shared" si="977"/>
        <v>-166.29154512365301</v>
      </c>
      <c r="T423">
        <f t="shared" si="978"/>
        <v>-0.16629154512365302</v>
      </c>
    </row>
    <row r="424" spans="1:20" x14ac:dyDescent="0.25">
      <c r="A424" s="5">
        <v>44169</v>
      </c>
      <c r="B424">
        <v>0.3846</v>
      </c>
      <c r="C424">
        <v>0.40139999999999998</v>
      </c>
      <c r="D424">
        <v>0.34560000000000002</v>
      </c>
      <c r="E424">
        <v>0.34649999999999997</v>
      </c>
      <c r="F424">
        <v>1307606.8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-0.96774193548387255</v>
      </c>
      <c r="Q424">
        <f t="shared" si="975"/>
        <v>-1265425.9354838731</v>
      </c>
      <c r="R424">
        <f t="shared" si="976"/>
        <v>-17304647.403917026</v>
      </c>
      <c r="S424">
        <f t="shared" si="977"/>
        <v>-173.04647403917025</v>
      </c>
      <c r="T424">
        <f t="shared" si="978"/>
        <v>-0.17304647403917026</v>
      </c>
    </row>
    <row r="425" spans="1:20" x14ac:dyDescent="0.25">
      <c r="A425" s="5">
        <v>44168</v>
      </c>
      <c r="B425">
        <v>0.3735</v>
      </c>
      <c r="C425">
        <v>0.40200000000000002</v>
      </c>
      <c r="D425">
        <v>0.36499999999999999</v>
      </c>
      <c r="E425">
        <v>0.38469999999999999</v>
      </c>
      <c r="F425">
        <v>782590.41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6.4864864864863661E-2</v>
      </c>
      <c r="Q425">
        <f t="shared" si="975"/>
        <v>50762.621189188249</v>
      </c>
      <c r="R425">
        <f t="shared" si="976"/>
        <v>-16039221.468433151</v>
      </c>
      <c r="S425">
        <f t="shared" si="977"/>
        <v>-160.39221468433152</v>
      </c>
      <c r="T425">
        <f t="shared" si="978"/>
        <v>-0.16039221468433151</v>
      </c>
    </row>
    <row r="426" spans="1:20" x14ac:dyDescent="0.25">
      <c r="A426" s="5">
        <v>44167</v>
      </c>
      <c r="B426">
        <v>0.35809999999999997</v>
      </c>
      <c r="C426">
        <v>0.37880000000000003</v>
      </c>
      <c r="D426">
        <v>0.35049999999999998</v>
      </c>
      <c r="E426">
        <v>0.37259999999999999</v>
      </c>
      <c r="F426">
        <v>616187.74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0.56183745583038669</v>
      </c>
      <c r="Q426">
        <f t="shared" si="975"/>
        <v>346197.35215547582</v>
      </c>
      <c r="R426">
        <f t="shared" si="976"/>
        <v>-16089984.089622339</v>
      </c>
      <c r="S426">
        <f t="shared" si="977"/>
        <v>-160.8998408962234</v>
      </c>
      <c r="T426">
        <f t="shared" si="978"/>
        <v>-0.16089984089622339</v>
      </c>
    </row>
    <row r="427" spans="1:20" x14ac:dyDescent="0.25">
      <c r="A427" s="5">
        <v>44166</v>
      </c>
      <c r="B427">
        <v>0.37330000000000002</v>
      </c>
      <c r="C427">
        <v>0.39389999999999997</v>
      </c>
      <c r="D427">
        <v>0.35599999999999998</v>
      </c>
      <c r="E427">
        <v>0.3579</v>
      </c>
      <c r="F427">
        <v>1993902.94</v>
      </c>
      <c r="G427">
        <v>0</v>
      </c>
      <c r="L427" t="s">
        <v>8</v>
      </c>
      <c r="M427" t="s">
        <v>7</v>
      </c>
      <c r="N427" t="s">
        <v>8</v>
      </c>
      <c r="P427">
        <f t="shared" si="974"/>
        <v>-0.89973614775725519</v>
      </c>
      <c r="Q427">
        <f t="shared" si="975"/>
        <v>-1793986.5502374654</v>
      </c>
      <c r="R427">
        <f t="shared" si="976"/>
        <v>-16436181.441777814</v>
      </c>
      <c r="S427">
        <f t="shared" si="977"/>
        <v>-164.36181441777813</v>
      </c>
      <c r="T427">
        <f t="shared" si="978"/>
        <v>-0.16436181441777814</v>
      </c>
    </row>
    <row r="428" spans="1:20" x14ac:dyDescent="0.25">
      <c r="A428" s="5">
        <v>44165</v>
      </c>
      <c r="B428">
        <v>0.3543</v>
      </c>
      <c r="C428">
        <v>0.38059999999999999</v>
      </c>
      <c r="D428">
        <v>0.34</v>
      </c>
      <c r="E428">
        <v>0.37330000000000002</v>
      </c>
      <c r="F428">
        <v>1907717.83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0.64039408866995184</v>
      </c>
      <c r="Q428">
        <f t="shared" si="975"/>
        <v>1221691.2211822681</v>
      </c>
      <c r="R428">
        <f t="shared" si="976"/>
        <v>-14642194.891540349</v>
      </c>
      <c r="S428">
        <f t="shared" si="977"/>
        <v>-146.42194891540348</v>
      </c>
      <c r="T428">
        <f t="shared" si="978"/>
        <v>-0.14642194891540347</v>
      </c>
    </row>
    <row r="429" spans="1:20" x14ac:dyDescent="0.25">
      <c r="A429" s="5">
        <v>44164</v>
      </c>
      <c r="B429">
        <v>0.36499999999999999</v>
      </c>
      <c r="C429">
        <v>0.37469999999999998</v>
      </c>
      <c r="D429">
        <v>0.34420000000000001</v>
      </c>
      <c r="E429">
        <v>0.35470000000000002</v>
      </c>
      <c r="F429">
        <v>956837.75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-0.31147540983606431</v>
      </c>
      <c r="Q429">
        <f t="shared" si="975"/>
        <v>-298031.43032786762</v>
      </c>
      <c r="R429">
        <f t="shared" si="976"/>
        <v>-15863886.112722617</v>
      </c>
      <c r="S429">
        <f t="shared" si="977"/>
        <v>-158.63886112722616</v>
      </c>
      <c r="T429">
        <f t="shared" si="978"/>
        <v>-0.15863886112722617</v>
      </c>
    </row>
    <row r="430" spans="1:20" x14ac:dyDescent="0.25">
      <c r="A430" s="5">
        <v>44163</v>
      </c>
      <c r="B430">
        <v>0.35149999999999998</v>
      </c>
      <c r="C430">
        <v>0.37590000000000001</v>
      </c>
      <c r="D430">
        <v>0.34279999999999999</v>
      </c>
      <c r="E430">
        <v>0.36459999999999998</v>
      </c>
      <c r="F430">
        <v>1031085.23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0.31722054380664494</v>
      </c>
      <c r="Q430">
        <f t="shared" si="975"/>
        <v>327081.41737159959</v>
      </c>
      <c r="R430">
        <f t="shared" si="976"/>
        <v>-15565854.682394749</v>
      </c>
      <c r="S430">
        <f t="shared" si="977"/>
        <v>-155.65854682394749</v>
      </c>
      <c r="T430">
        <f t="shared" si="978"/>
        <v>-0.1556585468239475</v>
      </c>
    </row>
    <row r="431" spans="1:20" x14ac:dyDescent="0.25">
      <c r="A431" s="5">
        <v>44162</v>
      </c>
      <c r="B431">
        <v>0.36059999999999998</v>
      </c>
      <c r="C431">
        <v>0.37109999999999999</v>
      </c>
      <c r="D431">
        <v>0.32919999999999999</v>
      </c>
      <c r="E431">
        <v>0.35099999999999998</v>
      </c>
      <c r="F431">
        <v>922562.29</v>
      </c>
      <c r="G431">
        <v>0</v>
      </c>
      <c r="L431" t="s">
        <v>7</v>
      </c>
      <c r="M431" t="s">
        <v>7</v>
      </c>
      <c r="N431" t="s">
        <v>8</v>
      </c>
      <c r="P431">
        <f t="shared" si="974"/>
        <v>4.0572792362768006E-2</v>
      </c>
      <c r="Q431">
        <f t="shared" si="975"/>
        <v>37430.928233889761</v>
      </c>
      <c r="R431">
        <f t="shared" si="976"/>
        <v>-15892936.099766348</v>
      </c>
      <c r="S431">
        <f t="shared" si="977"/>
        <v>-158.92936099766348</v>
      </c>
      <c r="T431">
        <f t="shared" si="978"/>
        <v>-0.15892936099766347</v>
      </c>
    </row>
    <row r="432" spans="1:20" x14ac:dyDescent="0.25">
      <c r="A432" s="5">
        <v>44161</v>
      </c>
      <c r="B432">
        <v>0.39610000000000001</v>
      </c>
      <c r="C432">
        <v>0.43149999999999999</v>
      </c>
      <c r="D432">
        <v>0.33</v>
      </c>
      <c r="E432">
        <v>0.35880000000000001</v>
      </c>
      <c r="F432">
        <v>4204839.2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-0.43251231527093598</v>
      </c>
      <c r="Q432">
        <f t="shared" si="975"/>
        <v>-1818644.7377339902</v>
      </c>
      <c r="R432">
        <f t="shared" si="976"/>
        <v>-15930367.028000237</v>
      </c>
      <c r="S432">
        <f t="shared" si="977"/>
        <v>-159.30367028000236</v>
      </c>
      <c r="T432">
        <f t="shared" si="978"/>
        <v>-0.15930367028000236</v>
      </c>
    </row>
    <row r="433" spans="1:20" x14ac:dyDescent="0.25">
      <c r="A433" s="5">
        <v>44160</v>
      </c>
      <c r="B433">
        <v>0.39410000000000001</v>
      </c>
      <c r="C433">
        <v>0.43359999999999999</v>
      </c>
      <c r="D433">
        <v>0.374</v>
      </c>
      <c r="E433">
        <v>0.39579999999999999</v>
      </c>
      <c r="F433">
        <v>2756014.28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-0.26845637583892645</v>
      </c>
      <c r="Q433">
        <f t="shared" si="975"/>
        <v>-739869.60536912829</v>
      </c>
      <c r="R433">
        <f t="shared" si="976"/>
        <v>-14111722.290266247</v>
      </c>
      <c r="S433">
        <f t="shared" si="977"/>
        <v>-141.11722290266246</v>
      </c>
      <c r="T433">
        <f t="shared" si="978"/>
        <v>-0.14111722290266246</v>
      </c>
    </row>
    <row r="434" spans="1:20" x14ac:dyDescent="0.25">
      <c r="A434" s="5">
        <v>44159</v>
      </c>
      <c r="B434">
        <v>0.3846</v>
      </c>
      <c r="C434">
        <v>0.4199</v>
      </c>
      <c r="D434">
        <v>0.36009999999999998</v>
      </c>
      <c r="E434">
        <v>0.39379999999999998</v>
      </c>
      <c r="F434">
        <v>3257521.71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0.12709030100334437</v>
      </c>
      <c r="Q434">
        <f t="shared" si="975"/>
        <v>413999.41464882909</v>
      </c>
      <c r="R434">
        <f t="shared" si="976"/>
        <v>-13371852.684897119</v>
      </c>
      <c r="S434">
        <f t="shared" si="977"/>
        <v>-133.71852684897118</v>
      </c>
      <c r="T434">
        <f t="shared" si="978"/>
        <v>-0.13371852684897118</v>
      </c>
    </row>
    <row r="435" spans="1:20" x14ac:dyDescent="0.25">
      <c r="A435" s="5">
        <v>44158</v>
      </c>
      <c r="B435">
        <v>0.34449999999999997</v>
      </c>
      <c r="C435">
        <v>0.4</v>
      </c>
      <c r="D435">
        <v>0.34100000000000003</v>
      </c>
      <c r="E435">
        <v>0.38440000000000002</v>
      </c>
      <c r="F435">
        <v>3092927.28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0.471186440677966</v>
      </c>
      <c r="Q435">
        <f t="shared" si="975"/>
        <v>1457345.3963389827</v>
      </c>
      <c r="R435">
        <f t="shared" si="976"/>
        <v>-13785852.099545948</v>
      </c>
      <c r="S435">
        <f t="shared" si="977"/>
        <v>-137.85852099545949</v>
      </c>
      <c r="T435">
        <f t="shared" si="978"/>
        <v>-0.13785852099545948</v>
      </c>
    </row>
    <row r="436" spans="1:20" x14ac:dyDescent="0.25">
      <c r="A436" s="5">
        <v>44157</v>
      </c>
      <c r="B436">
        <v>0.36230000000000001</v>
      </c>
      <c r="C436">
        <v>0.36959999999999998</v>
      </c>
      <c r="D436">
        <v>0.3276</v>
      </c>
      <c r="E436">
        <v>0.34320000000000001</v>
      </c>
      <c r="F436">
        <v>978999.28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-0.25714285714285667</v>
      </c>
      <c r="Q436">
        <f t="shared" si="975"/>
        <v>-251742.67199999955</v>
      </c>
      <c r="R436">
        <f t="shared" si="976"/>
        <v>-15243197.495884931</v>
      </c>
      <c r="S436">
        <f t="shared" si="977"/>
        <v>-152.43197495884931</v>
      </c>
      <c r="T436">
        <f t="shared" si="978"/>
        <v>-0.1524319749588493</v>
      </c>
    </row>
    <row r="437" spans="1:20" x14ac:dyDescent="0.25">
      <c r="A437" s="5">
        <v>44156</v>
      </c>
      <c r="B437">
        <v>0.32650000000000001</v>
      </c>
      <c r="C437">
        <v>0.3649</v>
      </c>
      <c r="D437">
        <v>0.31900000000000001</v>
      </c>
      <c r="E437">
        <v>0.36259999999999998</v>
      </c>
      <c r="F437">
        <v>1638149.75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0.89978213507625171</v>
      </c>
      <c r="Q437">
        <f t="shared" si="975"/>
        <v>1473977.879629628</v>
      </c>
      <c r="R437">
        <f t="shared" si="976"/>
        <v>-14991454.82388493</v>
      </c>
      <c r="S437">
        <f t="shared" si="977"/>
        <v>-149.91454823884931</v>
      </c>
      <c r="T437">
        <f t="shared" si="978"/>
        <v>-0.14991454823884931</v>
      </c>
    </row>
    <row r="438" spans="1:20" x14ac:dyDescent="0.25">
      <c r="A438" s="5">
        <v>44155</v>
      </c>
      <c r="B438">
        <v>0.32200000000000001</v>
      </c>
      <c r="C438">
        <v>0.34499999999999997</v>
      </c>
      <c r="D438">
        <v>0.31969999999999998</v>
      </c>
      <c r="E438">
        <v>0.32650000000000001</v>
      </c>
      <c r="F438">
        <v>832162.83</v>
      </c>
      <c r="G438">
        <v>0</v>
      </c>
      <c r="L438" t="s">
        <v>7</v>
      </c>
      <c r="M438" t="s">
        <v>8</v>
      </c>
      <c r="N438" t="s">
        <v>8</v>
      </c>
      <c r="P438">
        <f t="shared" si="974"/>
        <v>-0.46245059288537305</v>
      </c>
      <c r="Q438">
        <f t="shared" si="975"/>
        <v>-384834.19411066989</v>
      </c>
      <c r="R438">
        <f t="shared" si="976"/>
        <v>-16465432.703514559</v>
      </c>
      <c r="S438">
        <f t="shared" si="977"/>
        <v>-164.6543270351456</v>
      </c>
      <c r="T438">
        <f t="shared" si="978"/>
        <v>-0.1646543270351456</v>
      </c>
    </row>
    <row r="439" spans="1:20" x14ac:dyDescent="0.25">
      <c r="A439" s="5">
        <v>44154</v>
      </c>
      <c r="B439">
        <v>0.3115</v>
      </c>
      <c r="C439">
        <v>0.35199999999999998</v>
      </c>
      <c r="D439">
        <v>0.31009999999999999</v>
      </c>
      <c r="E439">
        <v>0.32169999999999999</v>
      </c>
      <c r="F439">
        <v>1470063.93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-0.4463007159904534</v>
      </c>
      <c r="Q439">
        <f t="shared" si="975"/>
        <v>-656090.58451073978</v>
      </c>
      <c r="R439">
        <f t="shared" si="976"/>
        <v>-16080598.50940389</v>
      </c>
      <c r="S439">
        <f t="shared" si="977"/>
        <v>-160.8059850940389</v>
      </c>
      <c r="T439">
        <f t="shared" si="978"/>
        <v>-0.1608059850940389</v>
      </c>
    </row>
    <row r="440" spans="1:20" x14ac:dyDescent="0.25">
      <c r="A440" s="5">
        <v>44153</v>
      </c>
      <c r="B440">
        <v>0.31859999999999999</v>
      </c>
      <c r="C440">
        <v>0.32500000000000001</v>
      </c>
      <c r="D440">
        <v>0.29220000000000002</v>
      </c>
      <c r="E440">
        <v>0.3115</v>
      </c>
      <c r="F440">
        <v>869617.86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0.17682926829268208</v>
      </c>
      <c r="Q440">
        <f t="shared" si="975"/>
        <v>153773.88987804804</v>
      </c>
      <c r="R440">
        <f t="shared" si="976"/>
        <v>-15424507.92489315</v>
      </c>
      <c r="S440">
        <f t="shared" si="977"/>
        <v>-154.24507924893149</v>
      </c>
      <c r="T440">
        <f t="shared" si="978"/>
        <v>-0.15424507924893149</v>
      </c>
    </row>
    <row r="441" spans="1:20" x14ac:dyDescent="0.25">
      <c r="A441" s="5">
        <v>44152</v>
      </c>
      <c r="B441">
        <v>0.31850000000000001</v>
      </c>
      <c r="C441">
        <v>0.33</v>
      </c>
      <c r="D441">
        <v>0.31040000000000001</v>
      </c>
      <c r="E441">
        <v>0.318</v>
      </c>
      <c r="F441">
        <v>623933.56999999995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-0.22448979591836804</v>
      </c>
      <c r="Q441">
        <f t="shared" si="975"/>
        <v>-140066.71979591879</v>
      </c>
      <c r="R441">
        <f t="shared" si="976"/>
        <v>-15578281.814771198</v>
      </c>
      <c r="S441">
        <f t="shared" si="977"/>
        <v>-155.78281814771196</v>
      </c>
      <c r="T441">
        <f t="shared" si="978"/>
        <v>-0.15578281814771197</v>
      </c>
    </row>
    <row r="442" spans="1:20" x14ac:dyDescent="0.25">
      <c r="A442" s="5">
        <v>44151</v>
      </c>
      <c r="B442">
        <v>0.29749999999999999</v>
      </c>
      <c r="C442">
        <v>0.31969999999999998</v>
      </c>
      <c r="D442">
        <v>0.2974</v>
      </c>
      <c r="E442">
        <v>0.31850000000000001</v>
      </c>
      <c r="F442">
        <v>555002.89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0.89237668161435157</v>
      </c>
      <c r="Q442">
        <f t="shared" si="975"/>
        <v>495271.63726457499</v>
      </c>
      <c r="R442">
        <f t="shared" si="976"/>
        <v>-15438215.09497528</v>
      </c>
      <c r="S442">
        <f t="shared" si="977"/>
        <v>-154.3821509497528</v>
      </c>
      <c r="T442">
        <f t="shared" si="978"/>
        <v>-0.1543821509497528</v>
      </c>
    </row>
    <row r="443" spans="1:20" x14ac:dyDescent="0.25">
      <c r="A443" s="5">
        <v>44150</v>
      </c>
      <c r="B443">
        <v>0.31169999999999998</v>
      </c>
      <c r="C443">
        <v>0.31919999999999998</v>
      </c>
      <c r="D443">
        <v>0.29139999999999999</v>
      </c>
      <c r="E443">
        <v>0.29749999999999999</v>
      </c>
      <c r="F443">
        <v>375407.52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-0.56115107913669093</v>
      </c>
      <c r="Q443">
        <f t="shared" si="975"/>
        <v>-210660.33496402891</v>
      </c>
      <c r="R443">
        <f t="shared" si="976"/>
        <v>-15933486.732239855</v>
      </c>
      <c r="S443">
        <f t="shared" si="977"/>
        <v>-159.33486732239857</v>
      </c>
      <c r="T443">
        <f t="shared" si="978"/>
        <v>-0.15933486732239857</v>
      </c>
    </row>
    <row r="444" spans="1:20" x14ac:dyDescent="0.25">
      <c r="A444" s="5">
        <v>44149</v>
      </c>
      <c r="B444">
        <v>0.31740000000000002</v>
      </c>
      <c r="C444">
        <v>0.31869999999999998</v>
      </c>
      <c r="D444">
        <v>0.30159999999999998</v>
      </c>
      <c r="E444">
        <v>0.31109999999999999</v>
      </c>
      <c r="F444">
        <v>269215.07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0.11111111111111183</v>
      </c>
      <c r="Q444">
        <f t="shared" si="975"/>
        <v>29912.785555555751</v>
      </c>
      <c r="R444">
        <f t="shared" si="976"/>
        <v>-15722826.397275826</v>
      </c>
      <c r="S444">
        <f t="shared" si="977"/>
        <v>-157.22826397275827</v>
      </c>
      <c r="T444">
        <f t="shared" si="978"/>
        <v>-0.15722826397275827</v>
      </c>
    </row>
    <row r="445" spans="1:20" x14ac:dyDescent="0.25">
      <c r="A445" s="5">
        <v>44148</v>
      </c>
      <c r="B445">
        <v>0.30330000000000001</v>
      </c>
      <c r="C445">
        <v>0.32390000000000002</v>
      </c>
      <c r="D445">
        <v>0.30320000000000003</v>
      </c>
      <c r="E445">
        <v>0.3165</v>
      </c>
      <c r="F445">
        <v>455507.68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0.28502415458937014</v>
      </c>
      <c r="Q445">
        <f t="shared" si="975"/>
        <v>129830.69140096534</v>
      </c>
      <c r="R445">
        <f t="shared" si="976"/>
        <v>-15752739.182831382</v>
      </c>
      <c r="S445">
        <f t="shared" si="977"/>
        <v>-157.52739182831382</v>
      </c>
      <c r="T445">
        <f t="shared" si="978"/>
        <v>-0.15752739182831382</v>
      </c>
    </row>
    <row r="446" spans="1:20" x14ac:dyDescent="0.25">
      <c r="A446" s="5">
        <v>44147</v>
      </c>
      <c r="B446">
        <v>0.3221</v>
      </c>
      <c r="C446">
        <v>0.3291</v>
      </c>
      <c r="D446">
        <v>0.3</v>
      </c>
      <c r="E446">
        <v>0.30499999999999999</v>
      </c>
      <c r="F446">
        <v>532759.68000000005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-0.65635738831615109</v>
      </c>
      <c r="Q446">
        <f t="shared" si="975"/>
        <v>-349680.75216494844</v>
      </c>
      <c r="R446">
        <f t="shared" si="976"/>
        <v>-15882569.874232348</v>
      </c>
      <c r="S446">
        <f t="shared" si="977"/>
        <v>-158.82569874232348</v>
      </c>
      <c r="T446">
        <f t="shared" si="978"/>
        <v>-0.1588256987423235</v>
      </c>
    </row>
    <row r="447" spans="1:20" x14ac:dyDescent="0.25">
      <c r="A447" s="5">
        <v>44146</v>
      </c>
      <c r="B447">
        <v>0.34749999999999998</v>
      </c>
      <c r="C447">
        <v>0.35220000000000001</v>
      </c>
      <c r="D447">
        <v>0.32029999999999997</v>
      </c>
      <c r="E447">
        <v>0.32029999999999997</v>
      </c>
      <c r="F447">
        <v>912468.38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-1</v>
      </c>
      <c r="Q447">
        <f t="shared" si="975"/>
        <v>-912468.38</v>
      </c>
      <c r="R447">
        <f t="shared" si="976"/>
        <v>-15532889.122067399</v>
      </c>
      <c r="S447">
        <f t="shared" si="977"/>
        <v>-155.328891220674</v>
      </c>
      <c r="T447">
        <f t="shared" si="978"/>
        <v>-0.155328891220674</v>
      </c>
    </row>
    <row r="448" spans="1:20" x14ac:dyDescent="0.25">
      <c r="A448" s="5">
        <v>44145</v>
      </c>
      <c r="B448">
        <v>0.30470000000000003</v>
      </c>
      <c r="C448">
        <v>0.3654</v>
      </c>
      <c r="D448">
        <v>0.30320000000000003</v>
      </c>
      <c r="E448">
        <v>0.34760000000000002</v>
      </c>
      <c r="F448">
        <v>1533887.66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0.4276527331189714</v>
      </c>
      <c r="Q448">
        <f t="shared" si="975"/>
        <v>655971.25009646348</v>
      </c>
      <c r="R448">
        <f t="shared" si="976"/>
        <v>-14620420.742067399</v>
      </c>
      <c r="S448">
        <f t="shared" si="977"/>
        <v>-146.20420742067398</v>
      </c>
      <c r="T448">
        <f t="shared" si="978"/>
        <v>-0.14620420742067397</v>
      </c>
    </row>
    <row r="449" spans="1:20" x14ac:dyDescent="0.25">
      <c r="A449" s="5">
        <v>44144</v>
      </c>
      <c r="B449">
        <v>0.30399999999999999</v>
      </c>
      <c r="C449">
        <v>0.32129999999999997</v>
      </c>
      <c r="D449">
        <v>0.29010000000000002</v>
      </c>
      <c r="E449">
        <v>0.30520000000000003</v>
      </c>
      <c r="F449">
        <v>479845.19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-3.2051282051280355E-2</v>
      </c>
      <c r="Q449">
        <f t="shared" si="975"/>
        <v>-15379.653525640211</v>
      </c>
      <c r="R449">
        <f t="shared" si="976"/>
        <v>-15276391.992163861</v>
      </c>
      <c r="S449">
        <f t="shared" si="977"/>
        <v>-152.7639199216386</v>
      </c>
      <c r="T449">
        <f t="shared" si="978"/>
        <v>-0.1527639199216386</v>
      </c>
    </row>
    <row r="450" spans="1:20" x14ac:dyDescent="0.25">
      <c r="A450" s="5">
        <v>44143</v>
      </c>
      <c r="B450">
        <v>0.28999999999999998</v>
      </c>
      <c r="C450">
        <v>0.32350000000000001</v>
      </c>
      <c r="D450">
        <v>0.28839999999999999</v>
      </c>
      <c r="E450">
        <v>0.30399999999999999</v>
      </c>
      <c r="F450">
        <v>458885.04</v>
      </c>
      <c r="G450">
        <v>0</v>
      </c>
      <c r="L450" t="s">
        <v>8</v>
      </c>
      <c r="M450" t="s">
        <v>7</v>
      </c>
      <c r="N450" t="s">
        <v>8</v>
      </c>
      <c r="P450">
        <f t="shared" si="974"/>
        <v>-0.11111111111111147</v>
      </c>
      <c r="Q450">
        <f t="shared" si="975"/>
        <v>-50987.226666666829</v>
      </c>
      <c r="R450">
        <f t="shared" si="976"/>
        <v>-15261012.338638222</v>
      </c>
      <c r="S450">
        <f t="shared" si="977"/>
        <v>-152.61012338638221</v>
      </c>
      <c r="T450">
        <f t="shared" si="978"/>
        <v>-0.15261012338638222</v>
      </c>
    </row>
    <row r="451" spans="1:20" x14ac:dyDescent="0.25">
      <c r="A451" s="5">
        <v>44142</v>
      </c>
      <c r="B451">
        <v>0.31590000000000001</v>
      </c>
      <c r="C451">
        <v>0.33360000000000001</v>
      </c>
      <c r="D451">
        <v>0.27</v>
      </c>
      <c r="E451">
        <v>0.29170000000000001</v>
      </c>
      <c r="F451">
        <v>1465965.32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-0.31761006289308175</v>
      </c>
      <c r="Q451">
        <f t="shared" si="975"/>
        <v>-465605.33748427674</v>
      </c>
      <c r="R451">
        <f t="shared" si="976"/>
        <v>-15210025.111971555</v>
      </c>
      <c r="S451">
        <f t="shared" si="977"/>
        <v>-152.10025111971555</v>
      </c>
      <c r="T451">
        <f t="shared" si="978"/>
        <v>-0.15210025111971556</v>
      </c>
    </row>
    <row r="452" spans="1:20" x14ac:dyDescent="0.25">
      <c r="A452" s="5">
        <v>44141</v>
      </c>
      <c r="B452">
        <v>0.2777</v>
      </c>
      <c r="C452">
        <v>0.33019999999999999</v>
      </c>
      <c r="D452">
        <v>0.27460000000000001</v>
      </c>
      <c r="E452">
        <v>0.3135</v>
      </c>
      <c r="F452">
        <v>1307806.94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0.39928057553956842</v>
      </c>
      <c r="Q452">
        <f t="shared" si="975"/>
        <v>522181.90769784182</v>
      </c>
      <c r="R452">
        <f t="shared" si="976"/>
        <v>-14744419.774487279</v>
      </c>
      <c r="S452">
        <f t="shared" si="977"/>
        <v>-147.44419774487278</v>
      </c>
      <c r="T452">
        <f t="shared" si="978"/>
        <v>-0.14744419774487277</v>
      </c>
    </row>
    <row r="453" spans="1:20" x14ac:dyDescent="0.25">
      <c r="A453" s="5">
        <v>44140</v>
      </c>
      <c r="B453">
        <v>0.25019999999999998</v>
      </c>
      <c r="C453">
        <v>0.3</v>
      </c>
      <c r="D453">
        <v>0.24210000000000001</v>
      </c>
      <c r="E453">
        <v>0.27739999999999998</v>
      </c>
      <c r="F453">
        <v>1045115.84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0.21934369602763326</v>
      </c>
      <c r="Q453">
        <f t="shared" si="975"/>
        <v>229239.57112262459</v>
      </c>
      <c r="R453">
        <f t="shared" si="976"/>
        <v>-15266601.682185121</v>
      </c>
      <c r="S453">
        <f t="shared" si="977"/>
        <v>-152.6660168218512</v>
      </c>
      <c r="T453">
        <f t="shared" si="978"/>
        <v>-0.15266601682185121</v>
      </c>
    </row>
    <row r="454" spans="1:20" x14ac:dyDescent="0.25">
      <c r="A454" s="5">
        <v>44139</v>
      </c>
      <c r="B454">
        <v>0.24340000000000001</v>
      </c>
      <c r="C454">
        <v>0.251</v>
      </c>
      <c r="D454">
        <v>0.23350000000000001</v>
      </c>
      <c r="E454">
        <v>0.25</v>
      </c>
      <c r="F454">
        <v>456588.48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0.88571428571428557</v>
      </c>
      <c r="Q454">
        <f t="shared" ref="Q454:Q517" si="980">F454*P454</f>
        <v>404406.93942857132</v>
      </c>
      <c r="R454">
        <f t="shared" ref="R454:R517" si="981">R455+Q454</f>
        <v>-15495841.253307745</v>
      </c>
      <c r="S454">
        <f t="shared" ref="S454:S517" si="982">R454/100000</f>
        <v>-154.95841253307745</v>
      </c>
      <c r="T454">
        <f t="shared" ref="T454:T517" si="983">S454/1000</f>
        <v>-0.15495841253307746</v>
      </c>
    </row>
    <row r="455" spans="1:20" x14ac:dyDescent="0.25">
      <c r="A455" s="5">
        <v>44138</v>
      </c>
      <c r="B455">
        <v>0.25409999999999999</v>
      </c>
      <c r="C455">
        <v>0.25409999999999999</v>
      </c>
      <c r="D455">
        <v>0.23849999999999999</v>
      </c>
      <c r="E455">
        <v>0.2407</v>
      </c>
      <c r="F455">
        <v>340505.15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-0.71794871794871706</v>
      </c>
      <c r="Q455">
        <f t="shared" si="980"/>
        <v>-244465.2358974356</v>
      </c>
      <c r="R455">
        <f t="shared" si="981"/>
        <v>-15900248.192736316</v>
      </c>
      <c r="S455">
        <f t="shared" si="982"/>
        <v>-159.00248192736316</v>
      </c>
      <c r="T455">
        <f t="shared" si="983"/>
        <v>-0.15900248192736316</v>
      </c>
    </row>
    <row r="456" spans="1:20" x14ac:dyDescent="0.25">
      <c r="A456" s="5">
        <v>44137</v>
      </c>
      <c r="B456">
        <v>0.26050000000000001</v>
      </c>
      <c r="C456">
        <v>0.27050000000000002</v>
      </c>
      <c r="D456">
        <v>0.25290000000000001</v>
      </c>
      <c r="E456">
        <v>0.25459999999999999</v>
      </c>
      <c r="F456">
        <v>338734.05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-0.80681818181818421</v>
      </c>
      <c r="Q456">
        <f t="shared" si="980"/>
        <v>-273296.79034090991</v>
      </c>
      <c r="R456">
        <f t="shared" si="981"/>
        <v>-15655782.956838882</v>
      </c>
      <c r="S456">
        <f t="shared" si="982"/>
        <v>-156.55782956838883</v>
      </c>
      <c r="T456">
        <f t="shared" si="983"/>
        <v>-0.15655782956838882</v>
      </c>
    </row>
    <row r="457" spans="1:20" x14ac:dyDescent="0.25">
      <c r="A457" s="5">
        <v>44136</v>
      </c>
      <c r="B457">
        <v>0.255</v>
      </c>
      <c r="C457">
        <v>0.2636</v>
      </c>
      <c r="D457">
        <v>0.24929999999999999</v>
      </c>
      <c r="E457">
        <v>0.25900000000000001</v>
      </c>
      <c r="F457">
        <v>215128.79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0.35664335664335794</v>
      </c>
      <c r="Q457">
        <f t="shared" si="980"/>
        <v>76724.253776224054</v>
      </c>
      <c r="R457">
        <f t="shared" si="981"/>
        <v>-15382486.166497972</v>
      </c>
      <c r="S457">
        <f t="shared" si="982"/>
        <v>-153.82486166497972</v>
      </c>
      <c r="T457">
        <f t="shared" si="983"/>
        <v>-0.15382486166497972</v>
      </c>
    </row>
    <row r="458" spans="1:20" x14ac:dyDescent="0.25">
      <c r="A458" s="5">
        <v>44135</v>
      </c>
      <c r="B458">
        <v>0.2571</v>
      </c>
      <c r="C458">
        <v>0.26419999999999999</v>
      </c>
      <c r="D458">
        <v>0.25490000000000002</v>
      </c>
      <c r="E458">
        <v>0.25540000000000002</v>
      </c>
      <c r="F458">
        <v>280648.18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-0.89247311827956954</v>
      </c>
      <c r="Q458">
        <f t="shared" si="980"/>
        <v>-250470.95634408592</v>
      </c>
      <c r="R458">
        <f t="shared" si="981"/>
        <v>-15459210.420274196</v>
      </c>
      <c r="S458">
        <f t="shared" si="982"/>
        <v>-154.59210420274195</v>
      </c>
      <c r="T458">
        <f t="shared" si="983"/>
        <v>-0.15459210420274194</v>
      </c>
    </row>
    <row r="459" spans="1:20" x14ac:dyDescent="0.25">
      <c r="A459" s="5">
        <v>44134</v>
      </c>
      <c r="B459">
        <v>0.26679999999999998</v>
      </c>
      <c r="C459">
        <v>0.2697</v>
      </c>
      <c r="D459">
        <v>0.24859999999999999</v>
      </c>
      <c r="E459">
        <v>0.25740000000000002</v>
      </c>
      <c r="F459">
        <v>704433.99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-0.1658767772511823</v>
      </c>
      <c r="Q459">
        <f t="shared" si="980"/>
        <v>-116849.24004739158</v>
      </c>
      <c r="R459">
        <f t="shared" si="981"/>
        <v>-15208739.46393011</v>
      </c>
      <c r="S459">
        <f t="shared" si="982"/>
        <v>-152.0873946393011</v>
      </c>
      <c r="T459">
        <f t="shared" si="983"/>
        <v>-0.1520873946393011</v>
      </c>
    </row>
    <row r="460" spans="1:20" x14ac:dyDescent="0.25">
      <c r="A460" s="5">
        <v>44133</v>
      </c>
      <c r="B460">
        <v>0.2777</v>
      </c>
      <c r="C460">
        <v>0.28000000000000003</v>
      </c>
      <c r="D460">
        <v>0.26600000000000001</v>
      </c>
      <c r="E460">
        <v>0.26690000000000003</v>
      </c>
      <c r="F460">
        <v>297281.37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-0.87142857142856989</v>
      </c>
      <c r="Q460">
        <f t="shared" si="980"/>
        <v>-259059.47957142812</v>
      </c>
      <c r="R460">
        <f t="shared" si="981"/>
        <v>-15091890.223882718</v>
      </c>
      <c r="S460">
        <f t="shared" si="982"/>
        <v>-150.91890223882717</v>
      </c>
      <c r="T460">
        <f t="shared" si="983"/>
        <v>-0.15091890223882717</v>
      </c>
    </row>
    <row r="461" spans="1:20" x14ac:dyDescent="0.25">
      <c r="A461" s="5">
        <v>44132</v>
      </c>
      <c r="B461">
        <v>0.29849999999999999</v>
      </c>
      <c r="C461">
        <v>0.30220000000000002</v>
      </c>
      <c r="D461">
        <v>0.27200000000000002</v>
      </c>
      <c r="E461">
        <v>0.27739999999999998</v>
      </c>
      <c r="F461">
        <v>445911.87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-0.64238410596026763</v>
      </c>
      <c r="Q461">
        <f t="shared" si="980"/>
        <v>-286446.69794702111</v>
      </c>
      <c r="R461">
        <f t="shared" si="981"/>
        <v>-14832830.74431129</v>
      </c>
      <c r="S461">
        <f t="shared" si="982"/>
        <v>-148.32830744311289</v>
      </c>
      <c r="T461">
        <f t="shared" si="983"/>
        <v>-0.1483283074431129</v>
      </c>
    </row>
    <row r="462" spans="1:20" x14ac:dyDescent="0.25">
      <c r="A462" s="5">
        <v>44131</v>
      </c>
      <c r="B462">
        <v>0.29449999999999998</v>
      </c>
      <c r="C462">
        <v>0.3029</v>
      </c>
      <c r="D462">
        <v>0.28210000000000002</v>
      </c>
      <c r="E462">
        <v>0.29849999999999999</v>
      </c>
      <c r="F462">
        <v>538058.46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0.57692307692307521</v>
      </c>
      <c r="Q462">
        <f t="shared" si="980"/>
        <v>310418.34230769135</v>
      </c>
      <c r="R462">
        <f t="shared" si="981"/>
        <v>-14546384.046364268</v>
      </c>
      <c r="S462">
        <f t="shared" si="982"/>
        <v>-145.4638404636427</v>
      </c>
      <c r="T462">
        <f t="shared" si="983"/>
        <v>-0.14546384046364269</v>
      </c>
    </row>
    <row r="463" spans="1:20" x14ac:dyDescent="0.25">
      <c r="A463" s="5">
        <v>44130</v>
      </c>
      <c r="B463">
        <v>0.31630000000000003</v>
      </c>
      <c r="C463">
        <v>0.31759999999999999</v>
      </c>
      <c r="D463">
        <v>0.28810000000000002</v>
      </c>
      <c r="E463">
        <v>0.2944</v>
      </c>
      <c r="F463">
        <v>669017.71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-0.57288135593220479</v>
      </c>
      <c r="Q463">
        <f t="shared" si="980"/>
        <v>-383267.77284745855</v>
      </c>
      <c r="R463">
        <f t="shared" si="981"/>
        <v>-14856802.388671959</v>
      </c>
      <c r="S463">
        <f t="shared" si="982"/>
        <v>-148.5680238867196</v>
      </c>
      <c r="T463">
        <f t="shared" si="983"/>
        <v>-0.14856802388671961</v>
      </c>
    </row>
    <row r="464" spans="1:20" x14ac:dyDescent="0.25">
      <c r="A464" s="5">
        <v>44129</v>
      </c>
      <c r="B464">
        <v>0.32169999999999999</v>
      </c>
      <c r="C464">
        <v>0.32379999999999998</v>
      </c>
      <c r="D464">
        <v>0.31130000000000002</v>
      </c>
      <c r="E464">
        <v>0.31759999999999999</v>
      </c>
      <c r="F464">
        <v>246767.58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7.9999999999991467E-3</v>
      </c>
      <c r="Q464">
        <f t="shared" si="980"/>
        <v>1974.1406399997893</v>
      </c>
      <c r="R464">
        <f t="shared" si="981"/>
        <v>-14473534.6158245</v>
      </c>
      <c r="S464">
        <f t="shared" si="982"/>
        <v>-144.73534615824499</v>
      </c>
      <c r="T464">
        <f t="shared" si="983"/>
        <v>-0.14473534615824499</v>
      </c>
    </row>
    <row r="465" spans="1:20" x14ac:dyDescent="0.25">
      <c r="A465" s="5">
        <v>44128</v>
      </c>
      <c r="B465">
        <v>0.32729999999999998</v>
      </c>
      <c r="C465">
        <v>0.33150000000000002</v>
      </c>
      <c r="D465">
        <v>0.32069999999999999</v>
      </c>
      <c r="E465">
        <v>0.32450000000000001</v>
      </c>
      <c r="F465">
        <v>275426.94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-0.29629629629629362</v>
      </c>
      <c r="Q465">
        <f t="shared" si="980"/>
        <v>-81607.982222221486</v>
      </c>
      <c r="R465">
        <f t="shared" si="981"/>
        <v>-14475508.7564645</v>
      </c>
      <c r="S465">
        <f t="shared" si="982"/>
        <v>-144.75508756464501</v>
      </c>
      <c r="T465">
        <f t="shared" si="983"/>
        <v>-0.144755087564645</v>
      </c>
    </row>
    <row r="466" spans="1:20" x14ac:dyDescent="0.25">
      <c r="A466" s="5">
        <v>44127</v>
      </c>
      <c r="B466">
        <v>0.32979999999999998</v>
      </c>
      <c r="C466">
        <v>0.34279999999999999</v>
      </c>
      <c r="D466">
        <v>0.32200000000000001</v>
      </c>
      <c r="E466">
        <v>0.32740000000000002</v>
      </c>
      <c r="F466">
        <v>290945.98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-0.48076923076922889</v>
      </c>
      <c r="Q466">
        <f t="shared" si="980"/>
        <v>-139877.87499999945</v>
      </c>
      <c r="R466">
        <f t="shared" si="981"/>
        <v>-14393900.774242278</v>
      </c>
      <c r="S466">
        <f t="shared" si="982"/>
        <v>-143.93900774242277</v>
      </c>
      <c r="T466">
        <f t="shared" si="983"/>
        <v>-0.14393900774242277</v>
      </c>
    </row>
    <row r="467" spans="1:20" x14ac:dyDescent="0.25">
      <c r="A467" s="5">
        <v>44126</v>
      </c>
      <c r="B467">
        <v>0.3271</v>
      </c>
      <c r="C467">
        <v>0.34639999999999999</v>
      </c>
      <c r="D467">
        <v>0.32190000000000002</v>
      </c>
      <c r="E467">
        <v>0.33</v>
      </c>
      <c r="F467">
        <v>493359.29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-0.33877551020408103</v>
      </c>
      <c r="Q467">
        <f t="shared" si="980"/>
        <v>-167138.04518367315</v>
      </c>
      <c r="R467">
        <f t="shared" si="981"/>
        <v>-14254022.899242278</v>
      </c>
      <c r="S467">
        <f t="shared" si="982"/>
        <v>-142.54022899242278</v>
      </c>
      <c r="T467">
        <f t="shared" si="983"/>
        <v>-0.14254022899242277</v>
      </c>
    </row>
    <row r="468" spans="1:20" x14ac:dyDescent="0.25">
      <c r="A468" s="5">
        <v>44125</v>
      </c>
      <c r="B468">
        <v>0.3201</v>
      </c>
      <c r="C468">
        <v>0.33729999999999999</v>
      </c>
      <c r="D468">
        <v>0.31969999999999998</v>
      </c>
      <c r="E468">
        <v>0.3296</v>
      </c>
      <c r="F468">
        <v>450186.59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0.12500000000000197</v>
      </c>
      <c r="Q468">
        <f t="shared" si="980"/>
        <v>56273.323750000891</v>
      </c>
      <c r="R468">
        <f t="shared" si="981"/>
        <v>-14086884.854058605</v>
      </c>
      <c r="S468">
        <f t="shared" si="982"/>
        <v>-140.86884854058604</v>
      </c>
      <c r="T468">
        <f t="shared" si="983"/>
        <v>-0.14086884854058604</v>
      </c>
    </row>
    <row r="469" spans="1:20" x14ac:dyDescent="0.25">
      <c r="A469" s="5">
        <v>44124</v>
      </c>
      <c r="B469">
        <v>0.32719999999999999</v>
      </c>
      <c r="C469">
        <v>0.33800000000000002</v>
      </c>
      <c r="D469">
        <v>0.31009999999999999</v>
      </c>
      <c r="E469">
        <v>0.32019999999999998</v>
      </c>
      <c r="F469">
        <v>341352.34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-0.27598566308243838</v>
      </c>
      <c r="Q469">
        <f t="shared" si="980"/>
        <v>-94208.351899641959</v>
      </c>
      <c r="R469">
        <f t="shared" si="981"/>
        <v>-14143158.177808605</v>
      </c>
      <c r="S469">
        <f t="shared" si="982"/>
        <v>-141.43158177808604</v>
      </c>
      <c r="T469">
        <f t="shared" si="983"/>
        <v>-0.14143158177808604</v>
      </c>
    </row>
    <row r="470" spans="1:20" x14ac:dyDescent="0.25">
      <c r="A470" s="5">
        <v>44123</v>
      </c>
      <c r="B470">
        <v>0.32679999999999998</v>
      </c>
      <c r="C470">
        <v>0.34139999999999998</v>
      </c>
      <c r="D470">
        <v>0.31459999999999999</v>
      </c>
      <c r="E470">
        <v>0.3286</v>
      </c>
      <c r="F470">
        <v>868296.94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4.477611940298637E-2</v>
      </c>
      <c r="Q470">
        <f t="shared" si="980"/>
        <v>38878.967462687688</v>
      </c>
      <c r="R470">
        <f t="shared" si="981"/>
        <v>-14048949.825908963</v>
      </c>
      <c r="S470">
        <f t="shared" si="982"/>
        <v>-140.48949825908963</v>
      </c>
      <c r="T470">
        <f t="shared" si="983"/>
        <v>-0.14048949825908963</v>
      </c>
    </row>
    <row r="471" spans="1:20" x14ac:dyDescent="0.25">
      <c r="A471" s="5">
        <v>44122</v>
      </c>
      <c r="B471">
        <v>0.34260000000000002</v>
      </c>
      <c r="C471">
        <v>0.34860000000000002</v>
      </c>
      <c r="D471">
        <v>0.3231</v>
      </c>
      <c r="E471">
        <v>0.32479999999999998</v>
      </c>
      <c r="F471">
        <v>428023.41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-0.86666666666666836</v>
      </c>
      <c r="Q471">
        <f t="shared" si="980"/>
        <v>-370953.62200000073</v>
      </c>
      <c r="R471">
        <f t="shared" si="981"/>
        <v>-14087828.793371649</v>
      </c>
      <c r="S471">
        <f t="shared" si="982"/>
        <v>-140.87828793371651</v>
      </c>
      <c r="T471">
        <f t="shared" si="983"/>
        <v>-0.14087828793371651</v>
      </c>
    </row>
    <row r="472" spans="1:20" x14ac:dyDescent="0.25">
      <c r="A472" s="5">
        <v>44121</v>
      </c>
      <c r="B472">
        <v>0.3145</v>
      </c>
      <c r="C472">
        <v>0.38200000000000001</v>
      </c>
      <c r="D472">
        <v>0.31030000000000002</v>
      </c>
      <c r="E472">
        <v>0.34260000000000002</v>
      </c>
      <c r="F472">
        <v>1170797.69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-9.9023709902370943E-2</v>
      </c>
      <c r="Q472">
        <f t="shared" si="980"/>
        <v>-115936.73080892602</v>
      </c>
      <c r="R472">
        <f t="shared" si="981"/>
        <v>-13716875.171371648</v>
      </c>
      <c r="S472">
        <f t="shared" si="982"/>
        <v>-137.16875171371649</v>
      </c>
      <c r="T472">
        <f t="shared" si="983"/>
        <v>-0.13716875171371648</v>
      </c>
    </row>
    <row r="473" spans="1:20" x14ac:dyDescent="0.25">
      <c r="A473" s="5">
        <v>44120</v>
      </c>
      <c r="B473">
        <v>0.33350000000000002</v>
      </c>
      <c r="C473">
        <v>0.33889999999999998</v>
      </c>
      <c r="D473">
        <v>0.31230000000000002</v>
      </c>
      <c r="E473">
        <v>0.31509999999999999</v>
      </c>
      <c r="F473">
        <v>539461.69999999995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-0.78947368421052833</v>
      </c>
      <c r="Q473">
        <f t="shared" si="980"/>
        <v>-425890.81578947476</v>
      </c>
      <c r="R473">
        <f t="shared" si="981"/>
        <v>-13600938.440562721</v>
      </c>
      <c r="S473">
        <f t="shared" si="982"/>
        <v>-136.0093844056272</v>
      </c>
      <c r="T473">
        <f t="shared" si="983"/>
        <v>-0.13600938440562721</v>
      </c>
    </row>
    <row r="474" spans="1:20" x14ac:dyDescent="0.25">
      <c r="A474" s="5">
        <v>44119</v>
      </c>
      <c r="B474">
        <v>0.35139999999999999</v>
      </c>
      <c r="C474">
        <v>0.35589999999999999</v>
      </c>
      <c r="D474">
        <v>0.33029999999999998</v>
      </c>
      <c r="E474">
        <v>0.33350000000000002</v>
      </c>
      <c r="F474">
        <v>773010.88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-0.74999999999999734</v>
      </c>
      <c r="Q474">
        <f t="shared" si="980"/>
        <v>-579758.15999999794</v>
      </c>
      <c r="R474">
        <f t="shared" si="981"/>
        <v>-13175047.624773247</v>
      </c>
      <c r="S474">
        <f t="shared" si="982"/>
        <v>-131.75047624773248</v>
      </c>
      <c r="T474">
        <f t="shared" si="983"/>
        <v>-0.13175047624773248</v>
      </c>
    </row>
    <row r="475" spans="1:20" x14ac:dyDescent="0.25">
      <c r="A475" s="5">
        <v>44118</v>
      </c>
      <c r="B475">
        <v>0.36630000000000001</v>
      </c>
      <c r="C475">
        <v>0.37040000000000001</v>
      </c>
      <c r="D475">
        <v>0.34179999999999999</v>
      </c>
      <c r="E475">
        <v>0.35389999999999999</v>
      </c>
      <c r="F475">
        <v>458063.26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-0.1538461538461543</v>
      </c>
      <c r="Q475">
        <f t="shared" si="980"/>
        <v>-70471.270769230978</v>
      </c>
      <c r="R475">
        <f t="shared" si="981"/>
        <v>-12595289.464773249</v>
      </c>
      <c r="S475">
        <f t="shared" si="982"/>
        <v>-125.95289464773249</v>
      </c>
      <c r="T475">
        <f t="shared" si="983"/>
        <v>-0.12595289464773249</v>
      </c>
    </row>
    <row r="476" spans="1:20" x14ac:dyDescent="0.25">
      <c r="A476" s="5">
        <v>44117</v>
      </c>
      <c r="B476">
        <v>0.36809999999999998</v>
      </c>
      <c r="C476">
        <v>0.37269999999999998</v>
      </c>
      <c r="D476">
        <v>0.35410000000000003</v>
      </c>
      <c r="E476">
        <v>0.36720000000000003</v>
      </c>
      <c r="F476">
        <v>290482.65999999997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0.40860215053763826</v>
      </c>
      <c r="Q476">
        <f t="shared" si="980"/>
        <v>118691.83956989358</v>
      </c>
      <c r="R476">
        <f t="shared" si="981"/>
        <v>-12524818.194004018</v>
      </c>
      <c r="S476">
        <f t="shared" si="982"/>
        <v>-125.24818194004018</v>
      </c>
      <c r="T476">
        <f t="shared" si="983"/>
        <v>-0.12524818194004017</v>
      </c>
    </row>
    <row r="477" spans="1:20" x14ac:dyDescent="0.25">
      <c r="A477" s="5">
        <v>44116</v>
      </c>
      <c r="B477">
        <v>0.36780000000000002</v>
      </c>
      <c r="C477">
        <v>0.38</v>
      </c>
      <c r="D477">
        <v>0.36509999999999998</v>
      </c>
      <c r="E477">
        <v>0.36709999999999998</v>
      </c>
      <c r="F477">
        <v>373778.68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-0.73154362416107399</v>
      </c>
      <c r="Q477">
        <f t="shared" si="980"/>
        <v>-273435.41020134231</v>
      </c>
      <c r="R477">
        <f t="shared" si="981"/>
        <v>-12643510.033573911</v>
      </c>
      <c r="S477">
        <f t="shared" si="982"/>
        <v>-126.43510033573911</v>
      </c>
      <c r="T477">
        <f t="shared" si="983"/>
        <v>-0.1264351003357391</v>
      </c>
    </row>
    <row r="478" spans="1:20" x14ac:dyDescent="0.25">
      <c r="A478" s="5">
        <v>44115</v>
      </c>
      <c r="B478">
        <v>0.36899999999999999</v>
      </c>
      <c r="C478">
        <v>0.37390000000000001</v>
      </c>
      <c r="D478">
        <v>0.35880000000000001</v>
      </c>
      <c r="E478">
        <v>0.3669</v>
      </c>
      <c r="F478">
        <v>261393.6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7.2847682119204615E-2</v>
      </c>
      <c r="Q478">
        <f t="shared" si="980"/>
        <v>19041.917880794525</v>
      </c>
      <c r="R478">
        <f t="shared" si="981"/>
        <v>-12370074.623372568</v>
      </c>
      <c r="S478">
        <f t="shared" si="982"/>
        <v>-123.70074623372568</v>
      </c>
      <c r="T478">
        <f t="shared" si="983"/>
        <v>-0.12370074623372568</v>
      </c>
    </row>
    <row r="479" spans="1:20" x14ac:dyDescent="0.25">
      <c r="A479" s="5">
        <v>44114</v>
      </c>
      <c r="B479">
        <v>0.36420000000000002</v>
      </c>
      <c r="C479">
        <v>0.38319999999999999</v>
      </c>
      <c r="D479">
        <v>0.36120000000000002</v>
      </c>
      <c r="E479">
        <v>0.36899999999999999</v>
      </c>
      <c r="F479">
        <v>364852.24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-0.29090909090909217</v>
      </c>
      <c r="Q479">
        <f t="shared" si="980"/>
        <v>-106138.83345454591</v>
      </c>
      <c r="R479">
        <f t="shared" si="981"/>
        <v>-12389116.541253362</v>
      </c>
      <c r="S479">
        <f t="shared" si="982"/>
        <v>-123.89116541253362</v>
      </c>
      <c r="T479">
        <f t="shared" si="983"/>
        <v>-0.12389116541253363</v>
      </c>
    </row>
    <row r="480" spans="1:20" x14ac:dyDescent="0.25">
      <c r="A480" s="5">
        <v>44113</v>
      </c>
      <c r="B480">
        <v>0.34429999999999999</v>
      </c>
      <c r="C480">
        <v>0.36580000000000001</v>
      </c>
      <c r="D480">
        <v>0.34</v>
      </c>
      <c r="E480">
        <v>0.36430000000000001</v>
      </c>
      <c r="F480">
        <v>456577.42</v>
      </c>
      <c r="G480">
        <v>0</v>
      </c>
      <c r="L480" t="s">
        <v>7</v>
      </c>
      <c r="M480" t="s">
        <v>8</v>
      </c>
      <c r="N480" t="s">
        <v>7</v>
      </c>
      <c r="P480">
        <f t="shared" si="979"/>
        <v>0.88372093023255804</v>
      </c>
      <c r="Q480">
        <f t="shared" si="980"/>
        <v>403487.02232558135</v>
      </c>
      <c r="R480">
        <f t="shared" si="981"/>
        <v>-12282977.707798816</v>
      </c>
      <c r="S480">
        <f t="shared" si="982"/>
        <v>-122.82977707798817</v>
      </c>
      <c r="T480">
        <f t="shared" si="983"/>
        <v>-0.12282977707798817</v>
      </c>
    </row>
    <row r="481" spans="1:20" x14ac:dyDescent="0.25">
      <c r="A481" s="5">
        <v>44112</v>
      </c>
      <c r="B481">
        <v>0.31879999999999997</v>
      </c>
      <c r="C481">
        <v>0.36830000000000002</v>
      </c>
      <c r="D481">
        <v>0.31730000000000003</v>
      </c>
      <c r="E481">
        <v>0.34539999999999998</v>
      </c>
      <c r="F481">
        <v>1208530.23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0.10196078431372407</v>
      </c>
      <c r="Q481">
        <f t="shared" si="980"/>
        <v>123222.69011764534</v>
      </c>
      <c r="R481">
        <f t="shared" si="981"/>
        <v>-12686464.730124397</v>
      </c>
      <c r="S481">
        <f t="shared" si="982"/>
        <v>-126.86464730124398</v>
      </c>
      <c r="T481">
        <f t="shared" si="983"/>
        <v>-0.12686464730124397</v>
      </c>
    </row>
    <row r="482" spans="1:20" x14ac:dyDescent="0.25">
      <c r="A482" s="5">
        <v>44111</v>
      </c>
      <c r="B482">
        <v>0.3095</v>
      </c>
      <c r="C482">
        <v>0.32700000000000001</v>
      </c>
      <c r="D482">
        <v>0.30109999999999998</v>
      </c>
      <c r="E482">
        <v>0.32090000000000002</v>
      </c>
      <c r="F482">
        <v>444768.46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0.52895752895753001</v>
      </c>
      <c r="Q482">
        <f t="shared" si="980"/>
        <v>235263.62555984603</v>
      </c>
      <c r="R482">
        <f t="shared" si="981"/>
        <v>-12809687.420242043</v>
      </c>
      <c r="S482">
        <f t="shared" si="982"/>
        <v>-128.09687420242042</v>
      </c>
      <c r="T482">
        <f t="shared" si="983"/>
        <v>-0.12809687420242041</v>
      </c>
    </row>
    <row r="483" spans="1:20" x14ac:dyDescent="0.25">
      <c r="A483" s="5">
        <v>44110</v>
      </c>
      <c r="B483">
        <v>0.35199999999999998</v>
      </c>
      <c r="C483">
        <v>0.35399999999999998</v>
      </c>
      <c r="D483">
        <v>0.30640000000000001</v>
      </c>
      <c r="E483">
        <v>0.31230000000000002</v>
      </c>
      <c r="F483">
        <v>1107666.22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-0.75210084033613367</v>
      </c>
      <c r="Q483">
        <f t="shared" si="980"/>
        <v>-833076.6948739487</v>
      </c>
      <c r="R483">
        <f t="shared" si="981"/>
        <v>-13044951.045801889</v>
      </c>
      <c r="S483">
        <f t="shared" si="982"/>
        <v>-130.44951045801889</v>
      </c>
      <c r="T483">
        <f t="shared" si="983"/>
        <v>-0.13044951045801889</v>
      </c>
    </row>
    <row r="484" spans="1:20" x14ac:dyDescent="0.25">
      <c r="A484" s="5">
        <v>44109</v>
      </c>
      <c r="B484">
        <v>0.34689999999999999</v>
      </c>
      <c r="C484">
        <v>0.35199999999999998</v>
      </c>
      <c r="D484">
        <v>0.34160000000000001</v>
      </c>
      <c r="E484">
        <v>0.35199999999999998</v>
      </c>
      <c r="F484">
        <v>417334.98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1</v>
      </c>
      <c r="Q484">
        <f t="shared" si="980"/>
        <v>417334.98</v>
      </c>
      <c r="R484">
        <f t="shared" si="981"/>
        <v>-12211874.35092794</v>
      </c>
      <c r="S484">
        <f t="shared" si="982"/>
        <v>-122.1187435092794</v>
      </c>
      <c r="T484">
        <f t="shared" si="983"/>
        <v>-0.1221187435092794</v>
      </c>
    </row>
    <row r="485" spans="1:20" x14ac:dyDescent="0.25">
      <c r="A485" s="5">
        <v>44108</v>
      </c>
      <c r="B485">
        <v>0.34599999999999997</v>
      </c>
      <c r="C485">
        <v>0.35070000000000001</v>
      </c>
      <c r="D485">
        <v>0.34160000000000001</v>
      </c>
      <c r="E485">
        <v>0.34660000000000002</v>
      </c>
      <c r="F485">
        <v>229541.01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9.8901098901100243E-2</v>
      </c>
      <c r="Q485">
        <f t="shared" si="980"/>
        <v>22701.858131868441</v>
      </c>
      <c r="R485">
        <f t="shared" si="981"/>
        <v>-12629209.33092794</v>
      </c>
      <c r="S485">
        <f t="shared" si="982"/>
        <v>-126.29209330927939</v>
      </c>
      <c r="T485">
        <f t="shared" si="983"/>
        <v>-0.1262920933092794</v>
      </c>
    </row>
    <row r="486" spans="1:20" x14ac:dyDescent="0.25">
      <c r="A486" s="5">
        <v>44107</v>
      </c>
      <c r="B486">
        <v>0.35120000000000001</v>
      </c>
      <c r="C486">
        <v>0.35920000000000002</v>
      </c>
      <c r="D486">
        <v>0.34510000000000002</v>
      </c>
      <c r="E486">
        <v>0.34649999999999997</v>
      </c>
      <c r="F486">
        <v>300413.92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-0.80141843971631821</v>
      </c>
      <c r="Q486">
        <f t="shared" si="980"/>
        <v>-240757.25503546282</v>
      </c>
      <c r="R486">
        <f t="shared" si="981"/>
        <v>-12651911.189059809</v>
      </c>
      <c r="S486">
        <f t="shared" si="982"/>
        <v>-126.51911189059808</v>
      </c>
      <c r="T486">
        <f t="shared" si="983"/>
        <v>-0.12651911189059808</v>
      </c>
    </row>
    <row r="487" spans="1:20" x14ac:dyDescent="0.25">
      <c r="A487" s="5">
        <v>44106</v>
      </c>
      <c r="B487">
        <v>0.371</v>
      </c>
      <c r="C487">
        <v>0.37690000000000001</v>
      </c>
      <c r="D487">
        <v>0.33579999999999999</v>
      </c>
      <c r="E487">
        <v>0.35120000000000001</v>
      </c>
      <c r="F487">
        <v>804616.36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-0.25060827250608197</v>
      </c>
      <c r="Q487">
        <f t="shared" si="980"/>
        <v>-201643.51600973174</v>
      </c>
      <c r="R487">
        <f t="shared" si="981"/>
        <v>-12411153.934024345</v>
      </c>
      <c r="S487">
        <f t="shared" si="982"/>
        <v>-124.11153934024345</v>
      </c>
      <c r="T487">
        <f t="shared" si="983"/>
        <v>-0.12411153934024345</v>
      </c>
    </row>
    <row r="488" spans="1:20" x14ac:dyDescent="0.25">
      <c r="A488" s="5">
        <v>44105</v>
      </c>
      <c r="B488">
        <v>0.40089999999999998</v>
      </c>
      <c r="C488">
        <v>0.41389999999999999</v>
      </c>
      <c r="D488">
        <v>0.3634</v>
      </c>
      <c r="E488">
        <v>0.37140000000000001</v>
      </c>
      <c r="F488">
        <v>791575.39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-0.68316831683168278</v>
      </c>
      <c r="Q488">
        <f t="shared" si="980"/>
        <v>-540779.22683168284</v>
      </c>
      <c r="R488">
        <f t="shared" si="981"/>
        <v>-12209510.418014614</v>
      </c>
      <c r="S488">
        <f t="shared" si="982"/>
        <v>-122.09510418014614</v>
      </c>
      <c r="T488">
        <f t="shared" si="983"/>
        <v>-0.12209510418014614</v>
      </c>
    </row>
    <row r="489" spans="1:20" x14ac:dyDescent="0.25">
      <c r="A489" s="5">
        <v>44104</v>
      </c>
      <c r="B489">
        <v>0.39410000000000001</v>
      </c>
      <c r="C489">
        <v>0.40100000000000002</v>
      </c>
      <c r="D489">
        <v>0.3851</v>
      </c>
      <c r="E489">
        <v>0.3987</v>
      </c>
      <c r="F489">
        <v>306015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0.71069182389936847</v>
      </c>
      <c r="Q489">
        <f t="shared" si="980"/>
        <v>217482.35849056524</v>
      </c>
      <c r="R489">
        <f t="shared" si="981"/>
        <v>-11668731.191182932</v>
      </c>
      <c r="S489">
        <f t="shared" si="982"/>
        <v>-116.68731191182931</v>
      </c>
      <c r="T489">
        <f t="shared" si="983"/>
        <v>-0.11668731191182931</v>
      </c>
    </row>
    <row r="490" spans="1:20" x14ac:dyDescent="0.25">
      <c r="A490" s="5">
        <v>44103</v>
      </c>
      <c r="B490">
        <v>0.37919999999999998</v>
      </c>
      <c r="C490">
        <v>0.39929999999999999</v>
      </c>
      <c r="D490">
        <v>0.37209999999999999</v>
      </c>
      <c r="E490">
        <v>0.39589999999999997</v>
      </c>
      <c r="F490">
        <v>451394.22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0.749999999999999</v>
      </c>
      <c r="Q490">
        <f t="shared" si="980"/>
        <v>338545.66499999951</v>
      </c>
      <c r="R490">
        <f t="shared" si="981"/>
        <v>-11886213.549673498</v>
      </c>
      <c r="S490">
        <f t="shared" si="982"/>
        <v>-118.86213549673498</v>
      </c>
      <c r="T490">
        <f t="shared" si="983"/>
        <v>-0.11886213549673498</v>
      </c>
    </row>
    <row r="491" spans="1:20" x14ac:dyDescent="0.25">
      <c r="A491" s="5">
        <v>44102</v>
      </c>
      <c r="B491">
        <v>0.37480000000000002</v>
      </c>
      <c r="C491">
        <v>0.41610000000000003</v>
      </c>
      <c r="D491">
        <v>0.37309999999999999</v>
      </c>
      <c r="E491">
        <v>0.3795</v>
      </c>
      <c r="F491">
        <v>861175.48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-0.70232558139534829</v>
      </c>
      <c r="Q491">
        <f t="shared" si="980"/>
        <v>-604825.56967441808</v>
      </c>
      <c r="R491">
        <f t="shared" si="981"/>
        <v>-12224759.214673497</v>
      </c>
      <c r="S491">
        <f t="shared" si="982"/>
        <v>-122.24759214673497</v>
      </c>
      <c r="T491">
        <f t="shared" si="983"/>
        <v>-0.12224759214673497</v>
      </c>
    </row>
    <row r="492" spans="1:20" x14ac:dyDescent="0.25">
      <c r="A492" s="5">
        <v>44101</v>
      </c>
      <c r="B492">
        <v>0.37880000000000003</v>
      </c>
      <c r="C492">
        <v>0.38440000000000002</v>
      </c>
      <c r="D492">
        <v>0.35909999999999997</v>
      </c>
      <c r="E492">
        <v>0.37190000000000001</v>
      </c>
      <c r="F492">
        <v>598234.49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1.1857707509882289E-2</v>
      </c>
      <c r="Q492">
        <f t="shared" si="980"/>
        <v>7093.6896047436012</v>
      </c>
      <c r="R492">
        <f t="shared" si="981"/>
        <v>-11619933.644999079</v>
      </c>
      <c r="S492">
        <f t="shared" si="982"/>
        <v>-116.1993364499908</v>
      </c>
      <c r="T492">
        <f t="shared" si="983"/>
        <v>-0.11619933644999079</v>
      </c>
    </row>
    <row r="493" spans="1:20" x14ac:dyDescent="0.25">
      <c r="A493" s="5">
        <v>44100</v>
      </c>
      <c r="B493">
        <v>0.37980000000000003</v>
      </c>
      <c r="C493">
        <v>0.39200000000000002</v>
      </c>
      <c r="D493">
        <v>0.36599999999999999</v>
      </c>
      <c r="E493">
        <v>0.378</v>
      </c>
      <c r="F493">
        <v>816841.02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-7.6923076923076927E-2</v>
      </c>
      <c r="Q493">
        <f t="shared" si="980"/>
        <v>-62833.924615384618</v>
      </c>
      <c r="R493">
        <f t="shared" si="981"/>
        <v>-11627027.334603824</v>
      </c>
      <c r="S493">
        <f t="shared" si="982"/>
        <v>-116.27027334603824</v>
      </c>
      <c r="T493">
        <f t="shared" si="983"/>
        <v>-0.11627027334603823</v>
      </c>
    </row>
    <row r="494" spans="1:20" x14ac:dyDescent="0.25">
      <c r="A494" s="5">
        <v>44099</v>
      </c>
      <c r="B494">
        <v>0.37380000000000002</v>
      </c>
      <c r="C494">
        <v>0.3911</v>
      </c>
      <c r="D494">
        <v>0.35520000000000002</v>
      </c>
      <c r="E494">
        <v>0.378</v>
      </c>
      <c r="F494">
        <v>629512.52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0.27019498607242309</v>
      </c>
      <c r="Q494">
        <f t="shared" si="980"/>
        <v>170091.12657381597</v>
      </c>
      <c r="R494">
        <f t="shared" si="981"/>
        <v>-11564193.409988439</v>
      </c>
      <c r="S494">
        <f t="shared" si="982"/>
        <v>-115.64193409988438</v>
      </c>
      <c r="T494">
        <f t="shared" si="983"/>
        <v>-0.11564193409988438</v>
      </c>
    </row>
    <row r="495" spans="1:20" x14ac:dyDescent="0.25">
      <c r="A495" s="5">
        <v>44098</v>
      </c>
      <c r="B495">
        <v>0.33550000000000002</v>
      </c>
      <c r="C495">
        <v>0.37890000000000001</v>
      </c>
      <c r="D495">
        <v>0.33139999999999997</v>
      </c>
      <c r="E495">
        <v>0.37230000000000002</v>
      </c>
      <c r="F495">
        <v>713923.54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0.72210526315789525</v>
      </c>
      <c r="Q495">
        <f t="shared" si="980"/>
        <v>515527.94572631619</v>
      </c>
      <c r="R495">
        <f t="shared" si="981"/>
        <v>-11734284.536562255</v>
      </c>
      <c r="S495">
        <f t="shared" si="982"/>
        <v>-117.34284536562255</v>
      </c>
      <c r="T495">
        <f t="shared" si="983"/>
        <v>-0.11734284536562255</v>
      </c>
    </row>
    <row r="496" spans="1:20" x14ac:dyDescent="0.25">
      <c r="A496" s="5">
        <v>44097</v>
      </c>
      <c r="B496">
        <v>0.3659</v>
      </c>
      <c r="C496">
        <v>0.38369999999999999</v>
      </c>
      <c r="D496">
        <v>0.32840000000000003</v>
      </c>
      <c r="E496">
        <v>0.33610000000000001</v>
      </c>
      <c r="F496">
        <v>918127.08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-0.72151898734177256</v>
      </c>
      <c r="Q496">
        <f t="shared" si="980"/>
        <v>-662446.12101265858</v>
      </c>
      <c r="R496">
        <f t="shared" si="981"/>
        <v>-12249812.482288571</v>
      </c>
      <c r="S496">
        <f t="shared" si="982"/>
        <v>-122.49812482288571</v>
      </c>
      <c r="T496">
        <f t="shared" si="983"/>
        <v>-0.12249812482288572</v>
      </c>
    </row>
    <row r="497" spans="1:20" x14ac:dyDescent="0.25">
      <c r="A497" s="5">
        <v>44096</v>
      </c>
      <c r="B497">
        <v>0.3589</v>
      </c>
      <c r="C497">
        <v>0.372</v>
      </c>
      <c r="D497">
        <v>0.34250000000000003</v>
      </c>
      <c r="E497">
        <v>0.36670000000000003</v>
      </c>
      <c r="F497">
        <v>545269.74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0.64067796610169647</v>
      </c>
      <c r="Q497">
        <f t="shared" si="980"/>
        <v>349342.30800000083</v>
      </c>
      <c r="R497">
        <f t="shared" si="981"/>
        <v>-11587366.361275913</v>
      </c>
      <c r="S497">
        <f t="shared" si="982"/>
        <v>-115.87366361275913</v>
      </c>
      <c r="T497">
        <f t="shared" si="983"/>
        <v>-0.11587366361275914</v>
      </c>
    </row>
    <row r="498" spans="1:20" x14ac:dyDescent="0.25">
      <c r="A498" s="5">
        <v>44095</v>
      </c>
      <c r="B498">
        <v>0.41149999999999998</v>
      </c>
      <c r="C498">
        <v>0.41959999999999997</v>
      </c>
      <c r="D498">
        <v>0.33550000000000002</v>
      </c>
      <c r="E498">
        <v>0.35749999999999998</v>
      </c>
      <c r="F498">
        <v>2241029.88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-0.47681331747919198</v>
      </c>
      <c r="Q498">
        <f t="shared" si="980"/>
        <v>-1068552.8916527955</v>
      </c>
      <c r="R498">
        <f t="shared" si="981"/>
        <v>-11936708.669275913</v>
      </c>
      <c r="S498">
        <f t="shared" si="982"/>
        <v>-119.36708669275913</v>
      </c>
      <c r="T498">
        <f t="shared" si="983"/>
        <v>-0.11936708669275913</v>
      </c>
    </row>
    <row r="499" spans="1:20" x14ac:dyDescent="0.25">
      <c r="A499" s="5">
        <v>44094</v>
      </c>
      <c r="B499">
        <v>0.42020000000000002</v>
      </c>
      <c r="C499">
        <v>0.42930000000000001</v>
      </c>
      <c r="D499">
        <v>0.4</v>
      </c>
      <c r="E499">
        <v>0.41170000000000001</v>
      </c>
      <c r="F499">
        <v>499270.37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-0.20136518771331119</v>
      </c>
      <c r="Q499">
        <f t="shared" si="980"/>
        <v>-100535.67177474433</v>
      </c>
      <c r="R499">
        <f t="shared" si="981"/>
        <v>-10868155.777623117</v>
      </c>
      <c r="S499">
        <f t="shared" si="982"/>
        <v>-108.68155777623117</v>
      </c>
      <c r="T499">
        <f t="shared" si="983"/>
        <v>-0.10868155777623117</v>
      </c>
    </row>
    <row r="500" spans="1:20" x14ac:dyDescent="0.25">
      <c r="A500" s="5">
        <v>44093</v>
      </c>
      <c r="B500">
        <v>0.41599999999999998</v>
      </c>
      <c r="C500">
        <v>0.43269999999999997</v>
      </c>
      <c r="D500">
        <v>0.41060000000000002</v>
      </c>
      <c r="E500">
        <v>0.4209</v>
      </c>
      <c r="F500">
        <v>956134.72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-6.7873303167421017E-2</v>
      </c>
      <c r="Q500">
        <f t="shared" si="980"/>
        <v>-64896.021719457203</v>
      </c>
      <c r="R500">
        <f t="shared" si="981"/>
        <v>-10767620.105848372</v>
      </c>
      <c r="S500">
        <f t="shared" si="982"/>
        <v>-107.67620105848371</v>
      </c>
      <c r="T500">
        <f t="shared" si="983"/>
        <v>-0.10767620105848372</v>
      </c>
    </row>
    <row r="501" spans="1:20" x14ac:dyDescent="0.25">
      <c r="A501" s="5">
        <v>44092</v>
      </c>
      <c r="B501">
        <v>0.44729999999999998</v>
      </c>
      <c r="C501">
        <v>0.44729999999999998</v>
      </c>
      <c r="D501">
        <v>0.41039999999999999</v>
      </c>
      <c r="E501">
        <v>0.41549999999999998</v>
      </c>
      <c r="F501">
        <v>1075466.8400000001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-0.723577235772358</v>
      </c>
      <c r="Q501">
        <f t="shared" si="980"/>
        <v>-778183.32325203286</v>
      </c>
      <c r="R501">
        <f t="shared" si="981"/>
        <v>-10702724.084128914</v>
      </c>
      <c r="S501">
        <f t="shared" si="982"/>
        <v>-107.02724084128914</v>
      </c>
      <c r="T501">
        <f t="shared" si="983"/>
        <v>-0.10702724084128915</v>
      </c>
    </row>
    <row r="502" spans="1:20" x14ac:dyDescent="0.25">
      <c r="A502" s="5">
        <v>44091</v>
      </c>
      <c r="B502">
        <v>0.43980000000000002</v>
      </c>
      <c r="C502">
        <v>0.4632</v>
      </c>
      <c r="D502">
        <v>0.43919999999999998</v>
      </c>
      <c r="E502">
        <v>0.44729999999999998</v>
      </c>
      <c r="F502">
        <v>865873.37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-0.3250000000000009</v>
      </c>
      <c r="Q502">
        <f t="shared" si="980"/>
        <v>-281408.84525000077</v>
      </c>
      <c r="R502">
        <f t="shared" si="981"/>
        <v>-9924540.760876881</v>
      </c>
      <c r="S502">
        <f t="shared" si="982"/>
        <v>-99.245407608768815</v>
      </c>
      <c r="T502">
        <f t="shared" si="983"/>
        <v>-9.9245407608768821E-2</v>
      </c>
    </row>
    <row r="503" spans="1:20" x14ac:dyDescent="0.25">
      <c r="A503" s="5">
        <v>44090</v>
      </c>
      <c r="B503">
        <v>0.45450000000000002</v>
      </c>
      <c r="C503">
        <v>0.45519999999999999</v>
      </c>
      <c r="D503">
        <v>0.42880000000000001</v>
      </c>
      <c r="E503">
        <v>0.43930000000000002</v>
      </c>
      <c r="F503">
        <v>1123963.69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-0.2045454545454532</v>
      </c>
      <c r="Q503">
        <f t="shared" si="980"/>
        <v>-229901.66386363484</v>
      </c>
      <c r="R503">
        <f t="shared" si="981"/>
        <v>-9643131.9156268798</v>
      </c>
      <c r="S503">
        <f t="shared" si="982"/>
        <v>-96.431319156268799</v>
      </c>
      <c r="T503">
        <f t="shared" si="983"/>
        <v>-9.6431319156268805E-2</v>
      </c>
    </row>
    <row r="504" spans="1:20" x14ac:dyDescent="0.25">
      <c r="A504" s="5">
        <v>44089</v>
      </c>
      <c r="B504">
        <v>0.48980000000000001</v>
      </c>
      <c r="C504">
        <v>0.49580000000000002</v>
      </c>
      <c r="D504">
        <v>0.45240000000000002</v>
      </c>
      <c r="E504">
        <v>0.45590000000000003</v>
      </c>
      <c r="F504">
        <v>949331.15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-0.83870967741935465</v>
      </c>
      <c r="Q504">
        <f t="shared" si="980"/>
        <v>-796213.222580645</v>
      </c>
      <c r="R504">
        <f t="shared" si="981"/>
        <v>-9413230.2517632451</v>
      </c>
      <c r="S504">
        <f t="shared" si="982"/>
        <v>-94.132302517632453</v>
      </c>
      <c r="T504">
        <f t="shared" si="983"/>
        <v>-9.4132302517632452E-2</v>
      </c>
    </row>
    <row r="505" spans="1:20" x14ac:dyDescent="0.25">
      <c r="A505" s="5">
        <v>44088</v>
      </c>
      <c r="B505">
        <v>0.49370000000000003</v>
      </c>
      <c r="C505">
        <v>0.51029999999999998</v>
      </c>
      <c r="D505">
        <v>0.47270000000000001</v>
      </c>
      <c r="E505">
        <v>0.48930000000000001</v>
      </c>
      <c r="F505">
        <v>1098997.8700000001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-0.11702127659574371</v>
      </c>
      <c r="Q505">
        <f t="shared" si="980"/>
        <v>-128606.1337234032</v>
      </c>
      <c r="R505">
        <f t="shared" si="981"/>
        <v>-8617017.0291825999</v>
      </c>
      <c r="S505">
        <f t="shared" si="982"/>
        <v>-86.170170291825997</v>
      </c>
      <c r="T505">
        <f t="shared" si="983"/>
        <v>-8.6170170291825998E-2</v>
      </c>
    </row>
    <row r="506" spans="1:20" x14ac:dyDescent="0.25">
      <c r="A506" s="5">
        <v>44087</v>
      </c>
      <c r="B506">
        <v>0.5484</v>
      </c>
      <c r="C506">
        <v>0.55500000000000005</v>
      </c>
      <c r="D506">
        <v>0.48089999999999999</v>
      </c>
      <c r="E506">
        <v>0.49359999999999998</v>
      </c>
      <c r="F506">
        <v>1361289.49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-0.65721997300944723</v>
      </c>
      <c r="Q506">
        <f t="shared" si="980"/>
        <v>-894666.64187584422</v>
      </c>
      <c r="R506">
        <f t="shared" si="981"/>
        <v>-8488410.8954591975</v>
      </c>
      <c r="S506">
        <f t="shared" si="982"/>
        <v>-84.88410895459198</v>
      </c>
      <c r="T506">
        <f t="shared" si="983"/>
        <v>-8.4884108954591975E-2</v>
      </c>
    </row>
    <row r="507" spans="1:20" x14ac:dyDescent="0.25">
      <c r="A507" s="5">
        <v>44086</v>
      </c>
      <c r="B507">
        <v>0.53500000000000003</v>
      </c>
      <c r="C507">
        <v>0.55879999999999996</v>
      </c>
      <c r="D507">
        <v>0.52390000000000003</v>
      </c>
      <c r="E507">
        <v>0.55130000000000001</v>
      </c>
      <c r="F507">
        <v>1363730.32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0.57020057306590455</v>
      </c>
      <c r="Q507">
        <f t="shared" si="980"/>
        <v>777599.80997134943</v>
      </c>
      <c r="R507">
        <f t="shared" si="981"/>
        <v>-7593744.253583353</v>
      </c>
      <c r="S507">
        <f t="shared" si="982"/>
        <v>-75.937442535833526</v>
      </c>
      <c r="T507">
        <f t="shared" si="983"/>
        <v>-7.5937442535833524E-2</v>
      </c>
    </row>
    <row r="508" spans="1:20" x14ac:dyDescent="0.25">
      <c r="A508" s="5">
        <v>44085</v>
      </c>
      <c r="B508">
        <v>0.51029999999999998</v>
      </c>
      <c r="C508">
        <v>0.53820000000000001</v>
      </c>
      <c r="D508">
        <v>0.4829</v>
      </c>
      <c r="E508">
        <v>0.53720000000000001</v>
      </c>
      <c r="F508">
        <v>1356985.46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0.96383363471971062</v>
      </c>
      <c r="Q508">
        <f t="shared" si="980"/>
        <v>1307908.2281735984</v>
      </c>
      <c r="R508">
        <f t="shared" si="981"/>
        <v>-8371344.0635547023</v>
      </c>
      <c r="S508">
        <f t="shared" si="982"/>
        <v>-83.713440635547016</v>
      </c>
      <c r="T508">
        <f t="shared" si="983"/>
        <v>-8.3713440635547018E-2</v>
      </c>
    </row>
    <row r="509" spans="1:20" x14ac:dyDescent="0.25">
      <c r="A509" s="5">
        <v>44084</v>
      </c>
      <c r="B509">
        <v>0.48220000000000002</v>
      </c>
      <c r="C509">
        <v>0.51449999999999996</v>
      </c>
      <c r="D509">
        <v>0.47339999999999999</v>
      </c>
      <c r="E509">
        <v>0.5091</v>
      </c>
      <c r="F509">
        <v>1097587.19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0.73722627737226454</v>
      </c>
      <c r="Q509">
        <f t="shared" si="980"/>
        <v>809170.11817518435</v>
      </c>
      <c r="R509">
        <f t="shared" si="981"/>
        <v>-9679252.291728301</v>
      </c>
      <c r="S509">
        <f t="shared" si="982"/>
        <v>-96.792522917283009</v>
      </c>
      <c r="T509">
        <f t="shared" si="983"/>
        <v>-9.6792522917283005E-2</v>
      </c>
    </row>
    <row r="510" spans="1:20" x14ac:dyDescent="0.25">
      <c r="A510" s="5">
        <v>44083</v>
      </c>
      <c r="B510">
        <v>0.46579999999999999</v>
      </c>
      <c r="C510">
        <v>0.49990000000000001</v>
      </c>
      <c r="D510">
        <v>0.44729999999999998</v>
      </c>
      <c r="E510">
        <v>0.48</v>
      </c>
      <c r="F510">
        <v>1255385.94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0.24334600760456215</v>
      </c>
      <c r="Q510">
        <f t="shared" si="980"/>
        <v>305493.1565019004</v>
      </c>
      <c r="R510">
        <f t="shared" si="981"/>
        <v>-10488422.409903485</v>
      </c>
      <c r="S510">
        <f t="shared" si="982"/>
        <v>-104.88422409903485</v>
      </c>
      <c r="T510">
        <f t="shared" si="983"/>
        <v>-0.10488422409903485</v>
      </c>
    </row>
    <row r="511" spans="1:20" x14ac:dyDescent="0.25">
      <c r="A511" s="5">
        <v>44082</v>
      </c>
      <c r="B511">
        <v>0.48159999999999997</v>
      </c>
      <c r="C511">
        <v>0.49</v>
      </c>
      <c r="D511">
        <v>0.44600000000000001</v>
      </c>
      <c r="E511">
        <v>0.46789999999999998</v>
      </c>
      <c r="F511">
        <v>1162418.3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-4.5454545454553085E-3</v>
      </c>
      <c r="Q511">
        <f t="shared" si="980"/>
        <v>-5283.719545455433</v>
      </c>
      <c r="R511">
        <f t="shared" si="981"/>
        <v>-10793915.566405386</v>
      </c>
      <c r="S511">
        <f t="shared" si="982"/>
        <v>-107.93915566405386</v>
      </c>
      <c r="T511">
        <f t="shared" si="983"/>
        <v>-0.10793915566405386</v>
      </c>
    </row>
    <row r="512" spans="1:20" x14ac:dyDescent="0.25">
      <c r="A512" s="5">
        <v>44081</v>
      </c>
      <c r="B512">
        <v>0.47989999999999999</v>
      </c>
      <c r="C512">
        <v>0.49519999999999997</v>
      </c>
      <c r="D512">
        <v>0.42959999999999998</v>
      </c>
      <c r="E512">
        <v>0.48249999999999998</v>
      </c>
      <c r="F512">
        <v>1960977.54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0.61280487804878081</v>
      </c>
      <c r="Q512">
        <f t="shared" si="980"/>
        <v>1201696.6022560983</v>
      </c>
      <c r="R512">
        <f t="shared" si="981"/>
        <v>-10788631.84685993</v>
      </c>
      <c r="S512">
        <f t="shared" si="982"/>
        <v>-107.8863184685993</v>
      </c>
      <c r="T512">
        <f t="shared" si="983"/>
        <v>-0.10788631846859929</v>
      </c>
    </row>
    <row r="513" spans="1:20" x14ac:dyDescent="0.25">
      <c r="A513" s="5">
        <v>44080</v>
      </c>
      <c r="B513">
        <v>0.45669999999999999</v>
      </c>
      <c r="C513">
        <v>0.4899</v>
      </c>
      <c r="D513">
        <v>0.44290000000000002</v>
      </c>
      <c r="E513">
        <v>0.48070000000000002</v>
      </c>
      <c r="F513">
        <v>1914920.41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0.60851063829787277</v>
      </c>
      <c r="Q513">
        <f t="shared" si="980"/>
        <v>1165249.4409787243</v>
      </c>
      <c r="R513">
        <f t="shared" si="981"/>
        <v>-11990328.449116029</v>
      </c>
      <c r="S513">
        <f t="shared" si="982"/>
        <v>-119.90328449116029</v>
      </c>
      <c r="T513">
        <f t="shared" si="983"/>
        <v>-0.11990328449116029</v>
      </c>
    </row>
    <row r="514" spans="1:20" x14ac:dyDescent="0.25">
      <c r="A514" s="5">
        <v>44079</v>
      </c>
      <c r="B514">
        <v>0.5484</v>
      </c>
      <c r="C514">
        <v>0.55469999999999997</v>
      </c>
      <c r="D514">
        <v>0.42820000000000003</v>
      </c>
      <c r="E514">
        <v>0.4577</v>
      </c>
      <c r="F514">
        <v>2320811.0699999998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-0.53359683794466428</v>
      </c>
      <c r="Q514">
        <f t="shared" si="980"/>
        <v>-1238377.4484189728</v>
      </c>
      <c r="R514">
        <f t="shared" si="981"/>
        <v>-13155577.890094753</v>
      </c>
      <c r="S514">
        <f t="shared" si="982"/>
        <v>-131.55577890094753</v>
      </c>
      <c r="T514">
        <f t="shared" si="983"/>
        <v>-0.13155577890094752</v>
      </c>
    </row>
    <row r="515" spans="1:20" x14ac:dyDescent="0.25">
      <c r="A515" s="5">
        <v>44078</v>
      </c>
      <c r="B515">
        <v>0.44779999999999998</v>
      </c>
      <c r="C515">
        <v>0.56489999999999996</v>
      </c>
      <c r="D515">
        <v>0.43730000000000002</v>
      </c>
      <c r="E515">
        <v>0.54849999999999999</v>
      </c>
      <c r="F515">
        <v>2757022.71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0.74294670846395017</v>
      </c>
      <c r="Q515">
        <f t="shared" si="980"/>
        <v>2048320.9475548598</v>
      </c>
      <c r="R515">
        <f t="shared" si="981"/>
        <v>-11917200.44167578</v>
      </c>
      <c r="S515">
        <f t="shared" si="982"/>
        <v>-119.1720044167578</v>
      </c>
      <c r="T515">
        <f t="shared" si="983"/>
        <v>-0.11917200441675781</v>
      </c>
    </row>
    <row r="516" spans="1:20" x14ac:dyDescent="0.25">
      <c r="A516" s="5">
        <v>44077</v>
      </c>
      <c r="B516">
        <v>0.56999999999999995</v>
      </c>
      <c r="C516">
        <v>0.57469999999999999</v>
      </c>
      <c r="D516">
        <v>0.42820000000000003</v>
      </c>
      <c r="E516">
        <v>0.4506</v>
      </c>
      <c r="F516">
        <v>1924589.63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-0.69419795221843028</v>
      </c>
      <c r="Q516">
        <f t="shared" si="980"/>
        <v>-1336046.1800068263</v>
      </c>
      <c r="R516">
        <f t="shared" si="981"/>
        <v>-13965521.389230641</v>
      </c>
      <c r="S516">
        <f t="shared" si="982"/>
        <v>-139.65521389230639</v>
      </c>
      <c r="T516">
        <f t="shared" si="983"/>
        <v>-0.1396552138923064</v>
      </c>
    </row>
    <row r="517" spans="1:20" x14ac:dyDescent="0.25">
      <c r="A517" s="5">
        <v>44076</v>
      </c>
      <c r="B517">
        <v>0.60219999999999996</v>
      </c>
      <c r="C517">
        <v>0.60229999999999995</v>
      </c>
      <c r="D517">
        <v>0.53600000000000003</v>
      </c>
      <c r="E517">
        <v>0.56999999999999995</v>
      </c>
      <c r="F517">
        <v>1380989.66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2.5641025641024523E-2</v>
      </c>
      <c r="Q517">
        <f t="shared" si="980"/>
        <v>35409.991282049734</v>
      </c>
      <c r="R517">
        <f t="shared" si="981"/>
        <v>-12629475.209223814</v>
      </c>
      <c r="S517">
        <f t="shared" si="982"/>
        <v>-126.29475209223814</v>
      </c>
      <c r="T517">
        <f t="shared" si="983"/>
        <v>-0.12629475209223814</v>
      </c>
    </row>
    <row r="518" spans="1:20" x14ac:dyDescent="0.25">
      <c r="A518" s="5">
        <v>44075</v>
      </c>
      <c r="B518">
        <v>0.64810000000000001</v>
      </c>
      <c r="C518">
        <v>0.6482</v>
      </c>
      <c r="D518">
        <v>0.60029999999999994</v>
      </c>
      <c r="E518">
        <v>0.60029999999999994</v>
      </c>
      <c r="F518">
        <v>1704238.56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-1</v>
      </c>
      <c r="Q518">
        <f t="shared" ref="Q518:Q581" si="985">F518*P518</f>
        <v>-1704238.56</v>
      </c>
      <c r="R518">
        <f t="shared" ref="R518:R581" si="986">R519+Q518</f>
        <v>-12664885.200505864</v>
      </c>
      <c r="S518">
        <f t="shared" ref="S518:S581" si="987">R518/100000</f>
        <v>-126.64885200505864</v>
      </c>
      <c r="T518">
        <f t="shared" ref="T518:T581" si="988">S518/1000</f>
        <v>-0.12664885200505865</v>
      </c>
    </row>
    <row r="519" spans="1:20" x14ac:dyDescent="0.25">
      <c r="A519" s="5">
        <v>44074</v>
      </c>
      <c r="B519">
        <v>0.61019999999999996</v>
      </c>
      <c r="C519">
        <v>0.6593</v>
      </c>
      <c r="D519">
        <v>0.59950000000000003</v>
      </c>
      <c r="E519">
        <v>0.65159999999999996</v>
      </c>
      <c r="F519">
        <v>1975170.78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0.74247491638795837</v>
      </c>
      <c r="Q519">
        <f t="shared" si="985"/>
        <v>1466514.7597324385</v>
      </c>
      <c r="R519">
        <f t="shared" si="986"/>
        <v>-10960646.640505863</v>
      </c>
      <c r="S519">
        <f t="shared" si="987"/>
        <v>-109.60646640505864</v>
      </c>
      <c r="T519">
        <f t="shared" si="988"/>
        <v>-0.10960646640505864</v>
      </c>
    </row>
    <row r="520" spans="1:20" x14ac:dyDescent="0.25">
      <c r="A520" s="5">
        <v>44073</v>
      </c>
      <c r="B520">
        <v>0.62450000000000006</v>
      </c>
      <c r="C520">
        <v>0.63380000000000003</v>
      </c>
      <c r="D520">
        <v>0.60099999999999998</v>
      </c>
      <c r="E520">
        <v>0.60850000000000004</v>
      </c>
      <c r="F520">
        <v>825673.06</v>
      </c>
      <c r="G520">
        <v>0</v>
      </c>
      <c r="L520" t="s">
        <v>7</v>
      </c>
      <c r="M520" t="s">
        <v>7</v>
      </c>
      <c r="N520" t="s">
        <v>8</v>
      </c>
      <c r="P520">
        <f t="shared" si="984"/>
        <v>-0.54268292682926522</v>
      </c>
      <c r="Q520">
        <f t="shared" si="985"/>
        <v>-448078.67280487553</v>
      </c>
      <c r="R520">
        <f t="shared" si="986"/>
        <v>-12427161.400238302</v>
      </c>
      <c r="S520">
        <f t="shared" si="987"/>
        <v>-124.27161400238302</v>
      </c>
      <c r="T520">
        <f t="shared" si="988"/>
        <v>-0.12427161400238301</v>
      </c>
    </row>
    <row r="521" spans="1:20" x14ac:dyDescent="0.25">
      <c r="A521" s="5">
        <v>44072</v>
      </c>
      <c r="B521">
        <v>0.628</v>
      </c>
      <c r="C521">
        <v>0.66200000000000003</v>
      </c>
      <c r="D521">
        <v>0.62190000000000001</v>
      </c>
      <c r="E521">
        <v>0.62509999999999999</v>
      </c>
      <c r="F521">
        <v>1249273.3799999999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-0.84039900249376664</v>
      </c>
      <c r="Q521">
        <f t="shared" si="985"/>
        <v>-1049888.1023940162</v>
      </c>
      <c r="R521">
        <f t="shared" si="986"/>
        <v>-11979082.727433426</v>
      </c>
      <c r="S521">
        <f t="shared" si="987"/>
        <v>-119.79082727433426</v>
      </c>
      <c r="T521">
        <f t="shared" si="988"/>
        <v>-0.11979082727433427</v>
      </c>
    </row>
    <row r="522" spans="1:20" x14ac:dyDescent="0.25">
      <c r="A522" s="5">
        <v>44071</v>
      </c>
      <c r="B522">
        <v>0.58830000000000005</v>
      </c>
      <c r="C522">
        <v>0.63629999999999998</v>
      </c>
      <c r="D522">
        <v>0.58440000000000003</v>
      </c>
      <c r="E522">
        <v>0.62729999999999997</v>
      </c>
      <c r="F522">
        <v>1557091.91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0.65317919075144437</v>
      </c>
      <c r="Q522">
        <f t="shared" si="985"/>
        <v>1017060.0336994207</v>
      </c>
      <c r="R522">
        <f t="shared" si="986"/>
        <v>-10929194.62503941</v>
      </c>
      <c r="S522">
        <f t="shared" si="987"/>
        <v>-109.2919462503941</v>
      </c>
      <c r="T522">
        <f t="shared" si="988"/>
        <v>-0.10929194625039411</v>
      </c>
    </row>
    <row r="523" spans="1:20" x14ac:dyDescent="0.25">
      <c r="A523" s="5">
        <v>44070</v>
      </c>
      <c r="B523">
        <v>0.62849999999999995</v>
      </c>
      <c r="C523">
        <v>0.65259999999999996</v>
      </c>
      <c r="D523">
        <v>0.56850000000000001</v>
      </c>
      <c r="E523">
        <v>0.58830000000000005</v>
      </c>
      <c r="F523">
        <v>2478709.69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-0.52913198573127107</v>
      </c>
      <c r="Q523">
        <f t="shared" si="985"/>
        <v>-1311564.5803210433</v>
      </c>
      <c r="R523">
        <f t="shared" si="986"/>
        <v>-11946254.658738831</v>
      </c>
      <c r="S523">
        <f t="shared" si="987"/>
        <v>-119.46254658738832</v>
      </c>
      <c r="T523">
        <f t="shared" si="988"/>
        <v>-0.11946254658738832</v>
      </c>
    </row>
    <row r="524" spans="1:20" x14ac:dyDescent="0.25">
      <c r="A524" s="5">
        <v>44069</v>
      </c>
      <c r="B524">
        <v>0.66679999999999995</v>
      </c>
      <c r="C524">
        <v>0.68020000000000003</v>
      </c>
      <c r="D524">
        <v>0.62849999999999995</v>
      </c>
      <c r="E524">
        <v>0.63029999999999997</v>
      </c>
      <c r="F524">
        <v>1762235.75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-0.93036750483558917</v>
      </c>
      <c r="Q524">
        <f t="shared" si="985"/>
        <v>-1639526.877659573</v>
      </c>
      <c r="R524">
        <f t="shared" si="986"/>
        <v>-10634690.078417787</v>
      </c>
      <c r="S524">
        <f t="shared" si="987"/>
        <v>-106.34690078417788</v>
      </c>
      <c r="T524">
        <f t="shared" si="988"/>
        <v>-0.10634690078417787</v>
      </c>
    </row>
    <row r="525" spans="1:20" x14ac:dyDescent="0.25">
      <c r="A525" s="5">
        <v>44068</v>
      </c>
      <c r="B525">
        <v>0.69399999999999995</v>
      </c>
      <c r="C525">
        <v>0.70269999999999999</v>
      </c>
      <c r="D525">
        <v>0.62660000000000005</v>
      </c>
      <c r="E525">
        <v>0.66479999999999995</v>
      </c>
      <c r="F525">
        <v>2079109.65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3.9421813403397654E-3</v>
      </c>
      <c r="Q525">
        <f t="shared" si="985"/>
        <v>8196.2272667503403</v>
      </c>
      <c r="R525">
        <f t="shared" si="986"/>
        <v>-8995163.200758215</v>
      </c>
      <c r="S525">
        <f t="shared" si="987"/>
        <v>-89.951632007582148</v>
      </c>
      <c r="T525">
        <f t="shared" si="988"/>
        <v>-8.9951632007582147E-2</v>
      </c>
    </row>
    <row r="526" spans="1:20" x14ac:dyDescent="0.25">
      <c r="A526" s="5">
        <v>44067</v>
      </c>
      <c r="B526">
        <v>0.71020000000000005</v>
      </c>
      <c r="C526">
        <v>0.74150000000000005</v>
      </c>
      <c r="D526">
        <v>0.6915</v>
      </c>
      <c r="E526">
        <v>0.69430000000000003</v>
      </c>
      <c r="F526">
        <v>1559079.68</v>
      </c>
      <c r="G526">
        <v>0</v>
      </c>
      <c r="L526" t="s">
        <v>7</v>
      </c>
      <c r="M526" t="s">
        <v>8</v>
      </c>
      <c r="N526" t="s">
        <v>8</v>
      </c>
      <c r="P526">
        <f t="shared" si="984"/>
        <v>-0.88799999999999912</v>
      </c>
      <c r="Q526">
        <f t="shared" si="985"/>
        <v>-1384462.7558399986</v>
      </c>
      <c r="R526">
        <f t="shared" si="986"/>
        <v>-9003359.4280249663</v>
      </c>
      <c r="S526">
        <f t="shared" si="987"/>
        <v>-90.033594280249659</v>
      </c>
      <c r="T526">
        <f t="shared" si="988"/>
        <v>-9.0033594280249665E-2</v>
      </c>
    </row>
    <row r="527" spans="1:20" x14ac:dyDescent="0.25">
      <c r="A527" s="5">
        <v>44066</v>
      </c>
      <c r="B527">
        <v>0.74690000000000001</v>
      </c>
      <c r="C527">
        <v>0.75049999999999994</v>
      </c>
      <c r="D527">
        <v>0.69579999999999997</v>
      </c>
      <c r="E527">
        <v>0.71009999999999995</v>
      </c>
      <c r="F527">
        <v>2136725.62</v>
      </c>
      <c r="G527">
        <v>0</v>
      </c>
      <c r="L527" t="s">
        <v>7</v>
      </c>
      <c r="M527" t="s">
        <v>8</v>
      </c>
      <c r="N527" t="s">
        <v>8</v>
      </c>
      <c r="P527">
        <f t="shared" si="984"/>
        <v>-0.47714808043875734</v>
      </c>
      <c r="Q527">
        <f t="shared" si="985"/>
        <v>-1019534.5280073137</v>
      </c>
      <c r="R527">
        <f t="shared" si="986"/>
        <v>-7618896.6721849684</v>
      </c>
      <c r="S527">
        <f t="shared" si="987"/>
        <v>-76.188966721849681</v>
      </c>
      <c r="T527">
        <f t="shared" si="988"/>
        <v>-7.6188966721849688E-2</v>
      </c>
    </row>
    <row r="528" spans="1:20" x14ac:dyDescent="0.25">
      <c r="A528" s="5">
        <v>44065</v>
      </c>
      <c r="B528">
        <v>0.64170000000000005</v>
      </c>
      <c r="C528">
        <v>0.76390000000000002</v>
      </c>
      <c r="D528">
        <v>0.60399999999999998</v>
      </c>
      <c r="E528">
        <v>0.74690000000000001</v>
      </c>
      <c r="F528">
        <v>2295793.39</v>
      </c>
      <c r="G528">
        <v>0</v>
      </c>
      <c r="L528" t="s">
        <v>8</v>
      </c>
      <c r="M528" t="s">
        <v>8</v>
      </c>
      <c r="N528" t="s">
        <v>8</v>
      </c>
      <c r="P528">
        <f t="shared" si="984"/>
        <v>0.78736710444027502</v>
      </c>
      <c r="Q528">
        <f t="shared" si="985"/>
        <v>1807632.1938774232</v>
      </c>
      <c r="R528">
        <f t="shared" si="986"/>
        <v>-6599362.1441776548</v>
      </c>
      <c r="S528">
        <f t="shared" si="987"/>
        <v>-65.993621441776554</v>
      </c>
      <c r="T528">
        <f t="shared" si="988"/>
        <v>-6.5993621441776548E-2</v>
      </c>
    </row>
    <row r="529" spans="1:20" x14ac:dyDescent="0.25">
      <c r="A529" s="5">
        <v>44064</v>
      </c>
      <c r="B529">
        <v>0.67049999999999998</v>
      </c>
      <c r="C529">
        <v>0.74099999999999999</v>
      </c>
      <c r="D529">
        <v>0.62509999999999999</v>
      </c>
      <c r="E529">
        <v>0.64180000000000004</v>
      </c>
      <c r="F529">
        <v>5289873.32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-0.71182053494391639</v>
      </c>
      <c r="Q529">
        <f t="shared" si="985"/>
        <v>-3765440.4564279513</v>
      </c>
      <c r="R529">
        <f t="shared" si="986"/>
        <v>-8406994.3380550779</v>
      </c>
      <c r="S529">
        <f t="shared" si="987"/>
        <v>-84.069943380550782</v>
      </c>
      <c r="T529">
        <f t="shared" si="988"/>
        <v>-8.406994338055078E-2</v>
      </c>
    </row>
    <row r="530" spans="1:20" x14ac:dyDescent="0.25">
      <c r="A530" s="5">
        <v>44063</v>
      </c>
      <c r="B530">
        <v>0.60089999999999999</v>
      </c>
      <c r="C530">
        <v>0.68</v>
      </c>
      <c r="D530">
        <v>0.59409999999999996</v>
      </c>
      <c r="E530">
        <v>0.66820000000000002</v>
      </c>
      <c r="F530">
        <v>3004547.58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0.725261932479627</v>
      </c>
      <c r="Q530">
        <f t="shared" si="985"/>
        <v>2179083.9840977867</v>
      </c>
      <c r="R530">
        <f t="shared" si="986"/>
        <v>-4641553.8816271257</v>
      </c>
      <c r="S530">
        <f t="shared" si="987"/>
        <v>-46.415538816271258</v>
      </c>
      <c r="T530">
        <f t="shared" si="988"/>
        <v>-4.6415538816271258E-2</v>
      </c>
    </row>
    <row r="531" spans="1:20" x14ac:dyDescent="0.25">
      <c r="A531" s="5">
        <v>44062</v>
      </c>
      <c r="B531">
        <v>0.64059999999999995</v>
      </c>
      <c r="C531">
        <v>0.66990000000000005</v>
      </c>
      <c r="D531">
        <v>0.53269999999999995</v>
      </c>
      <c r="E531">
        <v>0.59899999999999998</v>
      </c>
      <c r="F531">
        <v>6628913.0099999998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-3.3527696793003242E-2</v>
      </c>
      <c r="Q531">
        <f t="shared" si="985"/>
        <v>-222252.18546647448</v>
      </c>
      <c r="R531">
        <f t="shared" si="986"/>
        <v>-6820637.8657249128</v>
      </c>
      <c r="S531">
        <f t="shared" si="987"/>
        <v>-68.206378657249132</v>
      </c>
      <c r="T531">
        <f t="shared" si="988"/>
        <v>-6.8206378657249128E-2</v>
      </c>
    </row>
    <row r="532" spans="1:20" x14ac:dyDescent="0.25">
      <c r="A532" s="5">
        <v>44061</v>
      </c>
      <c r="B532">
        <v>0.5524</v>
      </c>
      <c r="C532">
        <v>0.67349999999999999</v>
      </c>
      <c r="D532">
        <v>0.5524</v>
      </c>
      <c r="E532">
        <v>0.64059999999999995</v>
      </c>
      <c r="F532">
        <v>6242502.8399999999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0.45664739884392991</v>
      </c>
      <c r="Q532">
        <f t="shared" si="985"/>
        <v>2850622.6841618451</v>
      </c>
      <c r="R532">
        <f t="shared" si="986"/>
        <v>-6598385.680258438</v>
      </c>
      <c r="S532">
        <f t="shared" si="987"/>
        <v>-65.983856802584384</v>
      </c>
      <c r="T532">
        <f t="shared" si="988"/>
        <v>-6.5983856802584381E-2</v>
      </c>
    </row>
    <row r="533" spans="1:20" x14ac:dyDescent="0.25">
      <c r="A533" s="5">
        <v>44060</v>
      </c>
      <c r="B533">
        <v>0.57089999999999996</v>
      </c>
      <c r="C533">
        <v>0.59989999999999999</v>
      </c>
      <c r="D533">
        <v>0.55030000000000001</v>
      </c>
      <c r="E533">
        <v>0.55359999999999998</v>
      </c>
      <c r="F533">
        <v>2156061.91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-0.86693548387096886</v>
      </c>
      <c r="Q533">
        <f t="shared" si="985"/>
        <v>-1869166.5752016155</v>
      </c>
      <c r="R533">
        <f t="shared" si="986"/>
        <v>-9449008.3644202836</v>
      </c>
      <c r="S533">
        <f t="shared" si="987"/>
        <v>-94.490083644202841</v>
      </c>
      <c r="T533">
        <f t="shared" si="988"/>
        <v>-9.4490083644202846E-2</v>
      </c>
    </row>
    <row r="534" spans="1:20" x14ac:dyDescent="0.25">
      <c r="A534" s="5">
        <v>44059</v>
      </c>
      <c r="B534">
        <v>0.5373</v>
      </c>
      <c r="C534">
        <v>0.58350000000000002</v>
      </c>
      <c r="D534">
        <v>0.52680000000000005</v>
      </c>
      <c r="E534">
        <v>0.57120000000000004</v>
      </c>
      <c r="F534">
        <v>2262388.4500000002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0.56613756613756672</v>
      </c>
      <c r="Q534">
        <f t="shared" si="985"/>
        <v>1280823.0907407422</v>
      </c>
      <c r="R534">
        <f t="shared" si="986"/>
        <v>-7579841.7892186679</v>
      </c>
      <c r="S534">
        <f t="shared" si="987"/>
        <v>-75.798417892186677</v>
      </c>
      <c r="T534">
        <f t="shared" si="988"/>
        <v>-7.5798417892186679E-2</v>
      </c>
    </row>
    <row r="535" spans="1:20" x14ac:dyDescent="0.25">
      <c r="A535" s="5">
        <v>44058</v>
      </c>
      <c r="B535">
        <v>0.54869999999999997</v>
      </c>
      <c r="C535">
        <v>0.57779999999999998</v>
      </c>
      <c r="D535">
        <v>0.52680000000000005</v>
      </c>
      <c r="E535">
        <v>0.5373</v>
      </c>
      <c r="F535">
        <v>1782774.96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-0.5882352941176483</v>
      </c>
      <c r="Q535">
        <f t="shared" si="985"/>
        <v>-1048691.1529411788</v>
      </c>
      <c r="R535">
        <f t="shared" si="986"/>
        <v>-8860664.8799594101</v>
      </c>
      <c r="S535">
        <f t="shared" si="987"/>
        <v>-88.606648799594097</v>
      </c>
      <c r="T535">
        <f t="shared" si="988"/>
        <v>-8.8606648799594095E-2</v>
      </c>
    </row>
    <row r="536" spans="1:20" x14ac:dyDescent="0.25">
      <c r="A536" s="5">
        <v>44057</v>
      </c>
      <c r="B536">
        <v>0.58150000000000002</v>
      </c>
      <c r="C536">
        <v>0.60099999999999998</v>
      </c>
      <c r="D536">
        <v>0.53949999999999998</v>
      </c>
      <c r="E536">
        <v>0.54659999999999997</v>
      </c>
      <c r="F536">
        <v>3033744.51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-0.76910569105691073</v>
      </c>
      <c r="Q536">
        <f t="shared" si="985"/>
        <v>-2333270.167853659</v>
      </c>
      <c r="R536">
        <f t="shared" si="986"/>
        <v>-7811973.7270182315</v>
      </c>
      <c r="S536">
        <f t="shared" si="987"/>
        <v>-78.119737270182313</v>
      </c>
      <c r="T536">
        <f t="shared" si="988"/>
        <v>-7.8119737270182316E-2</v>
      </c>
    </row>
    <row r="537" spans="1:20" x14ac:dyDescent="0.25">
      <c r="A537" s="5">
        <v>44056</v>
      </c>
      <c r="B537">
        <v>0.50260000000000005</v>
      </c>
      <c r="C537">
        <v>0.59599999999999997</v>
      </c>
      <c r="D537">
        <v>0.48070000000000002</v>
      </c>
      <c r="E537">
        <v>0.58089999999999997</v>
      </c>
      <c r="F537">
        <v>6925314.7300000004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0.73807458803122272</v>
      </c>
      <c r="Q537">
        <f t="shared" si="985"/>
        <v>5111398.8163313083</v>
      </c>
      <c r="R537">
        <f t="shared" si="986"/>
        <v>-5478703.5591645725</v>
      </c>
      <c r="S537">
        <f t="shared" si="987"/>
        <v>-54.787035591645726</v>
      </c>
      <c r="T537">
        <f t="shared" si="988"/>
        <v>-5.4787035591645723E-2</v>
      </c>
    </row>
    <row r="538" spans="1:20" x14ac:dyDescent="0.25">
      <c r="A538" s="5">
        <v>44055</v>
      </c>
      <c r="B538">
        <v>0.47989999999999999</v>
      </c>
      <c r="C538">
        <v>0.50460000000000005</v>
      </c>
      <c r="D538">
        <v>0.45440000000000003</v>
      </c>
      <c r="E538">
        <v>0.50270000000000004</v>
      </c>
      <c r="F538">
        <v>1396899.1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0.92430278884462103</v>
      </c>
      <c r="Q538">
        <f t="shared" si="985"/>
        <v>1291157.7338645412</v>
      </c>
      <c r="R538">
        <f t="shared" si="986"/>
        <v>-10590102.375495881</v>
      </c>
      <c r="S538">
        <f t="shared" si="987"/>
        <v>-105.90102375495881</v>
      </c>
      <c r="T538">
        <f t="shared" si="988"/>
        <v>-0.10590102375495881</v>
      </c>
    </row>
    <row r="539" spans="1:20" x14ac:dyDescent="0.25">
      <c r="A539" s="5">
        <v>44054</v>
      </c>
      <c r="B539">
        <v>0.51080000000000003</v>
      </c>
      <c r="C539">
        <v>0.53739999999999999</v>
      </c>
      <c r="D539">
        <v>0.45710000000000001</v>
      </c>
      <c r="E539">
        <v>0.47989999999999999</v>
      </c>
      <c r="F539">
        <v>2136597.64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-0.43212951432129537</v>
      </c>
      <c r="Q539">
        <f t="shared" si="985"/>
        <v>-923286.90047322598</v>
      </c>
      <c r="R539">
        <f t="shared" si="986"/>
        <v>-11881260.109360423</v>
      </c>
      <c r="S539">
        <f t="shared" si="987"/>
        <v>-118.81260109360423</v>
      </c>
      <c r="T539">
        <f t="shared" si="988"/>
        <v>-0.11881260109360423</v>
      </c>
    </row>
    <row r="540" spans="1:20" x14ac:dyDescent="0.25">
      <c r="A540" s="5">
        <v>44053</v>
      </c>
      <c r="B540">
        <v>0.49</v>
      </c>
      <c r="C540">
        <v>0.52639999999999998</v>
      </c>
      <c r="D540">
        <v>0.46610000000000001</v>
      </c>
      <c r="E540">
        <v>0.51070000000000004</v>
      </c>
      <c r="F540">
        <v>1843122.13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0.47927031509121243</v>
      </c>
      <c r="Q540">
        <f t="shared" si="985"/>
        <v>883353.72399668652</v>
      </c>
      <c r="R540">
        <f t="shared" si="986"/>
        <v>-10957973.208887197</v>
      </c>
      <c r="S540">
        <f t="shared" si="987"/>
        <v>-109.57973208887196</v>
      </c>
      <c r="T540">
        <f t="shared" si="988"/>
        <v>-0.10957973208887196</v>
      </c>
    </row>
    <row r="541" spans="1:20" x14ac:dyDescent="0.25">
      <c r="A541" s="5">
        <v>44052</v>
      </c>
      <c r="B541">
        <v>0.4859</v>
      </c>
      <c r="C541">
        <v>0.50049999999999994</v>
      </c>
      <c r="D541">
        <v>0.46200000000000002</v>
      </c>
      <c r="E541">
        <v>0.4899</v>
      </c>
      <c r="F541">
        <v>1742132.4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0.44935064935065122</v>
      </c>
      <c r="Q541">
        <f t="shared" si="985"/>
        <v>782828.32519480842</v>
      </c>
      <c r="R541">
        <f t="shared" si="986"/>
        <v>-11841326.932883883</v>
      </c>
      <c r="S541">
        <f t="shared" si="987"/>
        <v>-118.41326932883882</v>
      </c>
      <c r="T541">
        <f t="shared" si="988"/>
        <v>-0.11841326932883882</v>
      </c>
    </row>
    <row r="542" spans="1:20" x14ac:dyDescent="0.25">
      <c r="A542" s="5">
        <v>44051</v>
      </c>
      <c r="B542">
        <v>0.44650000000000001</v>
      </c>
      <c r="C542">
        <v>0.4914</v>
      </c>
      <c r="D542">
        <v>0.44469999999999998</v>
      </c>
      <c r="E542">
        <v>0.48430000000000001</v>
      </c>
      <c r="F542">
        <v>1746803.53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0.69593147751606033</v>
      </c>
      <c r="Q542">
        <f t="shared" si="985"/>
        <v>1215655.5615631698</v>
      </c>
      <c r="R542">
        <f t="shared" si="986"/>
        <v>-12624155.258078691</v>
      </c>
      <c r="S542">
        <f t="shared" si="987"/>
        <v>-126.2415525807869</v>
      </c>
      <c r="T542">
        <f t="shared" si="988"/>
        <v>-0.1262415525807869</v>
      </c>
    </row>
    <row r="543" spans="1:20" x14ac:dyDescent="0.25">
      <c r="A543" s="5">
        <v>44050</v>
      </c>
      <c r="B543">
        <v>0.4476</v>
      </c>
      <c r="C543">
        <v>0.45900000000000002</v>
      </c>
      <c r="D543">
        <v>0.42449999999999999</v>
      </c>
      <c r="E543">
        <v>0.44679999999999997</v>
      </c>
      <c r="F543">
        <v>979758.26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0.29275362318840387</v>
      </c>
      <c r="Q543">
        <f t="shared" si="985"/>
        <v>286827.78046376625</v>
      </c>
      <c r="R543">
        <f t="shared" si="986"/>
        <v>-13839810.81964186</v>
      </c>
      <c r="S543">
        <f t="shared" si="987"/>
        <v>-138.3981081964186</v>
      </c>
      <c r="T543">
        <f t="shared" si="988"/>
        <v>-0.1383981081964186</v>
      </c>
    </row>
    <row r="544" spans="1:20" x14ac:dyDescent="0.25">
      <c r="A544" s="5">
        <v>44049</v>
      </c>
      <c r="B544">
        <v>0.43070000000000003</v>
      </c>
      <c r="C544">
        <v>0.45319999999999999</v>
      </c>
      <c r="D544">
        <v>0.4259</v>
      </c>
      <c r="E544">
        <v>0.4476</v>
      </c>
      <c r="F544">
        <v>953454.45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0.58974358974359009</v>
      </c>
      <c r="Q544">
        <f t="shared" si="985"/>
        <v>562293.65000000026</v>
      </c>
      <c r="R544">
        <f t="shared" si="986"/>
        <v>-14126638.600105627</v>
      </c>
      <c r="S544">
        <f t="shared" si="987"/>
        <v>-141.26638600105628</v>
      </c>
      <c r="T544">
        <f t="shared" si="988"/>
        <v>-0.14126638600105629</v>
      </c>
    </row>
    <row r="545" spans="1:20" x14ac:dyDescent="0.25">
      <c r="A545" s="5">
        <v>44048</v>
      </c>
      <c r="B545">
        <v>0.44390000000000002</v>
      </c>
      <c r="C545">
        <v>0.44940000000000002</v>
      </c>
      <c r="D545">
        <v>0.42649999999999999</v>
      </c>
      <c r="E545">
        <v>0.43070000000000003</v>
      </c>
      <c r="F545">
        <v>605422.46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-0.63318777292576145</v>
      </c>
      <c r="Q545">
        <f t="shared" si="985"/>
        <v>-383346.09912663588</v>
      </c>
      <c r="R545">
        <f t="shared" si="986"/>
        <v>-14688932.250105627</v>
      </c>
      <c r="S545">
        <f t="shared" si="987"/>
        <v>-146.88932250105626</v>
      </c>
      <c r="T545">
        <f t="shared" si="988"/>
        <v>-0.14688932250105627</v>
      </c>
    </row>
    <row r="546" spans="1:20" x14ac:dyDescent="0.25">
      <c r="A546" s="5">
        <v>44047</v>
      </c>
      <c r="B546">
        <v>0.42930000000000001</v>
      </c>
      <c r="C546">
        <v>0.45</v>
      </c>
      <c r="D546">
        <v>0.42509999999999998</v>
      </c>
      <c r="E546">
        <v>0.44429999999999997</v>
      </c>
      <c r="F546">
        <v>821526.84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0.54216867469879271</v>
      </c>
      <c r="Q546">
        <f t="shared" si="985"/>
        <v>445406.11807228712</v>
      </c>
      <c r="R546">
        <f t="shared" si="986"/>
        <v>-14305586.150978992</v>
      </c>
      <c r="S546">
        <f t="shared" si="987"/>
        <v>-143.05586150978991</v>
      </c>
      <c r="T546">
        <f t="shared" si="988"/>
        <v>-0.14305586150978991</v>
      </c>
    </row>
    <row r="547" spans="1:20" x14ac:dyDescent="0.25">
      <c r="A547" s="5">
        <v>44046</v>
      </c>
      <c r="B547">
        <v>0.43359999999999999</v>
      </c>
      <c r="C547">
        <v>0.43990000000000001</v>
      </c>
      <c r="D547">
        <v>0.41799999999999998</v>
      </c>
      <c r="E547">
        <v>0.42909999999999998</v>
      </c>
      <c r="F547">
        <v>745123.83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1.3698630136984774E-2</v>
      </c>
      <c r="Q547">
        <f t="shared" si="985"/>
        <v>10207.175753423518</v>
      </c>
      <c r="R547">
        <f t="shared" si="986"/>
        <v>-14750992.269051278</v>
      </c>
      <c r="S547">
        <f t="shared" si="987"/>
        <v>-147.50992269051278</v>
      </c>
      <c r="T547">
        <f t="shared" si="988"/>
        <v>-0.14750992269051277</v>
      </c>
    </row>
    <row r="548" spans="1:20" x14ac:dyDescent="0.25">
      <c r="A548" s="5">
        <v>44045</v>
      </c>
      <c r="B548">
        <v>0.43330000000000002</v>
      </c>
      <c r="C548">
        <v>0.4476</v>
      </c>
      <c r="D548">
        <v>0.39</v>
      </c>
      <c r="E548">
        <v>0.4335</v>
      </c>
      <c r="F548">
        <v>1028820.54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0.51041666666666652</v>
      </c>
      <c r="Q548">
        <f t="shared" si="985"/>
        <v>525127.15062499989</v>
      </c>
      <c r="R548">
        <f t="shared" si="986"/>
        <v>-14761199.444804702</v>
      </c>
      <c r="S548">
        <f t="shared" si="987"/>
        <v>-147.61199444804703</v>
      </c>
      <c r="T548">
        <f t="shared" si="988"/>
        <v>-0.14761199444804704</v>
      </c>
    </row>
    <row r="549" spans="1:20" x14ac:dyDescent="0.25">
      <c r="A549" s="5">
        <v>44044</v>
      </c>
      <c r="B549">
        <v>0.42499999999999999</v>
      </c>
      <c r="C549">
        <v>0.43380000000000002</v>
      </c>
      <c r="D549">
        <v>0.41370000000000001</v>
      </c>
      <c r="E549">
        <v>0.43230000000000002</v>
      </c>
      <c r="F549">
        <v>574172.38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0.85074626865671632</v>
      </c>
      <c r="Q549">
        <f t="shared" si="985"/>
        <v>488475.0098507462</v>
      </c>
      <c r="R549">
        <f t="shared" si="986"/>
        <v>-15286326.595429702</v>
      </c>
      <c r="S549">
        <f t="shared" si="987"/>
        <v>-152.86326595429702</v>
      </c>
      <c r="T549">
        <f t="shared" si="988"/>
        <v>-0.15286326595429703</v>
      </c>
    </row>
    <row r="550" spans="1:20" x14ac:dyDescent="0.25">
      <c r="A550" s="5">
        <v>44043</v>
      </c>
      <c r="B550">
        <v>0.43880000000000002</v>
      </c>
      <c r="C550">
        <v>0.44119999999999998</v>
      </c>
      <c r="D550">
        <v>0.41420000000000001</v>
      </c>
      <c r="E550">
        <v>0.42459999999999998</v>
      </c>
      <c r="F550">
        <v>532191.39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-0.22962962962963135</v>
      </c>
      <c r="Q550">
        <f t="shared" si="985"/>
        <v>-122206.91177777869</v>
      </c>
      <c r="R550">
        <f t="shared" si="986"/>
        <v>-15774801.605280448</v>
      </c>
      <c r="S550">
        <f t="shared" si="987"/>
        <v>-157.74801605280447</v>
      </c>
      <c r="T550">
        <f t="shared" si="988"/>
        <v>-0.15774801605280447</v>
      </c>
    </row>
    <row r="551" spans="1:20" x14ac:dyDescent="0.25">
      <c r="A551" s="5">
        <v>44042</v>
      </c>
      <c r="B551">
        <v>0.43169999999999997</v>
      </c>
      <c r="C551">
        <v>0.4476</v>
      </c>
      <c r="D551">
        <v>0.42</v>
      </c>
      <c r="E551">
        <v>0.43709999999999999</v>
      </c>
      <c r="F551">
        <v>815596.98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0.2391304347826084</v>
      </c>
      <c r="Q551">
        <f t="shared" si="985"/>
        <v>195034.06043478235</v>
      </c>
      <c r="R551">
        <f t="shared" si="986"/>
        <v>-15652594.693502668</v>
      </c>
      <c r="S551">
        <f t="shared" si="987"/>
        <v>-156.5259469350267</v>
      </c>
      <c r="T551">
        <f t="shared" si="988"/>
        <v>-0.15652594693502669</v>
      </c>
    </row>
    <row r="552" spans="1:20" x14ac:dyDescent="0.25">
      <c r="A552" s="5">
        <v>44041</v>
      </c>
      <c r="B552">
        <v>0.44419999999999998</v>
      </c>
      <c r="C552">
        <v>0.44769999999999999</v>
      </c>
      <c r="D552">
        <v>0.42149999999999999</v>
      </c>
      <c r="E552">
        <v>0.42980000000000002</v>
      </c>
      <c r="F552">
        <v>614859.80000000005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-0.36641221374045579</v>
      </c>
      <c r="Q552">
        <f t="shared" si="985"/>
        <v>-225292.14045801392</v>
      </c>
      <c r="R552">
        <f t="shared" si="986"/>
        <v>-15847628.753937451</v>
      </c>
      <c r="S552">
        <f t="shared" si="987"/>
        <v>-158.47628753937451</v>
      </c>
      <c r="T552">
        <f t="shared" si="988"/>
        <v>-0.15847628753937451</v>
      </c>
    </row>
    <row r="553" spans="1:20" x14ac:dyDescent="0.25">
      <c r="A553" s="5">
        <v>44040</v>
      </c>
      <c r="B553">
        <v>0.41249999999999998</v>
      </c>
      <c r="C553">
        <v>0.45</v>
      </c>
      <c r="D553">
        <v>0.40689999999999998</v>
      </c>
      <c r="E553">
        <v>0.44619999999999999</v>
      </c>
      <c r="F553">
        <v>829584.29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0.82366589327146067</v>
      </c>
      <c r="Q553">
        <f t="shared" si="985"/>
        <v>683300.28526682046</v>
      </c>
      <c r="R553">
        <f t="shared" si="986"/>
        <v>-15622336.613479437</v>
      </c>
      <c r="S553">
        <f t="shared" si="987"/>
        <v>-156.22336613479436</v>
      </c>
      <c r="T553">
        <f t="shared" si="988"/>
        <v>-0.15622336613479437</v>
      </c>
    </row>
    <row r="554" spans="1:20" x14ac:dyDescent="0.25">
      <c r="A554" s="5">
        <v>44039</v>
      </c>
      <c r="B554">
        <v>0.46750000000000003</v>
      </c>
      <c r="C554">
        <v>0.46760000000000002</v>
      </c>
      <c r="D554">
        <v>0.39500000000000002</v>
      </c>
      <c r="E554">
        <v>0.41249999999999998</v>
      </c>
      <c r="F554">
        <v>1629676.62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-0.51790633608815539</v>
      </c>
      <c r="Q554">
        <f t="shared" si="985"/>
        <v>-844019.84727272915</v>
      </c>
      <c r="R554">
        <f t="shared" si="986"/>
        <v>-16305636.898746258</v>
      </c>
      <c r="S554">
        <f t="shared" si="987"/>
        <v>-163.05636898746258</v>
      </c>
      <c r="T554">
        <f t="shared" si="988"/>
        <v>-0.16305636898746256</v>
      </c>
    </row>
    <row r="555" spans="1:20" x14ac:dyDescent="0.25">
      <c r="A555" s="5">
        <v>44038</v>
      </c>
      <c r="B555">
        <v>0.47560000000000002</v>
      </c>
      <c r="C555">
        <v>0.49259999999999998</v>
      </c>
      <c r="D555">
        <v>0.4501</v>
      </c>
      <c r="E555">
        <v>0.46750000000000003</v>
      </c>
      <c r="F555">
        <v>830041.16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-0.18117647058823369</v>
      </c>
      <c r="Q555">
        <f t="shared" si="985"/>
        <v>-150383.92781176339</v>
      </c>
      <c r="R555">
        <f t="shared" si="986"/>
        <v>-15461617.051473528</v>
      </c>
      <c r="S555">
        <f t="shared" si="987"/>
        <v>-154.61617051473527</v>
      </c>
      <c r="T555">
        <f t="shared" si="988"/>
        <v>-0.15461617051473528</v>
      </c>
    </row>
    <row r="556" spans="1:20" x14ac:dyDescent="0.25">
      <c r="A556" s="5">
        <v>44037</v>
      </c>
      <c r="B556">
        <v>0.48780000000000001</v>
      </c>
      <c r="C556">
        <v>0.50019999999999998</v>
      </c>
      <c r="D556">
        <v>0.47239999999999999</v>
      </c>
      <c r="E556">
        <v>0.47560000000000002</v>
      </c>
      <c r="F556">
        <v>980752.29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-0.76978417266186783</v>
      </c>
      <c r="Q556">
        <f t="shared" si="985"/>
        <v>-754967.59014388232</v>
      </c>
      <c r="R556">
        <f t="shared" si="986"/>
        <v>-15311233.123661764</v>
      </c>
      <c r="S556">
        <f t="shared" si="987"/>
        <v>-153.11233123661765</v>
      </c>
      <c r="T556">
        <f t="shared" si="988"/>
        <v>-0.15311233123661766</v>
      </c>
    </row>
    <row r="557" spans="1:20" x14ac:dyDescent="0.25">
      <c r="A557" s="5">
        <v>44036</v>
      </c>
      <c r="B557">
        <v>0.51619999999999999</v>
      </c>
      <c r="C557">
        <v>0.51819999999999999</v>
      </c>
      <c r="D557">
        <v>0.4844</v>
      </c>
      <c r="E557">
        <v>0.48780000000000001</v>
      </c>
      <c r="F557">
        <v>1208324.92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-0.79881656804733647</v>
      </c>
      <c r="Q557">
        <f t="shared" si="985"/>
        <v>-965229.96568047232</v>
      </c>
      <c r="R557">
        <f t="shared" si="986"/>
        <v>-14556265.533517882</v>
      </c>
      <c r="S557">
        <f t="shared" si="987"/>
        <v>-145.56265533517882</v>
      </c>
      <c r="T557">
        <f t="shared" si="988"/>
        <v>-0.14556265533517881</v>
      </c>
    </row>
    <row r="558" spans="1:20" x14ac:dyDescent="0.25">
      <c r="A558" s="5">
        <v>44035</v>
      </c>
      <c r="B558">
        <v>0.53559999999999997</v>
      </c>
      <c r="C558">
        <v>0.54600000000000004</v>
      </c>
      <c r="D558">
        <v>0.49</v>
      </c>
      <c r="E558">
        <v>0.51619999999999999</v>
      </c>
      <c r="F558">
        <v>1945797.54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-6.4285714285715084E-2</v>
      </c>
      <c r="Q558">
        <f t="shared" si="985"/>
        <v>-125086.98471428727</v>
      </c>
      <c r="R558">
        <f t="shared" si="986"/>
        <v>-13591035.56783741</v>
      </c>
      <c r="S558">
        <f t="shared" si="987"/>
        <v>-135.91035567837409</v>
      </c>
      <c r="T558">
        <f t="shared" si="988"/>
        <v>-0.13591035567837409</v>
      </c>
    </row>
    <row r="559" spans="1:20" x14ac:dyDescent="0.25">
      <c r="A559" s="5">
        <v>44034</v>
      </c>
      <c r="B559">
        <v>0.47810000000000002</v>
      </c>
      <c r="C559">
        <v>0.54959999999999998</v>
      </c>
      <c r="D559">
        <v>0.47449999999999998</v>
      </c>
      <c r="E559">
        <v>0.53559999999999997</v>
      </c>
      <c r="F559">
        <v>1644958.74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0.62716378162450037</v>
      </c>
      <c r="Q559">
        <f t="shared" si="985"/>
        <v>1031658.5439946733</v>
      </c>
      <c r="R559">
        <f t="shared" si="986"/>
        <v>-13465948.583123123</v>
      </c>
      <c r="S559">
        <f t="shared" si="987"/>
        <v>-134.65948583123122</v>
      </c>
      <c r="T559">
        <f t="shared" si="988"/>
        <v>-0.13465948583123122</v>
      </c>
    </row>
    <row r="560" spans="1:20" x14ac:dyDescent="0.25">
      <c r="A560" s="5">
        <v>44033</v>
      </c>
      <c r="B560">
        <v>0.47899999999999998</v>
      </c>
      <c r="C560">
        <v>0.51600000000000001</v>
      </c>
      <c r="D560">
        <v>0.47249999999999998</v>
      </c>
      <c r="E560">
        <v>0.47810000000000002</v>
      </c>
      <c r="F560">
        <v>1298665.23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-0.74252873563218191</v>
      </c>
      <c r="Q560">
        <f t="shared" si="985"/>
        <v>-964296.25124137674</v>
      </c>
      <c r="R560">
        <f t="shared" si="986"/>
        <v>-14497607.127117796</v>
      </c>
      <c r="S560">
        <f t="shared" si="987"/>
        <v>-144.97607127117797</v>
      </c>
      <c r="T560">
        <f t="shared" si="988"/>
        <v>-0.14497607127117798</v>
      </c>
    </row>
    <row r="561" spans="1:104" x14ac:dyDescent="0.25">
      <c r="A561" s="5">
        <v>44032</v>
      </c>
      <c r="B561">
        <v>0.45019999999999999</v>
      </c>
      <c r="C561">
        <v>0.5151</v>
      </c>
      <c r="D561">
        <v>0.44550000000000001</v>
      </c>
      <c r="E561">
        <v>0.47870000000000001</v>
      </c>
      <c r="F561">
        <v>2025307.7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-4.5977011494252595E-2</v>
      </c>
      <c r="Q561">
        <f t="shared" si="985"/>
        <v>-93117.595402298291</v>
      </c>
      <c r="R561">
        <f t="shared" si="986"/>
        <v>-13533310.875876419</v>
      </c>
      <c r="S561">
        <f t="shared" si="987"/>
        <v>-135.33310875876418</v>
      </c>
      <c r="T561">
        <f t="shared" si="988"/>
        <v>-0.13533310875876417</v>
      </c>
      <c r="CZ561" t="s">
        <v>7</v>
      </c>
    </row>
    <row r="562" spans="1:104" x14ac:dyDescent="0.25">
      <c r="A562" s="5">
        <v>44031</v>
      </c>
      <c r="B562">
        <v>0.46329999999999999</v>
      </c>
      <c r="C562">
        <v>0.46839999999999998</v>
      </c>
      <c r="D562">
        <v>0.44390000000000002</v>
      </c>
      <c r="E562">
        <v>0.45179999999999998</v>
      </c>
      <c r="F562">
        <v>1010618.53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-0.35510204081632868</v>
      </c>
      <c r="Q562">
        <f t="shared" si="985"/>
        <v>-358872.70248979807</v>
      </c>
      <c r="R562">
        <f t="shared" si="986"/>
        <v>-13440193.280474121</v>
      </c>
      <c r="S562">
        <f t="shared" si="987"/>
        <v>-134.40193280474122</v>
      </c>
      <c r="T562">
        <f t="shared" si="988"/>
        <v>-0.13440193280474122</v>
      </c>
      <c r="CZ562" t="s">
        <v>7</v>
      </c>
    </row>
    <row r="563" spans="1:104" x14ac:dyDescent="0.25">
      <c r="A563" s="5">
        <v>44030</v>
      </c>
      <c r="B563">
        <v>0.45450000000000002</v>
      </c>
      <c r="C563">
        <v>0.52500000000000002</v>
      </c>
      <c r="D563">
        <v>0.45400000000000001</v>
      </c>
      <c r="E563">
        <v>0.46439999999999998</v>
      </c>
      <c r="F563">
        <v>3608843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-0.70704225352112782</v>
      </c>
      <c r="Q563">
        <f t="shared" si="985"/>
        <v>-2551604.4873239473</v>
      </c>
      <c r="R563">
        <f t="shared" si="986"/>
        <v>-13081320.577984322</v>
      </c>
      <c r="S563">
        <f t="shared" si="987"/>
        <v>-130.81320577984323</v>
      </c>
      <c r="T563">
        <f t="shared" si="988"/>
        <v>-0.13081320577984323</v>
      </c>
      <c r="CZ563" t="s">
        <v>7</v>
      </c>
    </row>
    <row r="564" spans="1:104" x14ac:dyDescent="0.25">
      <c r="A564" s="5">
        <v>44029</v>
      </c>
      <c r="B564">
        <v>0.42259999999999998</v>
      </c>
      <c r="C564">
        <v>0.49</v>
      </c>
      <c r="D564">
        <v>0.4052</v>
      </c>
      <c r="E564">
        <v>0.4531</v>
      </c>
      <c r="F564">
        <v>1618384.45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0.12971698113207561</v>
      </c>
      <c r="Q564">
        <f t="shared" si="985"/>
        <v>209931.94516509457</v>
      </c>
      <c r="R564">
        <f t="shared" si="986"/>
        <v>-10529716.090660375</v>
      </c>
      <c r="S564">
        <f t="shared" si="987"/>
        <v>-105.29716090660375</v>
      </c>
      <c r="T564">
        <f t="shared" si="988"/>
        <v>-0.10529716090660375</v>
      </c>
    </row>
    <row r="565" spans="1:104" x14ac:dyDescent="0.25">
      <c r="A565" s="5">
        <v>44028</v>
      </c>
      <c r="B565">
        <v>0.41589999999999999</v>
      </c>
      <c r="C565">
        <v>0.42849999999999999</v>
      </c>
      <c r="D565">
        <v>0.38119999999999998</v>
      </c>
      <c r="E565">
        <v>0.4204</v>
      </c>
      <c r="F565">
        <v>1046300.34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0.65750528541226239</v>
      </c>
      <c r="Q565">
        <f t="shared" si="985"/>
        <v>687948.0036786471</v>
      </c>
      <c r="R565">
        <f t="shared" si="986"/>
        <v>-10739648.035825469</v>
      </c>
      <c r="S565">
        <f t="shared" si="987"/>
        <v>-107.39648035825469</v>
      </c>
      <c r="T565">
        <f t="shared" si="988"/>
        <v>-0.10739648035825469</v>
      </c>
    </row>
    <row r="566" spans="1:104" x14ac:dyDescent="0.25">
      <c r="A566" s="5">
        <v>44027</v>
      </c>
      <c r="B566">
        <v>0.4335</v>
      </c>
      <c r="C566">
        <v>0.44140000000000001</v>
      </c>
      <c r="D566">
        <v>0.40589999999999998</v>
      </c>
      <c r="E566">
        <v>0.41610000000000003</v>
      </c>
      <c r="F566">
        <v>780388.37</v>
      </c>
      <c r="G566">
        <v>0</v>
      </c>
      <c r="L566" t="s">
        <v>7</v>
      </c>
      <c r="M566" t="s">
        <v>7</v>
      </c>
      <c r="N566" t="s">
        <v>8</v>
      </c>
      <c r="P566">
        <f t="shared" si="984"/>
        <v>-0.42535211267605444</v>
      </c>
      <c r="Q566">
        <f t="shared" si="985"/>
        <v>-331939.84188732249</v>
      </c>
      <c r="R566">
        <f t="shared" si="986"/>
        <v>-11427596.039504116</v>
      </c>
      <c r="S566">
        <f t="shared" si="987"/>
        <v>-114.27596039504117</v>
      </c>
      <c r="T566">
        <f t="shared" si="988"/>
        <v>-0.11427596039504116</v>
      </c>
    </row>
    <row r="567" spans="1:104" x14ac:dyDescent="0.25">
      <c r="A567" s="5">
        <v>44026</v>
      </c>
      <c r="B567">
        <v>0.43</v>
      </c>
      <c r="C567">
        <v>0.45069999999999999</v>
      </c>
      <c r="D567">
        <v>0.41349999999999998</v>
      </c>
      <c r="E567">
        <v>0.4335</v>
      </c>
      <c r="F567">
        <v>745917.43999999994</v>
      </c>
      <c r="G567">
        <v>0</v>
      </c>
      <c r="L567" t="s">
        <v>8</v>
      </c>
      <c r="M567" t="s">
        <v>7</v>
      </c>
      <c r="N567" t="s">
        <v>8</v>
      </c>
      <c r="P567">
        <f t="shared" si="984"/>
        <v>7.5268817204301716E-2</v>
      </c>
      <c r="Q567">
        <f t="shared" si="985"/>
        <v>56144.323440860688</v>
      </c>
      <c r="R567">
        <f t="shared" si="986"/>
        <v>-11095656.197616793</v>
      </c>
      <c r="S567">
        <f t="shared" si="987"/>
        <v>-110.95656197616793</v>
      </c>
      <c r="T567">
        <f t="shared" si="988"/>
        <v>-0.11095656197616793</v>
      </c>
    </row>
    <row r="568" spans="1:104" x14ac:dyDescent="0.25">
      <c r="A568" s="5">
        <v>44025</v>
      </c>
      <c r="B568">
        <v>0.48370000000000002</v>
      </c>
      <c r="C568">
        <v>0.48409999999999997</v>
      </c>
      <c r="D568">
        <v>0.41510000000000002</v>
      </c>
      <c r="E568">
        <v>0.42680000000000001</v>
      </c>
      <c r="F568">
        <v>1582533.4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-0.66086956521739137</v>
      </c>
      <c r="Q568">
        <f t="shared" si="985"/>
        <v>-1045848.16</v>
      </c>
      <c r="R568">
        <f t="shared" si="986"/>
        <v>-11151800.521057654</v>
      </c>
      <c r="S568">
        <f t="shared" si="987"/>
        <v>-111.51800521057655</v>
      </c>
      <c r="T568">
        <f t="shared" si="988"/>
        <v>-0.11151800521057655</v>
      </c>
    </row>
    <row r="569" spans="1:104" x14ac:dyDescent="0.25">
      <c r="A569" s="5">
        <v>44024</v>
      </c>
      <c r="B569">
        <v>0.4204</v>
      </c>
      <c r="C569">
        <v>0.49220000000000003</v>
      </c>
      <c r="D569">
        <v>0.41499999999999998</v>
      </c>
      <c r="E569">
        <v>0.4839</v>
      </c>
      <c r="F569">
        <v>3885164.77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0.78497409326424805</v>
      </c>
      <c r="Q569">
        <f t="shared" si="985"/>
        <v>3049753.6925129509</v>
      </c>
      <c r="R569">
        <f t="shared" si="986"/>
        <v>-10105952.361057654</v>
      </c>
      <c r="S569">
        <f t="shared" si="987"/>
        <v>-101.05952361057653</v>
      </c>
      <c r="T569">
        <f t="shared" si="988"/>
        <v>-0.10105952361057653</v>
      </c>
    </row>
    <row r="570" spans="1:104" x14ac:dyDescent="0.25">
      <c r="A570" s="5">
        <v>44023</v>
      </c>
      <c r="B570">
        <v>0.3992</v>
      </c>
      <c r="C570">
        <v>0.4249</v>
      </c>
      <c r="D570">
        <v>0.3881</v>
      </c>
      <c r="E570">
        <v>0.42070000000000002</v>
      </c>
      <c r="F570">
        <v>820743.74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0.77173913043478359</v>
      </c>
      <c r="Q570">
        <f t="shared" si="985"/>
        <v>633400.06021739205</v>
      </c>
      <c r="R570">
        <f t="shared" si="986"/>
        <v>-13155706.053570604</v>
      </c>
      <c r="S570">
        <f t="shared" si="987"/>
        <v>-131.55706053570603</v>
      </c>
      <c r="T570">
        <f t="shared" si="988"/>
        <v>-0.13155706053570604</v>
      </c>
    </row>
    <row r="571" spans="1:104" x14ac:dyDescent="0.25">
      <c r="A571" s="5">
        <v>44022</v>
      </c>
      <c r="B571">
        <v>0.41820000000000002</v>
      </c>
      <c r="C571">
        <v>0.41830000000000001</v>
      </c>
      <c r="D571">
        <v>0.38269999999999998</v>
      </c>
      <c r="E571">
        <v>0.3992</v>
      </c>
      <c r="F571">
        <v>1081318.8400000001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-7.3033707865168246E-2</v>
      </c>
      <c r="Q571">
        <f t="shared" si="985"/>
        <v>-78972.724269662605</v>
      </c>
      <c r="R571">
        <f t="shared" si="986"/>
        <v>-13789106.113787996</v>
      </c>
      <c r="S571">
        <f t="shared" si="987"/>
        <v>-137.89106113787994</v>
      </c>
      <c r="T571">
        <f t="shared" si="988"/>
        <v>-0.13789106113787994</v>
      </c>
    </row>
    <row r="572" spans="1:104" x14ac:dyDescent="0.25">
      <c r="A572" s="5">
        <v>44021</v>
      </c>
      <c r="B572">
        <v>0.41560000000000002</v>
      </c>
      <c r="C572">
        <v>0.43659999999999999</v>
      </c>
      <c r="D572">
        <v>0.38100000000000001</v>
      </c>
      <c r="E572">
        <v>0.41830000000000001</v>
      </c>
      <c r="F572">
        <v>1798955.55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0.3417266187050364</v>
      </c>
      <c r="Q572">
        <f t="shared" si="985"/>
        <v>614750.99730215908</v>
      </c>
      <c r="R572">
        <f t="shared" si="986"/>
        <v>-13710133.389518334</v>
      </c>
      <c r="S572">
        <f t="shared" si="987"/>
        <v>-137.10133389518333</v>
      </c>
      <c r="T572">
        <f t="shared" si="988"/>
        <v>-0.13710133389518334</v>
      </c>
    </row>
    <row r="573" spans="1:104" x14ac:dyDescent="0.25">
      <c r="A573" s="5">
        <v>44020</v>
      </c>
      <c r="B573">
        <v>0.38469999999999999</v>
      </c>
      <c r="C573">
        <v>0.42399999999999999</v>
      </c>
      <c r="D573">
        <v>0.37719999999999998</v>
      </c>
      <c r="E573">
        <v>0.4148</v>
      </c>
      <c r="F573">
        <v>1641073.19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0.60683760683760746</v>
      </c>
      <c r="Q573">
        <f t="shared" si="985"/>
        <v>995864.92726495827</v>
      </c>
      <c r="R573">
        <f t="shared" si="986"/>
        <v>-14324884.386820493</v>
      </c>
      <c r="S573">
        <f t="shared" si="987"/>
        <v>-143.24884386820494</v>
      </c>
      <c r="T573">
        <f t="shared" si="988"/>
        <v>-0.14324884386820494</v>
      </c>
    </row>
    <row r="574" spans="1:104" x14ac:dyDescent="0.25">
      <c r="A574" s="5">
        <v>44019</v>
      </c>
      <c r="B574">
        <v>0.36399999999999999</v>
      </c>
      <c r="C574">
        <v>0.38950000000000001</v>
      </c>
      <c r="D574">
        <v>0.35699999999999998</v>
      </c>
      <c r="E574">
        <v>0.38469999999999999</v>
      </c>
      <c r="F574">
        <v>796510.31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0.7046153846153832</v>
      </c>
      <c r="Q574">
        <f t="shared" si="985"/>
        <v>561233.41843076819</v>
      </c>
      <c r="R574">
        <f t="shared" si="986"/>
        <v>-15320749.314085452</v>
      </c>
      <c r="S574">
        <f t="shared" si="987"/>
        <v>-153.20749314085452</v>
      </c>
      <c r="T574">
        <f t="shared" si="988"/>
        <v>-0.15320749314085452</v>
      </c>
    </row>
    <row r="575" spans="1:104" x14ac:dyDescent="0.25">
      <c r="A575" s="5">
        <v>44018</v>
      </c>
      <c r="B575">
        <v>0.35060000000000002</v>
      </c>
      <c r="C575">
        <v>0.36770000000000003</v>
      </c>
      <c r="D575">
        <v>0.34989999999999999</v>
      </c>
      <c r="E575">
        <v>0.36499999999999999</v>
      </c>
      <c r="F575">
        <v>571708.6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0.69662921348314266</v>
      </c>
      <c r="Q575">
        <f t="shared" si="985"/>
        <v>398268.91235954862</v>
      </c>
      <c r="R575">
        <f t="shared" si="986"/>
        <v>-15881982.73251622</v>
      </c>
      <c r="S575">
        <f t="shared" si="987"/>
        <v>-158.81982732516221</v>
      </c>
      <c r="T575">
        <f t="shared" si="988"/>
        <v>-0.1588198273251622</v>
      </c>
    </row>
    <row r="576" spans="1:104" x14ac:dyDescent="0.25">
      <c r="A576" s="5">
        <v>44017</v>
      </c>
      <c r="B576">
        <v>0.35160000000000002</v>
      </c>
      <c r="C576">
        <v>0.35270000000000001</v>
      </c>
      <c r="D576">
        <v>0.33760000000000001</v>
      </c>
      <c r="E576">
        <v>0.3503</v>
      </c>
      <c r="F576">
        <v>312262.17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0.68211920529801151</v>
      </c>
      <c r="Q576">
        <f t="shared" si="985"/>
        <v>213000.02324503256</v>
      </c>
      <c r="R576">
        <f t="shared" si="986"/>
        <v>-16280251.644875769</v>
      </c>
      <c r="S576">
        <f t="shared" si="987"/>
        <v>-162.80251644875767</v>
      </c>
      <c r="T576">
        <f t="shared" si="988"/>
        <v>-0.16280251644875768</v>
      </c>
    </row>
    <row r="577" spans="1:20" x14ac:dyDescent="0.25">
      <c r="A577" s="5">
        <v>44016</v>
      </c>
      <c r="B577">
        <v>0.33250000000000002</v>
      </c>
      <c r="C577">
        <v>0.35299999999999998</v>
      </c>
      <c r="D577">
        <v>0.33250000000000002</v>
      </c>
      <c r="E577">
        <v>0.35099999999999998</v>
      </c>
      <c r="F577">
        <v>503674.95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0.8048780487804873</v>
      </c>
      <c r="Q577">
        <f t="shared" si="985"/>
        <v>405396.9109756095</v>
      </c>
      <c r="R577">
        <f t="shared" si="986"/>
        <v>-16493251.668120801</v>
      </c>
      <c r="S577">
        <f t="shared" si="987"/>
        <v>-164.93251668120803</v>
      </c>
      <c r="T577">
        <f t="shared" si="988"/>
        <v>-0.16493251668120804</v>
      </c>
    </row>
    <row r="578" spans="1:20" x14ac:dyDescent="0.25">
      <c r="A578" s="5">
        <v>44015</v>
      </c>
      <c r="B578">
        <v>0.3291</v>
      </c>
      <c r="C578">
        <v>0.34</v>
      </c>
      <c r="D578">
        <v>0.32779999999999998</v>
      </c>
      <c r="E578">
        <v>0.33250000000000002</v>
      </c>
      <c r="F578">
        <v>365745.06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-0.22950819672130812</v>
      </c>
      <c r="Q578">
        <f t="shared" si="985"/>
        <v>-83941.489180326636</v>
      </c>
      <c r="R578">
        <f t="shared" si="986"/>
        <v>-16898648.57909641</v>
      </c>
      <c r="S578">
        <f t="shared" si="987"/>
        <v>-168.98648579096411</v>
      </c>
      <c r="T578">
        <f t="shared" si="988"/>
        <v>-0.16898648579096412</v>
      </c>
    </row>
    <row r="579" spans="1:20" x14ac:dyDescent="0.25">
      <c r="A579" s="5">
        <v>44014</v>
      </c>
      <c r="B579">
        <v>0.33979999999999999</v>
      </c>
      <c r="C579">
        <v>0.35060000000000002</v>
      </c>
      <c r="D579">
        <v>0.318</v>
      </c>
      <c r="E579">
        <v>0.3296</v>
      </c>
      <c r="F579">
        <v>297580.84999999998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-0.28834355828220903</v>
      </c>
      <c r="Q579">
        <f t="shared" si="985"/>
        <v>-85805.521165644299</v>
      </c>
      <c r="R579">
        <f t="shared" si="986"/>
        <v>-16814707.089916084</v>
      </c>
      <c r="S579">
        <f t="shared" si="987"/>
        <v>-168.14707089916084</v>
      </c>
      <c r="T579">
        <f t="shared" si="988"/>
        <v>-0.16814707089916084</v>
      </c>
    </row>
    <row r="580" spans="1:20" x14ac:dyDescent="0.25">
      <c r="A580" s="5">
        <v>44013</v>
      </c>
      <c r="B580">
        <v>0.33160000000000001</v>
      </c>
      <c r="C580">
        <v>0.34860000000000002</v>
      </c>
      <c r="D580">
        <v>0.32369999999999999</v>
      </c>
      <c r="E580">
        <v>0.33979999999999999</v>
      </c>
      <c r="F580">
        <v>200253.76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0.29317269076305075</v>
      </c>
      <c r="Q580">
        <f t="shared" si="985"/>
        <v>58708.933654618188</v>
      </c>
      <c r="R580">
        <f t="shared" si="986"/>
        <v>-16728901.568750441</v>
      </c>
      <c r="S580">
        <f t="shared" si="987"/>
        <v>-167.28901568750442</v>
      </c>
      <c r="T580">
        <f t="shared" si="988"/>
        <v>-0.16728901568750443</v>
      </c>
    </row>
    <row r="581" spans="1:20" x14ac:dyDescent="0.25">
      <c r="A581" s="5">
        <v>44012</v>
      </c>
      <c r="B581">
        <v>0.3352</v>
      </c>
      <c r="C581">
        <v>0.33729999999999999</v>
      </c>
      <c r="D581">
        <v>0.32300000000000001</v>
      </c>
      <c r="E581">
        <v>0.33239999999999997</v>
      </c>
      <c r="F581">
        <v>135327.4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0.31468531468531152</v>
      </c>
      <c r="Q581">
        <f t="shared" si="985"/>
        <v>42585.545454545027</v>
      </c>
      <c r="R581">
        <f t="shared" si="986"/>
        <v>-16787610.502405059</v>
      </c>
      <c r="S581">
        <f t="shared" si="987"/>
        <v>-167.87610502405059</v>
      </c>
      <c r="T581">
        <f t="shared" si="988"/>
        <v>-0.16787610502405059</v>
      </c>
    </row>
    <row r="582" spans="1:20" x14ac:dyDescent="0.25">
      <c r="A582" s="5">
        <v>44011</v>
      </c>
      <c r="B582">
        <v>0.3327</v>
      </c>
      <c r="C582">
        <v>0.34129999999999999</v>
      </c>
      <c r="D582">
        <v>0.31990000000000002</v>
      </c>
      <c r="E582">
        <v>0.33329999999999999</v>
      </c>
      <c r="F582">
        <v>237199.21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0.25233644859812931</v>
      </c>
      <c r="Q582">
        <f t="shared" ref="Q582:Q645" si="990">F582*P582</f>
        <v>59854.006261681876</v>
      </c>
      <c r="R582">
        <f t="shared" ref="R582:R645" si="991">R583+Q582</f>
        <v>-16830196.047859605</v>
      </c>
      <c r="S582">
        <f t="shared" ref="S582:S645" si="992">R582/100000</f>
        <v>-168.30196047859604</v>
      </c>
      <c r="T582">
        <f t="shared" ref="T582:T645" si="993">S582/1000</f>
        <v>-0.16830196047859605</v>
      </c>
    </row>
    <row r="583" spans="1:20" x14ac:dyDescent="0.25">
      <c r="A583" s="5">
        <v>44010</v>
      </c>
      <c r="B583">
        <v>0.32100000000000001</v>
      </c>
      <c r="C583">
        <v>0.34</v>
      </c>
      <c r="D583">
        <v>0.31569999999999998</v>
      </c>
      <c r="E583">
        <v>0.33279999999999998</v>
      </c>
      <c r="F583">
        <v>211414.6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0.40740740740740522</v>
      </c>
      <c r="Q583">
        <f t="shared" si="990"/>
        <v>86131.87407407361</v>
      </c>
      <c r="R583">
        <f t="shared" si="991"/>
        <v>-16890050.054121286</v>
      </c>
      <c r="S583">
        <f t="shared" si="992"/>
        <v>-168.90050054121286</v>
      </c>
      <c r="T583">
        <f t="shared" si="993"/>
        <v>-0.16890050054121286</v>
      </c>
    </row>
    <row r="584" spans="1:20" x14ac:dyDescent="0.25">
      <c r="A584" s="5">
        <v>44009</v>
      </c>
      <c r="B584">
        <v>0.34449999999999997</v>
      </c>
      <c r="C584">
        <v>0.34699999999999998</v>
      </c>
      <c r="D584">
        <v>0.30220000000000002</v>
      </c>
      <c r="E584">
        <v>0.32329999999999998</v>
      </c>
      <c r="F584">
        <v>451831.7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-5.8035714285715391E-2</v>
      </c>
      <c r="Q584">
        <f t="shared" si="990"/>
        <v>-26222.375446429072</v>
      </c>
      <c r="R584">
        <f t="shared" si="991"/>
        <v>-16976181.928195361</v>
      </c>
      <c r="S584">
        <f t="shared" si="992"/>
        <v>-169.76181928195362</v>
      </c>
      <c r="T584">
        <f t="shared" si="993"/>
        <v>-0.16976181928195361</v>
      </c>
    </row>
    <row r="585" spans="1:20" x14ac:dyDescent="0.25">
      <c r="A585" s="5">
        <v>44008</v>
      </c>
      <c r="B585">
        <v>0.35699999999999998</v>
      </c>
      <c r="C585">
        <v>0.36570000000000003</v>
      </c>
      <c r="D585">
        <v>0.34150000000000003</v>
      </c>
      <c r="E585">
        <v>0.34870000000000001</v>
      </c>
      <c r="F585">
        <v>342755.62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-0.40495867768595173</v>
      </c>
      <c r="Q585">
        <f t="shared" si="990"/>
        <v>-138801.86264462853</v>
      </c>
      <c r="R585">
        <f t="shared" si="991"/>
        <v>-16949959.552748933</v>
      </c>
      <c r="S585">
        <f t="shared" si="992"/>
        <v>-169.49959552748933</v>
      </c>
      <c r="T585">
        <f t="shared" si="993"/>
        <v>-0.16949959552748933</v>
      </c>
    </row>
    <row r="586" spans="1:20" x14ac:dyDescent="0.25">
      <c r="A586" s="5">
        <v>44007</v>
      </c>
      <c r="B586">
        <v>0.372</v>
      </c>
      <c r="C586">
        <v>0.37440000000000001</v>
      </c>
      <c r="D586">
        <v>0.34799999999999998</v>
      </c>
      <c r="E586">
        <v>0.35859999999999997</v>
      </c>
      <c r="F586">
        <v>528312.78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-0.19696969696969815</v>
      </c>
      <c r="Q586">
        <f t="shared" si="990"/>
        <v>-104061.60818181881</v>
      </c>
      <c r="R586">
        <f t="shared" si="991"/>
        <v>-16811157.690104306</v>
      </c>
      <c r="S586">
        <f t="shared" si="992"/>
        <v>-168.11157690104307</v>
      </c>
      <c r="T586">
        <f t="shared" si="993"/>
        <v>-0.16811157690104306</v>
      </c>
    </row>
    <row r="587" spans="1:20" x14ac:dyDescent="0.25">
      <c r="A587" s="5">
        <v>44006</v>
      </c>
      <c r="B587">
        <v>0.37659999999999999</v>
      </c>
      <c r="C587">
        <v>0.41560000000000002</v>
      </c>
      <c r="D587">
        <v>0.36499999999999999</v>
      </c>
      <c r="E587">
        <v>0.37480000000000002</v>
      </c>
      <c r="F587">
        <v>1755741.07</v>
      </c>
      <c r="G587">
        <v>0</v>
      </c>
      <c r="L587" t="s">
        <v>8</v>
      </c>
      <c r="M587" t="s">
        <v>8</v>
      </c>
      <c r="N587" t="s">
        <v>7</v>
      </c>
      <c r="P587">
        <f t="shared" si="989"/>
        <v>-0.61264822134387253</v>
      </c>
      <c r="Q587">
        <f t="shared" si="990"/>
        <v>-1075651.6436758877</v>
      </c>
      <c r="R587">
        <f t="shared" si="991"/>
        <v>-16707096.081922488</v>
      </c>
      <c r="S587">
        <f t="shared" si="992"/>
        <v>-167.07096081922489</v>
      </c>
      <c r="T587">
        <f t="shared" si="993"/>
        <v>-0.1670709608192249</v>
      </c>
    </row>
    <row r="588" spans="1:20" x14ac:dyDescent="0.25">
      <c r="A588" s="5">
        <v>44005</v>
      </c>
      <c r="B588">
        <v>0.37459999999999999</v>
      </c>
      <c r="C588">
        <v>0.379</v>
      </c>
      <c r="D588">
        <v>0.36399999999999999</v>
      </c>
      <c r="E588">
        <v>0.37690000000000001</v>
      </c>
      <c r="F588">
        <v>369673.37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0.72000000000000153</v>
      </c>
      <c r="Q588">
        <f t="shared" si="990"/>
        <v>266164.82640000054</v>
      </c>
      <c r="R588">
        <f t="shared" si="991"/>
        <v>-15631444.4382466</v>
      </c>
      <c r="S588">
        <f t="shared" si="992"/>
        <v>-156.31444438246601</v>
      </c>
      <c r="T588">
        <f t="shared" si="993"/>
        <v>-0.156314444382466</v>
      </c>
    </row>
    <row r="589" spans="1:20" x14ac:dyDescent="0.25">
      <c r="A589" s="5">
        <v>44004</v>
      </c>
      <c r="B589">
        <v>0.35899999999999999</v>
      </c>
      <c r="C589">
        <v>0.375</v>
      </c>
      <c r="D589">
        <v>0.35849999999999999</v>
      </c>
      <c r="E589">
        <v>0.37459999999999999</v>
      </c>
      <c r="F589">
        <v>410233.44</v>
      </c>
      <c r="G589">
        <v>0</v>
      </c>
      <c r="L589" t="s">
        <v>7</v>
      </c>
      <c r="M589" t="s">
        <v>8</v>
      </c>
      <c r="N589" t="s">
        <v>7</v>
      </c>
      <c r="P589">
        <f t="shared" si="989"/>
        <v>0.9515151515151502</v>
      </c>
      <c r="Q589">
        <f t="shared" si="990"/>
        <v>390343.3338181813</v>
      </c>
      <c r="R589">
        <f t="shared" si="991"/>
        <v>-15897609.264646601</v>
      </c>
      <c r="S589">
        <f t="shared" si="992"/>
        <v>-158.97609264646601</v>
      </c>
      <c r="T589">
        <f t="shared" si="993"/>
        <v>-0.15897609264646601</v>
      </c>
    </row>
    <row r="590" spans="1:20" x14ac:dyDescent="0.25">
      <c r="A590" s="5">
        <v>44003</v>
      </c>
      <c r="B590">
        <v>0.36199999999999999</v>
      </c>
      <c r="C590">
        <v>0.36919999999999997</v>
      </c>
      <c r="D590">
        <v>0.35720000000000002</v>
      </c>
      <c r="E590">
        <v>0.35899999999999999</v>
      </c>
      <c r="F590">
        <v>239765.91</v>
      </c>
      <c r="G590">
        <v>0</v>
      </c>
      <c r="L590" t="s">
        <v>7</v>
      </c>
      <c r="M590" t="s">
        <v>8</v>
      </c>
      <c r="N590" t="s">
        <v>7</v>
      </c>
      <c r="P590">
        <f t="shared" si="989"/>
        <v>-0.70000000000000417</v>
      </c>
      <c r="Q590">
        <f t="shared" si="990"/>
        <v>-167836.13700000101</v>
      </c>
      <c r="R590">
        <f t="shared" si="991"/>
        <v>-16287952.598464781</v>
      </c>
      <c r="S590">
        <f t="shared" si="992"/>
        <v>-162.87952598464781</v>
      </c>
      <c r="T590">
        <f t="shared" si="993"/>
        <v>-0.1628795259846478</v>
      </c>
    </row>
    <row r="591" spans="1:20" x14ac:dyDescent="0.25">
      <c r="A591" s="5">
        <v>44002</v>
      </c>
      <c r="B591">
        <v>0.37159999999999999</v>
      </c>
      <c r="C591">
        <v>0.37240000000000001</v>
      </c>
      <c r="D591">
        <v>0.35560000000000003</v>
      </c>
      <c r="E591">
        <v>0.36220000000000002</v>
      </c>
      <c r="F591">
        <v>304321.28999999998</v>
      </c>
      <c r="G591">
        <v>0</v>
      </c>
      <c r="L591" t="s">
        <v>7</v>
      </c>
      <c r="M591" t="s">
        <v>8</v>
      </c>
      <c r="N591" t="s">
        <v>7</v>
      </c>
      <c r="P591">
        <f t="shared" si="989"/>
        <v>-0.21428571428571405</v>
      </c>
      <c r="Q591">
        <f t="shared" si="990"/>
        <v>-65211.704999999922</v>
      </c>
      <c r="R591">
        <f t="shared" si="991"/>
        <v>-16120116.461464781</v>
      </c>
      <c r="S591">
        <f t="shared" si="992"/>
        <v>-161.20116461464781</v>
      </c>
      <c r="T591">
        <f t="shared" si="993"/>
        <v>-0.16120116461464781</v>
      </c>
    </row>
    <row r="592" spans="1:20" x14ac:dyDescent="0.25">
      <c r="A592" s="5">
        <v>44001</v>
      </c>
      <c r="B592">
        <v>0.35649999999999998</v>
      </c>
      <c r="C592">
        <v>0.37490000000000001</v>
      </c>
      <c r="D592">
        <v>0.35220000000000001</v>
      </c>
      <c r="E592">
        <v>0.371</v>
      </c>
      <c r="F592">
        <v>614123.92000000004</v>
      </c>
      <c r="G592">
        <v>0</v>
      </c>
      <c r="L592" t="s">
        <v>7</v>
      </c>
      <c r="M592" t="s">
        <v>8</v>
      </c>
      <c r="N592" t="s">
        <v>7</v>
      </c>
      <c r="P592">
        <f t="shared" si="989"/>
        <v>0.65638766519823655</v>
      </c>
      <c r="Q592">
        <f t="shared" si="990"/>
        <v>403103.36599118862</v>
      </c>
      <c r="R592">
        <f t="shared" si="991"/>
        <v>-16054904.756464781</v>
      </c>
      <c r="S592">
        <f t="shared" si="992"/>
        <v>-160.54904756464782</v>
      </c>
      <c r="T592">
        <f t="shared" si="993"/>
        <v>-0.16054904756464783</v>
      </c>
    </row>
    <row r="593" spans="1:20" x14ac:dyDescent="0.25">
      <c r="A593" s="5">
        <v>44000</v>
      </c>
      <c r="B593">
        <v>0.35870000000000002</v>
      </c>
      <c r="C593">
        <v>0.38369999999999999</v>
      </c>
      <c r="D593">
        <v>0.35110000000000002</v>
      </c>
      <c r="E593">
        <v>0.35880000000000001</v>
      </c>
      <c r="F593">
        <v>987402.13</v>
      </c>
      <c r="G593">
        <v>0</v>
      </c>
      <c r="L593" t="s">
        <v>8</v>
      </c>
      <c r="M593" t="s">
        <v>8</v>
      </c>
      <c r="N593" t="s">
        <v>7</v>
      </c>
      <c r="P593">
        <f t="shared" si="989"/>
        <v>-0.52760736196319058</v>
      </c>
      <c r="Q593">
        <f t="shared" si="990"/>
        <v>-520960.63300613535</v>
      </c>
      <c r="R593">
        <f t="shared" si="991"/>
        <v>-16458008.122455969</v>
      </c>
      <c r="S593">
        <f t="shared" si="992"/>
        <v>-164.58008122455971</v>
      </c>
      <c r="T593">
        <f t="shared" si="993"/>
        <v>-0.16458008122455969</v>
      </c>
    </row>
    <row r="594" spans="1:20" x14ac:dyDescent="0.25">
      <c r="A594" s="5">
        <v>43999</v>
      </c>
      <c r="B594">
        <v>0.37280000000000002</v>
      </c>
      <c r="C594">
        <v>0.37390000000000001</v>
      </c>
      <c r="D594">
        <v>0.34799999999999998</v>
      </c>
      <c r="E594">
        <v>0.3584</v>
      </c>
      <c r="F594">
        <v>428543.65</v>
      </c>
      <c r="G594">
        <v>0</v>
      </c>
      <c r="L594" t="s">
        <v>7</v>
      </c>
      <c r="M594" t="s">
        <v>8</v>
      </c>
      <c r="N594" t="s">
        <v>7</v>
      </c>
      <c r="P594">
        <f t="shared" si="989"/>
        <v>-0.19691119691119641</v>
      </c>
      <c r="Q594">
        <f t="shared" si="990"/>
        <v>-84385.043050192835</v>
      </c>
      <c r="R594">
        <f t="shared" si="991"/>
        <v>-15937047.489449834</v>
      </c>
      <c r="S594">
        <f t="shared" si="992"/>
        <v>-159.37047489449836</v>
      </c>
      <c r="T594">
        <f t="shared" si="993"/>
        <v>-0.15937047489449835</v>
      </c>
    </row>
    <row r="595" spans="1:20" x14ac:dyDescent="0.25">
      <c r="A595" s="5">
        <v>43998</v>
      </c>
      <c r="B595">
        <v>0.35630000000000001</v>
      </c>
      <c r="C595">
        <v>0.37990000000000002</v>
      </c>
      <c r="D595">
        <v>0.35010000000000002</v>
      </c>
      <c r="E595">
        <v>0.37180000000000002</v>
      </c>
      <c r="F595">
        <v>1102251.29</v>
      </c>
      <c r="G595">
        <v>0</v>
      </c>
      <c r="L595" t="s">
        <v>8</v>
      </c>
      <c r="M595" t="s">
        <v>8</v>
      </c>
      <c r="N595" t="s">
        <v>7</v>
      </c>
      <c r="P595">
        <f t="shared" si="989"/>
        <v>0.45637583892617462</v>
      </c>
      <c r="Q595">
        <f t="shared" si="990"/>
        <v>503040.85718120821</v>
      </c>
      <c r="R595">
        <f t="shared" si="991"/>
        <v>-15852662.446399642</v>
      </c>
      <c r="S595">
        <f t="shared" si="992"/>
        <v>-158.52662446399643</v>
      </c>
      <c r="T595">
        <f t="shared" si="993"/>
        <v>-0.15852662446399643</v>
      </c>
    </row>
    <row r="596" spans="1:20" x14ac:dyDescent="0.25">
      <c r="A596" s="5">
        <v>43997</v>
      </c>
      <c r="B596">
        <v>0.35389999999999999</v>
      </c>
      <c r="C596">
        <v>0.36</v>
      </c>
      <c r="D596">
        <v>0.318</v>
      </c>
      <c r="E596">
        <v>0.35680000000000001</v>
      </c>
      <c r="F596">
        <v>979129.97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0.84761904761904849</v>
      </c>
      <c r="Q596">
        <f t="shared" si="990"/>
        <v>829929.21266666753</v>
      </c>
      <c r="R596">
        <f t="shared" si="991"/>
        <v>-16355703.30358085</v>
      </c>
      <c r="S596">
        <f t="shared" si="992"/>
        <v>-163.5570330358085</v>
      </c>
      <c r="T596">
        <f t="shared" si="993"/>
        <v>-0.16355703303580851</v>
      </c>
    </row>
    <row r="597" spans="1:20" x14ac:dyDescent="0.25">
      <c r="A597" s="5">
        <v>43996</v>
      </c>
      <c r="B597">
        <v>0.3856</v>
      </c>
      <c r="C597">
        <v>0.3876</v>
      </c>
      <c r="D597">
        <v>0.35110000000000002</v>
      </c>
      <c r="E597">
        <v>0.35520000000000002</v>
      </c>
      <c r="F597">
        <v>359855.9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-0.77534246575342491</v>
      </c>
      <c r="Q597">
        <f t="shared" si="990"/>
        <v>-279011.5608219179</v>
      </c>
      <c r="R597">
        <f t="shared" si="991"/>
        <v>-17185632.516247518</v>
      </c>
      <c r="S597">
        <f t="shared" si="992"/>
        <v>-171.85632516247517</v>
      </c>
      <c r="T597">
        <f t="shared" si="993"/>
        <v>-0.17185632516247518</v>
      </c>
    </row>
    <row r="598" spans="1:20" x14ac:dyDescent="0.25">
      <c r="A598" s="5">
        <v>43995</v>
      </c>
      <c r="B598">
        <v>0.38350000000000001</v>
      </c>
      <c r="C598">
        <v>0.39500000000000002</v>
      </c>
      <c r="D598">
        <v>0.37380000000000002</v>
      </c>
      <c r="E598">
        <v>0.38450000000000001</v>
      </c>
      <c r="F598">
        <v>391863.86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9.4339622641499057E-3</v>
      </c>
      <c r="Q598">
        <f t="shared" si="990"/>
        <v>3696.8288679241214</v>
      </c>
      <c r="R598">
        <f t="shared" si="991"/>
        <v>-16906620.955425601</v>
      </c>
      <c r="S598">
        <f t="shared" si="992"/>
        <v>-169.06620955425601</v>
      </c>
      <c r="T598">
        <f t="shared" si="993"/>
        <v>-0.169066209554256</v>
      </c>
    </row>
    <row r="599" spans="1:20" x14ac:dyDescent="0.25">
      <c r="A599" s="5">
        <v>43994</v>
      </c>
      <c r="B599">
        <v>0.36620000000000003</v>
      </c>
      <c r="C599">
        <v>0.41060000000000002</v>
      </c>
      <c r="D599">
        <v>0.36080000000000001</v>
      </c>
      <c r="E599">
        <v>0.38350000000000001</v>
      </c>
      <c r="F599">
        <v>601623.21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-8.8353413654618754E-2</v>
      </c>
      <c r="Q599">
        <f t="shared" si="990"/>
        <v>-53155.464337349564</v>
      </c>
      <c r="R599">
        <f t="shared" si="991"/>
        <v>-16910317.784293525</v>
      </c>
      <c r="S599">
        <f t="shared" si="992"/>
        <v>-169.10317784293525</v>
      </c>
      <c r="T599">
        <f t="shared" si="993"/>
        <v>-0.16910317784293524</v>
      </c>
    </row>
    <row r="600" spans="1:20" x14ac:dyDescent="0.25">
      <c r="A600" s="5">
        <v>43993</v>
      </c>
      <c r="B600">
        <v>0.41199999999999998</v>
      </c>
      <c r="C600">
        <v>0.44890000000000002</v>
      </c>
      <c r="D600">
        <v>0.35360000000000003</v>
      </c>
      <c r="E600">
        <v>0.36870000000000003</v>
      </c>
      <c r="F600">
        <v>1804066.27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-0.68310598111227694</v>
      </c>
      <c r="Q600">
        <f t="shared" si="990"/>
        <v>-1232368.4593599159</v>
      </c>
      <c r="R600">
        <f t="shared" si="991"/>
        <v>-16857162.319956176</v>
      </c>
      <c r="S600">
        <f t="shared" si="992"/>
        <v>-168.57162319956177</v>
      </c>
      <c r="T600">
        <f t="shared" si="993"/>
        <v>-0.16857162319956176</v>
      </c>
    </row>
    <row r="601" spans="1:20" x14ac:dyDescent="0.25">
      <c r="A601" s="5">
        <v>43992</v>
      </c>
      <c r="B601">
        <v>0.39860000000000001</v>
      </c>
      <c r="C601">
        <v>0.42599999999999999</v>
      </c>
      <c r="D601">
        <v>0.38969999999999999</v>
      </c>
      <c r="E601">
        <v>0.41</v>
      </c>
      <c r="F601">
        <v>765686.46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0.11845730027548128</v>
      </c>
      <c r="Q601">
        <f t="shared" si="990"/>
        <v>90701.150909090284</v>
      </c>
      <c r="R601">
        <f t="shared" si="991"/>
        <v>-15624793.860596262</v>
      </c>
      <c r="S601">
        <f t="shared" si="992"/>
        <v>-156.24793860596262</v>
      </c>
      <c r="T601">
        <f t="shared" si="993"/>
        <v>-0.15624793860596262</v>
      </c>
    </row>
    <row r="602" spans="1:20" x14ac:dyDescent="0.25">
      <c r="A602" s="5">
        <v>43991</v>
      </c>
      <c r="B602">
        <v>0.40339999999999998</v>
      </c>
      <c r="C602">
        <v>0.4148</v>
      </c>
      <c r="D602">
        <v>0.38779999999999998</v>
      </c>
      <c r="E602">
        <v>0.3972</v>
      </c>
      <c r="F602">
        <v>796844.3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-0.30370370370370287</v>
      </c>
      <c r="Q602">
        <f t="shared" si="990"/>
        <v>-242004.56518518453</v>
      </c>
      <c r="R602">
        <f t="shared" si="991"/>
        <v>-15715495.011505352</v>
      </c>
      <c r="S602">
        <f t="shared" si="992"/>
        <v>-157.15495011505351</v>
      </c>
      <c r="T602">
        <f t="shared" si="993"/>
        <v>-0.15715495011505351</v>
      </c>
    </row>
    <row r="603" spans="1:20" x14ac:dyDescent="0.25">
      <c r="A603" s="5">
        <v>43990</v>
      </c>
      <c r="B603">
        <v>0.36749999999999999</v>
      </c>
      <c r="C603">
        <v>0.41870000000000002</v>
      </c>
      <c r="D603">
        <v>0.36649999999999999</v>
      </c>
      <c r="E603">
        <v>0.40079999999999999</v>
      </c>
      <c r="F603">
        <v>1210241.8899999999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0.31417624521072723</v>
      </c>
      <c r="Q603">
        <f t="shared" si="990"/>
        <v>380229.25279693393</v>
      </c>
      <c r="R603">
        <f t="shared" si="991"/>
        <v>-15473490.446320169</v>
      </c>
      <c r="S603">
        <f t="shared" si="992"/>
        <v>-154.73490446320167</v>
      </c>
      <c r="T603">
        <f t="shared" si="993"/>
        <v>-0.15473490446320168</v>
      </c>
    </row>
    <row r="604" spans="1:20" x14ac:dyDescent="0.25">
      <c r="A604" s="5">
        <v>43989</v>
      </c>
      <c r="B604">
        <v>0.3881</v>
      </c>
      <c r="C604">
        <v>0.42</v>
      </c>
      <c r="D604">
        <v>0.35399999999999998</v>
      </c>
      <c r="E604">
        <v>0.36749999999999999</v>
      </c>
      <c r="F604">
        <v>981277.64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-0.59090909090909061</v>
      </c>
      <c r="Q604">
        <f t="shared" si="990"/>
        <v>-579845.87818181794</v>
      </c>
      <c r="R604">
        <f t="shared" si="991"/>
        <v>-15853719.699117102</v>
      </c>
      <c r="S604">
        <f t="shared" si="992"/>
        <v>-158.53719699117102</v>
      </c>
      <c r="T604">
        <f t="shared" si="993"/>
        <v>-0.15853719699117103</v>
      </c>
    </row>
    <row r="605" spans="1:20" x14ac:dyDescent="0.25">
      <c r="A605" s="5">
        <v>43988</v>
      </c>
      <c r="B605">
        <v>0.35639999999999999</v>
      </c>
      <c r="C605">
        <v>0.39119999999999999</v>
      </c>
      <c r="D605">
        <v>0.35</v>
      </c>
      <c r="E605">
        <v>0.3881</v>
      </c>
      <c r="F605">
        <v>1221698.57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0.84951456310679663</v>
      </c>
      <c r="Q605">
        <f t="shared" si="990"/>
        <v>1037850.7269417483</v>
      </c>
      <c r="R605">
        <f t="shared" si="991"/>
        <v>-15273873.820935283</v>
      </c>
      <c r="S605">
        <f t="shared" si="992"/>
        <v>-152.73873820935282</v>
      </c>
      <c r="T605">
        <f t="shared" si="993"/>
        <v>-0.15273873820935283</v>
      </c>
    </row>
    <row r="606" spans="1:20" x14ac:dyDescent="0.25">
      <c r="A606" s="5">
        <v>43987</v>
      </c>
      <c r="B606">
        <v>0.3402</v>
      </c>
      <c r="C606">
        <v>0.36309999999999998</v>
      </c>
      <c r="D606">
        <v>0.33639999999999998</v>
      </c>
      <c r="E606">
        <v>0.3589</v>
      </c>
      <c r="F606">
        <v>456772.55</v>
      </c>
      <c r="G606">
        <v>0</v>
      </c>
      <c r="L606" t="s">
        <v>8</v>
      </c>
      <c r="M606" t="s">
        <v>8</v>
      </c>
      <c r="N606" t="s">
        <v>7</v>
      </c>
      <c r="P606">
        <f t="shared" si="989"/>
        <v>0.68539325842696774</v>
      </c>
      <c r="Q606">
        <f t="shared" si="990"/>
        <v>313068.82640449505</v>
      </c>
      <c r="R606">
        <f t="shared" si="991"/>
        <v>-16311724.54787703</v>
      </c>
      <c r="S606">
        <f t="shared" si="992"/>
        <v>-163.11724547877031</v>
      </c>
      <c r="T606">
        <f t="shared" si="993"/>
        <v>-0.16311724547877032</v>
      </c>
    </row>
    <row r="607" spans="1:20" x14ac:dyDescent="0.25">
      <c r="A607" s="5">
        <v>43986</v>
      </c>
      <c r="B607">
        <v>0.34560000000000002</v>
      </c>
      <c r="C607">
        <v>0.35049999999999998</v>
      </c>
      <c r="D607">
        <v>0.33200000000000002</v>
      </c>
      <c r="E607">
        <v>0.34029999999999999</v>
      </c>
      <c r="F607">
        <v>491082.23</v>
      </c>
      <c r="G607">
        <v>0</v>
      </c>
      <c r="L607" t="s">
        <v>8</v>
      </c>
      <c r="M607" t="s">
        <v>8</v>
      </c>
      <c r="N607" t="s">
        <v>7</v>
      </c>
      <c r="P607">
        <f t="shared" si="989"/>
        <v>-0.10270270270270361</v>
      </c>
      <c r="Q607">
        <f t="shared" si="990"/>
        <v>-50435.472270270715</v>
      </c>
      <c r="R607">
        <f t="shared" si="991"/>
        <v>-16624793.374281526</v>
      </c>
      <c r="S607">
        <f t="shared" si="992"/>
        <v>-166.24793374281526</v>
      </c>
      <c r="T607">
        <f t="shared" si="993"/>
        <v>-0.16624793374281527</v>
      </c>
    </row>
    <row r="608" spans="1:20" x14ac:dyDescent="0.25">
      <c r="A608" s="5">
        <v>43985</v>
      </c>
      <c r="B608">
        <v>0.34310000000000002</v>
      </c>
      <c r="C608">
        <v>0.35289999999999999</v>
      </c>
      <c r="D608">
        <v>0.33500000000000002</v>
      </c>
      <c r="E608">
        <v>0.34520000000000001</v>
      </c>
      <c r="F608">
        <v>433372.17</v>
      </c>
      <c r="G608">
        <v>0</v>
      </c>
      <c r="L608" t="s">
        <v>8</v>
      </c>
      <c r="M608" t="s">
        <v>8</v>
      </c>
      <c r="N608" t="s">
        <v>7</v>
      </c>
      <c r="P608">
        <f t="shared" si="989"/>
        <v>0.1396648044692741</v>
      </c>
      <c r="Q608">
        <f t="shared" si="990"/>
        <v>60526.83938547501</v>
      </c>
      <c r="R608">
        <f t="shared" si="991"/>
        <v>-16574357.902011255</v>
      </c>
      <c r="S608">
        <f t="shared" si="992"/>
        <v>-165.74357902011255</v>
      </c>
      <c r="T608">
        <f t="shared" si="993"/>
        <v>-0.16574357902011255</v>
      </c>
    </row>
    <row r="609" spans="1:20" x14ac:dyDescent="0.25">
      <c r="A609" s="5">
        <v>43984</v>
      </c>
      <c r="B609">
        <v>0.3478</v>
      </c>
      <c r="C609">
        <v>0.35820000000000002</v>
      </c>
      <c r="D609">
        <v>0.27510000000000001</v>
      </c>
      <c r="E609">
        <v>0.3427</v>
      </c>
      <c r="F609">
        <v>1180767.83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0.62695547533092633</v>
      </c>
      <c r="Q609">
        <f t="shared" si="990"/>
        <v>740288.85611311649</v>
      </c>
      <c r="R609">
        <f t="shared" si="991"/>
        <v>-16634884.741396729</v>
      </c>
      <c r="S609">
        <f t="shared" si="992"/>
        <v>-166.34884741396729</v>
      </c>
      <c r="T609">
        <f t="shared" si="993"/>
        <v>-0.1663488474139673</v>
      </c>
    </row>
    <row r="610" spans="1:20" x14ac:dyDescent="0.25">
      <c r="A610" s="5">
        <v>43983</v>
      </c>
      <c r="B610">
        <v>0.34720000000000001</v>
      </c>
      <c r="C610">
        <v>0.36070000000000002</v>
      </c>
      <c r="D610">
        <v>0.34399999999999997</v>
      </c>
      <c r="E610">
        <v>0.34560000000000002</v>
      </c>
      <c r="F610">
        <v>498642.33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-0.80838323353292918</v>
      </c>
      <c r="Q610">
        <f t="shared" si="990"/>
        <v>-403094.09910179395</v>
      </c>
      <c r="R610">
        <f t="shared" si="991"/>
        <v>-17375173.597509846</v>
      </c>
      <c r="S610">
        <f t="shared" si="992"/>
        <v>-173.75173597509846</v>
      </c>
      <c r="T610">
        <f t="shared" si="993"/>
        <v>-0.17375173597509846</v>
      </c>
    </row>
    <row r="611" spans="1:20" x14ac:dyDescent="0.25">
      <c r="A611" s="5">
        <v>43982</v>
      </c>
      <c r="B611">
        <v>0.36009999999999998</v>
      </c>
      <c r="C611">
        <v>0.37890000000000001</v>
      </c>
      <c r="D611">
        <v>0.33339999999999997</v>
      </c>
      <c r="E611">
        <v>0.3488</v>
      </c>
      <c r="F611">
        <v>680338.55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-0.3230769230769226</v>
      </c>
      <c r="Q611">
        <f t="shared" si="990"/>
        <v>-219801.68538461506</v>
      </c>
      <c r="R611">
        <f t="shared" si="991"/>
        <v>-16972079.498408053</v>
      </c>
      <c r="S611">
        <f t="shared" si="992"/>
        <v>-169.72079498408053</v>
      </c>
      <c r="T611">
        <f t="shared" si="993"/>
        <v>-0.16972079498408052</v>
      </c>
    </row>
    <row r="612" spans="1:20" x14ac:dyDescent="0.25">
      <c r="A612" s="5">
        <v>43981</v>
      </c>
      <c r="B612">
        <v>0.35859999999999997</v>
      </c>
      <c r="C612">
        <v>0.3659</v>
      </c>
      <c r="D612">
        <v>0.3473</v>
      </c>
      <c r="E612">
        <v>0.36009999999999998</v>
      </c>
      <c r="F612">
        <v>728668.58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0.3763440860215026</v>
      </c>
      <c r="Q612">
        <f t="shared" si="990"/>
        <v>274230.11075268616</v>
      </c>
      <c r="R612">
        <f t="shared" si="991"/>
        <v>-16752277.813023437</v>
      </c>
      <c r="S612">
        <f t="shared" si="992"/>
        <v>-167.52277813023437</v>
      </c>
      <c r="T612">
        <f t="shared" si="993"/>
        <v>-0.16752277813023436</v>
      </c>
    </row>
    <row r="613" spans="1:20" x14ac:dyDescent="0.25">
      <c r="A613" s="5">
        <v>43980</v>
      </c>
      <c r="B613">
        <v>0.3478</v>
      </c>
      <c r="C613">
        <v>0.37959999999999999</v>
      </c>
      <c r="D613">
        <v>0.3417</v>
      </c>
      <c r="E613">
        <v>0.36059999999999998</v>
      </c>
      <c r="F613">
        <v>1300199.8799999999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-2.638522427441808E-3</v>
      </c>
      <c r="Q613">
        <f t="shared" si="990"/>
        <v>-3430.606543537147</v>
      </c>
      <c r="R613">
        <f t="shared" si="991"/>
        <v>-17026507.923776124</v>
      </c>
      <c r="S613">
        <f t="shared" si="992"/>
        <v>-170.26507923776123</v>
      </c>
      <c r="T613">
        <f t="shared" si="993"/>
        <v>-0.17026507923776124</v>
      </c>
    </row>
    <row r="614" spans="1:20" x14ac:dyDescent="0.25">
      <c r="A614" s="5">
        <v>43979</v>
      </c>
      <c r="B614">
        <v>0.34799999999999998</v>
      </c>
      <c r="C614">
        <v>0.35499999999999998</v>
      </c>
      <c r="D614">
        <v>0.32840000000000003</v>
      </c>
      <c r="E614">
        <v>0.3488</v>
      </c>
      <c r="F614">
        <v>535244.02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0.53383458646616588</v>
      </c>
      <c r="Q614">
        <f t="shared" si="990"/>
        <v>285731.77007518825</v>
      </c>
      <c r="R614">
        <f t="shared" si="991"/>
        <v>-17023077.317232586</v>
      </c>
      <c r="S614">
        <f t="shared" si="992"/>
        <v>-170.23077317232585</v>
      </c>
      <c r="T614">
        <f t="shared" si="993"/>
        <v>-0.17023077317232585</v>
      </c>
    </row>
    <row r="615" spans="1:20" x14ac:dyDescent="0.25">
      <c r="A615" s="5">
        <v>43978</v>
      </c>
      <c r="B615">
        <v>0.35649999999999998</v>
      </c>
      <c r="C615">
        <v>0.36509999999999998</v>
      </c>
      <c r="D615">
        <v>0.32490000000000002</v>
      </c>
      <c r="E615">
        <v>0.34710000000000002</v>
      </c>
      <c r="F615">
        <v>1241243.71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0.10447761194029954</v>
      </c>
      <c r="Q615">
        <f t="shared" si="990"/>
        <v>129682.1786567177</v>
      </c>
      <c r="R615">
        <f t="shared" si="991"/>
        <v>-17308809.087307774</v>
      </c>
      <c r="S615">
        <f t="shared" si="992"/>
        <v>-173.08809087307773</v>
      </c>
      <c r="T615">
        <f t="shared" si="993"/>
        <v>-0.17308809087307772</v>
      </c>
    </row>
    <row r="616" spans="1:20" x14ac:dyDescent="0.25">
      <c r="A616" s="5">
        <v>43977</v>
      </c>
      <c r="B616">
        <v>0.33260000000000001</v>
      </c>
      <c r="C616">
        <v>0.39839999999999998</v>
      </c>
      <c r="D616">
        <v>0.3286</v>
      </c>
      <c r="E616">
        <v>0.35649999999999998</v>
      </c>
      <c r="F616">
        <v>2961651.44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-0.20057306590257906</v>
      </c>
      <c r="Q616">
        <f t="shared" si="990"/>
        <v>-594027.50945558818</v>
      </c>
      <c r="R616">
        <f t="shared" si="991"/>
        <v>-17438491.265964489</v>
      </c>
      <c r="S616">
        <f t="shared" si="992"/>
        <v>-174.3849126596449</v>
      </c>
      <c r="T616">
        <f t="shared" si="993"/>
        <v>-0.1743849126596449</v>
      </c>
    </row>
    <row r="617" spans="1:20" x14ac:dyDescent="0.25">
      <c r="A617" s="5">
        <v>43976</v>
      </c>
      <c r="B617">
        <v>0.29249999999999998</v>
      </c>
      <c r="C617">
        <v>0.33260000000000001</v>
      </c>
      <c r="D617">
        <v>0.29010000000000002</v>
      </c>
      <c r="E617">
        <v>0.33169999999999999</v>
      </c>
      <c r="F617">
        <v>949085.91</v>
      </c>
      <c r="G617">
        <v>0</v>
      </c>
      <c r="L617" t="s">
        <v>8</v>
      </c>
      <c r="M617" t="s">
        <v>7</v>
      </c>
      <c r="N617" t="s">
        <v>7</v>
      </c>
      <c r="P617">
        <f t="shared" si="989"/>
        <v>0.95764705882352885</v>
      </c>
      <c r="Q617">
        <f t="shared" si="990"/>
        <v>908889.3302823524</v>
      </c>
      <c r="R617">
        <f t="shared" si="991"/>
        <v>-16844463.756508902</v>
      </c>
      <c r="S617">
        <f t="shared" si="992"/>
        <v>-168.44463756508901</v>
      </c>
      <c r="T617">
        <f t="shared" si="993"/>
        <v>-0.16844463756508901</v>
      </c>
    </row>
    <row r="618" spans="1:20" x14ac:dyDescent="0.25">
      <c r="A618" s="5">
        <v>43975</v>
      </c>
      <c r="B618">
        <v>0.29980000000000001</v>
      </c>
      <c r="C618">
        <v>0.32840000000000003</v>
      </c>
      <c r="D618">
        <v>0.29249999999999998</v>
      </c>
      <c r="E618">
        <v>0.29249999999999998</v>
      </c>
      <c r="F618">
        <v>1152371.47</v>
      </c>
      <c r="G618">
        <v>0</v>
      </c>
      <c r="L618" t="s">
        <v>7</v>
      </c>
      <c r="M618" t="s">
        <v>7</v>
      </c>
      <c r="N618" t="s">
        <v>7</v>
      </c>
      <c r="P618">
        <f t="shared" si="989"/>
        <v>-1</v>
      </c>
      <c r="Q618">
        <f t="shared" si="990"/>
        <v>-1152371.47</v>
      </c>
      <c r="R618">
        <f t="shared" si="991"/>
        <v>-17753353.086791255</v>
      </c>
      <c r="S618">
        <f t="shared" si="992"/>
        <v>-177.53353086791253</v>
      </c>
      <c r="T618">
        <f t="shared" si="993"/>
        <v>-0.17753353086791254</v>
      </c>
    </row>
    <row r="619" spans="1:20" x14ac:dyDescent="0.25">
      <c r="A619" s="5">
        <v>43974</v>
      </c>
      <c r="B619">
        <v>0.29599999999999999</v>
      </c>
      <c r="C619">
        <v>0.34989999999999999</v>
      </c>
      <c r="D619">
        <v>0.28589999999999999</v>
      </c>
      <c r="E619">
        <v>0.29809999999999998</v>
      </c>
      <c r="F619">
        <v>3685082.13</v>
      </c>
      <c r="G619">
        <v>0</v>
      </c>
      <c r="L619" t="s">
        <v>8</v>
      </c>
      <c r="M619" t="s">
        <v>8</v>
      </c>
      <c r="N619" t="s">
        <v>7</v>
      </c>
      <c r="P619">
        <f t="shared" si="989"/>
        <v>-0.61875000000000036</v>
      </c>
      <c r="Q619">
        <f t="shared" si="990"/>
        <v>-2280144.5679375012</v>
      </c>
      <c r="R619">
        <f t="shared" si="991"/>
        <v>-16600981.616791254</v>
      </c>
      <c r="S619">
        <f t="shared" si="992"/>
        <v>-166.00981616791253</v>
      </c>
      <c r="T619">
        <f t="shared" si="993"/>
        <v>-0.16600981616791252</v>
      </c>
    </row>
    <row r="620" spans="1:20" x14ac:dyDescent="0.25">
      <c r="A620" s="5">
        <v>43973</v>
      </c>
      <c r="B620">
        <v>0.2606</v>
      </c>
      <c r="C620">
        <v>0.31</v>
      </c>
      <c r="D620">
        <v>0.26</v>
      </c>
      <c r="E620">
        <v>0.29399999999999998</v>
      </c>
      <c r="F620">
        <v>1033133.01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0.35999999999999927</v>
      </c>
      <c r="Q620">
        <f t="shared" si="990"/>
        <v>371927.88359999924</v>
      </c>
      <c r="R620">
        <f t="shared" si="991"/>
        <v>-14320837.048853753</v>
      </c>
      <c r="S620">
        <f t="shared" si="992"/>
        <v>-143.20837048853753</v>
      </c>
      <c r="T620">
        <f t="shared" si="993"/>
        <v>-0.14320837048853752</v>
      </c>
    </row>
    <row r="621" spans="1:20" x14ac:dyDescent="0.25">
      <c r="A621" s="5">
        <v>43972</v>
      </c>
      <c r="B621">
        <v>0.27689999999999998</v>
      </c>
      <c r="C621">
        <v>0.2868</v>
      </c>
      <c r="D621">
        <v>0.25390000000000001</v>
      </c>
      <c r="E621">
        <v>0.2621</v>
      </c>
      <c r="F621">
        <v>603964.06000000006</v>
      </c>
      <c r="G621">
        <v>0</v>
      </c>
      <c r="L621" t="s">
        <v>7</v>
      </c>
      <c r="M621" t="s">
        <v>8</v>
      </c>
      <c r="N621" t="s">
        <v>7</v>
      </c>
      <c r="P621">
        <f t="shared" si="989"/>
        <v>-0.50151975683890648</v>
      </c>
      <c r="Q621">
        <f t="shared" si="990"/>
        <v>-302899.90851063875</v>
      </c>
      <c r="R621">
        <f t="shared" si="991"/>
        <v>-14692764.932453752</v>
      </c>
      <c r="S621">
        <f t="shared" si="992"/>
        <v>-146.92764932453753</v>
      </c>
      <c r="T621">
        <f t="shared" si="993"/>
        <v>-0.14692764932453753</v>
      </c>
    </row>
    <row r="622" spans="1:20" x14ac:dyDescent="0.25">
      <c r="A622" s="5">
        <v>43971</v>
      </c>
      <c r="B622">
        <v>0.27229999999999999</v>
      </c>
      <c r="C622">
        <v>0.29039999999999999</v>
      </c>
      <c r="D622">
        <v>0.2661</v>
      </c>
      <c r="E622">
        <v>0.27689999999999998</v>
      </c>
      <c r="F622">
        <v>735602.2</v>
      </c>
      <c r="G622">
        <v>0</v>
      </c>
      <c r="L622" t="s">
        <v>8</v>
      </c>
      <c r="M622" t="s">
        <v>8</v>
      </c>
      <c r="N622" t="s">
        <v>7</v>
      </c>
      <c r="P622">
        <f t="shared" si="989"/>
        <v>-0.11111111111111263</v>
      </c>
      <c r="Q622">
        <f t="shared" si="990"/>
        <v>-81733.57777777889</v>
      </c>
      <c r="R622">
        <f t="shared" si="991"/>
        <v>-14389865.023943113</v>
      </c>
      <c r="S622">
        <f t="shared" si="992"/>
        <v>-143.89865023943113</v>
      </c>
      <c r="T622">
        <f t="shared" si="993"/>
        <v>-0.14389865023943113</v>
      </c>
    </row>
    <row r="623" spans="1:20" x14ac:dyDescent="0.25">
      <c r="A623" s="5">
        <v>43970</v>
      </c>
      <c r="B623">
        <v>0.26569999999999999</v>
      </c>
      <c r="C623">
        <v>0.27600000000000002</v>
      </c>
      <c r="D623">
        <v>0.26269999999999999</v>
      </c>
      <c r="E623">
        <v>0.2722</v>
      </c>
      <c r="F623">
        <v>242194.52</v>
      </c>
      <c r="G623">
        <v>0</v>
      </c>
      <c r="L623" t="s">
        <v>7</v>
      </c>
      <c r="M623" t="s">
        <v>7</v>
      </c>
      <c r="N623" t="s">
        <v>7</v>
      </c>
      <c r="P623">
        <f t="shared" si="989"/>
        <v>0.42857142857142616</v>
      </c>
      <c r="Q623">
        <f t="shared" si="990"/>
        <v>103797.65142857084</v>
      </c>
      <c r="R623">
        <f t="shared" si="991"/>
        <v>-14308131.446165334</v>
      </c>
      <c r="S623">
        <f t="shared" si="992"/>
        <v>-143.08131446165334</v>
      </c>
      <c r="T623">
        <f t="shared" si="993"/>
        <v>-0.14308131446165334</v>
      </c>
    </row>
    <row r="624" spans="1:20" x14ac:dyDescent="0.25">
      <c r="A624" s="5">
        <v>43969</v>
      </c>
      <c r="B624">
        <v>0.2631</v>
      </c>
      <c r="C624">
        <v>0.27</v>
      </c>
      <c r="D624">
        <v>0.2606</v>
      </c>
      <c r="E624">
        <v>0.26790000000000003</v>
      </c>
      <c r="F624">
        <v>298602.94</v>
      </c>
      <c r="G624">
        <v>0</v>
      </c>
      <c r="L624" t="s">
        <v>7</v>
      </c>
      <c r="M624" t="s">
        <v>7</v>
      </c>
      <c r="N624" t="s">
        <v>7</v>
      </c>
      <c r="P624">
        <f t="shared" si="989"/>
        <v>0.55319148936170504</v>
      </c>
      <c r="Q624">
        <f t="shared" si="990"/>
        <v>165184.60510638385</v>
      </c>
      <c r="R624">
        <f t="shared" si="991"/>
        <v>-14411929.097593905</v>
      </c>
      <c r="S624">
        <f t="shared" si="992"/>
        <v>-144.11929097593907</v>
      </c>
      <c r="T624">
        <f t="shared" si="993"/>
        <v>-0.14411929097593906</v>
      </c>
    </row>
    <row r="625" spans="1:20" x14ac:dyDescent="0.25">
      <c r="A625" s="5">
        <v>43968</v>
      </c>
      <c r="B625">
        <v>0.26900000000000002</v>
      </c>
      <c r="C625">
        <v>0.27250000000000002</v>
      </c>
      <c r="D625">
        <v>0.26050000000000001</v>
      </c>
      <c r="E625">
        <v>0.26319999999999999</v>
      </c>
      <c r="F625">
        <v>306128.24</v>
      </c>
      <c r="G625">
        <v>0</v>
      </c>
      <c r="L625" t="s">
        <v>7</v>
      </c>
      <c r="M625" t="s">
        <v>7</v>
      </c>
      <c r="N625" t="s">
        <v>7</v>
      </c>
      <c r="P625">
        <f t="shared" si="989"/>
        <v>-0.55000000000000371</v>
      </c>
      <c r="Q625">
        <f t="shared" si="990"/>
        <v>-168370.53200000114</v>
      </c>
      <c r="R625">
        <f t="shared" si="991"/>
        <v>-14577113.702700289</v>
      </c>
      <c r="S625">
        <f t="shared" si="992"/>
        <v>-145.77113702700288</v>
      </c>
      <c r="T625">
        <f t="shared" si="993"/>
        <v>-0.14577113702700287</v>
      </c>
    </row>
    <row r="626" spans="1:20" x14ac:dyDescent="0.25">
      <c r="A626" s="5">
        <v>43967</v>
      </c>
      <c r="B626">
        <v>0.26169999999999999</v>
      </c>
      <c r="C626">
        <v>0.27060000000000001</v>
      </c>
      <c r="D626">
        <v>0.26029999999999998</v>
      </c>
      <c r="E626">
        <v>0.26769999999999999</v>
      </c>
      <c r="F626">
        <v>323662.86</v>
      </c>
      <c r="G626">
        <v>0</v>
      </c>
      <c r="L626" t="s">
        <v>7</v>
      </c>
      <c r="M626" t="s">
        <v>7</v>
      </c>
      <c r="N626" t="s">
        <v>7</v>
      </c>
      <c r="P626">
        <f t="shared" si="989"/>
        <v>0.43689320388349423</v>
      </c>
      <c r="Q626">
        <f t="shared" si="990"/>
        <v>141406.10388349486</v>
      </c>
      <c r="R626">
        <f t="shared" si="991"/>
        <v>-14408743.170700287</v>
      </c>
      <c r="S626">
        <f t="shared" si="992"/>
        <v>-144.08743170700288</v>
      </c>
      <c r="T626">
        <f t="shared" si="993"/>
        <v>-0.14408743170700289</v>
      </c>
    </row>
    <row r="627" spans="1:20" x14ac:dyDescent="0.25">
      <c r="A627" s="5">
        <v>43966</v>
      </c>
      <c r="B627">
        <v>0.26419999999999999</v>
      </c>
      <c r="C627">
        <v>0.26790000000000003</v>
      </c>
      <c r="D627">
        <v>0.25580000000000003</v>
      </c>
      <c r="E627">
        <v>0.26079999999999998</v>
      </c>
      <c r="F627">
        <v>288170.15000000002</v>
      </c>
      <c r="G627">
        <v>0</v>
      </c>
      <c r="L627" t="s">
        <v>7</v>
      </c>
      <c r="M627" t="s">
        <v>7</v>
      </c>
      <c r="N627" t="s">
        <v>7</v>
      </c>
      <c r="P627">
        <f t="shared" si="989"/>
        <v>-0.17355371900827288</v>
      </c>
      <c r="Q627">
        <f t="shared" si="990"/>
        <v>-50013.001239671852</v>
      </c>
      <c r="R627">
        <f t="shared" si="991"/>
        <v>-14550149.274583783</v>
      </c>
      <c r="S627">
        <f t="shared" si="992"/>
        <v>-145.50149274583782</v>
      </c>
      <c r="T627">
        <f t="shared" si="993"/>
        <v>-0.14550149274583782</v>
      </c>
    </row>
    <row r="628" spans="1:20" x14ac:dyDescent="0.25">
      <c r="A628" s="5">
        <v>43965</v>
      </c>
      <c r="B628">
        <v>0.27250000000000002</v>
      </c>
      <c r="C628">
        <v>0.27789999999999998</v>
      </c>
      <c r="D628">
        <v>0.25750000000000001</v>
      </c>
      <c r="E628">
        <v>0.26450000000000001</v>
      </c>
      <c r="F628">
        <v>529050.54</v>
      </c>
      <c r="G628">
        <v>0</v>
      </c>
      <c r="L628" t="s">
        <v>7</v>
      </c>
      <c r="M628" t="s">
        <v>7</v>
      </c>
      <c r="N628" t="s">
        <v>7</v>
      </c>
      <c r="P628">
        <f t="shared" si="989"/>
        <v>-0.31372549019607693</v>
      </c>
      <c r="Q628">
        <f t="shared" si="990"/>
        <v>-165976.63999999923</v>
      </c>
      <c r="R628">
        <f t="shared" si="991"/>
        <v>-14500136.273344111</v>
      </c>
      <c r="S628">
        <f t="shared" si="992"/>
        <v>-145.00136273344111</v>
      </c>
      <c r="T628">
        <f t="shared" si="993"/>
        <v>-0.14500136273344111</v>
      </c>
    </row>
    <row r="629" spans="1:20" x14ac:dyDescent="0.25">
      <c r="A629" s="5">
        <v>43964</v>
      </c>
      <c r="B629">
        <v>0.25659999999999999</v>
      </c>
      <c r="C629">
        <v>0.28100000000000003</v>
      </c>
      <c r="D629">
        <v>0.25519999999999998</v>
      </c>
      <c r="E629">
        <v>0.2712</v>
      </c>
      <c r="F629">
        <v>432392.35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0.24031007751937877</v>
      </c>
      <c r="Q629">
        <f t="shared" si="990"/>
        <v>103908.23914728635</v>
      </c>
      <c r="R629">
        <f t="shared" si="991"/>
        <v>-14334159.633344112</v>
      </c>
      <c r="S629">
        <f t="shared" si="992"/>
        <v>-143.34159633344112</v>
      </c>
      <c r="T629">
        <f t="shared" si="993"/>
        <v>-0.14334159633344112</v>
      </c>
    </row>
    <row r="630" spans="1:20" x14ac:dyDescent="0.25">
      <c r="A630" s="5">
        <v>43963</v>
      </c>
      <c r="B630">
        <v>0.25700000000000001</v>
      </c>
      <c r="C630">
        <v>0.26250000000000001</v>
      </c>
      <c r="D630">
        <v>0.25280000000000002</v>
      </c>
      <c r="E630">
        <v>0.25650000000000001</v>
      </c>
      <c r="F630">
        <v>247221.94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-0.23711340206185849</v>
      </c>
      <c r="Q630">
        <f t="shared" si="990"/>
        <v>-58619.635257732654</v>
      </c>
      <c r="R630">
        <f t="shared" si="991"/>
        <v>-14438067.872491399</v>
      </c>
      <c r="S630">
        <f t="shared" si="992"/>
        <v>-144.38067872491399</v>
      </c>
      <c r="T630">
        <f t="shared" si="993"/>
        <v>-0.144380678724914</v>
      </c>
    </row>
    <row r="631" spans="1:20" x14ac:dyDescent="0.25">
      <c r="A631" s="5">
        <v>43962</v>
      </c>
      <c r="B631">
        <v>0.26490000000000002</v>
      </c>
      <c r="C631">
        <v>0.26790000000000003</v>
      </c>
      <c r="D631">
        <v>0.24149999999999999</v>
      </c>
      <c r="E631">
        <v>0.25700000000000001</v>
      </c>
      <c r="F631">
        <v>417564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0.17424242424242375</v>
      </c>
      <c r="Q631">
        <f t="shared" si="990"/>
        <v>72757.363636363429</v>
      </c>
      <c r="R631">
        <f t="shared" si="991"/>
        <v>-14379448.237233667</v>
      </c>
      <c r="S631">
        <f t="shared" si="992"/>
        <v>-143.79448237233666</v>
      </c>
      <c r="T631">
        <f t="shared" si="993"/>
        <v>-0.14379448237233666</v>
      </c>
    </row>
    <row r="632" spans="1:20" x14ac:dyDescent="0.25">
      <c r="A632" s="5">
        <v>43961</v>
      </c>
      <c r="B632">
        <v>0.29459999999999997</v>
      </c>
      <c r="C632">
        <v>0.29459999999999997</v>
      </c>
      <c r="D632">
        <v>0.249</v>
      </c>
      <c r="E632">
        <v>0.26479999999999998</v>
      </c>
      <c r="F632">
        <v>558033.30000000005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-0.30701754385964958</v>
      </c>
      <c r="Q632">
        <f t="shared" si="990"/>
        <v>-171326.01315789501</v>
      </c>
      <c r="R632">
        <f t="shared" si="991"/>
        <v>-14452205.60087003</v>
      </c>
      <c r="S632">
        <f t="shared" si="992"/>
        <v>-144.5220560087003</v>
      </c>
      <c r="T632">
        <f t="shared" si="993"/>
        <v>-0.1445220560087003</v>
      </c>
    </row>
    <row r="633" spans="1:20" x14ac:dyDescent="0.25">
      <c r="A633" s="5">
        <v>43960</v>
      </c>
      <c r="B633">
        <v>0.29380000000000001</v>
      </c>
      <c r="C633">
        <v>0.31419999999999998</v>
      </c>
      <c r="D633">
        <v>0.2908</v>
      </c>
      <c r="E633">
        <v>0.29459999999999997</v>
      </c>
      <c r="F633">
        <v>591916.12</v>
      </c>
      <c r="G633">
        <v>0</v>
      </c>
      <c r="L633" t="s">
        <v>8</v>
      </c>
      <c r="M633" t="s">
        <v>8</v>
      </c>
      <c r="N633" t="s">
        <v>7</v>
      </c>
      <c r="P633">
        <f t="shared" si="989"/>
        <v>-0.67521367521367748</v>
      </c>
      <c r="Q633">
        <f t="shared" si="990"/>
        <v>-399669.85880342015</v>
      </c>
      <c r="R633">
        <f t="shared" si="991"/>
        <v>-14280879.587712135</v>
      </c>
      <c r="S633">
        <f t="shared" si="992"/>
        <v>-142.80879587712136</v>
      </c>
      <c r="T633">
        <f t="shared" si="993"/>
        <v>-0.14280879587712136</v>
      </c>
    </row>
    <row r="634" spans="1:20" x14ac:dyDescent="0.25">
      <c r="A634" s="5">
        <v>43959</v>
      </c>
      <c r="B634">
        <v>0.29020000000000001</v>
      </c>
      <c r="C634">
        <v>0.30280000000000001</v>
      </c>
      <c r="D634">
        <v>0.2853</v>
      </c>
      <c r="E634">
        <v>0.29459999999999997</v>
      </c>
      <c r="F634">
        <v>406316.86</v>
      </c>
      <c r="G634">
        <v>0</v>
      </c>
      <c r="L634" t="s">
        <v>8</v>
      </c>
      <c r="M634" t="s">
        <v>8</v>
      </c>
      <c r="N634" t="s">
        <v>7</v>
      </c>
      <c r="P634">
        <f t="shared" si="989"/>
        <v>6.2857142857139045E-2</v>
      </c>
      <c r="Q634">
        <f t="shared" si="990"/>
        <v>25539.916914284164</v>
      </c>
      <c r="R634">
        <f t="shared" si="991"/>
        <v>-13881209.728908716</v>
      </c>
      <c r="S634">
        <f t="shared" si="992"/>
        <v>-138.81209728908715</v>
      </c>
      <c r="T634">
        <f t="shared" si="993"/>
        <v>-0.13881209728908714</v>
      </c>
    </row>
    <row r="635" spans="1:20" x14ac:dyDescent="0.25">
      <c r="A635" s="5">
        <v>43958</v>
      </c>
      <c r="B635">
        <v>0.28670000000000001</v>
      </c>
      <c r="C635">
        <v>0.29580000000000001</v>
      </c>
      <c r="D635">
        <v>0.28000000000000003</v>
      </c>
      <c r="E635">
        <v>0.28949999999999998</v>
      </c>
      <c r="F635">
        <v>411401.62</v>
      </c>
      <c r="G635">
        <v>0</v>
      </c>
      <c r="L635" t="s">
        <v>7</v>
      </c>
      <c r="M635" t="s">
        <v>8</v>
      </c>
      <c r="N635" t="s">
        <v>7</v>
      </c>
      <c r="P635">
        <f t="shared" si="989"/>
        <v>0.20253164556961575</v>
      </c>
      <c r="Q635">
        <f t="shared" si="990"/>
        <v>83321.847088605748</v>
      </c>
      <c r="R635">
        <f t="shared" si="991"/>
        <v>-13906749.645823</v>
      </c>
      <c r="S635">
        <f t="shared" si="992"/>
        <v>-139.06749645823001</v>
      </c>
      <c r="T635">
        <f t="shared" si="993"/>
        <v>-0.13906749645823002</v>
      </c>
    </row>
    <row r="636" spans="1:20" x14ac:dyDescent="0.25">
      <c r="A636" s="5">
        <v>43957</v>
      </c>
      <c r="B636">
        <v>0.30149999999999999</v>
      </c>
      <c r="C636">
        <v>0.32240000000000002</v>
      </c>
      <c r="D636">
        <v>0.28489999999999999</v>
      </c>
      <c r="E636">
        <v>0.28689999999999999</v>
      </c>
      <c r="F636">
        <v>1378953.22</v>
      </c>
      <c r="G636">
        <v>0</v>
      </c>
      <c r="L636" t="s">
        <v>8</v>
      </c>
      <c r="M636" t="s">
        <v>8</v>
      </c>
      <c r="N636" t="s">
        <v>7</v>
      </c>
      <c r="P636">
        <f t="shared" si="989"/>
        <v>-0.89333333333333331</v>
      </c>
      <c r="Q636">
        <f t="shared" si="990"/>
        <v>-1231864.8765333332</v>
      </c>
      <c r="R636">
        <f t="shared" si="991"/>
        <v>-13990071.492911605</v>
      </c>
      <c r="S636">
        <f t="shared" si="992"/>
        <v>-139.90071492911605</v>
      </c>
      <c r="T636">
        <f t="shared" si="993"/>
        <v>-0.13990071492911604</v>
      </c>
    </row>
    <row r="637" spans="1:20" x14ac:dyDescent="0.25">
      <c r="A637" s="5">
        <v>43956</v>
      </c>
      <c r="B637">
        <v>0.29149999999999998</v>
      </c>
      <c r="C637">
        <v>0.30259999999999998</v>
      </c>
      <c r="D637">
        <v>0.2858</v>
      </c>
      <c r="E637">
        <v>0.30149999999999999</v>
      </c>
      <c r="F637">
        <v>251413.86</v>
      </c>
      <c r="G637">
        <v>0</v>
      </c>
      <c r="L637" t="s">
        <v>8</v>
      </c>
      <c r="M637" t="s">
        <v>8</v>
      </c>
      <c r="N637" t="s">
        <v>7</v>
      </c>
      <c r="P637">
        <f t="shared" si="989"/>
        <v>0.86904761904762007</v>
      </c>
      <c r="Q637">
        <f t="shared" si="990"/>
        <v>218490.61642857167</v>
      </c>
      <c r="R637">
        <f t="shared" si="991"/>
        <v>-12758206.616378272</v>
      </c>
      <c r="S637">
        <f t="shared" si="992"/>
        <v>-127.58206616378271</v>
      </c>
      <c r="T637">
        <f t="shared" si="993"/>
        <v>-0.1275820661637827</v>
      </c>
    </row>
    <row r="638" spans="1:20" x14ac:dyDescent="0.25">
      <c r="A638" s="5">
        <v>43955</v>
      </c>
      <c r="B638">
        <v>0.2959</v>
      </c>
      <c r="C638">
        <v>0.29630000000000001</v>
      </c>
      <c r="D638">
        <v>0.27610000000000001</v>
      </c>
      <c r="E638">
        <v>0.29249999999999998</v>
      </c>
      <c r="F638">
        <v>330927.90999999997</v>
      </c>
      <c r="G638">
        <v>0</v>
      </c>
      <c r="L638" t="s">
        <v>7</v>
      </c>
      <c r="M638" t="s">
        <v>8</v>
      </c>
      <c r="N638" t="s">
        <v>7</v>
      </c>
      <c r="P638">
        <f t="shared" si="989"/>
        <v>0.6237623762376211</v>
      </c>
      <c r="Q638">
        <f t="shared" si="990"/>
        <v>206420.37950494961</v>
      </c>
      <c r="R638">
        <f t="shared" si="991"/>
        <v>-12976697.232806843</v>
      </c>
      <c r="S638">
        <f t="shared" si="992"/>
        <v>-129.76697232806842</v>
      </c>
      <c r="T638">
        <f t="shared" si="993"/>
        <v>-0.12976697232806841</v>
      </c>
    </row>
    <row r="639" spans="1:20" x14ac:dyDescent="0.25">
      <c r="A639" s="5">
        <v>43954</v>
      </c>
      <c r="B639">
        <v>0.2969</v>
      </c>
      <c r="C639">
        <v>0.30049999999999999</v>
      </c>
      <c r="D639">
        <v>0.28699999999999998</v>
      </c>
      <c r="E639">
        <v>0.29380000000000001</v>
      </c>
      <c r="F639">
        <v>432932.05</v>
      </c>
      <c r="G639">
        <v>0</v>
      </c>
      <c r="L639" t="s">
        <v>8</v>
      </c>
      <c r="M639" t="s">
        <v>8</v>
      </c>
      <c r="N639" t="s">
        <v>7</v>
      </c>
      <c r="P639">
        <f t="shared" si="989"/>
        <v>7.4074074074106967E-3</v>
      </c>
      <c r="Q639">
        <f t="shared" si="990"/>
        <v>3206.9040740754981</v>
      </c>
      <c r="R639">
        <f t="shared" si="991"/>
        <v>-13183117.612311792</v>
      </c>
      <c r="S639">
        <f t="shared" si="992"/>
        <v>-131.83117612311793</v>
      </c>
      <c r="T639">
        <f t="shared" si="993"/>
        <v>-0.13183117612311793</v>
      </c>
    </row>
    <row r="640" spans="1:20" x14ac:dyDescent="0.25">
      <c r="A640" s="5">
        <v>43953</v>
      </c>
      <c r="B640">
        <v>0.2913</v>
      </c>
      <c r="C640">
        <v>0.2994</v>
      </c>
      <c r="D640">
        <v>0.2913</v>
      </c>
      <c r="E640">
        <v>0.29909999999999998</v>
      </c>
      <c r="F640">
        <v>385714.37</v>
      </c>
      <c r="G640">
        <v>0</v>
      </c>
      <c r="L640" t="s">
        <v>8</v>
      </c>
      <c r="M640" t="s">
        <v>8</v>
      </c>
      <c r="N640" t="s">
        <v>7</v>
      </c>
      <c r="P640">
        <f t="shared" si="989"/>
        <v>0.92592592592592038</v>
      </c>
      <c r="Q640">
        <f t="shared" si="990"/>
        <v>357142.93518518301</v>
      </c>
      <c r="R640">
        <f t="shared" si="991"/>
        <v>-13186324.516385866</v>
      </c>
      <c r="S640">
        <f t="shared" si="992"/>
        <v>-131.86324516385866</v>
      </c>
      <c r="T640">
        <f t="shared" si="993"/>
        <v>-0.13186324516385867</v>
      </c>
    </row>
    <row r="641" spans="1:20" x14ac:dyDescent="0.25">
      <c r="A641" s="5">
        <v>43952</v>
      </c>
      <c r="B641">
        <v>0.28320000000000001</v>
      </c>
      <c r="C641">
        <v>0.2999</v>
      </c>
      <c r="D641">
        <v>0.28260000000000002</v>
      </c>
      <c r="E641">
        <v>0.29270000000000002</v>
      </c>
      <c r="F641">
        <v>254369.86</v>
      </c>
      <c r="G641">
        <v>0</v>
      </c>
      <c r="L641" t="s">
        <v>8</v>
      </c>
      <c r="M641" t="s">
        <v>8</v>
      </c>
      <c r="N641" t="s">
        <v>7</v>
      </c>
      <c r="P641">
        <f t="shared" si="989"/>
        <v>0.16763005780346918</v>
      </c>
      <c r="Q641">
        <f t="shared" si="990"/>
        <v>42640.03433526036</v>
      </c>
      <c r="R641">
        <f t="shared" si="991"/>
        <v>-13543467.451571049</v>
      </c>
      <c r="S641">
        <f t="shared" si="992"/>
        <v>-135.4346745157105</v>
      </c>
      <c r="T641">
        <f t="shared" si="993"/>
        <v>-0.13543467451571051</v>
      </c>
    </row>
    <row r="642" spans="1:20" x14ac:dyDescent="0.25">
      <c r="A642" s="5">
        <v>43951</v>
      </c>
      <c r="B642">
        <v>0.29599999999999999</v>
      </c>
      <c r="C642">
        <v>0.3044</v>
      </c>
      <c r="D642">
        <v>0.28000000000000003</v>
      </c>
      <c r="E642">
        <v>0.28349999999999997</v>
      </c>
      <c r="F642">
        <v>631934.53</v>
      </c>
      <c r="G642">
        <v>0</v>
      </c>
      <c r="L642" t="s">
        <v>8</v>
      </c>
      <c r="M642" t="s">
        <v>8</v>
      </c>
      <c r="N642" t="s">
        <v>7</v>
      </c>
      <c r="P642">
        <f t="shared" si="989"/>
        <v>-0.71311475409836467</v>
      </c>
      <c r="Q642">
        <f t="shared" si="990"/>
        <v>-450641.8369672157</v>
      </c>
      <c r="R642">
        <f t="shared" si="991"/>
        <v>-13586107.48590631</v>
      </c>
      <c r="S642">
        <f t="shared" si="992"/>
        <v>-135.86107485906311</v>
      </c>
      <c r="T642">
        <f t="shared" si="993"/>
        <v>-0.1358610748590631</v>
      </c>
    </row>
    <row r="643" spans="1:20" x14ac:dyDescent="0.25">
      <c r="A643" s="5">
        <v>43950</v>
      </c>
      <c r="B643">
        <v>0.28489999999999999</v>
      </c>
      <c r="C643">
        <v>0.29749999999999999</v>
      </c>
      <c r="D643">
        <v>0.2848</v>
      </c>
      <c r="E643">
        <v>0.29699999999999999</v>
      </c>
      <c r="F643">
        <v>885716.15</v>
      </c>
      <c r="G643">
        <v>0</v>
      </c>
      <c r="L643" t="s">
        <v>8</v>
      </c>
      <c r="M643" t="s">
        <v>8</v>
      </c>
      <c r="N643" t="s">
        <v>7</v>
      </c>
      <c r="P643">
        <f t="shared" si="989"/>
        <v>0.92125984251968496</v>
      </c>
      <c r="Q643">
        <f t="shared" si="990"/>
        <v>815974.72086614172</v>
      </c>
      <c r="R643">
        <f t="shared" si="991"/>
        <v>-13135465.648939095</v>
      </c>
      <c r="S643">
        <f t="shared" si="992"/>
        <v>-131.35465648939095</v>
      </c>
      <c r="T643">
        <f t="shared" si="993"/>
        <v>-0.13135465648939096</v>
      </c>
    </row>
    <row r="644" spans="1:20" x14ac:dyDescent="0.25">
      <c r="A644" s="5">
        <v>43949</v>
      </c>
      <c r="B644">
        <v>0.28570000000000001</v>
      </c>
      <c r="C644">
        <v>0.2868</v>
      </c>
      <c r="D644">
        <v>0.28000000000000003</v>
      </c>
      <c r="E644">
        <v>0.28489999999999999</v>
      </c>
      <c r="F644">
        <v>434569.95</v>
      </c>
      <c r="G644">
        <v>0</v>
      </c>
      <c r="L644" t="s">
        <v>7</v>
      </c>
      <c r="M644" t="s">
        <v>8</v>
      </c>
      <c r="N644" t="s">
        <v>7</v>
      </c>
      <c r="P644">
        <f t="shared" si="989"/>
        <v>0.44117647058822929</v>
      </c>
      <c r="Q644">
        <f t="shared" si="990"/>
        <v>191722.03676470328</v>
      </c>
      <c r="R644">
        <f t="shared" si="991"/>
        <v>-13951440.369805237</v>
      </c>
      <c r="S644">
        <f t="shared" si="992"/>
        <v>-139.51440369805238</v>
      </c>
      <c r="T644">
        <f t="shared" si="993"/>
        <v>-0.13951440369805237</v>
      </c>
    </row>
    <row r="645" spans="1:20" x14ac:dyDescent="0.25">
      <c r="A645" s="5">
        <v>43948</v>
      </c>
      <c r="B645">
        <v>0.29580000000000001</v>
      </c>
      <c r="C645">
        <v>0.2994</v>
      </c>
      <c r="D645">
        <v>0.27279999999999999</v>
      </c>
      <c r="E645">
        <v>0.28749999999999998</v>
      </c>
      <c r="F645">
        <v>785206.17</v>
      </c>
      <c r="G645">
        <v>0</v>
      </c>
      <c r="L645" t="s">
        <v>7</v>
      </c>
      <c r="M645" t="s">
        <v>8</v>
      </c>
      <c r="N645" t="s">
        <v>7</v>
      </c>
      <c r="P645">
        <f t="shared" si="989"/>
        <v>0.10526315789473563</v>
      </c>
      <c r="Q645">
        <f t="shared" si="990"/>
        <v>82653.281052630628</v>
      </c>
      <c r="R645">
        <f t="shared" si="991"/>
        <v>-14143162.406569941</v>
      </c>
      <c r="S645">
        <f t="shared" si="992"/>
        <v>-141.4316240656994</v>
      </c>
      <c r="T645">
        <f t="shared" si="993"/>
        <v>-0.1414316240656994</v>
      </c>
    </row>
    <row r="646" spans="1:20" x14ac:dyDescent="0.25">
      <c r="A646" s="5">
        <v>43947</v>
      </c>
      <c r="B646">
        <v>0.2994</v>
      </c>
      <c r="C646">
        <v>0.30120000000000002</v>
      </c>
      <c r="D646">
        <v>0.28999999999999998</v>
      </c>
      <c r="E646">
        <v>0.29580000000000001</v>
      </c>
      <c r="F646">
        <v>482677.88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3.57142857142866E-2</v>
      </c>
      <c r="Q646">
        <f t="shared" ref="Q646:Q709" si="995">F646*P646</f>
        <v>17238.495714286142</v>
      </c>
      <c r="R646">
        <f t="shared" ref="R646:R709" si="996">R647+Q646</f>
        <v>-14225815.687622571</v>
      </c>
      <c r="S646">
        <f t="shared" ref="S646:S709" si="997">R646/100000</f>
        <v>-142.25815687622571</v>
      </c>
      <c r="T646">
        <f t="shared" ref="T646:T709" si="998">S646/1000</f>
        <v>-0.1422581568762257</v>
      </c>
    </row>
    <row r="647" spans="1:20" x14ac:dyDescent="0.25">
      <c r="A647" s="5">
        <v>43946</v>
      </c>
      <c r="B647">
        <v>0.29189999999999999</v>
      </c>
      <c r="C647">
        <v>0.30330000000000001</v>
      </c>
      <c r="D647">
        <v>0.28839999999999999</v>
      </c>
      <c r="E647">
        <v>0.3004</v>
      </c>
      <c r="F647">
        <v>853728.86</v>
      </c>
      <c r="G647">
        <v>0</v>
      </c>
      <c r="L647" t="s">
        <v>8</v>
      </c>
      <c r="M647" t="s">
        <v>8</v>
      </c>
      <c r="N647" t="s">
        <v>7</v>
      </c>
      <c r="P647">
        <f t="shared" si="994"/>
        <v>0.61073825503355583</v>
      </c>
      <c r="Q647">
        <f t="shared" si="995"/>
        <v>521404.87422818685</v>
      </c>
      <c r="R647">
        <f t="shared" si="996"/>
        <v>-14243054.183336858</v>
      </c>
      <c r="S647">
        <f t="shared" si="997"/>
        <v>-142.43054183336858</v>
      </c>
      <c r="T647">
        <f t="shared" si="998"/>
        <v>-0.14243054183336859</v>
      </c>
    </row>
    <row r="648" spans="1:20" x14ac:dyDescent="0.25">
      <c r="A648" s="5">
        <v>43945</v>
      </c>
      <c r="B648">
        <v>0.2858</v>
      </c>
      <c r="C648">
        <v>0.30399999999999999</v>
      </c>
      <c r="D648">
        <v>0.28510000000000002</v>
      </c>
      <c r="E648">
        <v>0.2918</v>
      </c>
      <c r="F648">
        <v>1747583.75</v>
      </c>
      <c r="G648">
        <v>0</v>
      </c>
      <c r="L648" t="s">
        <v>8</v>
      </c>
      <c r="M648" t="s">
        <v>8</v>
      </c>
      <c r="N648" t="s">
        <v>7</v>
      </c>
      <c r="P648">
        <f t="shared" si="994"/>
        <v>-0.29100529100529171</v>
      </c>
      <c r="Q648">
        <f t="shared" si="995"/>
        <v>-508556.11772486893</v>
      </c>
      <c r="R648">
        <f t="shared" si="996"/>
        <v>-14764459.057565045</v>
      </c>
      <c r="S648">
        <f t="shared" si="997"/>
        <v>-147.64459057565045</v>
      </c>
      <c r="T648">
        <f t="shared" si="998"/>
        <v>-0.14764459057565046</v>
      </c>
    </row>
    <row r="649" spans="1:20" x14ac:dyDescent="0.25">
      <c r="A649" s="5">
        <v>43944</v>
      </c>
      <c r="B649">
        <v>0.28889999999999999</v>
      </c>
      <c r="C649">
        <v>0.2949</v>
      </c>
      <c r="D649">
        <v>0.27389999999999998</v>
      </c>
      <c r="E649">
        <v>0.28520000000000001</v>
      </c>
      <c r="F649">
        <v>7308250.8600000003</v>
      </c>
      <c r="G649">
        <v>0</v>
      </c>
      <c r="L649" t="s">
        <v>7</v>
      </c>
      <c r="M649" t="s">
        <v>8</v>
      </c>
      <c r="N649" t="s">
        <v>7</v>
      </c>
      <c r="P649">
        <f t="shared" si="994"/>
        <v>7.6190476190478307E-2</v>
      </c>
      <c r="Q649">
        <f t="shared" si="995"/>
        <v>556819.11314287258</v>
      </c>
      <c r="R649">
        <f t="shared" si="996"/>
        <v>-14255902.939840175</v>
      </c>
      <c r="S649">
        <f t="shared" si="997"/>
        <v>-142.55902939840175</v>
      </c>
      <c r="T649">
        <f t="shared" si="998"/>
        <v>-0.14255902939840176</v>
      </c>
    </row>
    <row r="650" spans="1:20" x14ac:dyDescent="0.25">
      <c r="A650" s="5">
        <v>43943</v>
      </c>
      <c r="B650">
        <v>0.2792</v>
      </c>
      <c r="C650">
        <v>0.29980000000000001</v>
      </c>
      <c r="D650">
        <v>0.27479999999999999</v>
      </c>
      <c r="E650">
        <v>0.28839999999999999</v>
      </c>
      <c r="F650">
        <v>6866582.8300000001</v>
      </c>
      <c r="G650">
        <v>0</v>
      </c>
      <c r="L650" t="s">
        <v>8</v>
      </c>
      <c r="M650" t="s">
        <v>8</v>
      </c>
      <c r="N650" t="s">
        <v>7</v>
      </c>
      <c r="P650">
        <f t="shared" si="994"/>
        <v>8.7999999999999107E-2</v>
      </c>
      <c r="Q650">
        <f t="shared" si="995"/>
        <v>604259.28903999389</v>
      </c>
      <c r="R650">
        <f t="shared" si="996"/>
        <v>-14812722.052983047</v>
      </c>
      <c r="S650">
        <f t="shared" si="997"/>
        <v>-148.12722052983048</v>
      </c>
      <c r="T650">
        <f t="shared" si="998"/>
        <v>-0.14812722052983049</v>
      </c>
    </row>
    <row r="651" spans="1:20" x14ac:dyDescent="0.25">
      <c r="A651" s="5">
        <v>43942</v>
      </c>
      <c r="B651">
        <v>0.2591</v>
      </c>
      <c r="C651">
        <v>0.29649999999999999</v>
      </c>
      <c r="D651">
        <v>0.25540000000000002</v>
      </c>
      <c r="E651">
        <v>0.27950000000000003</v>
      </c>
      <c r="F651">
        <v>5290086.33</v>
      </c>
      <c r="G651">
        <v>0</v>
      </c>
      <c r="L651" t="s">
        <v>8</v>
      </c>
      <c r="M651" t="s">
        <v>8</v>
      </c>
      <c r="N651" t="s">
        <v>7</v>
      </c>
      <c r="P651">
        <f t="shared" si="994"/>
        <v>0.17274939172749529</v>
      </c>
      <c r="Q651">
        <f t="shared" si="995"/>
        <v>913859.19569343794</v>
      </c>
      <c r="R651">
        <f t="shared" si="996"/>
        <v>-15416981.342023041</v>
      </c>
      <c r="S651">
        <f t="shared" si="997"/>
        <v>-154.16981342023041</v>
      </c>
      <c r="T651">
        <f t="shared" si="998"/>
        <v>-0.15416981342023042</v>
      </c>
    </row>
    <row r="652" spans="1:20" x14ac:dyDescent="0.25">
      <c r="A652" s="5">
        <v>43941</v>
      </c>
      <c r="B652">
        <v>0.2888</v>
      </c>
      <c r="C652">
        <v>0.29320000000000002</v>
      </c>
      <c r="D652">
        <v>0.25459999999999999</v>
      </c>
      <c r="E652">
        <v>0.25929999999999997</v>
      </c>
      <c r="F652">
        <v>7227606.9400000004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-0.75647668393782497</v>
      </c>
      <c r="Q652">
        <f t="shared" si="995"/>
        <v>-5467516.1307772109</v>
      </c>
      <c r="R652">
        <f t="shared" si="996"/>
        <v>-16330840.537716478</v>
      </c>
      <c r="S652">
        <f t="shared" si="997"/>
        <v>-163.30840537716477</v>
      </c>
      <c r="T652">
        <f t="shared" si="998"/>
        <v>-0.16330840537716476</v>
      </c>
    </row>
    <row r="653" spans="1:20" x14ac:dyDescent="0.25">
      <c r="A653" s="5">
        <v>43940</v>
      </c>
      <c r="B653">
        <v>0.3029</v>
      </c>
      <c r="C653">
        <v>0.30299999999999999</v>
      </c>
      <c r="D653">
        <v>0.28570000000000001</v>
      </c>
      <c r="E653">
        <v>0.28910000000000002</v>
      </c>
      <c r="F653">
        <v>7610540.3399999999</v>
      </c>
      <c r="G653">
        <v>0</v>
      </c>
      <c r="L653" t="s">
        <v>7</v>
      </c>
      <c r="M653" t="s">
        <v>8</v>
      </c>
      <c r="N653" t="s">
        <v>7</v>
      </c>
      <c r="P653">
        <f t="shared" si="994"/>
        <v>-0.60693641618496907</v>
      </c>
      <c r="Q653">
        <f t="shared" si="995"/>
        <v>-4619114.0791907357</v>
      </c>
      <c r="R653">
        <f t="shared" si="996"/>
        <v>-10863324.406939268</v>
      </c>
      <c r="S653">
        <f t="shared" si="997"/>
        <v>-108.63324406939267</v>
      </c>
      <c r="T653">
        <f t="shared" si="998"/>
        <v>-0.10863324406939268</v>
      </c>
    </row>
    <row r="654" spans="1:20" x14ac:dyDescent="0.25">
      <c r="A654" s="5">
        <v>43939</v>
      </c>
      <c r="B654">
        <v>0.30470000000000003</v>
      </c>
      <c r="C654">
        <v>0.32790000000000002</v>
      </c>
      <c r="D654">
        <v>0.29780000000000001</v>
      </c>
      <c r="E654">
        <v>0.3029</v>
      </c>
      <c r="F654">
        <v>13601132.720000001</v>
      </c>
      <c r="G654">
        <v>0</v>
      </c>
      <c r="L654" t="s">
        <v>8</v>
      </c>
      <c r="M654" t="s">
        <v>8</v>
      </c>
      <c r="N654" t="s">
        <v>7</v>
      </c>
      <c r="P654">
        <f t="shared" si="994"/>
        <v>-0.66112956810631296</v>
      </c>
      <c r="Q654">
        <f t="shared" si="995"/>
        <v>-8992111.0009302422</v>
      </c>
      <c r="R654">
        <f t="shared" si="996"/>
        <v>-6244210.3277485315</v>
      </c>
      <c r="S654">
        <f t="shared" si="997"/>
        <v>-62.442103277485316</v>
      </c>
      <c r="T654">
        <f t="shared" si="998"/>
        <v>-6.2442103277485318E-2</v>
      </c>
    </row>
    <row r="655" spans="1:20" x14ac:dyDescent="0.25">
      <c r="A655" s="5">
        <v>43938</v>
      </c>
      <c r="B655">
        <v>0.27</v>
      </c>
      <c r="C655">
        <v>0.3382</v>
      </c>
      <c r="D655">
        <v>0.25869999999999999</v>
      </c>
      <c r="E655">
        <v>0.30470000000000003</v>
      </c>
      <c r="F655">
        <v>26025754.809999999</v>
      </c>
      <c r="G655">
        <v>0</v>
      </c>
      <c r="L655" t="s">
        <v>7</v>
      </c>
      <c r="M655" t="s">
        <v>7</v>
      </c>
      <c r="N655" t="s">
        <v>7</v>
      </c>
      <c r="P655">
        <f t="shared" si="994"/>
        <v>0.15723270440251652</v>
      </c>
      <c r="Q655">
        <f t="shared" si="995"/>
        <v>4092099.8128931024</v>
      </c>
      <c r="R655">
        <f t="shared" si="996"/>
        <v>2747900.6731817108</v>
      </c>
      <c r="S655">
        <f t="shared" si="997"/>
        <v>27.479006731817108</v>
      </c>
      <c r="T655">
        <f t="shared" si="998"/>
        <v>2.7479006731817107E-2</v>
      </c>
    </row>
    <row r="656" spans="1:20" x14ac:dyDescent="0.25">
      <c r="A656" s="5">
        <v>43937</v>
      </c>
      <c r="B656">
        <v>0.22289999999999999</v>
      </c>
      <c r="C656">
        <v>0.36</v>
      </c>
      <c r="D656">
        <v>0.2165</v>
      </c>
      <c r="E656">
        <v>0.2697</v>
      </c>
      <c r="F656">
        <v>4271012.7</v>
      </c>
      <c r="G656">
        <v>0</v>
      </c>
      <c r="L656" t="s">
        <v>8</v>
      </c>
      <c r="M656" t="s">
        <v>8</v>
      </c>
      <c r="N656" t="s">
        <v>8</v>
      </c>
      <c r="P656">
        <f t="shared" si="994"/>
        <v>-0.25853658536585361</v>
      </c>
      <c r="Q656">
        <f t="shared" si="995"/>
        <v>-1104213.0395121949</v>
      </c>
      <c r="R656">
        <f t="shared" si="996"/>
        <v>-1344199.1397113914</v>
      </c>
      <c r="S656">
        <f t="shared" si="997"/>
        <v>-13.441991397113915</v>
      </c>
      <c r="T656">
        <f t="shared" si="998"/>
        <v>-1.3441991397113915E-2</v>
      </c>
    </row>
    <row r="657" spans="1:20" x14ac:dyDescent="0.25">
      <c r="A657" s="5">
        <v>43936</v>
      </c>
      <c r="B657">
        <v>0.22789999999999999</v>
      </c>
      <c r="C657">
        <v>0.2349</v>
      </c>
      <c r="D657">
        <v>0.2243</v>
      </c>
      <c r="E657">
        <v>0.2261</v>
      </c>
      <c r="F657">
        <v>59641.03</v>
      </c>
      <c r="G657">
        <v>0</v>
      </c>
      <c r="L657" t="s">
        <v>8</v>
      </c>
      <c r="M657" t="s">
        <v>7</v>
      </c>
      <c r="N657" t="s">
        <v>7</v>
      </c>
      <c r="P657">
        <f t="shared" si="994"/>
        <v>-0.66037735849056678</v>
      </c>
      <c r="Q657">
        <f t="shared" si="995"/>
        <v>-39385.585849056646</v>
      </c>
      <c r="R657">
        <f t="shared" si="996"/>
        <v>-239986.10019919643</v>
      </c>
      <c r="S657">
        <f t="shared" si="997"/>
        <v>-2.3998610019919644</v>
      </c>
      <c r="T657">
        <f t="shared" si="998"/>
        <v>-2.3998610019919644E-3</v>
      </c>
    </row>
    <row r="658" spans="1:20" x14ac:dyDescent="0.25">
      <c r="A658" s="5">
        <v>43935</v>
      </c>
      <c r="B658">
        <v>0.22620000000000001</v>
      </c>
      <c r="C658">
        <v>0.2351</v>
      </c>
      <c r="D658">
        <v>0.223</v>
      </c>
      <c r="E658">
        <v>0.2298</v>
      </c>
      <c r="F658">
        <v>193629.14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0.12396694214876045</v>
      </c>
      <c r="Q658">
        <f t="shared" si="995"/>
        <v>24003.61239669424</v>
      </c>
      <c r="R658">
        <f t="shared" si="996"/>
        <v>-200600.51435013977</v>
      </c>
      <c r="S658">
        <f t="shared" si="997"/>
        <v>-2.0060051435013975</v>
      </c>
      <c r="T658">
        <f t="shared" si="998"/>
        <v>-2.0060051435013973E-3</v>
      </c>
    </row>
    <row r="659" spans="1:20" x14ac:dyDescent="0.25">
      <c r="A659" s="5">
        <v>43934</v>
      </c>
      <c r="B659">
        <v>0.22839999999999999</v>
      </c>
      <c r="C659">
        <v>0.23219999999999999</v>
      </c>
      <c r="D659">
        <v>0.217</v>
      </c>
      <c r="E659">
        <v>0.22639999999999999</v>
      </c>
      <c r="F659">
        <v>121623.37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0.23684210526315752</v>
      </c>
      <c r="Q659">
        <f t="shared" si="995"/>
        <v>28805.534999999953</v>
      </c>
      <c r="R659">
        <f t="shared" si="996"/>
        <v>-224604.12674683399</v>
      </c>
      <c r="S659">
        <f t="shared" si="997"/>
        <v>-2.2460412674683399</v>
      </c>
      <c r="T659">
        <f t="shared" si="998"/>
        <v>-2.2460412674683398E-3</v>
      </c>
    </row>
    <row r="660" spans="1:20" x14ac:dyDescent="0.25">
      <c r="A660" s="5">
        <v>43933</v>
      </c>
      <c r="B660">
        <v>0.22989999999999999</v>
      </c>
      <c r="C660">
        <v>0.24879999999999999</v>
      </c>
      <c r="D660">
        <v>0.22470000000000001</v>
      </c>
      <c r="E660">
        <v>0.23319999999999999</v>
      </c>
      <c r="F660">
        <v>96450.06</v>
      </c>
      <c r="G660">
        <v>0</v>
      </c>
      <c r="L660" t="s">
        <v>8</v>
      </c>
      <c r="M660" t="s">
        <v>7</v>
      </c>
      <c r="N660" t="s">
        <v>7</v>
      </c>
      <c r="P660">
        <f t="shared" si="994"/>
        <v>-0.29460580912863188</v>
      </c>
      <c r="Q660">
        <f t="shared" si="995"/>
        <v>-28414.747966805091</v>
      </c>
      <c r="R660">
        <f t="shared" si="996"/>
        <v>-253409.66174683394</v>
      </c>
      <c r="S660">
        <f t="shared" si="997"/>
        <v>-2.5340966174683395</v>
      </c>
      <c r="T660">
        <f t="shared" si="998"/>
        <v>-2.5340966174683395E-3</v>
      </c>
    </row>
    <row r="661" spans="1:20" x14ac:dyDescent="0.25">
      <c r="A661" s="5">
        <v>43932</v>
      </c>
      <c r="B661">
        <v>0.22989999999999999</v>
      </c>
      <c r="C661">
        <v>0.2384</v>
      </c>
      <c r="D661">
        <v>0.22420000000000001</v>
      </c>
      <c r="E661">
        <v>0.22989999999999999</v>
      </c>
      <c r="F661">
        <v>102495.99</v>
      </c>
      <c r="G661">
        <v>0</v>
      </c>
      <c r="L661" t="s">
        <v>8</v>
      </c>
      <c r="M661" t="s">
        <v>7</v>
      </c>
      <c r="N661" t="s">
        <v>7</v>
      </c>
      <c r="P661">
        <f t="shared" si="994"/>
        <v>-0.19718309859155117</v>
      </c>
      <c r="Q661">
        <f t="shared" si="995"/>
        <v>-20210.476901408645</v>
      </c>
      <c r="R661">
        <f t="shared" si="996"/>
        <v>-224994.91378002884</v>
      </c>
      <c r="S661">
        <f t="shared" si="997"/>
        <v>-2.2499491378002885</v>
      </c>
      <c r="T661">
        <f t="shared" si="998"/>
        <v>-2.2499491378002883E-3</v>
      </c>
    </row>
    <row r="662" spans="1:20" x14ac:dyDescent="0.25">
      <c r="A662" s="5">
        <v>43931</v>
      </c>
      <c r="B662">
        <v>0.26090000000000002</v>
      </c>
      <c r="C662">
        <v>0.26200000000000001</v>
      </c>
      <c r="D662">
        <v>0.22159999999999999</v>
      </c>
      <c r="E662">
        <v>0.23050000000000001</v>
      </c>
      <c r="F662">
        <v>175250.74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-0.55940594059405868</v>
      </c>
      <c r="Q662">
        <f t="shared" si="995"/>
        <v>-98036.305049504823</v>
      </c>
      <c r="R662">
        <f t="shared" si="996"/>
        <v>-204784.43687862021</v>
      </c>
      <c r="S662">
        <f t="shared" si="997"/>
        <v>-2.047844368786202</v>
      </c>
      <c r="T662">
        <f t="shared" si="998"/>
        <v>-2.0478443687862022E-3</v>
      </c>
    </row>
    <row r="663" spans="1:20" x14ac:dyDescent="0.25">
      <c r="A663" s="5">
        <v>43930</v>
      </c>
      <c r="B663">
        <v>0.2591</v>
      </c>
      <c r="C663">
        <v>0.26829999999999998</v>
      </c>
      <c r="D663">
        <v>0.25430000000000003</v>
      </c>
      <c r="E663">
        <v>0.2626</v>
      </c>
      <c r="F663">
        <v>116137.64</v>
      </c>
      <c r="G663">
        <v>0</v>
      </c>
      <c r="L663" t="s">
        <v>7</v>
      </c>
      <c r="M663" t="s">
        <v>7</v>
      </c>
      <c r="N663" t="s">
        <v>7</v>
      </c>
      <c r="P663">
        <f t="shared" si="994"/>
        <v>0.18571428571428567</v>
      </c>
      <c r="Q663">
        <f t="shared" si="995"/>
        <v>21568.418857142853</v>
      </c>
      <c r="R663">
        <f t="shared" si="996"/>
        <v>-106748.13182911539</v>
      </c>
      <c r="S663">
        <f t="shared" si="997"/>
        <v>-1.0674813182911538</v>
      </c>
      <c r="T663">
        <f t="shared" si="998"/>
        <v>-1.0674813182911537E-3</v>
      </c>
    </row>
    <row r="664" spans="1:20" x14ac:dyDescent="0.25">
      <c r="A664" s="5">
        <v>43929</v>
      </c>
      <c r="B664">
        <v>0.25719999999999998</v>
      </c>
      <c r="C664">
        <v>0.27010000000000001</v>
      </c>
      <c r="D664">
        <v>0.25230000000000002</v>
      </c>
      <c r="E664">
        <v>0.2601</v>
      </c>
      <c r="F664">
        <v>191436.17</v>
      </c>
      <c r="G664">
        <v>0</v>
      </c>
      <c r="L664" t="s">
        <v>7</v>
      </c>
      <c r="M664" t="s">
        <v>7</v>
      </c>
      <c r="N664" t="s">
        <v>7</v>
      </c>
      <c r="P664">
        <f t="shared" si="994"/>
        <v>-0.12359550561797963</v>
      </c>
      <c r="Q664">
        <f t="shared" si="995"/>
        <v>-23660.650224719506</v>
      </c>
      <c r="R664">
        <f t="shared" si="996"/>
        <v>-128316.55068625824</v>
      </c>
      <c r="S664">
        <f t="shared" si="997"/>
        <v>-1.2831655068625825</v>
      </c>
      <c r="T664">
        <f t="shared" si="998"/>
        <v>-1.2831655068625825E-3</v>
      </c>
    </row>
    <row r="665" spans="1:20" x14ac:dyDescent="0.25">
      <c r="A665" s="5">
        <v>43928</v>
      </c>
      <c r="B665">
        <v>0.26079999999999998</v>
      </c>
      <c r="C665">
        <v>0.27739999999999998</v>
      </c>
      <c r="D665">
        <v>0.24490000000000001</v>
      </c>
      <c r="E665">
        <v>0.25619999999999998</v>
      </c>
      <c r="F665">
        <v>343567.35</v>
      </c>
      <c r="G665">
        <v>0</v>
      </c>
      <c r="P665">
        <f t="shared" si="994"/>
        <v>-0.30461538461538545</v>
      </c>
      <c r="Q665">
        <f t="shared" si="995"/>
        <v>-104655.90046153874</v>
      </c>
      <c r="R665">
        <f t="shared" si="996"/>
        <v>-104655.90046153874</v>
      </c>
      <c r="S665">
        <f t="shared" si="997"/>
        <v>-1.0465590046153874</v>
      </c>
      <c r="T665">
        <f t="shared" si="998"/>
        <v>-1.0465590046153874E-3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X624" sqref="MX62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$A$623</v>
      </c>
      <c r="D111" s="1" t="str">
        <f>ADDRESS(C121-1,D121,1,1)</f>
        <v>$MX$623</v>
      </c>
      <c r="E111"/>
    </row>
    <row r="112" spans="1:5" x14ac:dyDescent="0.25">
      <c r="A112" s="7">
        <v>12164.144957890772</v>
      </c>
      <c r="C112" s="1" t="str">
        <f>ADDRESS(C121,1,1,1)</f>
        <v>$A$624</v>
      </c>
      <c r="D112" s="1" t="str">
        <f>ADDRESS(C121,D121-1,1,1)</f>
        <v>$MW$624</v>
      </c>
      <c r="E112"/>
    </row>
    <row r="113" spans="1:5" x14ac:dyDescent="0.25">
      <c r="A113" s="7">
        <v>11925.63231165762</v>
      </c>
      <c r="C113" s="1" t="str">
        <f>ADDRESS(C121+1,1,1,1)</f>
        <v>$A$625</v>
      </c>
      <c r="D113" s="1" t="str">
        <f>ADDRESS(C121-1,D121+1,1,1)</f>
        <v>$MY$623</v>
      </c>
    </row>
    <row r="114" spans="1:5" x14ac:dyDescent="0.25">
      <c r="A114" s="7">
        <v>11691.796383978059</v>
      </c>
      <c r="C114" s="1" t="str">
        <f>ADDRESS(C121,D121,1,1)</f>
        <v>$MX$624</v>
      </c>
      <c r="D114" s="1" t="str">
        <f>ADDRESS(C121+1,D121+1,1,1)</f>
        <v>$MY$625</v>
      </c>
    </row>
    <row r="115" spans="1:5" x14ac:dyDescent="0.25">
      <c r="A115" s="7">
        <v>11462.545474488292</v>
      </c>
      <c r="C115" s="1" t="str">
        <f>ADDRESS(C121+1,D121,1,1)</f>
        <v>$MX$625</v>
      </c>
    </row>
    <row r="116" spans="1:5" x14ac:dyDescent="0.25">
      <c r="A116" s="7">
        <v>11237.789680870874</v>
      </c>
      <c r="C116" s="1">
        <f>C117-1</f>
        <v>623</v>
      </c>
    </row>
    <row r="117" spans="1:5" x14ac:dyDescent="0.25">
      <c r="A117" s="7">
        <v>11017.440863598895</v>
      </c>
      <c r="C117" s="1">
        <f>C121</f>
        <v>624</v>
      </c>
      <c r="D117" s="1">
        <f>D121</f>
        <v>362</v>
      </c>
    </row>
    <row r="118" spans="1:5" x14ac:dyDescent="0.25">
      <c r="A118" s="7">
        <v>10801.412611371465</v>
      </c>
      <c r="C118" s="1">
        <f>C117+1</f>
        <v>625</v>
      </c>
      <c r="D118" s="1">
        <f>D117+1</f>
        <v>363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624</v>
      </c>
      <c r="D121" s="19">
        <v>362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R624</v>
      </c>
      <c r="D123" s="1" t="str">
        <f>"C"&amp;D121</f>
        <v>C362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0.48061093171789437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216" x14ac:dyDescent="0.25">
      <c r="A529" s="7">
        <v>3.1536243640574906</v>
      </c>
      <c r="B529"/>
      <c r="C529"/>
      <c r="D529"/>
      <c r="E529"/>
    </row>
    <row r="530" spans="1:216" x14ac:dyDescent="0.25">
      <c r="A530" s="7">
        <v>3.0917885922132262</v>
      </c>
      <c r="B530"/>
      <c r="C530"/>
      <c r="D530"/>
      <c r="E530"/>
    </row>
    <row r="531" spans="1:216" x14ac:dyDescent="0.25">
      <c r="A531" s="7">
        <v>3.0311652864835552</v>
      </c>
      <c r="B531"/>
      <c r="C531"/>
      <c r="D531"/>
      <c r="E531"/>
    </row>
    <row r="532" spans="1:216" x14ac:dyDescent="0.25">
      <c r="A532" s="7">
        <v>2.9717306730230932</v>
      </c>
      <c r="B532"/>
      <c r="C532"/>
      <c r="D532"/>
      <c r="E532"/>
    </row>
    <row r="533" spans="1:216" x14ac:dyDescent="0.25">
      <c r="A533" s="7">
        <v>2.9134614441402875</v>
      </c>
      <c r="B533"/>
      <c r="C533"/>
      <c r="D533"/>
      <c r="E533"/>
      <c r="GM533" s="27" t="s">
        <v>8</v>
      </c>
    </row>
    <row r="534" spans="1:216" x14ac:dyDescent="0.25">
      <c r="A534" s="7">
        <v>2.8563347491571447</v>
      </c>
      <c r="B534"/>
      <c r="C534"/>
      <c r="D534"/>
      <c r="E534"/>
      <c r="GM534" s="27" t="s">
        <v>8</v>
      </c>
      <c r="GN534" s="27" t="s">
        <v>7</v>
      </c>
    </row>
    <row r="535" spans="1:216" x14ac:dyDescent="0.25">
      <c r="A535" s="7">
        <v>2.8003281854481812</v>
      </c>
      <c r="B535"/>
      <c r="C535"/>
      <c r="D535"/>
      <c r="E535"/>
      <c r="GM535" s="27" t="s">
        <v>8</v>
      </c>
      <c r="GN535" s="27" t="s">
        <v>7</v>
      </c>
    </row>
    <row r="536" spans="1:216" x14ac:dyDescent="0.25">
      <c r="A536" s="7">
        <v>2.7454197896550796</v>
      </c>
      <c r="B536"/>
      <c r="C536"/>
      <c r="D536"/>
      <c r="E536"/>
      <c r="GM536" s="27" t="s">
        <v>8</v>
      </c>
      <c r="GN536" s="27" t="s">
        <v>7</v>
      </c>
    </row>
    <row r="537" spans="1:216" x14ac:dyDescent="0.25">
      <c r="A537" s="7">
        <v>2.6915880290736074</v>
      </c>
      <c r="B537"/>
      <c r="C537"/>
      <c r="D537"/>
      <c r="E537"/>
      <c r="GM537" s="27" t="s">
        <v>8</v>
      </c>
      <c r="GN537" s="27" t="s">
        <v>7</v>
      </c>
    </row>
    <row r="538" spans="1:216" x14ac:dyDescent="0.25">
      <c r="A538" s="7">
        <v>2.6388117932094191</v>
      </c>
      <c r="B538"/>
      <c r="C538"/>
      <c r="D538"/>
      <c r="E538"/>
      <c r="GM538" s="27" t="s">
        <v>8</v>
      </c>
      <c r="GN538" s="27" t="s">
        <v>7</v>
      </c>
    </row>
    <row r="539" spans="1:216" x14ac:dyDescent="0.25">
      <c r="A539" s="7">
        <v>2.5870703854994304</v>
      </c>
      <c r="B539"/>
      <c r="C539"/>
      <c r="D539"/>
      <c r="E539"/>
      <c r="GM539" s="27" t="s">
        <v>8</v>
      </c>
      <c r="GN539" s="27" t="s">
        <v>7</v>
      </c>
    </row>
    <row r="540" spans="1:216" x14ac:dyDescent="0.25">
      <c r="A540" s="7">
        <v>2.53634351519552</v>
      </c>
      <c r="B540"/>
      <c r="C540"/>
      <c r="D540"/>
      <c r="E540"/>
      <c r="GM540" s="27" t="s">
        <v>8</v>
      </c>
      <c r="GN540" s="27" t="s">
        <v>7</v>
      </c>
    </row>
    <row r="541" spans="1:216" x14ac:dyDescent="0.25">
      <c r="A541" s="7">
        <v>2.4866112894073726</v>
      </c>
      <c r="B541"/>
      <c r="C541"/>
      <c r="D541"/>
      <c r="E541"/>
      <c r="GM541" s="27" t="s">
        <v>8</v>
      </c>
      <c r="GN541" s="27" t="s">
        <v>7</v>
      </c>
    </row>
    <row r="542" spans="1:216" x14ac:dyDescent="0.25">
      <c r="A542" s="7">
        <v>2.4378542053013459</v>
      </c>
      <c r="B542"/>
      <c r="C542"/>
      <c r="D542"/>
      <c r="E542"/>
      <c r="GM542" s="27" t="s">
        <v>8</v>
      </c>
      <c r="GN542" s="27" t="s">
        <v>7</v>
      </c>
    </row>
    <row r="543" spans="1:216" x14ac:dyDescent="0.25">
      <c r="A543" s="7">
        <v>2.3900531424522997</v>
      </c>
      <c r="B543"/>
      <c r="C543"/>
      <c r="D543"/>
      <c r="E543"/>
      <c r="GM543" s="27" t="s">
        <v>8</v>
      </c>
      <c r="GN543" s="27" t="s">
        <v>7</v>
      </c>
      <c r="GU543" s="27" t="s">
        <v>8</v>
      </c>
      <c r="HG543" s="27" t="s">
        <v>8</v>
      </c>
    </row>
    <row r="544" spans="1:216" x14ac:dyDescent="0.25">
      <c r="A544" s="7">
        <v>2.343189355345392</v>
      </c>
      <c r="B544"/>
      <c r="C544"/>
      <c r="D544"/>
      <c r="E544"/>
      <c r="GM544" s="27" t="s">
        <v>8</v>
      </c>
      <c r="GN544" s="27" t="s">
        <v>7</v>
      </c>
      <c r="GO544" s="27" t="s">
        <v>8</v>
      </c>
      <c r="GU544" s="27" t="s">
        <v>8</v>
      </c>
      <c r="GV544" s="27" t="s">
        <v>7</v>
      </c>
      <c r="HG544" s="27" t="s">
        <v>8</v>
      </c>
      <c r="HH544" s="27" t="s">
        <v>7</v>
      </c>
    </row>
    <row r="545" spans="1:336" x14ac:dyDescent="0.25">
      <c r="A545" s="7">
        <v>2.2972444660248938</v>
      </c>
      <c r="B545"/>
      <c r="C545"/>
      <c r="D545"/>
      <c r="E545"/>
      <c r="GM545" s="27" t="s">
        <v>8</v>
      </c>
      <c r="GN545" s="27" t="s">
        <v>7</v>
      </c>
      <c r="GO545" s="27" t="s">
        <v>8</v>
      </c>
      <c r="GP545" s="27" t="s">
        <v>7</v>
      </c>
      <c r="GQ545" s="27" t="s">
        <v>8</v>
      </c>
      <c r="GU545" s="27" t="s">
        <v>8</v>
      </c>
      <c r="GV545" s="27" t="s">
        <v>7</v>
      </c>
      <c r="HG545" s="27" t="s">
        <v>8</v>
      </c>
      <c r="HH545" s="27" t="s">
        <v>7</v>
      </c>
    </row>
    <row r="546" spans="1:336" x14ac:dyDescent="0.25">
      <c r="A546" s="7">
        <v>2.252200456887151</v>
      </c>
      <c r="B546"/>
      <c r="C546"/>
      <c r="D546"/>
      <c r="E546"/>
      <c r="GM546" s="27" t="s">
        <v>8</v>
      </c>
      <c r="GN546" s="27" t="s">
        <v>7</v>
      </c>
      <c r="GO546" s="27" t="s">
        <v>8</v>
      </c>
      <c r="GP546" s="27" t="s">
        <v>7</v>
      </c>
      <c r="GQ546" s="27" t="s">
        <v>8</v>
      </c>
      <c r="GR546" s="27" t="s">
        <v>7</v>
      </c>
      <c r="GU546" s="27" t="s">
        <v>8</v>
      </c>
      <c r="GV546" s="27" t="s">
        <v>7</v>
      </c>
      <c r="HG546" s="27" t="s">
        <v>8</v>
      </c>
      <c r="HH546" s="27" t="s">
        <v>7</v>
      </c>
    </row>
    <row r="547" spans="1:336" x14ac:dyDescent="0.25">
      <c r="A547" s="7">
        <v>2.208039663614854</v>
      </c>
      <c r="B547"/>
      <c r="C547"/>
      <c r="D547"/>
      <c r="E547"/>
      <c r="GM547" s="27" t="s">
        <v>8</v>
      </c>
      <c r="GN547" s="27" t="s">
        <v>7</v>
      </c>
      <c r="GO547" s="27" t="s">
        <v>8</v>
      </c>
      <c r="GP547" s="27" t="s">
        <v>7</v>
      </c>
      <c r="GQ547" s="27" t="s">
        <v>8</v>
      </c>
      <c r="GR547" s="27" t="s">
        <v>7</v>
      </c>
      <c r="GU547" s="27" t="s">
        <v>8</v>
      </c>
      <c r="GV547" s="27" t="s">
        <v>7</v>
      </c>
      <c r="HG547" s="27" t="s">
        <v>8</v>
      </c>
      <c r="HH547" s="27" t="s">
        <v>7</v>
      </c>
      <c r="HI547" s="27" t="s">
        <v>8</v>
      </c>
    </row>
    <row r="548" spans="1:336" x14ac:dyDescent="0.25">
      <c r="A548" s="7">
        <v>2.1647447682498568</v>
      </c>
      <c r="B548"/>
      <c r="C548"/>
      <c r="D548"/>
      <c r="E548"/>
      <c r="GI548" s="27" t="s">
        <v>8</v>
      </c>
      <c r="GK548" s="27" t="s">
        <v>8</v>
      </c>
      <c r="GM548" s="27" t="s">
        <v>8</v>
      </c>
      <c r="GN548" s="27" t="s">
        <v>7</v>
      </c>
      <c r="GO548" s="27" t="s">
        <v>8</v>
      </c>
      <c r="GP548" s="27" t="s">
        <v>7</v>
      </c>
      <c r="GQ548" s="27" t="s">
        <v>8</v>
      </c>
      <c r="GR548" s="27" t="s">
        <v>7</v>
      </c>
      <c r="GS548" s="27" t="s">
        <v>8</v>
      </c>
      <c r="GU548" s="27" t="s">
        <v>8</v>
      </c>
      <c r="GV548" s="27" t="s">
        <v>7</v>
      </c>
      <c r="HG548" s="27" t="s">
        <v>8</v>
      </c>
      <c r="HH548" s="27" t="s">
        <v>7</v>
      </c>
      <c r="HI548" s="27" t="s">
        <v>8</v>
      </c>
      <c r="HJ548" s="27" t="s">
        <v>7</v>
      </c>
    </row>
    <row r="549" spans="1:336" x14ac:dyDescent="0.25">
      <c r="A549" s="7">
        <v>2.1222987924018204</v>
      </c>
      <c r="B549"/>
      <c r="C549"/>
      <c r="D549"/>
      <c r="E549"/>
      <c r="GI549" s="27" t="s">
        <v>8</v>
      </c>
      <c r="GJ549" s="27" t="s">
        <v>7</v>
      </c>
      <c r="GK549" s="27" t="s">
        <v>8</v>
      </c>
      <c r="GL549" s="27" t="s">
        <v>7</v>
      </c>
      <c r="GM549" s="27" t="s">
        <v>8</v>
      </c>
      <c r="GN549" s="27" t="s">
        <v>7</v>
      </c>
      <c r="GO549" s="27" t="s">
        <v>8</v>
      </c>
      <c r="GP549" s="27" t="s">
        <v>7</v>
      </c>
      <c r="GQ549" s="27" t="s">
        <v>8</v>
      </c>
      <c r="GR549" s="27" t="s">
        <v>7</v>
      </c>
      <c r="GS549" s="27" t="s">
        <v>8</v>
      </c>
      <c r="GT549" s="27" t="s">
        <v>7</v>
      </c>
      <c r="GU549" s="27" t="s">
        <v>8</v>
      </c>
      <c r="GV549" s="27" t="s">
        <v>7</v>
      </c>
      <c r="GW549" s="27" t="s">
        <v>8</v>
      </c>
      <c r="HG549" s="27" t="s">
        <v>8</v>
      </c>
      <c r="HH549" s="27" t="s">
        <v>7</v>
      </c>
      <c r="HI549" s="27" t="s">
        <v>8</v>
      </c>
      <c r="HJ549" s="27" t="s">
        <v>7</v>
      </c>
    </row>
    <row r="550" spans="1:336" x14ac:dyDescent="0.25">
      <c r="A550" s="7">
        <v>2.0806850905900198</v>
      </c>
      <c r="B550"/>
      <c r="C550"/>
      <c r="D550"/>
      <c r="E550"/>
      <c r="GI550" s="27" t="s">
        <v>8</v>
      </c>
      <c r="GJ550" s="27" t="s">
        <v>7</v>
      </c>
      <c r="GK550" s="27" t="s">
        <v>8</v>
      </c>
      <c r="GL550" s="27" t="s">
        <v>7</v>
      </c>
      <c r="GM550" s="27" t="s">
        <v>8</v>
      </c>
      <c r="GN550" s="27" t="s">
        <v>7</v>
      </c>
      <c r="GO550" s="27" t="s">
        <v>8</v>
      </c>
      <c r="GP550" s="27" t="s">
        <v>7</v>
      </c>
      <c r="GQ550" s="27" t="s">
        <v>8</v>
      </c>
      <c r="GR550" s="27" t="s">
        <v>7</v>
      </c>
      <c r="GS550" s="27" t="s">
        <v>8</v>
      </c>
      <c r="GT550" s="27" t="s">
        <v>7</v>
      </c>
      <c r="GU550" s="27" t="s">
        <v>8</v>
      </c>
      <c r="GV550" s="27" t="s">
        <v>7</v>
      </c>
      <c r="GW550" s="27" t="s">
        <v>8</v>
      </c>
      <c r="GX550" s="27" t="s">
        <v>7</v>
      </c>
      <c r="HG550" s="27" t="s">
        <v>8</v>
      </c>
      <c r="HH550" s="27" t="s">
        <v>7</v>
      </c>
      <c r="HI550" s="27" t="s">
        <v>8</v>
      </c>
      <c r="HJ550" s="27" t="s">
        <v>7</v>
      </c>
      <c r="HK550" s="27" t="s">
        <v>8</v>
      </c>
    </row>
    <row r="551" spans="1:336" x14ac:dyDescent="0.25">
      <c r="A551" s="7">
        <v>2.0398873437157055</v>
      </c>
      <c r="B551"/>
      <c r="C551"/>
      <c r="D551"/>
      <c r="E551"/>
      <c r="GI551" s="27" t="s">
        <v>8</v>
      </c>
      <c r="GJ551" s="27" t="s">
        <v>7</v>
      </c>
      <c r="GK551" s="27" t="s">
        <v>8</v>
      </c>
      <c r="GL551" s="27" t="s">
        <v>7</v>
      </c>
      <c r="GM551" s="27" t="s">
        <v>8</v>
      </c>
      <c r="GN551" s="27" t="s">
        <v>7</v>
      </c>
      <c r="GO551" s="27" t="s">
        <v>8</v>
      </c>
      <c r="GP551" s="27" t="s">
        <v>7</v>
      </c>
      <c r="GR551" s="27" t="s">
        <v>7</v>
      </c>
      <c r="GS551" s="27" t="s">
        <v>8</v>
      </c>
      <c r="GT551" s="27" t="s">
        <v>7</v>
      </c>
      <c r="GU551" s="27" t="s">
        <v>8</v>
      </c>
      <c r="GV551" s="27" t="s">
        <v>7</v>
      </c>
      <c r="GW551" s="27" t="s">
        <v>8</v>
      </c>
      <c r="GX551" s="27" t="s">
        <v>7</v>
      </c>
      <c r="HG551" s="27" t="s">
        <v>8</v>
      </c>
      <c r="HH551" s="27" t="s">
        <v>7</v>
      </c>
      <c r="HI551" s="27" t="s">
        <v>8</v>
      </c>
      <c r="HJ551" s="27" t="s">
        <v>7</v>
      </c>
      <c r="HK551" s="27" t="s">
        <v>8</v>
      </c>
      <c r="HL551" s="27" t="s">
        <v>7</v>
      </c>
    </row>
    <row r="552" spans="1:336" x14ac:dyDescent="0.25">
      <c r="A552" s="7">
        <v>1.9998895526624565</v>
      </c>
      <c r="B552"/>
      <c r="C552"/>
      <c r="D552"/>
      <c r="E552"/>
      <c r="GI552" s="27" t="s">
        <v>8</v>
      </c>
      <c r="GJ552" s="27" t="s">
        <v>7</v>
      </c>
      <c r="GK552" s="27" t="s">
        <v>8</v>
      </c>
      <c r="GL552" s="27" t="s">
        <v>7</v>
      </c>
      <c r="GM552" s="27" t="s">
        <v>8</v>
      </c>
      <c r="GN552" s="27" t="s">
        <v>7</v>
      </c>
      <c r="GO552" s="27" t="s">
        <v>8</v>
      </c>
      <c r="GR552" s="27" t="s">
        <v>7</v>
      </c>
      <c r="GS552" s="27" t="s">
        <v>8</v>
      </c>
      <c r="GT552" s="27" t="s">
        <v>7</v>
      </c>
      <c r="GU552" s="27" t="s">
        <v>8</v>
      </c>
      <c r="GV552" s="27" t="s">
        <v>7</v>
      </c>
      <c r="GW552" s="27" t="s">
        <v>8</v>
      </c>
      <c r="GX552" s="27" t="s">
        <v>7</v>
      </c>
      <c r="HG552" s="27" t="s">
        <v>8</v>
      </c>
      <c r="HH552" s="27" t="s">
        <v>7</v>
      </c>
      <c r="HI552" s="27" t="s">
        <v>8</v>
      </c>
      <c r="HJ552" s="27" t="s">
        <v>7</v>
      </c>
      <c r="HK552" s="27" t="s">
        <v>8</v>
      </c>
      <c r="HL552" s="27" t="s">
        <v>7</v>
      </c>
    </row>
    <row r="553" spans="1:336" x14ac:dyDescent="0.25">
      <c r="A553" s="7">
        <v>1.9606760320220162</v>
      </c>
      <c r="B553"/>
      <c r="C553"/>
      <c r="D553"/>
      <c r="E553"/>
      <c r="GI553" s="27" t="s">
        <v>8</v>
      </c>
      <c r="GJ553" s="27" t="s">
        <v>7</v>
      </c>
      <c r="GK553" s="27" t="s">
        <v>8</v>
      </c>
      <c r="GL553" s="27" t="s">
        <v>7</v>
      </c>
      <c r="GM553" s="27" t="s">
        <v>8</v>
      </c>
      <c r="GN553" s="27" t="s">
        <v>7</v>
      </c>
      <c r="GR553" s="27" t="s">
        <v>7</v>
      </c>
      <c r="GS553" s="27" t="s">
        <v>8</v>
      </c>
      <c r="GT553" s="27" t="s">
        <v>7</v>
      </c>
      <c r="GU553" s="27" t="s">
        <v>8</v>
      </c>
      <c r="GV553" s="27" t="s">
        <v>7</v>
      </c>
      <c r="GW553" s="27" t="s">
        <v>8</v>
      </c>
      <c r="GX553" s="27" t="s">
        <v>7</v>
      </c>
      <c r="HG553" s="27" t="s">
        <v>8</v>
      </c>
      <c r="HH553" s="27" t="s">
        <v>7</v>
      </c>
      <c r="HI553" s="27" t="s">
        <v>8</v>
      </c>
      <c r="HJ553" s="27" t="s">
        <v>7</v>
      </c>
      <c r="HK553" s="27" t="s">
        <v>8</v>
      </c>
      <c r="HL553" s="27" t="s">
        <v>7</v>
      </c>
      <c r="HM553" s="27" t="s">
        <v>8</v>
      </c>
    </row>
    <row r="554" spans="1:336" x14ac:dyDescent="0.25">
      <c r="A554" s="7">
        <v>1.9222314039431532</v>
      </c>
      <c r="B554"/>
      <c r="C554"/>
      <c r="D554"/>
      <c r="E554"/>
      <c r="GI554" s="27" t="s">
        <v>8</v>
      </c>
      <c r="GJ554" s="27" t="s">
        <v>7</v>
      </c>
      <c r="GK554" s="27" t="s">
        <v>8</v>
      </c>
      <c r="GL554" s="27" t="s">
        <v>7</v>
      </c>
      <c r="GM554" s="27" t="s">
        <v>8</v>
      </c>
      <c r="GR554" s="27" t="s">
        <v>7</v>
      </c>
      <c r="GS554" s="27" t="s">
        <v>8</v>
      </c>
      <c r="GT554" s="27" t="s">
        <v>7</v>
      </c>
      <c r="GU554" s="27" t="s">
        <v>8</v>
      </c>
      <c r="GV554" s="27" t="s">
        <v>7</v>
      </c>
      <c r="GW554" s="27" t="s">
        <v>8</v>
      </c>
      <c r="GX554" s="27" t="s">
        <v>7</v>
      </c>
      <c r="HG554" s="27" t="s">
        <v>8</v>
      </c>
      <c r="HH554" s="27" t="s">
        <v>7</v>
      </c>
      <c r="HI554" s="27" t="s">
        <v>8</v>
      </c>
      <c r="HJ554" s="27" t="s">
        <v>7</v>
      </c>
      <c r="HK554" s="27" t="s">
        <v>8</v>
      </c>
      <c r="HL554" s="27" t="s">
        <v>7</v>
      </c>
      <c r="HM554" s="27" t="s">
        <v>8</v>
      </c>
      <c r="HN554" s="27" t="s">
        <v>7</v>
      </c>
    </row>
    <row r="555" spans="1:336" x14ac:dyDescent="0.25">
      <c r="A555" s="7">
        <v>1.8845405921011305</v>
      </c>
      <c r="B555"/>
      <c r="C555"/>
      <c r="D555"/>
      <c r="E555"/>
      <c r="GI555" s="27" t="s">
        <v>8</v>
      </c>
      <c r="GJ555" s="27" t="s">
        <v>7</v>
      </c>
      <c r="GL555" s="27" t="s">
        <v>7</v>
      </c>
      <c r="GM555" s="27" t="s">
        <v>8</v>
      </c>
      <c r="GR555" s="27" t="s">
        <v>7</v>
      </c>
      <c r="GT555" s="27" t="s">
        <v>7</v>
      </c>
      <c r="GV555" s="27" t="s">
        <v>7</v>
      </c>
      <c r="GW555" s="27" t="s">
        <v>8</v>
      </c>
      <c r="GX555" s="27" t="s">
        <v>7</v>
      </c>
      <c r="HE555" s="27" t="s">
        <v>8</v>
      </c>
      <c r="HG555" s="27" t="s">
        <v>8</v>
      </c>
      <c r="HH555" s="27" t="s">
        <v>7</v>
      </c>
      <c r="HJ555" s="27" t="s">
        <v>7</v>
      </c>
      <c r="HK555" s="27" t="s">
        <v>8</v>
      </c>
      <c r="HL555" s="27" t="s">
        <v>7</v>
      </c>
      <c r="HM555" s="27" t="s">
        <v>8</v>
      </c>
      <c r="HN555" s="27" t="s">
        <v>7</v>
      </c>
    </row>
    <row r="556" spans="1:336" x14ac:dyDescent="0.25">
      <c r="A556" s="7">
        <v>1.8475888157854219</v>
      </c>
      <c r="B556"/>
      <c r="C556"/>
      <c r="D556"/>
      <c r="E556"/>
      <c r="GI556" s="27" t="s">
        <v>8</v>
      </c>
      <c r="GL556" s="27" t="s">
        <v>7</v>
      </c>
      <c r="GM556" s="27" t="s">
        <v>8</v>
      </c>
      <c r="GV556" s="27" t="s">
        <v>7</v>
      </c>
      <c r="GW556" s="27" t="s">
        <v>8</v>
      </c>
      <c r="GX556" s="27" t="s">
        <v>7</v>
      </c>
      <c r="GY556" s="27" t="s">
        <v>8</v>
      </c>
      <c r="HE556" s="27" t="s">
        <v>8</v>
      </c>
      <c r="HF556" s="27" t="s">
        <v>7</v>
      </c>
      <c r="HG556" s="27" t="s">
        <v>8</v>
      </c>
      <c r="HJ556" s="27" t="s">
        <v>7</v>
      </c>
      <c r="HK556" s="27" t="s">
        <v>8</v>
      </c>
      <c r="HL556" s="27" t="s">
        <v>7</v>
      </c>
      <c r="HM556" s="27" t="s">
        <v>8</v>
      </c>
      <c r="HN556" s="27" t="s">
        <v>7</v>
      </c>
      <c r="LW556" s="27" t="s">
        <v>8</v>
      </c>
    </row>
    <row r="557" spans="1:336" x14ac:dyDescent="0.25">
      <c r="A557" s="7">
        <v>1.8113615841033548</v>
      </c>
      <c r="B557"/>
      <c r="C557"/>
      <c r="D557"/>
      <c r="E557"/>
      <c r="FI557" s="27" t="s">
        <v>8</v>
      </c>
      <c r="GC557" s="27" t="s">
        <v>8</v>
      </c>
      <c r="GI557" s="27" t="s">
        <v>8</v>
      </c>
      <c r="GL557" s="27" t="s">
        <v>7</v>
      </c>
      <c r="GM557" s="27" t="s">
        <v>8</v>
      </c>
      <c r="GV557" s="27" t="s">
        <v>7</v>
      </c>
      <c r="GW557" s="27" t="s">
        <v>8</v>
      </c>
      <c r="GX557" s="27" t="s">
        <v>7</v>
      </c>
      <c r="GY557" s="27" t="s">
        <v>8</v>
      </c>
      <c r="GZ557" s="27" t="s">
        <v>7</v>
      </c>
      <c r="HC557" s="27" t="s">
        <v>8</v>
      </c>
      <c r="HE557" s="27" t="s">
        <v>8</v>
      </c>
      <c r="HF557" s="27" t="s">
        <v>7</v>
      </c>
      <c r="HG557" s="27" t="s">
        <v>8</v>
      </c>
      <c r="HJ557" s="27" t="s">
        <v>7</v>
      </c>
      <c r="HK557" s="27" t="s">
        <v>8</v>
      </c>
      <c r="HL557" s="27" t="s">
        <v>7</v>
      </c>
      <c r="HM557" s="27" t="s">
        <v>8</v>
      </c>
      <c r="HN557" s="27" t="s">
        <v>7</v>
      </c>
      <c r="LW557" s="27" t="s">
        <v>8</v>
      </c>
      <c r="LX557" s="27" t="s">
        <v>7</v>
      </c>
    </row>
    <row r="558" spans="1:336" x14ac:dyDescent="0.25">
      <c r="A558" s="7">
        <v>1.7758446902974065</v>
      </c>
      <c r="B558"/>
      <c r="C558"/>
      <c r="D558"/>
      <c r="E558"/>
      <c r="FI558" s="27" t="s">
        <v>8</v>
      </c>
      <c r="FJ558" s="27" t="s">
        <v>7</v>
      </c>
      <c r="GC558" s="27" t="s">
        <v>8</v>
      </c>
      <c r="GD558" s="27" t="s">
        <v>7</v>
      </c>
      <c r="GI558" s="27" t="s">
        <v>8</v>
      </c>
      <c r="GL558" s="27" t="s">
        <v>7</v>
      </c>
      <c r="GM558" s="27" t="s">
        <v>8</v>
      </c>
      <c r="GV558" s="27" t="s">
        <v>7</v>
      </c>
      <c r="GW558" s="27" t="s">
        <v>8</v>
      </c>
      <c r="GX558" s="27" t="s">
        <v>7</v>
      </c>
      <c r="GY558" s="27" t="s">
        <v>8</v>
      </c>
      <c r="GZ558" s="27" t="s">
        <v>7</v>
      </c>
      <c r="HC558" s="27" t="s">
        <v>8</v>
      </c>
      <c r="HD558" s="27" t="s">
        <v>7</v>
      </c>
      <c r="HE558" s="27" t="s">
        <v>8</v>
      </c>
      <c r="HF558" s="27" t="s">
        <v>7</v>
      </c>
      <c r="HG558" s="27" t="s">
        <v>8</v>
      </c>
      <c r="HJ558" s="27" t="s">
        <v>7</v>
      </c>
      <c r="HK558" s="27" t="s">
        <v>8</v>
      </c>
      <c r="HL558" s="27" t="s">
        <v>7</v>
      </c>
      <c r="HM558" s="27" t="s">
        <v>8</v>
      </c>
      <c r="HN558" s="27" t="s">
        <v>7</v>
      </c>
      <c r="LW558" s="27" t="s">
        <v>8</v>
      </c>
      <c r="LX558" s="27" t="s">
        <v>7</v>
      </c>
    </row>
    <row r="559" spans="1:336" x14ac:dyDescent="0.25">
      <c r="A559" s="7">
        <v>1.7410242061739281</v>
      </c>
      <c r="B559"/>
      <c r="C559"/>
      <c r="D559"/>
      <c r="E559"/>
      <c r="FI559" s="27" t="s">
        <v>8</v>
      </c>
      <c r="FJ559" s="27" t="s">
        <v>7</v>
      </c>
      <c r="GC559" s="27" t="s">
        <v>8</v>
      </c>
      <c r="GD559" s="27" t="s">
        <v>7</v>
      </c>
      <c r="GI559" s="27" t="s">
        <v>8</v>
      </c>
      <c r="GL559" s="27" t="s">
        <v>7</v>
      </c>
      <c r="GM559" s="27" t="s">
        <v>8</v>
      </c>
      <c r="GV559" s="27" t="s">
        <v>7</v>
      </c>
      <c r="GW559" s="27" t="s">
        <v>8</v>
      </c>
      <c r="GX559" s="27" t="s">
        <v>7</v>
      </c>
      <c r="GY559" s="27" t="s">
        <v>8</v>
      </c>
      <c r="GZ559" s="27" t="s">
        <v>7</v>
      </c>
      <c r="HC559" s="27" t="s">
        <v>8</v>
      </c>
      <c r="HD559" s="27" t="s">
        <v>7</v>
      </c>
      <c r="HE559" s="27" t="s">
        <v>8</v>
      </c>
      <c r="HF559" s="27" t="s">
        <v>7</v>
      </c>
      <c r="HG559" s="27" t="s">
        <v>8</v>
      </c>
      <c r="HJ559" s="27" t="s">
        <v>7</v>
      </c>
      <c r="HK559" s="27" t="s">
        <v>8</v>
      </c>
      <c r="HL559" s="27" t="s">
        <v>7</v>
      </c>
      <c r="HM559" s="27" t="s">
        <v>8</v>
      </c>
      <c r="HN559" s="27" t="s">
        <v>7</v>
      </c>
      <c r="LW559" s="27" t="s">
        <v>8</v>
      </c>
      <c r="LX559" s="27" t="s">
        <v>7</v>
      </c>
    </row>
    <row r="560" spans="1:336" x14ac:dyDescent="0.25">
      <c r="A560" s="7">
        <v>1.7068864766411058</v>
      </c>
      <c r="B560"/>
      <c r="C560"/>
      <c r="D560"/>
      <c r="E560"/>
      <c r="FI560" s="27" t="s">
        <v>8</v>
      </c>
      <c r="FJ560" s="27" t="s">
        <v>7</v>
      </c>
      <c r="GC560" s="27" t="s">
        <v>8</v>
      </c>
      <c r="GD560" s="27" t="s">
        <v>7</v>
      </c>
      <c r="GI560" s="27" t="s">
        <v>8</v>
      </c>
      <c r="GL560" s="27" t="s">
        <v>7</v>
      </c>
      <c r="GM560" s="27" t="s">
        <v>8</v>
      </c>
      <c r="GV560" s="27" t="s">
        <v>7</v>
      </c>
      <c r="GW560" s="27" t="s">
        <v>8</v>
      </c>
      <c r="GX560" s="27" t="s">
        <v>7</v>
      </c>
      <c r="GY560" s="27" t="s">
        <v>8</v>
      </c>
      <c r="GZ560" s="27" t="s">
        <v>7</v>
      </c>
      <c r="HC560" s="27" t="s">
        <v>8</v>
      </c>
      <c r="HD560" s="27" t="s">
        <v>7</v>
      </c>
      <c r="HE560" s="27" t="s">
        <v>8</v>
      </c>
      <c r="HF560" s="27" t="s">
        <v>7</v>
      </c>
      <c r="HG560" s="27" t="s">
        <v>8</v>
      </c>
      <c r="HJ560" s="27" t="s">
        <v>7</v>
      </c>
      <c r="HK560" s="27" t="s">
        <v>8</v>
      </c>
      <c r="HL560" s="27" t="s">
        <v>7</v>
      </c>
      <c r="HM560" s="27" t="s">
        <v>8</v>
      </c>
      <c r="HN560" s="27" t="s">
        <v>7</v>
      </c>
      <c r="LW560" s="27" t="s">
        <v>8</v>
      </c>
      <c r="LX560" s="27" t="s">
        <v>7</v>
      </c>
    </row>
    <row r="561" spans="1:347" x14ac:dyDescent="0.25">
      <c r="A561" s="7">
        <v>1.6734181143540252</v>
      </c>
      <c r="B561"/>
      <c r="C561"/>
      <c r="D561"/>
      <c r="E561"/>
      <c r="FI561" s="27" t="s">
        <v>8</v>
      </c>
      <c r="FJ561" s="27" t="s">
        <v>7</v>
      </c>
      <c r="GC561" s="27" t="s">
        <v>8</v>
      </c>
      <c r="GD561" s="27" t="s">
        <v>7</v>
      </c>
      <c r="GG561" s="27" t="s">
        <v>8</v>
      </c>
      <c r="GI561" s="27" t="s">
        <v>8</v>
      </c>
      <c r="GL561" s="27" t="s">
        <v>7</v>
      </c>
      <c r="GM561" s="27" t="s">
        <v>8</v>
      </c>
      <c r="GV561" s="27" t="s">
        <v>7</v>
      </c>
      <c r="GX561" s="27" t="s">
        <v>7</v>
      </c>
      <c r="GY561" s="27" t="s">
        <v>8</v>
      </c>
      <c r="GZ561" s="27" t="s">
        <v>7</v>
      </c>
      <c r="HA561" s="27" t="s">
        <v>8</v>
      </c>
      <c r="HC561" s="27" t="s">
        <v>8</v>
      </c>
      <c r="HD561" s="27" t="s">
        <v>7</v>
      </c>
      <c r="HE561" s="27" t="s">
        <v>8</v>
      </c>
      <c r="HF561" s="27" t="s">
        <v>7</v>
      </c>
      <c r="HG561" s="27" t="s">
        <v>8</v>
      </c>
      <c r="HJ561" s="27" t="s">
        <v>7</v>
      </c>
      <c r="HL561" s="27" t="s">
        <v>7</v>
      </c>
      <c r="HM561" s="27" t="s">
        <v>8</v>
      </c>
      <c r="HN561" s="27" t="s">
        <v>7</v>
      </c>
      <c r="LW561" s="27" t="s">
        <v>8</v>
      </c>
      <c r="LX561" s="27" t="s">
        <v>7</v>
      </c>
    </row>
    <row r="562" spans="1:347" x14ac:dyDescent="0.25">
      <c r="A562" s="7">
        <v>1.6406059944647307</v>
      </c>
      <c r="B562"/>
      <c r="C562"/>
      <c r="D562"/>
      <c r="E562"/>
      <c r="FI562" s="27" t="s">
        <v>8</v>
      </c>
      <c r="FJ562" s="27" t="s">
        <v>7</v>
      </c>
      <c r="FY562" s="27" t="s">
        <v>8</v>
      </c>
      <c r="GC562" s="27" t="s">
        <v>8</v>
      </c>
      <c r="GD562" s="27" t="s">
        <v>7</v>
      </c>
      <c r="GG562" s="27" t="s">
        <v>8</v>
      </c>
      <c r="GH562" s="27" t="s">
        <v>7</v>
      </c>
      <c r="GI562" s="27" t="s">
        <v>8</v>
      </c>
      <c r="GL562" s="27" t="s">
        <v>7</v>
      </c>
      <c r="GX562" s="27" t="s">
        <v>7</v>
      </c>
      <c r="GY562" s="27" t="s">
        <v>8</v>
      </c>
      <c r="GZ562" s="27" t="s">
        <v>7</v>
      </c>
      <c r="HA562" s="27" t="s">
        <v>8</v>
      </c>
      <c r="HB562" s="27" t="s">
        <v>7</v>
      </c>
      <c r="HC562" s="27" t="s">
        <v>8</v>
      </c>
      <c r="HD562" s="27" t="s">
        <v>7</v>
      </c>
      <c r="HF562" s="27" t="s">
        <v>7</v>
      </c>
      <c r="HG562" s="27" t="s">
        <v>8</v>
      </c>
      <c r="HL562" s="27" t="s">
        <v>7</v>
      </c>
      <c r="HM562" s="27" t="s">
        <v>8</v>
      </c>
      <c r="HN562" s="27" t="s">
        <v>7</v>
      </c>
      <c r="LW562" s="27" t="s">
        <v>8</v>
      </c>
      <c r="LX562" s="27" t="s">
        <v>7</v>
      </c>
    </row>
    <row r="563" spans="1:347" x14ac:dyDescent="0.25">
      <c r="A563" s="7">
        <v>1.6084372494752261</v>
      </c>
      <c r="B563"/>
      <c r="C563"/>
      <c r="D563"/>
      <c r="E563"/>
      <c r="FI563" s="27" t="s">
        <v>8</v>
      </c>
      <c r="FJ563" s="27" t="s">
        <v>7</v>
      </c>
      <c r="FY563" s="27" t="s">
        <v>8</v>
      </c>
      <c r="FZ563" s="27" t="s">
        <v>7</v>
      </c>
      <c r="GC563" s="27" t="s">
        <v>8</v>
      </c>
      <c r="GD563" s="27" t="s">
        <v>7</v>
      </c>
      <c r="GE563" s="27" t="s">
        <v>8</v>
      </c>
      <c r="GG563" s="27" t="s">
        <v>8</v>
      </c>
      <c r="GH563" s="27" t="s">
        <v>7</v>
      </c>
      <c r="GI563" s="27" t="s">
        <v>8</v>
      </c>
      <c r="GX563" s="27" t="s">
        <v>7</v>
      </c>
      <c r="GY563" s="27" t="s">
        <v>8</v>
      </c>
      <c r="GZ563" s="27" t="s">
        <v>7</v>
      </c>
      <c r="HA563" s="27" t="s">
        <v>8</v>
      </c>
      <c r="HB563" s="27" t="s">
        <v>7</v>
      </c>
      <c r="HC563" s="27" t="s">
        <v>8</v>
      </c>
      <c r="HF563" s="27" t="s">
        <v>7</v>
      </c>
      <c r="HG563" s="27" t="s">
        <v>8</v>
      </c>
      <c r="HL563" s="27" t="s">
        <v>7</v>
      </c>
      <c r="HM563" s="27" t="s">
        <v>8</v>
      </c>
      <c r="HN563" s="27" t="s">
        <v>7</v>
      </c>
      <c r="LW563" s="27" t="s">
        <v>8</v>
      </c>
      <c r="LX563" s="27" t="s">
        <v>7</v>
      </c>
    </row>
    <row r="564" spans="1:347" x14ac:dyDescent="0.25">
      <c r="A564" s="7">
        <v>1.5768992641913981</v>
      </c>
      <c r="B564"/>
      <c r="C564"/>
      <c r="D564"/>
      <c r="E564"/>
      <c r="FI564" s="27" t="s">
        <v>8</v>
      </c>
      <c r="FJ564" s="27" t="s">
        <v>7</v>
      </c>
      <c r="FY564" s="27" t="s">
        <v>8</v>
      </c>
      <c r="FZ564" s="27" t="s">
        <v>7</v>
      </c>
      <c r="GC564" s="27" t="s">
        <v>8</v>
      </c>
      <c r="GD564" s="27" t="s">
        <v>7</v>
      </c>
      <c r="GE564" s="27" t="s">
        <v>8</v>
      </c>
      <c r="GF564" s="27" t="s">
        <v>7</v>
      </c>
      <c r="GG564" s="27" t="s">
        <v>8</v>
      </c>
      <c r="GH564" s="27" t="s">
        <v>7</v>
      </c>
      <c r="GI564" s="27" t="s">
        <v>8</v>
      </c>
      <c r="GX564" s="27" t="s">
        <v>7</v>
      </c>
      <c r="GZ564" s="27" t="s">
        <v>7</v>
      </c>
      <c r="HA564" s="27" t="s">
        <v>8</v>
      </c>
      <c r="HB564" s="27" t="s">
        <v>7</v>
      </c>
      <c r="HC564" s="27" t="s">
        <v>8</v>
      </c>
      <c r="HF564" s="27" t="s">
        <v>7</v>
      </c>
      <c r="HG564" s="27" t="s">
        <v>8</v>
      </c>
      <c r="HL564" s="27" t="s">
        <v>7</v>
      </c>
      <c r="HM564" s="27" t="s">
        <v>8</v>
      </c>
      <c r="HN564" s="27" t="s">
        <v>7</v>
      </c>
      <c r="LW564" s="27" t="s">
        <v>8</v>
      </c>
      <c r="LX564" s="27" t="s">
        <v>7</v>
      </c>
    </row>
    <row r="565" spans="1:347" x14ac:dyDescent="0.25">
      <c r="A565" s="7">
        <v>1.5459796707758806</v>
      </c>
      <c r="B565"/>
      <c r="C565"/>
      <c r="D565"/>
      <c r="E565"/>
      <c r="FI565" s="27" t="s">
        <v>8</v>
      </c>
      <c r="FJ565" s="27" t="s">
        <v>7</v>
      </c>
      <c r="FY565" s="27" t="s">
        <v>8</v>
      </c>
      <c r="FZ565" s="27" t="s">
        <v>7</v>
      </c>
      <c r="GC565" s="27" t="s">
        <v>8</v>
      </c>
      <c r="GD565" s="27" t="s">
        <v>7</v>
      </c>
      <c r="GE565" s="27" t="s">
        <v>8</v>
      </c>
      <c r="GF565" s="27" t="s">
        <v>7</v>
      </c>
      <c r="GG565" s="27" t="s">
        <v>8</v>
      </c>
      <c r="GH565" s="27" t="s">
        <v>7</v>
      </c>
      <c r="GI565" s="27" t="s">
        <v>8</v>
      </c>
      <c r="GZ565" s="27" t="s">
        <v>7</v>
      </c>
      <c r="HA565" s="27" t="s">
        <v>8</v>
      </c>
      <c r="HB565" s="27" t="s">
        <v>7</v>
      </c>
      <c r="HC565" s="27" t="s">
        <v>8</v>
      </c>
      <c r="HF565" s="27" t="s">
        <v>7</v>
      </c>
      <c r="HG565" s="27" t="s">
        <v>8</v>
      </c>
      <c r="HL565" s="27" t="s">
        <v>7</v>
      </c>
      <c r="HM565" s="27" t="s">
        <v>8</v>
      </c>
      <c r="HN565" s="27" t="s">
        <v>7</v>
      </c>
      <c r="HO565" s="27" t="s">
        <v>8</v>
      </c>
      <c r="LW565" s="27" t="s">
        <v>8</v>
      </c>
      <c r="LX565" s="27" t="s">
        <v>7</v>
      </c>
    </row>
    <row r="566" spans="1:347" x14ac:dyDescent="0.25">
      <c r="A566" s="7">
        <v>1.5156663438979221</v>
      </c>
      <c r="B566"/>
      <c r="C566"/>
      <c r="D566"/>
      <c r="E566"/>
      <c r="FI566" s="27" t="s">
        <v>8</v>
      </c>
      <c r="FJ566" s="27" t="s">
        <v>7</v>
      </c>
      <c r="FY566" s="27" t="s">
        <v>8</v>
      </c>
      <c r="FZ566" s="27" t="s">
        <v>7</v>
      </c>
      <c r="GC566" s="27" t="s">
        <v>8</v>
      </c>
      <c r="GD566" s="27" t="s">
        <v>7</v>
      </c>
      <c r="GE566" s="27" t="s">
        <v>8</v>
      </c>
      <c r="GF566" s="27" t="s">
        <v>7</v>
      </c>
      <c r="GG566" s="27" t="s">
        <v>8</v>
      </c>
      <c r="GH566" s="27" t="s">
        <v>7</v>
      </c>
      <c r="GI566" s="27" t="s">
        <v>8</v>
      </c>
      <c r="GZ566" s="27" t="s">
        <v>7</v>
      </c>
      <c r="HA566" s="27" t="s">
        <v>8</v>
      </c>
      <c r="HB566" s="27" t="s">
        <v>7</v>
      </c>
      <c r="HF566" s="27" t="s">
        <v>7</v>
      </c>
      <c r="HL566" s="27" t="s">
        <v>7</v>
      </c>
      <c r="HN566" s="27" t="s">
        <v>7</v>
      </c>
      <c r="HO566" s="27" t="s">
        <v>8</v>
      </c>
      <c r="HP566" s="27" t="s">
        <v>7</v>
      </c>
      <c r="LW566" s="27" t="s">
        <v>8</v>
      </c>
      <c r="LX566" s="27" t="s">
        <v>7</v>
      </c>
    </row>
    <row r="567" spans="1:347" x14ac:dyDescent="0.25">
      <c r="A567" s="7">
        <v>1.4859473959783549</v>
      </c>
      <c r="B567"/>
      <c r="C567"/>
      <c r="D567"/>
      <c r="E567"/>
      <c r="FI567" s="27" t="s">
        <v>8</v>
      </c>
      <c r="FJ567" s="27" t="s">
        <v>7</v>
      </c>
      <c r="FY567" s="27" t="s">
        <v>8</v>
      </c>
      <c r="FZ567" s="27" t="s">
        <v>7</v>
      </c>
      <c r="GC567" s="27" t="s">
        <v>8</v>
      </c>
      <c r="GD567" s="27" t="s">
        <v>7</v>
      </c>
      <c r="GE567" s="27" t="s">
        <v>8</v>
      </c>
      <c r="GF567" s="27" t="s">
        <v>7</v>
      </c>
      <c r="GG567" s="27" t="s">
        <v>8</v>
      </c>
      <c r="GH567" s="27" t="s">
        <v>7</v>
      </c>
      <c r="GZ567" s="27" t="s">
        <v>7</v>
      </c>
      <c r="HA567" s="27" t="s">
        <v>8</v>
      </c>
      <c r="HN567" s="27" t="s">
        <v>7</v>
      </c>
      <c r="HO567" s="27" t="s">
        <v>8</v>
      </c>
      <c r="HP567" s="27" t="s">
        <v>7</v>
      </c>
      <c r="LW567" s="27" t="s">
        <v>8</v>
      </c>
      <c r="LX567" s="27" t="s">
        <v>7</v>
      </c>
    </row>
    <row r="568" spans="1:347" x14ac:dyDescent="0.25">
      <c r="A568" s="7">
        <v>1.4568111725277988</v>
      </c>
      <c r="B568"/>
      <c r="C568"/>
      <c r="D568"/>
      <c r="E568"/>
      <c r="FI568" s="27" t="s">
        <v>8</v>
      </c>
      <c r="FJ568" s="27" t="s">
        <v>7</v>
      </c>
      <c r="FY568" s="27" t="s">
        <v>8</v>
      </c>
      <c r="FZ568" s="27" t="s">
        <v>7</v>
      </c>
      <c r="GC568" s="27" t="s">
        <v>8</v>
      </c>
      <c r="GD568" s="27" t="s">
        <v>7</v>
      </c>
      <c r="GE568" s="27" t="s">
        <v>8</v>
      </c>
      <c r="GF568" s="27" t="s">
        <v>7</v>
      </c>
      <c r="GG568" s="27" t="s">
        <v>8</v>
      </c>
      <c r="GZ568" s="27" t="s">
        <v>7</v>
      </c>
      <c r="HA568" s="27" t="s">
        <v>8</v>
      </c>
      <c r="HN568" s="27" t="s">
        <v>7</v>
      </c>
      <c r="HO568" s="27" t="s">
        <v>8</v>
      </c>
      <c r="HP568" s="27" t="s">
        <v>7</v>
      </c>
      <c r="LW568" s="27" t="s">
        <v>8</v>
      </c>
      <c r="LX568" s="27" t="s">
        <v>7</v>
      </c>
    </row>
    <row r="569" spans="1:347" x14ac:dyDescent="0.25">
      <c r="A569" s="7">
        <v>1.4282462475762734</v>
      </c>
      <c r="B569"/>
      <c r="C569"/>
      <c r="D569"/>
      <c r="E569"/>
      <c r="FI569" s="27" t="s">
        <v>8</v>
      </c>
      <c r="FJ569" s="27" t="s">
        <v>7</v>
      </c>
      <c r="FY569" s="27" t="s">
        <v>8</v>
      </c>
      <c r="FZ569" s="27" t="s">
        <v>7</v>
      </c>
      <c r="GC569" s="27" t="s">
        <v>8</v>
      </c>
      <c r="GD569" s="27" t="s">
        <v>7</v>
      </c>
      <c r="GE569" s="27" t="s">
        <v>8</v>
      </c>
      <c r="GF569" s="27" t="s">
        <v>7</v>
      </c>
      <c r="GG569" s="27" t="s">
        <v>8</v>
      </c>
      <c r="GZ569" s="27" t="s">
        <v>7</v>
      </c>
      <c r="HA569" s="27" t="s">
        <v>8</v>
      </c>
      <c r="HN569" s="27" t="s">
        <v>7</v>
      </c>
      <c r="HO569" s="27" t="s">
        <v>8</v>
      </c>
      <c r="HP569" s="27" t="s">
        <v>7</v>
      </c>
      <c r="KE569" s="27" t="s">
        <v>8</v>
      </c>
      <c r="LW569" s="27" t="s">
        <v>8</v>
      </c>
      <c r="LX569" s="27" t="s">
        <v>7</v>
      </c>
    </row>
    <row r="570" spans="1:347" x14ac:dyDescent="0.25">
      <c r="A570" s="7">
        <v>1.4002414191924248</v>
      </c>
      <c r="B570"/>
      <c r="C570"/>
      <c r="D570"/>
      <c r="E570"/>
      <c r="FI570" s="27" t="s">
        <v>8</v>
      </c>
      <c r="FJ570" s="27" t="s">
        <v>7</v>
      </c>
      <c r="FY570" s="27" t="s">
        <v>8</v>
      </c>
      <c r="FZ570" s="27" t="s">
        <v>7</v>
      </c>
      <c r="GC570" s="27" t="s">
        <v>8</v>
      </c>
      <c r="GD570" s="27" t="s">
        <v>7</v>
      </c>
      <c r="GE570" s="27" t="s">
        <v>8</v>
      </c>
      <c r="GF570" s="27" t="s">
        <v>7</v>
      </c>
      <c r="GG570" s="27" t="s">
        <v>8</v>
      </c>
      <c r="GZ570" s="27" t="s">
        <v>7</v>
      </c>
      <c r="HA570" s="27" t="s">
        <v>8</v>
      </c>
      <c r="HN570" s="27" t="s">
        <v>7</v>
      </c>
      <c r="HP570" s="27" t="s">
        <v>7</v>
      </c>
      <c r="KE570" s="27" t="s">
        <v>8</v>
      </c>
      <c r="KF570" s="27" t="s">
        <v>7</v>
      </c>
      <c r="LW570" s="27" t="s">
        <v>8</v>
      </c>
      <c r="LX570" s="27" t="s">
        <v>7</v>
      </c>
      <c r="MA570" s="27" t="s">
        <v>8</v>
      </c>
    </row>
    <row r="571" spans="1:347" x14ac:dyDescent="0.25">
      <c r="A571" s="7">
        <v>1.3727857050906125</v>
      </c>
      <c r="B571"/>
      <c r="C571"/>
      <c r="D571"/>
      <c r="E571"/>
      <c r="FI571" s="27" t="s">
        <v>8</v>
      </c>
      <c r="FJ571" s="27" t="s">
        <v>7</v>
      </c>
      <c r="FY571" s="27" t="s">
        <v>8</v>
      </c>
      <c r="FZ571" s="27" t="s">
        <v>7</v>
      </c>
      <c r="GA571" s="27" t="s">
        <v>8</v>
      </c>
      <c r="GC571" s="27" t="s">
        <v>8</v>
      </c>
      <c r="GD571" s="27" t="s">
        <v>7</v>
      </c>
      <c r="GE571" s="27" t="s">
        <v>8</v>
      </c>
      <c r="GF571" s="27" t="s">
        <v>7</v>
      </c>
      <c r="GG571" s="27" t="s">
        <v>8</v>
      </c>
      <c r="GZ571" s="27" t="s">
        <v>7</v>
      </c>
      <c r="HA571" s="27" t="s">
        <v>8</v>
      </c>
      <c r="HP571" s="27" t="s">
        <v>7</v>
      </c>
      <c r="KE571" s="27" t="s">
        <v>8</v>
      </c>
      <c r="KF571" s="27" t="s">
        <v>7</v>
      </c>
      <c r="LW571" s="27" t="s">
        <v>8</v>
      </c>
      <c r="LX571" s="27" t="s">
        <v>7</v>
      </c>
      <c r="MA571" s="27" t="s">
        <v>8</v>
      </c>
      <c r="MB571" s="27" t="s">
        <v>7</v>
      </c>
    </row>
    <row r="572" spans="1:347" x14ac:dyDescent="0.25">
      <c r="A572" s="7">
        <v>1.3458683383241299</v>
      </c>
      <c r="B572"/>
      <c r="C572"/>
      <c r="D572"/>
      <c r="E572"/>
      <c r="FI572" s="27" t="s">
        <v>8</v>
      </c>
      <c r="FJ572" s="27" t="s">
        <v>7</v>
      </c>
      <c r="FY572" s="27" t="s">
        <v>8</v>
      </c>
      <c r="FZ572" s="27" t="s">
        <v>7</v>
      </c>
      <c r="GA572" s="27" t="s">
        <v>8</v>
      </c>
      <c r="GB572" s="27" t="s">
        <v>7</v>
      </c>
      <c r="GC572" s="27" t="s">
        <v>8</v>
      </c>
      <c r="GD572" s="27" t="s">
        <v>7</v>
      </c>
      <c r="GE572" s="27" t="s">
        <v>8</v>
      </c>
      <c r="GF572" s="27" t="s">
        <v>7</v>
      </c>
      <c r="GZ572" s="27" t="s">
        <v>7</v>
      </c>
      <c r="HA572" s="27" t="s">
        <v>8</v>
      </c>
      <c r="HP572" s="27" t="s">
        <v>7</v>
      </c>
      <c r="KE572" s="27" t="s">
        <v>8</v>
      </c>
      <c r="KF572" s="27" t="s">
        <v>7</v>
      </c>
      <c r="LW572" s="27" t="s">
        <v>8</v>
      </c>
      <c r="LX572" s="27" t="s">
        <v>7</v>
      </c>
      <c r="MA572" s="27" t="s">
        <v>8</v>
      </c>
      <c r="MB572" s="27" t="s">
        <v>7</v>
      </c>
    </row>
    <row r="573" spans="1:347" x14ac:dyDescent="0.25">
      <c r="A573" s="7">
        <v>1.3194787630628724</v>
      </c>
      <c r="B573"/>
      <c r="C573"/>
      <c r="D573"/>
      <c r="E573"/>
      <c r="FI573" s="27" t="s">
        <v>8</v>
      </c>
      <c r="FJ573" s="27" t="s">
        <v>7</v>
      </c>
      <c r="FY573" s="27" t="s">
        <v>8</v>
      </c>
      <c r="FZ573" s="27" t="s">
        <v>7</v>
      </c>
      <c r="GA573" s="27" t="s">
        <v>8</v>
      </c>
      <c r="GB573" s="27" t="s">
        <v>7</v>
      </c>
      <c r="GC573" s="27" t="s">
        <v>8</v>
      </c>
      <c r="GD573" s="27" t="s">
        <v>7</v>
      </c>
      <c r="GE573" s="27" t="s">
        <v>8</v>
      </c>
      <c r="GZ573" s="27" t="s">
        <v>7</v>
      </c>
      <c r="HA573" s="27" t="s">
        <v>8</v>
      </c>
      <c r="HP573" s="27" t="s">
        <v>7</v>
      </c>
      <c r="KE573" s="27" t="s">
        <v>8</v>
      </c>
      <c r="KF573" s="27" t="s">
        <v>7</v>
      </c>
      <c r="LW573" s="27" t="s">
        <v>8</v>
      </c>
      <c r="LX573" s="27" t="s">
        <v>7</v>
      </c>
      <c r="MA573" s="27" t="s">
        <v>8</v>
      </c>
      <c r="MB573" s="27" t="s">
        <v>7</v>
      </c>
    </row>
    <row r="574" spans="1:347" x14ac:dyDescent="0.25">
      <c r="A574" s="7">
        <v>1.2936066304537963</v>
      </c>
      <c r="B574"/>
      <c r="C574"/>
      <c r="D574"/>
      <c r="E574"/>
      <c r="FI574" s="27" t="s">
        <v>8</v>
      </c>
      <c r="FJ574" s="27" t="s">
        <v>7</v>
      </c>
      <c r="FY574" s="27" t="s">
        <v>8</v>
      </c>
      <c r="FZ574" s="27" t="s">
        <v>7</v>
      </c>
      <c r="GA574" s="27" t="s">
        <v>8</v>
      </c>
      <c r="GB574" s="27" t="s">
        <v>7</v>
      </c>
      <c r="GC574" s="27" t="s">
        <v>8</v>
      </c>
      <c r="GD574" s="27" t="s">
        <v>7</v>
      </c>
      <c r="GZ574" s="27" t="s">
        <v>7</v>
      </c>
      <c r="HA574" s="27" t="s">
        <v>8</v>
      </c>
      <c r="HP574" s="27" t="s">
        <v>7</v>
      </c>
      <c r="KE574" s="27" t="s">
        <v>8</v>
      </c>
      <c r="KF574" s="27" t="s">
        <v>7</v>
      </c>
      <c r="KG574" s="27" t="s">
        <v>8</v>
      </c>
      <c r="LW574" s="27" t="s">
        <v>8</v>
      </c>
      <c r="LX574" s="27" t="s">
        <v>7</v>
      </c>
      <c r="MA574" s="27" t="s">
        <v>8</v>
      </c>
      <c r="MB574" s="27" t="s">
        <v>7</v>
      </c>
    </row>
    <row r="575" spans="1:347" x14ac:dyDescent="0.25">
      <c r="A575" s="7">
        <v>1.2682417945625455</v>
      </c>
      <c r="B575"/>
      <c r="C575"/>
      <c r="D575"/>
      <c r="E575"/>
      <c r="FI575" s="27" t="s">
        <v>8</v>
      </c>
      <c r="FJ575" s="27" t="s">
        <v>7</v>
      </c>
      <c r="FY575" s="27" t="s">
        <v>8</v>
      </c>
      <c r="FZ575" s="27" t="s">
        <v>7</v>
      </c>
      <c r="GA575" s="27" t="s">
        <v>8</v>
      </c>
      <c r="GB575" s="27" t="s">
        <v>7</v>
      </c>
      <c r="GC575" s="27" t="s">
        <v>8</v>
      </c>
      <c r="GZ575" s="27" t="s">
        <v>7</v>
      </c>
      <c r="HA575" s="27" t="s">
        <v>8</v>
      </c>
      <c r="HP575" s="27" t="s">
        <v>7</v>
      </c>
      <c r="KE575" s="27" t="s">
        <v>8</v>
      </c>
      <c r="KF575" s="27" t="s">
        <v>7</v>
      </c>
      <c r="KG575" s="27" t="s">
        <v>8</v>
      </c>
      <c r="KH575" s="27" t="s">
        <v>7</v>
      </c>
      <c r="LW575" s="27" t="s">
        <v>8</v>
      </c>
      <c r="LX575" s="27" t="s">
        <v>7</v>
      </c>
      <c r="MA575" s="27" t="s">
        <v>8</v>
      </c>
      <c r="MB575" s="27" t="s">
        <v>7</v>
      </c>
    </row>
    <row r="576" spans="1:347" x14ac:dyDescent="0.25">
      <c r="A576" s="7">
        <v>1.2433743083946525</v>
      </c>
      <c r="B576"/>
      <c r="C576"/>
      <c r="D576"/>
      <c r="E576"/>
      <c r="FI576" s="27" t="s">
        <v>8</v>
      </c>
      <c r="FJ576" s="27" t="s">
        <v>7</v>
      </c>
      <c r="FY576" s="27" t="s">
        <v>8</v>
      </c>
      <c r="FZ576" s="27" t="s">
        <v>7</v>
      </c>
      <c r="GA576" s="27" t="s">
        <v>8</v>
      </c>
      <c r="GB576" s="27" t="s">
        <v>7</v>
      </c>
      <c r="GC576" s="27" t="s">
        <v>8</v>
      </c>
      <c r="GZ576" s="27" t="s">
        <v>7</v>
      </c>
      <c r="HA576" s="27" t="s">
        <v>8</v>
      </c>
      <c r="HP576" s="27" t="s">
        <v>7</v>
      </c>
      <c r="KE576" s="27" t="s">
        <v>8</v>
      </c>
      <c r="KF576" s="27" t="s">
        <v>7</v>
      </c>
      <c r="KG576" s="27" t="s">
        <v>8</v>
      </c>
      <c r="KH576" s="27" t="s">
        <v>7</v>
      </c>
      <c r="LO576" s="27" t="s">
        <v>8</v>
      </c>
      <c r="LW576" s="27" t="s">
        <v>8</v>
      </c>
      <c r="LX576" s="27" t="s">
        <v>7</v>
      </c>
      <c r="MA576" s="27" t="s">
        <v>8</v>
      </c>
      <c r="MB576" s="27" t="s">
        <v>7</v>
      </c>
      <c r="MI576" s="27" t="s">
        <v>8</v>
      </c>
    </row>
    <row r="577" spans="1:352" x14ac:dyDescent="0.25">
      <c r="A577" s="7">
        <v>1.2189944199947573</v>
      </c>
      <c r="B577"/>
      <c r="C577"/>
      <c r="D577"/>
      <c r="E577"/>
      <c r="FI577" s="27" t="s">
        <v>8</v>
      </c>
      <c r="FJ577" s="27" t="s">
        <v>7</v>
      </c>
      <c r="FK577" s="27" t="s">
        <v>8</v>
      </c>
      <c r="FM577" s="27" t="s">
        <v>8</v>
      </c>
      <c r="FY577" s="27" t="s">
        <v>8</v>
      </c>
      <c r="FZ577" s="27" t="s">
        <v>7</v>
      </c>
      <c r="GA577" s="27" t="s">
        <v>8</v>
      </c>
      <c r="GB577" s="27" t="s">
        <v>7</v>
      </c>
      <c r="GC577" s="27" t="s">
        <v>8</v>
      </c>
      <c r="GZ577" s="27" t="s">
        <v>7</v>
      </c>
      <c r="HA577" s="27" t="s">
        <v>8</v>
      </c>
      <c r="HP577" s="27" t="s">
        <v>7</v>
      </c>
      <c r="KE577" s="27" t="s">
        <v>8</v>
      </c>
      <c r="KF577" s="27" t="s">
        <v>7</v>
      </c>
      <c r="KG577" s="27" t="s">
        <v>8</v>
      </c>
      <c r="KH577" s="27" t="s">
        <v>7</v>
      </c>
      <c r="LO577" s="27" t="s">
        <v>8</v>
      </c>
      <c r="LP577" s="27" t="s">
        <v>7</v>
      </c>
      <c r="LW577" s="27" t="s">
        <v>8</v>
      </c>
      <c r="LX577" s="27" t="s">
        <v>7</v>
      </c>
      <c r="MA577" s="27" t="s">
        <v>8</v>
      </c>
      <c r="MB577" s="27" t="s">
        <v>7</v>
      </c>
      <c r="MI577" s="27" t="s">
        <v>8</v>
      </c>
      <c r="MJ577" s="27" t="s">
        <v>7</v>
      </c>
    </row>
    <row r="578" spans="1:352" x14ac:dyDescent="0.25">
      <c r="A578" s="7">
        <v>1.1950925686223111</v>
      </c>
      <c r="B578"/>
      <c r="C578"/>
      <c r="D578"/>
      <c r="E578"/>
      <c r="FI578" s="27" t="s">
        <v>8</v>
      </c>
      <c r="FJ578" s="27" t="s">
        <v>7</v>
      </c>
      <c r="FK578" s="27" t="s">
        <v>8</v>
      </c>
      <c r="FL578" s="27" t="s">
        <v>7</v>
      </c>
      <c r="FM578" s="27" t="s">
        <v>8</v>
      </c>
      <c r="FN578" s="27" t="s">
        <v>7</v>
      </c>
      <c r="FY578" s="27" t="s">
        <v>8</v>
      </c>
      <c r="FZ578" s="27" t="s">
        <v>7</v>
      </c>
      <c r="GB578" s="27" t="s">
        <v>7</v>
      </c>
      <c r="GC578" s="27" t="s">
        <v>8</v>
      </c>
      <c r="GZ578" s="27" t="s">
        <v>7</v>
      </c>
      <c r="HA578" s="27" t="s">
        <v>8</v>
      </c>
      <c r="HP578" s="27" t="s">
        <v>7</v>
      </c>
      <c r="KE578" s="27" t="s">
        <v>8</v>
      </c>
      <c r="KF578" s="27" t="s">
        <v>7</v>
      </c>
      <c r="KG578" s="27" t="s">
        <v>8</v>
      </c>
      <c r="KH578" s="27" t="s">
        <v>7</v>
      </c>
      <c r="LO578" s="27" t="s">
        <v>8</v>
      </c>
      <c r="LP578" s="27" t="s">
        <v>7</v>
      </c>
      <c r="LW578" s="27" t="s">
        <v>8</v>
      </c>
      <c r="LX578" s="27" t="s">
        <v>7</v>
      </c>
      <c r="MA578" s="27" t="s">
        <v>8</v>
      </c>
      <c r="MB578" s="27" t="s">
        <v>7</v>
      </c>
      <c r="MI578" s="27" t="s">
        <v>8</v>
      </c>
      <c r="MJ578" s="27" t="s">
        <v>7</v>
      </c>
    </row>
    <row r="579" spans="1:352" x14ac:dyDescent="0.25">
      <c r="A579" s="7">
        <v>1.1716593810022657</v>
      </c>
      <c r="B579"/>
      <c r="C579"/>
      <c r="D579"/>
      <c r="E579"/>
      <c r="FI579" s="27" t="s">
        <v>8</v>
      </c>
      <c r="FJ579" s="27" t="s">
        <v>7</v>
      </c>
      <c r="FK579" s="27" t="s">
        <v>8</v>
      </c>
      <c r="FL579" s="27" t="s">
        <v>7</v>
      </c>
      <c r="FM579" s="27" t="s">
        <v>8</v>
      </c>
      <c r="FN579" s="27" t="s">
        <v>7</v>
      </c>
      <c r="FW579" s="27" t="s">
        <v>8</v>
      </c>
      <c r="FY579" s="27" t="s">
        <v>8</v>
      </c>
      <c r="GB579" s="27" t="s">
        <v>7</v>
      </c>
      <c r="GC579" s="27" t="s">
        <v>8</v>
      </c>
      <c r="GZ579" s="27" t="s">
        <v>7</v>
      </c>
      <c r="HA579" s="27" t="s">
        <v>8</v>
      </c>
      <c r="HP579" s="27" t="s">
        <v>7</v>
      </c>
      <c r="KC579" s="27" t="s">
        <v>8</v>
      </c>
      <c r="KE579" s="27" t="s">
        <v>8</v>
      </c>
      <c r="KF579" s="27" t="s">
        <v>7</v>
      </c>
      <c r="KH579" s="27" t="s">
        <v>7</v>
      </c>
      <c r="LO579" s="27" t="s">
        <v>8</v>
      </c>
      <c r="LP579" s="27" t="s">
        <v>7</v>
      </c>
      <c r="LQ579" s="27" t="s">
        <v>8</v>
      </c>
      <c r="LW579" s="27" t="s">
        <v>8</v>
      </c>
      <c r="LX579" s="27" t="s">
        <v>7</v>
      </c>
      <c r="MA579" s="27" t="s">
        <v>8</v>
      </c>
      <c r="MB579" s="27" t="s">
        <v>7</v>
      </c>
      <c r="MI579" s="27" t="s">
        <v>8</v>
      </c>
      <c r="MJ579" s="27" t="s">
        <v>7</v>
      </c>
    </row>
    <row r="580" spans="1:352" x14ac:dyDescent="0.25">
      <c r="A580" s="7">
        <v>1.14868566764928</v>
      </c>
      <c r="B580"/>
      <c r="C580"/>
      <c r="D580"/>
      <c r="E580"/>
      <c r="FI580" s="27" t="s">
        <v>8</v>
      </c>
      <c r="FJ580" s="27" t="s">
        <v>7</v>
      </c>
      <c r="FK580" s="27" t="s">
        <v>8</v>
      </c>
      <c r="FL580" s="27" t="s">
        <v>7</v>
      </c>
      <c r="FM580" s="27" t="s">
        <v>8</v>
      </c>
      <c r="FN580" s="27" t="s">
        <v>7</v>
      </c>
      <c r="FW580" s="27" t="s">
        <v>8</v>
      </c>
      <c r="FX580" s="27" t="s">
        <v>7</v>
      </c>
      <c r="FY580" s="27" t="s">
        <v>8</v>
      </c>
      <c r="GB580" s="27" t="s">
        <v>7</v>
      </c>
      <c r="GC580" s="27" t="s">
        <v>8</v>
      </c>
      <c r="GZ580" s="27" t="s">
        <v>7</v>
      </c>
      <c r="HA580" s="27" t="s">
        <v>8</v>
      </c>
      <c r="HP580" s="27" t="s">
        <v>7</v>
      </c>
      <c r="KC580" s="27" t="s">
        <v>8</v>
      </c>
      <c r="KD580" s="27" t="s">
        <v>7</v>
      </c>
      <c r="KE580" s="27" t="s">
        <v>8</v>
      </c>
      <c r="KH580" s="27" t="s">
        <v>7</v>
      </c>
      <c r="LO580" s="27" t="s">
        <v>8</v>
      </c>
      <c r="LP580" s="27" t="s">
        <v>7</v>
      </c>
      <c r="LQ580" s="27" t="s">
        <v>8</v>
      </c>
      <c r="LR580" s="27" t="s">
        <v>7</v>
      </c>
      <c r="LW580" s="27" t="s">
        <v>8</v>
      </c>
      <c r="LX580" s="27" t="s">
        <v>7</v>
      </c>
      <c r="MA580" s="27" t="s">
        <v>8</v>
      </c>
      <c r="MB580" s="27" t="s">
        <v>7</v>
      </c>
      <c r="MI580" s="27" t="s">
        <v>8</v>
      </c>
      <c r="MJ580" s="27" t="s">
        <v>7</v>
      </c>
    </row>
    <row r="581" spans="1:352" x14ac:dyDescent="0.25">
      <c r="A581" s="7">
        <v>1.1261624192640001</v>
      </c>
      <c r="B581"/>
      <c r="C581"/>
      <c r="D581"/>
      <c r="E581"/>
      <c r="FI581" s="27" t="s">
        <v>8</v>
      </c>
      <c r="FJ581" s="27" t="s">
        <v>7</v>
      </c>
      <c r="FK581" s="27" t="s">
        <v>8</v>
      </c>
      <c r="FL581" s="27" t="s">
        <v>7</v>
      </c>
      <c r="FM581" s="27" t="s">
        <v>8</v>
      </c>
      <c r="FN581" s="27" t="s">
        <v>7</v>
      </c>
      <c r="FW581" s="27" t="s">
        <v>8</v>
      </c>
      <c r="FX581" s="27" t="s">
        <v>7</v>
      </c>
      <c r="FY581" s="27" t="s">
        <v>8</v>
      </c>
      <c r="GB581" s="27" t="s">
        <v>7</v>
      </c>
      <c r="GZ581" s="27" t="s">
        <v>7</v>
      </c>
      <c r="HP581" s="27" t="s">
        <v>7</v>
      </c>
      <c r="HQ581" s="27" t="s">
        <v>8</v>
      </c>
      <c r="JQ581" s="27" t="s">
        <v>8</v>
      </c>
      <c r="JW581" s="27" t="s">
        <v>8</v>
      </c>
      <c r="KC581" s="27" t="s">
        <v>8</v>
      </c>
      <c r="KD581" s="27" t="s">
        <v>7</v>
      </c>
      <c r="KE581" s="27" t="s">
        <v>8</v>
      </c>
      <c r="KH581" s="27" t="s">
        <v>7</v>
      </c>
      <c r="KS581" s="27" t="s">
        <v>8</v>
      </c>
      <c r="KW581" s="27" t="s">
        <v>8</v>
      </c>
      <c r="LE581" s="27" t="s">
        <v>8</v>
      </c>
      <c r="LO581" s="27" t="s">
        <v>8</v>
      </c>
      <c r="LP581" s="27" t="s">
        <v>7</v>
      </c>
      <c r="LQ581" s="27" t="s">
        <v>8</v>
      </c>
      <c r="LR581" s="27" t="s">
        <v>7</v>
      </c>
      <c r="LW581" s="27" t="s">
        <v>8</v>
      </c>
      <c r="LX581" s="27" t="s">
        <v>7</v>
      </c>
      <c r="LY581" s="27" t="s">
        <v>8</v>
      </c>
      <c r="MA581" s="27" t="s">
        <v>8</v>
      </c>
      <c r="MB581" s="27" t="s">
        <v>7</v>
      </c>
      <c r="MC581" s="27" t="s">
        <v>8</v>
      </c>
      <c r="MI581" s="27" t="s">
        <v>8</v>
      </c>
      <c r="MJ581" s="27" t="s">
        <v>7</v>
      </c>
    </row>
    <row r="582" spans="1:352" x14ac:dyDescent="0.25">
      <c r="A582" s="7">
        <v>1.1040808032</v>
      </c>
      <c r="B582"/>
      <c r="C582"/>
      <c r="D582"/>
      <c r="E582"/>
      <c r="FI582" s="27" t="s">
        <v>8</v>
      </c>
      <c r="FJ582" s="27" t="s">
        <v>7</v>
      </c>
      <c r="FK582" s="27" t="s">
        <v>8</v>
      </c>
      <c r="FL582" s="27" t="s">
        <v>7</v>
      </c>
      <c r="FM582" s="27" t="s">
        <v>8</v>
      </c>
      <c r="FN582" s="27" t="s">
        <v>7</v>
      </c>
      <c r="FW582" s="27" t="s">
        <v>8</v>
      </c>
      <c r="FX582" s="27" t="s">
        <v>7</v>
      </c>
      <c r="FY582" s="27" t="s">
        <v>8</v>
      </c>
      <c r="HP582" s="27" t="s">
        <v>7</v>
      </c>
      <c r="HQ582" s="27" t="s">
        <v>8</v>
      </c>
      <c r="HR582" s="27" t="s">
        <v>7</v>
      </c>
      <c r="JQ582" s="27" t="s">
        <v>8</v>
      </c>
      <c r="JR582" s="27" t="s">
        <v>7</v>
      </c>
      <c r="JW582" s="27" t="s">
        <v>8</v>
      </c>
      <c r="JX582" s="27" t="s">
        <v>7</v>
      </c>
      <c r="KC582" s="27" t="s">
        <v>8</v>
      </c>
      <c r="KD582" s="27" t="s">
        <v>7</v>
      </c>
      <c r="KE582" s="27" t="s">
        <v>8</v>
      </c>
      <c r="KH582" s="27" t="s">
        <v>7</v>
      </c>
      <c r="KS582" s="27" t="s">
        <v>8</v>
      </c>
      <c r="KT582" s="27" t="s">
        <v>7</v>
      </c>
      <c r="KW582" s="27" t="s">
        <v>8</v>
      </c>
      <c r="KX582" s="27" t="s">
        <v>7</v>
      </c>
      <c r="LE582" s="27" t="s">
        <v>8</v>
      </c>
      <c r="LF582" s="27" t="s">
        <v>7</v>
      </c>
      <c r="LG582" s="27" t="s">
        <v>8</v>
      </c>
      <c r="LO582" s="27" t="s">
        <v>8</v>
      </c>
      <c r="LP582" s="27" t="s">
        <v>7</v>
      </c>
      <c r="LQ582" s="27" t="s">
        <v>8</v>
      </c>
      <c r="LR582" s="27" t="s">
        <v>7</v>
      </c>
      <c r="LW582" s="27" t="s">
        <v>8</v>
      </c>
      <c r="LX582" s="27" t="s">
        <v>7</v>
      </c>
      <c r="LY582" s="27" t="s">
        <v>8</v>
      </c>
      <c r="LZ582" s="27" t="s">
        <v>7</v>
      </c>
      <c r="MA582" s="27" t="s">
        <v>8</v>
      </c>
      <c r="MB582" s="27" t="s">
        <v>7</v>
      </c>
      <c r="MC582" s="27" t="s">
        <v>8</v>
      </c>
      <c r="MD582" s="27" t="s">
        <v>7</v>
      </c>
      <c r="ME582" s="27" t="s">
        <v>8</v>
      </c>
      <c r="MI582" s="27" t="s">
        <v>8</v>
      </c>
      <c r="MJ582" s="27" t="s">
        <v>7</v>
      </c>
    </row>
    <row r="583" spans="1:352" x14ac:dyDescent="0.25">
      <c r="A583" s="7">
        <v>1.08243216</v>
      </c>
      <c r="B583"/>
      <c r="C583"/>
      <c r="D583"/>
      <c r="E583"/>
      <c r="FI583" s="27" t="s">
        <v>8</v>
      </c>
      <c r="FJ583" s="27" t="s">
        <v>7</v>
      </c>
      <c r="FK583" s="27" t="s">
        <v>8</v>
      </c>
      <c r="FL583" s="27" t="s">
        <v>7</v>
      </c>
      <c r="FM583" s="27" t="s">
        <v>8</v>
      </c>
      <c r="FN583" s="27" t="s">
        <v>7</v>
      </c>
      <c r="FW583" s="27" t="s">
        <v>8</v>
      </c>
      <c r="FX583" s="27" t="s">
        <v>7</v>
      </c>
      <c r="FY583" s="27" t="s">
        <v>8</v>
      </c>
      <c r="HP583" s="27" t="s">
        <v>7</v>
      </c>
      <c r="HQ583" s="27" t="s">
        <v>8</v>
      </c>
      <c r="HR583" s="27" t="s">
        <v>7</v>
      </c>
      <c r="JQ583" s="27" t="s">
        <v>8</v>
      </c>
      <c r="JR583" s="27" t="s">
        <v>7</v>
      </c>
      <c r="JW583" s="27" t="s">
        <v>8</v>
      </c>
      <c r="JX583" s="27" t="s">
        <v>7</v>
      </c>
      <c r="KC583" s="27" t="s">
        <v>8</v>
      </c>
      <c r="KD583" s="27" t="s">
        <v>7</v>
      </c>
      <c r="KE583" s="27" t="s">
        <v>8</v>
      </c>
      <c r="KH583" s="27" t="s">
        <v>7</v>
      </c>
      <c r="KS583" s="27" t="s">
        <v>8</v>
      </c>
      <c r="KT583" s="27" t="s">
        <v>7</v>
      </c>
      <c r="KW583" s="27" t="s">
        <v>8</v>
      </c>
      <c r="KX583" s="27" t="s">
        <v>7</v>
      </c>
      <c r="LA583" s="27" t="s">
        <v>8</v>
      </c>
      <c r="LC583" s="27" t="s">
        <v>8</v>
      </c>
      <c r="LE583" s="27" t="s">
        <v>8</v>
      </c>
      <c r="LF583" s="27" t="s">
        <v>7</v>
      </c>
      <c r="LG583" s="27" t="s">
        <v>8</v>
      </c>
      <c r="LH583" s="27" t="s">
        <v>7</v>
      </c>
      <c r="LO583" s="27" t="s">
        <v>8</v>
      </c>
      <c r="LP583" s="27" t="s">
        <v>7</v>
      </c>
      <c r="LQ583" s="27" t="s">
        <v>8</v>
      </c>
      <c r="LR583" s="27" t="s">
        <v>7</v>
      </c>
      <c r="LS583" s="27" t="s">
        <v>8</v>
      </c>
      <c r="LW583" s="27" t="s">
        <v>8</v>
      </c>
      <c r="LX583" s="27" t="s">
        <v>7</v>
      </c>
      <c r="LY583" s="27" t="s">
        <v>8</v>
      </c>
      <c r="LZ583" s="27" t="s">
        <v>7</v>
      </c>
      <c r="MA583" s="27" t="s">
        <v>8</v>
      </c>
      <c r="MB583" s="27" t="s">
        <v>7</v>
      </c>
      <c r="MC583" s="27" t="s">
        <v>8</v>
      </c>
      <c r="MD583" s="27" t="s">
        <v>7</v>
      </c>
      <c r="ME583" s="27" t="s">
        <v>8</v>
      </c>
      <c r="MF583" s="27" t="s">
        <v>7</v>
      </c>
      <c r="MI583" s="27" t="s">
        <v>8</v>
      </c>
      <c r="MJ583" s="27" t="s">
        <v>7</v>
      </c>
      <c r="MK583" s="27" t="s">
        <v>8</v>
      </c>
    </row>
    <row r="584" spans="1:352" x14ac:dyDescent="0.25">
      <c r="A584" s="7">
        <v>1.0612079999999999</v>
      </c>
      <c r="B584"/>
      <c r="C584"/>
      <c r="D584"/>
      <c r="E584"/>
      <c r="FI584" s="27" t="s">
        <v>8</v>
      </c>
      <c r="FJ584" s="27" t="s">
        <v>7</v>
      </c>
      <c r="FK584" s="27" t="s">
        <v>8</v>
      </c>
      <c r="FL584" s="27" t="s">
        <v>7</v>
      </c>
      <c r="FM584" s="27" t="s">
        <v>8</v>
      </c>
      <c r="FN584" s="27" t="s">
        <v>7</v>
      </c>
      <c r="FS584" s="27" t="s">
        <v>8</v>
      </c>
      <c r="FW584" s="27" t="s">
        <v>8</v>
      </c>
      <c r="FX584" s="27" t="s">
        <v>7</v>
      </c>
      <c r="FY584" s="27" t="s">
        <v>8</v>
      </c>
      <c r="HP584" s="27" t="s">
        <v>7</v>
      </c>
      <c r="HQ584" s="27" t="s">
        <v>8</v>
      </c>
      <c r="HR584" s="27" t="s">
        <v>7</v>
      </c>
      <c r="JQ584" s="27" t="s">
        <v>8</v>
      </c>
      <c r="JR584" s="27" t="s">
        <v>7</v>
      </c>
      <c r="JS584" s="27" t="s">
        <v>8</v>
      </c>
      <c r="JW584" s="27" t="s">
        <v>8</v>
      </c>
      <c r="JX584" s="27" t="s">
        <v>7</v>
      </c>
      <c r="KC584" s="27" t="s">
        <v>8</v>
      </c>
      <c r="KD584" s="27" t="s">
        <v>7</v>
      </c>
      <c r="KE584" s="27" t="s">
        <v>8</v>
      </c>
      <c r="KH584" s="27" t="s">
        <v>7</v>
      </c>
      <c r="KS584" s="27" t="s">
        <v>8</v>
      </c>
      <c r="KT584" s="27" t="s">
        <v>7</v>
      </c>
      <c r="KW584" s="27" t="s">
        <v>8</v>
      </c>
      <c r="KX584" s="27" t="s">
        <v>7</v>
      </c>
      <c r="KY584" s="27" t="s">
        <v>8</v>
      </c>
      <c r="LA584" s="27" t="s">
        <v>8</v>
      </c>
      <c r="LB584" s="27" t="s">
        <v>7</v>
      </c>
      <c r="LC584" s="27" t="s">
        <v>8</v>
      </c>
      <c r="LD584" s="27" t="s">
        <v>7</v>
      </c>
      <c r="LE584" s="27" t="s">
        <v>8</v>
      </c>
      <c r="LF584" s="27" t="s">
        <v>7</v>
      </c>
      <c r="LG584" s="27" t="s">
        <v>8</v>
      </c>
      <c r="LH584" s="27" t="s">
        <v>7</v>
      </c>
      <c r="LO584" s="27" t="s">
        <v>8</v>
      </c>
      <c r="LP584" s="27" t="s">
        <v>7</v>
      </c>
      <c r="LQ584" s="27" t="s">
        <v>8</v>
      </c>
      <c r="LR584" s="27" t="s">
        <v>7</v>
      </c>
      <c r="LS584" s="27" t="s">
        <v>8</v>
      </c>
      <c r="LT584" s="27" t="s">
        <v>7</v>
      </c>
      <c r="LW584" s="27" t="s">
        <v>8</v>
      </c>
      <c r="LX584" s="27" t="s">
        <v>7</v>
      </c>
      <c r="LY584" s="27" t="s">
        <v>8</v>
      </c>
      <c r="LZ584" s="27" t="s">
        <v>7</v>
      </c>
      <c r="MA584" s="27" t="s">
        <v>8</v>
      </c>
      <c r="MB584" s="27" t="s">
        <v>7</v>
      </c>
      <c r="MC584" s="27" t="s">
        <v>8</v>
      </c>
      <c r="MD584" s="27" t="s">
        <v>7</v>
      </c>
      <c r="ME584" s="27" t="s">
        <v>8</v>
      </c>
      <c r="MF584" s="27" t="s">
        <v>7</v>
      </c>
      <c r="MG584" s="27" t="s">
        <v>8</v>
      </c>
      <c r="MI584" s="27" t="s">
        <v>8</v>
      </c>
      <c r="MJ584" s="27" t="s">
        <v>7</v>
      </c>
      <c r="MK584" s="27" t="s">
        <v>8</v>
      </c>
      <c r="ML584" s="27" t="s">
        <v>7</v>
      </c>
    </row>
    <row r="585" spans="1:352" x14ac:dyDescent="0.25">
      <c r="A585" s="7">
        <v>1.0404</v>
      </c>
      <c r="B585"/>
      <c r="C585"/>
      <c r="D585"/>
      <c r="E585"/>
      <c r="FI585" s="27" t="s">
        <v>8</v>
      </c>
      <c r="FJ585" s="27" t="s">
        <v>7</v>
      </c>
      <c r="FK585" s="27" t="s">
        <v>8</v>
      </c>
      <c r="FL585" s="27" t="s">
        <v>7</v>
      </c>
      <c r="FM585" s="27" t="s">
        <v>8</v>
      </c>
      <c r="FN585" s="27" t="s">
        <v>7</v>
      </c>
      <c r="FS585" s="27" t="s">
        <v>8</v>
      </c>
      <c r="FT585" s="27" t="s">
        <v>7</v>
      </c>
      <c r="FU585" s="27" t="s">
        <v>8</v>
      </c>
      <c r="FW585" s="27" t="s">
        <v>8</v>
      </c>
      <c r="FX585" s="27" t="s">
        <v>7</v>
      </c>
      <c r="FY585" s="27" t="s">
        <v>8</v>
      </c>
      <c r="HP585" s="27" t="s">
        <v>7</v>
      </c>
      <c r="HQ585" s="27" t="s">
        <v>8</v>
      </c>
      <c r="HR585" s="27" t="s">
        <v>7</v>
      </c>
      <c r="JK585" s="27" t="s">
        <v>8</v>
      </c>
      <c r="JQ585" s="27" t="s">
        <v>8</v>
      </c>
      <c r="JR585" s="27" t="s">
        <v>7</v>
      </c>
      <c r="JS585" s="27" t="s">
        <v>8</v>
      </c>
      <c r="JT585" s="27" t="s">
        <v>7</v>
      </c>
      <c r="JW585" s="27" t="s">
        <v>8</v>
      </c>
      <c r="JX585" s="27" t="s">
        <v>7</v>
      </c>
      <c r="KC585" s="27" t="s">
        <v>8</v>
      </c>
      <c r="KD585" s="27" t="s">
        <v>7</v>
      </c>
      <c r="KE585" s="27" t="s">
        <v>8</v>
      </c>
      <c r="KH585" s="27" t="s">
        <v>7</v>
      </c>
      <c r="KS585" s="27" t="s">
        <v>8</v>
      </c>
      <c r="KT585" s="27" t="s">
        <v>7</v>
      </c>
      <c r="KW585" s="27" t="s">
        <v>8</v>
      </c>
      <c r="KX585" s="27" t="s">
        <v>7</v>
      </c>
      <c r="KY585" s="27" t="s">
        <v>8</v>
      </c>
      <c r="KZ585" s="27" t="s">
        <v>7</v>
      </c>
      <c r="LA585" s="27" t="s">
        <v>8</v>
      </c>
      <c r="LB585" s="27" t="s">
        <v>7</v>
      </c>
      <c r="LC585" s="27" t="s">
        <v>8</v>
      </c>
      <c r="LD585" s="27" t="s">
        <v>7</v>
      </c>
      <c r="LE585" s="27" t="s">
        <v>8</v>
      </c>
      <c r="LF585" s="27" t="s">
        <v>7</v>
      </c>
      <c r="LG585" s="27" t="s">
        <v>8</v>
      </c>
      <c r="LH585" s="27" t="s">
        <v>7</v>
      </c>
      <c r="LO585" s="27" t="s">
        <v>8</v>
      </c>
      <c r="LP585" s="27" t="s">
        <v>7</v>
      </c>
      <c r="LQ585" s="27" t="s">
        <v>8</v>
      </c>
      <c r="LR585" s="27" t="s">
        <v>7</v>
      </c>
      <c r="LS585" s="27" t="s">
        <v>8</v>
      </c>
      <c r="LT585" s="27" t="s">
        <v>7</v>
      </c>
      <c r="LW585" s="27" t="s">
        <v>8</v>
      </c>
      <c r="LX585" s="27" t="s">
        <v>7</v>
      </c>
      <c r="LY585" s="27" t="s">
        <v>8</v>
      </c>
      <c r="LZ585" s="27" t="s">
        <v>7</v>
      </c>
      <c r="MA585" s="27" t="s">
        <v>8</v>
      </c>
      <c r="MB585" s="27" t="s">
        <v>7</v>
      </c>
      <c r="MC585" s="27" t="s">
        <v>8</v>
      </c>
      <c r="MD585" s="27" t="s">
        <v>7</v>
      </c>
      <c r="ME585" s="27" t="s">
        <v>8</v>
      </c>
      <c r="MF585" s="27" t="s">
        <v>7</v>
      </c>
      <c r="MG585" s="27" t="s">
        <v>8</v>
      </c>
      <c r="MH585" s="27" t="s">
        <v>7</v>
      </c>
      <c r="MI585" s="27" t="s">
        <v>8</v>
      </c>
      <c r="MJ585" s="27" t="s">
        <v>7</v>
      </c>
      <c r="MK585" s="27" t="s">
        <v>8</v>
      </c>
      <c r="ML585" s="27" t="s">
        <v>7</v>
      </c>
    </row>
    <row r="586" spans="1:352" x14ac:dyDescent="0.25">
      <c r="A586" s="7">
        <v>1.02</v>
      </c>
      <c r="B586"/>
      <c r="C586"/>
      <c r="D586"/>
      <c r="E586"/>
      <c r="FI586" s="27" t="s">
        <v>8</v>
      </c>
      <c r="FJ586" s="27" t="s">
        <v>7</v>
      </c>
      <c r="FK586" s="27" t="s">
        <v>8</v>
      </c>
      <c r="FL586" s="27" t="s">
        <v>7</v>
      </c>
      <c r="FM586" s="27" t="s">
        <v>8</v>
      </c>
      <c r="FN586" s="27" t="s">
        <v>7</v>
      </c>
      <c r="FS586" s="27" t="s">
        <v>8</v>
      </c>
      <c r="FT586" s="27" t="s">
        <v>7</v>
      </c>
      <c r="FU586" s="27" t="s">
        <v>8</v>
      </c>
      <c r="FV586" s="27" t="s">
        <v>7</v>
      </c>
      <c r="FW586" s="27" t="s">
        <v>8</v>
      </c>
      <c r="FX586" s="27" t="s">
        <v>7</v>
      </c>
      <c r="FY586" s="27" t="s">
        <v>8</v>
      </c>
      <c r="HP586" s="27" t="s">
        <v>7</v>
      </c>
      <c r="HQ586" s="27" t="s">
        <v>8</v>
      </c>
      <c r="HR586" s="27" t="s">
        <v>7</v>
      </c>
      <c r="JK586" s="27" t="s">
        <v>8</v>
      </c>
      <c r="JL586" s="27" t="s">
        <v>7</v>
      </c>
      <c r="JQ586" s="27" t="s">
        <v>8</v>
      </c>
      <c r="JR586" s="27" t="s">
        <v>7</v>
      </c>
      <c r="JS586" s="27" t="s">
        <v>8</v>
      </c>
      <c r="JT586" s="27" t="s">
        <v>7</v>
      </c>
      <c r="JU586" s="27" t="s">
        <v>8</v>
      </c>
      <c r="JW586" s="27" t="s">
        <v>8</v>
      </c>
      <c r="JX586" s="27" t="s">
        <v>7</v>
      </c>
      <c r="JY586" s="27" t="s">
        <v>8</v>
      </c>
      <c r="KC586" s="27" t="s">
        <v>8</v>
      </c>
      <c r="KD586" s="27" t="s">
        <v>7</v>
      </c>
      <c r="KE586" s="27" t="s">
        <v>8</v>
      </c>
      <c r="KH586" s="27" t="s">
        <v>7</v>
      </c>
      <c r="KS586" s="27" t="s">
        <v>8</v>
      </c>
      <c r="KT586" s="27" t="s">
        <v>7</v>
      </c>
      <c r="KW586" s="27" t="s">
        <v>8</v>
      </c>
      <c r="KX586" s="27" t="s">
        <v>7</v>
      </c>
      <c r="KY586" s="27" t="s">
        <v>8</v>
      </c>
      <c r="KZ586" s="27" t="s">
        <v>7</v>
      </c>
      <c r="LA586" s="27" t="s">
        <v>8</v>
      </c>
      <c r="LB586" s="27" t="s">
        <v>7</v>
      </c>
      <c r="LC586" s="27" t="s">
        <v>8</v>
      </c>
      <c r="LD586" s="27" t="s">
        <v>7</v>
      </c>
      <c r="LE586" s="27" t="s">
        <v>8</v>
      </c>
      <c r="LF586" s="27" t="s">
        <v>7</v>
      </c>
      <c r="LH586" s="27" t="s">
        <v>7</v>
      </c>
      <c r="LI586" s="27" t="s">
        <v>8</v>
      </c>
      <c r="LK586" s="27" t="s">
        <v>8</v>
      </c>
      <c r="LO586" s="27" t="s">
        <v>8</v>
      </c>
      <c r="LP586" s="27" t="s">
        <v>7</v>
      </c>
      <c r="LQ586" s="27" t="s">
        <v>8</v>
      </c>
      <c r="LR586" s="27" t="s">
        <v>7</v>
      </c>
      <c r="LS586" s="27" t="s">
        <v>8</v>
      </c>
      <c r="LT586" s="27" t="s">
        <v>7</v>
      </c>
      <c r="LU586" s="27" t="s">
        <v>8</v>
      </c>
      <c r="LW586" s="27" t="s">
        <v>8</v>
      </c>
      <c r="LX586" s="27" t="s">
        <v>7</v>
      </c>
      <c r="LY586" s="27" t="s">
        <v>8</v>
      </c>
      <c r="LZ586" s="27" t="s">
        <v>7</v>
      </c>
      <c r="MA586" s="27" t="s">
        <v>8</v>
      </c>
      <c r="MB586" s="27" t="s">
        <v>7</v>
      </c>
      <c r="MC586" s="27" t="s">
        <v>8</v>
      </c>
      <c r="MD586" s="27" t="s">
        <v>7</v>
      </c>
      <c r="ME586" s="27" t="s">
        <v>8</v>
      </c>
      <c r="MF586" s="27" t="s">
        <v>7</v>
      </c>
      <c r="MG586" s="27" t="s">
        <v>8</v>
      </c>
      <c r="MH586" s="27" t="s">
        <v>7</v>
      </c>
      <c r="MI586" s="27" t="s">
        <v>8</v>
      </c>
      <c r="MJ586" s="27" t="s">
        <v>7</v>
      </c>
      <c r="MK586" s="27" t="s">
        <v>8</v>
      </c>
      <c r="ML586" s="27" t="s">
        <v>7</v>
      </c>
      <c r="MM586" s="27" t="s">
        <v>8</v>
      </c>
    </row>
    <row r="587" spans="1:352" x14ac:dyDescent="0.25">
      <c r="A587" s="7">
        <v>1</v>
      </c>
      <c r="B587"/>
      <c r="C587"/>
      <c r="D587"/>
      <c r="E587" s="29" t="s">
        <v>8</v>
      </c>
      <c r="FI587" s="27" t="s">
        <v>8</v>
      </c>
      <c r="FJ587" s="27" t="s">
        <v>7</v>
      </c>
      <c r="FK587" s="27" t="s">
        <v>8</v>
      </c>
      <c r="FL587" s="27" t="s">
        <v>7</v>
      </c>
      <c r="FN587" s="27" t="s">
        <v>7</v>
      </c>
      <c r="FO587" s="27" t="s">
        <v>8</v>
      </c>
      <c r="FS587" s="27" t="s">
        <v>8</v>
      </c>
      <c r="FT587" s="27" t="s">
        <v>7</v>
      </c>
      <c r="FU587" s="27" t="s">
        <v>8</v>
      </c>
      <c r="FV587" s="27" t="s">
        <v>7</v>
      </c>
      <c r="FW587" s="27" t="s">
        <v>8</v>
      </c>
      <c r="FX587" s="27" t="s">
        <v>7</v>
      </c>
      <c r="HP587" s="27" t="s">
        <v>7</v>
      </c>
      <c r="HQ587" s="27" t="s">
        <v>8</v>
      </c>
      <c r="HR587" s="27" t="s">
        <v>7</v>
      </c>
      <c r="JK587" s="27" t="s">
        <v>8</v>
      </c>
      <c r="JL587" s="27" t="s">
        <v>7</v>
      </c>
      <c r="JQ587" s="27" t="s">
        <v>8</v>
      </c>
      <c r="JR587" s="27" t="s">
        <v>7</v>
      </c>
      <c r="JS587" s="27" t="s">
        <v>8</v>
      </c>
      <c r="JT587" s="27" t="s">
        <v>7</v>
      </c>
      <c r="JU587" s="27" t="s">
        <v>8</v>
      </c>
      <c r="JV587" s="27" t="s">
        <v>7</v>
      </c>
      <c r="JW587" s="27" t="s">
        <v>8</v>
      </c>
      <c r="JX587" s="27" t="s">
        <v>7</v>
      </c>
      <c r="JY587" s="27" t="s">
        <v>8</v>
      </c>
      <c r="JZ587" s="27" t="s">
        <v>7</v>
      </c>
      <c r="KA587" s="27" t="s">
        <v>8</v>
      </c>
      <c r="KC587" s="27" t="s">
        <v>8</v>
      </c>
      <c r="KD587" s="27" t="s">
        <v>7</v>
      </c>
      <c r="KE587" s="27" t="s">
        <v>8</v>
      </c>
      <c r="KH587" s="27" t="s">
        <v>7</v>
      </c>
      <c r="KS587" s="27" t="s">
        <v>8</v>
      </c>
      <c r="KT587" s="27" t="s">
        <v>7</v>
      </c>
      <c r="KU587" s="27" t="s">
        <v>8</v>
      </c>
      <c r="KW587" s="27" t="s">
        <v>8</v>
      </c>
      <c r="KX587" s="27" t="s">
        <v>7</v>
      </c>
      <c r="KY587" s="27" t="s">
        <v>8</v>
      </c>
      <c r="KZ587" s="27" t="s">
        <v>7</v>
      </c>
      <c r="LA587" s="27" t="s">
        <v>8</v>
      </c>
      <c r="LB587" s="27" t="s">
        <v>7</v>
      </c>
      <c r="LC587" s="27" t="s">
        <v>8</v>
      </c>
      <c r="LD587" s="27" t="s">
        <v>7</v>
      </c>
      <c r="LE587" s="27" t="s">
        <v>8</v>
      </c>
      <c r="LH587" s="27" t="s">
        <v>7</v>
      </c>
      <c r="LI587" s="27" t="s">
        <v>8</v>
      </c>
      <c r="LJ587" s="27" t="s">
        <v>7</v>
      </c>
      <c r="LK587" s="27" t="s">
        <v>8</v>
      </c>
      <c r="LL587" s="27" t="s">
        <v>7</v>
      </c>
      <c r="LO587" s="27" t="s">
        <v>8</v>
      </c>
      <c r="LP587" s="27" t="s">
        <v>7</v>
      </c>
      <c r="LQ587" s="27" t="s">
        <v>8</v>
      </c>
      <c r="LR587" s="27" t="s">
        <v>7</v>
      </c>
      <c r="LS587" s="27" t="s">
        <v>8</v>
      </c>
      <c r="LT587" s="27" t="s">
        <v>7</v>
      </c>
      <c r="LU587" s="27" t="s">
        <v>8</v>
      </c>
      <c r="LV587" s="27" t="s">
        <v>7</v>
      </c>
      <c r="LW587" s="27" t="s">
        <v>8</v>
      </c>
      <c r="LX587" s="27" t="s">
        <v>7</v>
      </c>
      <c r="LY587" s="27" t="s">
        <v>8</v>
      </c>
      <c r="LZ587" s="27" t="s">
        <v>7</v>
      </c>
      <c r="MA587" s="27" t="s">
        <v>8</v>
      </c>
      <c r="MB587" s="27" t="s">
        <v>7</v>
      </c>
      <c r="MC587" s="27" t="s">
        <v>8</v>
      </c>
      <c r="MD587" s="27" t="s">
        <v>7</v>
      </c>
      <c r="ME587" s="27" t="s">
        <v>8</v>
      </c>
      <c r="MF587" s="27" t="s">
        <v>7</v>
      </c>
      <c r="MG587" s="27" t="s">
        <v>8</v>
      </c>
      <c r="MH587" s="27" t="s">
        <v>7</v>
      </c>
      <c r="MI587" s="27" t="s">
        <v>8</v>
      </c>
      <c r="MJ587" s="27" t="s">
        <v>7</v>
      </c>
      <c r="MK587" s="27" t="s">
        <v>8</v>
      </c>
      <c r="ML587" s="27" t="s">
        <v>7</v>
      </c>
      <c r="MM587" s="27" t="s">
        <v>8</v>
      </c>
      <c r="MN587" s="27" t="s">
        <v>7</v>
      </c>
    </row>
    <row r="588" spans="1:352" x14ac:dyDescent="0.25">
      <c r="A588" s="7">
        <v>0.98039215686274506</v>
      </c>
      <c r="B588"/>
      <c r="C588"/>
      <c r="D588"/>
      <c r="E588"/>
      <c r="F588" s="27" t="s">
        <v>7</v>
      </c>
      <c r="FI588" s="27" t="s">
        <v>8</v>
      </c>
      <c r="FJ588" s="27" t="s">
        <v>7</v>
      </c>
      <c r="FN588" s="27" t="s">
        <v>7</v>
      </c>
      <c r="FO588" s="27" t="s">
        <v>8</v>
      </c>
      <c r="FP588" s="27" t="s">
        <v>7</v>
      </c>
      <c r="FS588" s="27" t="s">
        <v>8</v>
      </c>
      <c r="FT588" s="27" t="s">
        <v>7</v>
      </c>
      <c r="FU588" s="27" t="s">
        <v>8</v>
      </c>
      <c r="FV588" s="27" t="s">
        <v>7</v>
      </c>
      <c r="FW588" s="27" t="s">
        <v>8</v>
      </c>
      <c r="HP588" s="27" t="s">
        <v>7</v>
      </c>
      <c r="HQ588" s="27" t="s">
        <v>8</v>
      </c>
      <c r="HR588" s="27" t="s">
        <v>7</v>
      </c>
      <c r="HU588" s="27" t="s">
        <v>8</v>
      </c>
      <c r="JK588" s="27" t="s">
        <v>8</v>
      </c>
      <c r="JL588" s="27" t="s">
        <v>7</v>
      </c>
      <c r="JQ588" s="27" t="s">
        <v>8</v>
      </c>
      <c r="JR588" s="27" t="s">
        <v>7</v>
      </c>
      <c r="JS588" s="27" t="s">
        <v>8</v>
      </c>
      <c r="JT588" s="27" t="s">
        <v>7</v>
      </c>
      <c r="JU588" s="27" t="s">
        <v>8</v>
      </c>
      <c r="JV588" s="27" t="s">
        <v>7</v>
      </c>
      <c r="JW588" s="27" t="s">
        <v>8</v>
      </c>
      <c r="JX588" s="27" t="s">
        <v>7</v>
      </c>
      <c r="JY588" s="27" t="s">
        <v>8</v>
      </c>
      <c r="JZ588" s="27" t="s">
        <v>7</v>
      </c>
      <c r="KA588" s="27" t="s">
        <v>8</v>
      </c>
      <c r="KB588" s="27" t="s">
        <v>7</v>
      </c>
      <c r="KC588" s="27" t="s">
        <v>8</v>
      </c>
      <c r="KD588" s="27" t="s">
        <v>7</v>
      </c>
      <c r="KH588" s="27" t="s">
        <v>7</v>
      </c>
      <c r="KQ588" s="27" t="s">
        <v>8</v>
      </c>
      <c r="KS588" s="27" t="s">
        <v>8</v>
      </c>
      <c r="KT588" s="27" t="s">
        <v>7</v>
      </c>
      <c r="KU588" s="27" t="s">
        <v>8</v>
      </c>
      <c r="KV588" s="27" t="s">
        <v>7</v>
      </c>
      <c r="KW588" s="27" t="s">
        <v>8</v>
      </c>
      <c r="KX588" s="27" t="s">
        <v>7</v>
      </c>
      <c r="KY588" s="27" t="s">
        <v>8</v>
      </c>
      <c r="KZ588" s="27" t="s">
        <v>7</v>
      </c>
      <c r="LB588" s="27" t="s">
        <v>7</v>
      </c>
      <c r="LC588" s="27" t="s">
        <v>8</v>
      </c>
      <c r="LD588" s="27" t="s">
        <v>7</v>
      </c>
      <c r="LH588" s="27" t="s">
        <v>7</v>
      </c>
      <c r="LI588" s="27" t="s">
        <v>8</v>
      </c>
      <c r="LJ588" s="27" t="s">
        <v>7</v>
      </c>
      <c r="LK588" s="27" t="s">
        <v>8</v>
      </c>
      <c r="LL588" s="27" t="s">
        <v>7</v>
      </c>
      <c r="LO588" s="27" t="s">
        <v>8</v>
      </c>
      <c r="LP588" s="27" t="s">
        <v>7</v>
      </c>
      <c r="LQ588" s="27" t="s">
        <v>8</v>
      </c>
      <c r="LR588" s="27" t="s">
        <v>7</v>
      </c>
      <c r="LS588" s="27" t="s">
        <v>8</v>
      </c>
      <c r="LT588" s="27" t="s">
        <v>7</v>
      </c>
      <c r="LU588" s="27" t="s">
        <v>8</v>
      </c>
      <c r="LV588" s="27" t="s">
        <v>7</v>
      </c>
      <c r="LW588" s="27" t="s">
        <v>8</v>
      </c>
      <c r="LX588" s="27" t="s">
        <v>7</v>
      </c>
      <c r="LY588" s="27" t="s">
        <v>8</v>
      </c>
      <c r="LZ588" s="27" t="s">
        <v>7</v>
      </c>
      <c r="MA588" s="27" t="s">
        <v>8</v>
      </c>
      <c r="MB588" s="27" t="s">
        <v>7</v>
      </c>
      <c r="MC588" s="27" t="s">
        <v>8</v>
      </c>
      <c r="MD588" s="27" t="s">
        <v>7</v>
      </c>
      <c r="ME588" s="27" t="s">
        <v>8</v>
      </c>
      <c r="MF588" s="27" t="s">
        <v>7</v>
      </c>
      <c r="MH588" s="27" t="s">
        <v>7</v>
      </c>
      <c r="MI588" s="27" t="s">
        <v>8</v>
      </c>
      <c r="MJ588" s="27" t="s">
        <v>7</v>
      </c>
      <c r="MK588" s="27" t="s">
        <v>8</v>
      </c>
      <c r="ML588" s="27" t="s">
        <v>7</v>
      </c>
      <c r="MM588" s="27" t="s">
        <v>8</v>
      </c>
      <c r="MN588" s="27" t="s">
        <v>7</v>
      </c>
    </row>
    <row r="589" spans="1:352" x14ac:dyDescent="0.25">
      <c r="A589" s="7">
        <v>0.96116878123798544</v>
      </c>
      <c r="B589"/>
      <c r="C589"/>
      <c r="D589"/>
      <c r="E589"/>
      <c r="F589" s="27" t="s">
        <v>7</v>
      </c>
      <c r="FI589" s="27" t="s">
        <v>8</v>
      </c>
      <c r="FN589" s="27" t="s">
        <v>7</v>
      </c>
      <c r="FO589" s="27" t="s">
        <v>8</v>
      </c>
      <c r="FP589" s="27" t="s">
        <v>7</v>
      </c>
      <c r="FS589" s="27" t="s">
        <v>8</v>
      </c>
      <c r="FT589" s="27" t="s">
        <v>7</v>
      </c>
      <c r="FU589" s="27" t="s">
        <v>8</v>
      </c>
      <c r="FV589" s="27" t="s">
        <v>7</v>
      </c>
      <c r="FW589" s="27" t="s">
        <v>8</v>
      </c>
      <c r="HP589" s="27" t="s">
        <v>7</v>
      </c>
      <c r="HQ589" s="27" t="s">
        <v>8</v>
      </c>
      <c r="HR589" s="27" t="s">
        <v>7</v>
      </c>
      <c r="HU589" s="27" t="s">
        <v>8</v>
      </c>
      <c r="HV589" s="27" t="s">
        <v>7</v>
      </c>
      <c r="JK589" s="27" t="s">
        <v>8</v>
      </c>
      <c r="JL589" s="27" t="s">
        <v>7</v>
      </c>
      <c r="JM589" s="27" t="s">
        <v>8</v>
      </c>
      <c r="JO589" s="27" t="s">
        <v>8</v>
      </c>
      <c r="JQ589" s="27" t="s">
        <v>8</v>
      </c>
      <c r="JR589" s="27" t="s">
        <v>7</v>
      </c>
      <c r="JS589" s="27" t="s">
        <v>8</v>
      </c>
      <c r="JT589" s="27" t="s">
        <v>7</v>
      </c>
      <c r="JU589" s="27" t="s">
        <v>8</v>
      </c>
      <c r="JV589" s="27" t="s">
        <v>7</v>
      </c>
      <c r="JW589" s="27" t="s">
        <v>8</v>
      </c>
      <c r="JX589" s="27" t="s">
        <v>7</v>
      </c>
      <c r="JY589" s="27" t="s">
        <v>8</v>
      </c>
      <c r="JZ589" s="27" t="s">
        <v>7</v>
      </c>
      <c r="KA589" s="27" t="s">
        <v>8</v>
      </c>
      <c r="KB589" s="27" t="s">
        <v>7</v>
      </c>
      <c r="KC589" s="27" t="s">
        <v>8</v>
      </c>
      <c r="KH589" s="27" t="s">
        <v>7</v>
      </c>
      <c r="KI589" s="27" t="s">
        <v>8</v>
      </c>
      <c r="KQ589" s="27" t="s">
        <v>8</v>
      </c>
      <c r="KR589" s="27" t="s">
        <v>7</v>
      </c>
      <c r="KS589" s="27" t="s">
        <v>8</v>
      </c>
      <c r="KT589" s="27" t="s">
        <v>7</v>
      </c>
      <c r="KU589" s="27" t="s">
        <v>8</v>
      </c>
      <c r="KV589" s="27" t="s">
        <v>7</v>
      </c>
      <c r="KW589" s="27" t="s">
        <v>8</v>
      </c>
      <c r="KX589" s="27" t="s">
        <v>7</v>
      </c>
      <c r="LB589" s="27" t="s">
        <v>7</v>
      </c>
      <c r="LC589" s="27" t="s">
        <v>8</v>
      </c>
      <c r="LH589" s="27" t="s">
        <v>7</v>
      </c>
      <c r="LI589" s="27" t="s">
        <v>8</v>
      </c>
      <c r="LJ589" s="27" t="s">
        <v>7</v>
      </c>
      <c r="LK589" s="27" t="s">
        <v>8</v>
      </c>
      <c r="LL589" s="27" t="s">
        <v>7</v>
      </c>
      <c r="LO589" s="27" t="s">
        <v>8</v>
      </c>
      <c r="LP589" s="27" t="s">
        <v>7</v>
      </c>
      <c r="LQ589" s="27" t="s">
        <v>8</v>
      </c>
      <c r="LR589" s="27" t="s">
        <v>7</v>
      </c>
      <c r="LS589" s="27" t="s">
        <v>8</v>
      </c>
      <c r="LT589" s="27" t="s">
        <v>7</v>
      </c>
      <c r="LU589" s="27" t="s">
        <v>8</v>
      </c>
      <c r="LV589" s="27" t="s">
        <v>7</v>
      </c>
      <c r="LW589" s="27" t="s">
        <v>8</v>
      </c>
      <c r="LX589" s="27" t="s">
        <v>7</v>
      </c>
      <c r="LY589" s="27" t="s">
        <v>8</v>
      </c>
      <c r="LZ589" s="27" t="s">
        <v>7</v>
      </c>
      <c r="MA589" s="27" t="s">
        <v>8</v>
      </c>
      <c r="MB589" s="27" t="s">
        <v>7</v>
      </c>
      <c r="MC589" s="27" t="s">
        <v>8</v>
      </c>
      <c r="MD589" s="27" t="s">
        <v>7</v>
      </c>
      <c r="ME589" s="27" t="s">
        <v>8</v>
      </c>
      <c r="MH589" s="27" t="s">
        <v>7</v>
      </c>
      <c r="MI589" s="27" t="s">
        <v>8</v>
      </c>
      <c r="MJ589" s="27" t="s">
        <v>7</v>
      </c>
      <c r="ML589" s="27" t="s">
        <v>7</v>
      </c>
      <c r="MM589" s="27" t="s">
        <v>8</v>
      </c>
      <c r="MN589" s="27" t="s">
        <v>7</v>
      </c>
    </row>
    <row r="590" spans="1:352" x14ac:dyDescent="0.25">
      <c r="A590" s="7">
        <v>0.94232233454704462</v>
      </c>
      <c r="B590"/>
      <c r="C590"/>
      <c r="D590"/>
      <c r="E590"/>
      <c r="F590" s="27" t="s">
        <v>7</v>
      </c>
      <c r="FI590" s="27" t="s">
        <v>8</v>
      </c>
      <c r="FN590" s="27" t="s">
        <v>7</v>
      </c>
      <c r="FO590" s="27" t="s">
        <v>8</v>
      </c>
      <c r="FP590" s="27" t="s">
        <v>7</v>
      </c>
      <c r="FQ590" s="27" t="s">
        <v>8</v>
      </c>
      <c r="FS590" s="27" t="s">
        <v>8</v>
      </c>
      <c r="FT590" s="27" t="s">
        <v>7</v>
      </c>
      <c r="FU590" s="27" t="s">
        <v>8</v>
      </c>
      <c r="FV590" s="27" t="s">
        <v>7</v>
      </c>
      <c r="FW590" s="27" t="s">
        <v>8</v>
      </c>
      <c r="HP590" s="27" t="s">
        <v>7</v>
      </c>
      <c r="HQ590" s="27" t="s">
        <v>8</v>
      </c>
      <c r="HR590" s="27" t="s">
        <v>7</v>
      </c>
      <c r="HU590" s="27" t="s">
        <v>8</v>
      </c>
      <c r="HV590" s="27" t="s">
        <v>7</v>
      </c>
      <c r="JK590" s="27" t="s">
        <v>8</v>
      </c>
      <c r="JL590" s="27" t="s">
        <v>7</v>
      </c>
      <c r="JM590" s="27" t="s">
        <v>8</v>
      </c>
      <c r="JN590" s="27" t="s">
        <v>7</v>
      </c>
      <c r="JO590" s="27" t="s">
        <v>8</v>
      </c>
      <c r="JP590" s="27" t="s">
        <v>7</v>
      </c>
      <c r="JQ590" s="27" t="s">
        <v>8</v>
      </c>
      <c r="JR590" s="27" t="s">
        <v>7</v>
      </c>
      <c r="JS590" s="27" t="s">
        <v>8</v>
      </c>
      <c r="JT590" s="27" t="s">
        <v>7</v>
      </c>
      <c r="JU590" s="27" t="s">
        <v>8</v>
      </c>
      <c r="JV590" s="27" t="s">
        <v>7</v>
      </c>
      <c r="JX590" s="27" t="s">
        <v>7</v>
      </c>
      <c r="JY590" s="27" t="s">
        <v>8</v>
      </c>
      <c r="JZ590" s="27" t="s">
        <v>7</v>
      </c>
      <c r="KA590" s="27" t="s">
        <v>8</v>
      </c>
      <c r="KB590" s="27" t="s">
        <v>7</v>
      </c>
      <c r="KC590" s="27" t="s">
        <v>8</v>
      </c>
      <c r="KH590" s="27" t="s">
        <v>7</v>
      </c>
      <c r="KI590" s="27" t="s">
        <v>8</v>
      </c>
      <c r="KJ590" s="27" t="s">
        <v>7</v>
      </c>
      <c r="KK590" s="27" t="s">
        <v>8</v>
      </c>
      <c r="KQ590" s="27" t="s">
        <v>8</v>
      </c>
      <c r="KR590" s="27" t="s">
        <v>7</v>
      </c>
      <c r="KS590" s="27" t="s">
        <v>8</v>
      </c>
      <c r="KT590" s="27" t="s">
        <v>7</v>
      </c>
      <c r="KU590" s="27" t="s">
        <v>8</v>
      </c>
      <c r="KV590" s="27" t="s">
        <v>7</v>
      </c>
      <c r="LB590" s="27" t="s">
        <v>7</v>
      </c>
      <c r="LC590" s="27" t="s">
        <v>8</v>
      </c>
      <c r="LH590" s="27" t="s">
        <v>7</v>
      </c>
      <c r="LJ590" s="27" t="s">
        <v>7</v>
      </c>
      <c r="LL590" s="27" t="s">
        <v>7</v>
      </c>
      <c r="LO590" s="27" t="s">
        <v>8</v>
      </c>
      <c r="LP590" s="27" t="s">
        <v>7</v>
      </c>
      <c r="LQ590" s="27" t="s">
        <v>8</v>
      </c>
      <c r="LR590" s="27" t="s">
        <v>7</v>
      </c>
      <c r="LS590" s="27" t="s">
        <v>8</v>
      </c>
      <c r="LT590" s="27" t="s">
        <v>7</v>
      </c>
      <c r="LU590" s="27" t="s">
        <v>8</v>
      </c>
      <c r="LV590" s="27" t="s">
        <v>7</v>
      </c>
      <c r="LW590" s="27" t="s">
        <v>8</v>
      </c>
      <c r="LX590" s="27" t="s">
        <v>7</v>
      </c>
      <c r="LY590" s="27" t="s">
        <v>8</v>
      </c>
      <c r="LZ590" s="27" t="s">
        <v>7</v>
      </c>
      <c r="MA590" s="27" t="s">
        <v>8</v>
      </c>
      <c r="MB590" s="27" t="s">
        <v>7</v>
      </c>
      <c r="MC590" s="27" t="s">
        <v>8</v>
      </c>
      <c r="MD590" s="27" t="s">
        <v>7</v>
      </c>
      <c r="ME590" s="27" t="s">
        <v>8</v>
      </c>
      <c r="MH590" s="27" t="s">
        <v>7</v>
      </c>
      <c r="MI590" s="27" t="s">
        <v>8</v>
      </c>
      <c r="ML590" s="27" t="s">
        <v>7</v>
      </c>
      <c r="MN590" s="27" t="s">
        <v>7</v>
      </c>
    </row>
    <row r="591" spans="1:352" x14ac:dyDescent="0.25">
      <c r="A591" s="7">
        <v>0.92384542602651432</v>
      </c>
      <c r="B591"/>
      <c r="C591"/>
      <c r="D591"/>
      <c r="E591"/>
      <c r="F591" s="27" t="s">
        <v>7</v>
      </c>
      <c r="FI591" s="27" t="s">
        <v>8</v>
      </c>
      <c r="FN591" s="27" t="s">
        <v>7</v>
      </c>
      <c r="FO591" s="27" t="s">
        <v>8</v>
      </c>
      <c r="FP591" s="27" t="s">
        <v>7</v>
      </c>
      <c r="FQ591" s="27" t="s">
        <v>8</v>
      </c>
      <c r="FR591" s="27" t="s">
        <v>7</v>
      </c>
      <c r="FS591" s="27" t="s">
        <v>8</v>
      </c>
      <c r="FT591" s="27" t="s">
        <v>7</v>
      </c>
      <c r="FV591" s="27" t="s">
        <v>7</v>
      </c>
      <c r="FW591" s="27" t="s">
        <v>8</v>
      </c>
      <c r="HP591" s="27" t="s">
        <v>7</v>
      </c>
      <c r="HQ591" s="27" t="s">
        <v>8</v>
      </c>
      <c r="HR591" s="27" t="s">
        <v>7</v>
      </c>
      <c r="HU591" s="27" t="s">
        <v>8</v>
      </c>
      <c r="HV591" s="27" t="s">
        <v>7</v>
      </c>
      <c r="HW591" s="27" t="s">
        <v>8</v>
      </c>
      <c r="JK591" s="27" t="s">
        <v>8</v>
      </c>
      <c r="JL591" s="27" t="s">
        <v>7</v>
      </c>
      <c r="JM591" s="27" t="s">
        <v>8</v>
      </c>
      <c r="JN591" s="27" t="s">
        <v>7</v>
      </c>
      <c r="JO591" s="27" t="s">
        <v>8</v>
      </c>
      <c r="JP591" s="27" t="s">
        <v>7</v>
      </c>
      <c r="JQ591" s="27" t="s">
        <v>8</v>
      </c>
      <c r="JR591" s="27" t="s">
        <v>7</v>
      </c>
      <c r="JS591" s="27" t="s">
        <v>8</v>
      </c>
      <c r="JT591" s="27" t="s">
        <v>7</v>
      </c>
      <c r="JU591" s="27" t="s">
        <v>8</v>
      </c>
      <c r="JX591" s="27" t="s">
        <v>7</v>
      </c>
      <c r="JY591" s="27" t="s">
        <v>8</v>
      </c>
      <c r="JZ591" s="27" t="s">
        <v>7</v>
      </c>
      <c r="KA591" s="27" t="s">
        <v>8</v>
      </c>
      <c r="KB591" s="27" t="s">
        <v>7</v>
      </c>
      <c r="KC591" s="27" t="s">
        <v>8</v>
      </c>
      <c r="KH591" s="27" t="s">
        <v>7</v>
      </c>
      <c r="KI591" s="27" t="s">
        <v>8</v>
      </c>
      <c r="KJ591" s="27" t="s">
        <v>7</v>
      </c>
      <c r="KK591" s="27" t="s">
        <v>8</v>
      </c>
      <c r="KL591" s="27" t="s">
        <v>7</v>
      </c>
      <c r="KM591" s="27" t="s">
        <v>8</v>
      </c>
      <c r="KQ591" s="27" t="s">
        <v>8</v>
      </c>
      <c r="KR591" s="27" t="s">
        <v>7</v>
      </c>
      <c r="KS591" s="27" t="s">
        <v>8</v>
      </c>
      <c r="KT591" s="27" t="s">
        <v>7</v>
      </c>
      <c r="KU591" s="27" t="s">
        <v>8</v>
      </c>
      <c r="LB591" s="27" t="s">
        <v>7</v>
      </c>
      <c r="LL591" s="27" t="s">
        <v>7</v>
      </c>
      <c r="LO591" s="27" t="s">
        <v>8</v>
      </c>
      <c r="LP591" s="27" t="s">
        <v>7</v>
      </c>
      <c r="LR591" s="27" t="s">
        <v>7</v>
      </c>
      <c r="LS591" s="27" t="s">
        <v>8</v>
      </c>
      <c r="LT591" s="27" t="s">
        <v>7</v>
      </c>
      <c r="LV591" s="27" t="s">
        <v>7</v>
      </c>
      <c r="LW591" s="27" t="s">
        <v>8</v>
      </c>
      <c r="LX591" s="27" t="s">
        <v>7</v>
      </c>
      <c r="LY591" s="27" t="s">
        <v>8</v>
      </c>
      <c r="LZ591" s="27" t="s">
        <v>7</v>
      </c>
      <c r="MA591" s="27" t="s">
        <v>8</v>
      </c>
      <c r="MB591" s="27" t="s">
        <v>7</v>
      </c>
      <c r="MD591" s="27" t="s">
        <v>7</v>
      </c>
      <c r="ME591" s="27" t="s">
        <v>8</v>
      </c>
      <c r="MH591" s="27" t="s">
        <v>7</v>
      </c>
      <c r="MN591" s="27" t="s">
        <v>7</v>
      </c>
    </row>
    <row r="592" spans="1:352" x14ac:dyDescent="0.25">
      <c r="A592" s="7">
        <v>0.90573080982991594</v>
      </c>
      <c r="B592"/>
      <c r="C592"/>
      <c r="D592"/>
      <c r="E592"/>
      <c r="F592" s="27" t="s">
        <v>7</v>
      </c>
      <c r="FI592" s="27" t="s">
        <v>8</v>
      </c>
      <c r="FN592" s="27" t="s">
        <v>7</v>
      </c>
      <c r="FO592" s="27" t="s">
        <v>8</v>
      </c>
      <c r="FP592" s="27" t="s">
        <v>7</v>
      </c>
      <c r="FQ592" s="27" t="s">
        <v>8</v>
      </c>
      <c r="FR592" s="27" t="s">
        <v>7</v>
      </c>
      <c r="FS592" s="27" t="s">
        <v>8</v>
      </c>
      <c r="FV592" s="27" t="s">
        <v>7</v>
      </c>
      <c r="FW592" s="27" t="s">
        <v>8</v>
      </c>
      <c r="HP592" s="27" t="s">
        <v>7</v>
      </c>
      <c r="HQ592" s="27" t="s">
        <v>8</v>
      </c>
      <c r="HR592" s="27" t="s">
        <v>7</v>
      </c>
      <c r="HS592" s="27" t="s">
        <v>8</v>
      </c>
      <c r="HU592" s="27" t="s">
        <v>8</v>
      </c>
      <c r="HV592" s="27" t="s">
        <v>7</v>
      </c>
      <c r="HW592" s="27" t="s">
        <v>8</v>
      </c>
      <c r="HX592" s="27" t="s">
        <v>7</v>
      </c>
      <c r="JK592" s="27" t="s">
        <v>8</v>
      </c>
      <c r="JL592" s="27" t="s">
        <v>7</v>
      </c>
      <c r="JM592" s="27" t="s">
        <v>8</v>
      </c>
      <c r="JN592" s="27" t="s">
        <v>7</v>
      </c>
      <c r="JO592" s="27" t="s">
        <v>8</v>
      </c>
      <c r="JP592" s="27" t="s">
        <v>7</v>
      </c>
      <c r="JQ592" s="27" t="s">
        <v>8</v>
      </c>
      <c r="JR592" s="27" t="s">
        <v>7</v>
      </c>
      <c r="JT592" s="27" t="s">
        <v>7</v>
      </c>
      <c r="JU592" s="27" t="s">
        <v>8</v>
      </c>
      <c r="JX592" s="27" t="s">
        <v>7</v>
      </c>
      <c r="JY592" s="27" t="s">
        <v>8</v>
      </c>
      <c r="JZ592" s="27" t="s">
        <v>7</v>
      </c>
      <c r="KA592" s="27" t="s">
        <v>8</v>
      </c>
      <c r="KB592" s="27" t="s">
        <v>7</v>
      </c>
      <c r="KH592" s="27" t="s">
        <v>7</v>
      </c>
      <c r="KI592" s="27" t="s">
        <v>8</v>
      </c>
      <c r="KJ592" s="27" t="s">
        <v>7</v>
      </c>
      <c r="KK592" s="27" t="s">
        <v>8</v>
      </c>
      <c r="KL592" s="27" t="s">
        <v>7</v>
      </c>
      <c r="KM592" s="27" t="s">
        <v>8</v>
      </c>
      <c r="KN592" s="27" t="s">
        <v>7</v>
      </c>
      <c r="KO592" s="27" t="s">
        <v>8</v>
      </c>
      <c r="KQ592" s="27" t="s">
        <v>8</v>
      </c>
      <c r="KR592" s="27" t="s">
        <v>7</v>
      </c>
      <c r="KS592" s="27" t="s">
        <v>8</v>
      </c>
      <c r="KT592" s="27" t="s">
        <v>7</v>
      </c>
      <c r="KU592" s="27" t="s">
        <v>8</v>
      </c>
      <c r="LL592" s="27" t="s">
        <v>7</v>
      </c>
      <c r="LO592" s="27" t="s">
        <v>8</v>
      </c>
      <c r="LR592" s="27" t="s">
        <v>7</v>
      </c>
      <c r="LV592" s="27" t="s">
        <v>7</v>
      </c>
      <c r="LX592" s="27" t="s">
        <v>7</v>
      </c>
      <c r="LY592" s="27" t="s">
        <v>8</v>
      </c>
      <c r="LZ592" s="27" t="s">
        <v>7</v>
      </c>
      <c r="MA592" s="27" t="s">
        <v>8</v>
      </c>
      <c r="MD592" s="27" t="s">
        <v>7</v>
      </c>
      <c r="ME592" s="27" t="s">
        <v>8</v>
      </c>
      <c r="MN592" s="27" t="s">
        <v>7</v>
      </c>
    </row>
    <row r="593" spans="1:358" x14ac:dyDescent="0.25">
      <c r="A593" s="7">
        <v>0.8879713821861922</v>
      </c>
      <c r="B593"/>
      <c r="C593"/>
      <c r="D593"/>
      <c r="E593"/>
      <c r="F593" s="27" t="s">
        <v>7</v>
      </c>
      <c r="FI593" s="27" t="s">
        <v>8</v>
      </c>
      <c r="FN593" s="27" t="s">
        <v>7</v>
      </c>
      <c r="FO593" s="27" t="s">
        <v>8</v>
      </c>
      <c r="FP593" s="27" t="s">
        <v>7</v>
      </c>
      <c r="FQ593" s="27" t="s">
        <v>8</v>
      </c>
      <c r="FR593" s="27" t="s">
        <v>7</v>
      </c>
      <c r="FS593" s="27" t="s">
        <v>8</v>
      </c>
      <c r="FV593" s="27" t="s">
        <v>7</v>
      </c>
      <c r="HP593" s="27" t="s">
        <v>7</v>
      </c>
      <c r="HQ593" s="27" t="s">
        <v>8</v>
      </c>
      <c r="HR593" s="27" t="s">
        <v>7</v>
      </c>
      <c r="HS593" s="27" t="s">
        <v>8</v>
      </c>
      <c r="HT593" s="27" t="s">
        <v>7</v>
      </c>
      <c r="HU593" s="27" t="s">
        <v>8</v>
      </c>
      <c r="HV593" s="27" t="s">
        <v>7</v>
      </c>
      <c r="HW593" s="27" t="s">
        <v>8</v>
      </c>
      <c r="HX593" s="27" t="s">
        <v>7</v>
      </c>
      <c r="IA593" s="27" t="s">
        <v>8</v>
      </c>
      <c r="JK593" s="27" t="s">
        <v>8</v>
      </c>
      <c r="JL593" s="27" t="s">
        <v>7</v>
      </c>
      <c r="JM593" s="27" t="s">
        <v>8</v>
      </c>
      <c r="JN593" s="27" t="s">
        <v>7</v>
      </c>
      <c r="JO593" s="27" t="s">
        <v>8</v>
      </c>
      <c r="JP593" s="27" t="s">
        <v>7</v>
      </c>
      <c r="JT593" s="27" t="s">
        <v>7</v>
      </c>
      <c r="JX593" s="27" t="s">
        <v>7</v>
      </c>
      <c r="JY593" s="27" t="s">
        <v>8</v>
      </c>
      <c r="JZ593" s="27" t="s">
        <v>7</v>
      </c>
      <c r="KA593" s="27" t="s">
        <v>8</v>
      </c>
      <c r="KH593" s="27" t="s">
        <v>7</v>
      </c>
      <c r="KI593" s="27" t="s">
        <v>8</v>
      </c>
      <c r="KJ593" s="27" t="s">
        <v>7</v>
      </c>
      <c r="KK593" s="27" t="s">
        <v>8</v>
      </c>
      <c r="KL593" s="27" t="s">
        <v>7</v>
      </c>
      <c r="KM593" s="27" t="s">
        <v>8</v>
      </c>
      <c r="KN593" s="27" t="s">
        <v>7</v>
      </c>
      <c r="KO593" s="27" t="s">
        <v>8</v>
      </c>
      <c r="KP593" s="27" t="s">
        <v>7</v>
      </c>
      <c r="KQ593" s="27" t="s">
        <v>8</v>
      </c>
      <c r="KR593" s="27" t="s">
        <v>7</v>
      </c>
      <c r="KS593" s="27" t="s">
        <v>8</v>
      </c>
      <c r="KT593" s="27" t="s">
        <v>7</v>
      </c>
      <c r="LL593" s="27" t="s">
        <v>7</v>
      </c>
      <c r="LM593" s="27" t="s">
        <v>8</v>
      </c>
      <c r="LO593" s="27" t="s">
        <v>8</v>
      </c>
      <c r="LX593" s="27" t="s">
        <v>7</v>
      </c>
      <c r="LY593" s="27" t="s">
        <v>8</v>
      </c>
      <c r="LZ593" s="27" t="s">
        <v>7</v>
      </c>
      <c r="MA593" s="27" t="s">
        <v>8</v>
      </c>
      <c r="MD593" s="27" t="s">
        <v>7</v>
      </c>
      <c r="MN593" s="27" t="s">
        <v>7</v>
      </c>
    </row>
    <row r="594" spans="1:358" x14ac:dyDescent="0.25">
      <c r="A594" s="7">
        <v>0.87056017861391399</v>
      </c>
      <c r="B594"/>
      <c r="C594"/>
      <c r="D594"/>
      <c r="E594"/>
      <c r="F594" s="27" t="s">
        <v>7</v>
      </c>
      <c r="FI594" s="27" t="s">
        <v>8</v>
      </c>
      <c r="FN594" s="27" t="s">
        <v>7</v>
      </c>
      <c r="FO594" s="27" t="s">
        <v>8</v>
      </c>
      <c r="FP594" s="27" t="s">
        <v>7</v>
      </c>
      <c r="FQ594" s="27" t="s">
        <v>8</v>
      </c>
      <c r="FR594" s="27" t="s">
        <v>7</v>
      </c>
      <c r="FS594" s="27" t="s">
        <v>8</v>
      </c>
      <c r="HP594" s="27" t="s">
        <v>7</v>
      </c>
      <c r="HQ594" s="27" t="s">
        <v>8</v>
      </c>
      <c r="HR594" s="27" t="s">
        <v>7</v>
      </c>
      <c r="HS594" s="27" t="s">
        <v>8</v>
      </c>
      <c r="HT594" s="27" t="s">
        <v>7</v>
      </c>
      <c r="HU594" s="27" t="s">
        <v>8</v>
      </c>
      <c r="HV594" s="27" t="s">
        <v>7</v>
      </c>
      <c r="HW594" s="27" t="s">
        <v>8</v>
      </c>
      <c r="HX594" s="27" t="s">
        <v>7</v>
      </c>
      <c r="IA594" s="27" t="s">
        <v>8</v>
      </c>
      <c r="IB594" s="27" t="s">
        <v>7</v>
      </c>
      <c r="JK594" s="27" t="s">
        <v>8</v>
      </c>
      <c r="JL594" s="27" t="s">
        <v>7</v>
      </c>
      <c r="JM594" s="27" t="s">
        <v>8</v>
      </c>
      <c r="JN594" s="27" t="s">
        <v>7</v>
      </c>
      <c r="JO594" s="27" t="s">
        <v>8</v>
      </c>
      <c r="JX594" s="27" t="s">
        <v>7</v>
      </c>
      <c r="JY594" s="27" t="s">
        <v>8</v>
      </c>
      <c r="JZ594" s="27" t="s">
        <v>7</v>
      </c>
      <c r="KA594" s="27" t="s">
        <v>8</v>
      </c>
      <c r="KH594" s="27" t="s">
        <v>7</v>
      </c>
      <c r="KI594" s="27" t="s">
        <v>8</v>
      </c>
      <c r="KJ594" s="27" t="s">
        <v>7</v>
      </c>
      <c r="KK594" s="27" t="s">
        <v>8</v>
      </c>
      <c r="KL594" s="27" t="s">
        <v>7</v>
      </c>
      <c r="KM594" s="27" t="s">
        <v>8</v>
      </c>
      <c r="KN594" s="27" t="s">
        <v>7</v>
      </c>
      <c r="KO594" s="27" t="s">
        <v>8</v>
      </c>
      <c r="KP594" s="27" t="s">
        <v>7</v>
      </c>
      <c r="KQ594" s="27" t="s">
        <v>8</v>
      </c>
      <c r="KR594" s="27" t="s">
        <v>7</v>
      </c>
      <c r="LL594" s="27" t="s">
        <v>7</v>
      </c>
      <c r="LM594" s="27" t="s">
        <v>8</v>
      </c>
      <c r="LN594" s="27" t="s">
        <v>7</v>
      </c>
      <c r="LO594" s="27" t="s">
        <v>8</v>
      </c>
      <c r="LX594" s="27" t="s">
        <v>7</v>
      </c>
      <c r="LY594" s="27" t="s">
        <v>8</v>
      </c>
      <c r="LZ594" s="27" t="s">
        <v>7</v>
      </c>
      <c r="MA594" s="27" t="s">
        <v>8</v>
      </c>
      <c r="MN594" s="27" t="s">
        <v>7</v>
      </c>
    </row>
    <row r="595" spans="1:358" x14ac:dyDescent="0.25">
      <c r="A595" s="7">
        <v>0.85349037119011173</v>
      </c>
      <c r="B595"/>
      <c r="C595"/>
      <c r="D595"/>
      <c r="E595"/>
      <c r="F595" s="27" t="s">
        <v>7</v>
      </c>
      <c r="FI595" s="27" t="s">
        <v>8</v>
      </c>
      <c r="FN595" s="27" t="s">
        <v>7</v>
      </c>
      <c r="FO595" s="27" t="s">
        <v>8</v>
      </c>
      <c r="FP595" s="27" t="s">
        <v>7</v>
      </c>
      <c r="FQ595" s="27" t="s">
        <v>8</v>
      </c>
      <c r="FR595" s="27" t="s">
        <v>7</v>
      </c>
      <c r="FS595" s="27" t="s">
        <v>8</v>
      </c>
      <c r="HP595" s="27" t="s">
        <v>7</v>
      </c>
      <c r="HQ595" s="27" t="s">
        <v>8</v>
      </c>
      <c r="HR595" s="27" t="s">
        <v>7</v>
      </c>
      <c r="HS595" s="27" t="s">
        <v>8</v>
      </c>
      <c r="HT595" s="27" t="s">
        <v>7</v>
      </c>
      <c r="HU595" s="27" t="s">
        <v>8</v>
      </c>
      <c r="HV595" s="27" t="s">
        <v>7</v>
      </c>
      <c r="HW595" s="27" t="s">
        <v>8</v>
      </c>
      <c r="HX595" s="27" t="s">
        <v>7</v>
      </c>
      <c r="IA595" s="27" t="s">
        <v>8</v>
      </c>
      <c r="IB595" s="27" t="s">
        <v>7</v>
      </c>
      <c r="JK595" s="27" t="s">
        <v>8</v>
      </c>
      <c r="JL595" s="27" t="s">
        <v>7</v>
      </c>
      <c r="JM595" s="27" t="s">
        <v>8</v>
      </c>
      <c r="JN595" s="27" t="s">
        <v>7</v>
      </c>
      <c r="JO595" s="27" t="s">
        <v>8</v>
      </c>
      <c r="JX595" s="27" t="s">
        <v>7</v>
      </c>
      <c r="JY595" s="27" t="s">
        <v>8</v>
      </c>
      <c r="JZ595" s="27" t="s">
        <v>7</v>
      </c>
      <c r="KH595" s="27" t="s">
        <v>7</v>
      </c>
      <c r="KI595" s="27" t="s">
        <v>8</v>
      </c>
      <c r="KJ595" s="27" t="s">
        <v>7</v>
      </c>
      <c r="KK595" s="27" t="s">
        <v>8</v>
      </c>
      <c r="KL595" s="27" t="s">
        <v>7</v>
      </c>
      <c r="KM595" s="27" t="s">
        <v>8</v>
      </c>
      <c r="KN595" s="27" t="s">
        <v>7</v>
      </c>
      <c r="KO595" s="27" t="s">
        <v>8</v>
      </c>
      <c r="KP595" s="27" t="s">
        <v>7</v>
      </c>
      <c r="KQ595" s="27" t="s">
        <v>8</v>
      </c>
      <c r="LL595" s="27" t="s">
        <v>7</v>
      </c>
      <c r="LM595" s="27" t="s">
        <v>8</v>
      </c>
      <c r="LN595" s="27" t="s">
        <v>7</v>
      </c>
      <c r="LO595" s="27" t="s">
        <v>8</v>
      </c>
      <c r="LX595" s="27" t="s">
        <v>7</v>
      </c>
      <c r="LY595" s="27" t="s">
        <v>8</v>
      </c>
      <c r="LZ595" s="27" t="s">
        <v>7</v>
      </c>
      <c r="MA595" s="27" t="s">
        <v>8</v>
      </c>
      <c r="MN595" s="27" t="s">
        <v>7</v>
      </c>
    </row>
    <row r="596" spans="1:358" x14ac:dyDescent="0.25">
      <c r="A596" s="7">
        <v>0.83675526587265858</v>
      </c>
      <c r="B596"/>
      <c r="C596"/>
      <c r="D596"/>
      <c r="E596"/>
      <c r="F596" s="27" t="s">
        <v>7</v>
      </c>
      <c r="FI596" s="27" t="s">
        <v>8</v>
      </c>
      <c r="FN596" s="27" t="s">
        <v>7</v>
      </c>
      <c r="FO596" s="27" t="s">
        <v>8</v>
      </c>
      <c r="FP596" s="27" t="s">
        <v>7</v>
      </c>
      <c r="FQ596" s="27" t="s">
        <v>8</v>
      </c>
      <c r="FR596" s="27" t="s">
        <v>7</v>
      </c>
      <c r="FS596" s="27" t="s">
        <v>8</v>
      </c>
      <c r="HP596" s="27" t="s">
        <v>7</v>
      </c>
      <c r="HQ596" s="27" t="s">
        <v>8</v>
      </c>
      <c r="HR596" s="27" t="s">
        <v>7</v>
      </c>
      <c r="HS596" s="27" t="s">
        <v>8</v>
      </c>
      <c r="HT596" s="27" t="s">
        <v>7</v>
      </c>
      <c r="HU596" s="27" t="s">
        <v>8</v>
      </c>
      <c r="HV596" s="27" t="s">
        <v>7</v>
      </c>
      <c r="HW596" s="27" t="s">
        <v>8</v>
      </c>
      <c r="HX596" s="27" t="s">
        <v>7</v>
      </c>
      <c r="IA596" s="27" t="s">
        <v>8</v>
      </c>
      <c r="IB596" s="27" t="s">
        <v>7</v>
      </c>
      <c r="JK596" s="27" t="s">
        <v>8</v>
      </c>
      <c r="JL596" s="27" t="s">
        <v>7</v>
      </c>
      <c r="JM596" s="27" t="s">
        <v>8</v>
      </c>
      <c r="JN596" s="27" t="s">
        <v>7</v>
      </c>
      <c r="JO596" s="27" t="s">
        <v>8</v>
      </c>
      <c r="JX596" s="27" t="s">
        <v>7</v>
      </c>
      <c r="JY596" s="27" t="s">
        <v>8</v>
      </c>
      <c r="KH596" s="27" t="s">
        <v>7</v>
      </c>
      <c r="KI596" s="27" t="s">
        <v>8</v>
      </c>
      <c r="KJ596" s="27" t="s">
        <v>7</v>
      </c>
      <c r="KK596" s="27" t="s">
        <v>8</v>
      </c>
      <c r="KL596" s="27" t="s">
        <v>7</v>
      </c>
      <c r="KM596" s="27" t="s">
        <v>8</v>
      </c>
      <c r="KN596" s="27" t="s">
        <v>7</v>
      </c>
      <c r="KO596" s="27" t="s">
        <v>8</v>
      </c>
      <c r="KP596" s="27" t="s">
        <v>7</v>
      </c>
      <c r="KQ596" s="27" t="s">
        <v>8</v>
      </c>
      <c r="LL596" s="27" t="s">
        <v>7</v>
      </c>
      <c r="LN596" s="27" t="s">
        <v>7</v>
      </c>
      <c r="LO596" s="27" t="s">
        <v>8</v>
      </c>
      <c r="LX596" s="27" t="s">
        <v>7</v>
      </c>
      <c r="LY596" s="27" t="s">
        <v>8</v>
      </c>
      <c r="LZ596" s="27" t="s">
        <v>7</v>
      </c>
      <c r="MA596" s="27" t="s">
        <v>8</v>
      </c>
      <c r="MN596" s="27" t="s">
        <v>7</v>
      </c>
      <c r="MQ596" s="27" t="s">
        <v>8</v>
      </c>
    </row>
    <row r="597" spans="1:358" x14ac:dyDescent="0.25">
      <c r="A597" s="7">
        <v>0.82034829987515545</v>
      </c>
      <c r="B597"/>
      <c r="C597"/>
      <c r="D597"/>
      <c r="E597"/>
      <c r="F597" s="27" t="s">
        <v>7</v>
      </c>
      <c r="FI597" s="27" t="s">
        <v>8</v>
      </c>
      <c r="FN597" s="27" t="s">
        <v>7</v>
      </c>
      <c r="FO597" s="27" t="s">
        <v>8</v>
      </c>
      <c r="FP597" s="27" t="s">
        <v>7</v>
      </c>
      <c r="FQ597" s="27" t="s">
        <v>8</v>
      </c>
      <c r="FR597" s="27" t="s">
        <v>7</v>
      </c>
      <c r="FS597" s="27" t="s">
        <v>8</v>
      </c>
      <c r="HP597" s="27" t="s">
        <v>7</v>
      </c>
      <c r="HQ597" s="27" t="s">
        <v>8</v>
      </c>
      <c r="HR597" s="27" t="s">
        <v>7</v>
      </c>
      <c r="HS597" s="27" t="s">
        <v>8</v>
      </c>
      <c r="HT597" s="27" t="s">
        <v>7</v>
      </c>
      <c r="HU597" s="27" t="s">
        <v>8</v>
      </c>
      <c r="HV597" s="27" t="s">
        <v>7</v>
      </c>
      <c r="HW597" s="27" t="s">
        <v>8</v>
      </c>
      <c r="HX597" s="27" t="s">
        <v>7</v>
      </c>
      <c r="IA597" s="27" t="s">
        <v>8</v>
      </c>
      <c r="IB597" s="27" t="s">
        <v>7</v>
      </c>
      <c r="JK597" s="27" t="s">
        <v>8</v>
      </c>
      <c r="JL597" s="27" t="s">
        <v>7</v>
      </c>
      <c r="JN597" s="27" t="s">
        <v>7</v>
      </c>
      <c r="JO597" s="27" t="s">
        <v>8</v>
      </c>
      <c r="JX597" s="27" t="s">
        <v>7</v>
      </c>
      <c r="JY597" s="27" t="s">
        <v>8</v>
      </c>
      <c r="KH597" s="27" t="s">
        <v>7</v>
      </c>
      <c r="KI597" s="27" t="s">
        <v>8</v>
      </c>
      <c r="KJ597" s="27" t="s">
        <v>7</v>
      </c>
      <c r="KK597" s="27" t="s">
        <v>8</v>
      </c>
      <c r="KL597" s="27" t="s">
        <v>7</v>
      </c>
      <c r="KM597" s="27" t="s">
        <v>8</v>
      </c>
      <c r="KN597" s="27" t="s">
        <v>7</v>
      </c>
      <c r="KO597" s="27" t="s">
        <v>8</v>
      </c>
      <c r="KP597" s="27" t="s">
        <v>7</v>
      </c>
      <c r="KQ597" s="27" t="s">
        <v>8</v>
      </c>
      <c r="LN597" s="27" t="s">
        <v>7</v>
      </c>
      <c r="LO597" s="27" t="s">
        <v>8</v>
      </c>
      <c r="LX597" s="27" t="s">
        <v>7</v>
      </c>
      <c r="LZ597" s="27" t="s">
        <v>7</v>
      </c>
      <c r="MA597" s="27" t="s">
        <v>8</v>
      </c>
      <c r="MN597" s="27" t="s">
        <v>7</v>
      </c>
      <c r="MQ597" s="27" t="s">
        <v>8</v>
      </c>
      <c r="MR597" s="27" t="s">
        <v>7</v>
      </c>
    </row>
    <row r="598" spans="1:358" x14ac:dyDescent="0.25">
      <c r="A598" s="7">
        <v>0.80426303909328967</v>
      </c>
      <c r="B598"/>
      <c r="C598"/>
      <c r="D598"/>
      <c r="E598"/>
      <c r="F598" s="27" t="s">
        <v>7</v>
      </c>
      <c r="FI598" s="27" t="s">
        <v>8</v>
      </c>
      <c r="FN598" s="27" t="s">
        <v>7</v>
      </c>
      <c r="FO598" s="27" t="s">
        <v>8</v>
      </c>
      <c r="FP598" s="27" t="s">
        <v>7</v>
      </c>
      <c r="FR598" s="27" t="s">
        <v>7</v>
      </c>
      <c r="FS598" s="27" t="s">
        <v>8</v>
      </c>
      <c r="HP598" s="27" t="s">
        <v>7</v>
      </c>
      <c r="HQ598" s="27" t="s">
        <v>8</v>
      </c>
      <c r="HR598" s="27" t="s">
        <v>7</v>
      </c>
      <c r="HS598" s="27" t="s">
        <v>8</v>
      </c>
      <c r="HT598" s="27" t="s">
        <v>7</v>
      </c>
      <c r="HU598" s="27" t="s">
        <v>8</v>
      </c>
      <c r="HV598" s="27" t="s">
        <v>7</v>
      </c>
      <c r="HW598" s="27" t="s">
        <v>8</v>
      </c>
      <c r="HX598" s="27" t="s">
        <v>7</v>
      </c>
      <c r="HY598" s="27" t="s">
        <v>8</v>
      </c>
      <c r="IA598" s="27" t="s">
        <v>8</v>
      </c>
      <c r="IB598" s="27" t="s">
        <v>7</v>
      </c>
      <c r="IE598" s="27" t="s">
        <v>8</v>
      </c>
      <c r="IG598" s="27" t="s">
        <v>8</v>
      </c>
      <c r="JK598" s="27" t="s">
        <v>8</v>
      </c>
      <c r="JN598" s="27" t="s">
        <v>7</v>
      </c>
      <c r="JO598" s="27" t="s">
        <v>8</v>
      </c>
      <c r="JX598" s="27" t="s">
        <v>7</v>
      </c>
      <c r="JY598" s="27" t="s">
        <v>8</v>
      </c>
      <c r="KH598" s="27" t="s">
        <v>7</v>
      </c>
      <c r="KI598" s="27" t="s">
        <v>8</v>
      </c>
      <c r="KJ598" s="27" t="s">
        <v>7</v>
      </c>
      <c r="KK598" s="27" t="s">
        <v>8</v>
      </c>
      <c r="KL598" s="27" t="s">
        <v>7</v>
      </c>
      <c r="KM598" s="27" t="s">
        <v>8</v>
      </c>
      <c r="KN598" s="27" t="s">
        <v>7</v>
      </c>
      <c r="KP598" s="27" t="s">
        <v>7</v>
      </c>
      <c r="LN598" s="27" t="s">
        <v>7</v>
      </c>
      <c r="LO598" s="27" t="s">
        <v>8</v>
      </c>
      <c r="LZ598" s="27" t="s">
        <v>7</v>
      </c>
      <c r="MN598" s="27" t="s">
        <v>7</v>
      </c>
      <c r="MQ598" s="27" t="s">
        <v>8</v>
      </c>
      <c r="MR598" s="27" t="s">
        <v>7</v>
      </c>
    </row>
    <row r="599" spans="1:358" x14ac:dyDescent="0.25">
      <c r="A599" s="7">
        <v>0.78849317558165644</v>
      </c>
      <c r="B599"/>
      <c r="C599"/>
      <c r="D599"/>
      <c r="E599"/>
      <c r="F599" s="27" t="s">
        <v>7</v>
      </c>
      <c r="FI599" s="27" t="s">
        <v>8</v>
      </c>
      <c r="FN599" s="27" t="s">
        <v>7</v>
      </c>
      <c r="FO599" s="27" t="s">
        <v>8</v>
      </c>
      <c r="FR599" s="27" t="s">
        <v>7</v>
      </c>
      <c r="FS599" s="27" t="s">
        <v>8</v>
      </c>
      <c r="HP599" s="27" t="s">
        <v>7</v>
      </c>
      <c r="HQ599" s="27" t="s">
        <v>8</v>
      </c>
      <c r="HR599" s="27" t="s">
        <v>7</v>
      </c>
      <c r="HS599" s="27" t="s">
        <v>8</v>
      </c>
      <c r="HT599" s="27" t="s">
        <v>7</v>
      </c>
      <c r="HU599" s="27" t="s">
        <v>8</v>
      </c>
      <c r="HV599" s="27" t="s">
        <v>7</v>
      </c>
      <c r="HW599" s="27" t="s">
        <v>8</v>
      </c>
      <c r="HX599" s="27" t="s">
        <v>7</v>
      </c>
      <c r="HY599" s="27" t="s">
        <v>8</v>
      </c>
      <c r="HZ599" s="27" t="s">
        <v>7</v>
      </c>
      <c r="IA599" s="27" t="s">
        <v>8</v>
      </c>
      <c r="IB599" s="27" t="s">
        <v>7</v>
      </c>
      <c r="IE599" s="27" t="s">
        <v>8</v>
      </c>
      <c r="IF599" s="27" t="s">
        <v>7</v>
      </c>
      <c r="IG599" s="27" t="s">
        <v>8</v>
      </c>
      <c r="IH599" s="27" t="s">
        <v>7</v>
      </c>
      <c r="JK599" s="27" t="s">
        <v>8</v>
      </c>
      <c r="JN599" s="27" t="s">
        <v>7</v>
      </c>
      <c r="JO599" s="27" t="s">
        <v>8</v>
      </c>
      <c r="JX599" s="27" t="s">
        <v>7</v>
      </c>
      <c r="JY599" s="27" t="s">
        <v>8</v>
      </c>
      <c r="KH599" s="27" t="s">
        <v>7</v>
      </c>
      <c r="KJ599" s="27" t="s">
        <v>7</v>
      </c>
      <c r="KK599" s="27" t="s">
        <v>8</v>
      </c>
      <c r="KL599" s="27" t="s">
        <v>7</v>
      </c>
      <c r="LN599" s="27" t="s">
        <v>7</v>
      </c>
      <c r="LO599" s="27" t="s">
        <v>8</v>
      </c>
      <c r="MN599" s="27" t="s">
        <v>7</v>
      </c>
      <c r="MQ599" s="27" t="s">
        <v>8</v>
      </c>
      <c r="MR599" s="27" t="s">
        <v>7</v>
      </c>
    </row>
    <row r="600" spans="1:358" x14ac:dyDescent="0.25">
      <c r="A600" s="7">
        <v>0.77303252508005538</v>
      </c>
      <c r="B600"/>
      <c r="C600"/>
      <c r="D600"/>
      <c r="E600"/>
      <c r="F600" s="27" t="s">
        <v>7</v>
      </c>
      <c r="FI600" s="27" t="s">
        <v>8</v>
      </c>
      <c r="FN600" s="27" t="s">
        <v>7</v>
      </c>
      <c r="FO600" s="27" t="s">
        <v>8</v>
      </c>
      <c r="FR600" s="27" t="s">
        <v>7</v>
      </c>
      <c r="FS600" s="27" t="s">
        <v>8</v>
      </c>
      <c r="HP600" s="27" t="s">
        <v>7</v>
      </c>
      <c r="HR600" s="27" t="s">
        <v>7</v>
      </c>
      <c r="HS600" s="27" t="s">
        <v>8</v>
      </c>
      <c r="HT600" s="27" t="s">
        <v>7</v>
      </c>
      <c r="HU600" s="27" t="s">
        <v>8</v>
      </c>
      <c r="HV600" s="27" t="s">
        <v>7</v>
      </c>
      <c r="HW600" s="27" t="s">
        <v>8</v>
      </c>
      <c r="HX600" s="27" t="s">
        <v>7</v>
      </c>
      <c r="HY600" s="27" t="s">
        <v>8</v>
      </c>
      <c r="HZ600" s="27" t="s">
        <v>7</v>
      </c>
      <c r="IA600" s="27" t="s">
        <v>8</v>
      </c>
      <c r="IB600" s="27" t="s">
        <v>7</v>
      </c>
      <c r="IC600" s="27" t="s">
        <v>8</v>
      </c>
      <c r="IE600" s="27" t="s">
        <v>8</v>
      </c>
      <c r="IF600" s="27" t="s">
        <v>7</v>
      </c>
      <c r="IG600" s="27" t="s">
        <v>8</v>
      </c>
      <c r="IH600" s="27" t="s">
        <v>7</v>
      </c>
      <c r="JK600" s="27" t="s">
        <v>8</v>
      </c>
      <c r="JN600" s="27" t="s">
        <v>7</v>
      </c>
      <c r="JX600" s="27" t="s">
        <v>7</v>
      </c>
      <c r="JY600" s="27" t="s">
        <v>8</v>
      </c>
      <c r="KJ600" s="27" t="s">
        <v>7</v>
      </c>
      <c r="KK600" s="27" t="s">
        <v>8</v>
      </c>
      <c r="LN600" s="27" t="s">
        <v>7</v>
      </c>
      <c r="LO600" s="27" t="s">
        <v>8</v>
      </c>
      <c r="MN600" s="27" t="s">
        <v>7</v>
      </c>
      <c r="MO600" s="27" t="s">
        <v>8</v>
      </c>
      <c r="MQ600" s="27" t="s">
        <v>8</v>
      </c>
      <c r="MR600" s="27" t="s">
        <v>7</v>
      </c>
      <c r="MS600" s="27" t="s">
        <v>8</v>
      </c>
    </row>
    <row r="601" spans="1:358" x14ac:dyDescent="0.25">
      <c r="A601" s="7">
        <v>0.75787502458828959</v>
      </c>
      <c r="B601"/>
      <c r="C601"/>
      <c r="D601"/>
      <c r="E601"/>
      <c r="F601" s="27" t="s">
        <v>7</v>
      </c>
      <c r="BS601" s="27" t="s">
        <v>8</v>
      </c>
      <c r="FI601" s="27" t="s">
        <v>8</v>
      </c>
      <c r="FN601" s="27" t="s">
        <v>7</v>
      </c>
      <c r="FO601" s="27" t="s">
        <v>8</v>
      </c>
      <c r="FR601" s="27" t="s">
        <v>7</v>
      </c>
      <c r="HR601" s="27" t="s">
        <v>7</v>
      </c>
      <c r="HS601" s="27" t="s">
        <v>8</v>
      </c>
      <c r="HT601" s="27" t="s">
        <v>7</v>
      </c>
      <c r="HU601" s="27" t="s">
        <v>8</v>
      </c>
      <c r="HV601" s="27" t="s">
        <v>7</v>
      </c>
      <c r="HW601" s="27" t="s">
        <v>8</v>
      </c>
      <c r="HX601" s="27" t="s">
        <v>7</v>
      </c>
      <c r="HY601" s="27" t="s">
        <v>8</v>
      </c>
      <c r="HZ601" s="27" t="s">
        <v>7</v>
      </c>
      <c r="IA601" s="27" t="s">
        <v>8</v>
      </c>
      <c r="IB601" s="27" t="s">
        <v>7</v>
      </c>
      <c r="IC601" s="27" t="s">
        <v>8</v>
      </c>
      <c r="ID601" s="27" t="s">
        <v>7</v>
      </c>
      <c r="IE601" s="27" t="s">
        <v>8</v>
      </c>
      <c r="IF601" s="27" t="s">
        <v>7</v>
      </c>
      <c r="IG601" s="27" t="s">
        <v>8</v>
      </c>
      <c r="IH601" s="27" t="s">
        <v>7</v>
      </c>
      <c r="JK601" s="27" t="s">
        <v>8</v>
      </c>
      <c r="JX601" s="27" t="s">
        <v>7</v>
      </c>
      <c r="JY601" s="27" t="s">
        <v>8</v>
      </c>
      <c r="KJ601" s="27" t="s">
        <v>7</v>
      </c>
      <c r="LN601" s="27" t="s">
        <v>7</v>
      </c>
      <c r="MN601" s="27" t="s">
        <v>7</v>
      </c>
      <c r="MO601" s="27" t="s">
        <v>8</v>
      </c>
      <c r="MP601" s="27" t="s">
        <v>7</v>
      </c>
      <c r="MQ601" s="27" t="s">
        <v>8</v>
      </c>
      <c r="MR601" s="27" t="s">
        <v>7</v>
      </c>
      <c r="MS601" s="27" t="s">
        <v>8</v>
      </c>
      <c r="MT601" s="27" t="s">
        <v>7</v>
      </c>
    </row>
    <row r="602" spans="1:358" x14ac:dyDescent="0.25">
      <c r="A602" s="7">
        <v>0.74301472998851925</v>
      </c>
      <c r="B602"/>
      <c r="C602"/>
      <c r="D602"/>
      <c r="E602"/>
      <c r="F602" s="27" t="s">
        <v>7</v>
      </c>
      <c r="BS602" s="27" t="s">
        <v>8</v>
      </c>
      <c r="BT602" s="27" t="s">
        <v>7</v>
      </c>
      <c r="FI602" s="27" t="s">
        <v>8</v>
      </c>
      <c r="FN602" s="27" t="s">
        <v>7</v>
      </c>
      <c r="FO602" s="27" t="s">
        <v>8</v>
      </c>
      <c r="HR602" s="27" t="s">
        <v>7</v>
      </c>
      <c r="HT602" s="27" t="s">
        <v>7</v>
      </c>
      <c r="HU602" s="27" t="s">
        <v>8</v>
      </c>
      <c r="HV602" s="27" t="s">
        <v>7</v>
      </c>
      <c r="HW602" s="27" t="s">
        <v>8</v>
      </c>
      <c r="HX602" s="27" t="s">
        <v>7</v>
      </c>
      <c r="HZ602" s="27" t="s">
        <v>7</v>
      </c>
      <c r="IA602" s="27" t="s">
        <v>8</v>
      </c>
      <c r="IB602" s="27" t="s">
        <v>7</v>
      </c>
      <c r="IC602" s="27" t="s">
        <v>8</v>
      </c>
      <c r="ID602" s="27" t="s">
        <v>7</v>
      </c>
      <c r="IE602" s="27" t="s">
        <v>8</v>
      </c>
      <c r="IF602" s="27" t="s">
        <v>7</v>
      </c>
      <c r="IG602" s="27" t="s">
        <v>8</v>
      </c>
      <c r="IH602" s="27" t="s">
        <v>7</v>
      </c>
      <c r="JI602" s="27" t="s">
        <v>8</v>
      </c>
      <c r="JK602" s="27" t="s">
        <v>8</v>
      </c>
      <c r="JX602" s="27" t="s">
        <v>7</v>
      </c>
      <c r="JY602" s="27" t="s">
        <v>8</v>
      </c>
      <c r="MN602" s="27" t="s">
        <v>7</v>
      </c>
      <c r="MO602" s="27" t="s">
        <v>8</v>
      </c>
      <c r="MP602" s="27" t="s">
        <v>7</v>
      </c>
      <c r="MQ602" s="27" t="s">
        <v>8</v>
      </c>
      <c r="MR602" s="27" t="s">
        <v>7</v>
      </c>
      <c r="MS602" s="27" t="s">
        <v>8</v>
      </c>
      <c r="MT602" s="27" t="s">
        <v>7</v>
      </c>
    </row>
    <row r="603" spans="1:358" x14ac:dyDescent="0.25">
      <c r="A603" s="7">
        <v>0.72844581371423456</v>
      </c>
      <c r="B603"/>
      <c r="C603"/>
      <c r="D603"/>
      <c r="E603"/>
      <c r="F603" s="27" t="s">
        <v>7</v>
      </c>
      <c r="BS603" s="27" t="s">
        <v>8</v>
      </c>
      <c r="BT603" s="27" t="s">
        <v>7</v>
      </c>
      <c r="FI603" s="27" t="s">
        <v>8</v>
      </c>
      <c r="FN603" s="27" t="s">
        <v>7</v>
      </c>
      <c r="FO603" s="27" t="s">
        <v>8</v>
      </c>
      <c r="HT603" s="27" t="s">
        <v>7</v>
      </c>
      <c r="HU603" s="27" t="s">
        <v>8</v>
      </c>
      <c r="HV603" s="27" t="s">
        <v>7</v>
      </c>
      <c r="HW603" s="27" t="s">
        <v>8</v>
      </c>
      <c r="HZ603" s="27" t="s">
        <v>7</v>
      </c>
      <c r="IA603" s="27" t="s">
        <v>8</v>
      </c>
      <c r="IB603" s="27" t="s">
        <v>7</v>
      </c>
      <c r="IC603" s="27" t="s">
        <v>8</v>
      </c>
      <c r="ID603" s="27" t="s">
        <v>7</v>
      </c>
      <c r="IF603" s="27" t="s">
        <v>7</v>
      </c>
      <c r="IG603" s="27" t="s">
        <v>8</v>
      </c>
      <c r="IH603" s="27" t="s">
        <v>7</v>
      </c>
      <c r="JG603" s="27" t="s">
        <v>8</v>
      </c>
      <c r="JI603" s="27" t="s">
        <v>8</v>
      </c>
      <c r="JJ603" s="27" t="s">
        <v>7</v>
      </c>
      <c r="JK603" s="27" t="s">
        <v>8</v>
      </c>
      <c r="JX603" s="27" t="s">
        <v>7</v>
      </c>
      <c r="JY603" s="27" t="s">
        <v>8</v>
      </c>
      <c r="MN603" s="27" t="s">
        <v>7</v>
      </c>
      <c r="MO603" s="27" t="s">
        <v>8</v>
      </c>
      <c r="MP603" s="27" t="s">
        <v>7</v>
      </c>
      <c r="MQ603" s="27" t="s">
        <v>8</v>
      </c>
      <c r="MR603" s="27" t="s">
        <v>7</v>
      </c>
      <c r="MT603" s="27" t="s">
        <v>7</v>
      </c>
    </row>
    <row r="604" spans="1:358" x14ac:dyDescent="0.25">
      <c r="A604" s="7">
        <v>0.71416256246493581</v>
      </c>
      <c r="B604"/>
      <c r="C604"/>
      <c r="D604"/>
      <c r="E604"/>
      <c r="F604" s="27" t="s">
        <v>7</v>
      </c>
      <c r="BS604" s="27" t="s">
        <v>8</v>
      </c>
      <c r="BT604" s="27" t="s">
        <v>7</v>
      </c>
      <c r="FI604" s="27" t="s">
        <v>8</v>
      </c>
      <c r="FN604" s="27" t="s">
        <v>7</v>
      </c>
      <c r="FO604" s="27" t="s">
        <v>8</v>
      </c>
      <c r="HT604" s="27" t="s">
        <v>7</v>
      </c>
      <c r="HU604" s="27" t="s">
        <v>8</v>
      </c>
      <c r="HV604" s="27" t="s">
        <v>7</v>
      </c>
      <c r="HZ604" s="27" t="s">
        <v>7</v>
      </c>
      <c r="IA604" s="27" t="s">
        <v>8</v>
      </c>
      <c r="IB604" s="27" t="s">
        <v>7</v>
      </c>
      <c r="IC604" s="27" t="s">
        <v>8</v>
      </c>
      <c r="IF604" s="27" t="s">
        <v>7</v>
      </c>
      <c r="IG604" s="27" t="s">
        <v>8</v>
      </c>
      <c r="IH604" s="27" t="s">
        <v>7</v>
      </c>
      <c r="JG604" s="27" t="s">
        <v>8</v>
      </c>
      <c r="JH604" s="27" t="s">
        <v>7</v>
      </c>
      <c r="JI604" s="27" t="s">
        <v>8</v>
      </c>
      <c r="JJ604" s="27" t="s">
        <v>7</v>
      </c>
      <c r="JK604" s="27" t="s">
        <v>8</v>
      </c>
      <c r="JX604" s="27" t="s">
        <v>7</v>
      </c>
      <c r="MN604" s="27" t="s">
        <v>7</v>
      </c>
      <c r="MP604" s="27" t="s">
        <v>7</v>
      </c>
      <c r="MQ604" s="27" t="s">
        <v>8</v>
      </c>
      <c r="MT604" s="27" t="s">
        <v>7</v>
      </c>
    </row>
    <row r="605" spans="1:358" x14ac:dyDescent="0.25">
      <c r="A605" s="7">
        <v>0.7001593749656233</v>
      </c>
      <c r="B605"/>
      <c r="C605"/>
      <c r="D605"/>
      <c r="E605"/>
      <c r="F605" s="27" t="s">
        <v>7</v>
      </c>
      <c r="BS605" s="27" t="s">
        <v>8</v>
      </c>
      <c r="BT605" s="27" t="s">
        <v>7</v>
      </c>
      <c r="FI605" s="27" t="s">
        <v>8</v>
      </c>
      <c r="FN605" s="27" t="s">
        <v>7</v>
      </c>
      <c r="FO605" s="27" t="s">
        <v>8</v>
      </c>
      <c r="HT605" s="27" t="s">
        <v>7</v>
      </c>
      <c r="HU605" s="27" t="s">
        <v>8</v>
      </c>
      <c r="HZ605" s="27" t="s">
        <v>7</v>
      </c>
      <c r="IA605" s="27" t="s">
        <v>8</v>
      </c>
      <c r="IB605" s="27" t="s">
        <v>7</v>
      </c>
      <c r="IC605" s="27" t="s">
        <v>8</v>
      </c>
      <c r="IF605" s="27" t="s">
        <v>7</v>
      </c>
      <c r="IG605" s="27" t="s">
        <v>8</v>
      </c>
      <c r="IH605" s="27" t="s">
        <v>7</v>
      </c>
      <c r="IO605" s="27" t="s">
        <v>8</v>
      </c>
      <c r="JG605" s="27" t="s">
        <v>8</v>
      </c>
      <c r="JH605" s="27" t="s">
        <v>7</v>
      </c>
      <c r="JI605" s="27" t="s">
        <v>8</v>
      </c>
      <c r="JJ605" s="27" t="s">
        <v>7</v>
      </c>
      <c r="JK605" s="27" t="s">
        <v>8</v>
      </c>
      <c r="MP605" s="27" t="s">
        <v>7</v>
      </c>
      <c r="MQ605" s="27" t="s">
        <v>8</v>
      </c>
      <c r="MT605" s="27" t="s">
        <v>7</v>
      </c>
    </row>
    <row r="606" spans="1:358" x14ac:dyDescent="0.25">
      <c r="A606" s="7">
        <v>0.68643075977021883</v>
      </c>
      <c r="B606"/>
      <c r="C606"/>
      <c r="D606"/>
      <c r="E606"/>
      <c r="F606" s="27" t="s">
        <v>7</v>
      </c>
      <c r="BS606" s="27" t="s">
        <v>8</v>
      </c>
      <c r="BT606" s="27" t="s">
        <v>7</v>
      </c>
      <c r="FG606" s="27" t="s">
        <v>8</v>
      </c>
      <c r="FI606" s="27" t="s">
        <v>8</v>
      </c>
      <c r="FN606" s="27" t="s">
        <v>7</v>
      </c>
      <c r="FO606" s="27" t="s">
        <v>8</v>
      </c>
      <c r="HT606" s="27" t="s">
        <v>7</v>
      </c>
      <c r="HU606" s="27" t="s">
        <v>8</v>
      </c>
      <c r="HZ606" s="27" t="s">
        <v>7</v>
      </c>
      <c r="IA606" s="27" t="s">
        <v>8</v>
      </c>
      <c r="IB606" s="27" t="s">
        <v>7</v>
      </c>
      <c r="IC606" s="27" t="s">
        <v>8</v>
      </c>
      <c r="IF606" s="27" t="s">
        <v>7</v>
      </c>
      <c r="IG606" s="27" t="s">
        <v>8</v>
      </c>
      <c r="IH606" s="27" t="s">
        <v>7</v>
      </c>
      <c r="IO606" s="27" t="s">
        <v>8</v>
      </c>
      <c r="IP606" s="27" t="s">
        <v>7</v>
      </c>
      <c r="JG606" s="27" t="s">
        <v>8</v>
      </c>
      <c r="JH606" s="27" t="s">
        <v>7</v>
      </c>
      <c r="JI606" s="27" t="s">
        <v>8</v>
      </c>
      <c r="JJ606" s="27" t="s">
        <v>7</v>
      </c>
      <c r="JK606" s="27" t="s">
        <v>8</v>
      </c>
      <c r="MP606" s="27" t="s">
        <v>7</v>
      </c>
      <c r="MQ606" s="27" t="s">
        <v>8</v>
      </c>
      <c r="MT606" s="27" t="s">
        <v>7</v>
      </c>
    </row>
    <row r="607" spans="1:358" x14ac:dyDescent="0.25">
      <c r="A607" s="7">
        <v>0.67297133310805768</v>
      </c>
      <c r="B607"/>
      <c r="C607"/>
      <c r="D607"/>
      <c r="E607"/>
      <c r="F607" s="27" t="s">
        <v>7</v>
      </c>
      <c r="BQ607" s="27" t="s">
        <v>8</v>
      </c>
      <c r="BS607" s="27" t="s">
        <v>8</v>
      </c>
      <c r="BT607" s="27" t="s">
        <v>7</v>
      </c>
      <c r="BU607" s="27" t="s">
        <v>8</v>
      </c>
      <c r="FG607" s="27" t="s">
        <v>8</v>
      </c>
      <c r="FH607" s="27" t="s">
        <v>7</v>
      </c>
      <c r="FI607" s="27" t="s">
        <v>8</v>
      </c>
      <c r="FN607" s="27" t="s">
        <v>7</v>
      </c>
      <c r="HT607" s="27" t="s">
        <v>7</v>
      </c>
      <c r="HU607" s="27" t="s">
        <v>8</v>
      </c>
      <c r="HZ607" s="27" t="s">
        <v>7</v>
      </c>
      <c r="IA607" s="27" t="s">
        <v>8</v>
      </c>
      <c r="IB607" s="27" t="s">
        <v>7</v>
      </c>
      <c r="IC607" s="27" t="s">
        <v>8</v>
      </c>
      <c r="IF607" s="27" t="s">
        <v>7</v>
      </c>
      <c r="IH607" s="27" t="s">
        <v>7</v>
      </c>
      <c r="IO607" s="27" t="s">
        <v>8</v>
      </c>
      <c r="IP607" s="27" t="s">
        <v>7</v>
      </c>
      <c r="JG607" s="27" t="s">
        <v>8</v>
      </c>
      <c r="JH607" s="27" t="s">
        <v>7</v>
      </c>
      <c r="JI607" s="27" t="s">
        <v>8</v>
      </c>
      <c r="JJ607" s="27" t="s">
        <v>7</v>
      </c>
      <c r="MP607" s="27" t="s">
        <v>7</v>
      </c>
      <c r="MT607" s="27" t="s">
        <v>7</v>
      </c>
    </row>
    <row r="608" spans="1:358" x14ac:dyDescent="0.25">
      <c r="A608" s="7">
        <v>0.65977581677260566</v>
      </c>
      <c r="B608"/>
      <c r="C608"/>
      <c r="D608"/>
      <c r="E608"/>
      <c r="F608" s="27" t="s">
        <v>7</v>
      </c>
      <c r="BQ608" s="27" t="s">
        <v>8</v>
      </c>
      <c r="BR608" s="27" t="s">
        <v>7</v>
      </c>
      <c r="BS608" s="27" t="s">
        <v>8</v>
      </c>
      <c r="BT608" s="27" t="s">
        <v>7</v>
      </c>
      <c r="BU608" s="27" t="s">
        <v>8</v>
      </c>
      <c r="BV608" s="27" t="s">
        <v>7</v>
      </c>
      <c r="BW608" s="27" t="s">
        <v>8</v>
      </c>
      <c r="FG608" s="27" t="s">
        <v>8</v>
      </c>
      <c r="FH608" s="27" t="s">
        <v>7</v>
      </c>
      <c r="FI608" s="27" t="s">
        <v>8</v>
      </c>
      <c r="HT608" s="27" t="s">
        <v>7</v>
      </c>
      <c r="HU608" s="27" t="s">
        <v>8</v>
      </c>
      <c r="HZ608" s="27" t="s">
        <v>7</v>
      </c>
      <c r="IA608" s="27" t="s">
        <v>8</v>
      </c>
      <c r="IB608" s="27" t="s">
        <v>7</v>
      </c>
      <c r="IH608" s="27" t="s">
        <v>7</v>
      </c>
      <c r="IO608" s="27" t="s">
        <v>8</v>
      </c>
      <c r="IP608" s="27" t="s">
        <v>7</v>
      </c>
      <c r="JG608" s="27" t="s">
        <v>8</v>
      </c>
      <c r="JH608" s="27" t="s">
        <v>7</v>
      </c>
      <c r="JI608" s="27" t="s">
        <v>8</v>
      </c>
      <c r="MT608" s="27" t="s">
        <v>7</v>
      </c>
    </row>
    <row r="609" spans="1:362" x14ac:dyDescent="0.25">
      <c r="A609" s="7">
        <v>0.64683903605157422</v>
      </c>
      <c r="B609"/>
      <c r="C609"/>
      <c r="D609"/>
      <c r="E609"/>
      <c r="F609" s="27" t="s">
        <v>7</v>
      </c>
      <c r="BQ609" s="27" t="s">
        <v>8</v>
      </c>
      <c r="BR609" s="27" t="s">
        <v>7</v>
      </c>
      <c r="BS609" s="27" t="s">
        <v>8</v>
      </c>
      <c r="BT609" s="27" t="s">
        <v>7</v>
      </c>
      <c r="BU609" s="27" t="s">
        <v>8</v>
      </c>
      <c r="BV609" s="27" t="s">
        <v>7</v>
      </c>
      <c r="BW609" s="27" t="s">
        <v>8</v>
      </c>
      <c r="BX609" s="27" t="s">
        <v>7</v>
      </c>
      <c r="BY609" s="27" t="s">
        <v>8</v>
      </c>
      <c r="FG609" s="27" t="s">
        <v>8</v>
      </c>
      <c r="FH609" s="27" t="s">
        <v>7</v>
      </c>
      <c r="FI609" s="27" t="s">
        <v>8</v>
      </c>
      <c r="HT609" s="27" t="s">
        <v>7</v>
      </c>
      <c r="HU609" s="27" t="s">
        <v>8</v>
      </c>
      <c r="HZ609" s="27" t="s">
        <v>7</v>
      </c>
      <c r="IA609" s="27" t="s">
        <v>8</v>
      </c>
      <c r="IH609" s="27" t="s">
        <v>7</v>
      </c>
      <c r="IO609" s="27" t="s">
        <v>8</v>
      </c>
      <c r="IP609" s="27" t="s">
        <v>7</v>
      </c>
      <c r="JG609" s="27" t="s">
        <v>8</v>
      </c>
      <c r="JH609" s="27" t="s">
        <v>7</v>
      </c>
      <c r="JI609" s="27" t="s">
        <v>8</v>
      </c>
      <c r="MT609" s="27" t="s">
        <v>7</v>
      </c>
    </row>
    <row r="610" spans="1:362" x14ac:dyDescent="0.25">
      <c r="A610" s="7">
        <v>0.63415591769762181</v>
      </c>
      <c r="B610"/>
      <c r="C610"/>
      <c r="D610"/>
      <c r="E610"/>
      <c r="F610" s="27" t="s">
        <v>7</v>
      </c>
      <c r="BQ610" s="27" t="s">
        <v>8</v>
      </c>
      <c r="BR610" s="27" t="s">
        <v>7</v>
      </c>
      <c r="BS610" s="27" t="s">
        <v>8</v>
      </c>
      <c r="BT610" s="27" t="s">
        <v>7</v>
      </c>
      <c r="BV610" s="27" t="s">
        <v>7</v>
      </c>
      <c r="BW610" s="27" t="s">
        <v>8</v>
      </c>
      <c r="BX610" s="27" t="s">
        <v>7</v>
      </c>
      <c r="BY610" s="27" t="s">
        <v>8</v>
      </c>
      <c r="BZ610" s="27" t="s">
        <v>7</v>
      </c>
      <c r="FG610" s="27" t="s">
        <v>8</v>
      </c>
      <c r="FH610" s="27" t="s">
        <v>7</v>
      </c>
      <c r="FI610" s="27" t="s">
        <v>8</v>
      </c>
      <c r="HT610" s="27" t="s">
        <v>7</v>
      </c>
      <c r="HU610" s="27" t="s">
        <v>8</v>
      </c>
      <c r="HZ610" s="27" t="s">
        <v>7</v>
      </c>
      <c r="IH610" s="27" t="s">
        <v>7</v>
      </c>
      <c r="IO610" s="27" t="s">
        <v>8</v>
      </c>
      <c r="IP610" s="27" t="s">
        <v>7</v>
      </c>
      <c r="JG610" s="27" t="s">
        <v>8</v>
      </c>
      <c r="JH610" s="27" t="s">
        <v>7</v>
      </c>
      <c r="MT610" s="27" t="s">
        <v>7</v>
      </c>
    </row>
    <row r="611" spans="1:362" x14ac:dyDescent="0.25">
      <c r="A611" s="7">
        <v>0.62172148793884496</v>
      </c>
      <c r="B611"/>
      <c r="C611"/>
      <c r="D611"/>
      <c r="E611"/>
      <c r="F611" s="27" t="s">
        <v>7</v>
      </c>
      <c r="BQ611" s="27" t="s">
        <v>8</v>
      </c>
      <c r="BR611" s="27" t="s">
        <v>7</v>
      </c>
      <c r="BS611" s="27" t="s">
        <v>8</v>
      </c>
      <c r="BV611" s="27" t="s">
        <v>7</v>
      </c>
      <c r="BW611" s="27" t="s">
        <v>8</v>
      </c>
      <c r="BX611" s="27" t="s">
        <v>7</v>
      </c>
      <c r="BY611" s="27" t="s">
        <v>8</v>
      </c>
      <c r="BZ611" s="27" t="s">
        <v>7</v>
      </c>
      <c r="FG611" s="27" t="s">
        <v>8</v>
      </c>
      <c r="FH611" s="27" t="s">
        <v>7</v>
      </c>
      <c r="FI611" s="27" t="s">
        <v>8</v>
      </c>
      <c r="HT611" s="27" t="s">
        <v>7</v>
      </c>
      <c r="HU611" s="27" t="s">
        <v>8</v>
      </c>
      <c r="IH611" s="27" t="s">
        <v>7</v>
      </c>
      <c r="IO611" s="27" t="s">
        <v>8</v>
      </c>
      <c r="IP611" s="27" t="s">
        <v>7</v>
      </c>
      <c r="IQ611" s="27" t="s">
        <v>8</v>
      </c>
      <c r="JG611" s="27" t="s">
        <v>8</v>
      </c>
      <c r="MT611" s="27" t="s">
        <v>7</v>
      </c>
    </row>
    <row r="612" spans="1:362" x14ac:dyDescent="0.25">
      <c r="A612" s="7">
        <v>0.60953087052827937</v>
      </c>
      <c r="B612"/>
      <c r="C612"/>
      <c r="D612"/>
      <c r="E612"/>
      <c r="F612" s="27" t="s">
        <v>7</v>
      </c>
      <c r="BQ612" s="27" t="s">
        <v>8</v>
      </c>
      <c r="BR612" s="27" t="s">
        <v>7</v>
      </c>
      <c r="BS612" s="27" t="s">
        <v>8</v>
      </c>
      <c r="BV612" s="27" t="s">
        <v>7</v>
      </c>
      <c r="BW612" s="27" t="s">
        <v>8</v>
      </c>
      <c r="BX612" s="27" t="s">
        <v>7</v>
      </c>
      <c r="BZ612" s="27" t="s">
        <v>7</v>
      </c>
      <c r="FG612" s="27" t="s">
        <v>8</v>
      </c>
      <c r="FH612" s="27" t="s">
        <v>7</v>
      </c>
      <c r="FI612" s="27" t="s">
        <v>8</v>
      </c>
      <c r="HT612" s="27" t="s">
        <v>7</v>
      </c>
      <c r="HU612" s="27" t="s">
        <v>8</v>
      </c>
      <c r="IH612" s="27" t="s">
        <v>7</v>
      </c>
      <c r="IO612" s="27" t="s">
        <v>8</v>
      </c>
      <c r="IP612" s="27" t="s">
        <v>7</v>
      </c>
      <c r="IQ612" s="27" t="s">
        <v>8</v>
      </c>
      <c r="IR612" s="27" t="s">
        <v>7</v>
      </c>
      <c r="JE612" s="27" t="s">
        <v>8</v>
      </c>
      <c r="JG612" s="27" t="s">
        <v>8</v>
      </c>
      <c r="MT612" s="27" t="s">
        <v>7</v>
      </c>
    </row>
    <row r="613" spans="1:362" x14ac:dyDescent="0.25">
      <c r="A613" s="7">
        <v>0.59757928483164646</v>
      </c>
      <c r="B613"/>
      <c r="C613"/>
      <c r="D613"/>
      <c r="E613"/>
      <c r="F613" s="27" t="s">
        <v>7</v>
      </c>
      <c r="BO613" s="27" t="s">
        <v>8</v>
      </c>
      <c r="BQ613" s="27" t="s">
        <v>8</v>
      </c>
      <c r="BR613" s="27" t="s">
        <v>7</v>
      </c>
      <c r="BS613" s="27" t="s">
        <v>8</v>
      </c>
      <c r="BV613" s="27" t="s">
        <v>7</v>
      </c>
      <c r="BW613" s="27" t="s">
        <v>8</v>
      </c>
      <c r="BZ613" s="27" t="s">
        <v>7</v>
      </c>
      <c r="FG613" s="27" t="s">
        <v>8</v>
      </c>
      <c r="FH613" s="27" t="s">
        <v>7</v>
      </c>
      <c r="FI613" s="27" t="s">
        <v>8</v>
      </c>
      <c r="HT613" s="27" t="s">
        <v>7</v>
      </c>
      <c r="HU613" s="27" t="s">
        <v>8</v>
      </c>
      <c r="IH613" s="27" t="s">
        <v>7</v>
      </c>
      <c r="IK613" s="27" t="s">
        <v>8</v>
      </c>
      <c r="IO613" s="27" t="s">
        <v>8</v>
      </c>
      <c r="IP613" s="27" t="s">
        <v>7</v>
      </c>
      <c r="IQ613" s="27" t="s">
        <v>8</v>
      </c>
      <c r="IR613" s="27" t="s">
        <v>7</v>
      </c>
      <c r="JE613" s="27" t="s">
        <v>8</v>
      </c>
      <c r="JF613" s="27" t="s">
        <v>7</v>
      </c>
      <c r="JG613" s="27" t="s">
        <v>8</v>
      </c>
      <c r="MT613" s="27" t="s">
        <v>7</v>
      </c>
    </row>
    <row r="614" spans="1:362" x14ac:dyDescent="0.25">
      <c r="A614" s="7">
        <v>0.58586204395259456</v>
      </c>
      <c r="B614"/>
      <c r="C614"/>
      <c r="D614"/>
      <c r="E614"/>
      <c r="F614" s="27" t="s">
        <v>7</v>
      </c>
      <c r="BO614" s="27" t="s">
        <v>8</v>
      </c>
      <c r="BP614" s="27" t="s">
        <v>7</v>
      </c>
      <c r="BQ614" s="27" t="s">
        <v>8</v>
      </c>
      <c r="BR614" s="27" t="s">
        <v>7</v>
      </c>
      <c r="BS614" s="27" t="s">
        <v>8</v>
      </c>
      <c r="BV614" s="27" t="s">
        <v>7</v>
      </c>
      <c r="BW614" s="27" t="s">
        <v>8</v>
      </c>
      <c r="BZ614" s="27" t="s">
        <v>7</v>
      </c>
      <c r="FG614" s="27" t="s">
        <v>8</v>
      </c>
      <c r="FH614" s="27" t="s">
        <v>7</v>
      </c>
      <c r="FI614" s="27" t="s">
        <v>8</v>
      </c>
      <c r="HT614" s="27" t="s">
        <v>7</v>
      </c>
      <c r="HU614" s="27" t="s">
        <v>8</v>
      </c>
      <c r="IH614" s="27" t="s">
        <v>7</v>
      </c>
      <c r="IK614" s="27" t="s">
        <v>8</v>
      </c>
      <c r="IL614" s="27" t="s">
        <v>7</v>
      </c>
      <c r="IO614" s="27" t="s">
        <v>8</v>
      </c>
      <c r="IP614" s="27" t="s">
        <v>7</v>
      </c>
      <c r="IQ614" s="27" t="s">
        <v>8</v>
      </c>
      <c r="IR614" s="27" t="s">
        <v>7</v>
      </c>
      <c r="IW614" s="27" t="s">
        <v>8</v>
      </c>
      <c r="IY614" s="27" t="s">
        <v>8</v>
      </c>
      <c r="JC614" s="27" t="s">
        <v>8</v>
      </c>
      <c r="JE614" s="27" t="s">
        <v>8</v>
      </c>
      <c r="JF614" s="27" t="s">
        <v>7</v>
      </c>
      <c r="JG614" s="27" t="s">
        <v>8</v>
      </c>
      <c r="MT614" s="27" t="s">
        <v>7</v>
      </c>
    </row>
    <row r="615" spans="1:362" x14ac:dyDescent="0.25">
      <c r="A615" s="7">
        <v>0.57437455289470052</v>
      </c>
      <c r="B615"/>
      <c r="C615"/>
      <c r="D615"/>
      <c r="E615"/>
      <c r="F615" s="27" t="s">
        <v>7</v>
      </c>
      <c r="BO615" s="27" t="s">
        <v>8</v>
      </c>
      <c r="BP615" s="27" t="s">
        <v>7</v>
      </c>
      <c r="BQ615" s="27" t="s">
        <v>8</v>
      </c>
      <c r="BR615" s="27" t="s">
        <v>7</v>
      </c>
      <c r="BS615" s="27" t="s">
        <v>8</v>
      </c>
      <c r="BV615" s="27" t="s">
        <v>7</v>
      </c>
      <c r="BZ615" s="27" t="s">
        <v>7</v>
      </c>
      <c r="FG615" s="27" t="s">
        <v>8</v>
      </c>
      <c r="FH615" s="27" t="s">
        <v>7</v>
      </c>
      <c r="FI615" s="27" t="s">
        <v>8</v>
      </c>
      <c r="HT615" s="27" t="s">
        <v>7</v>
      </c>
      <c r="HU615" s="27" t="s">
        <v>8</v>
      </c>
      <c r="IH615" s="27" t="s">
        <v>7</v>
      </c>
      <c r="II615" s="27" t="s">
        <v>8</v>
      </c>
      <c r="IK615" s="27" t="s">
        <v>8</v>
      </c>
      <c r="IL615" s="27" t="s">
        <v>7</v>
      </c>
      <c r="IM615" s="27" t="s">
        <v>8</v>
      </c>
      <c r="IO615" s="27" t="s">
        <v>8</v>
      </c>
      <c r="IP615" s="27" t="s">
        <v>7</v>
      </c>
      <c r="IR615" s="27" t="s">
        <v>7</v>
      </c>
      <c r="IW615" s="27" t="s">
        <v>8</v>
      </c>
      <c r="IX615" s="27" t="s">
        <v>7</v>
      </c>
      <c r="IY615" s="27" t="s">
        <v>8</v>
      </c>
      <c r="IZ615" s="27" t="s">
        <v>7</v>
      </c>
      <c r="JA615" s="27" t="s">
        <v>8</v>
      </c>
      <c r="JC615" s="27" t="s">
        <v>8</v>
      </c>
      <c r="JD615" s="27" t="s">
        <v>7</v>
      </c>
      <c r="JE615" s="27" t="s">
        <v>8</v>
      </c>
      <c r="JF615" s="27" t="s">
        <v>7</v>
      </c>
      <c r="JG615" s="27" t="s">
        <v>8</v>
      </c>
      <c r="MT615" s="27" t="s">
        <v>7</v>
      </c>
    </row>
    <row r="616" spans="1:362" x14ac:dyDescent="0.25">
      <c r="A616" s="7">
        <v>0.56311230675951029</v>
      </c>
      <c r="B616"/>
      <c r="C616"/>
      <c r="D616"/>
      <c r="E616"/>
      <c r="F616" s="27" t="s">
        <v>7</v>
      </c>
      <c r="BO616" s="27" t="s">
        <v>8</v>
      </c>
      <c r="BP616" s="27" t="s">
        <v>7</v>
      </c>
      <c r="BQ616" s="27" t="s">
        <v>8</v>
      </c>
      <c r="BR616" s="27" t="s">
        <v>7</v>
      </c>
      <c r="BS616" s="27" t="s">
        <v>8</v>
      </c>
      <c r="BZ616" s="27" t="s">
        <v>7</v>
      </c>
      <c r="CA616" s="27" t="s">
        <v>8</v>
      </c>
      <c r="FG616" s="27" t="s">
        <v>8</v>
      </c>
      <c r="FH616" s="27" t="s">
        <v>7</v>
      </c>
      <c r="FI616" s="27" t="s">
        <v>8</v>
      </c>
      <c r="HT616" s="27" t="s">
        <v>7</v>
      </c>
      <c r="HU616" s="27" t="s">
        <v>8</v>
      </c>
      <c r="IH616" s="27" t="s">
        <v>7</v>
      </c>
      <c r="II616" s="27" t="s">
        <v>8</v>
      </c>
      <c r="IJ616" s="27" t="s">
        <v>7</v>
      </c>
      <c r="IK616" s="27" t="s">
        <v>8</v>
      </c>
      <c r="IL616" s="27" t="s">
        <v>7</v>
      </c>
      <c r="IM616" s="27" t="s">
        <v>8</v>
      </c>
      <c r="IN616" s="27" t="s">
        <v>7</v>
      </c>
      <c r="IO616" s="27" t="s">
        <v>8</v>
      </c>
      <c r="IR616" s="27" t="s">
        <v>7</v>
      </c>
      <c r="IS616" s="27" t="s">
        <v>8</v>
      </c>
      <c r="IW616" s="27" t="s">
        <v>8</v>
      </c>
      <c r="IX616" s="27" t="s">
        <v>7</v>
      </c>
      <c r="IY616" s="27" t="s">
        <v>8</v>
      </c>
      <c r="IZ616" s="27" t="s">
        <v>7</v>
      </c>
      <c r="JA616" s="27" t="s">
        <v>8</v>
      </c>
      <c r="JB616" s="27" t="s">
        <v>7</v>
      </c>
      <c r="JC616" s="27" t="s">
        <v>8</v>
      </c>
      <c r="JD616" s="27" t="s">
        <v>7</v>
      </c>
      <c r="JE616" s="27" t="s">
        <v>8</v>
      </c>
      <c r="JF616" s="27" t="s">
        <v>7</v>
      </c>
      <c r="JG616" s="27" t="s">
        <v>8</v>
      </c>
      <c r="MT616" s="27" t="s">
        <v>7</v>
      </c>
      <c r="MW616" s="27" t="s">
        <v>8</v>
      </c>
    </row>
    <row r="617" spans="1:362" x14ac:dyDescent="0.25">
      <c r="A617" s="7">
        <v>0.55207088897991208</v>
      </c>
      <c r="B617"/>
      <c r="C617"/>
      <c r="D617"/>
      <c r="E617"/>
      <c r="F617" s="27" t="s">
        <v>7</v>
      </c>
      <c r="BO617" s="27" t="s">
        <v>8</v>
      </c>
      <c r="BP617" s="27" t="s">
        <v>7</v>
      </c>
      <c r="BQ617" s="27" t="s">
        <v>8</v>
      </c>
      <c r="BR617" s="27" t="s">
        <v>7</v>
      </c>
      <c r="BS617" s="27" t="s">
        <v>8</v>
      </c>
      <c r="BZ617" s="27" t="s">
        <v>7</v>
      </c>
      <c r="CA617" s="27" t="s">
        <v>8</v>
      </c>
      <c r="CB617" s="27" t="s">
        <v>7</v>
      </c>
      <c r="CE617" s="27" t="s">
        <v>8</v>
      </c>
      <c r="FG617" s="27" t="s">
        <v>8</v>
      </c>
      <c r="FH617" s="27" t="s">
        <v>7</v>
      </c>
      <c r="FI617" s="27" t="s">
        <v>8</v>
      </c>
      <c r="HT617" s="27" t="s">
        <v>7</v>
      </c>
      <c r="HU617" s="27" t="s">
        <v>8</v>
      </c>
      <c r="IH617" s="27" t="s">
        <v>7</v>
      </c>
      <c r="II617" s="27" t="s">
        <v>8</v>
      </c>
      <c r="IJ617" s="27" t="s">
        <v>7</v>
      </c>
      <c r="IK617" s="27" t="s">
        <v>8</v>
      </c>
      <c r="IL617" s="27" t="s">
        <v>7</v>
      </c>
      <c r="IM617" s="27" t="s">
        <v>8</v>
      </c>
      <c r="IN617" s="27" t="s">
        <v>7</v>
      </c>
      <c r="IO617" s="27" t="s">
        <v>8</v>
      </c>
      <c r="IR617" s="27" t="s">
        <v>7</v>
      </c>
      <c r="IS617" s="27" t="s">
        <v>8</v>
      </c>
      <c r="IT617" s="27" t="s">
        <v>7</v>
      </c>
      <c r="IW617" s="27" t="s">
        <v>8</v>
      </c>
      <c r="IX617" s="27" t="s">
        <v>7</v>
      </c>
      <c r="IY617" s="27" t="s">
        <v>8</v>
      </c>
      <c r="IZ617" s="27" t="s">
        <v>7</v>
      </c>
      <c r="JA617" s="27" t="s">
        <v>8</v>
      </c>
      <c r="JB617" s="27" t="s">
        <v>7</v>
      </c>
      <c r="JC617" s="27" t="s">
        <v>8</v>
      </c>
      <c r="JD617" s="27" t="s">
        <v>7</v>
      </c>
      <c r="JF617" s="27" t="s">
        <v>7</v>
      </c>
      <c r="JG617" s="27" t="s">
        <v>8</v>
      </c>
      <c r="MT617" s="27" t="s">
        <v>7</v>
      </c>
      <c r="MW617" s="27" t="s">
        <v>8</v>
      </c>
      <c r="MX617" s="27" t="s">
        <v>7</v>
      </c>
    </row>
    <row r="618" spans="1:362" x14ac:dyDescent="0.25">
      <c r="A618" s="7">
        <v>0.54124596958814908</v>
      </c>
      <c r="B618"/>
      <c r="C618"/>
      <c r="D618"/>
      <c r="E618"/>
      <c r="F618" s="27" t="s">
        <v>7</v>
      </c>
      <c r="BG618" s="27" t="s">
        <v>8</v>
      </c>
      <c r="BO618" s="27" t="s">
        <v>8</v>
      </c>
      <c r="BP618" s="27" t="s">
        <v>7</v>
      </c>
      <c r="BQ618" s="27" t="s">
        <v>8</v>
      </c>
      <c r="BR618" s="27" t="s">
        <v>7</v>
      </c>
      <c r="BZ618" s="27" t="s">
        <v>7</v>
      </c>
      <c r="CA618" s="27" t="s">
        <v>8</v>
      </c>
      <c r="CB618" s="27" t="s">
        <v>7</v>
      </c>
      <c r="CE618" s="27" t="s">
        <v>8</v>
      </c>
      <c r="CF618" s="27" t="s">
        <v>7</v>
      </c>
      <c r="FG618" s="27" t="s">
        <v>8</v>
      </c>
      <c r="FH618" s="27" t="s">
        <v>7</v>
      </c>
      <c r="HT618" s="27" t="s">
        <v>7</v>
      </c>
      <c r="HU618" s="27" t="s">
        <v>8</v>
      </c>
      <c r="IH618" s="27" t="s">
        <v>7</v>
      </c>
      <c r="II618" s="27" t="s">
        <v>8</v>
      </c>
      <c r="IJ618" s="27" t="s">
        <v>7</v>
      </c>
      <c r="IK618" s="27" t="s">
        <v>8</v>
      </c>
      <c r="IL618" s="27" t="s">
        <v>7</v>
      </c>
      <c r="IM618" s="27" t="s">
        <v>8</v>
      </c>
      <c r="IN618" s="27" t="s">
        <v>7</v>
      </c>
      <c r="IO618" s="27" t="s">
        <v>8</v>
      </c>
      <c r="IR618" s="27" t="s">
        <v>7</v>
      </c>
      <c r="IS618" s="27" t="s">
        <v>8</v>
      </c>
      <c r="IT618" s="27" t="s">
        <v>7</v>
      </c>
      <c r="IU618" s="27" t="s">
        <v>8</v>
      </c>
      <c r="IW618" s="27" t="s">
        <v>8</v>
      </c>
      <c r="IX618" s="27" t="s">
        <v>7</v>
      </c>
      <c r="IY618" s="27" t="s">
        <v>8</v>
      </c>
      <c r="IZ618" s="27" t="s">
        <v>7</v>
      </c>
      <c r="JA618" s="27" t="s">
        <v>8</v>
      </c>
      <c r="JB618" s="27" t="s">
        <v>7</v>
      </c>
      <c r="JC618" s="27" t="s">
        <v>8</v>
      </c>
      <c r="JF618" s="27" t="s">
        <v>7</v>
      </c>
      <c r="JG618" s="27" t="s">
        <v>8</v>
      </c>
      <c r="MT618" s="27" t="s">
        <v>7</v>
      </c>
      <c r="MW618" s="27" t="s">
        <v>8</v>
      </c>
      <c r="MX618" s="27" t="s">
        <v>7</v>
      </c>
    </row>
    <row r="619" spans="1:362" x14ac:dyDescent="0.25">
      <c r="A619" s="7">
        <v>0.53063330351779314</v>
      </c>
      <c r="B619"/>
      <c r="C619"/>
      <c r="D619"/>
      <c r="E619"/>
      <c r="F619" s="27" t="s">
        <v>7</v>
      </c>
      <c r="BG619" s="27" t="s">
        <v>8</v>
      </c>
      <c r="BH619" s="27" t="s">
        <v>7</v>
      </c>
      <c r="BM619" s="27" t="s">
        <v>8</v>
      </c>
      <c r="BO619" s="27" t="s">
        <v>8</v>
      </c>
      <c r="BP619" s="27" t="s">
        <v>7</v>
      </c>
      <c r="BZ619" s="27" t="s">
        <v>7</v>
      </c>
      <c r="CA619" s="27" t="s">
        <v>8</v>
      </c>
      <c r="CB619" s="27" t="s">
        <v>7</v>
      </c>
      <c r="CE619" s="27" t="s">
        <v>8</v>
      </c>
      <c r="CF619" s="27" t="s">
        <v>7</v>
      </c>
      <c r="FG619" s="27" t="s">
        <v>8</v>
      </c>
      <c r="HT619" s="27" t="s">
        <v>7</v>
      </c>
      <c r="IH619" s="27" t="s">
        <v>7</v>
      </c>
      <c r="II619" s="27" t="s">
        <v>8</v>
      </c>
      <c r="IJ619" s="27" t="s">
        <v>7</v>
      </c>
      <c r="IK619" s="27" t="s">
        <v>8</v>
      </c>
      <c r="IL619" s="27" t="s">
        <v>7</v>
      </c>
      <c r="IN619" s="27" t="s">
        <v>7</v>
      </c>
      <c r="IO619" s="27" t="s">
        <v>8</v>
      </c>
      <c r="IR619" s="27" t="s">
        <v>7</v>
      </c>
      <c r="IS619" s="27" t="s">
        <v>8</v>
      </c>
      <c r="IT619" s="27" t="s">
        <v>7</v>
      </c>
      <c r="IU619" s="27" t="s">
        <v>8</v>
      </c>
      <c r="IV619" s="27" t="s">
        <v>7</v>
      </c>
      <c r="IW619" s="27" t="s">
        <v>8</v>
      </c>
      <c r="IX619" s="27" t="s">
        <v>7</v>
      </c>
      <c r="IY619" s="27" t="s">
        <v>8</v>
      </c>
      <c r="IZ619" s="27" t="s">
        <v>7</v>
      </c>
      <c r="JA619" s="27" t="s">
        <v>8</v>
      </c>
      <c r="JB619" s="27" t="s">
        <v>7</v>
      </c>
      <c r="JC619" s="27" t="s">
        <v>8</v>
      </c>
      <c r="JF619" s="27" t="s">
        <v>7</v>
      </c>
      <c r="MT619" s="27" t="s">
        <v>7</v>
      </c>
      <c r="MW619" s="27" t="s">
        <v>8</v>
      </c>
      <c r="MX619" s="27" t="s">
        <v>7</v>
      </c>
    </row>
    <row r="620" spans="1:362" x14ac:dyDescent="0.25">
      <c r="A620" s="7">
        <v>0.52022872893901284</v>
      </c>
      <c r="B620"/>
      <c r="C620"/>
      <c r="D620"/>
      <c r="E620"/>
      <c r="F620" s="27" t="s">
        <v>7</v>
      </c>
      <c r="BC620" s="27" t="s">
        <v>8</v>
      </c>
      <c r="BG620" s="27" t="s">
        <v>8</v>
      </c>
      <c r="BH620" s="27" t="s">
        <v>7</v>
      </c>
      <c r="BM620" s="27" t="s">
        <v>8</v>
      </c>
      <c r="BN620" s="27" t="s">
        <v>7</v>
      </c>
      <c r="BO620" s="27" t="s">
        <v>8</v>
      </c>
      <c r="BZ620" s="27" t="s">
        <v>7</v>
      </c>
      <c r="CA620" s="27" t="s">
        <v>8</v>
      </c>
      <c r="CB620" s="27" t="s">
        <v>7</v>
      </c>
      <c r="CE620" s="27" t="s">
        <v>8</v>
      </c>
      <c r="CF620" s="27" t="s">
        <v>7</v>
      </c>
      <c r="FE620" s="27" t="s">
        <v>8</v>
      </c>
      <c r="FG620" s="27" t="s">
        <v>8</v>
      </c>
      <c r="IH620" s="27" t="s">
        <v>7</v>
      </c>
      <c r="II620" s="27" t="s">
        <v>8</v>
      </c>
      <c r="IJ620" s="27" t="s">
        <v>7</v>
      </c>
      <c r="IK620" s="27" t="s">
        <v>8</v>
      </c>
      <c r="IN620" s="27" t="s">
        <v>7</v>
      </c>
      <c r="IO620" s="27" t="s">
        <v>8</v>
      </c>
      <c r="IR620" s="27" t="s">
        <v>7</v>
      </c>
      <c r="IS620" s="27" t="s">
        <v>8</v>
      </c>
      <c r="IT620" s="27" t="s">
        <v>7</v>
      </c>
      <c r="IU620" s="27" t="s">
        <v>8</v>
      </c>
      <c r="IV620" s="27" t="s">
        <v>7</v>
      </c>
      <c r="IW620" s="27" t="s">
        <v>8</v>
      </c>
      <c r="IX620" s="27" t="s">
        <v>7</v>
      </c>
      <c r="IY620" s="27" t="s">
        <v>8</v>
      </c>
      <c r="IZ620" s="27" t="s">
        <v>7</v>
      </c>
      <c r="JA620" s="27" t="s">
        <v>8</v>
      </c>
      <c r="JB620" s="27" t="s">
        <v>7</v>
      </c>
      <c r="MT620" s="27" t="s">
        <v>7</v>
      </c>
      <c r="MU620" s="27" t="s">
        <v>8</v>
      </c>
      <c r="MW620" s="27" t="s">
        <v>8</v>
      </c>
      <c r="MX620" s="27" t="s">
        <v>7</v>
      </c>
    </row>
    <row r="621" spans="1:362" x14ac:dyDescent="0.25">
      <c r="A621" s="7">
        <v>0.51002816562648323</v>
      </c>
      <c r="B621"/>
      <c r="C621"/>
      <c r="D621"/>
      <c r="E621"/>
      <c r="F621" s="27" t="s">
        <v>7</v>
      </c>
      <c r="BC621" s="27" t="s">
        <v>8</v>
      </c>
      <c r="BD621" s="27" t="s">
        <v>7</v>
      </c>
      <c r="BE621" s="27" t="s">
        <v>8</v>
      </c>
      <c r="BG621" s="27" t="s">
        <v>8</v>
      </c>
      <c r="BH621" s="27" t="s">
        <v>7</v>
      </c>
      <c r="BM621" s="27" t="s">
        <v>8</v>
      </c>
      <c r="BN621" s="27" t="s">
        <v>7</v>
      </c>
      <c r="BO621" s="27" t="s">
        <v>8</v>
      </c>
      <c r="BZ621" s="27" t="s">
        <v>7</v>
      </c>
      <c r="CA621" s="27" t="s">
        <v>8</v>
      </c>
      <c r="CB621" s="27" t="s">
        <v>7</v>
      </c>
      <c r="CE621" s="27" t="s">
        <v>8</v>
      </c>
      <c r="CF621" s="27" t="s">
        <v>7</v>
      </c>
      <c r="FE621" s="27" t="s">
        <v>8</v>
      </c>
      <c r="FF621" s="27" t="s">
        <v>7</v>
      </c>
      <c r="FG621" s="27" t="s">
        <v>8</v>
      </c>
      <c r="IH621" s="27" t="s">
        <v>7</v>
      </c>
      <c r="II621" s="27" t="s">
        <v>8</v>
      </c>
      <c r="IJ621" s="27" t="s">
        <v>7</v>
      </c>
      <c r="IK621" s="27" t="s">
        <v>8</v>
      </c>
      <c r="IN621" s="27" t="s">
        <v>7</v>
      </c>
      <c r="IR621" s="27" t="s">
        <v>7</v>
      </c>
      <c r="IT621" s="27" t="s">
        <v>7</v>
      </c>
      <c r="IU621" s="27" t="s">
        <v>8</v>
      </c>
      <c r="IV621" s="27" t="s">
        <v>7</v>
      </c>
      <c r="IW621" s="27" t="s">
        <v>8</v>
      </c>
      <c r="IX621" s="27" t="s">
        <v>7</v>
      </c>
      <c r="IY621" s="27" t="s">
        <v>8</v>
      </c>
      <c r="IZ621" s="27" t="s">
        <v>7</v>
      </c>
      <c r="MT621" s="27" t="s">
        <v>7</v>
      </c>
      <c r="MU621" s="27" t="s">
        <v>8</v>
      </c>
      <c r="MV621" s="27" t="s">
        <v>7</v>
      </c>
      <c r="MW621" s="27" t="s">
        <v>8</v>
      </c>
      <c r="MX621" s="27" t="s">
        <v>7</v>
      </c>
    </row>
    <row r="622" spans="1:362" x14ac:dyDescent="0.25">
      <c r="A622" s="7">
        <v>0.50002761335929735</v>
      </c>
      <c r="B622"/>
      <c r="C622"/>
      <c r="D622"/>
      <c r="E622"/>
      <c r="F622" s="27" t="s">
        <v>7</v>
      </c>
      <c r="BC622" s="27" t="s">
        <v>8</v>
      </c>
      <c r="BD622" s="27" t="s">
        <v>7</v>
      </c>
      <c r="BE622" s="27" t="s">
        <v>8</v>
      </c>
      <c r="BF622" s="27" t="s">
        <v>7</v>
      </c>
      <c r="BG622" s="27" t="s">
        <v>8</v>
      </c>
      <c r="BH622" s="27" t="s">
        <v>7</v>
      </c>
      <c r="BM622" s="27" t="s">
        <v>8</v>
      </c>
      <c r="BN622" s="27" t="s">
        <v>7</v>
      </c>
      <c r="BO622" s="27" t="s">
        <v>8</v>
      </c>
      <c r="BZ622" s="27" t="s">
        <v>7</v>
      </c>
      <c r="CA622" s="27" t="s">
        <v>8</v>
      </c>
      <c r="CB622" s="27" t="s">
        <v>7</v>
      </c>
      <c r="CE622" s="27" t="s">
        <v>8</v>
      </c>
      <c r="CF622" s="27" t="s">
        <v>7</v>
      </c>
      <c r="FE622" s="27" t="s">
        <v>8</v>
      </c>
      <c r="FF622" s="27" t="s">
        <v>7</v>
      </c>
      <c r="FG622" s="27" t="s">
        <v>8</v>
      </c>
      <c r="IH622" s="27" t="s">
        <v>7</v>
      </c>
      <c r="II622" s="27" t="s">
        <v>8</v>
      </c>
      <c r="IJ622" s="27" t="s">
        <v>7</v>
      </c>
      <c r="IK622" s="27" t="s">
        <v>8</v>
      </c>
      <c r="IT622" s="27" t="s">
        <v>7</v>
      </c>
      <c r="IU622" s="27" t="s">
        <v>8</v>
      </c>
      <c r="IV622" s="27" t="s">
        <v>7</v>
      </c>
      <c r="IW622" s="27" t="s">
        <v>8</v>
      </c>
      <c r="IX622" s="27" t="s">
        <v>7</v>
      </c>
      <c r="IY622" s="27" t="s">
        <v>8</v>
      </c>
      <c r="MT622" s="27" t="s">
        <v>7</v>
      </c>
      <c r="MU622" s="27" t="s">
        <v>8</v>
      </c>
      <c r="MV622" s="27" t="s">
        <v>7</v>
      </c>
      <c r="MW622" s="27" t="s">
        <v>8</v>
      </c>
      <c r="MX622" s="27" t="s">
        <v>7</v>
      </c>
    </row>
    <row r="623" spans="1:362" x14ac:dyDescent="0.25">
      <c r="A623" s="7">
        <v>0.49022315035225228</v>
      </c>
      <c r="B623"/>
      <c r="C623"/>
      <c r="D623"/>
      <c r="E623"/>
      <c r="F623" s="27" t="s">
        <v>7</v>
      </c>
      <c r="AY623" s="27" t="s">
        <v>8</v>
      </c>
      <c r="BC623" s="27" t="s">
        <v>8</v>
      </c>
      <c r="BD623" s="27" t="s">
        <v>7</v>
      </c>
      <c r="BE623" s="27" t="s">
        <v>8</v>
      </c>
      <c r="BF623" s="27" t="s">
        <v>7</v>
      </c>
      <c r="BG623" s="27" t="s">
        <v>8</v>
      </c>
      <c r="BH623" s="27" t="s">
        <v>7</v>
      </c>
      <c r="BM623" s="27" t="s">
        <v>8</v>
      </c>
      <c r="BN623" s="27" t="s">
        <v>7</v>
      </c>
      <c r="BO623" s="27" t="s">
        <v>8</v>
      </c>
      <c r="BZ623" s="27" t="s">
        <v>7</v>
      </c>
      <c r="CA623" s="27" t="s">
        <v>8</v>
      </c>
      <c r="CB623" s="27" t="s">
        <v>7</v>
      </c>
      <c r="CC623" s="27" t="s">
        <v>8</v>
      </c>
      <c r="CE623" s="27" t="s">
        <v>8</v>
      </c>
      <c r="CF623" s="27" t="s">
        <v>7</v>
      </c>
      <c r="FE623" s="27" t="s">
        <v>8</v>
      </c>
      <c r="FF623" s="27" t="s">
        <v>7</v>
      </c>
      <c r="FG623" s="27" t="s">
        <v>8</v>
      </c>
      <c r="IH623" s="27" t="s">
        <v>7</v>
      </c>
      <c r="II623" s="27" t="s">
        <v>8</v>
      </c>
      <c r="IJ623" s="27" t="s">
        <v>7</v>
      </c>
      <c r="IK623" s="27" t="s">
        <v>8</v>
      </c>
      <c r="IT623" s="27" t="s">
        <v>7</v>
      </c>
      <c r="IV623" s="27" t="s">
        <v>7</v>
      </c>
      <c r="IW623" s="27" t="s">
        <v>8</v>
      </c>
      <c r="IX623" s="27" t="s">
        <v>7</v>
      </c>
      <c r="MT623" s="27" t="s">
        <v>7</v>
      </c>
      <c r="MU623" s="27" t="s">
        <v>8</v>
      </c>
      <c r="MV623" s="27" t="s">
        <v>7</v>
      </c>
      <c r="MW623" s="27" t="s">
        <v>8</v>
      </c>
      <c r="MX623" s="27" t="s">
        <v>7</v>
      </c>
    </row>
    <row r="624" spans="1:362" x14ac:dyDescent="0.25">
      <c r="A624" s="7">
        <v>0.48061093171789437</v>
      </c>
      <c r="B624"/>
      <c r="C624"/>
      <c r="D624"/>
      <c r="E624"/>
      <c r="F624" s="27" t="s">
        <v>7</v>
      </c>
      <c r="AY624" s="27" t="s">
        <v>8</v>
      </c>
      <c r="AZ624" s="27" t="s">
        <v>7</v>
      </c>
      <c r="BC624" s="27" t="s">
        <v>8</v>
      </c>
      <c r="BD624" s="27" t="s">
        <v>7</v>
      </c>
      <c r="BE624" s="27" t="s">
        <v>8</v>
      </c>
      <c r="BF624" s="27" t="s">
        <v>7</v>
      </c>
      <c r="BH624" s="27" t="s">
        <v>7</v>
      </c>
      <c r="BM624" s="27" t="s">
        <v>8</v>
      </c>
      <c r="BN624" s="27" t="s">
        <v>7</v>
      </c>
      <c r="BO624" s="27" t="s">
        <v>8</v>
      </c>
      <c r="BZ624" s="27" t="s">
        <v>7</v>
      </c>
      <c r="CA624" s="27" t="s">
        <v>8</v>
      </c>
      <c r="CB624" s="27" t="s">
        <v>7</v>
      </c>
      <c r="CC624" s="27" t="s">
        <v>8</v>
      </c>
      <c r="CD624" s="27" t="s">
        <v>7</v>
      </c>
      <c r="CE624" s="27" t="s">
        <v>8</v>
      </c>
      <c r="CF624" s="27" t="s">
        <v>7</v>
      </c>
      <c r="FE624" s="27" t="s">
        <v>8</v>
      </c>
      <c r="FF624" s="27" t="s">
        <v>7</v>
      </c>
      <c r="FG624" s="27" t="s">
        <v>8</v>
      </c>
      <c r="IH624" s="27" t="s">
        <v>7</v>
      </c>
      <c r="II624" s="27" t="s">
        <v>8</v>
      </c>
      <c r="IJ624" s="27" t="s">
        <v>7</v>
      </c>
      <c r="IK624" s="27" t="s">
        <v>8</v>
      </c>
      <c r="IV624" s="27" t="s">
        <v>7</v>
      </c>
      <c r="IW624" s="27" t="s">
        <v>8</v>
      </c>
      <c r="MT624" s="27" t="s">
        <v>7</v>
      </c>
      <c r="MU624" s="27" t="s">
        <v>8</v>
      </c>
      <c r="MV624" s="27" t="s">
        <v>7</v>
      </c>
      <c r="MW624" s="27" t="s">
        <v>8</v>
      </c>
      <c r="MX624" s="27" t="s">
        <v>7</v>
      </c>
    </row>
    <row r="625" spans="1:361" x14ac:dyDescent="0.25">
      <c r="A625" s="7">
        <v>0.47118718795871994</v>
      </c>
      <c r="B625"/>
      <c r="C625"/>
      <c r="D625"/>
      <c r="E625"/>
      <c r="F625" s="27" t="s">
        <v>7</v>
      </c>
      <c r="AY625" s="27" t="s">
        <v>8</v>
      </c>
      <c r="AZ625" s="27" t="s">
        <v>7</v>
      </c>
      <c r="BC625" s="27" t="s">
        <v>8</v>
      </c>
      <c r="BD625" s="27" t="s">
        <v>7</v>
      </c>
      <c r="BE625" s="27" t="s">
        <v>8</v>
      </c>
      <c r="BH625" s="27" t="s">
        <v>7</v>
      </c>
      <c r="BM625" s="27" t="s">
        <v>8</v>
      </c>
      <c r="BN625" s="27" t="s">
        <v>7</v>
      </c>
      <c r="BO625" s="27" t="s">
        <v>8</v>
      </c>
      <c r="BZ625" s="27" t="s">
        <v>7</v>
      </c>
      <c r="CA625" s="27" t="s">
        <v>8</v>
      </c>
      <c r="CB625" s="27" t="s">
        <v>7</v>
      </c>
      <c r="CC625" s="27" t="s">
        <v>8</v>
      </c>
      <c r="CD625" s="27" t="s">
        <v>7</v>
      </c>
      <c r="CE625" s="27" t="s">
        <v>8</v>
      </c>
      <c r="CF625" s="27" t="s">
        <v>7</v>
      </c>
      <c r="FE625" s="27" t="s">
        <v>8</v>
      </c>
      <c r="FF625" s="27" t="s">
        <v>7</v>
      </c>
      <c r="FG625" s="27" t="s">
        <v>8</v>
      </c>
      <c r="IH625" s="27" t="s">
        <v>7</v>
      </c>
      <c r="II625" s="27" t="s">
        <v>8</v>
      </c>
      <c r="IJ625" s="27" t="s">
        <v>7</v>
      </c>
      <c r="IK625" s="27" t="s">
        <v>8</v>
      </c>
      <c r="IV625" s="27" t="s">
        <v>7</v>
      </c>
      <c r="IW625" s="27" t="s">
        <v>8</v>
      </c>
      <c r="MT625" s="27" t="s">
        <v>7</v>
      </c>
      <c r="MU625" s="27" t="s">
        <v>8</v>
      </c>
      <c r="MV625" s="27" t="s">
        <v>7</v>
      </c>
      <c r="MW625" s="27" t="s">
        <v>8</v>
      </c>
    </row>
    <row r="626" spans="1:361" x14ac:dyDescent="0.25">
      <c r="A626" s="7">
        <v>0.46194822348894116</v>
      </c>
      <c r="B626"/>
      <c r="C626"/>
      <c r="D626"/>
      <c r="E626"/>
      <c r="F626" s="27" t="s">
        <v>7</v>
      </c>
      <c r="AY626" s="27" t="s">
        <v>8</v>
      </c>
      <c r="AZ626" s="27" t="s">
        <v>7</v>
      </c>
      <c r="BC626" s="27" t="s">
        <v>8</v>
      </c>
      <c r="BD626" s="27" t="s">
        <v>7</v>
      </c>
      <c r="BE626" s="27" t="s">
        <v>8</v>
      </c>
      <c r="BH626" s="27" t="s">
        <v>7</v>
      </c>
      <c r="BM626" s="27" t="s">
        <v>8</v>
      </c>
      <c r="BN626" s="27" t="s">
        <v>7</v>
      </c>
      <c r="BZ626" s="27" t="s">
        <v>7</v>
      </c>
      <c r="CA626" s="27" t="s">
        <v>8</v>
      </c>
      <c r="CB626" s="27" t="s">
        <v>7</v>
      </c>
      <c r="CC626" s="27" t="s">
        <v>8</v>
      </c>
      <c r="CD626" s="27" t="s">
        <v>7</v>
      </c>
      <c r="CE626" s="27" t="s">
        <v>8</v>
      </c>
      <c r="CF626" s="27" t="s">
        <v>7</v>
      </c>
      <c r="CG626" s="27" t="s">
        <v>8</v>
      </c>
      <c r="FE626" s="27" t="s">
        <v>8</v>
      </c>
      <c r="FF626" s="27" t="s">
        <v>7</v>
      </c>
      <c r="FG626" s="27" t="s">
        <v>8</v>
      </c>
      <c r="IH626" s="27" t="s">
        <v>7</v>
      </c>
      <c r="II626" s="27" t="s">
        <v>8</v>
      </c>
      <c r="IJ626" s="27" t="s">
        <v>7</v>
      </c>
      <c r="IV626" s="27" t="s">
        <v>7</v>
      </c>
      <c r="IW626" s="27" t="s">
        <v>8</v>
      </c>
      <c r="MT626" s="27" t="s">
        <v>7</v>
      </c>
      <c r="MU626" s="27" t="s">
        <v>8</v>
      </c>
      <c r="MV626" s="27" t="s">
        <v>7</v>
      </c>
      <c r="MW626" s="27" t="s">
        <v>8</v>
      </c>
    </row>
    <row r="627" spans="1:361" x14ac:dyDescent="0.25">
      <c r="A627" s="7">
        <v>0.45289041518523643</v>
      </c>
      <c r="B627"/>
      <c r="C627"/>
      <c r="D627"/>
      <c r="E627"/>
      <c r="F627" s="27" t="s">
        <v>7</v>
      </c>
      <c r="AY627" s="27" t="s">
        <v>8</v>
      </c>
      <c r="AZ627" s="27" t="s">
        <v>7</v>
      </c>
      <c r="BC627" s="27" t="s">
        <v>8</v>
      </c>
      <c r="BD627" s="27" t="s">
        <v>7</v>
      </c>
      <c r="BE627" s="27" t="s">
        <v>8</v>
      </c>
      <c r="BH627" s="27" t="s">
        <v>7</v>
      </c>
      <c r="BK627" s="27" t="s">
        <v>8</v>
      </c>
      <c r="BM627" s="27" t="s">
        <v>8</v>
      </c>
      <c r="BZ627" s="27" t="s">
        <v>7</v>
      </c>
      <c r="CA627" s="27" t="s">
        <v>8</v>
      </c>
      <c r="CB627" s="27" t="s">
        <v>7</v>
      </c>
      <c r="CC627" s="27" t="s">
        <v>8</v>
      </c>
      <c r="CD627" s="27" t="s">
        <v>7</v>
      </c>
      <c r="CF627" s="27" t="s">
        <v>7</v>
      </c>
      <c r="CG627" s="27" t="s">
        <v>8</v>
      </c>
      <c r="CH627" s="27" t="s">
        <v>7</v>
      </c>
      <c r="FE627" s="27" t="s">
        <v>8</v>
      </c>
      <c r="FF627" s="27" t="s">
        <v>7</v>
      </c>
      <c r="FG627" s="27" t="s">
        <v>8</v>
      </c>
      <c r="IH627" s="27" t="s">
        <v>7</v>
      </c>
      <c r="II627" s="27" t="s">
        <v>8</v>
      </c>
      <c r="IV627" s="18" t="s">
        <v>7</v>
      </c>
      <c r="IW627" s="27" t="s">
        <v>8</v>
      </c>
      <c r="MT627" s="27" t="s">
        <v>7</v>
      </c>
      <c r="MU627" s="27" t="s">
        <v>8</v>
      </c>
      <c r="MV627" s="27" t="s">
        <v>7</v>
      </c>
      <c r="MW627" s="27" t="s">
        <v>8</v>
      </c>
    </row>
    <row r="628" spans="1:361" x14ac:dyDescent="0.25">
      <c r="A628" s="7">
        <v>0.44401021096591808</v>
      </c>
      <c r="B628"/>
      <c r="C628"/>
      <c r="D628"/>
      <c r="E628"/>
      <c r="F628" s="27" t="s">
        <v>7</v>
      </c>
      <c r="AK628" s="27" t="s">
        <v>8</v>
      </c>
      <c r="AY628" s="27" t="s">
        <v>8</v>
      </c>
      <c r="AZ628" s="27" t="s">
        <v>7</v>
      </c>
      <c r="BA628" s="27" t="s">
        <v>8</v>
      </c>
      <c r="BC628" s="27" t="s">
        <v>8</v>
      </c>
      <c r="BD628" s="27" t="s">
        <v>7</v>
      </c>
      <c r="BH628" s="27" t="s">
        <v>7</v>
      </c>
      <c r="BI628" s="27" t="s">
        <v>8</v>
      </c>
      <c r="BK628" s="27" t="s">
        <v>8</v>
      </c>
      <c r="BL628" s="27" t="s">
        <v>7</v>
      </c>
      <c r="BM628" s="27" t="s">
        <v>8</v>
      </c>
      <c r="BZ628" s="27" t="s">
        <v>7</v>
      </c>
      <c r="CA628" s="27" t="s">
        <v>8</v>
      </c>
      <c r="CB628" s="27" t="s">
        <v>7</v>
      </c>
      <c r="CC628" s="27" t="s">
        <v>8</v>
      </c>
      <c r="CF628" s="27" t="s">
        <v>7</v>
      </c>
      <c r="CG628" s="27" t="s">
        <v>8</v>
      </c>
      <c r="CH628" s="27" t="s">
        <v>7</v>
      </c>
      <c r="FE628" s="27" t="s">
        <v>8</v>
      </c>
      <c r="FF628" s="27" t="s">
        <v>7</v>
      </c>
      <c r="FG628" s="27" t="s">
        <v>8</v>
      </c>
      <c r="IH628" s="27" t="s">
        <v>7</v>
      </c>
      <c r="II628" s="27" t="s">
        <v>8</v>
      </c>
      <c r="IV628" s="27" t="s">
        <v>7</v>
      </c>
      <c r="IW628" s="27" t="s">
        <v>8</v>
      </c>
      <c r="MT628" s="27" t="s">
        <v>7</v>
      </c>
      <c r="MV628" s="27" t="s">
        <v>7</v>
      </c>
      <c r="MW628" s="27" t="s">
        <v>8</v>
      </c>
    </row>
    <row r="629" spans="1:361" x14ac:dyDescent="0.25">
      <c r="A629" s="7">
        <v>0.4353041283979589</v>
      </c>
      <c r="B629"/>
      <c r="C629"/>
      <c r="D629"/>
      <c r="E629"/>
      <c r="F629" s="27" t="s">
        <v>7</v>
      </c>
      <c r="AK629" s="27" t="s">
        <v>8</v>
      </c>
      <c r="AL629" s="27" t="s">
        <v>7</v>
      </c>
      <c r="AW629" s="27" t="s">
        <v>8</v>
      </c>
      <c r="AY629" s="27" t="s">
        <v>8</v>
      </c>
      <c r="AZ629" s="27" t="s">
        <v>7</v>
      </c>
      <c r="BA629" s="27" t="s">
        <v>8</v>
      </c>
      <c r="BB629" s="27" t="s">
        <v>7</v>
      </c>
      <c r="BC629" s="27" t="s">
        <v>8</v>
      </c>
      <c r="BH629" s="27" t="s">
        <v>7</v>
      </c>
      <c r="BI629" s="27" t="s">
        <v>8</v>
      </c>
      <c r="BJ629" s="27" t="s">
        <v>7</v>
      </c>
      <c r="BK629" s="27" t="s">
        <v>8</v>
      </c>
      <c r="BL629" s="27" t="s">
        <v>7</v>
      </c>
      <c r="BM629" s="27" t="s">
        <v>8</v>
      </c>
      <c r="BZ629" s="27" t="s">
        <v>7</v>
      </c>
      <c r="CB629" s="27" t="s">
        <v>7</v>
      </c>
      <c r="CF629" s="27" t="s">
        <v>7</v>
      </c>
      <c r="CH629" s="27" t="s">
        <v>7</v>
      </c>
      <c r="FE629" s="27" t="s">
        <v>8</v>
      </c>
      <c r="FF629" s="27" t="s">
        <v>7</v>
      </c>
      <c r="FG629" s="27" t="s">
        <v>8</v>
      </c>
      <c r="IH629" s="27" t="s">
        <v>7</v>
      </c>
      <c r="II629" s="27" t="s">
        <v>8</v>
      </c>
      <c r="IV629" s="27" t="s">
        <v>7</v>
      </c>
      <c r="IW629" s="27" t="s">
        <v>8</v>
      </c>
      <c r="MV629" s="27" t="s">
        <v>7</v>
      </c>
    </row>
    <row r="630" spans="1:361" x14ac:dyDescent="0.25">
      <c r="A630" s="7">
        <v>0.4267687533313323</v>
      </c>
      <c r="B630"/>
      <c r="C630"/>
      <c r="D630"/>
      <c r="E630"/>
      <c r="F630" s="27" t="s">
        <v>7</v>
      </c>
      <c r="AK630" s="27" t="s">
        <v>8</v>
      </c>
      <c r="AL630" s="27" t="s">
        <v>7</v>
      </c>
      <c r="AW630" s="27" t="s">
        <v>8</v>
      </c>
      <c r="AX630" s="27" t="s">
        <v>7</v>
      </c>
      <c r="AY630" s="27" t="s">
        <v>8</v>
      </c>
      <c r="AZ630" s="27" t="s">
        <v>7</v>
      </c>
      <c r="BA630" s="27" t="s">
        <v>8</v>
      </c>
      <c r="BB630" s="27" t="s">
        <v>7</v>
      </c>
      <c r="BC630" s="27" t="s">
        <v>8</v>
      </c>
      <c r="BH630" s="27" t="s">
        <v>7</v>
      </c>
      <c r="BI630" s="27" t="s">
        <v>8</v>
      </c>
      <c r="BJ630" s="27" t="s">
        <v>7</v>
      </c>
      <c r="BK630" s="27" t="s">
        <v>8</v>
      </c>
      <c r="BL630" s="27" t="s">
        <v>7</v>
      </c>
      <c r="CH630" s="27" t="s">
        <v>7</v>
      </c>
      <c r="DO630" s="27" t="s">
        <v>8</v>
      </c>
      <c r="FE630" s="27" t="s">
        <v>8</v>
      </c>
      <c r="FF630" s="27" t="s">
        <v>7</v>
      </c>
      <c r="IH630" s="27" t="s">
        <v>7</v>
      </c>
      <c r="IV630" s="27" t="s">
        <v>7</v>
      </c>
      <c r="IW630" s="27" t="s">
        <v>8</v>
      </c>
    </row>
    <row r="631" spans="1:361" x14ac:dyDescent="0.25">
      <c r="A631" s="7">
        <v>0.41840073856012971</v>
      </c>
      <c r="B631"/>
      <c r="C631"/>
      <c r="D631"/>
      <c r="E631"/>
      <c r="F631" s="27" t="s">
        <v>7</v>
      </c>
      <c r="AI631" s="27" t="s">
        <v>8</v>
      </c>
      <c r="AK631" s="27" t="s">
        <v>8</v>
      </c>
      <c r="AL631" s="27" t="s">
        <v>7</v>
      </c>
      <c r="AW631" s="27" t="s">
        <v>8</v>
      </c>
      <c r="AX631" s="27" t="s">
        <v>7</v>
      </c>
      <c r="AY631" s="27" t="s">
        <v>8</v>
      </c>
      <c r="AZ631" s="27" t="s">
        <v>7</v>
      </c>
      <c r="BB631" s="27" t="s">
        <v>7</v>
      </c>
      <c r="BC631" s="27" t="s">
        <v>8</v>
      </c>
      <c r="BH631" s="27" t="s">
        <v>7</v>
      </c>
      <c r="BI631" s="27" t="s">
        <v>8</v>
      </c>
      <c r="BJ631" s="27" t="s">
        <v>7</v>
      </c>
      <c r="BK631" s="27" t="s">
        <v>8</v>
      </c>
      <c r="CH631" s="27" t="s">
        <v>7</v>
      </c>
      <c r="DO631" s="27" t="s">
        <v>8</v>
      </c>
      <c r="DP631" s="27" t="s">
        <v>7</v>
      </c>
      <c r="FE631" s="27" t="s">
        <v>8</v>
      </c>
      <c r="IV631" s="27" t="s">
        <v>7</v>
      </c>
      <c r="IW631" s="27" t="s">
        <v>8</v>
      </c>
    </row>
    <row r="632" spans="1:361" x14ac:dyDescent="0.25">
      <c r="A632" s="7">
        <v>0.41019680250993112</v>
      </c>
      <c r="B632"/>
      <c r="C632"/>
      <c r="D632"/>
      <c r="E632"/>
      <c r="F632" s="27" t="s">
        <v>7</v>
      </c>
      <c r="AI632" s="27" t="s">
        <v>8</v>
      </c>
      <c r="AJ632" s="27" t="s">
        <v>7</v>
      </c>
      <c r="AK632" s="27" t="s">
        <v>8</v>
      </c>
      <c r="AL632" s="27" t="s">
        <v>7</v>
      </c>
      <c r="AS632" s="27" t="s">
        <v>8</v>
      </c>
      <c r="AW632" s="27" t="s">
        <v>8</v>
      </c>
      <c r="AX632" s="27" t="s">
        <v>7</v>
      </c>
      <c r="AY632" s="27" t="s">
        <v>8</v>
      </c>
      <c r="BB632" s="27" t="s">
        <v>7</v>
      </c>
      <c r="BC632" s="27" t="s">
        <v>8</v>
      </c>
      <c r="BH632" s="27" t="s">
        <v>7</v>
      </c>
      <c r="BI632" s="27" t="s">
        <v>8</v>
      </c>
      <c r="BJ632" s="27" t="s">
        <v>7</v>
      </c>
      <c r="BK632" s="27" t="s">
        <v>8</v>
      </c>
      <c r="CH632" s="27" t="s">
        <v>7</v>
      </c>
      <c r="CM632" s="27" t="s">
        <v>8</v>
      </c>
      <c r="DO632" s="27" t="s">
        <v>8</v>
      </c>
      <c r="DP632" s="27" t="s">
        <v>7</v>
      </c>
      <c r="FE632" s="27" t="s">
        <v>8</v>
      </c>
      <c r="IV632" s="27" t="s">
        <v>7</v>
      </c>
    </row>
    <row r="633" spans="1:361" x14ac:dyDescent="0.25">
      <c r="A633" s="7">
        <v>0.40215372795091286</v>
      </c>
      <c r="B633"/>
      <c r="C633"/>
      <c r="D633"/>
      <c r="E633"/>
      <c r="F633" s="27" t="s">
        <v>7</v>
      </c>
      <c r="AI633" s="27" t="s">
        <v>8</v>
      </c>
      <c r="AJ633" s="27" t="s">
        <v>7</v>
      </c>
      <c r="AK633" s="27" t="s">
        <v>8</v>
      </c>
      <c r="AL633" s="27" t="s">
        <v>7</v>
      </c>
      <c r="AS633" s="27" t="s">
        <v>8</v>
      </c>
      <c r="AT633" s="27" t="s">
        <v>7</v>
      </c>
      <c r="AW633" s="27" t="s">
        <v>8</v>
      </c>
      <c r="AX633" s="27" t="s">
        <v>7</v>
      </c>
      <c r="AY633" s="27" t="s">
        <v>8</v>
      </c>
      <c r="BB633" s="27" t="s">
        <v>7</v>
      </c>
      <c r="BC633" s="27" t="s">
        <v>8</v>
      </c>
      <c r="BH633" s="27" t="s">
        <v>7</v>
      </c>
      <c r="BJ633" s="27" t="s">
        <v>7</v>
      </c>
      <c r="BK633" s="27" t="s">
        <v>8</v>
      </c>
      <c r="CH633" s="27" t="s">
        <v>7</v>
      </c>
      <c r="CM633" s="27" t="s">
        <v>8</v>
      </c>
      <c r="CN633" s="27" t="s">
        <v>7</v>
      </c>
      <c r="DO633" s="27" t="s">
        <v>8</v>
      </c>
      <c r="DP633" s="27" t="s">
        <v>7</v>
      </c>
      <c r="FE633" s="27" t="s">
        <v>8</v>
      </c>
    </row>
    <row r="634" spans="1:361" x14ac:dyDescent="0.25">
      <c r="A634" s="7">
        <v>0.39426836073618904</v>
      </c>
      <c r="B634"/>
      <c r="C634"/>
      <c r="D634"/>
      <c r="E634"/>
      <c r="F634" s="27" t="s">
        <v>7</v>
      </c>
      <c r="AC634" s="27" t="s">
        <v>8</v>
      </c>
      <c r="AI634" s="27" t="s">
        <v>8</v>
      </c>
      <c r="AJ634" s="27" t="s">
        <v>7</v>
      </c>
      <c r="AK634" s="27" t="s">
        <v>8</v>
      </c>
      <c r="AL634" s="27" t="s">
        <v>7</v>
      </c>
      <c r="AM634" s="27" t="s">
        <v>8</v>
      </c>
      <c r="AS634" s="27" t="s">
        <v>8</v>
      </c>
      <c r="AT634" s="27" t="s">
        <v>7</v>
      </c>
      <c r="AW634" s="27" t="s">
        <v>8</v>
      </c>
      <c r="AX634" s="27" t="s">
        <v>7</v>
      </c>
      <c r="AY634" s="27" t="s">
        <v>8</v>
      </c>
      <c r="BB634" s="27" t="s">
        <v>7</v>
      </c>
      <c r="BC634" s="27" t="s">
        <v>8</v>
      </c>
      <c r="BJ634" s="27" t="s">
        <v>7</v>
      </c>
      <c r="CH634" s="27" t="s">
        <v>7</v>
      </c>
      <c r="CM634" s="27" t="s">
        <v>8</v>
      </c>
      <c r="CN634" s="27" t="s">
        <v>7</v>
      </c>
      <c r="DO634" s="27" t="s">
        <v>8</v>
      </c>
      <c r="DP634" s="27" t="s">
        <v>7</v>
      </c>
      <c r="DU634" s="27" t="s">
        <v>8</v>
      </c>
      <c r="EO634" s="27" t="s">
        <v>8</v>
      </c>
      <c r="EQ634" s="27" t="s">
        <v>8</v>
      </c>
      <c r="EY634" s="27" t="s">
        <v>8</v>
      </c>
      <c r="FE634" s="27" t="s">
        <v>8</v>
      </c>
    </row>
    <row r="635" spans="1:361" x14ac:dyDescent="0.25">
      <c r="A635" s="7">
        <v>0.38653760856489122</v>
      </c>
      <c r="B635"/>
      <c r="C635"/>
      <c r="D635"/>
      <c r="E635"/>
      <c r="F635" s="27" t="s">
        <v>7</v>
      </c>
      <c r="AC635" s="27" t="s">
        <v>8</v>
      </c>
      <c r="AD635" s="27" t="s">
        <v>7</v>
      </c>
      <c r="AI635" s="27" t="s">
        <v>8</v>
      </c>
      <c r="AJ635" s="27" t="s">
        <v>7</v>
      </c>
      <c r="AK635" s="27" t="s">
        <v>8</v>
      </c>
      <c r="AL635" s="27" t="s">
        <v>7</v>
      </c>
      <c r="AM635" s="27" t="s">
        <v>8</v>
      </c>
      <c r="AN635" s="27" t="s">
        <v>7</v>
      </c>
      <c r="AS635" s="27" t="s">
        <v>8</v>
      </c>
      <c r="AT635" s="27" t="s">
        <v>7</v>
      </c>
      <c r="AW635" s="27" t="s">
        <v>8</v>
      </c>
      <c r="AX635" s="27" t="s">
        <v>7</v>
      </c>
      <c r="BB635" s="27" t="s">
        <v>7</v>
      </c>
      <c r="CH635" s="27" t="s">
        <v>7</v>
      </c>
      <c r="CK635" s="27" t="s">
        <v>8</v>
      </c>
      <c r="CM635" s="27" t="s">
        <v>8</v>
      </c>
      <c r="CN635" s="27" t="s">
        <v>7</v>
      </c>
      <c r="DO635" s="27" t="s">
        <v>8</v>
      </c>
      <c r="DP635" s="27" t="s">
        <v>7</v>
      </c>
      <c r="DS635" s="27" t="s">
        <v>8</v>
      </c>
      <c r="DU635" s="27" t="s">
        <v>8</v>
      </c>
      <c r="DV635" s="27" t="s">
        <v>7</v>
      </c>
      <c r="EO635" s="27" t="s">
        <v>8</v>
      </c>
      <c r="EP635" s="27" t="s">
        <v>7</v>
      </c>
      <c r="EQ635" s="27" t="s">
        <v>8</v>
      </c>
      <c r="ER635" s="27" t="s">
        <v>7</v>
      </c>
      <c r="EY635" s="27" t="s">
        <v>8</v>
      </c>
      <c r="EZ635" s="27" t="s">
        <v>7</v>
      </c>
      <c r="FE635" s="27" t="s">
        <v>8</v>
      </c>
    </row>
    <row r="636" spans="1:361" x14ac:dyDescent="0.25">
      <c r="A636" s="7">
        <v>0.37895843976950117</v>
      </c>
      <c r="B636"/>
      <c r="C636"/>
      <c r="D636"/>
      <c r="E636"/>
      <c r="F636" s="27" t="s">
        <v>7</v>
      </c>
      <c r="AC636" s="27" t="s">
        <v>8</v>
      </c>
      <c r="AD636" s="27" t="s">
        <v>7</v>
      </c>
      <c r="AE636" s="27" t="s">
        <v>8</v>
      </c>
      <c r="AI636" s="27" t="s">
        <v>8</v>
      </c>
      <c r="AJ636" s="27" t="s">
        <v>7</v>
      </c>
      <c r="AK636" s="27" t="s">
        <v>8</v>
      </c>
      <c r="AL636" s="27" t="s">
        <v>7</v>
      </c>
      <c r="AM636" s="27" t="s">
        <v>8</v>
      </c>
      <c r="AN636" s="27" t="s">
        <v>7</v>
      </c>
      <c r="AO636" s="27" t="s">
        <v>8</v>
      </c>
      <c r="AQ636" s="27" t="s">
        <v>8</v>
      </c>
      <c r="AS636" s="27" t="s">
        <v>8</v>
      </c>
      <c r="AT636" s="27" t="s">
        <v>7</v>
      </c>
      <c r="AW636" s="27" t="s">
        <v>8</v>
      </c>
      <c r="CH636" s="27" t="s">
        <v>7</v>
      </c>
      <c r="CI636" s="27" t="s">
        <v>8</v>
      </c>
      <c r="CK636" s="27" t="s">
        <v>8</v>
      </c>
      <c r="CL636" s="27" t="s">
        <v>7</v>
      </c>
      <c r="CM636" s="27" t="s">
        <v>8</v>
      </c>
      <c r="CN636" s="27" t="s">
        <v>7</v>
      </c>
      <c r="CS636" s="27" t="s">
        <v>8</v>
      </c>
      <c r="DO636" s="27" t="s">
        <v>8</v>
      </c>
      <c r="DP636" s="27" t="s">
        <v>7</v>
      </c>
      <c r="DS636" s="27" t="s">
        <v>8</v>
      </c>
      <c r="DT636" s="27" t="s">
        <v>7</v>
      </c>
      <c r="DU636" s="27" t="s">
        <v>8</v>
      </c>
      <c r="DV636" s="27" t="s">
        <v>7</v>
      </c>
      <c r="EO636" s="27" t="s">
        <v>8</v>
      </c>
      <c r="EP636" s="27" t="s">
        <v>7</v>
      </c>
      <c r="EQ636" s="27" t="s">
        <v>8</v>
      </c>
      <c r="ER636" s="27" t="s">
        <v>7</v>
      </c>
      <c r="EU636" s="27" t="s">
        <v>8</v>
      </c>
      <c r="EW636" s="27" t="s">
        <v>8</v>
      </c>
      <c r="EY636" s="27" t="s">
        <v>8</v>
      </c>
      <c r="EZ636" s="27" t="s">
        <v>7</v>
      </c>
      <c r="FE636" s="27" t="s">
        <v>8</v>
      </c>
    </row>
    <row r="637" spans="1:361" x14ac:dyDescent="0.25">
      <c r="A637" s="7">
        <v>0.37152788212696197</v>
      </c>
      <c r="B637"/>
      <c r="C637"/>
      <c r="D637"/>
      <c r="E637"/>
      <c r="F637" s="27" t="s">
        <v>7</v>
      </c>
      <c r="AC637" s="27" t="s">
        <v>8</v>
      </c>
      <c r="AD637" s="27" t="s">
        <v>7</v>
      </c>
      <c r="AE637" s="27" t="s">
        <v>8</v>
      </c>
      <c r="AF637" s="27" t="s">
        <v>7</v>
      </c>
      <c r="AI637" s="27" t="s">
        <v>8</v>
      </c>
      <c r="AJ637" s="27" t="s">
        <v>7</v>
      </c>
      <c r="AL637" s="27" t="s">
        <v>7</v>
      </c>
      <c r="AM637" s="27" t="s">
        <v>8</v>
      </c>
      <c r="AN637" s="27" t="s">
        <v>7</v>
      </c>
      <c r="AO637" s="27" t="s">
        <v>8</v>
      </c>
      <c r="AP637" s="27" t="s">
        <v>7</v>
      </c>
      <c r="AQ637" s="27" t="s">
        <v>8</v>
      </c>
      <c r="AR637" s="27" t="s">
        <v>7</v>
      </c>
      <c r="AS637" s="27" t="s">
        <v>8</v>
      </c>
      <c r="AT637" s="27" t="s">
        <v>7</v>
      </c>
      <c r="AW637" s="27" t="s">
        <v>8</v>
      </c>
      <c r="CH637" s="27" t="s">
        <v>7</v>
      </c>
      <c r="CI637" s="27" t="s">
        <v>8</v>
      </c>
      <c r="CJ637" s="27" t="s">
        <v>7</v>
      </c>
      <c r="CK637" s="27" t="s">
        <v>8</v>
      </c>
      <c r="CL637" s="27" t="s">
        <v>7</v>
      </c>
      <c r="CM637" s="27" t="s">
        <v>8</v>
      </c>
      <c r="CN637" s="27" t="s">
        <v>7</v>
      </c>
      <c r="CS637" s="27" t="s">
        <v>8</v>
      </c>
      <c r="CT637" s="27" t="s">
        <v>7</v>
      </c>
      <c r="DO637" s="27" t="s">
        <v>8</v>
      </c>
      <c r="DP637" s="27" t="s">
        <v>7</v>
      </c>
      <c r="DQ637" s="27" t="s">
        <v>8</v>
      </c>
      <c r="DS637" s="27" t="s">
        <v>8</v>
      </c>
      <c r="DT637" s="27" t="s">
        <v>7</v>
      </c>
      <c r="DU637" s="27" t="s">
        <v>8</v>
      </c>
      <c r="DV637" s="27" t="s">
        <v>7</v>
      </c>
      <c r="DW637" s="27" t="s">
        <v>8</v>
      </c>
      <c r="EO637" s="27" t="s">
        <v>8</v>
      </c>
      <c r="EP637" s="27" t="s">
        <v>7</v>
      </c>
      <c r="EQ637" s="27" t="s">
        <v>8</v>
      </c>
      <c r="ER637" s="27" t="s">
        <v>7</v>
      </c>
      <c r="EU637" s="27" t="s">
        <v>8</v>
      </c>
      <c r="EV637" s="27" t="s">
        <v>7</v>
      </c>
      <c r="EW637" s="27" t="s">
        <v>8</v>
      </c>
      <c r="EX637" s="27" t="s">
        <v>7</v>
      </c>
      <c r="EY637" s="27" t="s">
        <v>8</v>
      </c>
      <c r="EZ637" s="27" t="s">
        <v>7</v>
      </c>
      <c r="FC637" s="27" t="s">
        <v>8</v>
      </c>
      <c r="FE637" s="27" t="s">
        <v>8</v>
      </c>
    </row>
    <row r="638" spans="1:361" x14ac:dyDescent="0.25">
      <c r="A638" s="7">
        <v>0.36424302169310002</v>
      </c>
      <c r="B638"/>
      <c r="C638"/>
      <c r="D638"/>
      <c r="E638"/>
      <c r="F638" s="27" t="s">
        <v>7</v>
      </c>
      <c r="AC638" s="27" t="s">
        <v>8</v>
      </c>
      <c r="AD638" s="27" t="s">
        <v>7</v>
      </c>
      <c r="AE638" s="27" t="s">
        <v>8</v>
      </c>
      <c r="AF638" s="27" t="s">
        <v>7</v>
      </c>
      <c r="AI638" s="27" t="s">
        <v>8</v>
      </c>
      <c r="AL638" s="27" t="s">
        <v>7</v>
      </c>
      <c r="AN638" s="27" t="s">
        <v>7</v>
      </c>
      <c r="AO638" s="27" t="s">
        <v>8</v>
      </c>
      <c r="AP638" s="27" t="s">
        <v>7</v>
      </c>
      <c r="AQ638" s="27" t="s">
        <v>8</v>
      </c>
      <c r="AR638" s="27" t="s">
        <v>7</v>
      </c>
      <c r="AS638" s="27" t="s">
        <v>8</v>
      </c>
      <c r="AT638" s="27" t="s">
        <v>7</v>
      </c>
      <c r="AW638" s="27" t="s">
        <v>8</v>
      </c>
      <c r="CH638" s="27" t="s">
        <v>7</v>
      </c>
      <c r="CI638" s="27" t="s">
        <v>8</v>
      </c>
      <c r="CJ638" s="27" t="s">
        <v>7</v>
      </c>
      <c r="CK638" s="27" t="s">
        <v>8</v>
      </c>
      <c r="CL638" s="27" t="s">
        <v>7</v>
      </c>
      <c r="CN638" s="27" t="s">
        <v>7</v>
      </c>
      <c r="CQ638" s="27" t="s">
        <v>8</v>
      </c>
      <c r="CS638" s="27" t="s">
        <v>8</v>
      </c>
      <c r="CT638" s="27" t="s">
        <v>7</v>
      </c>
      <c r="DE638" s="27" t="s">
        <v>8</v>
      </c>
      <c r="DM638" s="27" t="s">
        <v>8</v>
      </c>
      <c r="DO638" s="27" t="s">
        <v>8</v>
      </c>
      <c r="DP638" s="27" t="s">
        <v>7</v>
      </c>
      <c r="DQ638" s="27" t="s">
        <v>8</v>
      </c>
      <c r="DR638" s="27" t="s">
        <v>7</v>
      </c>
      <c r="DS638" s="27" t="s">
        <v>8</v>
      </c>
      <c r="DT638" s="27" t="s">
        <v>7</v>
      </c>
      <c r="DU638" s="27" t="s">
        <v>8</v>
      </c>
      <c r="DV638" s="27" t="s">
        <v>7</v>
      </c>
      <c r="DW638" s="27" t="s">
        <v>8</v>
      </c>
      <c r="DX638" s="27" t="s">
        <v>7</v>
      </c>
      <c r="EO638" s="27" t="s">
        <v>8</v>
      </c>
      <c r="EP638" s="27" t="s">
        <v>7</v>
      </c>
      <c r="EQ638" s="27" t="s">
        <v>8</v>
      </c>
      <c r="ER638" s="27" t="s">
        <v>7</v>
      </c>
      <c r="EU638" s="27" t="s">
        <v>8</v>
      </c>
      <c r="EV638" s="27" t="s">
        <v>7</v>
      </c>
      <c r="EW638" s="27" t="s">
        <v>8</v>
      </c>
      <c r="EX638" s="27" t="s">
        <v>7</v>
      </c>
      <c r="EY638" s="27" t="s">
        <v>8</v>
      </c>
      <c r="EZ638" s="27" t="s">
        <v>7</v>
      </c>
      <c r="FC638" s="27" t="s">
        <v>8</v>
      </c>
      <c r="FD638" s="27" t="s">
        <v>7</v>
      </c>
      <c r="FE638" s="27" t="s">
        <v>8</v>
      </c>
    </row>
    <row r="639" spans="1:361" x14ac:dyDescent="0.25">
      <c r="A639" s="7">
        <v>0.35710100165990194</v>
      </c>
      <c r="B639"/>
      <c r="C639"/>
      <c r="D639"/>
      <c r="E639"/>
      <c r="F639" s="27" t="s">
        <v>7</v>
      </c>
      <c r="I639" s="27" t="s">
        <v>8</v>
      </c>
      <c r="AC639" s="27" t="s">
        <v>8</v>
      </c>
      <c r="AD639" s="27" t="s">
        <v>7</v>
      </c>
      <c r="AE639" s="27" t="s">
        <v>8</v>
      </c>
      <c r="AF639" s="27" t="s">
        <v>7</v>
      </c>
      <c r="AG639" s="27" t="s">
        <v>8</v>
      </c>
      <c r="AI639" s="27" t="s">
        <v>8</v>
      </c>
      <c r="AN639" s="27" t="s">
        <v>7</v>
      </c>
      <c r="AO639" s="27" t="s">
        <v>8</v>
      </c>
      <c r="AP639" s="27" t="s">
        <v>7</v>
      </c>
      <c r="AQ639" s="27" t="s">
        <v>8</v>
      </c>
      <c r="AR639" s="27" t="s">
        <v>7</v>
      </c>
      <c r="AT639" s="27" t="s">
        <v>7</v>
      </c>
      <c r="AW639" s="27" t="s">
        <v>8</v>
      </c>
      <c r="CH639" s="27" t="s">
        <v>7</v>
      </c>
      <c r="CI639" s="27" t="s">
        <v>8</v>
      </c>
      <c r="CJ639" s="27" t="s">
        <v>7</v>
      </c>
      <c r="CK639" s="27" t="s">
        <v>8</v>
      </c>
      <c r="CN639" s="27" t="s">
        <v>7</v>
      </c>
      <c r="CO639" s="27" t="s">
        <v>8</v>
      </c>
      <c r="CQ639" s="27" t="s">
        <v>8</v>
      </c>
      <c r="CR639" s="27" t="s">
        <v>7</v>
      </c>
      <c r="CS639" s="27" t="s">
        <v>8</v>
      </c>
      <c r="CT639" s="27" t="s">
        <v>7</v>
      </c>
      <c r="DE639" s="27" t="s">
        <v>8</v>
      </c>
      <c r="DF639" s="27" t="s">
        <v>7</v>
      </c>
      <c r="DM639" s="27" t="s">
        <v>8</v>
      </c>
      <c r="DN639" s="27" t="s">
        <v>7</v>
      </c>
      <c r="DO639" s="27" t="s">
        <v>8</v>
      </c>
      <c r="DP639" s="27" t="s">
        <v>7</v>
      </c>
      <c r="DQ639" s="27" t="s">
        <v>8</v>
      </c>
      <c r="DR639" s="27" t="s">
        <v>7</v>
      </c>
      <c r="DS639" s="27" t="s">
        <v>8</v>
      </c>
      <c r="DT639" s="27" t="s">
        <v>7</v>
      </c>
      <c r="DV639" s="27" t="s">
        <v>7</v>
      </c>
      <c r="DW639" s="27" t="s">
        <v>8</v>
      </c>
      <c r="DX639" s="27" t="s">
        <v>7</v>
      </c>
      <c r="EE639" s="27" t="s">
        <v>8</v>
      </c>
      <c r="EO639" s="27" t="s">
        <v>8</v>
      </c>
      <c r="EP639" s="27" t="s">
        <v>7</v>
      </c>
      <c r="EQ639" s="27" t="s">
        <v>8</v>
      </c>
      <c r="ER639" s="27" t="s">
        <v>7</v>
      </c>
      <c r="EU639" s="27" t="s">
        <v>8</v>
      </c>
      <c r="EV639" s="27" t="s">
        <v>7</v>
      </c>
      <c r="EW639" s="27" t="s">
        <v>8</v>
      </c>
      <c r="EX639" s="27" t="s">
        <v>7</v>
      </c>
      <c r="EY639" s="27" t="s">
        <v>8</v>
      </c>
      <c r="EZ639" s="27" t="s">
        <v>7</v>
      </c>
      <c r="FC639" s="27" t="s">
        <v>8</v>
      </c>
      <c r="FD639" s="27" t="s">
        <v>7</v>
      </c>
      <c r="FE639" s="27" t="s">
        <v>8</v>
      </c>
    </row>
    <row r="640" spans="1:361" x14ac:dyDescent="0.25">
      <c r="A640" s="7">
        <v>0.35009902123519804</v>
      </c>
      <c r="B640"/>
      <c r="C640"/>
      <c r="D640"/>
      <c r="E640"/>
      <c r="F640" s="27" t="s">
        <v>7</v>
      </c>
      <c r="I640" s="27" t="s">
        <v>8</v>
      </c>
      <c r="J640" s="27" t="s">
        <v>7</v>
      </c>
      <c r="AC640" s="27" t="s">
        <v>8</v>
      </c>
      <c r="AD640" s="27" t="s">
        <v>7</v>
      </c>
      <c r="AE640" s="27" t="s">
        <v>8</v>
      </c>
      <c r="AF640" s="27" t="s">
        <v>7</v>
      </c>
      <c r="AG640" s="27" t="s">
        <v>8</v>
      </c>
      <c r="AH640" s="27" t="s">
        <v>7</v>
      </c>
      <c r="AI640" s="27" t="s">
        <v>8</v>
      </c>
      <c r="AN640" s="27" t="s">
        <v>7</v>
      </c>
      <c r="AO640" s="27" t="s">
        <v>8</v>
      </c>
      <c r="AP640" s="27" t="s">
        <v>7</v>
      </c>
      <c r="AT640" s="27" t="s">
        <v>7</v>
      </c>
      <c r="AU640" s="27" t="s">
        <v>8</v>
      </c>
      <c r="AW640" s="27" t="s">
        <v>8</v>
      </c>
      <c r="CH640" s="27" t="s">
        <v>7</v>
      </c>
      <c r="CI640" s="27" t="s">
        <v>8</v>
      </c>
      <c r="CJ640" s="27" t="s">
        <v>7</v>
      </c>
      <c r="CK640" s="27" t="s">
        <v>8</v>
      </c>
      <c r="CN640" s="27" t="s">
        <v>7</v>
      </c>
      <c r="CO640" s="27" t="s">
        <v>8</v>
      </c>
      <c r="CP640" s="27" t="s">
        <v>7</v>
      </c>
      <c r="CQ640" s="27" t="s">
        <v>8</v>
      </c>
      <c r="CR640" s="27" t="s">
        <v>7</v>
      </c>
      <c r="CS640" s="27" t="s">
        <v>8</v>
      </c>
      <c r="CT640" s="27" t="s">
        <v>7</v>
      </c>
      <c r="DE640" s="27" t="s">
        <v>8</v>
      </c>
      <c r="DF640" s="27" t="s">
        <v>7</v>
      </c>
      <c r="DK640" s="27" t="s">
        <v>8</v>
      </c>
      <c r="DM640" s="27" t="s">
        <v>8</v>
      </c>
      <c r="DN640" s="27" t="s">
        <v>7</v>
      </c>
      <c r="DO640" s="27" t="s">
        <v>8</v>
      </c>
      <c r="DP640" s="27" t="s">
        <v>7</v>
      </c>
      <c r="DQ640" s="27" t="s">
        <v>8</v>
      </c>
      <c r="DR640" s="27" t="s">
        <v>7</v>
      </c>
      <c r="DS640" s="27" t="s">
        <v>8</v>
      </c>
      <c r="DV640" s="27" t="s">
        <v>7</v>
      </c>
      <c r="DW640" s="27" t="s">
        <v>8</v>
      </c>
      <c r="DX640" s="27" t="s">
        <v>7</v>
      </c>
      <c r="EA640" s="27" t="s">
        <v>8</v>
      </c>
      <c r="EE640" s="27" t="s">
        <v>8</v>
      </c>
      <c r="EF640" s="27" t="s">
        <v>7</v>
      </c>
      <c r="EO640" s="27" t="s">
        <v>8</v>
      </c>
      <c r="EP640" s="27" t="s">
        <v>7</v>
      </c>
      <c r="EQ640" s="27" t="s">
        <v>8</v>
      </c>
      <c r="ER640" s="27" t="s">
        <v>7</v>
      </c>
      <c r="EU640" s="27" t="s">
        <v>8</v>
      </c>
      <c r="EV640" s="27" t="s">
        <v>7</v>
      </c>
      <c r="EW640" s="27" t="s">
        <v>8</v>
      </c>
      <c r="EX640" s="27" t="s">
        <v>7</v>
      </c>
      <c r="EY640" s="27" t="s">
        <v>8</v>
      </c>
      <c r="EZ640" s="27" t="s">
        <v>7</v>
      </c>
      <c r="FC640" s="27" t="s">
        <v>8</v>
      </c>
      <c r="FD640" s="27" t="s">
        <v>7</v>
      </c>
      <c r="FE640" s="27" t="s">
        <v>8</v>
      </c>
    </row>
    <row r="641" spans="1:160" x14ac:dyDescent="0.25">
      <c r="A641" s="7">
        <v>0.34323433454431179</v>
      </c>
      <c r="B641"/>
      <c r="C641"/>
      <c r="D641"/>
      <c r="E641"/>
      <c r="F641" s="27" t="s">
        <v>7</v>
      </c>
      <c r="I641" s="27" t="s">
        <v>8</v>
      </c>
      <c r="J641" s="27" t="s">
        <v>7</v>
      </c>
      <c r="AA641" s="27" t="s">
        <v>8</v>
      </c>
      <c r="AC641" s="27" t="s">
        <v>8</v>
      </c>
      <c r="AD641" s="27" t="s">
        <v>7</v>
      </c>
      <c r="AE641" s="27" t="s">
        <v>8</v>
      </c>
      <c r="AF641" s="27" t="s">
        <v>7</v>
      </c>
      <c r="AG641" s="27" t="s">
        <v>8</v>
      </c>
      <c r="AH641" s="27" t="s">
        <v>7</v>
      </c>
      <c r="AI641" s="27" t="s">
        <v>8</v>
      </c>
      <c r="AN641" s="27" t="s">
        <v>7</v>
      </c>
      <c r="AO641" s="27" t="s">
        <v>8</v>
      </c>
      <c r="AT641" s="27" t="s">
        <v>7</v>
      </c>
      <c r="AU641" s="27" t="s">
        <v>8</v>
      </c>
      <c r="AV641" s="27" t="s">
        <v>7</v>
      </c>
      <c r="AW641" s="27" t="s">
        <v>8</v>
      </c>
      <c r="CH641" s="27" t="s">
        <v>7</v>
      </c>
      <c r="CI641" s="27" t="s">
        <v>8</v>
      </c>
      <c r="CJ641" s="27" t="s">
        <v>7</v>
      </c>
      <c r="CK641" s="27" t="s">
        <v>8</v>
      </c>
      <c r="CN641" s="27" t="s">
        <v>7</v>
      </c>
      <c r="CO641" s="27" t="s">
        <v>8</v>
      </c>
      <c r="CP641" s="27" t="s">
        <v>7</v>
      </c>
      <c r="CQ641" s="27" t="s">
        <v>8</v>
      </c>
      <c r="CR641" s="27" t="s">
        <v>7</v>
      </c>
      <c r="CT641" s="27" t="s">
        <v>7</v>
      </c>
      <c r="CU641" s="27" t="s">
        <v>8</v>
      </c>
      <c r="CW641" s="27" t="s">
        <v>8</v>
      </c>
      <c r="DE641" s="27" t="s">
        <v>8</v>
      </c>
      <c r="DF641" s="27" t="s">
        <v>7</v>
      </c>
      <c r="DK641" s="27" t="s">
        <v>8</v>
      </c>
      <c r="DL641" s="27" t="s">
        <v>7</v>
      </c>
      <c r="DM641" s="27" t="s">
        <v>8</v>
      </c>
      <c r="DN641" s="27" t="s">
        <v>7</v>
      </c>
      <c r="DO641" s="27" t="s">
        <v>8</v>
      </c>
      <c r="DP641" s="27" t="s">
        <v>7</v>
      </c>
      <c r="DQ641" s="27" t="s">
        <v>8</v>
      </c>
      <c r="DR641" s="27" t="s">
        <v>7</v>
      </c>
      <c r="DV641" s="27" t="s">
        <v>7</v>
      </c>
      <c r="DW641" s="27" t="s">
        <v>8</v>
      </c>
      <c r="DX641" s="27" t="s">
        <v>7</v>
      </c>
      <c r="EA641" s="27" t="s">
        <v>8</v>
      </c>
      <c r="EB641" s="27" t="s">
        <v>7</v>
      </c>
      <c r="EC641" s="27" t="s">
        <v>8</v>
      </c>
      <c r="EE641" s="27" t="s">
        <v>8</v>
      </c>
      <c r="EF641" s="27" t="s">
        <v>7</v>
      </c>
      <c r="EO641" s="27" t="s">
        <v>8</v>
      </c>
      <c r="EP641" s="27" t="s">
        <v>7</v>
      </c>
      <c r="EQ641" s="27" t="s">
        <v>8</v>
      </c>
      <c r="ER641" s="27" t="s">
        <v>7</v>
      </c>
      <c r="EU641" s="27" t="s">
        <v>8</v>
      </c>
      <c r="EV641" s="27" t="s">
        <v>7</v>
      </c>
      <c r="EW641" s="27" t="s">
        <v>8</v>
      </c>
      <c r="EX641" s="27" t="s">
        <v>7</v>
      </c>
      <c r="EY641" s="27" t="s">
        <v>8</v>
      </c>
      <c r="EZ641" s="27" t="s">
        <v>7</v>
      </c>
      <c r="FA641" s="27" t="s">
        <v>8</v>
      </c>
      <c r="FC641" s="27" t="s">
        <v>8</v>
      </c>
      <c r="FD641" s="27" t="s">
        <v>7</v>
      </c>
    </row>
    <row r="642" spans="1:160" x14ac:dyDescent="0.25">
      <c r="A642" s="7">
        <v>0.33650424955324681</v>
      </c>
      <c r="B642"/>
      <c r="C642"/>
      <c r="D642"/>
      <c r="E642"/>
      <c r="F642" s="27" t="s">
        <v>7</v>
      </c>
      <c r="I642" s="27" t="s">
        <v>8</v>
      </c>
      <c r="J642" s="27" t="s">
        <v>7</v>
      </c>
      <c r="AA642" s="27" t="s">
        <v>8</v>
      </c>
      <c r="AB642" s="27" t="s">
        <v>7</v>
      </c>
      <c r="AC642" s="27" t="s">
        <v>8</v>
      </c>
      <c r="AD642" s="27" t="s">
        <v>7</v>
      </c>
      <c r="AE642" s="27" t="s">
        <v>8</v>
      </c>
      <c r="AF642" s="27" t="s">
        <v>7</v>
      </c>
      <c r="AH642" s="27" t="s">
        <v>7</v>
      </c>
      <c r="AI642" s="27" t="s">
        <v>8</v>
      </c>
      <c r="AN642" s="27" t="s">
        <v>7</v>
      </c>
      <c r="AO642" s="27" t="s">
        <v>8</v>
      </c>
      <c r="AT642" s="27" t="s">
        <v>7</v>
      </c>
      <c r="AU642" s="27" t="s">
        <v>8</v>
      </c>
      <c r="AV642" s="27" t="s">
        <v>7</v>
      </c>
      <c r="AW642" s="27" t="s">
        <v>8</v>
      </c>
      <c r="CH642" s="27" t="s">
        <v>7</v>
      </c>
      <c r="CJ642" s="27" t="s">
        <v>7</v>
      </c>
      <c r="CN642" s="27" t="s">
        <v>7</v>
      </c>
      <c r="CP642" s="27" t="s">
        <v>7</v>
      </c>
      <c r="CQ642" s="27" t="s">
        <v>8</v>
      </c>
      <c r="CT642" s="27" t="s">
        <v>7</v>
      </c>
      <c r="CU642" s="27" t="s">
        <v>8</v>
      </c>
      <c r="CV642" s="27" t="s">
        <v>7</v>
      </c>
      <c r="CW642" s="27" t="s">
        <v>8</v>
      </c>
      <c r="CX642" s="27" t="s">
        <v>7</v>
      </c>
      <c r="DE642" s="27" t="s">
        <v>8</v>
      </c>
      <c r="DF642" s="27" t="s">
        <v>7</v>
      </c>
      <c r="DK642" s="27" t="s">
        <v>8</v>
      </c>
      <c r="DL642" s="27" t="s">
        <v>7</v>
      </c>
      <c r="DM642" s="27" t="s">
        <v>8</v>
      </c>
      <c r="DN642" s="27" t="s">
        <v>7</v>
      </c>
      <c r="DO642" s="27" t="s">
        <v>8</v>
      </c>
      <c r="DP642" s="27" t="s">
        <v>7</v>
      </c>
      <c r="DQ642" s="27" t="s">
        <v>8</v>
      </c>
      <c r="DV642" s="27" t="s">
        <v>7</v>
      </c>
      <c r="DX642" s="27" t="s">
        <v>7</v>
      </c>
      <c r="DY642" s="27" t="s">
        <v>8</v>
      </c>
      <c r="EA642" s="27" t="s">
        <v>8</v>
      </c>
      <c r="EB642" s="27" t="s">
        <v>7</v>
      </c>
      <c r="EC642" s="27" t="s">
        <v>8</v>
      </c>
      <c r="ED642" s="27" t="s">
        <v>7</v>
      </c>
      <c r="EE642" s="27" t="s">
        <v>8</v>
      </c>
      <c r="EF642" s="27" t="s">
        <v>7</v>
      </c>
      <c r="EG642" s="27" t="s">
        <v>8</v>
      </c>
      <c r="EO642" s="27" t="s">
        <v>8</v>
      </c>
      <c r="EP642" s="27" t="s">
        <v>7</v>
      </c>
      <c r="EQ642" s="27" t="s">
        <v>8</v>
      </c>
      <c r="ER642" s="27" t="s">
        <v>7</v>
      </c>
      <c r="ES642" s="27" t="s">
        <v>8</v>
      </c>
      <c r="EU642" s="27" t="s">
        <v>8</v>
      </c>
      <c r="EV642" s="27" t="s">
        <v>7</v>
      </c>
      <c r="EX642" s="27" t="s">
        <v>7</v>
      </c>
      <c r="EY642" s="27" t="s">
        <v>8</v>
      </c>
      <c r="EZ642" s="27" t="s">
        <v>7</v>
      </c>
      <c r="FA642" s="27" t="s">
        <v>8</v>
      </c>
      <c r="FB642" s="27" t="s">
        <v>7</v>
      </c>
      <c r="FC642" s="27" t="s">
        <v>8</v>
      </c>
    </row>
    <row r="643" spans="1:160" x14ac:dyDescent="0.25">
      <c r="A643" s="7">
        <v>0.3299061270129871</v>
      </c>
      <c r="B643"/>
      <c r="C643"/>
      <c r="D643"/>
      <c r="E643"/>
      <c r="F643" s="27" t="s">
        <v>7</v>
      </c>
      <c r="I643" s="27" t="s">
        <v>8</v>
      </c>
      <c r="J643" s="27" t="s">
        <v>7</v>
      </c>
      <c r="AA643" s="27" t="s">
        <v>8</v>
      </c>
      <c r="AB643" s="27" t="s">
        <v>7</v>
      </c>
      <c r="AC643" s="27" t="s">
        <v>8</v>
      </c>
      <c r="AD643" s="27" t="s">
        <v>7</v>
      </c>
      <c r="AH643" s="27" t="s">
        <v>7</v>
      </c>
      <c r="AI643" s="27" t="s">
        <v>8</v>
      </c>
      <c r="AN643" s="27" t="s">
        <v>7</v>
      </c>
      <c r="AO643" s="27" t="s">
        <v>8</v>
      </c>
      <c r="AT643" s="27" t="s">
        <v>7</v>
      </c>
      <c r="AU643" s="27" t="s">
        <v>8</v>
      </c>
      <c r="AV643" s="27" t="s">
        <v>7</v>
      </c>
      <c r="CP643" s="27" t="s">
        <v>7</v>
      </c>
      <c r="CQ643" s="27" t="s">
        <v>8</v>
      </c>
      <c r="CT643" s="27" t="s">
        <v>7</v>
      </c>
      <c r="CU643" s="27" t="s">
        <v>8</v>
      </c>
      <c r="CV643" s="27" t="s">
        <v>7</v>
      </c>
      <c r="CW643" s="27" t="s">
        <v>8</v>
      </c>
      <c r="CX643" s="27" t="s">
        <v>7</v>
      </c>
      <c r="DA643" s="27" t="s">
        <v>8</v>
      </c>
      <c r="DE643" s="27" t="s">
        <v>8</v>
      </c>
      <c r="DF643" s="27" t="s">
        <v>7</v>
      </c>
      <c r="DI643" s="27" t="s">
        <v>8</v>
      </c>
      <c r="DK643" s="27" t="s">
        <v>8</v>
      </c>
      <c r="DL643" s="27" t="s">
        <v>7</v>
      </c>
      <c r="DM643" s="27" t="s">
        <v>8</v>
      </c>
      <c r="DN643" s="27" t="s">
        <v>7</v>
      </c>
      <c r="DP643" s="27" t="s">
        <v>7</v>
      </c>
      <c r="DX643" s="27" t="s">
        <v>7</v>
      </c>
      <c r="DY643" s="27" t="s">
        <v>8</v>
      </c>
      <c r="DZ643" s="27" t="s">
        <v>7</v>
      </c>
      <c r="EA643" s="27" t="s">
        <v>8</v>
      </c>
      <c r="EB643" s="27" t="s">
        <v>7</v>
      </c>
      <c r="EC643" s="27" t="s">
        <v>8</v>
      </c>
      <c r="ED643" s="27" t="s">
        <v>7</v>
      </c>
      <c r="EE643" s="27" t="s">
        <v>8</v>
      </c>
      <c r="EF643" s="27" t="s">
        <v>7</v>
      </c>
      <c r="EG643" s="27" t="s">
        <v>8</v>
      </c>
      <c r="EH643" s="27" t="s">
        <v>7</v>
      </c>
      <c r="EO643" s="27" t="s">
        <v>8</v>
      </c>
      <c r="EP643" s="27" t="s">
        <v>7</v>
      </c>
      <c r="EQ643" s="27" t="s">
        <v>8</v>
      </c>
      <c r="ER643" s="27" t="s">
        <v>7</v>
      </c>
      <c r="ES643" s="27" t="s">
        <v>8</v>
      </c>
      <c r="ET643" s="27" t="s">
        <v>7</v>
      </c>
      <c r="EU643" s="27" t="s">
        <v>8</v>
      </c>
      <c r="EX643" s="27" t="s">
        <v>7</v>
      </c>
      <c r="EY643" s="27" t="s">
        <v>8</v>
      </c>
      <c r="EZ643" s="27" t="s">
        <v>7</v>
      </c>
      <c r="FA643" s="27" t="s">
        <v>8</v>
      </c>
      <c r="FB643" s="27" t="s">
        <v>7</v>
      </c>
      <c r="FC643" s="27" t="s">
        <v>8</v>
      </c>
    </row>
    <row r="644" spans="1:160" x14ac:dyDescent="0.25">
      <c r="A644" s="7">
        <v>0.32343737942449713</v>
      </c>
      <c r="B644"/>
      <c r="C644"/>
      <c r="D644"/>
      <c r="E644"/>
      <c r="F644" s="27" t="s">
        <v>7</v>
      </c>
      <c r="I644" s="27" t="s">
        <v>8</v>
      </c>
      <c r="J644" s="27" t="s">
        <v>7</v>
      </c>
      <c r="K644" s="27" t="s">
        <v>8</v>
      </c>
      <c r="AA644" s="27" t="s">
        <v>8</v>
      </c>
      <c r="AB644" s="27" t="s">
        <v>7</v>
      </c>
      <c r="AC644" s="27" t="s">
        <v>8</v>
      </c>
      <c r="AH644" s="27" t="s">
        <v>7</v>
      </c>
      <c r="AI644" s="27" t="s">
        <v>8</v>
      </c>
      <c r="AN644" s="27" t="s">
        <v>7</v>
      </c>
      <c r="AT644" s="27" t="s">
        <v>7</v>
      </c>
      <c r="AU644" s="27" t="s">
        <v>8</v>
      </c>
      <c r="CP644" s="27" t="s">
        <v>7</v>
      </c>
      <c r="CQ644" s="27" t="s">
        <v>8</v>
      </c>
      <c r="CT644" s="27" t="s">
        <v>7</v>
      </c>
      <c r="CU644" s="27" t="s">
        <v>8</v>
      </c>
      <c r="CV644" s="27" t="s">
        <v>7</v>
      </c>
      <c r="CW644" s="27" t="s">
        <v>8</v>
      </c>
      <c r="CX644" s="27" t="s">
        <v>7</v>
      </c>
      <c r="DA644" s="27" t="s">
        <v>8</v>
      </c>
      <c r="DB644" s="27" t="s">
        <v>7</v>
      </c>
      <c r="DC644" s="27" t="s">
        <v>8</v>
      </c>
      <c r="DE644" s="27" t="s">
        <v>8</v>
      </c>
      <c r="DF644" s="27" t="s">
        <v>7</v>
      </c>
      <c r="DG644" s="27" t="s">
        <v>8</v>
      </c>
      <c r="DI644" s="27" t="s">
        <v>8</v>
      </c>
      <c r="DJ644" s="27" t="s">
        <v>7</v>
      </c>
      <c r="DK644" s="27" t="s">
        <v>8</v>
      </c>
      <c r="DL644" s="27" t="s">
        <v>7</v>
      </c>
      <c r="DX644" s="27" t="s">
        <v>7</v>
      </c>
      <c r="DY644" s="27" t="s">
        <v>8</v>
      </c>
      <c r="DZ644" s="27" t="s">
        <v>7</v>
      </c>
      <c r="EA644" s="27" t="s">
        <v>8</v>
      </c>
      <c r="EB644" s="27" t="s">
        <v>7</v>
      </c>
      <c r="ED644" s="27" t="s">
        <v>7</v>
      </c>
      <c r="EF644" s="27" t="s">
        <v>7</v>
      </c>
      <c r="EG644" s="27" t="s">
        <v>8</v>
      </c>
      <c r="EH644" s="27" t="s">
        <v>7</v>
      </c>
      <c r="EO644" s="27" t="s">
        <v>8</v>
      </c>
      <c r="EP644" s="27" t="s">
        <v>7</v>
      </c>
      <c r="EQ644" s="27" t="s">
        <v>8</v>
      </c>
      <c r="ER644" s="27" t="s">
        <v>7</v>
      </c>
      <c r="ES644" s="27" t="s">
        <v>8</v>
      </c>
      <c r="ET644" s="27" t="s">
        <v>7</v>
      </c>
      <c r="EU644" s="27" t="s">
        <v>8</v>
      </c>
      <c r="EX644" s="27" t="s">
        <v>7</v>
      </c>
      <c r="EZ644" s="27" t="s">
        <v>7</v>
      </c>
      <c r="FA644" s="27" t="s">
        <v>8</v>
      </c>
      <c r="FB644" s="27" t="s">
        <v>7</v>
      </c>
    </row>
    <row r="645" spans="1:160" x14ac:dyDescent="0.25">
      <c r="A645" s="7">
        <v>0.31709547002401678</v>
      </c>
      <c r="B645"/>
      <c r="C645"/>
      <c r="D645"/>
      <c r="E645"/>
      <c r="F645" s="27" t="s">
        <v>7</v>
      </c>
      <c r="I645" s="27" t="s">
        <v>8</v>
      </c>
      <c r="J645" s="27" t="s">
        <v>7</v>
      </c>
      <c r="K645" s="27" t="s">
        <v>8</v>
      </c>
      <c r="L645" s="27" t="s">
        <v>7</v>
      </c>
      <c r="S645" s="27" t="s">
        <v>8</v>
      </c>
      <c r="AA645" s="27" t="s">
        <v>8</v>
      </c>
      <c r="AB645" s="27" t="s">
        <v>7</v>
      </c>
      <c r="AC645" s="27" t="s">
        <v>8</v>
      </c>
      <c r="AH645" s="27" t="s">
        <v>7</v>
      </c>
      <c r="AI645" s="27" t="s">
        <v>8</v>
      </c>
      <c r="AT645" s="27" t="s">
        <v>7</v>
      </c>
      <c r="AU645" s="27" t="s">
        <v>8</v>
      </c>
      <c r="CP645" s="27" t="s">
        <v>7</v>
      </c>
      <c r="CQ645" s="27" t="s">
        <v>8</v>
      </c>
      <c r="CT645" s="27" t="s">
        <v>7</v>
      </c>
      <c r="CU645" s="27" t="s">
        <v>8</v>
      </c>
      <c r="CV645" s="27" t="s">
        <v>7</v>
      </c>
      <c r="CW645" s="27" t="s">
        <v>8</v>
      </c>
      <c r="CX645" s="27" t="s">
        <v>7</v>
      </c>
      <c r="DA645" s="27" t="s">
        <v>8</v>
      </c>
      <c r="DB645" s="27" t="s">
        <v>7</v>
      </c>
      <c r="DC645" s="27" t="s">
        <v>8</v>
      </c>
      <c r="DD645" s="27" t="s">
        <v>7</v>
      </c>
      <c r="DE645" s="27" t="s">
        <v>8</v>
      </c>
      <c r="DF645" s="27" t="s">
        <v>7</v>
      </c>
      <c r="DG645" s="27" t="s">
        <v>8</v>
      </c>
      <c r="DH645" s="27" t="s">
        <v>7</v>
      </c>
      <c r="DI645" s="27" t="s">
        <v>8</v>
      </c>
      <c r="DJ645" s="27" t="s">
        <v>7</v>
      </c>
      <c r="DK645" s="27" t="s">
        <v>8</v>
      </c>
      <c r="DX645" s="27" t="s">
        <v>7</v>
      </c>
      <c r="DY645" s="27" t="s">
        <v>8</v>
      </c>
      <c r="DZ645" s="27" t="s">
        <v>7</v>
      </c>
      <c r="EA645" s="27" t="s">
        <v>8</v>
      </c>
      <c r="EF645" s="27" t="s">
        <v>7</v>
      </c>
      <c r="EG645" s="27" t="s">
        <v>8</v>
      </c>
      <c r="EH645" s="27" t="s">
        <v>7</v>
      </c>
      <c r="EO645" s="27" t="s">
        <v>8</v>
      </c>
      <c r="EP645" s="27" t="s">
        <v>7</v>
      </c>
      <c r="ER645" s="27" t="s">
        <v>7</v>
      </c>
      <c r="ES645" s="27" t="s">
        <v>8</v>
      </c>
      <c r="ET645" s="27" t="s">
        <v>7</v>
      </c>
      <c r="EU645" s="27" t="s">
        <v>8</v>
      </c>
      <c r="EZ645" s="27" t="s">
        <v>7</v>
      </c>
    </row>
    <row r="646" spans="1:160" x14ac:dyDescent="0.25">
      <c r="A646" s="7">
        <v>0.31087791178825175</v>
      </c>
      <c r="B646"/>
      <c r="C646"/>
      <c r="D646"/>
      <c r="E646"/>
      <c r="F646" s="27" t="s">
        <v>7</v>
      </c>
      <c r="I646" s="27" t="s">
        <v>8</v>
      </c>
      <c r="J646" s="27" t="s">
        <v>7</v>
      </c>
      <c r="K646" s="27" t="s">
        <v>8</v>
      </c>
      <c r="L646" s="27" t="s">
        <v>7</v>
      </c>
      <c r="S646" s="27" t="s">
        <v>8</v>
      </c>
      <c r="T646" s="27" t="s">
        <v>7</v>
      </c>
      <c r="U646" s="27" t="s">
        <v>8</v>
      </c>
      <c r="AA646" s="27" t="s">
        <v>8</v>
      </c>
      <c r="AB646" s="27" t="s">
        <v>7</v>
      </c>
      <c r="AC646" s="27" t="s">
        <v>8</v>
      </c>
      <c r="AH646" s="27" t="s">
        <v>7</v>
      </c>
      <c r="AI646" s="27" t="s">
        <v>8</v>
      </c>
      <c r="AT646" s="27" t="s">
        <v>7</v>
      </c>
      <c r="AU646" s="27" t="s">
        <v>8</v>
      </c>
      <c r="CP646" s="27" t="s">
        <v>7</v>
      </c>
      <c r="CQ646" s="27" t="s">
        <v>8</v>
      </c>
      <c r="CT646" s="27" t="s">
        <v>7</v>
      </c>
      <c r="CV646" s="27" t="s">
        <v>7</v>
      </c>
      <c r="CX646" s="27" t="s">
        <v>7</v>
      </c>
      <c r="DA646" s="27" t="s">
        <v>8</v>
      </c>
      <c r="DB646" s="27" t="s">
        <v>7</v>
      </c>
      <c r="DC646" s="27" t="s">
        <v>8</v>
      </c>
      <c r="DD646" s="27" t="s">
        <v>7</v>
      </c>
      <c r="DE646" s="27" t="s">
        <v>8</v>
      </c>
      <c r="DF646" s="27" t="s">
        <v>7</v>
      </c>
      <c r="DG646" s="27" t="s">
        <v>8</v>
      </c>
      <c r="DH646" s="27" t="s">
        <v>7</v>
      </c>
      <c r="DI646" s="27" t="s">
        <v>8</v>
      </c>
      <c r="DJ646" s="27" t="s">
        <v>7</v>
      </c>
      <c r="DK646" s="27" t="s">
        <v>8</v>
      </c>
      <c r="DX646" s="27" t="s">
        <v>7</v>
      </c>
      <c r="DY646" s="27" t="s">
        <v>8</v>
      </c>
      <c r="DZ646" s="27" t="s">
        <v>7</v>
      </c>
      <c r="EF646" s="27" t="s">
        <v>7</v>
      </c>
      <c r="EH646" s="27" t="s">
        <v>7</v>
      </c>
      <c r="EK646" s="27" t="s">
        <v>8</v>
      </c>
      <c r="EO646" s="27" t="s">
        <v>8</v>
      </c>
      <c r="ER646" s="27" t="s">
        <v>7</v>
      </c>
      <c r="ES646" s="27" t="s">
        <v>8</v>
      </c>
      <c r="ET646" s="27" t="s">
        <v>7</v>
      </c>
      <c r="EU646" s="27" t="s">
        <v>8</v>
      </c>
    </row>
    <row r="647" spans="1:160" x14ac:dyDescent="0.25">
      <c r="A647" s="7">
        <v>0.30478226645907036</v>
      </c>
      <c r="B647"/>
      <c r="C647"/>
      <c r="D647"/>
      <c r="E647"/>
      <c r="F647" s="27" t="s">
        <v>7</v>
      </c>
      <c r="I647" s="27" t="s">
        <v>8</v>
      </c>
      <c r="J647" s="27" t="s">
        <v>7</v>
      </c>
      <c r="K647" s="27" t="s">
        <v>8</v>
      </c>
      <c r="L647" s="27" t="s">
        <v>7</v>
      </c>
      <c r="S647" s="27" t="s">
        <v>8</v>
      </c>
      <c r="T647" s="27" t="s">
        <v>7</v>
      </c>
      <c r="U647" s="27" t="s">
        <v>8</v>
      </c>
      <c r="V647" s="27" t="s">
        <v>7</v>
      </c>
      <c r="AA647" s="27" t="s">
        <v>8</v>
      </c>
      <c r="AB647" s="27" t="s">
        <v>7</v>
      </c>
      <c r="AC647" s="27" t="s">
        <v>8</v>
      </c>
      <c r="AH647" s="27" t="s">
        <v>7</v>
      </c>
      <c r="AI647" s="27" t="s">
        <v>8</v>
      </c>
      <c r="AT647" s="27" t="s">
        <v>7</v>
      </c>
      <c r="CP647" s="27" t="s">
        <v>7</v>
      </c>
      <c r="CX647" s="27" t="s">
        <v>7</v>
      </c>
      <c r="DA647" s="27" t="s">
        <v>8</v>
      </c>
      <c r="DB647" s="27" t="s">
        <v>7</v>
      </c>
      <c r="DC647" s="27" t="s">
        <v>8</v>
      </c>
      <c r="DD647" s="27" t="s">
        <v>7</v>
      </c>
      <c r="DE647" s="27" t="s">
        <v>8</v>
      </c>
      <c r="DF647" s="27" t="s">
        <v>7</v>
      </c>
      <c r="DH647" s="27" t="s">
        <v>7</v>
      </c>
      <c r="DI647" s="27" t="s">
        <v>8</v>
      </c>
      <c r="DJ647" s="27" t="s">
        <v>7</v>
      </c>
      <c r="DK647" s="27" t="s">
        <v>8</v>
      </c>
      <c r="DX647" s="27" t="s">
        <v>7</v>
      </c>
      <c r="EH647" s="27" t="s">
        <v>7</v>
      </c>
      <c r="EI647" s="27" t="s">
        <v>8</v>
      </c>
      <c r="EK647" s="27" t="s">
        <v>8</v>
      </c>
      <c r="EL647" s="27" t="s">
        <v>7</v>
      </c>
      <c r="EO647" s="27" t="s">
        <v>8</v>
      </c>
      <c r="ER647" s="27" t="s">
        <v>7</v>
      </c>
      <c r="ES647" s="27" t="s">
        <v>8</v>
      </c>
      <c r="ET647" s="27" t="s">
        <v>7</v>
      </c>
      <c r="EU647" s="27" t="s">
        <v>8</v>
      </c>
    </row>
    <row r="648" spans="1:160" x14ac:dyDescent="0.25">
      <c r="A648" s="7">
        <v>0.29880614358732388</v>
      </c>
      <c r="B648"/>
      <c r="C648"/>
      <c r="D648"/>
      <c r="E648"/>
      <c r="F648" s="27" t="s">
        <v>7</v>
      </c>
      <c r="I648" s="27" t="s">
        <v>8</v>
      </c>
      <c r="J648" s="27" t="s">
        <v>7</v>
      </c>
      <c r="K648" s="27" t="s">
        <v>8</v>
      </c>
      <c r="L648" s="27" t="s">
        <v>7</v>
      </c>
      <c r="M648" s="27" t="s">
        <v>8</v>
      </c>
      <c r="O648" s="27" t="s">
        <v>8</v>
      </c>
      <c r="Q648" s="27" t="s">
        <v>8</v>
      </c>
      <c r="S648" s="27" t="s">
        <v>8</v>
      </c>
      <c r="T648" s="27" t="s">
        <v>7</v>
      </c>
      <c r="U648" s="27" t="s">
        <v>8</v>
      </c>
      <c r="V648" s="27" t="s">
        <v>7</v>
      </c>
      <c r="AA648" s="27" t="s">
        <v>8</v>
      </c>
      <c r="AB648" s="27" t="s">
        <v>7</v>
      </c>
      <c r="AC648" s="27" t="s">
        <v>8</v>
      </c>
      <c r="AH648" s="27" t="s">
        <v>7</v>
      </c>
      <c r="AI648" s="27" t="s">
        <v>8</v>
      </c>
      <c r="CX648" s="27" t="s">
        <v>7</v>
      </c>
      <c r="DA648" s="27" t="s">
        <v>8</v>
      </c>
      <c r="DB648" s="27" t="s">
        <v>7</v>
      </c>
      <c r="DC648" s="27" t="s">
        <v>8</v>
      </c>
      <c r="DD648" s="27" t="s">
        <v>7</v>
      </c>
      <c r="DE648" s="27" t="s">
        <v>8</v>
      </c>
      <c r="DH648" s="27" t="s">
        <v>7</v>
      </c>
      <c r="DI648" s="27" t="s">
        <v>8</v>
      </c>
      <c r="DJ648" s="27" t="s">
        <v>7</v>
      </c>
      <c r="DK648" s="27" t="s">
        <v>8</v>
      </c>
      <c r="EH648" s="27" t="s">
        <v>7</v>
      </c>
      <c r="EI648" s="27" t="s">
        <v>8</v>
      </c>
      <c r="EJ648" s="27" t="s">
        <v>7</v>
      </c>
      <c r="EK648" s="27" t="s">
        <v>8</v>
      </c>
      <c r="EL648" s="27" t="s">
        <v>7</v>
      </c>
      <c r="EM648" s="27" t="s">
        <v>8</v>
      </c>
      <c r="EO648" s="27" t="s">
        <v>8</v>
      </c>
      <c r="ER648" s="27" t="s">
        <v>7</v>
      </c>
      <c r="ES648" s="27" t="s">
        <v>8</v>
      </c>
      <c r="ET648" s="27" t="s">
        <v>7</v>
      </c>
      <c r="EU648" s="27" t="s">
        <v>8</v>
      </c>
    </row>
    <row r="649" spans="1:160" x14ac:dyDescent="0.25">
      <c r="A649" s="7">
        <v>0.2929471995954156</v>
      </c>
      <c r="B649"/>
      <c r="C649"/>
      <c r="D649"/>
      <c r="E649"/>
      <c r="F649" s="27" t="s">
        <v>7</v>
      </c>
      <c r="I649" s="27" t="s">
        <v>8</v>
      </c>
      <c r="J649" s="27" t="s">
        <v>7</v>
      </c>
      <c r="K649" s="27" t="s">
        <v>8</v>
      </c>
      <c r="L649" s="27" t="s">
        <v>7</v>
      </c>
      <c r="M649" s="27" t="s">
        <v>8</v>
      </c>
      <c r="N649" s="27" t="s">
        <v>7</v>
      </c>
      <c r="O649" s="27" t="s">
        <v>8</v>
      </c>
      <c r="P649" s="27" t="s">
        <v>7</v>
      </c>
      <c r="Q649" s="27" t="s">
        <v>8</v>
      </c>
      <c r="R649" s="27" t="s">
        <v>7</v>
      </c>
      <c r="S649" s="27" t="s">
        <v>8</v>
      </c>
      <c r="T649" s="27" t="s">
        <v>7</v>
      </c>
      <c r="U649" s="27" t="s">
        <v>8</v>
      </c>
      <c r="V649" s="27" t="s">
        <v>7</v>
      </c>
      <c r="AA649" s="27" t="s">
        <v>8</v>
      </c>
      <c r="AB649" s="27" t="s">
        <v>7</v>
      </c>
      <c r="AH649" s="27" t="s">
        <v>7</v>
      </c>
      <c r="AI649" s="27" t="s">
        <v>8</v>
      </c>
      <c r="CX649" s="27" t="s">
        <v>7</v>
      </c>
      <c r="DA649" s="27" t="s">
        <v>8</v>
      </c>
      <c r="DB649" s="27" t="s">
        <v>7</v>
      </c>
      <c r="DC649" s="27" t="s">
        <v>8</v>
      </c>
      <c r="DD649" s="27" t="s">
        <v>7</v>
      </c>
      <c r="DH649" s="27" t="s">
        <v>7</v>
      </c>
      <c r="DJ649" s="27" t="s">
        <v>7</v>
      </c>
      <c r="EH649" s="27" t="s">
        <v>7</v>
      </c>
      <c r="EI649" s="27" t="s">
        <v>8</v>
      </c>
      <c r="EJ649" s="27" t="s">
        <v>7</v>
      </c>
      <c r="EK649" s="27" t="s">
        <v>8</v>
      </c>
      <c r="EL649" s="27" t="s">
        <v>7</v>
      </c>
      <c r="EM649" s="27" t="s">
        <v>8</v>
      </c>
      <c r="EN649" s="27" t="s">
        <v>7</v>
      </c>
      <c r="EO649" s="27" t="s">
        <v>8</v>
      </c>
      <c r="ER649" s="27" t="s">
        <v>7</v>
      </c>
      <c r="ES649" s="27" t="s">
        <v>8</v>
      </c>
      <c r="ET649" s="27" t="s">
        <v>7</v>
      </c>
    </row>
    <row r="650" spans="1:160" x14ac:dyDescent="0.25">
      <c r="A650" s="7">
        <v>0.28720313685825055</v>
      </c>
      <c r="B650"/>
      <c r="C650"/>
      <c r="D650"/>
      <c r="E650"/>
      <c r="F650" s="27" t="s">
        <v>7</v>
      </c>
      <c r="I650" s="27" t="s">
        <v>8</v>
      </c>
      <c r="J650" s="27" t="s">
        <v>7</v>
      </c>
      <c r="K650" s="27" t="s">
        <v>8</v>
      </c>
      <c r="L650" s="27" t="s">
        <v>7</v>
      </c>
      <c r="M650" s="27" t="s">
        <v>8</v>
      </c>
      <c r="N650" s="27" t="s">
        <v>7</v>
      </c>
      <c r="O650" s="27" t="s">
        <v>8</v>
      </c>
      <c r="P650" s="27" t="s">
        <v>7</v>
      </c>
      <c r="Q650" s="27" t="s">
        <v>8</v>
      </c>
      <c r="R650" s="27" t="s">
        <v>7</v>
      </c>
      <c r="S650" s="27" t="s">
        <v>8</v>
      </c>
      <c r="T650" s="27" t="s">
        <v>7</v>
      </c>
      <c r="U650" s="27" t="s">
        <v>8</v>
      </c>
      <c r="V650" s="27" t="s">
        <v>7</v>
      </c>
      <c r="Y650" s="27" t="s">
        <v>8</v>
      </c>
      <c r="AA650" s="27" t="s">
        <v>8</v>
      </c>
      <c r="AH650" s="27" t="s">
        <v>7</v>
      </c>
      <c r="AI650" s="27" t="s">
        <v>8</v>
      </c>
      <c r="CX650" s="27" t="s">
        <v>7</v>
      </c>
      <c r="DA650" s="27" t="s">
        <v>8</v>
      </c>
      <c r="DB650" s="27" t="s">
        <v>7</v>
      </c>
      <c r="DC650" s="27" t="s">
        <v>8</v>
      </c>
      <c r="EH650" s="27" t="s">
        <v>7</v>
      </c>
      <c r="EI650" s="27" t="s">
        <v>8</v>
      </c>
      <c r="EJ650" s="27" t="s">
        <v>7</v>
      </c>
      <c r="EK650" s="27" t="s">
        <v>8</v>
      </c>
      <c r="EL650" s="27" t="s">
        <v>7</v>
      </c>
      <c r="EM650" s="27" t="s">
        <v>8</v>
      </c>
      <c r="EN650" s="27" t="s">
        <v>7</v>
      </c>
      <c r="EO650" s="27" t="s">
        <v>8</v>
      </c>
      <c r="ER650" s="27" t="s">
        <v>7</v>
      </c>
      <c r="ES650" s="27" t="s">
        <v>8</v>
      </c>
    </row>
    <row r="651" spans="1:160" x14ac:dyDescent="0.25">
      <c r="A651" s="7">
        <v>0.28157170280220645</v>
      </c>
      <c r="B651"/>
      <c r="C651"/>
      <c r="D651"/>
      <c r="E651"/>
      <c r="F651" s="27" t="s">
        <v>7</v>
      </c>
      <c r="I651" s="27" t="s">
        <v>8</v>
      </c>
      <c r="J651" s="27" t="s">
        <v>7</v>
      </c>
      <c r="K651" s="27" t="s">
        <v>8</v>
      </c>
      <c r="L651" s="27" t="s">
        <v>7</v>
      </c>
      <c r="M651" s="27" t="s">
        <v>8</v>
      </c>
      <c r="N651" s="27" t="s">
        <v>7</v>
      </c>
      <c r="O651" s="27" t="s">
        <v>8</v>
      </c>
      <c r="P651" s="27" t="s">
        <v>7</v>
      </c>
      <c r="Q651" s="27" t="s">
        <v>8</v>
      </c>
      <c r="R651" s="27" t="s">
        <v>7</v>
      </c>
      <c r="T651" s="27" t="s">
        <v>7</v>
      </c>
      <c r="V651" s="27" t="s">
        <v>7</v>
      </c>
      <c r="Y651" s="27" t="s">
        <v>8</v>
      </c>
      <c r="Z651" s="27" t="s">
        <v>7</v>
      </c>
      <c r="AA651" s="27" t="s">
        <v>8</v>
      </c>
      <c r="AH651" s="27" t="s">
        <v>7</v>
      </c>
      <c r="AI651" s="27" t="s">
        <v>8</v>
      </c>
      <c r="CX651" s="27" t="s">
        <v>7</v>
      </c>
      <c r="DA651" s="27" t="s">
        <v>8</v>
      </c>
      <c r="DB651" s="27" t="s">
        <v>7</v>
      </c>
      <c r="DC651" s="27" t="s">
        <v>8</v>
      </c>
      <c r="EH651" s="27" t="s">
        <v>7</v>
      </c>
      <c r="EI651" s="27" t="s">
        <v>8</v>
      </c>
      <c r="EJ651" s="27" t="s">
        <v>7</v>
      </c>
      <c r="EK651" s="27" t="s">
        <v>8</v>
      </c>
      <c r="EL651" s="27" t="s">
        <v>7</v>
      </c>
      <c r="EM651" s="27" t="s">
        <v>8</v>
      </c>
      <c r="EN651" s="27" t="s">
        <v>7</v>
      </c>
      <c r="EO651" s="27" t="s">
        <v>8</v>
      </c>
      <c r="ER651" s="27" t="s">
        <v>7</v>
      </c>
      <c r="ES651" s="27" t="s">
        <v>8</v>
      </c>
    </row>
    <row r="652" spans="1:160" x14ac:dyDescent="0.25">
      <c r="A652" s="7">
        <v>0.27605068902177105</v>
      </c>
      <c r="B652"/>
      <c r="C652"/>
      <c r="D652"/>
      <c r="E652"/>
      <c r="F652" s="27" t="s">
        <v>7</v>
      </c>
      <c r="I652" s="27" t="s">
        <v>8</v>
      </c>
      <c r="J652" s="27" t="s">
        <v>7</v>
      </c>
      <c r="K652" s="27" t="s">
        <v>8</v>
      </c>
      <c r="L652" s="27" t="s">
        <v>7</v>
      </c>
      <c r="M652" s="27" t="s">
        <v>8</v>
      </c>
      <c r="N652" s="27" t="s">
        <v>7</v>
      </c>
      <c r="P652" s="27" t="s">
        <v>7</v>
      </c>
      <c r="V652" s="27" t="s">
        <v>7</v>
      </c>
      <c r="W652" s="27" t="s">
        <v>8</v>
      </c>
      <c r="Y652" s="27" t="s">
        <v>8</v>
      </c>
      <c r="Z652" s="27" t="s">
        <v>7</v>
      </c>
      <c r="AA652" s="27" t="s">
        <v>8</v>
      </c>
      <c r="AH652" s="27" t="s">
        <v>7</v>
      </c>
      <c r="CX652" s="27" t="s">
        <v>7</v>
      </c>
      <c r="DA652" s="27" t="s">
        <v>8</v>
      </c>
      <c r="DB652" s="27" t="s">
        <v>7</v>
      </c>
      <c r="DC652" s="27" t="s">
        <v>8</v>
      </c>
      <c r="EH652" s="27" t="s">
        <v>7</v>
      </c>
      <c r="EI652" s="27" t="s">
        <v>8</v>
      </c>
      <c r="EJ652" s="27" t="s">
        <v>7</v>
      </c>
      <c r="EK652" s="27" t="s">
        <v>8</v>
      </c>
      <c r="EL652" s="27" t="s">
        <v>7</v>
      </c>
      <c r="EM652" s="27" t="s">
        <v>8</v>
      </c>
      <c r="EN652" s="27" t="s">
        <v>7</v>
      </c>
      <c r="EO652" s="27" t="s">
        <v>8</v>
      </c>
      <c r="ER652" s="27" t="s">
        <v>7</v>
      </c>
    </row>
    <row r="653" spans="1:160" x14ac:dyDescent="0.25">
      <c r="A653" s="7">
        <v>0.27063793041350104</v>
      </c>
      <c r="B653"/>
      <c r="C653"/>
      <c r="D653"/>
      <c r="E653"/>
      <c r="F653" s="27" t="s">
        <v>7</v>
      </c>
      <c r="I653" s="27" t="s">
        <v>8</v>
      </c>
      <c r="J653" s="27" t="s">
        <v>7</v>
      </c>
      <c r="K653" s="27" t="s">
        <v>8</v>
      </c>
      <c r="L653" s="27" t="s">
        <v>7</v>
      </c>
      <c r="M653" s="27" t="s">
        <v>8</v>
      </c>
      <c r="V653" s="27" t="s">
        <v>7</v>
      </c>
      <c r="W653" s="27" t="s">
        <v>8</v>
      </c>
      <c r="X653" s="27" t="s">
        <v>7</v>
      </c>
      <c r="Y653" s="27" t="s">
        <v>8</v>
      </c>
      <c r="Z653" s="27" t="s">
        <v>7</v>
      </c>
      <c r="AA653" s="27" t="s">
        <v>8</v>
      </c>
      <c r="CX653" s="27" t="s">
        <v>7</v>
      </c>
      <c r="DA653" s="27" t="s">
        <v>8</v>
      </c>
      <c r="DB653" s="27" t="s">
        <v>7</v>
      </c>
      <c r="EH653" s="27" t="s">
        <v>7</v>
      </c>
      <c r="EI653" s="27" t="s">
        <v>8</v>
      </c>
      <c r="EJ653" s="27" t="s">
        <v>7</v>
      </c>
      <c r="EL653" s="27" t="s">
        <v>7</v>
      </c>
      <c r="EN653" s="27" t="s">
        <v>7</v>
      </c>
    </row>
    <row r="654" spans="1:160" x14ac:dyDescent="0.25">
      <c r="A654" s="7">
        <v>0.26533130432696184</v>
      </c>
      <c r="B654"/>
      <c r="C654"/>
      <c r="D654"/>
      <c r="E654"/>
      <c r="F654" s="27" t="s">
        <v>7</v>
      </c>
      <c r="I654" s="27" t="s">
        <v>8</v>
      </c>
      <c r="J654" s="27" t="s">
        <v>7</v>
      </c>
      <c r="K654" s="27" t="s">
        <v>8</v>
      </c>
      <c r="L654" s="27" t="s">
        <v>7</v>
      </c>
      <c r="M654" s="27" t="s">
        <v>8</v>
      </c>
      <c r="V654" s="27" t="s">
        <v>7</v>
      </c>
      <c r="W654" s="27" t="s">
        <v>8</v>
      </c>
      <c r="X654" s="27" t="s">
        <v>7</v>
      </c>
      <c r="Y654" s="27" t="s">
        <v>8</v>
      </c>
      <c r="Z654" s="27" t="s">
        <v>7</v>
      </c>
      <c r="AA654" s="27" t="s">
        <v>8</v>
      </c>
      <c r="CX654" s="27" t="s">
        <v>7</v>
      </c>
      <c r="CY654" s="27" t="s">
        <v>8</v>
      </c>
      <c r="DA654" s="27" t="s">
        <v>8</v>
      </c>
      <c r="EH654" s="27" t="s">
        <v>7</v>
      </c>
      <c r="EI654" s="27" t="s">
        <v>8</v>
      </c>
    </row>
    <row r="655" spans="1:160" x14ac:dyDescent="0.25">
      <c r="A655" s="7">
        <v>0.26012872973231554</v>
      </c>
      <c r="B655"/>
      <c r="C655"/>
      <c r="D655"/>
      <c r="E655"/>
      <c r="F655" s="27" t="s">
        <v>7</v>
      </c>
      <c r="I655" s="27" t="s">
        <v>8</v>
      </c>
      <c r="J655" s="27" t="s">
        <v>7</v>
      </c>
      <c r="L655" s="27" t="s">
        <v>7</v>
      </c>
      <c r="M655" s="27" t="s">
        <v>8</v>
      </c>
      <c r="V655" s="27" t="s">
        <v>7</v>
      </c>
      <c r="W655" s="27" t="s">
        <v>8</v>
      </c>
      <c r="X655" s="27" t="s">
        <v>7</v>
      </c>
      <c r="Z655" s="27" t="s">
        <v>7</v>
      </c>
      <c r="AA655" s="27" t="s">
        <v>8</v>
      </c>
      <c r="CX655" s="27" t="s">
        <v>7</v>
      </c>
      <c r="CY655" s="27" t="s">
        <v>8</v>
      </c>
      <c r="CZ655" s="27" t="s">
        <v>7</v>
      </c>
      <c r="DA655" s="27" t="s">
        <v>8</v>
      </c>
      <c r="EH655" s="27" t="s">
        <v>7</v>
      </c>
    </row>
    <row r="656" spans="1:160" x14ac:dyDescent="0.25">
      <c r="A656" s="7">
        <v>0.25502816640423093</v>
      </c>
      <c r="B656"/>
      <c r="C656"/>
      <c r="D656"/>
      <c r="E656"/>
      <c r="F656" s="27" t="s">
        <v>7</v>
      </c>
      <c r="I656" s="27" t="s">
        <v>8</v>
      </c>
      <c r="L656" s="27" t="s">
        <v>7</v>
      </c>
      <c r="V656" s="27" t="s">
        <v>7</v>
      </c>
      <c r="W656" s="27" t="s">
        <v>8</v>
      </c>
      <c r="Z656" s="27" t="s">
        <v>7</v>
      </c>
      <c r="CX656" s="27" t="s">
        <v>7</v>
      </c>
      <c r="CY656" s="27" t="s">
        <v>8</v>
      </c>
      <c r="CZ656" s="27" t="s">
        <v>7</v>
      </c>
      <c r="DA656" s="27" t="s">
        <v>8</v>
      </c>
    </row>
    <row r="657" spans="1:105" x14ac:dyDescent="0.25">
      <c r="A657" s="7">
        <v>0.25002761412179503</v>
      </c>
      <c r="B657"/>
      <c r="C657"/>
      <c r="D657"/>
      <c r="E657"/>
      <c r="F657" s="27" t="s">
        <v>7</v>
      </c>
      <c r="I657" s="27" t="s">
        <v>8</v>
      </c>
      <c r="V657" s="27" t="s">
        <v>7</v>
      </c>
      <c r="W657" s="27" t="s">
        <v>8</v>
      </c>
      <c r="CX657" s="27" t="s">
        <v>7</v>
      </c>
      <c r="CZ657" s="27" t="s">
        <v>7</v>
      </c>
      <c r="DA657" s="27" t="s">
        <v>8</v>
      </c>
    </row>
    <row r="658" spans="1:105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  <c r="I658" s="27" t="s">
        <v>8</v>
      </c>
      <c r="V658" s="27" t="s">
        <v>7</v>
      </c>
      <c r="CZ658" s="27" t="s">
        <v>7</v>
      </c>
      <c r="DA658" s="27" t="s">
        <v>8</v>
      </c>
    </row>
    <row r="659" spans="1:105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  <c r="H659" s="27" t="s">
        <v>7</v>
      </c>
      <c r="I659" s="27" t="s">
        <v>8</v>
      </c>
      <c r="CZ659" s="27" t="s">
        <v>7</v>
      </c>
      <c r="DA659" s="27" t="s">
        <v>8</v>
      </c>
    </row>
    <row r="660" spans="1:105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  <c r="H660" s="27" t="s">
        <v>7</v>
      </c>
      <c r="I660" s="27" t="s">
        <v>8</v>
      </c>
      <c r="CZ660" s="27" t="s">
        <v>7</v>
      </c>
    </row>
    <row r="661" spans="1:105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  <c r="H661" s="27" t="s">
        <v>7</v>
      </c>
      <c r="I661" s="27" t="s">
        <v>8</v>
      </c>
    </row>
    <row r="662" spans="1:105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  <c r="H662" s="27" t="s">
        <v>7</v>
      </c>
      <c r="I662" s="27" t="s">
        <v>8</v>
      </c>
    </row>
    <row r="663" spans="1:105" x14ac:dyDescent="0.25">
      <c r="A663" s="7">
        <v>0.22201736609644623</v>
      </c>
      <c r="B663"/>
      <c r="C663"/>
      <c r="D663"/>
      <c r="E663"/>
      <c r="F663" s="27" t="s">
        <v>7</v>
      </c>
      <c r="H663" s="27" t="s">
        <v>7</v>
      </c>
      <c r="I663" s="27" t="s">
        <v>8</v>
      </c>
    </row>
    <row r="664" spans="1:105" x14ac:dyDescent="0.25">
      <c r="A664" s="7">
        <v>0.21766408440828061</v>
      </c>
      <c r="B664"/>
      <c r="C664"/>
      <c r="D664"/>
      <c r="E664"/>
      <c r="H664" s="27" t="s">
        <v>7</v>
      </c>
    </row>
    <row r="665" spans="1:105" x14ac:dyDescent="0.25">
      <c r="A665" s="7">
        <v>0.21339616118458882</v>
      </c>
      <c r="B665"/>
      <c r="C665"/>
      <c r="D665"/>
      <c r="E665"/>
    </row>
    <row r="666" spans="1:105" x14ac:dyDescent="0.25">
      <c r="A666" s="7">
        <v>0.20921192272998904</v>
      </c>
      <c r="B666"/>
      <c r="C666"/>
      <c r="D666"/>
      <c r="E666"/>
    </row>
    <row r="667" spans="1:105" x14ac:dyDescent="0.25">
      <c r="A667" s="7">
        <v>0.20510972816665593</v>
      </c>
      <c r="B667"/>
      <c r="C667"/>
      <c r="D667"/>
      <c r="E667"/>
    </row>
    <row r="668" spans="1:105" x14ac:dyDescent="0.25">
      <c r="A668" s="7">
        <v>0.20108796879083912</v>
      </c>
      <c r="B668"/>
      <c r="C668"/>
      <c r="D668"/>
      <c r="E668"/>
    </row>
    <row r="669" spans="1:105" x14ac:dyDescent="0.25">
      <c r="A669" s="7">
        <v>0.19714506744199917</v>
      </c>
      <c r="B669"/>
      <c r="C669"/>
      <c r="D669"/>
      <c r="E669"/>
    </row>
    <row r="670" spans="1:105" x14ac:dyDescent="0.25">
      <c r="A670" s="7">
        <v>0.19327947788431293</v>
      </c>
      <c r="B670"/>
      <c r="C670"/>
      <c r="D670"/>
      <c r="E670"/>
    </row>
    <row r="671" spans="1:105" x14ac:dyDescent="0.25">
      <c r="A671" s="7">
        <v>0.18948968420030682</v>
      </c>
      <c r="B671"/>
      <c r="C671"/>
      <c r="D671"/>
      <c r="E671"/>
    </row>
    <row r="672" spans="1:10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66" operator="equal">
      <formula>$U$1</formula>
    </cfRule>
    <cfRule type="cellIs" dxfId="89" priority="1067" operator="equal">
      <formula>$S$1</formula>
    </cfRule>
  </conditionalFormatting>
  <conditionalFormatting sqref="D27">
    <cfRule type="cellIs" dxfId="88" priority="1064" operator="equal">
      <formula>$S$1</formula>
    </cfRule>
    <cfRule type="cellIs" dxfId="87" priority="1065" operator="equal">
      <formula>$U$1</formula>
    </cfRule>
  </conditionalFormatting>
  <conditionalFormatting sqref="C164">
    <cfRule type="cellIs" dxfId="86" priority="1062" operator="equal">
      <formula>$U$1</formula>
    </cfRule>
    <cfRule type="cellIs" dxfId="85" priority="1063" operator="equal">
      <formula>$S$1</formula>
    </cfRule>
  </conditionalFormatting>
  <conditionalFormatting sqref="D164">
    <cfRule type="cellIs" dxfId="84" priority="1060" operator="equal">
      <formula>$S$1</formula>
    </cfRule>
    <cfRule type="cellIs" dxfId="83" priority="1061" operator="equal">
      <formula>$U$1</formula>
    </cfRule>
  </conditionalFormatting>
  <conditionalFormatting sqref="C55">
    <cfRule type="cellIs" dxfId="82" priority="1058" operator="equal">
      <formula>$U$1</formula>
    </cfRule>
    <cfRule type="cellIs" dxfId="81" priority="1059" operator="equal">
      <formula>$S$1</formula>
    </cfRule>
  </conditionalFormatting>
  <conditionalFormatting sqref="D55">
    <cfRule type="cellIs" dxfId="80" priority="1056" operator="equal">
      <formula>$S$1</formula>
    </cfRule>
    <cfRule type="cellIs" dxfId="79" priority="1057" operator="equal">
      <formula>$U$1</formula>
    </cfRule>
  </conditionalFormatting>
  <conditionalFormatting sqref="C89">
    <cfRule type="cellIs" dxfId="78" priority="1054" operator="equal">
      <formula>$U$1</formula>
    </cfRule>
    <cfRule type="cellIs" dxfId="77" priority="1055" operator="equal">
      <formula>$S$1</formula>
    </cfRule>
  </conditionalFormatting>
  <conditionalFormatting sqref="D89">
    <cfRule type="cellIs" dxfId="76" priority="1052" operator="equal">
      <formula>$S$1</formula>
    </cfRule>
    <cfRule type="cellIs" dxfId="75" priority="1053" operator="equal">
      <formula>$U$1</formula>
    </cfRule>
  </conditionalFormatting>
  <conditionalFormatting sqref="C136">
    <cfRule type="cellIs" dxfId="74" priority="1050" operator="equal">
      <formula>$U$1</formula>
    </cfRule>
    <cfRule type="cellIs" dxfId="73" priority="1051" operator="equal">
      <formula>$S$1</formula>
    </cfRule>
  </conditionalFormatting>
  <conditionalFormatting sqref="D136">
    <cfRule type="cellIs" dxfId="72" priority="1048" operator="equal">
      <formula>$S$1</formula>
    </cfRule>
    <cfRule type="cellIs" dxfId="71" priority="1049" operator="equal">
      <formula>$U$1</formula>
    </cfRule>
  </conditionalFormatting>
  <conditionalFormatting sqref="C1">
    <cfRule type="cellIs" dxfId="70" priority="104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R255" sqref="FR25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$A$254</v>
      </c>
      <c r="D111" s="1" t="str">
        <f>ADDRESS(C121-1,D121,1,1)</f>
        <v>$FR$254</v>
      </c>
      <c r="E111"/>
    </row>
    <row r="112" spans="1:5" x14ac:dyDescent="0.25">
      <c r="A112" s="30">
        <v>515.50191262726139</v>
      </c>
      <c r="C112" s="1" t="str">
        <f>ADDRESS(C121,1,1,1)</f>
        <v>$A$255</v>
      </c>
      <c r="D112" s="1" t="str">
        <f>ADDRESS(C121,D121-1,1,1)</f>
        <v>$FQ$255</v>
      </c>
      <c r="E112"/>
    </row>
    <row r="113" spans="1:5" x14ac:dyDescent="0.25">
      <c r="A113" s="30">
        <v>490.95420250215363</v>
      </c>
      <c r="C113" s="1" t="str">
        <f>ADDRESS(C121+1,1,1,1)</f>
        <v>$A$256</v>
      </c>
      <c r="D113" s="1" t="str">
        <f>ADDRESS(C121-1,D121+1,1,1)</f>
        <v>$FS$254</v>
      </c>
    </row>
    <row r="114" spans="1:5" x14ac:dyDescent="0.25">
      <c r="A114" s="30">
        <v>467.57543095443202</v>
      </c>
      <c r="C114" s="1" t="str">
        <f>ADDRESS(C121,D121,1,1)</f>
        <v>$FR$255</v>
      </c>
      <c r="D114" s="1" t="str">
        <f>ADDRESS(C121+1,D121+1,1,1)</f>
        <v>$FS$256</v>
      </c>
    </row>
    <row r="115" spans="1:5" x14ac:dyDescent="0.25">
      <c r="A115" s="30">
        <v>445.30993424231622</v>
      </c>
      <c r="C115" s="1" t="str">
        <f>ADDRESS(C121+1,D121,1,1)</f>
        <v>$FR$256</v>
      </c>
    </row>
    <row r="116" spans="1:5" x14ac:dyDescent="0.25">
      <c r="A116" s="30">
        <v>424.10469927839637</v>
      </c>
      <c r="C116" s="1">
        <f>C117-1</f>
        <v>254</v>
      </c>
    </row>
    <row r="117" spans="1:5" x14ac:dyDescent="0.25">
      <c r="A117" s="30">
        <v>403.9092374079965</v>
      </c>
      <c r="C117" s="1">
        <f>C121</f>
        <v>255</v>
      </c>
      <c r="D117" s="1">
        <f>D121</f>
        <v>174</v>
      </c>
    </row>
    <row r="118" spans="1:5" x14ac:dyDescent="0.25">
      <c r="A118" s="30">
        <v>384.6754641980919</v>
      </c>
      <c r="C118" s="1">
        <f>C117+1</f>
        <v>256</v>
      </c>
      <c r="D118" s="1">
        <f>D117+1</f>
        <v>175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255</v>
      </c>
      <c r="D121" s="19">
        <v>174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R255</v>
      </c>
      <c r="D123" s="1" t="str">
        <f>"C"&amp;D121</f>
        <v>C174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0.48101709809096732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03" x14ac:dyDescent="0.25">
      <c r="A209" s="30">
        <v>4.5380394939082018</v>
      </c>
      <c r="E209"/>
    </row>
    <row r="210" spans="1:103" x14ac:dyDescent="0.25">
      <c r="A210" s="30">
        <v>4.3219423751506678</v>
      </c>
      <c r="C210"/>
      <c r="E210"/>
    </row>
    <row r="211" spans="1:103" x14ac:dyDescent="0.25">
      <c r="A211" s="30">
        <v>4.1161355953815884</v>
      </c>
      <c r="E211"/>
    </row>
    <row r="212" spans="1:103" x14ac:dyDescent="0.25">
      <c r="A212" s="30">
        <v>3.9201291384586554</v>
      </c>
      <c r="E212"/>
    </row>
    <row r="213" spans="1:103" x14ac:dyDescent="0.25">
      <c r="A213" s="30">
        <v>3.7334563223415764</v>
      </c>
      <c r="E213"/>
    </row>
    <row r="214" spans="1:103" x14ac:dyDescent="0.25">
      <c r="A214" s="30">
        <v>3.5556726879443583</v>
      </c>
      <c r="E214"/>
    </row>
    <row r="215" spans="1:103" x14ac:dyDescent="0.25">
      <c r="A215" s="30">
        <v>3.3863549408993889</v>
      </c>
      <c r="E215"/>
    </row>
    <row r="216" spans="1:103" x14ac:dyDescent="0.25">
      <c r="A216" s="30">
        <v>3.2250999437137038</v>
      </c>
      <c r="E216"/>
    </row>
    <row r="217" spans="1:103" x14ac:dyDescent="0.25">
      <c r="A217" s="30">
        <v>3.0715237559178128</v>
      </c>
      <c r="E217"/>
    </row>
    <row r="218" spans="1:103" x14ac:dyDescent="0.25">
      <c r="A218" s="30">
        <v>2.9252607199217264</v>
      </c>
      <c r="E218"/>
    </row>
    <row r="219" spans="1:103" x14ac:dyDescent="0.25">
      <c r="A219" s="30">
        <v>2.7859625904016441</v>
      </c>
      <c r="E219"/>
      <c r="CK219" s="27" t="s">
        <v>8</v>
      </c>
    </row>
    <row r="220" spans="1:103" x14ac:dyDescent="0.25">
      <c r="A220" s="30">
        <v>2.6532977051444226</v>
      </c>
      <c r="E220"/>
      <c r="CK220" s="27" t="s">
        <v>8</v>
      </c>
      <c r="CL220" s="27" t="s">
        <v>7</v>
      </c>
    </row>
    <row r="221" spans="1:103" x14ac:dyDescent="0.25">
      <c r="A221" s="30">
        <v>2.5269501953756404</v>
      </c>
      <c r="E221"/>
      <c r="CK221" s="27" t="s">
        <v>8</v>
      </c>
      <c r="CL221" s="27" t="s">
        <v>7</v>
      </c>
    </row>
    <row r="222" spans="1:103" x14ac:dyDescent="0.25">
      <c r="A222" s="30">
        <v>2.4066192336910861</v>
      </c>
      <c r="E222"/>
      <c r="CK222" s="27" t="s">
        <v>8</v>
      </c>
      <c r="CL222" s="27" t="s">
        <v>7</v>
      </c>
      <c r="CO222" s="27" t="s">
        <v>8</v>
      </c>
      <c r="CW222" s="27" t="s">
        <v>8</v>
      </c>
    </row>
    <row r="223" spans="1:103" x14ac:dyDescent="0.25">
      <c r="A223" s="30">
        <v>2.2920183178010345</v>
      </c>
      <c r="E223"/>
      <c r="CK223" s="27" t="s">
        <v>8</v>
      </c>
      <c r="CL223" s="27" t="s">
        <v>7</v>
      </c>
      <c r="CM223" s="27" t="s">
        <v>8</v>
      </c>
      <c r="CO223" s="27" t="s">
        <v>8</v>
      </c>
      <c r="CP223" s="27" t="s">
        <v>7</v>
      </c>
      <c r="CW223" s="27" t="s">
        <v>8</v>
      </c>
      <c r="CX223" s="27" t="s">
        <v>7</v>
      </c>
    </row>
    <row r="224" spans="1:103" x14ac:dyDescent="0.25">
      <c r="A224" s="30">
        <v>2.1828745883819374</v>
      </c>
      <c r="E224"/>
      <c r="CI224" s="27" t="s">
        <v>8</v>
      </c>
      <c r="CK224" s="27" t="s">
        <v>8</v>
      </c>
      <c r="CL224" s="27" t="s">
        <v>7</v>
      </c>
      <c r="CM224" s="27" t="s">
        <v>8</v>
      </c>
      <c r="CN224" s="27" t="s">
        <v>7</v>
      </c>
      <c r="CO224" s="27" t="s">
        <v>8</v>
      </c>
      <c r="CP224" s="27" t="s">
        <v>7</v>
      </c>
      <c r="CW224" s="27" t="s">
        <v>8</v>
      </c>
      <c r="CX224" s="27" t="s">
        <v>7</v>
      </c>
      <c r="CY224" s="27" t="s">
        <v>8</v>
      </c>
    </row>
    <row r="225" spans="1:170" x14ac:dyDescent="0.25">
      <c r="A225" s="30">
        <v>2.0789281794113688</v>
      </c>
      <c r="E225"/>
      <c r="CI225" s="27" t="s">
        <v>8</v>
      </c>
      <c r="CJ225" s="27" t="s">
        <v>7</v>
      </c>
      <c r="CK225" s="27" t="s">
        <v>8</v>
      </c>
      <c r="CL225" s="27" t="s">
        <v>7</v>
      </c>
      <c r="CM225" s="27" t="s">
        <v>8</v>
      </c>
      <c r="CN225" s="27" t="s">
        <v>7</v>
      </c>
      <c r="CO225" s="27" t="s">
        <v>8</v>
      </c>
      <c r="CP225" s="27" t="s">
        <v>7</v>
      </c>
      <c r="CQ225" s="27" t="s">
        <v>8</v>
      </c>
      <c r="CW225" s="27" t="s">
        <v>8</v>
      </c>
      <c r="CX225" s="27" t="s">
        <v>7</v>
      </c>
      <c r="CY225" s="27" t="s">
        <v>8</v>
      </c>
      <c r="CZ225" s="27" t="s">
        <v>7</v>
      </c>
    </row>
    <row r="226" spans="1:170" x14ac:dyDescent="0.25">
      <c r="A226" s="30">
        <v>1.9799315994393987</v>
      </c>
      <c r="E226"/>
      <c r="CI226" s="27" t="s">
        <v>8</v>
      </c>
      <c r="CJ226" s="27" t="s">
        <v>7</v>
      </c>
      <c r="CK226" s="27" t="s">
        <v>8</v>
      </c>
      <c r="CL226" s="27" t="s">
        <v>7</v>
      </c>
      <c r="CN226" s="27" t="s">
        <v>7</v>
      </c>
      <c r="CO226" s="27" t="s">
        <v>8</v>
      </c>
      <c r="CP226" s="27" t="s">
        <v>7</v>
      </c>
      <c r="CQ226" s="27" t="s">
        <v>8</v>
      </c>
      <c r="CR226" s="27" t="s">
        <v>7</v>
      </c>
      <c r="CW226" s="27" t="s">
        <v>8</v>
      </c>
      <c r="CX226" s="27" t="s">
        <v>7</v>
      </c>
      <c r="CY226" s="27" t="s">
        <v>8</v>
      </c>
      <c r="CZ226" s="27" t="s">
        <v>7</v>
      </c>
      <c r="DA226" s="27" t="s">
        <v>8</v>
      </c>
    </row>
    <row r="227" spans="1:170" x14ac:dyDescent="0.25">
      <c r="A227" s="30">
        <v>1.8856491423232367</v>
      </c>
      <c r="E227"/>
      <c r="CI227" s="27" t="s">
        <v>8</v>
      </c>
      <c r="CJ227" s="27" t="s">
        <v>7</v>
      </c>
      <c r="CK227" s="27" t="s">
        <v>8</v>
      </c>
      <c r="CN227" s="27" t="s">
        <v>7</v>
      </c>
      <c r="CP227" s="27" t="s">
        <v>7</v>
      </c>
      <c r="CQ227" s="27" t="s">
        <v>8</v>
      </c>
      <c r="CR227" s="27" t="s">
        <v>7</v>
      </c>
      <c r="CU227" s="27" t="s">
        <v>8</v>
      </c>
      <c r="CW227" s="27" t="s">
        <v>8</v>
      </c>
      <c r="CX227" s="27" t="s">
        <v>7</v>
      </c>
      <c r="CZ227" s="27" t="s">
        <v>7</v>
      </c>
      <c r="DA227" s="27" t="s">
        <v>8</v>
      </c>
      <c r="DB227" s="27" t="s">
        <v>7</v>
      </c>
    </row>
    <row r="228" spans="1:170" x14ac:dyDescent="0.25">
      <c r="A228" s="30">
        <v>1.7958563260221301</v>
      </c>
      <c r="C228" s="7"/>
      <c r="D228"/>
      <c r="E228"/>
      <c r="BO228" s="27" t="s">
        <v>8</v>
      </c>
      <c r="CE228" s="27" t="s">
        <v>8</v>
      </c>
      <c r="CI228" s="27" t="s">
        <v>8</v>
      </c>
      <c r="CJ228" s="27" t="s">
        <v>7</v>
      </c>
      <c r="CK228" s="27" t="s">
        <v>8</v>
      </c>
      <c r="CP228" s="27" t="s">
        <v>7</v>
      </c>
      <c r="CQ228" s="27" t="s">
        <v>8</v>
      </c>
      <c r="CR228" s="27" t="s">
        <v>7</v>
      </c>
      <c r="CU228" s="27" t="s">
        <v>8</v>
      </c>
      <c r="CV228" s="27" t="s">
        <v>7</v>
      </c>
      <c r="CW228" s="27" t="s">
        <v>8</v>
      </c>
      <c r="CZ228" s="27" t="s">
        <v>7</v>
      </c>
      <c r="DA228" s="27" t="s">
        <v>8</v>
      </c>
      <c r="DB228" s="27" t="s">
        <v>7</v>
      </c>
      <c r="FC228" s="27" t="s">
        <v>8</v>
      </c>
    </row>
    <row r="229" spans="1:170" x14ac:dyDescent="0.25">
      <c r="A229" s="30">
        <v>1.7103393581163142</v>
      </c>
      <c r="E229"/>
      <c r="BO229" s="27" t="s">
        <v>8</v>
      </c>
      <c r="BP229" s="27" t="s">
        <v>7</v>
      </c>
      <c r="CE229" s="27" t="s">
        <v>8</v>
      </c>
      <c r="CF229" s="27" t="s">
        <v>7</v>
      </c>
      <c r="CI229" s="27" t="s">
        <v>8</v>
      </c>
      <c r="CJ229" s="27" t="s">
        <v>7</v>
      </c>
      <c r="CP229" s="27" t="s">
        <v>7</v>
      </c>
      <c r="CR229" s="27" t="s">
        <v>7</v>
      </c>
      <c r="CU229" s="27" t="s">
        <v>8</v>
      </c>
      <c r="CV229" s="27" t="s">
        <v>7</v>
      </c>
      <c r="CW229" s="27" t="s">
        <v>8</v>
      </c>
      <c r="CZ229" s="27" t="s">
        <v>7</v>
      </c>
      <c r="DA229" s="27" t="s">
        <v>8</v>
      </c>
      <c r="DB229" s="27" t="s">
        <v>7</v>
      </c>
      <c r="FC229" s="27" t="s">
        <v>8</v>
      </c>
      <c r="FD229" s="27" t="s">
        <v>7</v>
      </c>
    </row>
    <row r="230" spans="1:170" x14ac:dyDescent="0.25">
      <c r="A230" s="30">
        <v>1.628894626777442</v>
      </c>
      <c r="E230"/>
      <c r="BO230" s="27" t="s">
        <v>8</v>
      </c>
      <c r="BP230" s="27" t="s">
        <v>7</v>
      </c>
      <c r="CC230" s="27" t="s">
        <v>8</v>
      </c>
      <c r="CE230" s="27" t="s">
        <v>8</v>
      </c>
      <c r="CF230" s="27" t="s">
        <v>7</v>
      </c>
      <c r="CI230" s="27" t="s">
        <v>8</v>
      </c>
      <c r="CR230" s="27" t="s">
        <v>7</v>
      </c>
      <c r="CU230" s="27" t="s">
        <v>8</v>
      </c>
      <c r="CV230" s="27" t="s">
        <v>7</v>
      </c>
      <c r="CW230" s="27" t="s">
        <v>8</v>
      </c>
      <c r="CZ230" s="27" t="s">
        <v>7</v>
      </c>
      <c r="DA230" s="27" t="s">
        <v>8</v>
      </c>
      <c r="DB230" s="27" t="s">
        <v>7</v>
      </c>
      <c r="FC230" s="27" t="s">
        <v>8</v>
      </c>
      <c r="FD230" s="27" t="s">
        <v>7</v>
      </c>
    </row>
    <row r="231" spans="1:170" x14ac:dyDescent="0.25">
      <c r="A231" s="30">
        <v>1.5513282159785162</v>
      </c>
      <c r="C231"/>
      <c r="D231"/>
      <c r="E231"/>
      <c r="BO231" s="27" t="s">
        <v>8</v>
      </c>
      <c r="BP231" s="27" t="s">
        <v>7</v>
      </c>
      <c r="CC231" s="27" t="s">
        <v>8</v>
      </c>
      <c r="CD231" s="27" t="s">
        <v>7</v>
      </c>
      <c r="CE231" s="27" t="s">
        <v>8</v>
      </c>
      <c r="CF231" s="27" t="s">
        <v>7</v>
      </c>
      <c r="CG231" s="27" t="s">
        <v>8</v>
      </c>
      <c r="CI231" s="27" t="s">
        <v>8</v>
      </c>
      <c r="CR231" s="27" t="s">
        <v>7</v>
      </c>
      <c r="CU231" s="27" t="s">
        <v>8</v>
      </c>
      <c r="CV231" s="27" t="s">
        <v>7</v>
      </c>
      <c r="CZ231" s="27" t="s">
        <v>7</v>
      </c>
      <c r="DB231" s="27" t="s">
        <v>7</v>
      </c>
      <c r="FC231" s="27" t="s">
        <v>8</v>
      </c>
      <c r="FD231" s="27" t="s">
        <v>7</v>
      </c>
    </row>
    <row r="232" spans="1:170" x14ac:dyDescent="0.25">
      <c r="A232" s="30">
        <v>1.477455443789063</v>
      </c>
      <c r="E232"/>
      <c r="BO232" s="27" t="s">
        <v>8</v>
      </c>
      <c r="BP232" s="27" t="s">
        <v>7</v>
      </c>
      <c r="CC232" s="27" t="s">
        <v>8</v>
      </c>
      <c r="CD232" s="27" t="s">
        <v>7</v>
      </c>
      <c r="CE232" s="27" t="s">
        <v>8</v>
      </c>
      <c r="CF232" s="27" t="s">
        <v>7</v>
      </c>
      <c r="CG232" s="27" t="s">
        <v>8</v>
      </c>
      <c r="CH232" s="27" t="s">
        <v>7</v>
      </c>
      <c r="CI232" s="27" t="s">
        <v>8</v>
      </c>
      <c r="CR232" s="27" t="s">
        <v>7</v>
      </c>
      <c r="CU232" s="27" t="s">
        <v>8</v>
      </c>
      <c r="DB232" s="27" t="s">
        <v>7</v>
      </c>
      <c r="FC232" s="27" t="s">
        <v>8</v>
      </c>
      <c r="FD232" s="27" t="s">
        <v>7</v>
      </c>
    </row>
    <row r="233" spans="1:170" x14ac:dyDescent="0.25">
      <c r="A233" s="30">
        <v>1.4071004226562505</v>
      </c>
      <c r="E233"/>
      <c r="BO233" s="27" t="s">
        <v>8</v>
      </c>
      <c r="BP233" s="27" t="s">
        <v>7</v>
      </c>
      <c r="CC233" s="27" t="s">
        <v>8</v>
      </c>
      <c r="CD233" s="27" t="s">
        <v>7</v>
      </c>
      <c r="CE233" s="27" t="s">
        <v>8</v>
      </c>
      <c r="CF233" s="27" t="s">
        <v>7</v>
      </c>
      <c r="CG233" s="27" t="s">
        <v>8</v>
      </c>
      <c r="CH233" s="27" t="s">
        <v>7</v>
      </c>
      <c r="CI233" s="27" t="s">
        <v>8</v>
      </c>
      <c r="CR233" s="27" t="s">
        <v>7</v>
      </c>
      <c r="CS233" s="27" t="s">
        <v>8</v>
      </c>
      <c r="CU233" s="27" t="s">
        <v>8</v>
      </c>
      <c r="DB233" s="27" t="s">
        <v>7</v>
      </c>
      <c r="EM233" s="27" t="s">
        <v>8</v>
      </c>
      <c r="FC233" s="27" t="s">
        <v>8</v>
      </c>
      <c r="FD233" s="27" t="s">
        <v>7</v>
      </c>
      <c r="FG233" s="27" t="s">
        <v>8</v>
      </c>
    </row>
    <row r="234" spans="1:170" x14ac:dyDescent="0.25">
      <c r="A234" s="30">
        <v>1.3400956406250004</v>
      </c>
      <c r="E234"/>
      <c r="BO234" s="27" t="s">
        <v>8</v>
      </c>
      <c r="BP234" s="27" t="s">
        <v>7</v>
      </c>
      <c r="CC234" s="27" t="s">
        <v>8</v>
      </c>
      <c r="CD234" s="27" t="s">
        <v>7</v>
      </c>
      <c r="CE234" s="27" t="s">
        <v>8</v>
      </c>
      <c r="CF234" s="27" t="s">
        <v>7</v>
      </c>
      <c r="CH234" s="27" t="s">
        <v>7</v>
      </c>
      <c r="CR234" s="27" t="s">
        <v>7</v>
      </c>
      <c r="CS234" s="27" t="s">
        <v>8</v>
      </c>
      <c r="CT234" s="27" t="s">
        <v>7</v>
      </c>
      <c r="CU234" s="27" t="s">
        <v>8</v>
      </c>
      <c r="DB234" s="27" t="s">
        <v>7</v>
      </c>
      <c r="EM234" s="27" t="s">
        <v>8</v>
      </c>
      <c r="EN234" s="27" t="s">
        <v>7</v>
      </c>
      <c r="FC234" s="27" t="s">
        <v>8</v>
      </c>
      <c r="FD234" s="27" t="s">
        <v>7</v>
      </c>
      <c r="FG234" s="27" t="s">
        <v>8</v>
      </c>
      <c r="FH234" s="27" t="s">
        <v>7</v>
      </c>
    </row>
    <row r="235" spans="1:170" x14ac:dyDescent="0.25">
      <c r="A235" s="30">
        <v>1.2762815625000004</v>
      </c>
      <c r="C235"/>
      <c r="E235"/>
      <c r="BO235" s="27" t="s">
        <v>8</v>
      </c>
      <c r="BP235" s="27" t="s">
        <v>7</v>
      </c>
      <c r="CC235" s="27" t="s">
        <v>8</v>
      </c>
      <c r="CD235" s="27" t="s">
        <v>7</v>
      </c>
      <c r="CE235" s="27" t="s">
        <v>8</v>
      </c>
      <c r="CR235" s="27" t="s">
        <v>7</v>
      </c>
      <c r="CS235" s="27" t="s">
        <v>8</v>
      </c>
      <c r="CT235" s="27" t="s">
        <v>7</v>
      </c>
      <c r="CU235" s="27" t="s">
        <v>8</v>
      </c>
      <c r="DB235" s="27" t="s">
        <v>7</v>
      </c>
      <c r="EM235" s="27" t="s">
        <v>8</v>
      </c>
      <c r="EN235" s="27" t="s">
        <v>7</v>
      </c>
      <c r="FC235" s="27" t="s">
        <v>8</v>
      </c>
      <c r="FD235" s="27" t="s">
        <v>7</v>
      </c>
      <c r="FG235" s="27" t="s">
        <v>8</v>
      </c>
      <c r="FH235" s="27" t="s">
        <v>7</v>
      </c>
    </row>
    <row r="236" spans="1:170" x14ac:dyDescent="0.25">
      <c r="A236" s="30">
        <v>1.2155062500000002</v>
      </c>
      <c r="E236"/>
      <c r="BO236" s="27" t="s">
        <v>8</v>
      </c>
      <c r="BP236" s="27" t="s">
        <v>7</v>
      </c>
      <c r="BQ236" s="27" t="s">
        <v>8</v>
      </c>
      <c r="BS236" s="27" t="s">
        <v>8</v>
      </c>
      <c r="CC236" s="27" t="s">
        <v>8</v>
      </c>
      <c r="CD236" s="27" t="s">
        <v>7</v>
      </c>
      <c r="CE236" s="27" t="s">
        <v>8</v>
      </c>
      <c r="CR236" s="27" t="s">
        <v>7</v>
      </c>
      <c r="CS236" s="27" t="s">
        <v>8</v>
      </c>
      <c r="CT236" s="27" t="s">
        <v>7</v>
      </c>
      <c r="DB236" s="27" t="s">
        <v>7</v>
      </c>
      <c r="EM236" s="27" t="s">
        <v>8</v>
      </c>
      <c r="EN236" s="27" t="s">
        <v>7</v>
      </c>
      <c r="EY236" s="27" t="s">
        <v>8</v>
      </c>
      <c r="FC236" s="27" t="s">
        <v>8</v>
      </c>
      <c r="FD236" s="27" t="s">
        <v>7</v>
      </c>
      <c r="FG236" s="27" t="s">
        <v>8</v>
      </c>
      <c r="FH236" s="27" t="s">
        <v>7</v>
      </c>
      <c r="FM236" s="27" t="s">
        <v>8</v>
      </c>
    </row>
    <row r="237" spans="1:17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O237" s="27" t="s">
        <v>8</v>
      </c>
      <c r="BP237" s="27" t="s">
        <v>7</v>
      </c>
      <c r="BQ237" s="27" t="s">
        <v>8</v>
      </c>
      <c r="BR237" s="27" t="s">
        <v>7</v>
      </c>
      <c r="BS237" s="27" t="s">
        <v>8</v>
      </c>
      <c r="BT237" s="27" t="s">
        <v>7</v>
      </c>
      <c r="CA237" s="27" t="s">
        <v>8</v>
      </c>
      <c r="CC237" s="27" t="s">
        <v>8</v>
      </c>
      <c r="CD237" s="27" t="s">
        <v>7</v>
      </c>
      <c r="CR237" s="27" t="s">
        <v>7</v>
      </c>
      <c r="DB237" s="27" t="s">
        <v>7</v>
      </c>
      <c r="EK237" s="27" t="s">
        <v>8</v>
      </c>
      <c r="EM237" s="27" t="s">
        <v>8</v>
      </c>
      <c r="EN237" s="27" t="s">
        <v>7</v>
      </c>
      <c r="EY237" s="27" t="s">
        <v>8</v>
      </c>
      <c r="EZ237" s="27" t="s">
        <v>7</v>
      </c>
      <c r="FA237" s="27" t="s">
        <v>8</v>
      </c>
      <c r="FC237" s="27" t="s">
        <v>8</v>
      </c>
      <c r="FD237" s="27" t="s">
        <v>7</v>
      </c>
      <c r="FG237" s="27" t="s">
        <v>8</v>
      </c>
      <c r="FH237" s="27" t="s">
        <v>7</v>
      </c>
      <c r="FM237" s="27" t="s">
        <v>8</v>
      </c>
      <c r="FN237" s="27" t="s">
        <v>7</v>
      </c>
    </row>
    <row r="238" spans="1:170" x14ac:dyDescent="0.25">
      <c r="A238" s="30">
        <v>1.1025</v>
      </c>
      <c r="E238"/>
      <c r="BO238" s="27" t="s">
        <v>8</v>
      </c>
      <c r="BP238" s="27" t="s">
        <v>7</v>
      </c>
      <c r="BQ238" s="27" t="s">
        <v>8</v>
      </c>
      <c r="BR238" s="27" t="s">
        <v>7</v>
      </c>
      <c r="BS238" s="27" t="s">
        <v>8</v>
      </c>
      <c r="BT238" s="27" t="s">
        <v>7</v>
      </c>
      <c r="CA238" s="27" t="s">
        <v>8</v>
      </c>
      <c r="CB238" s="27" t="s">
        <v>7</v>
      </c>
      <c r="CC238" s="27" t="s">
        <v>8</v>
      </c>
      <c r="DB238" s="27" t="s">
        <v>7</v>
      </c>
      <c r="DC238" s="27" t="s">
        <v>8</v>
      </c>
      <c r="EC238" s="27" t="s">
        <v>8</v>
      </c>
      <c r="EG238" s="27" t="s">
        <v>8</v>
      </c>
      <c r="EK238" s="27" t="s">
        <v>8</v>
      </c>
      <c r="EL238" s="27" t="s">
        <v>7</v>
      </c>
      <c r="EM238" s="27" t="s">
        <v>8</v>
      </c>
      <c r="EN238" s="27" t="s">
        <v>7</v>
      </c>
      <c r="ES238" s="27" t="s">
        <v>8</v>
      </c>
      <c r="EU238" s="27" t="s">
        <v>8</v>
      </c>
      <c r="EW238" s="27" t="s">
        <v>8</v>
      </c>
      <c r="EY238" s="27" t="s">
        <v>8</v>
      </c>
      <c r="EZ238" s="27" t="s">
        <v>7</v>
      </c>
      <c r="FA238" s="27" t="s">
        <v>8</v>
      </c>
      <c r="FB238" s="27" t="s">
        <v>7</v>
      </c>
      <c r="FC238" s="27" t="s">
        <v>8</v>
      </c>
      <c r="FD238" s="27" t="s">
        <v>7</v>
      </c>
      <c r="FE238" s="27" t="s">
        <v>8</v>
      </c>
      <c r="FG238" s="27" t="s">
        <v>8</v>
      </c>
      <c r="FH238" s="27" t="s">
        <v>7</v>
      </c>
      <c r="FI238" s="27" t="s">
        <v>8</v>
      </c>
      <c r="FK238" s="27" t="s">
        <v>8</v>
      </c>
      <c r="FM238" s="27" t="s">
        <v>8</v>
      </c>
      <c r="FN238" s="27" t="s">
        <v>7</v>
      </c>
    </row>
    <row r="239" spans="1:170" x14ac:dyDescent="0.25">
      <c r="A239" s="30">
        <v>1.05</v>
      </c>
      <c r="E239"/>
      <c r="BO239" s="27" t="s">
        <v>8</v>
      </c>
      <c r="BP239" s="27" t="s">
        <v>7</v>
      </c>
      <c r="BQ239" s="27" t="s">
        <v>8</v>
      </c>
      <c r="BR239" s="27" t="s">
        <v>7</v>
      </c>
      <c r="BS239" s="27" t="s">
        <v>8</v>
      </c>
      <c r="BT239" s="27" t="s">
        <v>7</v>
      </c>
      <c r="BY239" s="27" t="s">
        <v>8</v>
      </c>
      <c r="CA239" s="27" t="s">
        <v>8</v>
      </c>
      <c r="CB239" s="27" t="s">
        <v>7</v>
      </c>
      <c r="CC239" s="27" t="s">
        <v>8</v>
      </c>
      <c r="DB239" s="27" t="s">
        <v>7</v>
      </c>
      <c r="DC239" s="27" t="s">
        <v>8</v>
      </c>
      <c r="DD239" s="27" t="s">
        <v>7</v>
      </c>
      <c r="EC239" s="27" t="s">
        <v>8</v>
      </c>
      <c r="ED239" s="27" t="s">
        <v>7</v>
      </c>
      <c r="EE239" s="27" t="s">
        <v>8</v>
      </c>
      <c r="EG239" s="27" t="s">
        <v>8</v>
      </c>
      <c r="EH239" s="27" t="s">
        <v>7</v>
      </c>
      <c r="EK239" s="27" t="s">
        <v>8</v>
      </c>
      <c r="EL239" s="27" t="s">
        <v>7</v>
      </c>
      <c r="EM239" s="27" t="s">
        <v>8</v>
      </c>
      <c r="EN239" s="27" t="s">
        <v>7</v>
      </c>
      <c r="ES239" s="27" t="s">
        <v>8</v>
      </c>
      <c r="ET239" s="27" t="s">
        <v>7</v>
      </c>
      <c r="EU239" s="27" t="s">
        <v>8</v>
      </c>
      <c r="EV239" s="27" t="s">
        <v>7</v>
      </c>
      <c r="EW239" s="27" t="s">
        <v>8</v>
      </c>
      <c r="EX239" s="27" t="s">
        <v>7</v>
      </c>
      <c r="EY239" s="27" t="s">
        <v>8</v>
      </c>
      <c r="EZ239" s="27" t="s">
        <v>7</v>
      </c>
      <c r="FA239" s="27" t="s">
        <v>8</v>
      </c>
      <c r="FB239" s="27" t="s">
        <v>7</v>
      </c>
      <c r="FC239" s="27" t="s">
        <v>8</v>
      </c>
      <c r="FD239" s="27" t="s">
        <v>7</v>
      </c>
      <c r="FE239" s="27" t="s">
        <v>8</v>
      </c>
      <c r="FF239" s="27" t="s">
        <v>7</v>
      </c>
      <c r="FG239" s="27" t="s">
        <v>8</v>
      </c>
      <c r="FH239" s="27" t="s">
        <v>7</v>
      </c>
      <c r="FI239" s="27" t="s">
        <v>8</v>
      </c>
      <c r="FJ239" s="27" t="s">
        <v>7</v>
      </c>
      <c r="FK239" s="27" t="s">
        <v>8</v>
      </c>
      <c r="FL239" s="27" t="s">
        <v>7</v>
      </c>
      <c r="FM239" s="27" t="s">
        <v>8</v>
      </c>
      <c r="FN239" s="27" t="s">
        <v>7</v>
      </c>
    </row>
    <row r="240" spans="1:170" x14ac:dyDescent="0.25">
      <c r="A240" s="30">
        <v>1</v>
      </c>
      <c r="E240" s="29" t="s">
        <v>8</v>
      </c>
      <c r="BO240" s="27" t="s">
        <v>8</v>
      </c>
      <c r="BP240" s="27" t="s">
        <v>7</v>
      </c>
      <c r="BR240" s="27" t="s">
        <v>7</v>
      </c>
      <c r="BT240" s="27" t="s">
        <v>7</v>
      </c>
      <c r="BU240" s="27" t="s">
        <v>8</v>
      </c>
      <c r="BY240" s="27" t="s">
        <v>8</v>
      </c>
      <c r="BZ240" s="27" t="s">
        <v>7</v>
      </c>
      <c r="CA240" s="27" t="s">
        <v>8</v>
      </c>
      <c r="CB240" s="27" t="s">
        <v>7</v>
      </c>
      <c r="DB240" s="27" t="s">
        <v>7</v>
      </c>
      <c r="DC240" s="27" t="s">
        <v>8</v>
      </c>
      <c r="DD240" s="27" t="s">
        <v>7</v>
      </c>
      <c r="DY240" s="27" t="s">
        <v>8</v>
      </c>
      <c r="EC240" s="27" t="s">
        <v>8</v>
      </c>
      <c r="ED240" s="27" t="s">
        <v>7</v>
      </c>
      <c r="EE240" s="27" t="s">
        <v>8</v>
      </c>
      <c r="EF240" s="27" t="s">
        <v>7</v>
      </c>
      <c r="EG240" s="27" t="s">
        <v>8</v>
      </c>
      <c r="EH240" s="27" t="s">
        <v>7</v>
      </c>
      <c r="EI240" s="27" t="s">
        <v>8</v>
      </c>
      <c r="EK240" s="27" t="s">
        <v>8</v>
      </c>
      <c r="EL240" s="27" t="s">
        <v>7</v>
      </c>
      <c r="EN240" s="27" t="s">
        <v>7</v>
      </c>
      <c r="ES240" s="27" t="s">
        <v>8</v>
      </c>
      <c r="ET240" s="27" t="s">
        <v>7</v>
      </c>
      <c r="EU240" s="27" t="s">
        <v>8</v>
      </c>
      <c r="EV240" s="27" t="s">
        <v>7</v>
      </c>
      <c r="EW240" s="27" t="s">
        <v>8</v>
      </c>
      <c r="EX240" s="27" t="s">
        <v>7</v>
      </c>
      <c r="EY240" s="27" t="s">
        <v>8</v>
      </c>
      <c r="EZ240" s="27" t="s">
        <v>7</v>
      </c>
      <c r="FA240" s="27" t="s">
        <v>8</v>
      </c>
      <c r="FB240" s="27" t="s">
        <v>7</v>
      </c>
      <c r="FC240" s="27" t="s">
        <v>8</v>
      </c>
      <c r="FD240" s="27" t="s">
        <v>7</v>
      </c>
      <c r="FE240" s="27" t="s">
        <v>8</v>
      </c>
      <c r="FF240" s="27" t="s">
        <v>7</v>
      </c>
      <c r="FG240" s="27" t="s">
        <v>8</v>
      </c>
      <c r="FH240" s="27" t="s">
        <v>7</v>
      </c>
      <c r="FI240" s="27" t="s">
        <v>8</v>
      </c>
      <c r="FJ240" s="27" t="s">
        <v>7</v>
      </c>
      <c r="FK240" s="27" t="s">
        <v>8</v>
      </c>
      <c r="FL240" s="27" t="s">
        <v>7</v>
      </c>
      <c r="FM240" s="27" t="s">
        <v>8</v>
      </c>
      <c r="FN240" s="27" t="s">
        <v>7</v>
      </c>
    </row>
    <row r="241" spans="1:174" x14ac:dyDescent="0.25">
      <c r="A241" s="30">
        <v>0.952380952380952</v>
      </c>
      <c r="B241"/>
      <c r="C241"/>
      <c r="D241"/>
      <c r="E241"/>
      <c r="F241" s="27" t="s">
        <v>7</v>
      </c>
      <c r="BO241" s="27" t="s">
        <v>8</v>
      </c>
      <c r="BT241" s="27" t="s">
        <v>7</v>
      </c>
      <c r="BU241" s="27" t="s">
        <v>8</v>
      </c>
      <c r="BV241" s="27" t="s">
        <v>7</v>
      </c>
      <c r="BW241" s="27" t="s">
        <v>8</v>
      </c>
      <c r="BY241" s="27" t="s">
        <v>8</v>
      </c>
      <c r="BZ241" s="27" t="s">
        <v>7</v>
      </c>
      <c r="CA241" s="27" t="s">
        <v>8</v>
      </c>
      <c r="DB241" s="27" t="s">
        <v>7</v>
      </c>
      <c r="DC241" s="27" t="s">
        <v>8</v>
      </c>
      <c r="DD241" s="27" t="s">
        <v>7</v>
      </c>
      <c r="DG241" s="27" t="s">
        <v>8</v>
      </c>
      <c r="DY241" s="27" t="s">
        <v>8</v>
      </c>
      <c r="DZ241" s="27" t="s">
        <v>7</v>
      </c>
      <c r="EA241" s="27" t="s">
        <v>8</v>
      </c>
      <c r="EC241" s="27" t="s">
        <v>8</v>
      </c>
      <c r="ED241" s="27" t="s">
        <v>7</v>
      </c>
      <c r="EE241" s="27" t="s">
        <v>8</v>
      </c>
      <c r="EF241" s="27" t="s">
        <v>7</v>
      </c>
      <c r="EG241" s="27" t="s">
        <v>8</v>
      </c>
      <c r="EH241" s="27" t="s">
        <v>7</v>
      </c>
      <c r="EI241" s="27" t="s">
        <v>8</v>
      </c>
      <c r="EJ241" s="27" t="s">
        <v>7</v>
      </c>
      <c r="EK241" s="27" t="s">
        <v>8</v>
      </c>
      <c r="EN241" s="27" t="s">
        <v>7</v>
      </c>
      <c r="EO241" s="27" t="s">
        <v>8</v>
      </c>
      <c r="ES241" s="27" t="s">
        <v>8</v>
      </c>
      <c r="ET241" s="27" t="s">
        <v>7</v>
      </c>
      <c r="EU241" s="27" t="s">
        <v>8</v>
      </c>
      <c r="EV241" s="27" t="s">
        <v>7</v>
      </c>
      <c r="EX241" s="27" t="s">
        <v>7</v>
      </c>
      <c r="EY241" s="27" t="s">
        <v>8</v>
      </c>
      <c r="EZ241" s="27" t="s">
        <v>7</v>
      </c>
      <c r="FB241" s="27" t="s">
        <v>7</v>
      </c>
      <c r="FC241" s="27" t="s">
        <v>8</v>
      </c>
      <c r="FD241" s="27" t="s">
        <v>7</v>
      </c>
      <c r="FE241" s="27" t="s">
        <v>8</v>
      </c>
      <c r="FF241" s="27" t="s">
        <v>7</v>
      </c>
      <c r="FG241" s="27" t="s">
        <v>8</v>
      </c>
      <c r="FH241" s="27" t="s">
        <v>7</v>
      </c>
      <c r="FJ241" s="27" t="s">
        <v>7</v>
      </c>
      <c r="FK241" s="27" t="s">
        <v>8</v>
      </c>
      <c r="FL241" s="27" t="s">
        <v>7</v>
      </c>
      <c r="FM241" s="27" t="s">
        <v>8</v>
      </c>
      <c r="FN241" s="27" t="s">
        <v>7</v>
      </c>
    </row>
    <row r="242" spans="1:174" x14ac:dyDescent="0.25">
      <c r="A242" s="30">
        <v>0.90702947845804915</v>
      </c>
      <c r="B242"/>
      <c r="C242"/>
      <c r="D242"/>
      <c r="E242"/>
      <c r="F242" s="27" t="s">
        <v>7</v>
      </c>
      <c r="BO242" s="27" t="s">
        <v>8</v>
      </c>
      <c r="BT242" s="27" t="s">
        <v>7</v>
      </c>
      <c r="BU242" s="27" t="s">
        <v>8</v>
      </c>
      <c r="BV242" s="27" t="s">
        <v>7</v>
      </c>
      <c r="BW242" s="27" t="s">
        <v>8</v>
      </c>
      <c r="BX242" s="27" t="s">
        <v>7</v>
      </c>
      <c r="BY242" s="27" t="s">
        <v>8</v>
      </c>
      <c r="BZ242" s="27" t="s">
        <v>7</v>
      </c>
      <c r="DB242" s="27" t="s">
        <v>7</v>
      </c>
      <c r="DC242" s="27" t="s">
        <v>8</v>
      </c>
      <c r="DD242" s="27" t="s">
        <v>7</v>
      </c>
      <c r="DE242" s="27" t="s">
        <v>8</v>
      </c>
      <c r="DG242" s="27" t="s">
        <v>8</v>
      </c>
      <c r="DH242" s="27" t="s">
        <v>7</v>
      </c>
      <c r="DI242" s="27" t="s">
        <v>8</v>
      </c>
      <c r="DY242" s="27" t="s">
        <v>8</v>
      </c>
      <c r="DZ242" s="27" t="s">
        <v>7</v>
      </c>
      <c r="EA242" s="27" t="s">
        <v>8</v>
      </c>
      <c r="EB242" s="27" t="s">
        <v>7</v>
      </c>
      <c r="EC242" s="27" t="s">
        <v>8</v>
      </c>
      <c r="ED242" s="27" t="s">
        <v>7</v>
      </c>
      <c r="EF242" s="27" t="s">
        <v>7</v>
      </c>
      <c r="EH242" s="27" t="s">
        <v>7</v>
      </c>
      <c r="EI242" s="27" t="s">
        <v>8</v>
      </c>
      <c r="EJ242" s="27" t="s">
        <v>7</v>
      </c>
      <c r="EK242" s="27" t="s">
        <v>8</v>
      </c>
      <c r="EN242" s="27" t="s">
        <v>7</v>
      </c>
      <c r="EO242" s="27" t="s">
        <v>8</v>
      </c>
      <c r="EP242" s="27" t="s">
        <v>7</v>
      </c>
      <c r="EQ242" s="27" t="s">
        <v>8</v>
      </c>
      <c r="ES242" s="27" t="s">
        <v>8</v>
      </c>
      <c r="ET242" s="27" t="s">
        <v>7</v>
      </c>
      <c r="EX242" s="27" t="s">
        <v>7</v>
      </c>
      <c r="EY242" s="27" t="s">
        <v>8</v>
      </c>
      <c r="FB242" s="27" t="s">
        <v>7</v>
      </c>
      <c r="FD242" s="27" t="s">
        <v>7</v>
      </c>
      <c r="FE242" s="27" t="s">
        <v>8</v>
      </c>
      <c r="FF242" s="27" t="s">
        <v>7</v>
      </c>
      <c r="FG242" s="27" t="s">
        <v>8</v>
      </c>
      <c r="FJ242" s="27" t="s">
        <v>7</v>
      </c>
      <c r="FL242" s="27" t="s">
        <v>7</v>
      </c>
      <c r="FN242" s="27" t="s">
        <v>7</v>
      </c>
    </row>
    <row r="243" spans="1:174" x14ac:dyDescent="0.25">
      <c r="A243" s="30">
        <v>0.86383759853147501</v>
      </c>
      <c r="B243"/>
      <c r="C243"/>
      <c r="D243"/>
      <c r="E243"/>
      <c r="F243" s="27" t="s">
        <v>7</v>
      </c>
      <c r="BO243" s="27" t="s">
        <v>8</v>
      </c>
      <c r="BT243" s="27" t="s">
        <v>7</v>
      </c>
      <c r="BU243" s="27" t="s">
        <v>8</v>
      </c>
      <c r="BV243" s="27" t="s">
        <v>7</v>
      </c>
      <c r="BW243" s="27" t="s">
        <v>8</v>
      </c>
      <c r="BX243" s="27" t="s">
        <v>7</v>
      </c>
      <c r="BY243" s="27" t="s">
        <v>8</v>
      </c>
      <c r="DB243" s="27" t="s">
        <v>7</v>
      </c>
      <c r="DC243" s="27" t="s">
        <v>8</v>
      </c>
      <c r="DD243" s="27" t="s">
        <v>7</v>
      </c>
      <c r="DE243" s="27" t="s">
        <v>8</v>
      </c>
      <c r="DF243" s="27" t="s">
        <v>7</v>
      </c>
      <c r="DG243" s="27" t="s">
        <v>8</v>
      </c>
      <c r="DH243" s="27" t="s">
        <v>7</v>
      </c>
      <c r="DI243" s="27" t="s">
        <v>8</v>
      </c>
      <c r="DJ243" s="27" t="s">
        <v>7</v>
      </c>
      <c r="DK243" s="27" t="s">
        <v>8</v>
      </c>
      <c r="DY243" s="27" t="s">
        <v>8</v>
      </c>
      <c r="DZ243" s="27" t="s">
        <v>7</v>
      </c>
      <c r="EA243" s="27" t="s">
        <v>8</v>
      </c>
      <c r="EB243" s="27" t="s">
        <v>7</v>
      </c>
      <c r="EC243" s="27" t="s">
        <v>8</v>
      </c>
      <c r="EH243" s="27" t="s">
        <v>7</v>
      </c>
      <c r="EI243" s="27" t="s">
        <v>8</v>
      </c>
      <c r="EJ243" s="27" t="s">
        <v>7</v>
      </c>
      <c r="EN243" s="27" t="s">
        <v>7</v>
      </c>
      <c r="EO243" s="27" t="s">
        <v>8</v>
      </c>
      <c r="EP243" s="27" t="s">
        <v>7</v>
      </c>
      <c r="EQ243" s="27" t="s">
        <v>8</v>
      </c>
      <c r="ER243" s="27" t="s">
        <v>7</v>
      </c>
      <c r="ES243" s="27" t="s">
        <v>8</v>
      </c>
      <c r="EX243" s="27" t="s">
        <v>7</v>
      </c>
      <c r="EY243" s="27" t="s">
        <v>8</v>
      </c>
      <c r="FD243" s="27" t="s">
        <v>7</v>
      </c>
      <c r="FE243" s="27" t="s">
        <v>8</v>
      </c>
      <c r="FF243" s="27" t="s">
        <v>7</v>
      </c>
      <c r="FG243" s="27" t="s">
        <v>8</v>
      </c>
      <c r="FN243" s="27" t="s">
        <v>7</v>
      </c>
    </row>
    <row r="244" spans="1:174" x14ac:dyDescent="0.25">
      <c r="A244" s="30">
        <v>0.82270247479188063</v>
      </c>
      <c r="B244"/>
      <c r="C244"/>
      <c r="D244"/>
      <c r="E244"/>
      <c r="F244" s="27" t="s">
        <v>7</v>
      </c>
      <c r="BO244" s="27" t="s">
        <v>8</v>
      </c>
      <c r="BT244" s="27" t="s">
        <v>7</v>
      </c>
      <c r="BU244" s="27" t="s">
        <v>8</v>
      </c>
      <c r="BV244" s="27" t="s">
        <v>7</v>
      </c>
      <c r="BX244" s="27" t="s">
        <v>7</v>
      </c>
      <c r="BY244" s="27" t="s">
        <v>8</v>
      </c>
      <c r="DB244" s="27" t="s">
        <v>7</v>
      </c>
      <c r="DC244" s="27" t="s">
        <v>8</v>
      </c>
      <c r="DD244" s="27" t="s">
        <v>7</v>
      </c>
      <c r="DE244" s="27" t="s">
        <v>8</v>
      </c>
      <c r="DF244" s="27" t="s">
        <v>7</v>
      </c>
      <c r="DG244" s="27" t="s">
        <v>8</v>
      </c>
      <c r="DH244" s="27" t="s">
        <v>7</v>
      </c>
      <c r="DI244" s="27" t="s">
        <v>8</v>
      </c>
      <c r="DJ244" s="27" t="s">
        <v>7</v>
      </c>
      <c r="DK244" s="27" t="s">
        <v>8</v>
      </c>
      <c r="DL244" s="27" t="s">
        <v>7</v>
      </c>
      <c r="DM244" s="27" t="s">
        <v>8</v>
      </c>
      <c r="DY244" s="27" t="s">
        <v>8</v>
      </c>
      <c r="DZ244" s="27" t="s">
        <v>7</v>
      </c>
      <c r="EB244" s="27" t="s">
        <v>7</v>
      </c>
      <c r="EC244" s="27" t="s">
        <v>8</v>
      </c>
      <c r="EH244" s="27" t="s">
        <v>7</v>
      </c>
      <c r="EI244" s="27" t="s">
        <v>8</v>
      </c>
      <c r="EN244" s="27" t="s">
        <v>7</v>
      </c>
      <c r="EO244" s="27" t="s">
        <v>8</v>
      </c>
      <c r="EP244" s="27" t="s">
        <v>7</v>
      </c>
      <c r="EQ244" s="27" t="s">
        <v>8</v>
      </c>
      <c r="ER244" s="27" t="s">
        <v>7</v>
      </c>
      <c r="ES244" s="27" t="s">
        <v>8</v>
      </c>
      <c r="EX244" s="27" t="s">
        <v>7</v>
      </c>
      <c r="EY244" s="27" t="s">
        <v>8</v>
      </c>
      <c r="FD244" s="27" t="s">
        <v>7</v>
      </c>
      <c r="FF244" s="27" t="s">
        <v>7</v>
      </c>
      <c r="FN244" s="27" t="s">
        <v>7</v>
      </c>
      <c r="FO244" s="27" t="s">
        <v>8</v>
      </c>
    </row>
    <row r="245" spans="1:174" x14ac:dyDescent="0.25">
      <c r="A245" s="30">
        <v>0.78352616646845741</v>
      </c>
      <c r="B245"/>
      <c r="C245"/>
      <c r="D245"/>
      <c r="E245"/>
      <c r="F245" s="27" t="s">
        <v>7</v>
      </c>
      <c r="BO245" s="27" t="s">
        <v>8</v>
      </c>
      <c r="BT245" s="27" t="s">
        <v>7</v>
      </c>
      <c r="BU245" s="27" t="s">
        <v>8</v>
      </c>
      <c r="BX245" s="27" t="s">
        <v>7</v>
      </c>
      <c r="DB245" s="27" t="s">
        <v>7</v>
      </c>
      <c r="DD245" s="27" t="s">
        <v>7</v>
      </c>
      <c r="DE245" s="27" t="s">
        <v>8</v>
      </c>
      <c r="DF245" s="27" t="s">
        <v>7</v>
      </c>
      <c r="DG245" s="27" t="s">
        <v>8</v>
      </c>
      <c r="DH245" s="27" t="s">
        <v>7</v>
      </c>
      <c r="DI245" s="27" t="s">
        <v>8</v>
      </c>
      <c r="DJ245" s="27" t="s">
        <v>7</v>
      </c>
      <c r="DK245" s="27" t="s">
        <v>8</v>
      </c>
      <c r="DL245" s="27" t="s">
        <v>7</v>
      </c>
      <c r="DM245" s="27" t="s">
        <v>8</v>
      </c>
      <c r="DN245" s="27" t="s">
        <v>7</v>
      </c>
      <c r="DY245" s="27" t="s">
        <v>8</v>
      </c>
      <c r="EB245" s="27" t="s">
        <v>7</v>
      </c>
      <c r="EH245" s="27" t="s">
        <v>7</v>
      </c>
      <c r="EI245" s="27" t="s">
        <v>8</v>
      </c>
      <c r="EN245" s="27" t="s">
        <v>7</v>
      </c>
      <c r="EP245" s="27" t="s">
        <v>7</v>
      </c>
      <c r="ER245" s="27" t="s">
        <v>7</v>
      </c>
      <c r="EX245" s="27" t="s">
        <v>7</v>
      </c>
      <c r="FN245" s="27" t="s">
        <v>7</v>
      </c>
      <c r="FO245" s="27" t="s">
        <v>8</v>
      </c>
      <c r="FP245" s="27" t="s">
        <v>7</v>
      </c>
    </row>
    <row r="246" spans="1:174" x14ac:dyDescent="0.25">
      <c r="A246" s="30">
        <v>0.74621539663662584</v>
      </c>
      <c r="B246"/>
      <c r="C246"/>
      <c r="D246"/>
      <c r="E246"/>
      <c r="F246" s="27" t="s">
        <v>7</v>
      </c>
      <c r="AE246" s="27" t="s">
        <v>8</v>
      </c>
      <c r="BO246" s="27" t="s">
        <v>8</v>
      </c>
      <c r="BT246" s="27" t="s">
        <v>7</v>
      </c>
      <c r="BU246" s="27" t="s">
        <v>8</v>
      </c>
      <c r="DD246" s="27" t="s">
        <v>7</v>
      </c>
      <c r="DF246" s="27" t="s">
        <v>7</v>
      </c>
      <c r="DG246" s="27" t="s">
        <v>8</v>
      </c>
      <c r="DH246" s="27" t="s">
        <v>7</v>
      </c>
      <c r="DI246" s="27" t="s">
        <v>8</v>
      </c>
      <c r="DJ246" s="27" t="s">
        <v>7</v>
      </c>
      <c r="DK246" s="27" t="s">
        <v>8</v>
      </c>
      <c r="DL246" s="27" t="s">
        <v>7</v>
      </c>
      <c r="DM246" s="27" t="s">
        <v>8</v>
      </c>
      <c r="DN246" s="27" t="s">
        <v>7</v>
      </c>
      <c r="DY246" s="27" t="s">
        <v>8</v>
      </c>
      <c r="EH246" s="27" t="s">
        <v>7</v>
      </c>
      <c r="FN246" s="27" t="s">
        <v>7</v>
      </c>
      <c r="FO246" s="27" t="s">
        <v>8</v>
      </c>
      <c r="FP246" s="27" t="s">
        <v>7</v>
      </c>
    </row>
    <row r="247" spans="1:174" x14ac:dyDescent="0.25">
      <c r="A247" s="30">
        <v>0.71068133013011958</v>
      </c>
      <c r="B247"/>
      <c r="C247"/>
      <c r="D247"/>
      <c r="E247"/>
      <c r="F247" s="27" t="s">
        <v>7</v>
      </c>
      <c r="AE247" s="27" t="s">
        <v>8</v>
      </c>
      <c r="AF247" s="27" t="s">
        <v>7</v>
      </c>
      <c r="BO247" s="27" t="s">
        <v>8</v>
      </c>
      <c r="BT247" s="27" t="s">
        <v>7</v>
      </c>
      <c r="BU247" s="27" t="s">
        <v>8</v>
      </c>
      <c r="DF247" s="27" t="s">
        <v>7</v>
      </c>
      <c r="DG247" s="27" t="s">
        <v>8</v>
      </c>
      <c r="DH247" s="27" t="s">
        <v>7</v>
      </c>
      <c r="DJ247" s="27" t="s">
        <v>7</v>
      </c>
      <c r="DK247" s="27" t="s">
        <v>8</v>
      </c>
      <c r="DL247" s="27" t="s">
        <v>7</v>
      </c>
      <c r="DM247" s="27" t="s">
        <v>8</v>
      </c>
      <c r="DN247" s="27" t="s">
        <v>7</v>
      </c>
      <c r="DY247" s="27" t="s">
        <v>8</v>
      </c>
      <c r="FN247" s="27" t="s">
        <v>7</v>
      </c>
      <c r="FO247" s="27" t="s">
        <v>8</v>
      </c>
      <c r="FP247" s="27" t="s">
        <v>7</v>
      </c>
    </row>
    <row r="248" spans="1:174" x14ac:dyDescent="0.25">
      <c r="A248" s="30">
        <v>0.676839362028685</v>
      </c>
      <c r="B248"/>
      <c r="C248"/>
      <c r="D248"/>
      <c r="E248"/>
      <c r="F248" s="27" t="s">
        <v>7</v>
      </c>
      <c r="AE248" s="27" t="s">
        <v>8</v>
      </c>
      <c r="AF248" s="27" t="s">
        <v>7</v>
      </c>
      <c r="BM248" s="27" t="s">
        <v>8</v>
      </c>
      <c r="BO248" s="27" t="s">
        <v>8</v>
      </c>
      <c r="BT248" s="27" t="s">
        <v>7</v>
      </c>
      <c r="DF248" s="27" t="s">
        <v>7</v>
      </c>
      <c r="DG248" s="27" t="s">
        <v>8</v>
      </c>
      <c r="DJ248" s="27" t="s">
        <v>7</v>
      </c>
      <c r="DK248" s="27" t="s">
        <v>8</v>
      </c>
      <c r="DL248" s="27" t="s">
        <v>7</v>
      </c>
      <c r="DN248" s="27" t="s">
        <v>7</v>
      </c>
      <c r="DQ248" s="27" t="s">
        <v>8</v>
      </c>
      <c r="DY248" s="27" t="s">
        <v>8</v>
      </c>
      <c r="FN248" s="27" t="s">
        <v>7</v>
      </c>
      <c r="FP248" s="27" t="s">
        <v>7</v>
      </c>
    </row>
    <row r="249" spans="1:174" x14ac:dyDescent="0.25">
      <c r="A249" s="30">
        <v>0.64460891621779492</v>
      </c>
      <c r="B249"/>
      <c r="C249"/>
      <c r="D249"/>
      <c r="E249"/>
      <c r="F249" s="27" t="s">
        <v>7</v>
      </c>
      <c r="AC249" s="27" t="s">
        <v>8</v>
      </c>
      <c r="AE249" s="27" t="s">
        <v>8</v>
      </c>
      <c r="AF249" s="27" t="s">
        <v>7</v>
      </c>
      <c r="BM249" s="27" t="s">
        <v>8</v>
      </c>
      <c r="BN249" s="27" t="s">
        <v>7</v>
      </c>
      <c r="BO249" s="27" t="s">
        <v>8</v>
      </c>
      <c r="DF249" s="27" t="s">
        <v>7</v>
      </c>
      <c r="DG249" s="27" t="s">
        <v>8</v>
      </c>
      <c r="DJ249" s="27" t="s">
        <v>7</v>
      </c>
      <c r="DN249" s="27" t="s">
        <v>7</v>
      </c>
      <c r="DQ249" s="27" t="s">
        <v>8</v>
      </c>
      <c r="DR249" s="27" t="s">
        <v>7</v>
      </c>
      <c r="DY249" s="27" t="s">
        <v>8</v>
      </c>
      <c r="FP249" s="27" t="s">
        <v>7</v>
      </c>
    </row>
    <row r="250" spans="1:174" x14ac:dyDescent="0.25">
      <c r="A250" s="30">
        <v>0.61391325354075688</v>
      </c>
      <c r="B250"/>
      <c r="C250"/>
      <c r="D250"/>
      <c r="E250"/>
      <c r="F250" s="27" t="s">
        <v>7</v>
      </c>
      <c r="AC250" s="27" t="s">
        <v>8</v>
      </c>
      <c r="AD250" s="27" t="s">
        <v>7</v>
      </c>
      <c r="AE250" s="27" t="s">
        <v>8</v>
      </c>
      <c r="AF250" s="27" t="s">
        <v>7</v>
      </c>
      <c r="BM250" s="27" t="s">
        <v>8</v>
      </c>
      <c r="BN250" s="27" t="s">
        <v>7</v>
      </c>
      <c r="BO250" s="27" t="s">
        <v>8</v>
      </c>
      <c r="DF250" s="27" t="s">
        <v>7</v>
      </c>
      <c r="DG250" s="27" t="s">
        <v>8</v>
      </c>
      <c r="DN250" s="27" t="s">
        <v>7</v>
      </c>
      <c r="DQ250" s="27" t="s">
        <v>8</v>
      </c>
      <c r="DR250" s="27" t="s">
        <v>7</v>
      </c>
      <c r="DW250" s="27" t="s">
        <v>8</v>
      </c>
      <c r="DY250" s="27" t="s">
        <v>8</v>
      </c>
      <c r="FP250" s="27" t="s">
        <v>7</v>
      </c>
    </row>
    <row r="251" spans="1:174" x14ac:dyDescent="0.25">
      <c r="A251" s="30">
        <v>0.58467928908643485</v>
      </c>
      <c r="B251"/>
      <c r="C251"/>
      <c r="D251"/>
      <c r="E251"/>
      <c r="F251" s="27" t="s">
        <v>7</v>
      </c>
      <c r="AC251" s="27" t="s">
        <v>8</v>
      </c>
      <c r="AD251" s="27" t="s">
        <v>7</v>
      </c>
      <c r="AE251" s="27" t="s">
        <v>8</v>
      </c>
      <c r="AF251" s="27" t="s">
        <v>7</v>
      </c>
      <c r="BM251" s="27" t="s">
        <v>8</v>
      </c>
      <c r="BN251" s="27" t="s">
        <v>7</v>
      </c>
      <c r="BO251" s="27" t="s">
        <v>8</v>
      </c>
      <c r="DF251" s="27" t="s">
        <v>7</v>
      </c>
      <c r="DG251" s="27" t="s">
        <v>8</v>
      </c>
      <c r="DN251" s="27" t="s">
        <v>7</v>
      </c>
      <c r="DQ251" s="27" t="s">
        <v>8</v>
      </c>
      <c r="DR251" s="27" t="s">
        <v>7</v>
      </c>
      <c r="DS251" s="27" t="s">
        <v>8</v>
      </c>
      <c r="DU251" s="27" t="s">
        <v>8</v>
      </c>
      <c r="DW251" s="27" t="s">
        <v>8</v>
      </c>
      <c r="DX251" s="27" t="s">
        <v>7</v>
      </c>
      <c r="DY251" s="27" t="s">
        <v>8</v>
      </c>
      <c r="FP251" s="27" t="s">
        <v>7</v>
      </c>
    </row>
    <row r="252" spans="1:174" x14ac:dyDescent="0.25">
      <c r="A252" s="30">
        <v>0.55683741817755672</v>
      </c>
      <c r="B252"/>
      <c r="C252"/>
      <c r="D252"/>
      <c r="E252"/>
      <c r="F252" s="27" t="s">
        <v>7</v>
      </c>
      <c r="AC252" s="27" t="s">
        <v>8</v>
      </c>
      <c r="AD252" s="27" t="s">
        <v>7</v>
      </c>
      <c r="AF252" s="27" t="s">
        <v>7</v>
      </c>
      <c r="AG252" s="27" t="s">
        <v>8</v>
      </c>
      <c r="AI252" s="27" t="s">
        <v>8</v>
      </c>
      <c r="BM252" s="27" t="s">
        <v>8</v>
      </c>
      <c r="BN252" s="27" t="s">
        <v>7</v>
      </c>
      <c r="DF252" s="27" t="s">
        <v>7</v>
      </c>
      <c r="DG252" s="27" t="s">
        <v>8</v>
      </c>
      <c r="DN252" s="27" t="s">
        <v>7</v>
      </c>
      <c r="DO252" s="27" t="s">
        <v>8</v>
      </c>
      <c r="DQ252" s="27" t="s">
        <v>8</v>
      </c>
      <c r="DR252" s="27" t="s">
        <v>7</v>
      </c>
      <c r="DS252" s="27" t="s">
        <v>8</v>
      </c>
      <c r="DT252" s="27" t="s">
        <v>7</v>
      </c>
      <c r="DU252" s="27" t="s">
        <v>8</v>
      </c>
      <c r="DV252" s="27" t="s">
        <v>7</v>
      </c>
      <c r="DW252" s="27" t="s">
        <v>8</v>
      </c>
      <c r="DX252" s="27" t="s">
        <v>7</v>
      </c>
      <c r="DY252" s="27" t="s">
        <v>8</v>
      </c>
      <c r="FP252" s="27" t="s">
        <v>7</v>
      </c>
      <c r="FQ252" s="27" t="s">
        <v>8</v>
      </c>
    </row>
    <row r="253" spans="1:174" x14ac:dyDescent="0.25">
      <c r="A253" s="30">
        <v>0.53032135064529184</v>
      </c>
      <c r="B253"/>
      <c r="C253"/>
      <c r="D253"/>
      <c r="E253"/>
      <c r="F253" s="27" t="s">
        <v>7</v>
      </c>
      <c r="Y253" s="27" t="s">
        <v>8</v>
      </c>
      <c r="AA253" s="27" t="s">
        <v>8</v>
      </c>
      <c r="AC253" s="27" t="s">
        <v>8</v>
      </c>
      <c r="AF253" s="27" t="s">
        <v>7</v>
      </c>
      <c r="AG253" s="27" t="s">
        <v>8</v>
      </c>
      <c r="AH253" s="27" t="s">
        <v>7</v>
      </c>
      <c r="AI253" s="27" t="s">
        <v>8</v>
      </c>
      <c r="AJ253" s="27" t="s">
        <v>7</v>
      </c>
      <c r="BM253" s="27" t="s">
        <v>8</v>
      </c>
      <c r="DF253" s="27" t="s">
        <v>7</v>
      </c>
      <c r="DN253" s="27" t="s">
        <v>7</v>
      </c>
      <c r="DO253" s="27" t="s">
        <v>8</v>
      </c>
      <c r="DP253" s="27" t="s">
        <v>7</v>
      </c>
      <c r="DQ253" s="27" t="s">
        <v>8</v>
      </c>
      <c r="DR253" s="27" t="s">
        <v>7</v>
      </c>
      <c r="DS253" s="27" t="s">
        <v>8</v>
      </c>
      <c r="DT253" s="27" t="s">
        <v>7</v>
      </c>
      <c r="DU253" s="27" t="s">
        <v>8</v>
      </c>
      <c r="DV253" s="27" t="s">
        <v>7</v>
      </c>
      <c r="DW253" s="27" t="s">
        <v>8</v>
      </c>
      <c r="DX253" s="27" t="s">
        <v>7</v>
      </c>
      <c r="FP253" s="27" t="s">
        <v>7</v>
      </c>
      <c r="FQ253" s="27" t="s">
        <v>8</v>
      </c>
      <c r="FR253" s="27" t="s">
        <v>7</v>
      </c>
    </row>
    <row r="254" spans="1:174" x14ac:dyDescent="0.25">
      <c r="A254" s="30">
        <v>0.50506795299551588</v>
      </c>
      <c r="B254"/>
      <c r="C254"/>
      <c r="D254"/>
      <c r="E254"/>
      <c r="F254" s="27" t="s">
        <v>7</v>
      </c>
      <c r="Y254" s="27" t="s">
        <v>8</v>
      </c>
      <c r="Z254" s="27" t="s">
        <v>7</v>
      </c>
      <c r="AA254" s="27" t="s">
        <v>8</v>
      </c>
      <c r="AB254" s="27" t="s">
        <v>7</v>
      </c>
      <c r="AC254" s="27" t="s">
        <v>8</v>
      </c>
      <c r="AF254" s="27" t="s">
        <v>7</v>
      </c>
      <c r="AG254" s="27" t="s">
        <v>8</v>
      </c>
      <c r="AH254" s="27" t="s">
        <v>7</v>
      </c>
      <c r="AI254" s="27" t="s">
        <v>8</v>
      </c>
      <c r="AJ254" s="27" t="s">
        <v>7</v>
      </c>
      <c r="BK254" s="27" t="s">
        <v>8</v>
      </c>
      <c r="BM254" s="27" t="s">
        <v>8</v>
      </c>
      <c r="DN254" s="27" t="s">
        <v>7</v>
      </c>
      <c r="DO254" s="27" t="s">
        <v>8</v>
      </c>
      <c r="DP254" s="27" t="s">
        <v>7</v>
      </c>
      <c r="DQ254" s="27" t="s">
        <v>8</v>
      </c>
      <c r="DR254" s="27" t="s">
        <v>7</v>
      </c>
      <c r="DS254" s="27" t="s">
        <v>8</v>
      </c>
      <c r="DT254" s="27" t="s">
        <v>7</v>
      </c>
      <c r="DV254" s="27" t="s">
        <v>7</v>
      </c>
      <c r="FP254" s="27" t="s">
        <v>7</v>
      </c>
      <c r="FQ254" s="27" t="s">
        <v>8</v>
      </c>
      <c r="FR254" s="27" t="s">
        <v>7</v>
      </c>
    </row>
    <row r="255" spans="1:174" x14ac:dyDescent="0.25">
      <c r="A255" s="30">
        <v>0.48101709809096732</v>
      </c>
      <c r="E255"/>
      <c r="F255" s="27" t="s">
        <v>7</v>
      </c>
      <c r="W255" s="27" t="s">
        <v>8</v>
      </c>
      <c r="Y255" s="27" t="s">
        <v>8</v>
      </c>
      <c r="Z255" s="27" t="s">
        <v>7</v>
      </c>
      <c r="AA255" s="27" t="s">
        <v>8</v>
      </c>
      <c r="AB255" s="27" t="s">
        <v>7</v>
      </c>
      <c r="AC255" s="27" t="s">
        <v>8</v>
      </c>
      <c r="AF255" s="27" t="s">
        <v>7</v>
      </c>
      <c r="AG255" s="27" t="s">
        <v>8</v>
      </c>
      <c r="AH255" s="27" t="s">
        <v>7</v>
      </c>
      <c r="AI255" s="27" t="s">
        <v>8</v>
      </c>
      <c r="AJ255" s="27" t="s">
        <v>7</v>
      </c>
      <c r="BK255" s="27" t="s">
        <v>8</v>
      </c>
      <c r="BL255" s="27" t="s">
        <v>7</v>
      </c>
      <c r="BM255" s="27" t="s">
        <v>8</v>
      </c>
      <c r="DN255" s="27" t="s">
        <v>7</v>
      </c>
      <c r="DO255" s="27" t="s">
        <v>8</v>
      </c>
      <c r="DP255" s="27" t="s">
        <v>7</v>
      </c>
      <c r="DQ255" s="27" t="s">
        <v>8</v>
      </c>
      <c r="DR255" s="27" t="s">
        <v>7</v>
      </c>
      <c r="DS255" s="27" t="s">
        <v>8</v>
      </c>
      <c r="FP255" s="27" t="s">
        <v>7</v>
      </c>
      <c r="FQ255" s="27" t="s">
        <v>8</v>
      </c>
      <c r="FR255" s="27" t="s">
        <v>7</v>
      </c>
    </row>
    <row r="256" spans="1:174" x14ac:dyDescent="0.25">
      <c r="A256" s="30">
        <v>0.45811152199139726</v>
      </c>
      <c r="E256"/>
      <c r="F256" s="27" t="s">
        <v>7</v>
      </c>
      <c r="W256" s="27" t="s">
        <v>8</v>
      </c>
      <c r="X256" s="27" t="s">
        <v>7</v>
      </c>
      <c r="Y256" s="27" t="s">
        <v>8</v>
      </c>
      <c r="Z256" s="27" t="s">
        <v>7</v>
      </c>
      <c r="AA256" s="27" t="s">
        <v>8</v>
      </c>
      <c r="AB256" s="27" t="s">
        <v>7</v>
      </c>
      <c r="AF256" s="27" t="s">
        <v>7</v>
      </c>
      <c r="AG256" s="27" t="s">
        <v>8</v>
      </c>
      <c r="AH256" s="27" t="s">
        <v>7</v>
      </c>
      <c r="AI256" s="27" t="s">
        <v>8</v>
      </c>
      <c r="AJ256" s="27" t="s">
        <v>7</v>
      </c>
      <c r="BK256" s="27" t="s">
        <v>8</v>
      </c>
      <c r="BL256" s="27" t="s">
        <v>7</v>
      </c>
      <c r="BM256" s="27" t="s">
        <v>8</v>
      </c>
      <c r="DN256" s="27" t="s">
        <v>7</v>
      </c>
      <c r="DO256" s="27" t="s">
        <v>8</v>
      </c>
      <c r="DP256" s="27" t="s">
        <v>7</v>
      </c>
      <c r="DR256" s="18" t="s">
        <v>7</v>
      </c>
      <c r="DS256" s="27" t="s">
        <v>8</v>
      </c>
      <c r="FP256" s="27" t="s">
        <v>7</v>
      </c>
      <c r="FQ256" s="27" t="s">
        <v>8</v>
      </c>
    </row>
    <row r="257" spans="1:172" x14ac:dyDescent="0.25">
      <c r="A257" s="30">
        <v>0.43629668761085438</v>
      </c>
      <c r="B257"/>
      <c r="C257"/>
      <c r="D257"/>
      <c r="E257"/>
      <c r="F257" s="27" t="s">
        <v>7</v>
      </c>
      <c r="S257" s="27" t="s">
        <v>8</v>
      </c>
      <c r="W257" s="27" t="s">
        <v>8</v>
      </c>
      <c r="X257" s="27" t="s">
        <v>7</v>
      </c>
      <c r="Y257" s="27" t="s">
        <v>8</v>
      </c>
      <c r="Z257" s="27" t="s">
        <v>7</v>
      </c>
      <c r="AA257" s="27" t="s">
        <v>8</v>
      </c>
      <c r="AF257" s="27" t="s">
        <v>7</v>
      </c>
      <c r="AH257" s="27" t="s">
        <v>7</v>
      </c>
      <c r="AJ257" s="27" t="s">
        <v>7</v>
      </c>
      <c r="BK257" s="27" t="s">
        <v>8</v>
      </c>
      <c r="BL257" s="27" t="s">
        <v>7</v>
      </c>
      <c r="DN257" s="27" t="s">
        <v>7</v>
      </c>
      <c r="DR257" s="27" t="s">
        <v>7</v>
      </c>
      <c r="DS257" s="27" t="s">
        <v>8</v>
      </c>
      <c r="FP257" s="27" t="s">
        <v>7</v>
      </c>
    </row>
    <row r="258" spans="1:172" x14ac:dyDescent="0.25">
      <c r="A258" s="30">
        <v>0.41552065486748019</v>
      </c>
      <c r="B258"/>
      <c r="C258"/>
      <c r="D258"/>
      <c r="E258"/>
      <c r="F258" s="27" t="s">
        <v>7</v>
      </c>
      <c r="S258" s="27" t="s">
        <v>8</v>
      </c>
      <c r="T258" s="27" t="s">
        <v>7</v>
      </c>
      <c r="U258" s="27" t="s">
        <v>8</v>
      </c>
      <c r="W258" s="27" t="s">
        <v>8</v>
      </c>
      <c r="X258" s="27" t="s">
        <v>7</v>
      </c>
      <c r="Y258" s="27" t="s">
        <v>8</v>
      </c>
      <c r="Z258" s="27" t="s">
        <v>7</v>
      </c>
      <c r="AA258" s="27" t="s">
        <v>8</v>
      </c>
      <c r="AJ258" s="27" t="s">
        <v>7</v>
      </c>
      <c r="AK258" s="27" t="s">
        <v>8</v>
      </c>
      <c r="AU258" s="27" t="s">
        <v>8</v>
      </c>
      <c r="BK258" s="27" t="s">
        <v>8</v>
      </c>
      <c r="DR258" s="27" t="s">
        <v>7</v>
      </c>
    </row>
    <row r="259" spans="1:172" x14ac:dyDescent="0.25">
      <c r="A259" s="30">
        <v>0.39573395701664765</v>
      </c>
      <c r="B259"/>
      <c r="C259"/>
      <c r="D259"/>
      <c r="E259"/>
      <c r="F259" s="27" t="s">
        <v>7</v>
      </c>
      <c r="O259" s="27" t="s">
        <v>8</v>
      </c>
      <c r="S259" s="27" t="s">
        <v>8</v>
      </c>
      <c r="T259" s="27" t="s">
        <v>7</v>
      </c>
      <c r="U259" s="27" t="s">
        <v>8</v>
      </c>
      <c r="V259" s="27" t="s">
        <v>7</v>
      </c>
      <c r="W259" s="27" t="s">
        <v>8</v>
      </c>
      <c r="X259" s="27" t="s">
        <v>7</v>
      </c>
      <c r="Z259" s="27" t="s">
        <v>7</v>
      </c>
      <c r="AJ259" s="27" t="s">
        <v>7</v>
      </c>
      <c r="AK259" s="27" t="s">
        <v>8</v>
      </c>
      <c r="AL259" s="27" t="s">
        <v>7</v>
      </c>
      <c r="AU259" s="27" t="s">
        <v>8</v>
      </c>
      <c r="AV259" s="27" t="s">
        <v>7</v>
      </c>
      <c r="AW259" s="27" t="s">
        <v>8</v>
      </c>
      <c r="BC259" s="27" t="s">
        <v>8</v>
      </c>
      <c r="BE259" s="27" t="s">
        <v>8</v>
      </c>
      <c r="BG259" s="27" t="s">
        <v>8</v>
      </c>
      <c r="BI259" s="27" t="s">
        <v>8</v>
      </c>
      <c r="BK259" s="27" t="s">
        <v>8</v>
      </c>
    </row>
    <row r="260" spans="1:172" x14ac:dyDescent="0.25">
      <c r="A260" s="30">
        <v>0.37688948287299762</v>
      </c>
      <c r="B260"/>
      <c r="C260"/>
      <c r="D260"/>
      <c r="E260"/>
      <c r="F260" s="27" t="s">
        <v>7</v>
      </c>
      <c r="O260" s="27" t="s">
        <v>8</v>
      </c>
      <c r="P260" s="27" t="s">
        <v>7</v>
      </c>
      <c r="Q260" s="27" t="s">
        <v>8</v>
      </c>
      <c r="S260" s="27" t="s">
        <v>8</v>
      </c>
      <c r="T260" s="27" t="s">
        <v>7</v>
      </c>
      <c r="U260" s="27" t="s">
        <v>8</v>
      </c>
      <c r="V260" s="27" t="s">
        <v>7</v>
      </c>
      <c r="W260" s="27" t="s">
        <v>8</v>
      </c>
      <c r="AJ260" s="27" t="s">
        <v>7</v>
      </c>
      <c r="AK260" s="27" t="s">
        <v>8</v>
      </c>
      <c r="AL260" s="27" t="s">
        <v>7</v>
      </c>
      <c r="AM260" s="27" t="s">
        <v>8</v>
      </c>
      <c r="AO260" s="27" t="s">
        <v>8</v>
      </c>
      <c r="AU260" s="27" t="s">
        <v>8</v>
      </c>
      <c r="AV260" s="27" t="s">
        <v>7</v>
      </c>
      <c r="AW260" s="27" t="s">
        <v>8</v>
      </c>
      <c r="AX260" s="27" t="s">
        <v>7</v>
      </c>
      <c r="BC260" s="27" t="s">
        <v>8</v>
      </c>
      <c r="BD260" s="27" t="s">
        <v>7</v>
      </c>
      <c r="BE260" s="27" t="s">
        <v>8</v>
      </c>
      <c r="BF260" s="27" t="s">
        <v>7</v>
      </c>
      <c r="BG260" s="27" t="s">
        <v>8</v>
      </c>
      <c r="BH260" s="27" t="s">
        <v>7</v>
      </c>
      <c r="BI260" s="27" t="s">
        <v>8</v>
      </c>
      <c r="BJ260" s="27" t="s">
        <v>7</v>
      </c>
      <c r="BK260" s="27" t="s">
        <v>8</v>
      </c>
    </row>
    <row r="261" spans="1:172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O261" s="27" t="s">
        <v>8</v>
      </c>
      <c r="P261" s="27" t="s">
        <v>7</v>
      </c>
      <c r="Q261" s="27" t="s">
        <v>8</v>
      </c>
      <c r="R261" s="27" t="s">
        <v>7</v>
      </c>
      <c r="S261" s="27" t="s">
        <v>8</v>
      </c>
      <c r="T261" s="27" t="s">
        <v>7</v>
      </c>
      <c r="U261" s="27" t="s">
        <v>8</v>
      </c>
      <c r="V261" s="27" t="s">
        <v>7</v>
      </c>
      <c r="W261" s="27" t="s">
        <v>8</v>
      </c>
      <c r="AJ261" s="27" t="s">
        <v>7</v>
      </c>
      <c r="AK261" s="27" t="s">
        <v>8</v>
      </c>
      <c r="AL261" s="27" t="s">
        <v>7</v>
      </c>
      <c r="AM261" s="27" t="s">
        <v>8</v>
      </c>
      <c r="AN261" s="27" t="s">
        <v>7</v>
      </c>
      <c r="AO261" s="27" t="s">
        <v>8</v>
      </c>
      <c r="AP261" s="27" t="s">
        <v>7</v>
      </c>
      <c r="AS261" s="27" t="s">
        <v>8</v>
      </c>
      <c r="AU261" s="27" t="s">
        <v>8</v>
      </c>
      <c r="AV261" s="27" t="s">
        <v>7</v>
      </c>
      <c r="AW261" s="27" t="s">
        <v>8</v>
      </c>
      <c r="AX261" s="27" t="s">
        <v>7</v>
      </c>
      <c r="AY261" s="27" t="s">
        <v>8</v>
      </c>
      <c r="BC261" s="27" t="s">
        <v>8</v>
      </c>
      <c r="BD261" s="27" t="s">
        <v>7</v>
      </c>
      <c r="BE261" s="27" t="s">
        <v>8</v>
      </c>
      <c r="BF261" s="27" t="s">
        <v>7</v>
      </c>
      <c r="BG261" s="27" t="s">
        <v>8</v>
      </c>
      <c r="BH261" s="27" t="s">
        <v>7</v>
      </c>
      <c r="BI261" s="27" t="s">
        <v>8</v>
      </c>
      <c r="BJ261" s="27" t="s">
        <v>7</v>
      </c>
      <c r="BK261" s="27" t="s">
        <v>8</v>
      </c>
    </row>
    <row r="262" spans="1:172" x14ac:dyDescent="0.25">
      <c r="A262" s="30">
        <v>0.34184987108661891</v>
      </c>
      <c r="B262"/>
      <c r="C262"/>
      <c r="D262"/>
      <c r="E262"/>
      <c r="F262" s="27" t="s">
        <v>7</v>
      </c>
      <c r="G262" s="27" t="s">
        <v>8</v>
      </c>
      <c r="H262" s="27" t="s">
        <v>7</v>
      </c>
      <c r="M262" s="27" t="s">
        <v>8</v>
      </c>
      <c r="O262" s="27" t="s">
        <v>8</v>
      </c>
      <c r="P262" s="27" t="s">
        <v>7</v>
      </c>
      <c r="Q262" s="27" t="s">
        <v>8</v>
      </c>
      <c r="R262" s="27" t="s">
        <v>7</v>
      </c>
      <c r="S262" s="27" t="s">
        <v>8</v>
      </c>
      <c r="T262" s="27" t="s">
        <v>7</v>
      </c>
      <c r="U262" s="27" t="s">
        <v>8</v>
      </c>
      <c r="V262" s="27" t="s">
        <v>7</v>
      </c>
      <c r="W262" s="27" t="s">
        <v>8</v>
      </c>
      <c r="AJ262" s="27" t="s">
        <v>7</v>
      </c>
      <c r="AL262" s="27" t="s">
        <v>7</v>
      </c>
      <c r="AM262" s="27" t="s">
        <v>8</v>
      </c>
      <c r="AN262" s="27" t="s">
        <v>7</v>
      </c>
      <c r="AO262" s="27" t="s">
        <v>8</v>
      </c>
      <c r="AP262" s="27" t="s">
        <v>7</v>
      </c>
      <c r="AS262" s="27" t="s">
        <v>8</v>
      </c>
      <c r="AT262" s="27" t="s">
        <v>7</v>
      </c>
      <c r="AU262" s="27" t="s">
        <v>8</v>
      </c>
      <c r="AV262" s="27" t="s">
        <v>7</v>
      </c>
      <c r="AX262" s="27" t="s">
        <v>7</v>
      </c>
      <c r="AY262" s="27" t="s">
        <v>8</v>
      </c>
      <c r="AZ262" s="27" t="s">
        <v>7</v>
      </c>
      <c r="BC262" s="27" t="s">
        <v>8</v>
      </c>
      <c r="BD262" s="27" t="s">
        <v>7</v>
      </c>
      <c r="BE262" s="27" t="s">
        <v>8</v>
      </c>
      <c r="BF262" s="27" t="s">
        <v>7</v>
      </c>
      <c r="BG262" s="27" t="s">
        <v>8</v>
      </c>
      <c r="BH262" s="27" t="s">
        <v>7</v>
      </c>
      <c r="BI262" s="27" t="s">
        <v>8</v>
      </c>
      <c r="BJ262" s="27" t="s">
        <v>7</v>
      </c>
      <c r="BK262" s="27" t="s">
        <v>8</v>
      </c>
    </row>
    <row r="263" spans="1:172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H263" s="27" t="s">
        <v>7</v>
      </c>
      <c r="I263" s="27" t="s">
        <v>8</v>
      </c>
      <c r="M263" s="27" t="s">
        <v>8</v>
      </c>
      <c r="N263" s="27" t="s">
        <v>7</v>
      </c>
      <c r="O263" s="27" t="s">
        <v>8</v>
      </c>
      <c r="P263" s="27" t="s">
        <v>7</v>
      </c>
      <c r="R263" s="27" t="s">
        <v>7</v>
      </c>
      <c r="S263" s="27" t="s">
        <v>8</v>
      </c>
      <c r="T263" s="27" t="s">
        <v>7</v>
      </c>
      <c r="V263" s="27" t="s">
        <v>7</v>
      </c>
      <c r="W263" s="27" t="s">
        <v>8</v>
      </c>
      <c r="AL263" s="27" t="s">
        <v>7</v>
      </c>
      <c r="AM263" s="27" t="s">
        <v>8</v>
      </c>
      <c r="AN263" s="27" t="s">
        <v>7</v>
      </c>
      <c r="AP263" s="27" t="s">
        <v>7</v>
      </c>
      <c r="AQ263" s="27" t="s">
        <v>8</v>
      </c>
      <c r="AS263" s="27" t="s">
        <v>8</v>
      </c>
      <c r="AT263" s="27" t="s">
        <v>7</v>
      </c>
      <c r="AU263" s="27" t="s">
        <v>8</v>
      </c>
      <c r="AX263" s="27" t="s">
        <v>7</v>
      </c>
      <c r="AY263" s="27" t="s">
        <v>8</v>
      </c>
      <c r="AZ263" s="27" t="s">
        <v>7</v>
      </c>
      <c r="BC263" s="27" t="s">
        <v>8</v>
      </c>
      <c r="BD263" s="27" t="s">
        <v>7</v>
      </c>
      <c r="BF263" s="27" t="s">
        <v>7</v>
      </c>
      <c r="BG263" s="27" t="s">
        <v>8</v>
      </c>
      <c r="BH263" s="27" t="s">
        <v>7</v>
      </c>
      <c r="BJ263" s="27" t="s">
        <v>7</v>
      </c>
    </row>
    <row r="264" spans="1:172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H264" s="27" t="s">
        <v>7</v>
      </c>
      <c r="I264" s="27" t="s">
        <v>8</v>
      </c>
      <c r="J264" s="27" t="s">
        <v>7</v>
      </c>
      <c r="K264" s="27" t="s">
        <v>8</v>
      </c>
      <c r="M264" s="27" t="s">
        <v>8</v>
      </c>
      <c r="N264" s="27" t="s">
        <v>7</v>
      </c>
      <c r="O264" s="27" t="s">
        <v>8</v>
      </c>
      <c r="R264" s="27" t="s">
        <v>7</v>
      </c>
      <c r="S264" s="27" t="s">
        <v>8</v>
      </c>
      <c r="V264" s="27" t="s">
        <v>7</v>
      </c>
      <c r="AL264" s="27" t="s">
        <v>7</v>
      </c>
      <c r="AP264" s="27" t="s">
        <v>7</v>
      </c>
      <c r="AQ264" s="27" t="s">
        <v>8</v>
      </c>
      <c r="AR264" s="27" t="s">
        <v>7</v>
      </c>
      <c r="AS264" s="27" t="s">
        <v>8</v>
      </c>
      <c r="AT264" s="27" t="s">
        <v>7</v>
      </c>
      <c r="AU264" s="27" t="s">
        <v>8</v>
      </c>
      <c r="AX264" s="27" t="s">
        <v>7</v>
      </c>
      <c r="AZ264" s="27" t="s">
        <v>7</v>
      </c>
      <c r="BA264" s="27" t="s">
        <v>8</v>
      </c>
      <c r="BC264" s="27" t="s">
        <v>8</v>
      </c>
      <c r="BF264" s="27" t="s">
        <v>7</v>
      </c>
      <c r="BG264" s="27" t="s">
        <v>8</v>
      </c>
    </row>
    <row r="265" spans="1:172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  <c r="H265" s="27" t="s">
        <v>7</v>
      </c>
      <c r="I265" s="27" t="s">
        <v>8</v>
      </c>
      <c r="J265" s="27" t="s">
        <v>7</v>
      </c>
      <c r="K265" s="27" t="s">
        <v>8</v>
      </c>
      <c r="L265" s="27" t="s">
        <v>7</v>
      </c>
      <c r="M265" s="27" t="s">
        <v>8</v>
      </c>
      <c r="N265" s="27" t="s">
        <v>7</v>
      </c>
      <c r="R265" s="27" t="s">
        <v>7</v>
      </c>
      <c r="S265" s="27" t="s">
        <v>8</v>
      </c>
      <c r="AP265" s="27" t="s">
        <v>7</v>
      </c>
      <c r="AQ265" s="27" t="s">
        <v>8</v>
      </c>
      <c r="AR265" s="27" t="s">
        <v>7</v>
      </c>
      <c r="AS265" s="27" t="s">
        <v>8</v>
      </c>
      <c r="AT265" s="27" t="s">
        <v>7</v>
      </c>
      <c r="AZ265" s="27" t="s">
        <v>7</v>
      </c>
      <c r="BA265" s="27" t="s">
        <v>8</v>
      </c>
      <c r="BB265" s="27" t="s">
        <v>7</v>
      </c>
      <c r="BC265" s="27" t="s">
        <v>8</v>
      </c>
      <c r="BF265" s="27" t="s">
        <v>7</v>
      </c>
      <c r="BG265" s="27" t="s">
        <v>8</v>
      </c>
    </row>
    <row r="266" spans="1:172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H266" s="27" t="s">
        <v>7</v>
      </c>
      <c r="I266" s="27" t="s">
        <v>8</v>
      </c>
      <c r="J266" s="27" t="s">
        <v>7</v>
      </c>
      <c r="K266" s="27" t="s">
        <v>8</v>
      </c>
      <c r="L266" s="27" t="s">
        <v>7</v>
      </c>
      <c r="M266" s="27" t="s">
        <v>8</v>
      </c>
      <c r="R266" s="27" t="s">
        <v>7</v>
      </c>
      <c r="AP266" s="27" t="s">
        <v>7</v>
      </c>
      <c r="AQ266" s="27" t="s">
        <v>8</v>
      </c>
      <c r="AR266" s="27" t="s">
        <v>7</v>
      </c>
      <c r="AZ266" s="27" t="s">
        <v>7</v>
      </c>
      <c r="BA266" s="27" t="s">
        <v>8</v>
      </c>
      <c r="BB266" s="27" t="s">
        <v>7</v>
      </c>
      <c r="BC266" s="27" t="s">
        <v>8</v>
      </c>
      <c r="BF266" s="27" t="s">
        <v>7</v>
      </c>
    </row>
    <row r="267" spans="1:172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H267" s="27" t="s">
        <v>7</v>
      </c>
      <c r="J267" s="27" t="s">
        <v>7</v>
      </c>
      <c r="K267" s="27" t="s">
        <v>8</v>
      </c>
      <c r="L267" s="27" t="s">
        <v>7</v>
      </c>
      <c r="M267" s="27" t="s">
        <v>8</v>
      </c>
      <c r="AP267" s="27" t="s">
        <v>7</v>
      </c>
      <c r="AQ267" s="27" t="s">
        <v>8</v>
      </c>
      <c r="AZ267" s="27" t="s">
        <v>7</v>
      </c>
      <c r="BB267" s="27" t="s">
        <v>7</v>
      </c>
    </row>
    <row r="268" spans="1:172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J268" s="27" t="s">
        <v>7</v>
      </c>
      <c r="L268" s="27" t="s">
        <v>7</v>
      </c>
      <c r="M268" s="27" t="s">
        <v>8</v>
      </c>
      <c r="AP268" s="27" t="s">
        <v>7</v>
      </c>
      <c r="AQ268" s="27" t="s">
        <v>8</v>
      </c>
    </row>
    <row r="269" spans="1:172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L269" s="27" t="s">
        <v>7</v>
      </c>
      <c r="AP269" s="27" t="s">
        <v>7</v>
      </c>
    </row>
    <row r="270" spans="1:172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</row>
    <row r="271" spans="1:172" x14ac:dyDescent="0.25">
      <c r="A271" s="30">
        <v>0.22035947491033836</v>
      </c>
      <c r="B271"/>
      <c r="C271"/>
      <c r="D271"/>
      <c r="E271"/>
      <c r="F271" s="27" t="s">
        <v>7</v>
      </c>
    </row>
    <row r="272" spans="1:172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81" operator="equal">
      <formula>$U$1</formula>
    </cfRule>
    <cfRule type="cellIs" dxfId="67" priority="1082" operator="equal">
      <formula>$S$1</formula>
    </cfRule>
  </conditionalFormatting>
  <conditionalFormatting sqref="D136">
    <cfRule type="cellIs" dxfId="66" priority="1079" operator="equal">
      <formula>$S$1</formula>
    </cfRule>
    <cfRule type="cellIs" dxfId="65" priority="1080" operator="equal">
      <formula>$U$1</formula>
    </cfRule>
  </conditionalFormatting>
  <conditionalFormatting sqref="C162">
    <cfRule type="cellIs" dxfId="64" priority="1077" operator="equal">
      <formula>$U$1</formula>
    </cfRule>
    <cfRule type="cellIs" dxfId="63" priority="1078" operator="equal">
      <formula>$S$1</formula>
    </cfRule>
  </conditionalFormatting>
  <conditionalFormatting sqref="D162">
    <cfRule type="cellIs" dxfId="62" priority="1075" operator="equal">
      <formula>$S$1</formula>
    </cfRule>
    <cfRule type="cellIs" dxfId="61" priority="1076" operator="equal">
      <formula>$U$1</formula>
    </cfRule>
  </conditionalFormatting>
  <conditionalFormatting sqref="C187">
    <cfRule type="cellIs" dxfId="60" priority="1073" operator="equal">
      <formula>$U$1</formula>
    </cfRule>
    <cfRule type="cellIs" dxfId="59" priority="1074" operator="equal">
      <formula>$S$1</formula>
    </cfRule>
  </conditionalFormatting>
  <conditionalFormatting sqref="D187">
    <cfRule type="cellIs" dxfId="58" priority="1071" operator="equal">
      <formula>$S$1</formula>
    </cfRule>
    <cfRule type="cellIs" dxfId="57" priority="1072" operator="equal">
      <formula>$U$1</formula>
    </cfRule>
  </conditionalFormatting>
  <conditionalFormatting sqref="C212">
    <cfRule type="cellIs" dxfId="56" priority="1069" operator="equal">
      <formula>$U$1</formula>
    </cfRule>
    <cfRule type="cellIs" dxfId="55" priority="1070" operator="equal">
      <formula>$S$1</formula>
    </cfRule>
  </conditionalFormatting>
  <conditionalFormatting sqref="D212">
    <cfRule type="cellIs" dxfId="54" priority="1067" operator="equal">
      <formula>$S$1</formula>
    </cfRule>
    <cfRule type="cellIs" dxfId="53" priority="1068" operator="equal">
      <formula>$U$1</formula>
    </cfRule>
  </conditionalFormatting>
  <conditionalFormatting sqref="C237">
    <cfRule type="cellIs" dxfId="52" priority="1065" operator="equal">
      <formula>$U$1</formula>
    </cfRule>
    <cfRule type="cellIs" dxfId="51" priority="1066" operator="equal">
      <formula>$S$1</formula>
    </cfRule>
  </conditionalFormatting>
  <conditionalFormatting sqref="D237">
    <cfRule type="cellIs" dxfId="50" priority="1063" operator="equal">
      <formula>$S$1</formula>
    </cfRule>
    <cfRule type="cellIs" dxfId="49" priority="1064" operator="equal">
      <formula>$U$1</formula>
    </cfRule>
  </conditionalFormatting>
  <conditionalFormatting sqref="C106">
    <cfRule type="cellIs" dxfId="48" priority="1061" operator="equal">
      <formula>$U$1</formula>
    </cfRule>
    <cfRule type="cellIs" dxfId="47" priority="1062" operator="equal">
      <formula>$S$1</formula>
    </cfRule>
  </conditionalFormatting>
  <conditionalFormatting sqref="D106">
    <cfRule type="cellIs" dxfId="46" priority="1059" operator="equal">
      <formula>$S$1</formula>
    </cfRule>
    <cfRule type="cellIs" dxfId="45" priority="1060" operator="equal">
      <formula>$U$1</formula>
    </cfRule>
  </conditionalFormatting>
  <conditionalFormatting sqref="C81">
    <cfRule type="cellIs" dxfId="44" priority="1057" operator="equal">
      <formula>$U$1</formula>
    </cfRule>
    <cfRule type="cellIs" dxfId="43" priority="1058" operator="equal">
      <formula>$S$1</formula>
    </cfRule>
  </conditionalFormatting>
  <conditionalFormatting sqref="D81">
    <cfRule type="cellIs" dxfId="42" priority="1055" operator="equal">
      <formula>$S$1</formula>
    </cfRule>
    <cfRule type="cellIs" dxfId="41" priority="1056" operator="equal">
      <formula>$U$1</formula>
    </cfRule>
  </conditionalFormatting>
  <conditionalFormatting sqref="C56">
    <cfRule type="cellIs" dxfId="40" priority="1053" operator="equal">
      <formula>$U$1</formula>
    </cfRule>
    <cfRule type="cellIs" dxfId="39" priority="1054" operator="equal">
      <formula>$S$1</formula>
    </cfRule>
  </conditionalFormatting>
  <conditionalFormatting sqref="D56">
    <cfRule type="cellIs" dxfId="38" priority="1051" operator="equal">
      <formula>$S$1</formula>
    </cfRule>
    <cfRule type="cellIs" dxfId="37" priority="1052" operator="equal">
      <formula>$U$1</formula>
    </cfRule>
  </conditionalFormatting>
  <conditionalFormatting sqref="C31">
    <cfRule type="cellIs" dxfId="36" priority="1049" operator="equal">
      <formula>$U$1</formula>
    </cfRule>
    <cfRule type="cellIs" dxfId="35" priority="1050" operator="equal">
      <formula>$S$1</formula>
    </cfRule>
  </conditionalFormatting>
  <conditionalFormatting sqref="D31">
    <cfRule type="cellIs" dxfId="34" priority="1047" operator="equal">
      <formula>$S$1</formula>
    </cfRule>
    <cfRule type="cellIs" dxfId="33" priority="104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X129" sqref="AX12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27" x14ac:dyDescent="0.25">
      <c r="A97" s="30">
        <v>9.849732675807628</v>
      </c>
      <c r="E97"/>
    </row>
    <row r="98" spans="1:27" x14ac:dyDescent="0.25">
      <c r="A98" s="30">
        <v>8.9543024325523888</v>
      </c>
      <c r="C98" s="1" t="s">
        <v>13</v>
      </c>
      <c r="E98"/>
    </row>
    <row r="99" spans="1:27" x14ac:dyDescent="0.25">
      <c r="A99" s="30">
        <v>8.140274938683989</v>
      </c>
      <c r="C99" s="1">
        <f>C88</f>
        <v>0</v>
      </c>
      <c r="E99"/>
    </row>
    <row r="100" spans="1:27" x14ac:dyDescent="0.25">
      <c r="A100" s="30">
        <v>7.4002499442581717</v>
      </c>
      <c r="C100"/>
      <c r="D100"/>
      <c r="E100"/>
    </row>
    <row r="101" spans="1:27" x14ac:dyDescent="0.25">
      <c r="A101" s="30">
        <v>6.72749994932561</v>
      </c>
      <c r="C101" s="1" t="s">
        <v>14</v>
      </c>
      <c r="E101"/>
    </row>
    <row r="102" spans="1:27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27" x14ac:dyDescent="0.25">
      <c r="A103" s="30">
        <v>5.5599173134922388</v>
      </c>
      <c r="E103"/>
    </row>
    <row r="104" spans="1:27" x14ac:dyDescent="0.25">
      <c r="A104" s="30">
        <v>5.0544702849929442</v>
      </c>
      <c r="E104"/>
    </row>
    <row r="105" spans="1:27" x14ac:dyDescent="0.25">
      <c r="A105" s="30">
        <v>4.594972986357222</v>
      </c>
      <c r="E105"/>
    </row>
    <row r="106" spans="1:27" x14ac:dyDescent="0.25">
      <c r="A106" s="30">
        <v>4.1772481694156562</v>
      </c>
      <c r="E106"/>
    </row>
    <row r="107" spans="1:27" x14ac:dyDescent="0.25">
      <c r="A107" s="30">
        <v>3.7974983358324148</v>
      </c>
      <c r="E107"/>
    </row>
    <row r="108" spans="1:27" x14ac:dyDescent="0.25">
      <c r="A108" s="30">
        <v>3.4522712143931042</v>
      </c>
      <c r="E108"/>
    </row>
    <row r="109" spans="1:27" x14ac:dyDescent="0.25">
      <c r="A109" s="30">
        <v>3.1384283767210035</v>
      </c>
      <c r="E109"/>
    </row>
    <row r="110" spans="1:27" x14ac:dyDescent="0.25">
      <c r="A110" s="30">
        <v>2.8531167061100029</v>
      </c>
      <c r="E110"/>
      <c r="Y110" s="27" t="s">
        <v>8</v>
      </c>
    </row>
    <row r="111" spans="1:27" x14ac:dyDescent="0.25">
      <c r="A111" s="30">
        <v>2.5937424601000023</v>
      </c>
      <c r="C111" s="1" t="str">
        <f>ADDRESS(C121-1,1,1,1)</f>
        <v>$A$128</v>
      </c>
      <c r="D111" s="1" t="str">
        <f>ADDRESS(C121-1,D121,1,1)</f>
        <v>$AX$128</v>
      </c>
      <c r="E111"/>
      <c r="Y111" s="27" t="s">
        <v>8</v>
      </c>
      <c r="Z111" s="27" t="s">
        <v>7</v>
      </c>
    </row>
    <row r="112" spans="1:27" x14ac:dyDescent="0.25">
      <c r="A112" s="30">
        <v>2.3579476910000019</v>
      </c>
      <c r="C112" s="1" t="str">
        <f>ADDRESS(C121,1,1,1)</f>
        <v>$A$129</v>
      </c>
      <c r="D112" s="1" t="str">
        <f>ADDRESS(C121,D121-1,1,1)</f>
        <v>$AW$129</v>
      </c>
      <c r="E112"/>
      <c r="Y112" s="27" t="s">
        <v>8</v>
      </c>
      <c r="Z112" s="27" t="s">
        <v>7</v>
      </c>
      <c r="AA112" s="27" t="s">
        <v>8</v>
      </c>
    </row>
    <row r="113" spans="1:50" x14ac:dyDescent="0.25">
      <c r="A113" s="30">
        <v>2.1435888100000016</v>
      </c>
      <c r="C113" s="1" t="str">
        <f>ADDRESS(C121+1,1,1,1)</f>
        <v>$A$130</v>
      </c>
      <c r="D113" s="1" t="str">
        <f>ADDRESS(C121-1,D121+1,1,1)</f>
        <v>$AY$128</v>
      </c>
      <c r="Y113" s="27" t="s">
        <v>8</v>
      </c>
      <c r="Z113" s="27" t="s">
        <v>7</v>
      </c>
      <c r="AA113" s="27" t="s">
        <v>8</v>
      </c>
      <c r="AB113" s="27" t="s">
        <v>7</v>
      </c>
    </row>
    <row r="114" spans="1:50" x14ac:dyDescent="0.25">
      <c r="A114" s="30">
        <v>1.9487171000000014</v>
      </c>
      <c r="C114" s="1" t="str">
        <f>ADDRESS(C121,D121,1,1)</f>
        <v>$AX$129</v>
      </c>
      <c r="D114" s="1" t="str">
        <f>ADDRESS(C121+1,D121+1,1,1)</f>
        <v>$AY$130</v>
      </c>
      <c r="Y114" s="27" t="s">
        <v>8</v>
      </c>
      <c r="Z114" s="27" t="s">
        <v>7</v>
      </c>
      <c r="AA114" s="27" t="s">
        <v>8</v>
      </c>
      <c r="AB114" s="27" t="s">
        <v>7</v>
      </c>
    </row>
    <row r="115" spans="1:50" x14ac:dyDescent="0.25">
      <c r="A115" s="30">
        <v>1.7715610000000011</v>
      </c>
      <c r="C115" s="1" t="str">
        <f>ADDRESS(C121+1,D121,1,1)</f>
        <v>$AX$130</v>
      </c>
      <c r="S115" s="27" t="s">
        <v>8</v>
      </c>
      <c r="W115" s="27" t="s">
        <v>8</v>
      </c>
      <c r="Y115" s="27" t="s">
        <v>8</v>
      </c>
      <c r="Z115" s="27" t="s">
        <v>7</v>
      </c>
      <c r="AA115" s="27" t="s">
        <v>8</v>
      </c>
      <c r="AB115" s="27" t="s">
        <v>7</v>
      </c>
      <c r="AQ115" s="27" t="s">
        <v>8</v>
      </c>
    </row>
    <row r="116" spans="1:50" x14ac:dyDescent="0.25">
      <c r="A116" s="30">
        <v>1.6105100000000008</v>
      </c>
      <c r="C116" s="1">
        <f>C117-1</f>
        <v>128</v>
      </c>
      <c r="S116" s="27" t="s">
        <v>8</v>
      </c>
      <c r="T116" s="27" t="s">
        <v>7</v>
      </c>
      <c r="U116" s="27" t="s">
        <v>8</v>
      </c>
      <c r="W116" s="27" t="s">
        <v>8</v>
      </c>
      <c r="X116" s="27" t="s">
        <v>7</v>
      </c>
      <c r="Y116" s="27" t="s">
        <v>8</v>
      </c>
      <c r="Z116" s="27" t="s">
        <v>7</v>
      </c>
      <c r="AA116" s="27" t="s">
        <v>8</v>
      </c>
      <c r="AB116" s="27" t="s">
        <v>7</v>
      </c>
      <c r="AQ116" s="27" t="s">
        <v>8</v>
      </c>
      <c r="AR116" s="27" t="s">
        <v>7</v>
      </c>
    </row>
    <row r="117" spans="1:50" x14ac:dyDescent="0.25">
      <c r="A117" s="30">
        <v>1.4641000000000006</v>
      </c>
      <c r="C117" s="1">
        <f>C121</f>
        <v>129</v>
      </c>
      <c r="D117" s="1">
        <f>D121</f>
        <v>50</v>
      </c>
      <c r="S117" s="27" t="s">
        <v>8</v>
      </c>
      <c r="T117" s="27" t="s">
        <v>7</v>
      </c>
      <c r="U117" s="27" t="s">
        <v>8</v>
      </c>
      <c r="V117" s="27" t="s">
        <v>7</v>
      </c>
      <c r="W117" s="27" t="s">
        <v>8</v>
      </c>
      <c r="X117" s="27" t="s">
        <v>7</v>
      </c>
      <c r="Y117" s="27" t="s">
        <v>8</v>
      </c>
      <c r="Z117" s="27" t="s">
        <v>7</v>
      </c>
      <c r="AA117" s="27" t="s">
        <v>8</v>
      </c>
      <c r="AB117" s="27" t="s">
        <v>7</v>
      </c>
      <c r="AQ117" s="27" t="s">
        <v>8</v>
      </c>
      <c r="AR117" s="27" t="s">
        <v>7</v>
      </c>
    </row>
    <row r="118" spans="1:50" x14ac:dyDescent="0.25">
      <c r="A118" s="30">
        <v>1.3310000000000004</v>
      </c>
      <c r="C118" s="1">
        <f>C117+1</f>
        <v>130</v>
      </c>
      <c r="D118" s="1">
        <f>D117+1</f>
        <v>51</v>
      </c>
      <c r="S118" s="27" t="s">
        <v>8</v>
      </c>
      <c r="T118" s="27" t="s">
        <v>7</v>
      </c>
      <c r="U118" s="27" t="s">
        <v>8</v>
      </c>
      <c r="V118" s="27" t="s">
        <v>7</v>
      </c>
      <c r="W118" s="27" t="s">
        <v>8</v>
      </c>
      <c r="X118" s="27" t="s">
        <v>7</v>
      </c>
      <c r="Z118" s="27" t="s">
        <v>7</v>
      </c>
      <c r="AA118" s="27" t="s">
        <v>8</v>
      </c>
      <c r="AB118" s="27" t="s">
        <v>7</v>
      </c>
      <c r="AK118" s="27" t="s">
        <v>8</v>
      </c>
      <c r="AQ118" s="27" t="s">
        <v>8</v>
      </c>
      <c r="AR118" s="27" t="s">
        <v>7</v>
      </c>
      <c r="AU118" s="27" t="s">
        <v>8</v>
      </c>
    </row>
    <row r="119" spans="1:50" x14ac:dyDescent="0.25">
      <c r="A119" s="30">
        <v>1.2100000000000002</v>
      </c>
      <c r="S119" s="27" t="s">
        <v>8</v>
      </c>
      <c r="T119" s="27" t="s">
        <v>7</v>
      </c>
      <c r="U119" s="27" t="s">
        <v>8</v>
      </c>
      <c r="V119" s="27" t="s">
        <v>7</v>
      </c>
      <c r="Z119" s="27" t="s">
        <v>7</v>
      </c>
      <c r="AB119" s="27" t="s">
        <v>7</v>
      </c>
      <c r="AK119" s="27" t="s">
        <v>8</v>
      </c>
      <c r="AL119" s="27" t="s">
        <v>7</v>
      </c>
      <c r="AO119" s="27" t="s">
        <v>8</v>
      </c>
      <c r="AQ119" s="27" t="s">
        <v>8</v>
      </c>
      <c r="AR119" s="27" t="s">
        <v>7</v>
      </c>
      <c r="AU119" s="27" t="s">
        <v>8</v>
      </c>
      <c r="AV119" s="27" t="s">
        <v>7</v>
      </c>
      <c r="AW119" s="27" t="s">
        <v>8</v>
      </c>
    </row>
    <row r="120" spans="1:50" x14ac:dyDescent="0.25">
      <c r="A120" s="30">
        <v>1.1000000000000001</v>
      </c>
      <c r="C120" s="1" t="s">
        <v>9</v>
      </c>
      <c r="S120" s="27" t="s">
        <v>8</v>
      </c>
      <c r="T120" s="27" t="s">
        <v>7</v>
      </c>
      <c r="U120" s="27" t="s">
        <v>8</v>
      </c>
      <c r="AB120" s="27" t="s">
        <v>7</v>
      </c>
      <c r="AC120" s="27" t="s">
        <v>8</v>
      </c>
      <c r="AI120" s="27" t="s">
        <v>8</v>
      </c>
      <c r="AK120" s="27" t="s">
        <v>8</v>
      </c>
      <c r="AL120" s="27" t="s">
        <v>7</v>
      </c>
      <c r="AM120" s="27" t="s">
        <v>8</v>
      </c>
      <c r="AO120" s="27" t="s">
        <v>8</v>
      </c>
      <c r="AP120" s="27" t="s">
        <v>7</v>
      </c>
      <c r="AQ120" s="27" t="s">
        <v>8</v>
      </c>
      <c r="AR120" s="27" t="s">
        <v>7</v>
      </c>
      <c r="AS120" s="27" t="s">
        <v>8</v>
      </c>
      <c r="AU120" s="27" t="s">
        <v>8</v>
      </c>
      <c r="AV120" s="27" t="s">
        <v>7</v>
      </c>
      <c r="AW120" s="27" t="s">
        <v>8</v>
      </c>
      <c r="AX120" s="27" t="s">
        <v>7</v>
      </c>
    </row>
    <row r="121" spans="1:50" x14ac:dyDescent="0.25">
      <c r="A121" s="30">
        <v>1</v>
      </c>
      <c r="C121" s="18">
        <v>129</v>
      </c>
      <c r="D121" s="19">
        <v>50</v>
      </c>
      <c r="E121" s="18" t="s">
        <v>8</v>
      </c>
      <c r="S121" s="27" t="s">
        <v>8</v>
      </c>
      <c r="T121" s="27" t="s">
        <v>7</v>
      </c>
      <c r="U121" s="27" t="s">
        <v>8</v>
      </c>
      <c r="AB121" s="27" t="s">
        <v>7</v>
      </c>
      <c r="AC121" s="27" t="s">
        <v>8</v>
      </c>
      <c r="AD121" s="27" t="s">
        <v>7</v>
      </c>
      <c r="AI121" s="27" t="s">
        <v>8</v>
      </c>
      <c r="AJ121" s="27" t="s">
        <v>7</v>
      </c>
      <c r="AK121" s="27" t="s">
        <v>8</v>
      </c>
      <c r="AL121" s="27" t="s">
        <v>7</v>
      </c>
      <c r="AM121" s="27" t="s">
        <v>8</v>
      </c>
      <c r="AN121" s="27" t="s">
        <v>7</v>
      </c>
      <c r="AO121" s="27" t="s">
        <v>8</v>
      </c>
      <c r="AP121" s="27" t="s">
        <v>7</v>
      </c>
      <c r="AQ121" s="27" t="s">
        <v>8</v>
      </c>
      <c r="AR121" s="27" t="s">
        <v>7</v>
      </c>
      <c r="AS121" s="27" t="s">
        <v>8</v>
      </c>
      <c r="AT121" s="27" t="s">
        <v>7</v>
      </c>
      <c r="AU121" s="27" t="s">
        <v>8</v>
      </c>
      <c r="AV121" s="27" t="s">
        <v>7</v>
      </c>
      <c r="AW121" s="27" t="s">
        <v>8</v>
      </c>
      <c r="AX121" s="27" t="s">
        <v>7</v>
      </c>
    </row>
    <row r="122" spans="1:50" x14ac:dyDescent="0.25">
      <c r="A122" s="30">
        <v>0.90909090909090895</v>
      </c>
      <c r="C122" s="1" t="str">
        <f>INDEX(1:1048576,C117,D117)</f>
        <v>O</v>
      </c>
      <c r="F122" s="27" t="s">
        <v>7</v>
      </c>
      <c r="S122" s="27" t="s">
        <v>8</v>
      </c>
      <c r="T122" s="27" t="s">
        <v>7</v>
      </c>
      <c r="U122" s="27" t="s">
        <v>8</v>
      </c>
      <c r="AB122" s="27" t="s">
        <v>7</v>
      </c>
      <c r="AC122" s="27" t="s">
        <v>8</v>
      </c>
      <c r="AD122" s="27" t="s">
        <v>7</v>
      </c>
      <c r="AE122" s="27" t="s">
        <v>8</v>
      </c>
      <c r="AI122" s="27" t="s">
        <v>8</v>
      </c>
      <c r="AJ122" s="27" t="s">
        <v>7</v>
      </c>
      <c r="AK122" s="27" t="s">
        <v>8</v>
      </c>
      <c r="AL122" s="27" t="s">
        <v>7</v>
      </c>
      <c r="AM122" s="27" t="s">
        <v>8</v>
      </c>
      <c r="AN122" s="27" t="s">
        <v>7</v>
      </c>
      <c r="AO122" s="27" t="s">
        <v>8</v>
      </c>
      <c r="AP122" s="27" t="s">
        <v>7</v>
      </c>
      <c r="AR122" s="27" t="s">
        <v>7</v>
      </c>
      <c r="AS122" s="27" t="s">
        <v>8</v>
      </c>
      <c r="AT122" s="27" t="s">
        <v>7</v>
      </c>
      <c r="AU122" s="27" t="s">
        <v>8</v>
      </c>
      <c r="AV122" s="27" t="s">
        <v>7</v>
      </c>
      <c r="AX122" s="27" t="s">
        <v>7</v>
      </c>
    </row>
    <row r="123" spans="1:50" x14ac:dyDescent="0.25">
      <c r="A123" s="30">
        <v>0.82644628099173523</v>
      </c>
      <c r="C123" s="1" t="str">
        <f>"R"&amp;C121</f>
        <v>R129</v>
      </c>
      <c r="D123" s="1" t="str">
        <f>"C"&amp;D121</f>
        <v>C50</v>
      </c>
      <c r="F123" s="27" t="s">
        <v>7</v>
      </c>
      <c r="S123" s="27" t="s">
        <v>8</v>
      </c>
      <c r="T123" s="27" t="s">
        <v>7</v>
      </c>
      <c r="U123" s="27" t="s">
        <v>8</v>
      </c>
      <c r="AB123" s="27" t="s">
        <v>7</v>
      </c>
      <c r="AD123" s="27" t="s">
        <v>7</v>
      </c>
      <c r="AE123" s="27" t="s">
        <v>8</v>
      </c>
      <c r="AF123" s="27" t="s">
        <v>7</v>
      </c>
      <c r="AI123" s="27" t="s">
        <v>8</v>
      </c>
      <c r="AJ123" s="27" t="s">
        <v>7</v>
      </c>
      <c r="AK123" s="27" t="s">
        <v>8</v>
      </c>
      <c r="AL123" s="27" t="s">
        <v>7</v>
      </c>
      <c r="AM123" s="27" t="s">
        <v>8</v>
      </c>
      <c r="AN123" s="27" t="s">
        <v>7</v>
      </c>
      <c r="AO123" s="27" t="s">
        <v>8</v>
      </c>
      <c r="AR123" s="27" t="s">
        <v>7</v>
      </c>
      <c r="AT123" s="27" t="s">
        <v>7</v>
      </c>
      <c r="AX123" s="27" t="s">
        <v>7</v>
      </c>
    </row>
    <row r="124" spans="1:5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M124" s="27" t="s">
        <v>8</v>
      </c>
      <c r="S124" s="27" t="s">
        <v>8</v>
      </c>
      <c r="T124" s="27" t="s">
        <v>7</v>
      </c>
      <c r="U124" s="27" t="s">
        <v>8</v>
      </c>
      <c r="AD124" s="27" t="s">
        <v>7</v>
      </c>
      <c r="AE124" s="27" t="s">
        <v>8</v>
      </c>
      <c r="AF124" s="27" t="s">
        <v>7</v>
      </c>
      <c r="AI124" s="27" t="s">
        <v>8</v>
      </c>
      <c r="AJ124" s="27" t="s">
        <v>7</v>
      </c>
      <c r="AL124" s="27" t="s">
        <v>7</v>
      </c>
      <c r="AN124" s="27" t="s">
        <v>7</v>
      </c>
      <c r="AX124" s="27" t="s">
        <v>7</v>
      </c>
    </row>
    <row r="125" spans="1:50" x14ac:dyDescent="0.25">
      <c r="A125" s="30">
        <v>0.68301345536507019</v>
      </c>
      <c r="F125" s="27" t="s">
        <v>7</v>
      </c>
      <c r="M125" s="27" t="s">
        <v>8</v>
      </c>
      <c r="N125" s="27" t="s">
        <v>7</v>
      </c>
      <c r="S125" s="27" t="s">
        <v>8</v>
      </c>
      <c r="T125" s="27" t="s">
        <v>7</v>
      </c>
      <c r="AD125" s="27" t="s">
        <v>7</v>
      </c>
      <c r="AE125" s="27" t="s">
        <v>8</v>
      </c>
      <c r="AF125" s="27" t="s">
        <v>7</v>
      </c>
      <c r="AG125" s="27" t="s">
        <v>8</v>
      </c>
      <c r="AI125" s="27" t="s">
        <v>8</v>
      </c>
      <c r="AX125" s="27" t="s">
        <v>7</v>
      </c>
    </row>
    <row r="126" spans="1:50" x14ac:dyDescent="0.25">
      <c r="A126" s="30">
        <v>0.6209213230591546</v>
      </c>
      <c r="C126" s="1" t="s">
        <v>10</v>
      </c>
      <c r="F126" s="27" t="s">
        <v>7</v>
      </c>
      <c r="M126" s="27" t="s">
        <v>8</v>
      </c>
      <c r="N126" s="27" t="s">
        <v>7</v>
      </c>
      <c r="S126" s="27" t="s">
        <v>8</v>
      </c>
      <c r="AD126" s="27" t="s">
        <v>7</v>
      </c>
      <c r="AE126" s="27" t="s">
        <v>8</v>
      </c>
      <c r="AF126" s="27" t="s">
        <v>7</v>
      </c>
      <c r="AG126" s="27" t="s">
        <v>8</v>
      </c>
      <c r="AH126" s="27" t="s">
        <v>7</v>
      </c>
      <c r="AI126" s="27" t="s">
        <v>8</v>
      </c>
      <c r="AX126" s="27" t="s">
        <v>7</v>
      </c>
    </row>
    <row r="127" spans="1:50" x14ac:dyDescent="0.25">
      <c r="A127" s="30">
        <v>0.56447393005377677</v>
      </c>
      <c r="C127" s="30">
        <v>0.46650738020973276</v>
      </c>
      <c r="D127"/>
      <c r="F127" s="27" t="s">
        <v>7</v>
      </c>
      <c r="M127" s="27" t="s">
        <v>8</v>
      </c>
      <c r="N127" s="27" t="s">
        <v>7</v>
      </c>
      <c r="S127" s="27" t="s">
        <v>8</v>
      </c>
      <c r="AD127" s="27" t="s">
        <v>7</v>
      </c>
      <c r="AF127" s="27" t="s">
        <v>7</v>
      </c>
      <c r="AG127" s="27" t="s">
        <v>8</v>
      </c>
      <c r="AH127" s="27" t="s">
        <v>7</v>
      </c>
      <c r="AI127" s="27" t="s">
        <v>8</v>
      </c>
      <c r="AX127" s="27" t="s">
        <v>7</v>
      </c>
    </row>
    <row r="128" spans="1:50" x14ac:dyDescent="0.25">
      <c r="A128" s="30">
        <v>0.51315811823070612</v>
      </c>
      <c r="F128" s="27" t="s">
        <v>7</v>
      </c>
      <c r="M128" s="27" t="s">
        <v>8</v>
      </c>
      <c r="N128" s="27" t="s">
        <v>7</v>
      </c>
      <c r="S128" s="27" t="s">
        <v>8</v>
      </c>
      <c r="AF128" s="27" t="s">
        <v>7</v>
      </c>
      <c r="AG128" s="27" t="s">
        <v>8</v>
      </c>
      <c r="AH128" s="27" t="s">
        <v>7</v>
      </c>
      <c r="AI128" s="27" t="s">
        <v>8</v>
      </c>
      <c r="AX128" s="27" t="s">
        <v>7</v>
      </c>
    </row>
    <row r="129" spans="1:5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M129" s="27" t="s">
        <v>8</v>
      </c>
      <c r="N129" s="27" t="s">
        <v>7</v>
      </c>
      <c r="S129" s="27" t="s">
        <v>8</v>
      </c>
      <c r="AF129" s="27" t="s">
        <v>7</v>
      </c>
      <c r="AG129" s="27" t="s">
        <v>8</v>
      </c>
      <c r="AH129" s="18" t="s">
        <v>7</v>
      </c>
      <c r="AI129" s="27" t="s">
        <v>8</v>
      </c>
      <c r="AX129" s="27" t="s">
        <v>7</v>
      </c>
    </row>
    <row r="130" spans="1:50" x14ac:dyDescent="0.25">
      <c r="A130" s="30">
        <v>0.42409761837248428</v>
      </c>
      <c r="C130" s="6"/>
      <c r="D130" s="6"/>
      <c r="E130"/>
      <c r="F130" s="27" t="s">
        <v>7</v>
      </c>
      <c r="K130" s="27" t="s">
        <v>8</v>
      </c>
      <c r="M130" s="27" t="s">
        <v>8</v>
      </c>
      <c r="N130" s="27" t="s">
        <v>7</v>
      </c>
      <c r="O130" s="27" t="s">
        <v>8</v>
      </c>
      <c r="S130" s="27" t="s">
        <v>8</v>
      </c>
      <c r="AF130" s="27" t="s">
        <v>7</v>
      </c>
      <c r="AH130" s="27" t="s">
        <v>7</v>
      </c>
    </row>
    <row r="131" spans="1:50" x14ac:dyDescent="0.25">
      <c r="A131" s="30">
        <v>0.38554328942953109</v>
      </c>
      <c r="E131"/>
      <c r="F131" s="27" t="s">
        <v>7</v>
      </c>
      <c r="I131" s="27" t="s">
        <v>8</v>
      </c>
      <c r="K131" s="27" t="s">
        <v>8</v>
      </c>
      <c r="L131" s="27" t="s">
        <v>7</v>
      </c>
      <c r="M131" s="27" t="s">
        <v>8</v>
      </c>
      <c r="N131" s="27" t="s">
        <v>7</v>
      </c>
      <c r="O131" s="27" t="s">
        <v>8</v>
      </c>
      <c r="P131" s="27" t="s">
        <v>7</v>
      </c>
      <c r="Q131" s="27" t="s">
        <v>8</v>
      </c>
      <c r="S131" s="27" t="s">
        <v>8</v>
      </c>
    </row>
    <row r="132" spans="1:50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I132" s="27" t="s">
        <v>8</v>
      </c>
      <c r="J132" s="27" t="s">
        <v>7</v>
      </c>
      <c r="K132" s="27" t="s">
        <v>8</v>
      </c>
      <c r="L132" s="27" t="s">
        <v>7</v>
      </c>
      <c r="M132" s="27" t="s">
        <v>8</v>
      </c>
      <c r="N132" s="27" t="s">
        <v>7</v>
      </c>
      <c r="O132" s="27" t="s">
        <v>8</v>
      </c>
      <c r="P132" s="27" t="s">
        <v>7</v>
      </c>
      <c r="Q132" s="27" t="s">
        <v>8</v>
      </c>
      <c r="R132" s="27" t="s">
        <v>7</v>
      </c>
      <c r="S132" s="27" t="s">
        <v>8</v>
      </c>
    </row>
    <row r="133" spans="1:50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J133" s="27" t="s">
        <v>7</v>
      </c>
      <c r="K133" s="27" t="s">
        <v>8</v>
      </c>
      <c r="L133" s="27" t="s">
        <v>7</v>
      </c>
      <c r="N133" s="27" t="s">
        <v>7</v>
      </c>
      <c r="O133" s="27" t="s">
        <v>8</v>
      </c>
      <c r="P133" s="27" t="s">
        <v>7</v>
      </c>
      <c r="Q133" s="27" t="s">
        <v>8</v>
      </c>
      <c r="R133" s="27" t="s">
        <v>7</v>
      </c>
      <c r="S133" s="27" t="s">
        <v>8</v>
      </c>
    </row>
    <row r="134" spans="1:50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I134" s="27" t="s">
        <v>8</v>
      </c>
      <c r="J134" s="27" t="s">
        <v>7</v>
      </c>
      <c r="N134" s="27" t="s">
        <v>7</v>
      </c>
      <c r="O134" s="27" t="s">
        <v>8</v>
      </c>
      <c r="P134" s="27" t="s">
        <v>7</v>
      </c>
      <c r="Q134" s="27" t="s">
        <v>8</v>
      </c>
      <c r="R134" s="27" t="s">
        <v>7</v>
      </c>
    </row>
    <row r="135" spans="1:50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27" t="s">
        <v>7</v>
      </c>
      <c r="N135" s="27" t="s">
        <v>7</v>
      </c>
      <c r="O135" s="27" t="s">
        <v>8</v>
      </c>
      <c r="P135" s="27" t="s">
        <v>7</v>
      </c>
    </row>
    <row r="136" spans="1:5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N136" s="27" t="s">
        <v>7</v>
      </c>
    </row>
    <row r="137" spans="1:50" x14ac:dyDescent="0.25">
      <c r="A137" s="30">
        <v>0.2176291357901482</v>
      </c>
      <c r="E137"/>
      <c r="F137" s="27" t="s">
        <v>7</v>
      </c>
    </row>
    <row r="138" spans="1:5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0" x14ac:dyDescent="0.25">
      <c r="A139" s="30">
        <v>0.17985878990921333</v>
      </c>
      <c r="E139"/>
    </row>
    <row r="140" spans="1:50" x14ac:dyDescent="0.25">
      <c r="A140" s="30">
        <v>0.16350799082655756</v>
      </c>
      <c r="C140" s="1">
        <v>0</v>
      </c>
      <c r="E140"/>
    </row>
    <row r="141" spans="1:50" x14ac:dyDescent="0.25">
      <c r="A141" s="30">
        <v>0.14864362802414322</v>
      </c>
      <c r="C141" s="1">
        <v>1</v>
      </c>
      <c r="E141"/>
    </row>
    <row r="142" spans="1:50" x14ac:dyDescent="0.25">
      <c r="A142" s="30">
        <v>0.13513057093103928</v>
      </c>
      <c r="C142" s="1">
        <v>2</v>
      </c>
      <c r="E142"/>
    </row>
    <row r="143" spans="1:50" x14ac:dyDescent="0.25">
      <c r="A143" s="30">
        <v>0.12284597357367205</v>
      </c>
      <c r="C143" s="1">
        <v>3</v>
      </c>
      <c r="E143"/>
    </row>
    <row r="144" spans="1:50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65" operator="equal">
      <formula>$U$1</formula>
    </cfRule>
    <cfRule type="cellIs" dxfId="30" priority="1066" operator="equal">
      <formula>$S$1</formula>
    </cfRule>
  </conditionalFormatting>
  <conditionalFormatting sqref="D136">
    <cfRule type="cellIs" dxfId="29" priority="1063" operator="equal">
      <formula>$S$1</formula>
    </cfRule>
    <cfRule type="cellIs" dxfId="28" priority="1064" operator="equal">
      <formula>$U$1</formula>
    </cfRule>
  </conditionalFormatting>
  <conditionalFormatting sqref="C102">
    <cfRule type="cellIs" dxfId="27" priority="1061" operator="equal">
      <formula>$U$1</formula>
    </cfRule>
    <cfRule type="cellIs" dxfId="26" priority="1062" operator="equal">
      <formula>$S$1</formula>
    </cfRule>
  </conditionalFormatting>
  <conditionalFormatting sqref="D102">
    <cfRule type="cellIs" dxfId="25" priority="1059" operator="equal">
      <formula>$S$1</formula>
    </cfRule>
    <cfRule type="cellIs" dxfId="24" priority="1060" operator="equal">
      <formula>$U$1</formula>
    </cfRule>
  </conditionalFormatting>
  <conditionalFormatting sqref="C77">
    <cfRule type="cellIs" dxfId="23" priority="1057" operator="equal">
      <formula>$U$1</formula>
    </cfRule>
    <cfRule type="cellIs" dxfId="22" priority="1058" operator="equal">
      <formula>$S$1</formula>
    </cfRule>
  </conditionalFormatting>
  <conditionalFormatting sqref="D77">
    <cfRule type="cellIs" dxfId="21" priority="1055" operator="equal">
      <formula>$S$1</formula>
    </cfRule>
    <cfRule type="cellIs" dxfId="20" priority="1056" operator="equal">
      <formula>$U$1</formula>
    </cfRule>
  </conditionalFormatting>
  <conditionalFormatting sqref="C52">
    <cfRule type="cellIs" dxfId="19" priority="1053" operator="equal">
      <formula>$U$1</formula>
    </cfRule>
    <cfRule type="cellIs" dxfId="18" priority="1054" operator="equal">
      <formula>$S$1</formula>
    </cfRule>
  </conditionalFormatting>
  <conditionalFormatting sqref="D52">
    <cfRule type="cellIs" dxfId="17" priority="1051" operator="equal">
      <formula>$S$1</formula>
    </cfRule>
    <cfRule type="cellIs" dxfId="16" priority="1052" operator="equal">
      <formula>$U$1</formula>
    </cfRule>
  </conditionalFormatting>
  <conditionalFormatting sqref="C26">
    <cfRule type="cellIs" dxfId="15" priority="1049" operator="equal">
      <formula>$U$1</formula>
    </cfRule>
    <cfRule type="cellIs" dxfId="14" priority="1050" operator="equal">
      <formula>$S$1</formula>
    </cfRule>
  </conditionalFormatting>
  <conditionalFormatting sqref="D26">
    <cfRule type="cellIs" dxfId="13" priority="1047" operator="equal">
      <formula>$S$1</formula>
    </cfRule>
    <cfRule type="cellIs" dxfId="12" priority="104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2022-01-28T01:23:10Z</dcterms:modified>
</cp:coreProperties>
</file>