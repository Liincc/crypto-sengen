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6EF91087-25B1-41B5-9A3F-6F63AF169117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16" i="5"/>
  <c r="C2" i="1" l="1"/>
  <c r="D2" i="1"/>
  <c r="C122" i="4"/>
  <c r="C133" i="4" s="1"/>
  <c r="D136" i="4" s="1"/>
  <c r="C116" i="4"/>
  <c r="C118" i="5"/>
  <c r="D136" i="5"/>
  <c r="C136" i="5"/>
  <c r="C122" i="3"/>
  <c r="C133" i="3" s="1"/>
  <c r="D136" i="3" s="1"/>
  <c r="C116" i="3"/>
  <c r="C118" i="3"/>
  <c r="R765" i="1"/>
  <c r="C136" i="4" l="1"/>
  <c r="C138" i="4" s="1"/>
  <c r="C138" i="5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S739" i="1" l="1"/>
  <c r="T739" i="1" s="1"/>
  <c r="R738" i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S684" i="1" l="1"/>
  <c r="T684" i="1" s="1"/>
  <c r="R683" i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S667" i="1" l="1"/>
  <c r="T667" i="1" s="1"/>
  <c r="R666" i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S660" i="1" l="1"/>
  <c r="T660" i="1" s="1"/>
  <c r="R659" i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S652" i="1" l="1"/>
  <c r="T652" i="1" s="1"/>
  <c r="R651" i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S643" i="1" l="1"/>
  <c r="T643" i="1" s="1"/>
  <c r="R642" i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S636" i="1" l="1"/>
  <c r="T636" i="1" s="1"/>
  <c r="R635" i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S612" i="1" l="1"/>
  <c r="T612" i="1" s="1"/>
  <c r="R611" i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S588" i="1" l="1"/>
  <c r="T588" i="1" s="1"/>
  <c r="R587" i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S576" i="1" l="1"/>
  <c r="T576" i="1" s="1"/>
  <c r="R575" i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S564" i="1" l="1"/>
  <c r="T564" i="1" s="1"/>
  <c r="R563" i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S547" i="1" l="1"/>
  <c r="T547" i="1" s="1"/>
  <c r="R546" i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S540" i="1" l="1"/>
  <c r="T540" i="1" s="1"/>
  <c r="R539" i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S535" i="1" l="1"/>
  <c r="T535" i="1" s="1"/>
  <c r="R534" i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S528" i="1" l="1"/>
  <c r="T528" i="1" s="1"/>
  <c r="R527" i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S523" i="1" l="1"/>
  <c r="T523" i="1" s="1"/>
  <c r="R522" i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S516" i="1" l="1"/>
  <c r="T516" i="1" s="1"/>
  <c r="R515" i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S504" i="1" l="1"/>
  <c r="T504" i="1" s="1"/>
  <c r="R503" i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S492" i="1" l="1"/>
  <c r="T492" i="1" s="1"/>
  <c r="R491" i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S480" i="1" l="1"/>
  <c r="T480" i="1" s="1"/>
  <c r="R479" i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S468" i="1" l="1"/>
  <c r="T468" i="1" s="1"/>
  <c r="R467" i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S456" i="1" l="1"/>
  <c r="T456" i="1" s="1"/>
  <c r="R455" i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S444" i="1" l="1"/>
  <c r="T444" i="1" s="1"/>
  <c r="R443" i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S432" i="1" l="1"/>
  <c r="T432" i="1" s="1"/>
  <c r="R431" i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S420" i="1" l="1"/>
  <c r="T420" i="1" s="1"/>
  <c r="R419" i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S408" i="1" l="1"/>
  <c r="T408" i="1" s="1"/>
  <c r="R407" i="1"/>
  <c r="S407" i="1" l="1"/>
  <c r="T407" i="1" s="1"/>
  <c r="R406" i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S396" i="1" l="1"/>
  <c r="T396" i="1" s="1"/>
  <c r="R395" i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S384" i="1" l="1"/>
  <c r="T384" i="1" s="1"/>
  <c r="R383" i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S372" i="1" l="1"/>
  <c r="T372" i="1" s="1"/>
  <c r="R371" i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S360" i="1" l="1"/>
  <c r="T360" i="1" s="1"/>
  <c r="R359" i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S348" i="1" l="1"/>
  <c r="T348" i="1" s="1"/>
  <c r="R347" i="1"/>
  <c r="S347" i="1" l="1"/>
  <c r="T347" i="1" s="1"/>
  <c r="R346" i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S336" i="1" l="1"/>
  <c r="T336" i="1" s="1"/>
  <c r="R335" i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S261" i="1" l="1"/>
  <c r="T261" i="1" s="1"/>
  <c r="R260" i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S252" i="1" l="1"/>
  <c r="T252" i="1" s="1"/>
  <c r="R251" i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S181" i="1" l="1"/>
  <c r="T181" i="1" s="1"/>
  <c r="R180" i="1"/>
  <c r="R179" i="1" l="1"/>
  <c r="S180" i="1"/>
  <c r="T180" i="1" s="1"/>
  <c r="R178" i="1" l="1"/>
  <c r="S179" i="1"/>
  <c r="T179" i="1" s="1"/>
  <c r="R177" i="1" l="1"/>
  <c r="S178" i="1"/>
  <c r="T178" i="1" s="1"/>
  <c r="S177" i="1" l="1"/>
  <c r="T177" i="1" s="1"/>
  <c r="R176" i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S157" i="1" l="1"/>
  <c r="T157" i="1" s="1"/>
  <c r="R156" i="1"/>
  <c r="S156" i="1" l="1"/>
  <c r="T156" i="1" s="1"/>
  <c r="R155" i="1"/>
  <c r="R154" i="1" l="1"/>
  <c r="S155" i="1"/>
  <c r="T155" i="1" s="1"/>
  <c r="S154" i="1" l="1"/>
  <c r="T154" i="1" s="1"/>
  <c r="R153" i="1"/>
  <c r="S153" i="1" l="1"/>
  <c r="T153" i="1" s="1"/>
  <c r="R152" i="1"/>
  <c r="S152" i="1" l="1"/>
  <c r="T152" i="1" s="1"/>
  <c r="R151" i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S141" i="1" l="1"/>
  <c r="T141" i="1" s="1"/>
  <c r="R140" i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S133" i="1" l="1"/>
  <c r="T133" i="1" s="1"/>
  <c r="R132" i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S98" i="1" l="1"/>
  <c r="T98" i="1" s="1"/>
  <c r="R97" i="1"/>
  <c r="S97" i="1" l="1"/>
  <c r="T97" i="1" s="1"/>
  <c r="R96" i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R84" i="1" l="1"/>
  <c r="S85" i="1"/>
  <c r="T85" i="1" s="1"/>
  <c r="R83" i="1" l="1"/>
  <c r="S84" i="1"/>
  <c r="T84" i="1" s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S74" i="1" l="1"/>
  <c r="T74" i="1" s="1"/>
  <c r="R73" i="1"/>
  <c r="S73" i="1" l="1"/>
  <c r="T73" i="1" s="1"/>
  <c r="R72" i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S43" i="1" l="1"/>
  <c r="T43" i="1" s="1"/>
  <c r="R42" i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R37" i="1" l="1"/>
  <c r="S38" i="1"/>
  <c r="T38" i="1" s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<sst xmlns="http://schemas.openxmlformats.org/spreadsheetml/2006/main" count="3720" uniqueCount="34">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</sst>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29.34</c:v>
                </c:pt>
                <c:pt idx="1">
                  <c:v>30.2</c:v>
                </c:pt>
                <c:pt idx="2">
                  <c:v>32.71</c:v>
                </c:pt>
                <c:pt idx="3">
                  <c:v>33.270000000000003</c:v>
                </c:pt>
                <c:pt idx="4">
                  <c:v>34.28</c:v>
                </c:pt>
                <c:pt idx="5">
                  <c:v>31.12</c:v>
                </c:pt>
                <c:pt idx="6">
                  <c:v>32.31</c:v>
                </c:pt>
                <c:pt idx="7">
                  <c:v>39.950000000000003</c:v>
                </c:pt>
                <c:pt idx="8">
                  <c:v>42.02</c:v>
                </c:pt>
                <c:pt idx="9">
                  <c:v>44.4</c:v>
                </c:pt>
                <c:pt idx="10">
                  <c:v>47.53</c:v>
                </c:pt>
                <c:pt idx="11">
                  <c:v>49.35</c:v>
                </c:pt>
                <c:pt idx="12">
                  <c:v>49.75</c:v>
                </c:pt>
                <c:pt idx="13">
                  <c:v>50.29</c:v>
                </c:pt>
                <c:pt idx="14">
                  <c:v>49.49</c:v>
                </c:pt>
                <c:pt idx="15">
                  <c:v>52.01</c:v>
                </c:pt>
                <c:pt idx="16">
                  <c:v>48.27</c:v>
                </c:pt>
                <c:pt idx="17">
                  <c:v>46.26</c:v>
                </c:pt>
                <c:pt idx="18">
                  <c:v>50.38</c:v>
                </c:pt>
                <c:pt idx="19">
                  <c:v>47.63</c:v>
                </c:pt>
                <c:pt idx="20">
                  <c:v>49.56</c:v>
                </c:pt>
                <c:pt idx="21">
                  <c:v>55.21</c:v>
                </c:pt>
                <c:pt idx="22">
                  <c:v>56.26</c:v>
                </c:pt>
                <c:pt idx="23">
                  <c:v>62.75</c:v>
                </c:pt>
                <c:pt idx="24">
                  <c:v>59.83</c:v>
                </c:pt>
                <c:pt idx="25">
                  <c:v>60.16</c:v>
                </c:pt>
                <c:pt idx="26">
                  <c:v>66.05</c:v>
                </c:pt>
                <c:pt idx="27">
                  <c:v>59.02</c:v>
                </c:pt>
                <c:pt idx="28">
                  <c:v>58.16</c:v>
                </c:pt>
                <c:pt idx="29">
                  <c:v>54.74</c:v>
                </c:pt>
                <c:pt idx="30">
                  <c:v>53.32</c:v>
                </c:pt>
                <c:pt idx="31">
                  <c:v>59.92</c:v>
                </c:pt>
                <c:pt idx="32">
                  <c:v>61.69</c:v>
                </c:pt>
                <c:pt idx="33">
                  <c:v>60.46</c:v>
                </c:pt>
                <c:pt idx="34">
                  <c:v>61.87</c:v>
                </c:pt>
                <c:pt idx="35">
                  <c:v>57.45</c:v>
                </c:pt>
                <c:pt idx="36">
                  <c:v>53.22</c:v>
                </c:pt>
                <c:pt idx="37">
                  <c:v>54.36</c:v>
                </c:pt>
                <c:pt idx="38">
                  <c:v>56.7</c:v>
                </c:pt>
                <c:pt idx="39">
                  <c:v>59.15</c:v>
                </c:pt>
                <c:pt idx="40">
                  <c:v>52.81</c:v>
                </c:pt>
                <c:pt idx="41">
                  <c:v>47.53</c:v>
                </c:pt>
                <c:pt idx="42">
                  <c:v>46.52</c:v>
                </c:pt>
                <c:pt idx="43">
                  <c:v>41.2</c:v>
                </c:pt>
                <c:pt idx="44">
                  <c:v>38.24</c:v>
                </c:pt>
                <c:pt idx="45">
                  <c:v>36.299999999999997</c:v>
                </c:pt>
                <c:pt idx="46">
                  <c:v>41.76</c:v>
                </c:pt>
                <c:pt idx="47">
                  <c:v>40.78</c:v>
                </c:pt>
                <c:pt idx="48">
                  <c:v>40.299999999999997</c:v>
                </c:pt>
                <c:pt idx="49">
                  <c:v>41.61</c:v>
                </c:pt>
                <c:pt idx="50">
                  <c:v>47.07</c:v>
                </c:pt>
                <c:pt idx="51">
                  <c:v>48.48</c:v>
                </c:pt>
                <c:pt idx="52">
                  <c:v>46.66</c:v>
                </c:pt>
                <c:pt idx="53">
                  <c:v>44.98</c:v>
                </c:pt>
                <c:pt idx="54">
                  <c:v>49.43</c:v>
                </c:pt>
                <c:pt idx="55">
                  <c:v>53.2</c:v>
                </c:pt>
                <c:pt idx="56">
                  <c:v>55.96</c:v>
                </c:pt>
                <c:pt idx="57">
                  <c:v>57.44</c:v>
                </c:pt>
                <c:pt idx="58">
                  <c:v>59.38</c:v>
                </c:pt>
                <c:pt idx="59">
                  <c:v>60.9</c:v>
                </c:pt>
                <c:pt idx="60">
                  <c:v>57.95</c:v>
                </c:pt>
                <c:pt idx="61">
                  <c:v>57.28</c:v>
                </c:pt>
                <c:pt idx="62">
                  <c:v>53.86</c:v>
                </c:pt>
                <c:pt idx="63">
                  <c:v>59.38</c:v>
                </c:pt>
                <c:pt idx="64">
                  <c:v>59.63</c:v>
                </c:pt>
                <c:pt idx="65">
                  <c:v>60.72</c:v>
                </c:pt>
                <c:pt idx="66">
                  <c:v>59.84</c:v>
                </c:pt>
                <c:pt idx="67">
                  <c:v>64.33</c:v>
                </c:pt>
                <c:pt idx="68">
                  <c:v>65.260000000000005</c:v>
                </c:pt>
                <c:pt idx="69">
                  <c:v>59.7</c:v>
                </c:pt>
                <c:pt idx="70">
                  <c:v>53.49</c:v>
                </c:pt>
                <c:pt idx="71">
                  <c:v>56.8</c:v>
                </c:pt>
                <c:pt idx="72">
                  <c:v>61.02</c:v>
                </c:pt>
                <c:pt idx="73">
                  <c:v>65.709999999999994</c:v>
                </c:pt>
                <c:pt idx="74">
                  <c:v>70.14</c:v>
                </c:pt>
                <c:pt idx="75">
                  <c:v>73.31</c:v>
                </c:pt>
                <c:pt idx="76">
                  <c:v>68.75</c:v>
                </c:pt>
                <c:pt idx="77">
                  <c:v>67.31</c:v>
                </c:pt>
                <c:pt idx="78">
                  <c:v>70.650000000000006</c:v>
                </c:pt>
                <c:pt idx="79">
                  <c:v>72.58</c:v>
                </c:pt>
                <c:pt idx="80">
                  <c:v>78.900000000000006</c:v>
                </c:pt>
                <c:pt idx="81">
                  <c:v>76.3</c:v>
                </c:pt>
                <c:pt idx="82">
                  <c:v>82.55</c:v>
                </c:pt>
                <c:pt idx="83">
                  <c:v>75.39</c:v>
                </c:pt>
                <c:pt idx="84">
                  <c:v>85.53</c:v>
                </c:pt>
                <c:pt idx="85">
                  <c:v>76.48</c:v>
                </c:pt>
                <c:pt idx="86">
                  <c:v>74.97</c:v>
                </c:pt>
                <c:pt idx="87">
                  <c:v>53.28</c:v>
                </c:pt>
                <c:pt idx="88">
                  <c:v>54.85</c:v>
                </c:pt>
                <c:pt idx="89">
                  <c:v>49</c:v>
                </c:pt>
                <c:pt idx="90">
                  <c:v>52</c:v>
                </c:pt>
                <c:pt idx="91">
                  <c:v>47.59</c:v>
                </c:pt>
                <c:pt idx="92">
                  <c:v>46.46</c:v>
                </c:pt>
                <c:pt idx="93">
                  <c:v>53.4</c:v>
                </c:pt>
                <c:pt idx="94">
                  <c:v>52.92</c:v>
                </c:pt>
                <c:pt idx="95">
                  <c:v>51.33</c:v>
                </c:pt>
                <c:pt idx="96">
                  <c:v>52.69</c:v>
                </c:pt>
                <c:pt idx="97">
                  <c:v>54.63</c:v>
                </c:pt>
                <c:pt idx="98">
                  <c:v>53.38</c:v>
                </c:pt>
                <c:pt idx="99">
                  <c:v>56.52</c:v>
                </c:pt>
                <c:pt idx="100">
                  <c:v>54.86</c:v>
                </c:pt>
                <c:pt idx="101">
                  <c:v>50.7</c:v>
                </c:pt>
                <c:pt idx="102">
                  <c:v>51.55</c:v>
                </c:pt>
                <c:pt idx="103">
                  <c:v>51.63</c:v>
                </c:pt>
                <c:pt idx="104">
                  <c:v>53.99</c:v>
                </c:pt>
                <c:pt idx="105">
                  <c:v>52.45</c:v>
                </c:pt>
                <c:pt idx="106">
                  <c:v>52.89</c:v>
                </c:pt>
                <c:pt idx="107">
                  <c:v>54.48</c:v>
                </c:pt>
                <c:pt idx="108">
                  <c:v>58.19</c:v>
                </c:pt>
                <c:pt idx="109">
                  <c:v>57.89</c:v>
                </c:pt>
                <c:pt idx="110">
                  <c:v>61.13</c:v>
                </c:pt>
                <c:pt idx="111">
                  <c:v>62.59</c:v>
                </c:pt>
                <c:pt idx="112">
                  <c:v>58.95</c:v>
                </c:pt>
                <c:pt idx="113">
                  <c:v>64.73</c:v>
                </c:pt>
                <c:pt idx="114">
                  <c:v>53.19</c:v>
                </c:pt>
                <c:pt idx="115">
                  <c:v>53.53</c:v>
                </c:pt>
                <c:pt idx="116">
                  <c:v>57.28</c:v>
                </c:pt>
                <c:pt idx="117">
                  <c:v>58.43</c:v>
                </c:pt>
                <c:pt idx="118">
                  <c:v>48.81</c:v>
                </c:pt>
                <c:pt idx="119">
                  <c:v>43.32</c:v>
                </c:pt>
                <c:pt idx="120">
                  <c:v>40.65</c:v>
                </c:pt>
                <c:pt idx="121">
                  <c:v>38.380000000000003</c:v>
                </c:pt>
                <c:pt idx="122">
                  <c:v>40.93</c:v>
                </c:pt>
                <c:pt idx="123">
                  <c:v>43.23</c:v>
                </c:pt>
                <c:pt idx="124">
                  <c:v>44.94</c:v>
                </c:pt>
                <c:pt idx="125">
                  <c:v>47.55</c:v>
                </c:pt>
                <c:pt idx="126">
                  <c:v>52.32</c:v>
                </c:pt>
                <c:pt idx="127">
                  <c:v>46.95</c:v>
                </c:pt>
                <c:pt idx="128">
                  <c:v>36.99</c:v>
                </c:pt>
                <c:pt idx="129">
                  <c:v>44.58</c:v>
                </c:pt>
                <c:pt idx="130">
                  <c:v>49.7</c:v>
                </c:pt>
                <c:pt idx="131">
                  <c:v>49.56</c:v>
                </c:pt>
                <c:pt idx="132">
                  <c:v>48.92</c:v>
                </c:pt>
                <c:pt idx="133">
                  <c:v>52.97</c:v>
                </c:pt>
                <c:pt idx="134">
                  <c:v>57.28</c:v>
                </c:pt>
                <c:pt idx="135">
                  <c:v>55.46</c:v>
                </c:pt>
                <c:pt idx="136">
                  <c:v>54.24</c:v>
                </c:pt>
                <c:pt idx="137">
                  <c:v>59.84</c:v>
                </c:pt>
                <c:pt idx="138">
                  <c:v>61.11</c:v>
                </c:pt>
                <c:pt idx="139">
                  <c:v>62.49</c:v>
                </c:pt>
                <c:pt idx="140">
                  <c:v>64.900000000000006</c:v>
                </c:pt>
                <c:pt idx="141">
                  <c:v>54.87</c:v>
                </c:pt>
                <c:pt idx="142">
                  <c:v>47.11</c:v>
                </c:pt>
                <c:pt idx="143">
                  <c:v>56.97</c:v>
                </c:pt>
                <c:pt idx="144">
                  <c:v>49.95</c:v>
                </c:pt>
                <c:pt idx="145">
                  <c:v>53.29</c:v>
                </c:pt>
                <c:pt idx="146">
                  <c:v>58.7</c:v>
                </c:pt>
                <c:pt idx="147">
                  <c:v>56.82</c:v>
                </c:pt>
                <c:pt idx="148">
                  <c:v>61.51</c:v>
                </c:pt>
                <c:pt idx="149">
                  <c:v>65.790000000000006</c:v>
                </c:pt>
                <c:pt idx="150">
                  <c:v>56.32</c:v>
                </c:pt>
                <c:pt idx="151">
                  <c:v>42.59</c:v>
                </c:pt>
                <c:pt idx="152">
                  <c:v>47.66</c:v>
                </c:pt>
                <c:pt idx="153">
                  <c:v>38.659999999999997</c:v>
                </c:pt>
                <c:pt idx="154">
                  <c:v>25.64</c:v>
                </c:pt>
                <c:pt idx="155">
                  <c:v>26.981999999999999</c:v>
                </c:pt>
                <c:pt idx="156">
                  <c:v>27.988</c:v>
                </c:pt>
                <c:pt idx="157">
                  <c:v>30.817</c:v>
                </c:pt>
                <c:pt idx="158">
                  <c:v>28.119</c:v>
                </c:pt>
                <c:pt idx="159">
                  <c:v>28.201000000000001</c:v>
                </c:pt>
                <c:pt idx="160">
                  <c:v>31.061</c:v>
                </c:pt>
                <c:pt idx="161">
                  <c:v>30.187999999999999</c:v>
                </c:pt>
                <c:pt idx="162">
                  <c:v>33.421999999999997</c:v>
                </c:pt>
                <c:pt idx="163">
                  <c:v>22.103999999999999</c:v>
                </c:pt>
                <c:pt idx="164">
                  <c:v>19.701000000000001</c:v>
                </c:pt>
                <c:pt idx="165">
                  <c:v>16.827999999999999</c:v>
                </c:pt>
                <c:pt idx="166">
                  <c:v>15.648999999999999</c:v>
                </c:pt>
                <c:pt idx="167">
                  <c:v>16.143000000000001</c:v>
                </c:pt>
                <c:pt idx="168">
                  <c:v>14.803000000000001</c:v>
                </c:pt>
                <c:pt idx="169">
                  <c:v>14.923999999999999</c:v>
                </c:pt>
                <c:pt idx="170">
                  <c:v>14.972</c:v>
                </c:pt>
                <c:pt idx="171">
                  <c:v>14.997</c:v>
                </c:pt>
                <c:pt idx="172">
                  <c:v>14.917</c:v>
                </c:pt>
                <c:pt idx="173">
                  <c:v>13.811</c:v>
                </c:pt>
                <c:pt idx="174">
                  <c:v>12.663</c:v>
                </c:pt>
                <c:pt idx="175">
                  <c:v>11.510999999999999</c:v>
                </c:pt>
                <c:pt idx="176">
                  <c:v>11.329000000000001</c:v>
                </c:pt>
                <c:pt idx="177">
                  <c:v>10.92</c:v>
                </c:pt>
                <c:pt idx="178">
                  <c:v>11.544</c:v>
                </c:pt>
                <c:pt idx="179">
                  <c:v>11.494</c:v>
                </c:pt>
                <c:pt idx="180">
                  <c:v>11.678000000000001</c:v>
                </c:pt>
                <c:pt idx="181">
                  <c:v>11.183999999999999</c:v>
                </c:pt>
                <c:pt idx="182">
                  <c:v>11.19</c:v>
                </c:pt>
                <c:pt idx="183">
                  <c:v>11.183999999999999</c:v>
                </c:pt>
                <c:pt idx="184">
                  <c:v>9.9670000000000005</c:v>
                </c:pt>
                <c:pt idx="185">
                  <c:v>9.3140000000000001</c:v>
                </c:pt>
                <c:pt idx="186">
                  <c:v>10.026999999999999</c:v>
                </c:pt>
                <c:pt idx="187">
                  <c:v>8.9149999999999991</c:v>
                </c:pt>
                <c:pt idx="188">
                  <c:v>8.9359999999999999</c:v>
                </c:pt>
                <c:pt idx="189">
                  <c:v>8.49</c:v>
                </c:pt>
                <c:pt idx="190">
                  <c:v>8.2539999999999996</c:v>
                </c:pt>
                <c:pt idx="191">
                  <c:v>7.2069999999999999</c:v>
                </c:pt>
                <c:pt idx="192">
                  <c:v>8.16</c:v>
                </c:pt>
                <c:pt idx="193">
                  <c:v>9.0069999999999997</c:v>
                </c:pt>
                <c:pt idx="194">
                  <c:v>8.6189999999999998</c:v>
                </c:pt>
                <c:pt idx="195">
                  <c:v>8.7539999999999996</c:v>
                </c:pt>
                <c:pt idx="196">
                  <c:v>9.4060000000000006</c:v>
                </c:pt>
                <c:pt idx="197">
                  <c:v>10.061999999999999</c:v>
                </c:pt>
                <c:pt idx="198">
                  <c:v>10.185</c:v>
                </c:pt>
                <c:pt idx="199">
                  <c:v>10.6</c:v>
                </c:pt>
                <c:pt idx="200">
                  <c:v>11.379</c:v>
                </c:pt>
                <c:pt idx="201">
                  <c:v>10.76</c:v>
                </c:pt>
                <c:pt idx="202">
                  <c:v>11.012</c:v>
                </c:pt>
                <c:pt idx="203">
                  <c:v>10.887</c:v>
                </c:pt>
                <c:pt idx="204">
                  <c:v>11.84</c:v>
                </c:pt>
                <c:pt idx="205">
                  <c:v>11.156000000000001</c:v>
                </c:pt>
                <c:pt idx="206">
                  <c:v>10.635</c:v>
                </c:pt>
                <c:pt idx="207">
                  <c:v>10.929</c:v>
                </c:pt>
                <c:pt idx="208">
                  <c:v>10.561999999999999</c:v>
                </c:pt>
                <c:pt idx="209">
                  <c:v>10.613</c:v>
                </c:pt>
                <c:pt idx="210">
                  <c:v>10.872999999999999</c:v>
                </c:pt>
                <c:pt idx="211">
                  <c:v>10.348000000000001</c:v>
                </c:pt>
                <c:pt idx="212">
                  <c:v>10.736000000000001</c:v>
                </c:pt>
                <c:pt idx="213">
                  <c:v>9.9949999999999992</c:v>
                </c:pt>
                <c:pt idx="214">
                  <c:v>10.212</c:v>
                </c:pt>
                <c:pt idx="215">
                  <c:v>9</c:v>
                </c:pt>
                <c:pt idx="216">
                  <c:v>9.5239999999999991</c:v>
                </c:pt>
                <c:pt idx="217">
                  <c:v>11.442</c:v>
                </c:pt>
                <c:pt idx="218">
                  <c:v>11.784000000000001</c:v>
                </c:pt>
                <c:pt idx="219">
                  <c:v>12.032999999999999</c:v>
                </c:pt>
                <c:pt idx="220">
                  <c:v>13.529</c:v>
                </c:pt>
                <c:pt idx="221">
                  <c:v>18.428999999999998</c:v>
                </c:pt>
                <c:pt idx="222">
                  <c:v>17.372</c:v>
                </c:pt>
                <c:pt idx="223">
                  <c:v>15.685</c:v>
                </c:pt>
                <c:pt idx="224">
                  <c:v>16.186</c:v>
                </c:pt>
                <c:pt idx="225">
                  <c:v>15.029</c:v>
                </c:pt>
                <c:pt idx="226">
                  <c:v>15.898</c:v>
                </c:pt>
                <c:pt idx="227">
                  <c:v>16.2</c:v>
                </c:pt>
                <c:pt idx="228">
                  <c:v>15.802</c:v>
                </c:pt>
                <c:pt idx="229">
                  <c:v>14.654</c:v>
                </c:pt>
                <c:pt idx="230">
                  <c:v>15.589</c:v>
                </c:pt>
                <c:pt idx="231">
                  <c:v>16.667999999999999</c:v>
                </c:pt>
                <c:pt idx="232">
                  <c:v>18</c:v>
                </c:pt>
                <c:pt idx="233">
                  <c:v>17.082999999999998</c:v>
                </c:pt>
                <c:pt idx="234">
                  <c:v>17.460999999999999</c:v>
                </c:pt>
                <c:pt idx="235">
                  <c:v>15.656000000000001</c:v>
                </c:pt>
                <c:pt idx="236">
                  <c:v>15.374000000000001</c:v>
                </c:pt>
                <c:pt idx="237">
                  <c:v>15.987</c:v>
                </c:pt>
                <c:pt idx="238">
                  <c:v>18.704000000000001</c:v>
                </c:pt>
                <c:pt idx="239">
                  <c:v>16.885000000000002</c:v>
                </c:pt>
                <c:pt idx="240">
                  <c:v>15.462</c:v>
                </c:pt>
                <c:pt idx="241">
                  <c:v>15.304</c:v>
                </c:pt>
                <c:pt idx="242">
                  <c:v>14.225</c:v>
                </c:pt>
                <c:pt idx="243">
                  <c:v>12.75</c:v>
                </c:pt>
                <c:pt idx="244">
                  <c:v>14.602</c:v>
                </c:pt>
                <c:pt idx="245">
                  <c:v>15.55</c:v>
                </c:pt>
                <c:pt idx="246">
                  <c:v>17.631</c:v>
                </c:pt>
                <c:pt idx="247">
                  <c:v>14.78</c:v>
                </c:pt>
                <c:pt idx="248">
                  <c:v>15.124000000000001</c:v>
                </c:pt>
                <c:pt idx="249">
                  <c:v>13.28</c:v>
                </c:pt>
                <c:pt idx="250">
                  <c:v>14.263999999999999</c:v>
                </c:pt>
                <c:pt idx="251">
                  <c:v>15.375999999999999</c:v>
                </c:pt>
                <c:pt idx="252">
                  <c:v>18.754999999999999</c:v>
                </c:pt>
                <c:pt idx="253">
                  <c:v>16.478999999999999</c:v>
                </c:pt>
                <c:pt idx="254">
                  <c:v>22.542999999999999</c:v>
                </c:pt>
                <c:pt idx="255">
                  <c:v>22.678000000000001</c:v>
                </c:pt>
                <c:pt idx="256">
                  <c:v>23.895</c:v>
                </c:pt>
                <c:pt idx="257">
                  <c:v>26.622</c:v>
                </c:pt>
                <c:pt idx="258">
                  <c:v>29.212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25-4A5B-A72F-84DF6630EFB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-6.1051450229090504E-2</c:v>
                </c:pt>
                <c:pt idx="1">
                  <c:v>-6.0668086595757176E-2</c:v>
                </c:pt>
                <c:pt idx="2">
                  <c:v>-5.4880799055986619E-2</c:v>
                </c:pt>
                <c:pt idx="3">
                  <c:v>-5.6491881236175309E-2</c:v>
                </c:pt>
                <c:pt idx="4">
                  <c:v>-6.2456281782107076E-2</c:v>
                </c:pt>
                <c:pt idx="5">
                  <c:v>-6.5293294668288912E-2</c:v>
                </c:pt>
                <c:pt idx="6">
                  <c:v>-6.5966685900981217E-2</c:v>
                </c:pt>
                <c:pt idx="7">
                  <c:v>-5.7540900575491029E-2</c:v>
                </c:pt>
                <c:pt idx="8">
                  <c:v>-5.4362206863918336E-2</c:v>
                </c:pt>
                <c:pt idx="9">
                  <c:v>-5.1950581972378222E-2</c:v>
                </c:pt>
                <c:pt idx="10">
                  <c:v>-5.0074450372378225E-2</c:v>
                </c:pt>
                <c:pt idx="11">
                  <c:v>-5.0149673819930664E-2</c:v>
                </c:pt>
                <c:pt idx="12">
                  <c:v>-5.016479074885629E-2</c:v>
                </c:pt>
                <c:pt idx="13">
                  <c:v>-4.9521728929344103E-2</c:v>
                </c:pt>
                <c:pt idx="14">
                  <c:v>-5.0277173721180839E-2</c:v>
                </c:pt>
                <c:pt idx="15">
                  <c:v>-4.5565125556727724E-2</c:v>
                </c:pt>
                <c:pt idx="16">
                  <c:v>-4.7936873937863625E-2</c:v>
                </c:pt>
                <c:pt idx="17">
                  <c:v>-5.3611870866018985E-2</c:v>
                </c:pt>
                <c:pt idx="18">
                  <c:v>-5.0119821363614606E-2</c:v>
                </c:pt>
                <c:pt idx="19">
                  <c:v>-5.1943088247935837E-2</c:v>
                </c:pt>
                <c:pt idx="20">
                  <c:v>-5.0628208385660387E-2</c:v>
                </c:pt>
                <c:pt idx="21">
                  <c:v>-4.5674490071241164E-2</c:v>
                </c:pt>
                <c:pt idx="22">
                  <c:v>-4.652882894624117E-2</c:v>
                </c:pt>
                <c:pt idx="23">
                  <c:v>-4.253357775009968E-2</c:v>
                </c:pt>
                <c:pt idx="24">
                  <c:v>-4.0631151135084961E-2</c:v>
                </c:pt>
                <c:pt idx="25">
                  <c:v>-4.1660051348371675E-2</c:v>
                </c:pt>
                <c:pt idx="26">
                  <c:v>-3.9271180023371675E-2</c:v>
                </c:pt>
                <c:pt idx="27">
                  <c:v>-4.2356733228541915E-2</c:v>
                </c:pt>
                <c:pt idx="28">
                  <c:v>-4.0787043645852172E-2</c:v>
                </c:pt>
                <c:pt idx="29">
                  <c:v>-4.3676336814301359E-2</c:v>
                </c:pt>
                <c:pt idx="30">
                  <c:v>-4.2416270524177901E-2</c:v>
                </c:pt>
                <c:pt idx="31">
                  <c:v>-3.8163723774105547E-2</c:v>
                </c:pt>
                <c:pt idx="32">
                  <c:v>-3.5324070088391266E-2</c:v>
                </c:pt>
                <c:pt idx="33">
                  <c:v>-3.6454204270806888E-2</c:v>
                </c:pt>
                <c:pt idx="34">
                  <c:v>-2.9131921991272004E-2</c:v>
                </c:pt>
                <c:pt idx="35">
                  <c:v>-3.2452062563488329E-2</c:v>
                </c:pt>
                <c:pt idx="36">
                  <c:v>-3.6052862693408329E-2</c:v>
                </c:pt>
                <c:pt idx="37">
                  <c:v>-3.3197112004632816E-2</c:v>
                </c:pt>
                <c:pt idx="38">
                  <c:v>-3.0717256655190428E-2</c:v>
                </c:pt>
                <c:pt idx="39">
                  <c:v>-3.4095691905399642E-2</c:v>
                </c:pt>
                <c:pt idx="40">
                  <c:v>-4.0765214344007233E-2</c:v>
                </c:pt>
                <c:pt idx="41">
                  <c:v>-4.5564441889027703E-2</c:v>
                </c:pt>
                <c:pt idx="42">
                  <c:v>-4.4868895468290378E-2</c:v>
                </c:pt>
                <c:pt idx="43">
                  <c:v>-4.9433812554290378E-2</c:v>
                </c:pt>
                <c:pt idx="44">
                  <c:v>-5.2090211662586677E-2</c:v>
                </c:pt>
                <c:pt idx="45">
                  <c:v>-5.3659169931516183E-2</c:v>
                </c:pt>
                <c:pt idx="46">
                  <c:v>-5.0492228296597906E-2</c:v>
                </c:pt>
                <c:pt idx="47">
                  <c:v>-5.1037710084720515E-2</c:v>
                </c:pt>
                <c:pt idx="48">
                  <c:v>-5.1311108093141572E-2</c:v>
                </c:pt>
                <c:pt idx="49">
                  <c:v>-4.8223340799545503E-2</c:v>
                </c:pt>
                <c:pt idx="50">
                  <c:v>-4.5429722599545509E-2</c:v>
                </c:pt>
                <c:pt idx="51">
                  <c:v>-4.5234358875560265E-2</c:v>
                </c:pt>
                <c:pt idx="52">
                  <c:v>-4.6823998047355132E-2</c:v>
                </c:pt>
                <c:pt idx="53">
                  <c:v>-5.1469905169530865E-2</c:v>
                </c:pt>
                <c:pt idx="54">
                  <c:v>-4.8891379359338336E-2</c:v>
                </c:pt>
                <c:pt idx="55">
                  <c:v>-5.3644050575756254E-2</c:v>
                </c:pt>
                <c:pt idx="56">
                  <c:v>-5.1692466993515818E-2</c:v>
                </c:pt>
                <c:pt idx="57">
                  <c:v>-4.8920454453928196E-2</c:v>
                </c:pt>
                <c:pt idx="58">
                  <c:v>-4.6463414126499618E-2</c:v>
                </c:pt>
                <c:pt idx="59">
                  <c:v>-4.4511346607738547E-2</c:v>
                </c:pt>
                <c:pt idx="60">
                  <c:v>-4.7171552868056014E-2</c:v>
                </c:pt>
                <c:pt idx="61">
                  <c:v>-5.236472935175971E-2</c:v>
                </c:pt>
                <c:pt idx="62">
                  <c:v>-4.8196720232658592E-2</c:v>
                </c:pt>
                <c:pt idx="63">
                  <c:v>-3.6181309501666856E-2</c:v>
                </c:pt>
                <c:pt idx="64">
                  <c:v>-3.2766083295431847E-2</c:v>
                </c:pt>
                <c:pt idx="65">
                  <c:v>-3.3213884359549493E-2</c:v>
                </c:pt>
                <c:pt idx="66">
                  <c:v>-3.3802346255549495E-2</c:v>
                </c:pt>
                <c:pt idx="67">
                  <c:v>-2.982265269992037E-2</c:v>
                </c:pt>
                <c:pt idx="68">
                  <c:v>-2.0148560882078944E-2</c:v>
                </c:pt>
                <c:pt idx="69">
                  <c:v>-2.4159393026851064E-2</c:v>
                </c:pt>
                <c:pt idx="70">
                  <c:v>-2.7149351454224344E-2</c:v>
                </c:pt>
                <c:pt idx="71">
                  <c:v>-2.3750647767420835E-2</c:v>
                </c:pt>
                <c:pt idx="72">
                  <c:v>-1.8066098066803538E-2</c:v>
                </c:pt>
                <c:pt idx="73">
                  <c:v>-1.9490926235634722E-2</c:v>
                </c:pt>
                <c:pt idx="74">
                  <c:v>-1.5721927694067422E-2</c:v>
                </c:pt>
                <c:pt idx="75">
                  <c:v>-1.4498384242837319E-2</c:v>
                </c:pt>
                <c:pt idx="76">
                  <c:v>-1.9096465716426762E-2</c:v>
                </c:pt>
                <c:pt idx="77">
                  <c:v>-2.219038431642676E-2</c:v>
                </c:pt>
                <c:pt idx="78">
                  <c:v>-1.8690630615707336E-2</c:v>
                </c:pt>
                <c:pt idx="79">
                  <c:v>-1.7470628074168881E-2</c:v>
                </c:pt>
                <c:pt idx="80">
                  <c:v>-1.3558562590524017E-2</c:v>
                </c:pt>
                <c:pt idx="81">
                  <c:v>-1.6706777436008978E-2</c:v>
                </c:pt>
                <c:pt idx="82">
                  <c:v>-1.3135997780673005E-2</c:v>
                </c:pt>
                <c:pt idx="83">
                  <c:v>-1.8485315574279956E-2</c:v>
                </c:pt>
                <c:pt idx="84">
                  <c:v>-5.3280907691324597E-3</c:v>
                </c:pt>
                <c:pt idx="85">
                  <c:v>-1.6910173309548901E-2</c:v>
                </c:pt>
                <c:pt idx="86">
                  <c:v>-6.7914891395135643E-3</c:v>
                </c:pt>
                <c:pt idx="87">
                  <c:v>-3.0058711840740548E-2</c:v>
                </c:pt>
                <c:pt idx="88">
                  <c:v>-2.9280554949928914E-2</c:v>
                </c:pt>
                <c:pt idx="89">
                  <c:v>-2.951308380608143E-2</c:v>
                </c:pt>
                <c:pt idx="90">
                  <c:v>-2.8111673145511353E-2</c:v>
                </c:pt>
                <c:pt idx="91">
                  <c:v>-2.9249729054078959E-2</c:v>
                </c:pt>
                <c:pt idx="92">
                  <c:v>-2.9511986550745634E-2</c:v>
                </c:pt>
                <c:pt idx="93">
                  <c:v>-2.5925360822152129E-2</c:v>
                </c:pt>
                <c:pt idx="94">
                  <c:v>-2.5793128299157465E-2</c:v>
                </c:pt>
                <c:pt idx="95">
                  <c:v>-2.5817547267578522E-2</c:v>
                </c:pt>
                <c:pt idx="96">
                  <c:v>-2.6073602309347563E-2</c:v>
                </c:pt>
                <c:pt idx="97">
                  <c:v>-2.5698804842380595E-2</c:v>
                </c:pt>
                <c:pt idx="98">
                  <c:v>-2.5449110162380599E-2</c:v>
                </c:pt>
                <c:pt idx="99">
                  <c:v>-2.3408096460077337E-2</c:v>
                </c:pt>
                <c:pt idx="100">
                  <c:v>-2.640460419878702E-2</c:v>
                </c:pt>
                <c:pt idx="101">
                  <c:v>-2.927753146989813E-2</c:v>
                </c:pt>
                <c:pt idx="102">
                  <c:v>-2.931319561486458E-2</c:v>
                </c:pt>
                <c:pt idx="103">
                  <c:v>-2.9758803578454323E-2</c:v>
                </c:pt>
                <c:pt idx="104">
                  <c:v>-2.7194040550454327E-2</c:v>
                </c:pt>
                <c:pt idx="105">
                  <c:v>-2.9476040232662922E-2</c:v>
                </c:pt>
                <c:pt idx="106">
                  <c:v>-2.7819035024742131E-2</c:v>
                </c:pt>
                <c:pt idx="107">
                  <c:v>-2.7604422392029919E-2</c:v>
                </c:pt>
                <c:pt idx="108">
                  <c:v>-2.7014191545612465E-2</c:v>
                </c:pt>
                <c:pt idx="109">
                  <c:v>-2.4022340742430093E-2</c:v>
                </c:pt>
                <c:pt idx="110">
                  <c:v>-2.0804440607080369E-2</c:v>
                </c:pt>
                <c:pt idx="111">
                  <c:v>-1.928456796223189E-2</c:v>
                </c:pt>
                <c:pt idx="112">
                  <c:v>-1.6600641550864225E-2</c:v>
                </c:pt>
                <c:pt idx="113">
                  <c:v>-7.2754667088572242E-3</c:v>
                </c:pt>
                <c:pt idx="114">
                  <c:v>-1.7216322811376129E-2</c:v>
                </c:pt>
                <c:pt idx="115">
                  <c:v>-1.6435106278863812E-2</c:v>
                </c:pt>
                <c:pt idx="116">
                  <c:v>-1.4144568123524014E-2</c:v>
                </c:pt>
                <c:pt idx="117">
                  <c:v>-1.5686020123945068E-2</c:v>
                </c:pt>
                <c:pt idx="118">
                  <c:v>-2.18467015318724E-2</c:v>
                </c:pt>
                <c:pt idx="119">
                  <c:v>-2.6697482254626901E-2</c:v>
                </c:pt>
                <c:pt idx="120">
                  <c:v>-2.9436258429125475E-2</c:v>
                </c:pt>
                <c:pt idx="121">
                  <c:v>-2.7906488380204608E-2</c:v>
                </c:pt>
                <c:pt idx="122">
                  <c:v>-2.5029076452982389E-2</c:v>
                </c:pt>
                <c:pt idx="123">
                  <c:v>-2.1981723004303143E-2</c:v>
                </c:pt>
                <c:pt idx="124">
                  <c:v>-2.2040120571803139E-2</c:v>
                </c:pt>
                <c:pt idx="125">
                  <c:v>-2.0006296049202517E-2</c:v>
                </c:pt>
                <c:pt idx="126">
                  <c:v>-1.9354242952842771E-2</c:v>
                </c:pt>
                <c:pt idx="127">
                  <c:v>-2.2853748291772218E-2</c:v>
                </c:pt>
                <c:pt idx="128">
                  <c:v>-2.7677629365904718E-2</c:v>
                </c:pt>
                <c:pt idx="129">
                  <c:v>-2.5217501560689304E-2</c:v>
                </c:pt>
                <c:pt idx="130">
                  <c:v>-2.3934312839357354E-2</c:v>
                </c:pt>
                <c:pt idx="131">
                  <c:v>-2.2164396407049664E-2</c:v>
                </c:pt>
                <c:pt idx="132">
                  <c:v>-2.090789410878378E-2</c:v>
                </c:pt>
                <c:pt idx="133">
                  <c:v>-1.8911850997992412E-2</c:v>
                </c:pt>
                <c:pt idx="134">
                  <c:v>-1.5788041961886219E-2</c:v>
                </c:pt>
                <c:pt idx="135">
                  <c:v>-1.6662468079721892E-2</c:v>
                </c:pt>
                <c:pt idx="136">
                  <c:v>-1.6836256805043782E-2</c:v>
                </c:pt>
                <c:pt idx="137">
                  <c:v>-1.5405835502863102E-2</c:v>
                </c:pt>
                <c:pt idx="138">
                  <c:v>-1.37158632650012E-2</c:v>
                </c:pt>
                <c:pt idx="139">
                  <c:v>-1.0278422824923385E-2</c:v>
                </c:pt>
                <c:pt idx="140">
                  <c:v>-1.0499344103505287E-3</c:v>
                </c:pt>
                <c:pt idx="141">
                  <c:v>-6.3753913352374153E-3</c:v>
                </c:pt>
                <c:pt idx="142">
                  <c:v>-9.3509045196636473E-3</c:v>
                </c:pt>
                <c:pt idx="143">
                  <c:v>-4.6791070306882879E-3</c:v>
                </c:pt>
                <c:pt idx="144">
                  <c:v>-6.2803920989670864E-3</c:v>
                </c:pt>
                <c:pt idx="145">
                  <c:v>2.4046703943468863E-4</c:v>
                </c:pt>
                <c:pt idx="146">
                  <c:v>5.4856478893623309E-3</c:v>
                </c:pt>
                <c:pt idx="147">
                  <c:v>7.6119636258962804E-3</c:v>
                </c:pt>
                <c:pt idx="148">
                  <c:v>1.3380258151403528E-2</c:v>
                </c:pt>
                <c:pt idx="149">
                  <c:v>1.5586233064414683E-2</c:v>
                </c:pt>
                <c:pt idx="150">
                  <c:v>-5.5583853711966402E-3</c:v>
                </c:pt>
                <c:pt idx="151">
                  <c:v>-2.6187717486078156E-2</c:v>
                </c:pt>
                <c:pt idx="152">
                  <c:v>-1.2857223414083453E-2</c:v>
                </c:pt>
                <c:pt idx="153">
                  <c:v>-3.3468394449572406E-2</c:v>
                </c:pt>
                <c:pt idx="154">
                  <c:v>-5.0194217612543564E-2</c:v>
                </c:pt>
                <c:pt idx="155">
                  <c:v>-5.155385075701948E-2</c:v>
                </c:pt>
                <c:pt idx="156">
                  <c:v>-5.335948862538703E-2</c:v>
                </c:pt>
                <c:pt idx="157">
                  <c:v>-4.8892681112968517E-2</c:v>
                </c:pt>
                <c:pt idx="158">
                  <c:v>-4.7796079224908819E-2</c:v>
                </c:pt>
                <c:pt idx="159">
                  <c:v>-4.7410028173658823E-2</c:v>
                </c:pt>
                <c:pt idx="160">
                  <c:v>-4.3167070367158208E-2</c:v>
                </c:pt>
                <c:pt idx="161">
                  <c:v>-4.4079763967266941E-2</c:v>
                </c:pt>
                <c:pt idx="162">
                  <c:v>-3.4017080885343949E-2</c:v>
                </c:pt>
                <c:pt idx="163">
                  <c:v>-6.0520847987008339E-2</c:v>
                </c:pt>
                <c:pt idx="164">
                  <c:v>-6.1579537960941524E-2</c:v>
                </c:pt>
                <c:pt idx="165">
                  <c:v>-5.3592539456491069E-2</c:v>
                </c:pt>
                <c:pt idx="166">
                  <c:v>-5.5512570067050793E-2</c:v>
                </c:pt>
                <c:pt idx="167">
                  <c:v>-5.4910675024595075E-2</c:v>
                </c:pt>
                <c:pt idx="168">
                  <c:v>-5.6840759094833805E-2</c:v>
                </c:pt>
                <c:pt idx="169">
                  <c:v>-5.8705421770783188E-2</c:v>
                </c:pt>
                <c:pt idx="170">
                  <c:v>-5.4973746692342049E-2</c:v>
                </c:pt>
                <c:pt idx="171">
                  <c:v>-5.5933655171308841E-2</c:v>
                </c:pt>
                <c:pt idx="172">
                  <c:v>-5.4788279867425342E-2</c:v>
                </c:pt>
                <c:pt idx="173">
                  <c:v>-5.4896977421175344E-2</c:v>
                </c:pt>
                <c:pt idx="174">
                  <c:v>-5.4826904121175343E-2</c:v>
                </c:pt>
                <c:pt idx="175">
                  <c:v>-5.7571904030161519E-2</c:v>
                </c:pt>
                <c:pt idx="176">
                  <c:v>-5.9641237976003736E-2</c:v>
                </c:pt>
                <c:pt idx="177">
                  <c:v>-5.9391974299337069E-2</c:v>
                </c:pt>
                <c:pt idx="178">
                  <c:v>-5.8502220158505314E-2</c:v>
                </c:pt>
                <c:pt idx="179">
                  <c:v>-5.8286037712011809E-2</c:v>
                </c:pt>
                <c:pt idx="180">
                  <c:v>-5.2136155275758031E-2</c:v>
                </c:pt>
                <c:pt idx="181">
                  <c:v>-5.2604151925091373E-2</c:v>
                </c:pt>
                <c:pt idx="182">
                  <c:v>-5.3657541095184835E-2</c:v>
                </c:pt>
                <c:pt idx="183">
                  <c:v>-5.4236489379055799E-2</c:v>
                </c:pt>
                <c:pt idx="184">
                  <c:v>-5.4792265851990263E-2</c:v>
                </c:pt>
                <c:pt idx="185">
                  <c:v>-5.582258317103117E-2</c:v>
                </c:pt>
                <c:pt idx="186">
                  <c:v>-5.2238105148682067E-2</c:v>
                </c:pt>
                <c:pt idx="187">
                  <c:v>-5.2626453517959429E-2</c:v>
                </c:pt>
                <c:pt idx="188">
                  <c:v>-5.2227421211559412E-2</c:v>
                </c:pt>
                <c:pt idx="189">
                  <c:v>-5.4964922103457846E-2</c:v>
                </c:pt>
                <c:pt idx="190">
                  <c:v>-5.5807607622688604E-2</c:v>
                </c:pt>
                <c:pt idx="191">
                  <c:v>-5.7569385122433016E-2</c:v>
                </c:pt>
                <c:pt idx="192">
                  <c:v>-5.5020296886856085E-2</c:v>
                </c:pt>
                <c:pt idx="193">
                  <c:v>-5.412756703797101E-2</c:v>
                </c:pt>
                <c:pt idx="194">
                  <c:v>-5.2116660251148479E-2</c:v>
                </c:pt>
                <c:pt idx="195">
                  <c:v>-5.2431962978898482E-2</c:v>
                </c:pt>
                <c:pt idx="196">
                  <c:v>-5.1726211424487925E-2</c:v>
                </c:pt>
                <c:pt idx="197">
                  <c:v>-5.0953910172826307E-2</c:v>
                </c:pt>
                <c:pt idx="198">
                  <c:v>-5.0822116160232918E-2</c:v>
                </c:pt>
                <c:pt idx="199">
                  <c:v>-5.0557094848363883E-2</c:v>
                </c:pt>
                <c:pt idx="200">
                  <c:v>-5.0012608524266325E-2</c:v>
                </c:pt>
                <c:pt idx="201">
                  <c:v>-5.0365609153807611E-2</c:v>
                </c:pt>
                <c:pt idx="202">
                  <c:v>-5.0565739012035454E-2</c:v>
                </c:pt>
                <c:pt idx="203">
                  <c:v>-5.108199128187673E-2</c:v>
                </c:pt>
                <c:pt idx="204">
                  <c:v>-4.9157792898122617E-2</c:v>
                </c:pt>
                <c:pt idx="205">
                  <c:v>-4.8848723334559051E-2</c:v>
                </c:pt>
                <c:pt idx="206">
                  <c:v>-5.0901099368361874E-2</c:v>
                </c:pt>
                <c:pt idx="207">
                  <c:v>-4.7619579472709693E-2</c:v>
                </c:pt>
                <c:pt idx="208">
                  <c:v>-4.8324790220473569E-2</c:v>
                </c:pt>
                <c:pt idx="209">
                  <c:v>-4.876354084838054E-2</c:v>
                </c:pt>
                <c:pt idx="210">
                  <c:v>-4.9863719956488646E-2</c:v>
                </c:pt>
                <c:pt idx="211">
                  <c:v>-4.7161919281351945E-2</c:v>
                </c:pt>
                <c:pt idx="212">
                  <c:v>-4.7289450166652147E-2</c:v>
                </c:pt>
                <c:pt idx="213">
                  <c:v>-4.7432814852629492E-2</c:v>
                </c:pt>
                <c:pt idx="214">
                  <c:v>-4.7337351423567701E-2</c:v>
                </c:pt>
                <c:pt idx="215">
                  <c:v>-5.1537033722846542E-2</c:v>
                </c:pt>
                <c:pt idx="216">
                  <c:v>-5.0789197008973719E-2</c:v>
                </c:pt>
                <c:pt idx="217">
                  <c:v>-4.6560852320451027E-2</c:v>
                </c:pt>
                <c:pt idx="218">
                  <c:v>-4.55753696317154E-2</c:v>
                </c:pt>
                <c:pt idx="219">
                  <c:v>-4.3336305058276528E-2</c:v>
                </c:pt>
                <c:pt idx="220">
                  <c:v>-4.1354481597629347E-2</c:v>
                </c:pt>
                <c:pt idx="221">
                  <c:v>-3.7960865746082956E-2</c:v>
                </c:pt>
                <c:pt idx="222">
                  <c:v>-4.1335794133775257E-2</c:v>
                </c:pt>
                <c:pt idx="223">
                  <c:v>-4.2894623624649783E-2</c:v>
                </c:pt>
                <c:pt idx="224">
                  <c:v>-4.140050145925743E-2</c:v>
                </c:pt>
                <c:pt idx="225">
                  <c:v>-4.1931563623099237E-2</c:v>
                </c:pt>
                <c:pt idx="226">
                  <c:v>-4.1282304896722431E-2</c:v>
                </c:pt>
                <c:pt idx="227">
                  <c:v>-4.0256868435786332E-2</c:v>
                </c:pt>
                <c:pt idx="228">
                  <c:v>-4.094988693750061E-2</c:v>
                </c:pt>
                <c:pt idx="229">
                  <c:v>-4.1622707862527406E-2</c:v>
                </c:pt>
                <c:pt idx="230">
                  <c:v>-4.1323916092270992E-2</c:v>
                </c:pt>
                <c:pt idx="231">
                  <c:v>-4.0074496647524327E-2</c:v>
                </c:pt>
                <c:pt idx="232">
                  <c:v>-3.6860512546976573E-2</c:v>
                </c:pt>
                <c:pt idx="233">
                  <c:v>-4.0037978033077438E-2</c:v>
                </c:pt>
                <c:pt idx="234">
                  <c:v>-3.2202576035354723E-2</c:v>
                </c:pt>
                <c:pt idx="235">
                  <c:v>-2.6929098677223231E-2</c:v>
                </c:pt>
                <c:pt idx="236">
                  <c:v>-2.6768244018533057E-2</c:v>
                </c:pt>
                <c:pt idx="237">
                  <c:v>-2.5707590888686901E-2</c:v>
                </c:pt>
                <c:pt idx="238">
                  <c:v>-2.3244575432539112E-2</c:v>
                </c:pt>
                <c:pt idx="239">
                  <c:v>-2.5493391771991961E-2</c:v>
                </c:pt>
                <c:pt idx="240">
                  <c:v>-2.6209309099208142E-2</c:v>
                </c:pt>
                <c:pt idx="241">
                  <c:v>-2.5431122523138405E-2</c:v>
                </c:pt>
                <c:pt idx="242">
                  <c:v>-2.7358485623138407E-2</c:v>
                </c:pt>
                <c:pt idx="243">
                  <c:v>-2.7890585496976563E-2</c:v>
                </c:pt>
                <c:pt idx="244">
                  <c:v>-2.5942696585778403E-2</c:v>
                </c:pt>
                <c:pt idx="245">
                  <c:v>-2.6475117281678173E-2</c:v>
                </c:pt>
                <c:pt idx="246">
                  <c:v>-2.4951816986338846E-2</c:v>
                </c:pt>
                <c:pt idx="247">
                  <c:v>-2.5962362129940287E-2</c:v>
                </c:pt>
                <c:pt idx="248">
                  <c:v>-2.7174688924038095E-2</c:v>
                </c:pt>
                <c:pt idx="249">
                  <c:v>-2.9224940582979267E-2</c:v>
                </c:pt>
                <c:pt idx="250">
                  <c:v>-3.0136050949645939E-2</c:v>
                </c:pt>
                <c:pt idx="251">
                  <c:v>-2.9577486615506403E-2</c:v>
                </c:pt>
                <c:pt idx="252">
                  <c:v>-2.697406751199255E-2</c:v>
                </c:pt>
                <c:pt idx="253">
                  <c:v>-3.0775238755794611E-2</c:v>
                </c:pt>
                <c:pt idx="254">
                  <c:v>-3.0628971096037932E-2</c:v>
                </c:pt>
                <c:pt idx="255">
                  <c:v>-2.9038923677977817E-2</c:v>
                </c:pt>
                <c:pt idx="256">
                  <c:v>-2.8326977884946095E-2</c:v>
                </c:pt>
                <c:pt idx="257">
                  <c:v>-2.6495251410030975E-2</c:v>
                </c:pt>
                <c:pt idx="258">
                  <c:v>-1.8837067858174635E-2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25-4A5B-A72F-84DF6630E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694511"/>
        <c:axId val="836695759"/>
      </c:lineChart>
      <c:dateAx>
        <c:axId val="8366945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695759"/>
        <c:crosses val="autoZero"/>
        <c:auto val="1"/>
        <c:lblOffset val="100"/>
        <c:baseTimeUnit val="days"/>
      </c:dateAx>
      <c:valAx>
        <c:axId val="83669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694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E9E6F93-FF63-41AD-917E-6CA235E44321}">
  <sheetPr/>
  <sheetViews>
    <sheetView zoomScale="9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228" cy="607736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D49969-3EA6-4194-A193-294D2F6B3B6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91.08</v>
      </c>
      <c r="D2" s="4">
        <f>MIN(D3:D1912)</f>
        <v>7.101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30.2</v>
      </c>
      <c r="C5">
        <v>30.71</v>
      </c>
      <c r="D5">
        <v>29.3</v>
      </c>
      <c r="E5">
        <v>29.34</v>
      </c>
      <c r="F5">
        <v>40642.31</v>
      </c>
      <c r="G5">
        <v>29.34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-0.94326241134751898</v>
      </c>
      <c r="Q5">
        <f t="shared" ref="Q5" si="1">F5*P5</f>
        <v>-38336.363333333386</v>
      </c>
      <c r="R5">
        <f t="shared" ref="R5" si="2">R6+Q5</f>
        <v>-6105145.0229090508</v>
      </c>
      <c r="S5">
        <f t="shared" ref="S5" si="3">R5/100000</f>
        <v>-61.051450229090506</v>
      </c>
      <c r="T5">
        <f t="shared" ref="T5" si="4">S5/1000</f>
        <v>-6.1051450229090504E-2</v>
      </c>
    </row>
    <row r="6" spans="1:20" x14ac:dyDescent="0.25">
      <c r="A6" s="5">
        <v>44587</v>
      </c>
      <c r="B6">
        <v>32.74</v>
      </c>
      <c r="C6">
        <v>34.799999999999997</v>
      </c>
      <c r="D6">
        <v>29.57</v>
      </c>
      <c r="E6">
        <v>30.2</v>
      </c>
      <c r="F6">
        <v>762405.89</v>
      </c>
      <c r="G6">
        <v>30.2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-0.75908221797323161</v>
      </c>
      <c r="Q6">
        <f t="shared" ref="Q6" si="6">F6*P6</f>
        <v>-578728.75397705566</v>
      </c>
      <c r="R6">
        <f t="shared" ref="R6" si="7">R7+Q6</f>
        <v>-6066808.6595757175</v>
      </c>
      <c r="S6">
        <f t="shared" ref="S6" si="8">R6/100000</f>
        <v>-60.668086595757174</v>
      </c>
      <c r="T6">
        <f t="shared" ref="T6" si="9">S6/1000</f>
        <v>-6.0668086595757176E-2</v>
      </c>
    </row>
    <row r="7" spans="1:20" x14ac:dyDescent="0.25">
      <c r="A7" s="5">
        <v>44586</v>
      </c>
      <c r="B7">
        <v>33.270000000000003</v>
      </c>
      <c r="C7">
        <v>34.409999999999997</v>
      </c>
      <c r="D7">
        <v>30.17</v>
      </c>
      <c r="E7">
        <v>32.71</v>
      </c>
      <c r="F7">
        <v>813212.91</v>
      </c>
      <c r="G7">
        <v>32.71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0.19811320754717085</v>
      </c>
      <c r="Q7">
        <f t="shared" ref="Q7" si="11">F7*P7</f>
        <v>161108.21801886876</v>
      </c>
      <c r="R7">
        <f t="shared" ref="R7" si="12">R8+Q7</f>
        <v>-5488079.9055986619</v>
      </c>
      <c r="S7">
        <f t="shared" ref="S7" si="13">R7/100000</f>
        <v>-54.880799055986621</v>
      </c>
      <c r="T7">
        <f t="shared" ref="T7" si="14">S7/1000</f>
        <v>-5.4880799055986619E-2</v>
      </c>
    </row>
    <row r="8" spans="1:20" x14ac:dyDescent="0.25">
      <c r="A8" s="5">
        <v>44585</v>
      </c>
      <c r="B8">
        <v>34.26</v>
      </c>
      <c r="C8">
        <v>35</v>
      </c>
      <c r="D8">
        <v>27.38</v>
      </c>
      <c r="E8">
        <v>33.270000000000003</v>
      </c>
      <c r="F8">
        <v>1092517.6000000001</v>
      </c>
      <c r="G8">
        <v>33.270000000000003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0.54593175853018461</v>
      </c>
      <c r="Q8">
        <f t="shared" ref="Q8" si="16">F8*P8</f>
        <v>596440.05459317681</v>
      </c>
      <c r="R8">
        <f t="shared" ref="R8" si="17">R9+Q8</f>
        <v>-5649188.1236175308</v>
      </c>
      <c r="S8">
        <f t="shared" ref="S8" si="18">R8/100000</f>
        <v>-56.49188123617531</v>
      </c>
      <c r="T8">
        <f t="shared" ref="T8" si="19">S8/1000</f>
        <v>-5.6491881236175309E-2</v>
      </c>
    </row>
    <row r="9" spans="1:20" x14ac:dyDescent="0.25">
      <c r="A9" s="5">
        <v>44584</v>
      </c>
      <c r="B9">
        <v>31.15</v>
      </c>
      <c r="C9">
        <v>35.9</v>
      </c>
      <c r="D9">
        <v>30.4</v>
      </c>
      <c r="E9">
        <v>34.28</v>
      </c>
      <c r="F9">
        <v>690423.49</v>
      </c>
      <c r="G9">
        <v>34.28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0.41090909090909183</v>
      </c>
      <c r="Q9">
        <f t="shared" ref="Q9" si="21">F9*P9</f>
        <v>283701.28861818247</v>
      </c>
      <c r="R9">
        <f t="shared" ref="R9" si="22">R10+Q9</f>
        <v>-6245628.1782107074</v>
      </c>
      <c r="S9">
        <f t="shared" ref="S9" si="23">R9/100000</f>
        <v>-62.456281782107077</v>
      </c>
      <c r="T9">
        <f t="shared" ref="T9" si="24">S9/1000</f>
        <v>-6.2456281782107076E-2</v>
      </c>
    </row>
    <row r="10" spans="1:20" x14ac:dyDescent="0.25">
      <c r="A10" s="5">
        <v>44583</v>
      </c>
      <c r="B10">
        <v>32.31</v>
      </c>
      <c r="C10">
        <v>34.549999999999997</v>
      </c>
      <c r="D10">
        <v>27.27</v>
      </c>
      <c r="E10">
        <v>31.12</v>
      </c>
      <c r="F10">
        <v>1167211.47</v>
      </c>
      <c r="G10">
        <v>31.12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5.7692307692308431E-2</v>
      </c>
      <c r="Q10">
        <f t="shared" ref="Q10" si="26">F10*P10</f>
        <v>67339.123269231626</v>
      </c>
      <c r="R10">
        <f t="shared" ref="R10" si="27">R11+Q10</f>
        <v>-6529329.4668288901</v>
      </c>
      <c r="S10">
        <f t="shared" ref="S10" si="28">R10/100000</f>
        <v>-65.293294668288908</v>
      </c>
      <c r="T10">
        <f t="shared" ref="T10" si="29">S10/1000</f>
        <v>-6.5293294668288912E-2</v>
      </c>
    </row>
    <row r="11" spans="1:20" x14ac:dyDescent="0.25">
      <c r="A11" s="5">
        <v>44582</v>
      </c>
      <c r="B11">
        <v>39.909999999999997</v>
      </c>
      <c r="C11">
        <v>40.380000000000003</v>
      </c>
      <c r="D11">
        <v>31.2</v>
      </c>
      <c r="E11">
        <v>32.31</v>
      </c>
      <c r="F11">
        <v>1111332.03</v>
      </c>
      <c r="G11">
        <v>32.31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-0.75816993464052229</v>
      </c>
      <c r="Q11">
        <f t="shared" ref="Q11" si="31">F11*P11</f>
        <v>-842578.53254901897</v>
      </c>
      <c r="R11">
        <f t="shared" ref="R11" si="32">R12+Q11</f>
        <v>-6596668.5900981221</v>
      </c>
      <c r="S11">
        <f t="shared" ref="S11" si="33">R11/100000</f>
        <v>-65.966685900981219</v>
      </c>
      <c r="T11">
        <f t="shared" ref="T11" si="34">S11/1000</f>
        <v>-6.5966685900981217E-2</v>
      </c>
    </row>
    <row r="12" spans="1:20" x14ac:dyDescent="0.25">
      <c r="A12" s="5">
        <v>44581</v>
      </c>
      <c r="B12">
        <v>42.02</v>
      </c>
      <c r="C12">
        <v>45.4</v>
      </c>
      <c r="D12">
        <v>38.659999999999997</v>
      </c>
      <c r="E12">
        <v>39.950000000000003</v>
      </c>
      <c r="F12">
        <v>515009.51</v>
      </c>
      <c r="G12">
        <v>39.950000000000003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-0.61721068249257982</v>
      </c>
      <c r="Q12">
        <f t="shared" ref="Q12" si="36">F12*P12</f>
        <v>-317869.37115726911</v>
      </c>
      <c r="R12">
        <f t="shared" ref="R12" si="37">R13+Q12</f>
        <v>-5754090.0575491032</v>
      </c>
      <c r="S12">
        <f t="shared" ref="S12" si="38">R12/100000</f>
        <v>-57.54090057549103</v>
      </c>
      <c r="T12">
        <f t="shared" ref="T12" si="39">S12/1000</f>
        <v>-5.7540900575491029E-2</v>
      </c>
    </row>
    <row r="13" spans="1:20" x14ac:dyDescent="0.25">
      <c r="A13" s="5">
        <v>44580</v>
      </c>
      <c r="B13">
        <v>44.4</v>
      </c>
      <c r="C13">
        <v>45.76</v>
      </c>
      <c r="D13">
        <v>41.15</v>
      </c>
      <c r="E13">
        <v>42.02</v>
      </c>
      <c r="F13">
        <v>387372.5</v>
      </c>
      <c r="G13">
        <v>42.02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-0.62255965292841442</v>
      </c>
      <c r="Q13">
        <f t="shared" ref="Q13" si="41">F13*P13</f>
        <v>-241162.4891540122</v>
      </c>
      <c r="R13">
        <f t="shared" ref="R13" si="42">R14+Q13</f>
        <v>-5436220.6863918342</v>
      </c>
      <c r="S13">
        <f t="shared" ref="S13" si="43">R13/100000</f>
        <v>-54.362206863918338</v>
      </c>
      <c r="T13">
        <f t="shared" ref="T13" si="44">S13/1000</f>
        <v>-5.4362206863918336E-2</v>
      </c>
    </row>
    <row r="14" spans="1:20" x14ac:dyDescent="0.25">
      <c r="A14" s="5">
        <v>44579</v>
      </c>
      <c r="B14">
        <v>47.44</v>
      </c>
      <c r="C14">
        <v>47.97</v>
      </c>
      <c r="D14">
        <v>43.77</v>
      </c>
      <c r="E14">
        <v>44.4</v>
      </c>
      <c r="F14">
        <v>268018.8</v>
      </c>
      <c r="G14">
        <v>44.4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-0.70000000000000184</v>
      </c>
      <c r="Q14">
        <f t="shared" ref="Q14" si="46">F14*P14</f>
        <v>-187613.1600000005</v>
      </c>
      <c r="R14">
        <f t="shared" ref="R14" si="47">R15+Q14</f>
        <v>-5195058.1972378222</v>
      </c>
      <c r="S14">
        <f t="shared" ref="S14" si="48">R14/100000</f>
        <v>-51.950581972378224</v>
      </c>
      <c r="T14">
        <f t="shared" ref="T14" si="49">S14/1000</f>
        <v>-5.1950581972378222E-2</v>
      </c>
    </row>
    <row r="15" spans="1:20" x14ac:dyDescent="0.25">
      <c r="A15" s="5">
        <v>44578</v>
      </c>
      <c r="B15">
        <v>49.36</v>
      </c>
      <c r="C15">
        <v>49.63</v>
      </c>
      <c r="D15">
        <v>45.34</v>
      </c>
      <c r="E15">
        <v>47.53</v>
      </c>
      <c r="F15">
        <v>358565.1</v>
      </c>
      <c r="G15">
        <v>47.53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2.0979020979020123E-2</v>
      </c>
      <c r="Q15">
        <f t="shared" ref="Q15" si="51">F15*P15</f>
        <v>7522.3447552444477</v>
      </c>
      <c r="R15">
        <f t="shared" ref="R15" si="52">R16+Q15</f>
        <v>-5007445.0372378221</v>
      </c>
      <c r="S15">
        <f t="shared" ref="S15" si="53">R15/100000</f>
        <v>-50.074450372378223</v>
      </c>
      <c r="T15">
        <f t="shared" ref="T15" si="54">S15/1000</f>
        <v>-5.0074450372378225E-2</v>
      </c>
    </row>
    <row r="16" spans="1:20" x14ac:dyDescent="0.25">
      <c r="A16" s="5">
        <v>44577</v>
      </c>
      <c r="B16">
        <v>49.7</v>
      </c>
      <c r="C16">
        <v>50.55</v>
      </c>
      <c r="D16">
        <v>48.13</v>
      </c>
      <c r="E16">
        <v>49.35</v>
      </c>
      <c r="F16">
        <v>182914.84</v>
      </c>
      <c r="G16">
        <v>49.35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8.2644628099186653E-3</v>
      </c>
      <c r="Q16">
        <f t="shared" ref="Q16" si="56">F16*P16</f>
        <v>1511.6928925622231</v>
      </c>
      <c r="R16">
        <f t="shared" ref="R16" si="57">R17+Q16</f>
        <v>-5014967.3819930665</v>
      </c>
      <c r="S16">
        <f t="shared" ref="S16" si="58">R16/100000</f>
        <v>-50.149673819930662</v>
      </c>
      <c r="T16">
        <f t="shared" ref="T16" si="59">S16/1000</f>
        <v>-5.0149673819930664E-2</v>
      </c>
    </row>
    <row r="17" spans="1:20" x14ac:dyDescent="0.25">
      <c r="A17" s="5">
        <v>44576</v>
      </c>
      <c r="B17">
        <v>50.29</v>
      </c>
      <c r="C17">
        <v>51.2</v>
      </c>
      <c r="D17">
        <v>49.15</v>
      </c>
      <c r="E17">
        <v>49.75</v>
      </c>
      <c r="F17">
        <v>155091.38</v>
      </c>
      <c r="G17">
        <v>49.75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-0.41463414634146323</v>
      </c>
      <c r="Q17">
        <f t="shared" ref="Q17" si="61">F17*P17</f>
        <v>-64306.181951219485</v>
      </c>
      <c r="R17">
        <f t="shared" ref="R17" si="62">R18+Q17</f>
        <v>-5016479.0748856291</v>
      </c>
      <c r="S17">
        <f t="shared" ref="S17" si="63">R17/100000</f>
        <v>-50.164790748856291</v>
      </c>
      <c r="T17">
        <f t="shared" ref="T17" si="64">S17/1000</f>
        <v>-5.016479074885629E-2</v>
      </c>
    </row>
    <row r="18" spans="1:20" x14ac:dyDescent="0.25">
      <c r="A18" s="5">
        <v>44575</v>
      </c>
      <c r="B18">
        <v>49.47</v>
      </c>
      <c r="C18">
        <v>51.4</v>
      </c>
      <c r="D18">
        <v>48.46</v>
      </c>
      <c r="E18">
        <v>50.29</v>
      </c>
      <c r="F18">
        <v>308473.28999999998</v>
      </c>
      <c r="G18">
        <v>50.29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0.24489795918367327</v>
      </c>
      <c r="Q18">
        <f t="shared" ref="Q18" si="66">F18*P18</f>
        <v>75544.479183673408</v>
      </c>
      <c r="R18">
        <f t="shared" ref="R18" si="67">R19+Q18</f>
        <v>-4952172.8929344099</v>
      </c>
      <c r="S18">
        <f t="shared" ref="S18" si="68">R18/100000</f>
        <v>-49.5217289293441</v>
      </c>
      <c r="T18">
        <f t="shared" ref="T18" si="69">S18/1000</f>
        <v>-4.9521728929344103E-2</v>
      </c>
    </row>
    <row r="19" spans="1:20" x14ac:dyDescent="0.25">
      <c r="A19" s="5">
        <v>44574</v>
      </c>
      <c r="B19">
        <v>52.03</v>
      </c>
      <c r="C19">
        <v>54.42</v>
      </c>
      <c r="D19">
        <v>49.3</v>
      </c>
      <c r="E19">
        <v>49.49</v>
      </c>
      <c r="F19">
        <v>508980.73</v>
      </c>
      <c r="G19">
        <v>49.49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-0.92578124999999822</v>
      </c>
      <c r="Q19">
        <f t="shared" ref="Q19" si="71">F19*P19</f>
        <v>-471204.81644531159</v>
      </c>
      <c r="R19">
        <f t="shared" ref="R19" si="72">R20+Q19</f>
        <v>-5027717.3721180838</v>
      </c>
      <c r="S19">
        <f t="shared" ref="S19" si="73">R19/100000</f>
        <v>-50.277173721180837</v>
      </c>
      <c r="T19">
        <f t="shared" ref="T19" si="74">S19/1000</f>
        <v>-5.0277173721180839E-2</v>
      </c>
    </row>
    <row r="20" spans="1:20" x14ac:dyDescent="0.25">
      <c r="A20" s="5">
        <v>44573</v>
      </c>
      <c r="B20">
        <v>48.26</v>
      </c>
      <c r="C20">
        <v>53.14</v>
      </c>
      <c r="D20">
        <v>48.21</v>
      </c>
      <c r="E20">
        <v>52.01</v>
      </c>
      <c r="F20">
        <v>437929.57</v>
      </c>
      <c r="G20">
        <v>52.01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0.54158215010141886</v>
      </c>
      <c r="Q20">
        <f t="shared" ref="Q20" si="76">F20*P20</f>
        <v>237174.83811358982</v>
      </c>
      <c r="R20">
        <f t="shared" ref="R20" si="77">R21+Q20</f>
        <v>-4556512.5556727722</v>
      </c>
      <c r="S20">
        <f t="shared" ref="S20" si="78">R20/100000</f>
        <v>-45.565125556727722</v>
      </c>
      <c r="T20">
        <f t="shared" ref="T20" si="79">S20/1000</f>
        <v>-4.5565125556727724E-2</v>
      </c>
    </row>
    <row r="21" spans="1:20" x14ac:dyDescent="0.25">
      <c r="A21" s="5">
        <v>44572</v>
      </c>
      <c r="B21">
        <v>46.26</v>
      </c>
      <c r="C21">
        <v>48.69</v>
      </c>
      <c r="D21">
        <v>44.57</v>
      </c>
      <c r="E21">
        <v>48.27</v>
      </c>
      <c r="F21">
        <v>712834.98</v>
      </c>
      <c r="G21">
        <v>48.27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0.79611650485437147</v>
      </c>
      <c r="Q21">
        <f t="shared" ref="Q21" si="81">F21*P21</f>
        <v>567499.69281553582</v>
      </c>
      <c r="R21">
        <f t="shared" ref="R21" si="82">R22+Q21</f>
        <v>-4793687.3937863624</v>
      </c>
      <c r="S21">
        <f t="shared" ref="S21" si="83">R21/100000</f>
        <v>-47.936873937863623</v>
      </c>
      <c r="T21">
        <f t="shared" ref="T21" si="84">S21/1000</f>
        <v>-4.7936873937863625E-2</v>
      </c>
    </row>
    <row r="22" spans="1:20" x14ac:dyDescent="0.25">
      <c r="A22" s="5">
        <v>44571</v>
      </c>
      <c r="B22">
        <v>50.37</v>
      </c>
      <c r="C22">
        <v>52.79</v>
      </c>
      <c r="D22">
        <v>43.64</v>
      </c>
      <c r="E22">
        <v>46.26</v>
      </c>
      <c r="F22">
        <v>817193.17</v>
      </c>
      <c r="G22">
        <v>46.26</v>
      </c>
      <c r="L22" t="s">
        <v>8</v>
      </c>
      <c r="M22" t="s">
        <v>7</v>
      </c>
      <c r="N22" t="s">
        <v>7</v>
      </c>
      <c r="P22">
        <f t="shared" ref="P22" si="85">IF(C22=D22,0,((E22-D22)-(C22-E22))/(C22-D22))</f>
        <v>-0.4273224043715852</v>
      </c>
      <c r="Q22">
        <f t="shared" ref="Q22" si="86">F22*P22</f>
        <v>-349204.95024043758</v>
      </c>
      <c r="R22">
        <f t="shared" ref="R22" si="87">R23+Q22</f>
        <v>-5361187.0866018981</v>
      </c>
      <c r="S22">
        <f t="shared" ref="S22" si="88">R22/100000</f>
        <v>-53.611870866018982</v>
      </c>
      <c r="T22">
        <f t="shared" ref="T22" si="89">S22/1000</f>
        <v>-5.3611870866018985E-2</v>
      </c>
    </row>
    <row r="23" spans="1:20" x14ac:dyDescent="0.25">
      <c r="A23" s="5">
        <v>44570</v>
      </c>
      <c r="B23">
        <v>47.61</v>
      </c>
      <c r="C23">
        <v>52.16</v>
      </c>
      <c r="D23">
        <v>46.93</v>
      </c>
      <c r="E23">
        <v>50.38</v>
      </c>
      <c r="F23">
        <v>570999.15</v>
      </c>
      <c r="G23">
        <v>50.38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0.3193116634799254</v>
      </c>
      <c r="Q23">
        <f t="shared" ref="Q23" si="91">F23*P23</f>
        <v>182326.68843212345</v>
      </c>
      <c r="R23">
        <f t="shared" ref="R23" si="92">R24+Q23</f>
        <v>-5011982.1363614602</v>
      </c>
      <c r="S23">
        <f t="shared" ref="S23" si="93">R23/100000</f>
        <v>-50.119821363614605</v>
      </c>
      <c r="T23">
        <f t="shared" ref="T23" si="94">S23/1000</f>
        <v>-5.0119821363614606E-2</v>
      </c>
    </row>
    <row r="24" spans="1:20" x14ac:dyDescent="0.25">
      <c r="A24" s="5">
        <v>44569</v>
      </c>
      <c r="B24">
        <v>49.56</v>
      </c>
      <c r="C24">
        <v>51.75</v>
      </c>
      <c r="D24">
        <v>45.07</v>
      </c>
      <c r="E24">
        <v>47.63</v>
      </c>
      <c r="F24">
        <v>563038.30000000005</v>
      </c>
      <c r="G24">
        <v>47.63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-0.23353293413173581</v>
      </c>
      <c r="Q24">
        <f t="shared" ref="Q24" si="96">F24*P24</f>
        <v>-131487.98622754452</v>
      </c>
      <c r="R24">
        <f t="shared" ref="R24" si="97">R25+Q24</f>
        <v>-5194308.8247935837</v>
      </c>
      <c r="S24">
        <f t="shared" ref="S24" si="98">R24/100000</f>
        <v>-51.94308824793584</v>
      </c>
      <c r="T24">
        <f t="shared" ref="T24" si="99">S24/1000</f>
        <v>-5.1943088247935837E-2</v>
      </c>
    </row>
    <row r="25" spans="1:20" x14ac:dyDescent="0.25">
      <c r="A25" s="5">
        <v>44568</v>
      </c>
      <c r="B25">
        <v>55.23</v>
      </c>
      <c r="C25">
        <v>55.53</v>
      </c>
      <c r="D25">
        <v>48.04</v>
      </c>
      <c r="E25">
        <v>49.56</v>
      </c>
      <c r="F25">
        <v>833783.15</v>
      </c>
      <c r="G25">
        <v>49.56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-0.59412550066755598</v>
      </c>
      <c r="Q25">
        <f t="shared" ref="Q25" si="101">F25*P25</f>
        <v>-495371.83144192194</v>
      </c>
      <c r="R25">
        <f t="shared" ref="R25" si="102">R26+Q25</f>
        <v>-5062820.8385660388</v>
      </c>
      <c r="S25">
        <f t="shared" ref="S25" si="103">R25/100000</f>
        <v>-50.628208385660386</v>
      </c>
      <c r="T25">
        <f t="shared" ref="T25" si="104">S25/1000</f>
        <v>-5.0628208385660387E-2</v>
      </c>
    </row>
    <row r="26" spans="1:20" x14ac:dyDescent="0.25">
      <c r="A26" s="5">
        <v>44567</v>
      </c>
      <c r="B26">
        <v>56.27</v>
      </c>
      <c r="C26">
        <v>57.11</v>
      </c>
      <c r="D26">
        <v>52.79</v>
      </c>
      <c r="E26">
        <v>55.21</v>
      </c>
      <c r="F26">
        <v>709758.45</v>
      </c>
      <c r="G26">
        <v>55.21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0.12037037037037109</v>
      </c>
      <c r="Q26">
        <f t="shared" ref="Q26" si="106">F26*P26</f>
        <v>85433.887500000506</v>
      </c>
      <c r="R26">
        <f t="shared" ref="R26" si="107">R27+Q26</f>
        <v>-4567449.0071241166</v>
      </c>
      <c r="S26">
        <f t="shared" ref="S26" si="108">R26/100000</f>
        <v>-45.674490071241166</v>
      </c>
      <c r="T26">
        <f t="shared" ref="T26" si="109">S26/1000</f>
        <v>-4.5674490071241164E-2</v>
      </c>
    </row>
    <row r="27" spans="1:20" x14ac:dyDescent="0.25">
      <c r="A27" s="5">
        <v>44566</v>
      </c>
      <c r="B27">
        <v>62.73</v>
      </c>
      <c r="C27">
        <v>65.44</v>
      </c>
      <c r="D27">
        <v>53</v>
      </c>
      <c r="E27">
        <v>56.26</v>
      </c>
      <c r="F27">
        <v>839542.65</v>
      </c>
      <c r="G27">
        <v>56.26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-0.47588424437299059</v>
      </c>
      <c r="Q27">
        <f t="shared" ref="Q27" si="111">F27*P27</f>
        <v>-399525.11961414811</v>
      </c>
      <c r="R27">
        <f t="shared" ref="R27" si="112">R28+Q27</f>
        <v>-4652882.8946241168</v>
      </c>
      <c r="S27">
        <f t="shared" ref="S27" si="113">R27/100000</f>
        <v>-46.52882894624117</v>
      </c>
      <c r="T27">
        <f t="shared" ref="T27" si="114">S27/1000</f>
        <v>-4.652882894624117E-2</v>
      </c>
    </row>
    <row r="28" spans="1:20" x14ac:dyDescent="0.25">
      <c r="A28" s="5">
        <v>44565</v>
      </c>
      <c r="B28">
        <v>59.85</v>
      </c>
      <c r="C28">
        <v>69</v>
      </c>
      <c r="D28">
        <v>58.81</v>
      </c>
      <c r="E28">
        <v>62.75</v>
      </c>
      <c r="F28">
        <v>839208.97</v>
      </c>
      <c r="G28">
        <v>62.75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-0.22669283611383736</v>
      </c>
      <c r="Q28">
        <f t="shared" ref="Q28" si="116">F28*P28</f>
        <v>-190242.66150147226</v>
      </c>
      <c r="R28">
        <f t="shared" ref="R28" si="117">R29+Q28</f>
        <v>-4253357.7750099683</v>
      </c>
      <c r="S28">
        <f t="shared" ref="S28" si="118">R28/100000</f>
        <v>-42.533577750099681</v>
      </c>
      <c r="T28">
        <f t="shared" ref="T28" si="119">S28/1000</f>
        <v>-4.253357775009968E-2</v>
      </c>
    </row>
    <row r="29" spans="1:20" x14ac:dyDescent="0.25">
      <c r="A29" s="5">
        <v>44564</v>
      </c>
      <c r="B29">
        <v>60.09</v>
      </c>
      <c r="C29">
        <v>61.45</v>
      </c>
      <c r="D29">
        <v>57.16</v>
      </c>
      <c r="E29">
        <v>59.83</v>
      </c>
      <c r="F29">
        <v>420379.23</v>
      </c>
      <c r="G29">
        <v>59.83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0.24475524475524374</v>
      </c>
      <c r="Q29">
        <f t="shared" ref="Q29" si="121">F29*P29</f>
        <v>102890.0213286709</v>
      </c>
      <c r="R29">
        <f t="shared" ref="R29" si="122">R30+Q29</f>
        <v>-4063115.1135084964</v>
      </c>
      <c r="S29">
        <f t="shared" ref="S29" si="123">R29/100000</f>
        <v>-40.631151135084963</v>
      </c>
      <c r="T29">
        <f t="shared" ref="T29" si="124">S29/1000</f>
        <v>-4.0631151135084961E-2</v>
      </c>
    </row>
    <row r="30" spans="1:20" x14ac:dyDescent="0.25">
      <c r="A30" s="5">
        <v>44563</v>
      </c>
      <c r="B30">
        <v>66.08</v>
      </c>
      <c r="C30">
        <v>66.2</v>
      </c>
      <c r="D30">
        <v>59.8</v>
      </c>
      <c r="E30">
        <v>60.16</v>
      </c>
      <c r="F30">
        <v>269168.59999999998</v>
      </c>
      <c r="G30">
        <v>60.16</v>
      </c>
      <c r="L30" t="s">
        <v>7</v>
      </c>
      <c r="M30" t="s">
        <v>8</v>
      </c>
      <c r="N30" t="s">
        <v>8</v>
      </c>
      <c r="P30">
        <f t="shared" ref="P30" si="125">IF(C30=D30,0,((E30-D30)-(C30-E30))/(C30-D30))</f>
        <v>-0.88750000000000029</v>
      </c>
      <c r="Q30">
        <f t="shared" ref="Q30" si="126">F30*P30</f>
        <v>-238887.13250000007</v>
      </c>
      <c r="R30">
        <f t="shared" ref="R30" si="127">R31+Q30</f>
        <v>-4166005.1348371673</v>
      </c>
      <c r="S30">
        <f t="shared" ref="S30" si="128">R30/100000</f>
        <v>-41.660051348371674</v>
      </c>
      <c r="T30">
        <f t="shared" ref="T30" si="129">S30/1000</f>
        <v>-4.1660051348371675E-2</v>
      </c>
    </row>
    <row r="31" spans="1:20" x14ac:dyDescent="0.25">
      <c r="A31" s="5">
        <v>44562</v>
      </c>
      <c r="B31">
        <v>59.07</v>
      </c>
      <c r="C31">
        <v>67</v>
      </c>
      <c r="D31">
        <v>59.07</v>
      </c>
      <c r="E31">
        <v>66.05</v>
      </c>
      <c r="F31">
        <v>405778.39</v>
      </c>
      <c r="G31">
        <v>66.05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0.76040353089533341</v>
      </c>
      <c r="Q31">
        <f t="shared" ref="Q31" si="131">F31*P31</f>
        <v>308555.32051702368</v>
      </c>
      <c r="R31">
        <f t="shared" ref="R31" si="132">R32+Q31</f>
        <v>-3927118.0023371675</v>
      </c>
      <c r="S31">
        <f t="shared" ref="S31" si="133">R31/100000</f>
        <v>-39.271180023371677</v>
      </c>
      <c r="T31">
        <f t="shared" ref="T31" si="134">S31/1000</f>
        <v>-3.9271180023371675E-2</v>
      </c>
    </row>
    <row r="32" spans="1:20" x14ac:dyDescent="0.25">
      <c r="A32" s="5">
        <v>44561</v>
      </c>
      <c r="B32">
        <v>58.18</v>
      </c>
      <c r="C32">
        <v>63.77</v>
      </c>
      <c r="D32">
        <v>56.26</v>
      </c>
      <c r="E32">
        <v>59.02</v>
      </c>
      <c r="F32">
        <v>592380.34</v>
      </c>
      <c r="G32">
        <v>59.02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-0.26498002663115761</v>
      </c>
      <c r="Q32">
        <f t="shared" ref="Q32" si="136">F32*P32</f>
        <v>-156968.95826897418</v>
      </c>
      <c r="R32">
        <f t="shared" ref="R32" si="137">R33+Q32</f>
        <v>-4235673.3228541911</v>
      </c>
      <c r="S32">
        <f t="shared" ref="S32" si="138">R32/100000</f>
        <v>-42.356733228541913</v>
      </c>
      <c r="T32">
        <f t="shared" ref="T32" si="139">S32/1000</f>
        <v>-4.2356733228541915E-2</v>
      </c>
    </row>
    <row r="33" spans="1:20" x14ac:dyDescent="0.25">
      <c r="A33" s="5">
        <v>44560</v>
      </c>
      <c r="B33">
        <v>54.71</v>
      </c>
      <c r="C33">
        <v>58.59</v>
      </c>
      <c r="D33">
        <v>52.98</v>
      </c>
      <c r="E33">
        <v>58.16</v>
      </c>
      <c r="F33">
        <v>341240.73</v>
      </c>
      <c r="G33">
        <v>58.16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0.84670231729055034</v>
      </c>
      <c r="Q33">
        <f t="shared" ref="Q33" si="141">F33*P33</f>
        <v>288929.316844919</v>
      </c>
      <c r="R33">
        <f t="shared" ref="R33" si="142">R34+Q33</f>
        <v>-4078704.3645852171</v>
      </c>
      <c r="S33">
        <f t="shared" ref="S33" si="143">R33/100000</f>
        <v>-40.787043645852172</v>
      </c>
      <c r="T33">
        <f t="shared" ref="T33" si="144">S33/1000</f>
        <v>-4.0787043645852172E-2</v>
      </c>
    </row>
    <row r="34" spans="1:20" x14ac:dyDescent="0.25">
      <c r="A34" s="5">
        <v>44559</v>
      </c>
      <c r="B34">
        <v>53.32</v>
      </c>
      <c r="C34">
        <v>58.5</v>
      </c>
      <c r="D34">
        <v>52.83</v>
      </c>
      <c r="E34">
        <v>54.74</v>
      </c>
      <c r="F34">
        <v>386193.29</v>
      </c>
      <c r="G34">
        <v>54.74</v>
      </c>
      <c r="L34" t="s">
        <v>8</v>
      </c>
      <c r="M34" t="s">
        <v>7</v>
      </c>
      <c r="N34" t="s">
        <v>8</v>
      </c>
      <c r="P34">
        <f t="shared" ref="P34" si="145">IF(C34=D34,0,((E34-D34)-(C34-E34))/(C34-D34))</f>
        <v>-0.32627865961199182</v>
      </c>
      <c r="Q34">
        <f t="shared" ref="Q34" si="146">F34*P34</f>
        <v>-126006.62901234523</v>
      </c>
      <c r="R34">
        <f t="shared" ref="R34" si="147">R35+Q34</f>
        <v>-4367633.6814301359</v>
      </c>
      <c r="S34">
        <f t="shared" ref="S34" si="148">R34/100000</f>
        <v>-43.676336814301358</v>
      </c>
      <c r="T34">
        <f t="shared" ref="T34" si="149">S34/1000</f>
        <v>-4.3676336814301359E-2</v>
      </c>
    </row>
    <row r="35" spans="1:20" x14ac:dyDescent="0.25">
      <c r="A35" s="5">
        <v>44558</v>
      </c>
      <c r="B35">
        <v>59.88</v>
      </c>
      <c r="C35">
        <v>59.92</v>
      </c>
      <c r="D35">
        <v>53.01</v>
      </c>
      <c r="E35">
        <v>53.32</v>
      </c>
      <c r="F35">
        <v>467171.67</v>
      </c>
      <c r="G35">
        <v>53.32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-0.91027496382054929</v>
      </c>
      <c r="Q35">
        <f t="shared" ref="Q35" si="151">F35*P35</f>
        <v>-425254.67500723555</v>
      </c>
      <c r="R35">
        <f t="shared" ref="R35" si="152">R36+Q35</f>
        <v>-4241627.0524177905</v>
      </c>
      <c r="S35">
        <f t="shared" ref="S35" si="153">R35/100000</f>
        <v>-42.416270524177904</v>
      </c>
      <c r="T35">
        <f t="shared" ref="T35" si="154">S35/1000</f>
        <v>-4.2416270524177901E-2</v>
      </c>
    </row>
    <row r="36" spans="1:20" x14ac:dyDescent="0.25">
      <c r="A36" s="5">
        <v>44557</v>
      </c>
      <c r="B36">
        <v>61.69</v>
      </c>
      <c r="C36">
        <v>64.52</v>
      </c>
      <c r="D36">
        <v>59.69</v>
      </c>
      <c r="E36">
        <v>59.92</v>
      </c>
      <c r="F36">
        <v>313856.46000000002</v>
      </c>
      <c r="G36">
        <v>59.92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-0.9047619047619031</v>
      </c>
      <c r="Q36">
        <f t="shared" ref="Q36" si="156">F36*P36</f>
        <v>-283965.36857142806</v>
      </c>
      <c r="R36">
        <f t="shared" ref="R36" si="157">R37+Q36</f>
        <v>-3816372.3774105548</v>
      </c>
      <c r="S36">
        <f t="shared" ref="S36" si="158">R36/100000</f>
        <v>-38.163723774105549</v>
      </c>
      <c r="T36">
        <f t="shared" ref="T36" si="159">S36/1000</f>
        <v>-3.8163723774105547E-2</v>
      </c>
    </row>
    <row r="37" spans="1:20" x14ac:dyDescent="0.25">
      <c r="A37" s="5">
        <v>44556</v>
      </c>
      <c r="B37">
        <v>60.43</v>
      </c>
      <c r="C37">
        <v>63.59</v>
      </c>
      <c r="D37">
        <v>57.96</v>
      </c>
      <c r="E37">
        <v>61.69</v>
      </c>
      <c r="F37">
        <v>347686.09</v>
      </c>
      <c r="G37">
        <v>61.69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0.32504440497335529</v>
      </c>
      <c r="Q37">
        <f t="shared" ref="Q37" si="161">F37*P37</f>
        <v>113013.41824156247</v>
      </c>
      <c r="R37">
        <f t="shared" ref="R37" si="162">R38+Q37</f>
        <v>-3532407.0088391267</v>
      </c>
      <c r="S37">
        <f t="shared" ref="S37" si="163">R37/100000</f>
        <v>-35.324070088391267</v>
      </c>
      <c r="T37">
        <f t="shared" ref="T37" si="164">S37/1000</f>
        <v>-3.5324070088391266E-2</v>
      </c>
    </row>
    <row r="38" spans="1:20" x14ac:dyDescent="0.25">
      <c r="A38" s="5">
        <v>44555</v>
      </c>
      <c r="B38">
        <v>61.89</v>
      </c>
      <c r="C38">
        <v>68.7</v>
      </c>
      <c r="D38">
        <v>60.1</v>
      </c>
      <c r="E38">
        <v>60.46</v>
      </c>
      <c r="F38">
        <v>799132.33</v>
      </c>
      <c r="G38">
        <v>60.46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-0.916279069767442</v>
      </c>
      <c r="Q38">
        <f t="shared" ref="Q38" si="166">F38*P38</f>
        <v>-732228.22795348847</v>
      </c>
      <c r="R38">
        <f t="shared" ref="R38" si="167">R39+Q38</f>
        <v>-3645420.427080689</v>
      </c>
      <c r="S38">
        <f t="shared" ref="S38" si="168">R38/100000</f>
        <v>-36.454204270806891</v>
      </c>
      <c r="T38">
        <f t="shared" ref="T38" si="169">S38/1000</f>
        <v>-3.6454204270806888E-2</v>
      </c>
    </row>
    <row r="39" spans="1:20" x14ac:dyDescent="0.25">
      <c r="A39" s="5">
        <v>44554</v>
      </c>
      <c r="B39">
        <v>57.43</v>
      </c>
      <c r="C39">
        <v>64.7</v>
      </c>
      <c r="D39">
        <v>55.27</v>
      </c>
      <c r="E39">
        <v>61.87</v>
      </c>
      <c r="F39">
        <v>830475.48</v>
      </c>
      <c r="G39">
        <v>61.87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0.39978791092258631</v>
      </c>
      <c r="Q39">
        <f t="shared" ref="Q39" si="171">F39*P39</f>
        <v>332014.0572216321</v>
      </c>
      <c r="R39">
        <f t="shared" ref="R39" si="172">R40+Q39</f>
        <v>-2913192.1991272005</v>
      </c>
      <c r="S39">
        <f t="shared" ref="S39" si="173">R39/100000</f>
        <v>-29.131921991272005</v>
      </c>
      <c r="T39">
        <f t="shared" ref="T39" si="174">S39/1000</f>
        <v>-2.9131921991272004E-2</v>
      </c>
    </row>
    <row r="40" spans="1:20" x14ac:dyDescent="0.25">
      <c r="A40" s="5">
        <v>44553</v>
      </c>
      <c r="B40">
        <v>53.23</v>
      </c>
      <c r="C40">
        <v>57.81</v>
      </c>
      <c r="D40">
        <v>51.56</v>
      </c>
      <c r="E40">
        <v>57.45</v>
      </c>
      <c r="F40">
        <v>406962.04</v>
      </c>
      <c r="G40">
        <v>57.45</v>
      </c>
      <c r="L40" t="s">
        <v>7</v>
      </c>
      <c r="M40" t="s">
        <v>8</v>
      </c>
      <c r="N40" t="s">
        <v>8</v>
      </c>
      <c r="P40">
        <f t="shared" ref="P40" si="175">IF(C40=D40,0,((E40-D40)-(C40-E40))/(C40-D40))</f>
        <v>0.88480000000000014</v>
      </c>
      <c r="Q40">
        <f t="shared" ref="Q40" si="176">F40*P40</f>
        <v>360080.01299200003</v>
      </c>
      <c r="R40">
        <f t="shared" ref="R40" si="177">R41+Q40</f>
        <v>-3245206.2563488325</v>
      </c>
      <c r="S40">
        <f t="shared" ref="S40" si="178">R40/100000</f>
        <v>-32.452062563488326</v>
      </c>
      <c r="T40">
        <f t="shared" ref="T40" si="179">S40/1000</f>
        <v>-3.2452062563488329E-2</v>
      </c>
    </row>
    <row r="41" spans="1:20" x14ac:dyDescent="0.25">
      <c r="A41" s="5">
        <v>44552</v>
      </c>
      <c r="B41">
        <v>54.35</v>
      </c>
      <c r="C41">
        <v>56.64</v>
      </c>
      <c r="D41">
        <v>52.72</v>
      </c>
      <c r="E41">
        <v>53.22</v>
      </c>
      <c r="F41">
        <v>383374.75</v>
      </c>
      <c r="G41">
        <v>53.22</v>
      </c>
      <c r="L41" t="s">
        <v>7</v>
      </c>
      <c r="M41" t="s">
        <v>8</v>
      </c>
      <c r="N41" t="s">
        <v>8</v>
      </c>
      <c r="P41">
        <f t="shared" ref="P41" si="180">IF(C41=D41,0,((E41-D41)-(C41-E41))/(C41-D41))</f>
        <v>-0.74489795918367363</v>
      </c>
      <c r="Q41">
        <f t="shared" ref="Q41" si="181">F41*P41</f>
        <v>-285575.06887755106</v>
      </c>
      <c r="R41">
        <f t="shared" ref="R41" si="182">R42+Q41</f>
        <v>-3605286.2693408327</v>
      </c>
      <c r="S41">
        <f t="shared" ref="S41" si="183">R41/100000</f>
        <v>-36.052862693408329</v>
      </c>
      <c r="T41">
        <f t="shared" ref="T41" si="184">S41/1000</f>
        <v>-3.6052862693408329E-2</v>
      </c>
    </row>
    <row r="42" spans="1:20" x14ac:dyDescent="0.25">
      <c r="A42" s="5">
        <v>44551</v>
      </c>
      <c r="B42">
        <v>56.75</v>
      </c>
      <c r="C42">
        <v>58.4</v>
      </c>
      <c r="D42">
        <v>53.02</v>
      </c>
      <c r="E42">
        <v>54.36</v>
      </c>
      <c r="F42">
        <v>494134.14</v>
      </c>
      <c r="G42">
        <v>54.36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-0.5018587360594805</v>
      </c>
      <c r="Q42">
        <f t="shared" ref="Q42" si="186">F42*P42</f>
        <v>-247985.5349442384</v>
      </c>
      <c r="R42">
        <f t="shared" ref="R42" si="187">R43+Q42</f>
        <v>-3319711.2004632815</v>
      </c>
      <c r="S42">
        <f t="shared" ref="S42" si="188">R42/100000</f>
        <v>-33.197112004632814</v>
      </c>
      <c r="T42">
        <f t="shared" ref="T42" si="189">S42/1000</f>
        <v>-3.3197112004632816E-2</v>
      </c>
    </row>
    <row r="43" spans="1:20" x14ac:dyDescent="0.25">
      <c r="A43" s="5">
        <v>44550</v>
      </c>
      <c r="B43">
        <v>59.2</v>
      </c>
      <c r="C43">
        <v>59.96</v>
      </c>
      <c r="D43">
        <v>50.4</v>
      </c>
      <c r="E43">
        <v>56.7</v>
      </c>
      <c r="F43">
        <v>1062428.98</v>
      </c>
      <c r="G43">
        <v>56.7</v>
      </c>
      <c r="L43" t="s">
        <v>7</v>
      </c>
      <c r="M43" t="s">
        <v>8</v>
      </c>
      <c r="N43" t="s">
        <v>8</v>
      </c>
      <c r="P43">
        <f t="shared" ref="P43" si="190">IF(C43=D43,0,((E43-D43)-(C43-E43))/(C43-D43))</f>
        <v>0.31799163179916373</v>
      </c>
      <c r="Q43">
        <f t="shared" ref="Q43" si="191">F43*P43</f>
        <v>337843.52502092108</v>
      </c>
      <c r="R43">
        <f t="shared" ref="R43" si="192">R44+Q43</f>
        <v>-3071725.6655190429</v>
      </c>
      <c r="S43">
        <f t="shared" ref="S43" si="193">R43/100000</f>
        <v>-30.717256655190429</v>
      </c>
      <c r="T43">
        <f t="shared" ref="T43" si="194">S43/1000</f>
        <v>-3.0717256655190428E-2</v>
      </c>
    </row>
    <row r="44" spans="1:20" x14ac:dyDescent="0.25">
      <c r="A44" s="5">
        <v>44549</v>
      </c>
      <c r="B44">
        <v>52.84</v>
      </c>
      <c r="C44">
        <v>60</v>
      </c>
      <c r="D44">
        <v>50.52</v>
      </c>
      <c r="E44">
        <v>59.15</v>
      </c>
      <c r="F44">
        <v>812687.31</v>
      </c>
      <c r="G44">
        <v>59.15</v>
      </c>
      <c r="L44" t="s">
        <v>8</v>
      </c>
      <c r="M44" t="s">
        <v>8</v>
      </c>
      <c r="N44" t="s">
        <v>8</v>
      </c>
      <c r="P44">
        <f t="shared" ref="P44" si="195">IF(C44=D44,0,((E44-D44)-(C44-E44))/(C44-D44))</f>
        <v>0.8206751054852317</v>
      </c>
      <c r="Q44">
        <f t="shared" ref="Q44" si="196">F44*P44</f>
        <v>666952.24386075919</v>
      </c>
      <c r="R44">
        <f t="shared" ref="R44" si="197">R45+Q44</f>
        <v>-3409569.190539964</v>
      </c>
      <c r="S44">
        <f t="shared" ref="S44" si="198">R44/100000</f>
        <v>-34.09569190539964</v>
      </c>
      <c r="T44">
        <f t="shared" ref="T44" si="199">S44/1000</f>
        <v>-3.4095691905399642E-2</v>
      </c>
    </row>
    <row r="45" spans="1:20" x14ac:dyDescent="0.25">
      <c r="A45" s="5">
        <v>44548</v>
      </c>
      <c r="B45">
        <v>47.51</v>
      </c>
      <c r="C45">
        <v>53.75</v>
      </c>
      <c r="D45">
        <v>46.42</v>
      </c>
      <c r="E45">
        <v>52.81</v>
      </c>
      <c r="F45">
        <v>645474.09</v>
      </c>
      <c r="G45">
        <v>52.81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0.74351978171896371</v>
      </c>
      <c r="Q45">
        <f t="shared" ref="Q45" si="201">F45*P45</f>
        <v>479922.75450204674</v>
      </c>
      <c r="R45">
        <f t="shared" ref="R45" si="202">R46+Q45</f>
        <v>-4076521.4344007233</v>
      </c>
      <c r="S45">
        <f t="shared" ref="S45" si="203">R45/100000</f>
        <v>-40.765214344007234</v>
      </c>
      <c r="T45">
        <f t="shared" ref="T45" si="204">S45/1000</f>
        <v>-4.0765214344007233E-2</v>
      </c>
    </row>
    <row r="46" spans="1:20" x14ac:dyDescent="0.25">
      <c r="A46" s="5">
        <v>44547</v>
      </c>
      <c r="B46">
        <v>46.51</v>
      </c>
      <c r="C46">
        <v>51</v>
      </c>
      <c r="D46">
        <v>44.49</v>
      </c>
      <c r="E46">
        <v>47.53</v>
      </c>
      <c r="F46">
        <v>1053024.93</v>
      </c>
      <c r="G46">
        <v>47.53</v>
      </c>
      <c r="L46" t="s">
        <v>8</v>
      </c>
      <c r="M46" t="s">
        <v>8</v>
      </c>
      <c r="N46" t="s">
        <v>8</v>
      </c>
      <c r="P46">
        <f t="shared" ref="P46" si="205">IF(C46=D46,0,((E46-D46)-(C46-E46))/(C46-D46))</f>
        <v>-6.6052227342549896E-2</v>
      </c>
      <c r="Q46">
        <f t="shared" ref="Q46" si="206">F46*P46</f>
        <v>-69554.642073732684</v>
      </c>
      <c r="R46">
        <f t="shared" ref="R46" si="207">R47+Q46</f>
        <v>-4556444.1889027702</v>
      </c>
      <c r="S46">
        <f t="shared" ref="S46" si="208">R46/100000</f>
        <v>-45.564441889027705</v>
      </c>
      <c r="T46">
        <f t="shared" ref="T46" si="209">S46/1000</f>
        <v>-4.5564441889027703E-2</v>
      </c>
    </row>
    <row r="47" spans="1:20" x14ac:dyDescent="0.25">
      <c r="A47" s="5">
        <v>44546</v>
      </c>
      <c r="B47">
        <v>41.21</v>
      </c>
      <c r="C47">
        <v>47.99</v>
      </c>
      <c r="D47">
        <v>40.99</v>
      </c>
      <c r="E47">
        <v>46.52</v>
      </c>
      <c r="F47">
        <v>787054.67</v>
      </c>
      <c r="G47">
        <v>46.52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0.58000000000000029</v>
      </c>
      <c r="Q47">
        <f t="shared" ref="Q47" si="211">F47*P47</f>
        <v>456491.70860000025</v>
      </c>
      <c r="R47">
        <f t="shared" ref="R47" si="212">R48+Q47</f>
        <v>-4486889.5468290374</v>
      </c>
      <c r="S47">
        <f t="shared" ref="S47" si="213">R47/100000</f>
        <v>-44.868895468290376</v>
      </c>
      <c r="T47">
        <f t="shared" ref="T47" si="214">S47/1000</f>
        <v>-4.4868895468290378E-2</v>
      </c>
    </row>
    <row r="48" spans="1:20" x14ac:dyDescent="0.25">
      <c r="A48" s="5">
        <v>44545</v>
      </c>
      <c r="B48">
        <v>38.25</v>
      </c>
      <c r="C48">
        <v>42.63</v>
      </c>
      <c r="D48">
        <v>35.880000000000003</v>
      </c>
      <c r="E48">
        <v>41.2</v>
      </c>
      <c r="F48">
        <v>460943.29</v>
      </c>
      <c r="G48">
        <v>41.2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0.57629629629629642</v>
      </c>
      <c r="Q48">
        <f t="shared" ref="Q48" si="216">F48*P48</f>
        <v>265639.91082962969</v>
      </c>
      <c r="R48">
        <f t="shared" ref="R48" si="217">R49+Q48</f>
        <v>-4943381.2554290378</v>
      </c>
      <c r="S48">
        <f t="shared" ref="S48" si="218">R48/100000</f>
        <v>-49.433812554290377</v>
      </c>
      <c r="T48">
        <f t="shared" ref="T48" si="219">S48/1000</f>
        <v>-4.9433812554290378E-2</v>
      </c>
    </row>
    <row r="49" spans="1:20" x14ac:dyDescent="0.25">
      <c r="A49" s="5">
        <v>44544</v>
      </c>
      <c r="B49">
        <v>36.33</v>
      </c>
      <c r="C49">
        <v>39.5</v>
      </c>
      <c r="D49">
        <v>35.67</v>
      </c>
      <c r="E49">
        <v>38.24</v>
      </c>
      <c r="F49">
        <v>458710.7</v>
      </c>
      <c r="G49">
        <v>38.24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0.34203655352480494</v>
      </c>
      <c r="Q49">
        <f t="shared" ref="Q49" si="221">F49*P49</f>
        <v>156895.82689295075</v>
      </c>
      <c r="R49">
        <f t="shared" ref="R49" si="222">R50+Q49</f>
        <v>-5209021.1662586676</v>
      </c>
      <c r="S49">
        <f t="shared" ref="S49" si="223">R49/100000</f>
        <v>-52.090211662586675</v>
      </c>
      <c r="T49">
        <f t="shared" ref="T49" si="224">S49/1000</f>
        <v>-5.2090211662586677E-2</v>
      </c>
    </row>
    <row r="50" spans="1:20" x14ac:dyDescent="0.25">
      <c r="A50" s="5">
        <v>44543</v>
      </c>
      <c r="B50">
        <v>41.72</v>
      </c>
      <c r="C50">
        <v>41.92</v>
      </c>
      <c r="D50">
        <v>35.19</v>
      </c>
      <c r="E50">
        <v>36.299999999999997</v>
      </c>
      <c r="F50">
        <v>472583.53</v>
      </c>
      <c r="G50">
        <v>36.299999999999997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-0.67013372956909401</v>
      </c>
      <c r="Q50">
        <f t="shared" ref="Q50" si="226">F50*P50</f>
        <v>-316694.16349182784</v>
      </c>
      <c r="R50">
        <f t="shared" ref="R50" si="227">R51+Q50</f>
        <v>-5365916.9931516182</v>
      </c>
      <c r="S50">
        <f t="shared" ref="S50" si="228">R50/100000</f>
        <v>-53.659169931516182</v>
      </c>
      <c r="T50">
        <f t="shared" ref="T50" si="229">S50/1000</f>
        <v>-5.3659169931516183E-2</v>
      </c>
    </row>
    <row r="51" spans="1:20" x14ac:dyDescent="0.25">
      <c r="A51" s="5">
        <v>44542</v>
      </c>
      <c r="B51">
        <v>41.92</v>
      </c>
      <c r="C51">
        <v>42.61</v>
      </c>
      <c r="D51">
        <v>40</v>
      </c>
      <c r="E51">
        <v>41.76</v>
      </c>
      <c r="F51">
        <v>156451.37</v>
      </c>
      <c r="G51">
        <v>41.76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0.3486590038314164</v>
      </c>
      <c r="Q51">
        <f t="shared" ref="Q51" si="231">F51*P51</f>
        <v>54548.178812260347</v>
      </c>
      <c r="R51">
        <f t="shared" ref="R51" si="232">R52+Q51</f>
        <v>-5049222.8296597907</v>
      </c>
      <c r="S51">
        <f t="shared" ref="S51" si="233">R51/100000</f>
        <v>-50.492228296597908</v>
      </c>
      <c r="T51">
        <f t="shared" ref="T51" si="234">S51/1000</f>
        <v>-5.0492228296597906E-2</v>
      </c>
    </row>
    <row r="52" spans="1:20" x14ac:dyDescent="0.25">
      <c r="A52" s="5">
        <v>44541</v>
      </c>
      <c r="B52">
        <v>40.22</v>
      </c>
      <c r="C52">
        <v>41.05</v>
      </c>
      <c r="D52">
        <v>39.15</v>
      </c>
      <c r="E52">
        <v>40.78</v>
      </c>
      <c r="F52">
        <v>38195.31</v>
      </c>
      <c r="G52">
        <v>40.78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0.71578947368421453</v>
      </c>
      <c r="Q52">
        <f t="shared" ref="Q52" si="236">F52*P52</f>
        <v>27339.800842105415</v>
      </c>
      <c r="R52">
        <f t="shared" ref="R52" si="237">R53+Q52</f>
        <v>-5103771.0084720515</v>
      </c>
      <c r="S52">
        <f t="shared" ref="S52" si="238">R52/100000</f>
        <v>-51.037710084720516</v>
      </c>
      <c r="T52">
        <f t="shared" ref="T52" si="239">S52/1000</f>
        <v>-5.1037710084720515E-2</v>
      </c>
    </row>
    <row r="53" spans="1:20" x14ac:dyDescent="0.25">
      <c r="A53" s="5">
        <v>44540</v>
      </c>
      <c r="B53">
        <v>41.62</v>
      </c>
      <c r="C53">
        <v>44.16</v>
      </c>
      <c r="D53">
        <v>40.1</v>
      </c>
      <c r="E53">
        <v>40.299999999999997</v>
      </c>
      <c r="F53">
        <v>342522.82</v>
      </c>
      <c r="G53">
        <v>40.299999999999997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-0.90147783251231728</v>
      </c>
      <c r="Q53">
        <f t="shared" ref="Q53" si="241">F53*P53</f>
        <v>-308776.72935960663</v>
      </c>
      <c r="R53">
        <f t="shared" ref="R53" si="242">R54+Q53</f>
        <v>-5131110.8093141569</v>
      </c>
      <c r="S53">
        <f t="shared" ref="S53" si="243">R53/100000</f>
        <v>-51.31110809314157</v>
      </c>
      <c r="T53">
        <f t="shared" ref="T53" si="244">S53/1000</f>
        <v>-5.1311108093141572E-2</v>
      </c>
    </row>
    <row r="54" spans="1:20" x14ac:dyDescent="0.25">
      <c r="A54" s="5">
        <v>44539</v>
      </c>
      <c r="B54">
        <v>47.13</v>
      </c>
      <c r="C54">
        <v>47.73</v>
      </c>
      <c r="D54">
        <v>41.61</v>
      </c>
      <c r="E54">
        <v>41.61</v>
      </c>
      <c r="F54">
        <v>279361.82</v>
      </c>
      <c r="G54">
        <v>41.61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-1</v>
      </c>
      <c r="Q54">
        <f t="shared" ref="Q54" si="246">F54*P54</f>
        <v>-279361.82</v>
      </c>
      <c r="R54">
        <f t="shared" ref="R54" si="247">R55+Q54</f>
        <v>-4822334.0799545506</v>
      </c>
      <c r="S54">
        <f t="shared" ref="S54" si="248">R54/100000</f>
        <v>-48.223340799545504</v>
      </c>
      <c r="T54">
        <f t="shared" ref="T54" si="249">S54/1000</f>
        <v>-4.8223340799545503E-2</v>
      </c>
    </row>
    <row r="55" spans="1:20" x14ac:dyDescent="0.25">
      <c r="A55" s="5">
        <v>44538</v>
      </c>
      <c r="B55">
        <v>48.49</v>
      </c>
      <c r="C55">
        <v>49.96</v>
      </c>
      <c r="D55">
        <v>44.54</v>
      </c>
      <c r="E55">
        <v>47.07</v>
      </c>
      <c r="F55">
        <v>294130.94</v>
      </c>
      <c r="G55">
        <v>47.07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-6.6420664206641944E-2</v>
      </c>
      <c r="Q55">
        <f t="shared" ref="Q55" si="251">F55*P55</f>
        <v>-19536.372398523949</v>
      </c>
      <c r="R55">
        <f t="shared" ref="R55" si="252">R56+Q55</f>
        <v>-4542972.2599545503</v>
      </c>
      <c r="S55">
        <f t="shared" ref="S55" si="253">R55/100000</f>
        <v>-45.429722599545507</v>
      </c>
      <c r="T55">
        <f t="shared" ref="T55" si="254">S55/1000</f>
        <v>-4.5429722599545509E-2</v>
      </c>
    </row>
    <row r="56" spans="1:20" x14ac:dyDescent="0.25">
      <c r="A56" s="5">
        <v>44537</v>
      </c>
      <c r="B56">
        <v>46.67</v>
      </c>
      <c r="C56">
        <v>49.79</v>
      </c>
      <c r="D56">
        <v>45.5</v>
      </c>
      <c r="E56">
        <v>48.48</v>
      </c>
      <c r="F56">
        <v>408356.41</v>
      </c>
      <c r="G56">
        <v>48.48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0.38927738927738809</v>
      </c>
      <c r="Q56">
        <f t="shared" ref="Q56" si="256">F56*P56</f>
        <v>158963.91717948669</v>
      </c>
      <c r="R56">
        <f t="shared" ref="R56" si="257">R57+Q56</f>
        <v>-4523435.8875560267</v>
      </c>
      <c r="S56">
        <f t="shared" ref="S56" si="258">R56/100000</f>
        <v>-45.234358875560268</v>
      </c>
      <c r="T56">
        <f t="shared" ref="T56" si="259">S56/1000</f>
        <v>-4.5234358875560265E-2</v>
      </c>
    </row>
    <row r="57" spans="1:20" x14ac:dyDescent="0.25">
      <c r="A57" s="5">
        <v>44536</v>
      </c>
      <c r="B57">
        <v>44.99</v>
      </c>
      <c r="C57">
        <v>47.26</v>
      </c>
      <c r="D57">
        <v>40.090000000000003</v>
      </c>
      <c r="E57">
        <v>46.66</v>
      </c>
      <c r="F57">
        <v>557975.78</v>
      </c>
      <c r="G57">
        <v>46.66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0.83263598326359778</v>
      </c>
      <c r="Q57">
        <f t="shared" ref="Q57" si="261">F57*P57</f>
        <v>464590.71221757296</v>
      </c>
      <c r="R57">
        <f t="shared" ref="R57" si="262">R58+Q57</f>
        <v>-4682399.8047355134</v>
      </c>
      <c r="S57">
        <f t="shared" ref="S57" si="263">R57/100000</f>
        <v>-46.823998047355133</v>
      </c>
      <c r="T57">
        <f t="shared" ref="T57" si="264">S57/1000</f>
        <v>-4.6823998047355132E-2</v>
      </c>
    </row>
    <row r="58" spans="1:20" x14ac:dyDescent="0.25">
      <c r="A58" s="5">
        <v>44535</v>
      </c>
      <c r="B58">
        <v>49.43</v>
      </c>
      <c r="C58">
        <v>51.49</v>
      </c>
      <c r="D58">
        <v>42.66</v>
      </c>
      <c r="E58">
        <v>44.98</v>
      </c>
      <c r="F58">
        <v>543398.16</v>
      </c>
      <c r="G58">
        <v>44.98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-0.47451868629671601</v>
      </c>
      <c r="Q58">
        <f t="shared" ref="Q58" si="266">F58*P58</f>
        <v>-257852.58101925271</v>
      </c>
      <c r="R58">
        <f t="shared" ref="R58" si="267">R59+Q58</f>
        <v>-5146990.5169530865</v>
      </c>
      <c r="S58">
        <f t="shared" ref="S58" si="268">R58/100000</f>
        <v>-51.469905169530868</v>
      </c>
      <c r="T58">
        <f t="shared" ref="T58" si="269">S58/1000</f>
        <v>-5.1469905169530865E-2</v>
      </c>
    </row>
    <row r="59" spans="1:20" x14ac:dyDescent="0.25">
      <c r="A59" s="5">
        <v>44534</v>
      </c>
      <c r="B59">
        <v>53.32</v>
      </c>
      <c r="C59">
        <v>54.08</v>
      </c>
      <c r="D59">
        <v>38</v>
      </c>
      <c r="E59">
        <v>49.43</v>
      </c>
      <c r="F59">
        <v>1127182.2</v>
      </c>
      <c r="G59">
        <v>49.43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0.42164179104477623</v>
      </c>
      <c r="Q59">
        <f t="shared" ref="Q59" si="271">F59*P59</f>
        <v>475267.12164179113</v>
      </c>
      <c r="R59">
        <f t="shared" ref="R59" si="272">R60+Q59</f>
        <v>-4889137.9359338339</v>
      </c>
      <c r="S59">
        <f t="shared" ref="S59" si="273">R59/100000</f>
        <v>-48.891379359338337</v>
      </c>
      <c r="T59">
        <f t="shared" ref="T59" si="274">S59/1000</f>
        <v>-4.8891379359338336E-2</v>
      </c>
    </row>
    <row r="60" spans="1:20" x14ac:dyDescent="0.25">
      <c r="A60" s="5">
        <v>44533</v>
      </c>
      <c r="B60">
        <v>55.95</v>
      </c>
      <c r="C60">
        <v>58.53</v>
      </c>
      <c r="D60">
        <v>51.21</v>
      </c>
      <c r="E60">
        <v>53.2</v>
      </c>
      <c r="F60">
        <v>427712.33</v>
      </c>
      <c r="G60">
        <v>53.2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-0.45628415300546393</v>
      </c>
      <c r="Q60">
        <f t="shared" ref="Q60" si="276">F60*P60</f>
        <v>-195158.35822404348</v>
      </c>
      <c r="R60">
        <f t="shared" ref="R60" si="277">R61+Q60</f>
        <v>-5364405.0575756254</v>
      </c>
      <c r="S60">
        <f t="shared" ref="S60" si="278">R60/100000</f>
        <v>-53.644050575756253</v>
      </c>
      <c r="T60">
        <f t="shared" ref="T60" si="279">S60/1000</f>
        <v>-5.3644050575756254E-2</v>
      </c>
    </row>
    <row r="61" spans="1:20" x14ac:dyDescent="0.25">
      <c r="A61" s="5">
        <v>44532</v>
      </c>
      <c r="B61">
        <v>57.45</v>
      </c>
      <c r="C61">
        <v>59.88</v>
      </c>
      <c r="D61">
        <v>55.03</v>
      </c>
      <c r="E61">
        <v>55.96</v>
      </c>
      <c r="F61">
        <v>449640.83</v>
      </c>
      <c r="G61">
        <v>55.96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-0.61649484536082499</v>
      </c>
      <c r="Q61">
        <f t="shared" ref="Q61" si="281">F61*P61</f>
        <v>-277201.25395876303</v>
      </c>
      <c r="R61">
        <f t="shared" ref="R61" si="282">R62+Q61</f>
        <v>-5169246.6993515817</v>
      </c>
      <c r="S61">
        <f t="shared" ref="S61" si="283">R61/100000</f>
        <v>-51.692466993515815</v>
      </c>
      <c r="T61">
        <f t="shared" ref="T61" si="284">S61/1000</f>
        <v>-5.1692466993515818E-2</v>
      </c>
    </row>
    <row r="62" spans="1:20" x14ac:dyDescent="0.25">
      <c r="A62" s="5">
        <v>44531</v>
      </c>
      <c r="B62">
        <v>59.34</v>
      </c>
      <c r="C62">
        <v>61.67</v>
      </c>
      <c r="D62">
        <v>56.42</v>
      </c>
      <c r="E62">
        <v>57.44</v>
      </c>
      <c r="F62">
        <v>401852.39</v>
      </c>
      <c r="G62">
        <v>57.44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-0.61142857142857299</v>
      </c>
      <c r="Q62">
        <f t="shared" ref="Q62" si="286">F62*P62</f>
        <v>-245704.03274285779</v>
      </c>
      <c r="R62">
        <f t="shared" ref="R62" si="287">R63+Q62</f>
        <v>-4892045.4453928191</v>
      </c>
      <c r="S62">
        <f t="shared" ref="S62" si="288">R62/100000</f>
        <v>-48.920454453928194</v>
      </c>
      <c r="T62">
        <f t="shared" ref="T62" si="289">S62/1000</f>
        <v>-4.8920454453928196E-2</v>
      </c>
    </row>
    <row r="63" spans="1:20" x14ac:dyDescent="0.25">
      <c r="A63" s="5">
        <v>44530</v>
      </c>
      <c r="B63">
        <v>60.9</v>
      </c>
      <c r="C63">
        <v>63.1</v>
      </c>
      <c r="D63">
        <v>57.45</v>
      </c>
      <c r="E63">
        <v>59.38</v>
      </c>
      <c r="F63">
        <v>616155.39</v>
      </c>
      <c r="G63">
        <v>59.38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-0.31681415929203532</v>
      </c>
      <c r="Q63">
        <f t="shared" ref="Q63" si="291">F63*P63</f>
        <v>-195206.75187610617</v>
      </c>
      <c r="R63">
        <f t="shared" ref="R63" si="292">R64+Q63</f>
        <v>-4646341.4126499612</v>
      </c>
      <c r="S63">
        <f t="shared" ref="S63" si="293">R63/100000</f>
        <v>-46.463414126499615</v>
      </c>
      <c r="T63">
        <f t="shared" ref="T63" si="294">S63/1000</f>
        <v>-4.6463414126499618E-2</v>
      </c>
    </row>
    <row r="64" spans="1:20" x14ac:dyDescent="0.25">
      <c r="A64" s="5">
        <v>44529</v>
      </c>
      <c r="B64">
        <v>57.92</v>
      </c>
      <c r="C64">
        <v>62.6</v>
      </c>
      <c r="D64">
        <v>55.04</v>
      </c>
      <c r="E64">
        <v>60.9</v>
      </c>
      <c r="F64">
        <v>483441.33</v>
      </c>
      <c r="G64">
        <v>60.9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0.55026455026454968</v>
      </c>
      <c r="Q64">
        <f t="shared" ref="Q64" si="296">F64*P64</f>
        <v>266020.62603174575</v>
      </c>
      <c r="R64">
        <f t="shared" ref="R64" si="297">R65+Q64</f>
        <v>-4451134.6607738547</v>
      </c>
      <c r="S64">
        <f t="shared" ref="S64" si="298">R64/100000</f>
        <v>-44.511346607738545</v>
      </c>
      <c r="T64">
        <f t="shared" ref="T64" si="299">S64/1000</f>
        <v>-4.4511346607738547E-2</v>
      </c>
    </row>
    <row r="65" spans="1:20" x14ac:dyDescent="0.25">
      <c r="A65" s="5">
        <v>44528</v>
      </c>
      <c r="B65">
        <v>57.28</v>
      </c>
      <c r="C65">
        <v>58.35</v>
      </c>
      <c r="D65">
        <v>51.6</v>
      </c>
      <c r="E65">
        <v>57.95</v>
      </c>
      <c r="F65">
        <v>589141.87</v>
      </c>
      <c r="G65">
        <v>57.95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0.88148148148148187</v>
      </c>
      <c r="Q65">
        <f t="shared" ref="Q65" si="301">F65*P65</f>
        <v>519317.64837037062</v>
      </c>
      <c r="R65">
        <f t="shared" ref="R65" si="302">R66+Q65</f>
        <v>-4717155.2868056009</v>
      </c>
      <c r="S65">
        <f t="shared" ref="S65" si="303">R65/100000</f>
        <v>-47.171552868056011</v>
      </c>
      <c r="T65">
        <f t="shared" ref="T65" si="304">S65/1000</f>
        <v>-4.7171552868056014E-2</v>
      </c>
    </row>
    <row r="66" spans="1:20" x14ac:dyDescent="0.25">
      <c r="A66" s="5">
        <v>44527</v>
      </c>
      <c r="B66">
        <v>53.86</v>
      </c>
      <c r="C66">
        <v>64.98</v>
      </c>
      <c r="D66">
        <v>53.41</v>
      </c>
      <c r="E66">
        <v>57.28</v>
      </c>
      <c r="F66">
        <v>1259108.76</v>
      </c>
      <c r="G66">
        <v>57.28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-0.33102852203975763</v>
      </c>
      <c r="Q66">
        <f t="shared" ref="Q66" si="306">F66*P66</f>
        <v>-416800.9119101119</v>
      </c>
      <c r="R66">
        <f t="shared" ref="R66" si="307">R67+Q66</f>
        <v>-5236472.9351759711</v>
      </c>
      <c r="S66">
        <f t="shared" ref="S66" si="308">R66/100000</f>
        <v>-52.364729351759713</v>
      </c>
      <c r="T66">
        <f t="shared" ref="T66" si="309">S66/1000</f>
        <v>-5.236472935175971E-2</v>
      </c>
    </row>
    <row r="67" spans="1:20" x14ac:dyDescent="0.25">
      <c r="A67" s="5">
        <v>44526</v>
      </c>
      <c r="B67">
        <v>59.42</v>
      </c>
      <c r="C67">
        <v>66.430000000000007</v>
      </c>
      <c r="D67">
        <v>51.91</v>
      </c>
      <c r="E67">
        <v>53.86</v>
      </c>
      <c r="F67">
        <v>1642784.97</v>
      </c>
      <c r="G67">
        <v>53.86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-0.73140495867768573</v>
      </c>
      <c r="Q67">
        <f t="shared" ref="Q67" si="311">F67*P67</f>
        <v>-1201541.0730991731</v>
      </c>
      <c r="R67">
        <f t="shared" ref="R67" si="312">R68+Q67</f>
        <v>-4819672.0232658591</v>
      </c>
      <c r="S67">
        <f t="shared" ref="S67" si="313">R67/100000</f>
        <v>-48.196720232658592</v>
      </c>
      <c r="T67">
        <f t="shared" ref="T67" si="314">S67/1000</f>
        <v>-4.8196720232658592E-2</v>
      </c>
    </row>
    <row r="68" spans="1:20" x14ac:dyDescent="0.25">
      <c r="A68" s="5">
        <v>44525</v>
      </c>
      <c r="B68">
        <v>58.24</v>
      </c>
      <c r="C68">
        <v>66</v>
      </c>
      <c r="D68">
        <v>57.66</v>
      </c>
      <c r="E68">
        <v>59.38</v>
      </c>
      <c r="F68">
        <v>581285.43999999994</v>
      </c>
      <c r="G68">
        <v>59.38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-0.58752997601918344</v>
      </c>
      <c r="Q68">
        <f t="shared" ref="Q68" si="316">F68*P68</f>
        <v>-341522.62062350044</v>
      </c>
      <c r="R68">
        <f t="shared" ref="R68" si="317">R69+Q68</f>
        <v>-3618130.9501666855</v>
      </c>
      <c r="S68">
        <f t="shared" ref="S68" si="318">R68/100000</f>
        <v>-36.181309501666853</v>
      </c>
      <c r="T68">
        <f t="shared" ref="T68" si="319">S68/1000</f>
        <v>-3.6181309501666856E-2</v>
      </c>
    </row>
    <row r="69" spans="1:20" x14ac:dyDescent="0.25">
      <c r="A69" s="5">
        <v>44524</v>
      </c>
      <c r="B69">
        <v>60.77</v>
      </c>
      <c r="C69">
        <v>60.9</v>
      </c>
      <c r="D69">
        <v>57.5</v>
      </c>
      <c r="E69">
        <v>59.63</v>
      </c>
      <c r="F69">
        <v>177037.63</v>
      </c>
      <c r="G69">
        <v>59.63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0.25294117647059028</v>
      </c>
      <c r="Q69">
        <f t="shared" ref="Q69" si="321">F69*P69</f>
        <v>44780.106411765068</v>
      </c>
      <c r="R69">
        <f t="shared" ref="R69" si="322">R70+Q69</f>
        <v>-3276608.329543185</v>
      </c>
      <c r="S69">
        <f t="shared" ref="S69" si="323">R69/100000</f>
        <v>-32.766083295431848</v>
      </c>
      <c r="T69">
        <f t="shared" ref="T69" si="324">S69/1000</f>
        <v>-3.2766083295431847E-2</v>
      </c>
    </row>
    <row r="70" spans="1:20" x14ac:dyDescent="0.25">
      <c r="A70" s="5">
        <v>44523</v>
      </c>
      <c r="B70">
        <v>59.86</v>
      </c>
      <c r="C70">
        <v>62.5</v>
      </c>
      <c r="D70">
        <v>58.5</v>
      </c>
      <c r="E70">
        <v>60.72</v>
      </c>
      <c r="F70">
        <v>534965.36</v>
      </c>
      <c r="G70">
        <v>60.72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0.10999999999999943</v>
      </c>
      <c r="Q70">
        <f t="shared" ref="Q70" si="326">F70*P70</f>
        <v>58846.189599999692</v>
      </c>
      <c r="R70">
        <f t="shared" ref="R70" si="327">R71+Q70</f>
        <v>-3321388.4359549498</v>
      </c>
      <c r="S70">
        <f t="shared" ref="S70" si="328">R70/100000</f>
        <v>-33.213884359549496</v>
      </c>
      <c r="T70">
        <f t="shared" ref="T70" si="329">S70/1000</f>
        <v>-3.3213884359549493E-2</v>
      </c>
    </row>
    <row r="71" spans="1:20" x14ac:dyDescent="0.25">
      <c r="A71" s="5">
        <v>44522</v>
      </c>
      <c r="B71">
        <v>64.33</v>
      </c>
      <c r="C71">
        <v>64.48</v>
      </c>
      <c r="D71">
        <v>58.44</v>
      </c>
      <c r="E71">
        <v>59.84</v>
      </c>
      <c r="F71">
        <v>741893.49</v>
      </c>
      <c r="G71">
        <v>59.84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-0.53642384105960128</v>
      </c>
      <c r="Q71">
        <f t="shared" ref="Q71" si="331">F71*P71</f>
        <v>-397969.35556291288</v>
      </c>
      <c r="R71">
        <f t="shared" ref="R71" si="332">R72+Q71</f>
        <v>-3380234.6255549495</v>
      </c>
      <c r="S71">
        <f t="shared" ref="S71" si="333">R71/100000</f>
        <v>-33.802346255549494</v>
      </c>
      <c r="T71">
        <f t="shared" ref="T71" si="334">S71/1000</f>
        <v>-3.3802346255549495E-2</v>
      </c>
    </row>
    <row r="72" spans="1:20" x14ac:dyDescent="0.25">
      <c r="A72" s="5">
        <v>44521</v>
      </c>
      <c r="B72">
        <v>65.260000000000005</v>
      </c>
      <c r="C72">
        <v>73.2</v>
      </c>
      <c r="D72">
        <v>64.12</v>
      </c>
      <c r="E72">
        <v>64.33</v>
      </c>
      <c r="F72">
        <v>1014327.41</v>
      </c>
      <c r="G72">
        <v>64.33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-0.9537444933920719</v>
      </c>
      <c r="Q72">
        <f t="shared" ref="Q72" si="336">F72*P72</f>
        <v>-967409.18178414239</v>
      </c>
      <c r="R72">
        <f t="shared" ref="R72" si="337">R73+Q72</f>
        <v>-2982265.2699920367</v>
      </c>
      <c r="S72">
        <f t="shared" ref="S72" si="338">R72/100000</f>
        <v>-29.822652699920368</v>
      </c>
      <c r="T72">
        <f t="shared" ref="T72" si="339">S72/1000</f>
        <v>-2.982265269992037E-2</v>
      </c>
    </row>
    <row r="73" spans="1:20" x14ac:dyDescent="0.25">
      <c r="A73" s="5">
        <v>44520</v>
      </c>
      <c r="B73">
        <v>59.63</v>
      </c>
      <c r="C73">
        <v>66.650000000000006</v>
      </c>
      <c r="D73">
        <v>59.19</v>
      </c>
      <c r="E73">
        <v>65.260000000000005</v>
      </c>
      <c r="F73">
        <v>639333.5</v>
      </c>
      <c r="G73">
        <v>65.260000000000005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0.62734584450402164</v>
      </c>
      <c r="Q73">
        <f t="shared" ref="Q73" si="341">F73*P73</f>
        <v>401083.21447721194</v>
      </c>
      <c r="R73">
        <f t="shared" ref="R73" si="342">R74+Q73</f>
        <v>-2014856.0882078942</v>
      </c>
      <c r="S73">
        <f t="shared" ref="S73" si="343">R73/100000</f>
        <v>-20.148560882078943</v>
      </c>
      <c r="T73">
        <f t="shared" ref="T73" si="344">S73/1000</f>
        <v>-2.0148560882078944E-2</v>
      </c>
    </row>
    <row r="74" spans="1:20" x14ac:dyDescent="0.25">
      <c r="A74" s="5">
        <v>44519</v>
      </c>
      <c r="B74">
        <v>53.5</v>
      </c>
      <c r="C74">
        <v>63.91</v>
      </c>
      <c r="D74">
        <v>53.06</v>
      </c>
      <c r="E74">
        <v>59.7</v>
      </c>
      <c r="F74">
        <v>1335022.5900000001</v>
      </c>
      <c r="G74">
        <v>59.7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0.22396313364055373</v>
      </c>
      <c r="Q74">
        <f t="shared" ref="Q74" si="346">F74*P74</f>
        <v>298995.8427373282</v>
      </c>
      <c r="R74">
        <f t="shared" ref="R74" si="347">R75+Q74</f>
        <v>-2415939.3026851062</v>
      </c>
      <c r="S74">
        <f t="shared" ref="S74" si="348">R74/100000</f>
        <v>-24.159393026851063</v>
      </c>
      <c r="T74">
        <f t="shared" ref="T74" si="349">S74/1000</f>
        <v>-2.4159393026851064E-2</v>
      </c>
    </row>
    <row r="75" spans="1:20" x14ac:dyDescent="0.25">
      <c r="A75" s="5">
        <v>44518</v>
      </c>
      <c r="B75">
        <v>56.81</v>
      </c>
      <c r="C75">
        <v>57.82</v>
      </c>
      <c r="D75">
        <v>51</v>
      </c>
      <c r="E75">
        <v>53.49</v>
      </c>
      <c r="F75">
        <v>1259736.9099999999</v>
      </c>
      <c r="G75">
        <v>53.49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-0.26979472140762406</v>
      </c>
      <c r="Q75">
        <f t="shared" ref="Q75" si="351">F75*P75</f>
        <v>-339870.36868035118</v>
      </c>
      <c r="R75">
        <f t="shared" ref="R75" si="352">R76+Q75</f>
        <v>-2714935.1454224344</v>
      </c>
      <c r="S75">
        <f t="shared" ref="S75" si="353">R75/100000</f>
        <v>-27.149351454224345</v>
      </c>
      <c r="T75">
        <f t="shared" ref="T75" si="354">S75/1000</f>
        <v>-2.7149351454224344E-2</v>
      </c>
    </row>
    <row r="76" spans="1:20" x14ac:dyDescent="0.25">
      <c r="A76" s="5">
        <v>44517</v>
      </c>
      <c r="B76">
        <v>61</v>
      </c>
      <c r="C76">
        <v>62.18</v>
      </c>
      <c r="D76">
        <v>55.7</v>
      </c>
      <c r="E76">
        <v>56.8</v>
      </c>
      <c r="F76">
        <v>860651.45</v>
      </c>
      <c r="G76">
        <v>56.8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-0.66049382716049543</v>
      </c>
      <c r="Q76">
        <f t="shared" ref="Q76" si="356">F76*P76</f>
        <v>-568454.97006172978</v>
      </c>
      <c r="R76">
        <f t="shared" ref="R76" si="357">R77+Q76</f>
        <v>-2375064.7767420835</v>
      </c>
      <c r="S76">
        <f t="shared" ref="S76" si="358">R76/100000</f>
        <v>-23.750647767420833</v>
      </c>
      <c r="T76">
        <f t="shared" ref="T76" si="359">S76/1000</f>
        <v>-2.3750647767420835E-2</v>
      </c>
    </row>
    <row r="77" spans="1:20" x14ac:dyDescent="0.25">
      <c r="A77" s="5">
        <v>44516</v>
      </c>
      <c r="B77">
        <v>65.709999999999994</v>
      </c>
      <c r="C77">
        <v>65.709999999999994</v>
      </c>
      <c r="D77">
        <v>54.93</v>
      </c>
      <c r="E77">
        <v>61.02</v>
      </c>
      <c r="F77">
        <v>1097117.69</v>
      </c>
      <c r="G77">
        <v>61.02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0.12987012987013113</v>
      </c>
      <c r="Q77">
        <f t="shared" ref="Q77" si="361">F77*P77</f>
        <v>142482.81688311827</v>
      </c>
      <c r="R77">
        <f t="shared" ref="R77" si="362">R78+Q77</f>
        <v>-1806609.8066803536</v>
      </c>
      <c r="S77">
        <f t="shared" ref="S77" si="363">R77/100000</f>
        <v>-18.066098066803537</v>
      </c>
      <c r="T77">
        <f t="shared" ref="T77" si="364">S77/1000</f>
        <v>-1.8066098066803538E-2</v>
      </c>
    </row>
    <row r="78" spans="1:20" x14ac:dyDescent="0.25">
      <c r="A78" s="5">
        <v>44515</v>
      </c>
      <c r="B78">
        <v>70.14</v>
      </c>
      <c r="C78">
        <v>71.31</v>
      </c>
      <c r="D78">
        <v>65.44</v>
      </c>
      <c r="E78">
        <v>65.709999999999994</v>
      </c>
      <c r="F78">
        <v>415084.83</v>
      </c>
      <c r="G78">
        <v>65.709999999999994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-0.90800681431005248</v>
      </c>
      <c r="Q78">
        <f t="shared" ref="Q78" si="366">F78*P78</f>
        <v>-376899.85415672971</v>
      </c>
      <c r="R78">
        <f t="shared" ref="R78" si="367">R79+Q78</f>
        <v>-1949092.6235634719</v>
      </c>
      <c r="S78">
        <f t="shared" ref="S78" si="368">R78/100000</f>
        <v>-19.490926235634721</v>
      </c>
      <c r="T78">
        <f t="shared" ref="T78" si="369">S78/1000</f>
        <v>-1.9490926235634722E-2</v>
      </c>
    </row>
    <row r="79" spans="1:20" x14ac:dyDescent="0.25">
      <c r="A79" s="5">
        <v>44514</v>
      </c>
      <c r="B79">
        <v>73.260000000000005</v>
      </c>
      <c r="C79">
        <v>74.58</v>
      </c>
      <c r="D79">
        <v>67.67</v>
      </c>
      <c r="E79">
        <v>70.14</v>
      </c>
      <c r="F79">
        <v>429171.84</v>
      </c>
      <c r="G79">
        <v>70.14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-0.2850940665701881</v>
      </c>
      <c r="Q79">
        <f t="shared" ref="Q79" si="371">F79*P79</f>
        <v>-122354.34512301012</v>
      </c>
      <c r="R79">
        <f t="shared" ref="R79" si="372">R80+Q79</f>
        <v>-1572192.7694067422</v>
      </c>
      <c r="S79">
        <f t="shared" ref="S79" si="373">R79/100000</f>
        <v>-15.721927694067421</v>
      </c>
      <c r="T79">
        <f t="shared" ref="T79" si="374">S79/1000</f>
        <v>-1.5721927694067422E-2</v>
      </c>
    </row>
    <row r="80" spans="1:20" x14ac:dyDescent="0.25">
      <c r="A80" s="5">
        <v>44513</v>
      </c>
      <c r="B80">
        <v>68.739999999999995</v>
      </c>
      <c r="C80">
        <v>74.44</v>
      </c>
      <c r="D80">
        <v>66.11</v>
      </c>
      <c r="E80">
        <v>73.31</v>
      </c>
      <c r="F80">
        <v>631005.25</v>
      </c>
      <c r="G80">
        <v>73.31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0.72869147659063727</v>
      </c>
      <c r="Q80">
        <f t="shared" ref="Q80" si="376">F80*P80</f>
        <v>459808.14735894423</v>
      </c>
      <c r="R80">
        <f t="shared" ref="R80" si="377">R81+Q80</f>
        <v>-1449838.424283732</v>
      </c>
      <c r="S80">
        <f t="shared" ref="S80" si="378">R80/100000</f>
        <v>-14.49838424283732</v>
      </c>
      <c r="T80">
        <f t="shared" ref="T80" si="379">S80/1000</f>
        <v>-1.4498384242837319E-2</v>
      </c>
    </row>
    <row r="81" spans="1:20" x14ac:dyDescent="0.25">
      <c r="A81" s="5">
        <v>44512</v>
      </c>
      <c r="B81">
        <v>67.239999999999995</v>
      </c>
      <c r="C81">
        <v>71</v>
      </c>
      <c r="D81">
        <v>63.5</v>
      </c>
      <c r="E81">
        <v>68.75</v>
      </c>
      <c r="F81">
        <v>773479.65</v>
      </c>
      <c r="G81">
        <v>68.75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0.4</v>
      </c>
      <c r="Q81">
        <f t="shared" ref="Q81" si="381">F81*P81</f>
        <v>309391.86000000004</v>
      </c>
      <c r="R81">
        <f t="shared" ref="R81" si="382">R82+Q81</f>
        <v>-1909646.5716426761</v>
      </c>
      <c r="S81">
        <f t="shared" ref="S81" si="383">R81/100000</f>
        <v>-19.09646571642676</v>
      </c>
      <c r="T81">
        <f t="shared" ref="T81" si="384">S81/1000</f>
        <v>-1.9096465716426762E-2</v>
      </c>
    </row>
    <row r="82" spans="1:20" x14ac:dyDescent="0.25">
      <c r="A82" s="5">
        <v>44511</v>
      </c>
      <c r="B82">
        <v>70.62</v>
      </c>
      <c r="C82">
        <v>72.709999999999994</v>
      </c>
      <c r="D82">
        <v>65.760000000000005</v>
      </c>
      <c r="E82">
        <v>67.31</v>
      </c>
      <c r="F82">
        <v>631773.72</v>
      </c>
      <c r="G82">
        <v>67.31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-0.55395683453237421</v>
      </c>
      <c r="Q82">
        <f t="shared" ref="Q82" si="386">F82*P82</f>
        <v>-349975.37007194251</v>
      </c>
      <c r="R82">
        <f t="shared" ref="R82" si="387">R83+Q82</f>
        <v>-2219038.4316426762</v>
      </c>
      <c r="S82">
        <f t="shared" ref="S82" si="388">R82/100000</f>
        <v>-22.190384316426762</v>
      </c>
      <c r="T82">
        <f t="shared" ref="T82" si="389">S82/1000</f>
        <v>-2.219038431642676E-2</v>
      </c>
    </row>
    <row r="83" spans="1:20" x14ac:dyDescent="0.25">
      <c r="A83" s="5">
        <v>44510</v>
      </c>
      <c r="B83">
        <v>72.58</v>
      </c>
      <c r="C83">
        <v>78</v>
      </c>
      <c r="D83">
        <v>65</v>
      </c>
      <c r="E83">
        <v>70.650000000000006</v>
      </c>
      <c r="F83">
        <v>932943.12</v>
      </c>
      <c r="G83">
        <v>70.650000000000006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-0.13076923076922989</v>
      </c>
      <c r="Q83">
        <f t="shared" ref="Q83" si="391">F83*P83</f>
        <v>-122000.25415384534</v>
      </c>
      <c r="R83">
        <f t="shared" ref="R83" si="392">R84+Q83</f>
        <v>-1869063.0615707336</v>
      </c>
      <c r="S83">
        <f t="shared" ref="S83" si="393">R83/100000</f>
        <v>-18.690630615707335</v>
      </c>
      <c r="T83">
        <f t="shared" ref="T83" si="394">S83/1000</f>
        <v>-1.8690630615707336E-2</v>
      </c>
    </row>
    <row r="84" spans="1:20" x14ac:dyDescent="0.25">
      <c r="A84" s="5">
        <v>44509</v>
      </c>
      <c r="B84">
        <v>78.790000000000006</v>
      </c>
      <c r="C84">
        <v>79.73</v>
      </c>
      <c r="D84">
        <v>71.17</v>
      </c>
      <c r="E84">
        <v>72.58</v>
      </c>
      <c r="F84">
        <v>583402.1</v>
      </c>
      <c r="G84">
        <v>72.58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-0.67056074766355234</v>
      </c>
      <c r="Q84">
        <f t="shared" ref="Q84" si="396">F84*P84</f>
        <v>-391206.54836448649</v>
      </c>
      <c r="R84">
        <f t="shared" ref="R84" si="397">R85+Q84</f>
        <v>-1747062.8074168882</v>
      </c>
      <c r="S84">
        <f t="shared" ref="S84" si="398">R84/100000</f>
        <v>-17.470628074168882</v>
      </c>
      <c r="T84">
        <f t="shared" ref="T84" si="399">S84/1000</f>
        <v>-1.7470628074168881E-2</v>
      </c>
    </row>
    <row r="85" spans="1:20" x14ac:dyDescent="0.25">
      <c r="A85" s="5">
        <v>44508</v>
      </c>
      <c r="B85">
        <v>76.3</v>
      </c>
      <c r="C85">
        <v>80</v>
      </c>
      <c r="D85">
        <v>74.02</v>
      </c>
      <c r="E85">
        <v>78.900000000000006</v>
      </c>
      <c r="F85">
        <v>498050.92</v>
      </c>
      <c r="G85">
        <v>78.900000000000006</v>
      </c>
      <c r="L85" t="s">
        <v>7</v>
      </c>
      <c r="M85" t="s">
        <v>8</v>
      </c>
      <c r="N85" t="s">
        <v>8</v>
      </c>
      <c r="P85">
        <f t="shared" ref="P85" si="400">IF(C85=D85,0,((E85-D85)-(C85-E85))/(C85-D85))</f>
        <v>0.63210702341137337</v>
      </c>
      <c r="Q85">
        <f t="shared" ref="Q85" si="401">F85*P85</f>
        <v>314821.48454849602</v>
      </c>
      <c r="R85">
        <f t="shared" ref="R85" si="402">R86+Q85</f>
        <v>-1355856.2590524016</v>
      </c>
      <c r="S85">
        <f t="shared" ref="S85" si="403">R85/100000</f>
        <v>-13.558562590524016</v>
      </c>
      <c r="T85">
        <f t="shared" ref="T85" si="404">S85/1000</f>
        <v>-1.3558562590524017E-2</v>
      </c>
    </row>
    <row r="86" spans="1:20" x14ac:dyDescent="0.25">
      <c r="A86" s="5">
        <v>44507</v>
      </c>
      <c r="B86">
        <v>82.55</v>
      </c>
      <c r="C86">
        <v>85.82</v>
      </c>
      <c r="D86">
        <v>75.7</v>
      </c>
      <c r="E86">
        <v>76.3</v>
      </c>
      <c r="F86">
        <v>405115.36</v>
      </c>
      <c r="G86">
        <v>76.3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-0.88142292490118679</v>
      </c>
      <c r="Q86">
        <f t="shared" ref="Q86" si="406">F86*P86</f>
        <v>-357077.96553359722</v>
      </c>
      <c r="R86">
        <f t="shared" ref="R86" si="407">R87+Q86</f>
        <v>-1670677.7436008977</v>
      </c>
      <c r="S86">
        <f t="shared" ref="S86" si="408">R86/100000</f>
        <v>-16.706777436008977</v>
      </c>
      <c r="T86">
        <f t="shared" ref="T86" si="409">S86/1000</f>
        <v>-1.6706777436008978E-2</v>
      </c>
    </row>
    <row r="87" spans="1:20" x14ac:dyDescent="0.25">
      <c r="A87" s="5">
        <v>44506</v>
      </c>
      <c r="B87">
        <v>75.45</v>
      </c>
      <c r="C87">
        <v>84.21</v>
      </c>
      <c r="D87">
        <v>71.540000000000006</v>
      </c>
      <c r="E87">
        <v>82.55</v>
      </c>
      <c r="F87">
        <v>724875.47</v>
      </c>
      <c r="G87">
        <v>82.55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0.73796369376479898</v>
      </c>
      <c r="Q87">
        <f t="shared" ref="Q87" si="411">F87*P87</f>
        <v>534931.77936069469</v>
      </c>
      <c r="R87">
        <f t="shared" ref="R87" si="412">R88+Q87</f>
        <v>-1313599.7780673006</v>
      </c>
      <c r="S87">
        <f t="shared" ref="S87" si="413">R87/100000</f>
        <v>-13.135997780673005</v>
      </c>
      <c r="T87">
        <f t="shared" ref="T87" si="414">S87/1000</f>
        <v>-1.3135997780673005E-2</v>
      </c>
    </row>
    <row r="88" spans="1:20" x14ac:dyDescent="0.25">
      <c r="A88" s="5">
        <v>44505</v>
      </c>
      <c r="B88">
        <v>85.44</v>
      </c>
      <c r="C88">
        <v>91.08</v>
      </c>
      <c r="D88">
        <v>73.790000000000006</v>
      </c>
      <c r="E88">
        <v>75.39</v>
      </c>
      <c r="F88">
        <v>1614538.09</v>
      </c>
      <c r="G88">
        <v>75.39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-0.8149219201850787</v>
      </c>
      <c r="Q88">
        <f t="shared" ref="Q88" si="416">F88*P88</f>
        <v>-1315722.4805147494</v>
      </c>
      <c r="R88">
        <f t="shared" ref="R88" si="417">R89+Q88</f>
        <v>-1848531.5574279954</v>
      </c>
      <c r="S88">
        <f t="shared" ref="S88" si="418">R88/100000</f>
        <v>-18.485315574279955</v>
      </c>
      <c r="T88">
        <f t="shared" ref="T88" si="419">S88/1000</f>
        <v>-1.8485315574279956E-2</v>
      </c>
    </row>
    <row r="89" spans="1:20" x14ac:dyDescent="0.25">
      <c r="A89" s="5">
        <v>44504</v>
      </c>
      <c r="B89">
        <v>76.430000000000007</v>
      </c>
      <c r="C89">
        <v>87.95</v>
      </c>
      <c r="D89">
        <v>69.22</v>
      </c>
      <c r="E89">
        <v>85.53</v>
      </c>
      <c r="F89">
        <v>1561788.38</v>
      </c>
      <c r="G89">
        <v>85.53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0.74159103043246122</v>
      </c>
      <c r="Q89">
        <f t="shared" ref="Q89" si="421">F89*P89</f>
        <v>1158208.2540416443</v>
      </c>
      <c r="R89">
        <f t="shared" ref="R89" si="422">R90+Q89</f>
        <v>-532809.07691324595</v>
      </c>
      <c r="S89">
        <f t="shared" ref="S89" si="423">R89/100000</f>
        <v>-5.3280907691324595</v>
      </c>
      <c r="T89">
        <f t="shared" ref="T89" si="424">S89/1000</f>
        <v>-5.3280907691324597E-3</v>
      </c>
    </row>
    <row r="90" spans="1:20" x14ac:dyDescent="0.25">
      <c r="A90" s="5">
        <v>44503</v>
      </c>
      <c r="B90">
        <v>75.02</v>
      </c>
      <c r="C90">
        <v>89</v>
      </c>
      <c r="D90">
        <v>69.209999999999994</v>
      </c>
      <c r="E90">
        <v>76.48</v>
      </c>
      <c r="F90">
        <v>3814262.09</v>
      </c>
      <c r="G90">
        <v>76.48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-0.26528549772612348</v>
      </c>
      <c r="Q90">
        <f t="shared" ref="Q90" si="426">F90*P90</f>
        <v>-1011868.4170035339</v>
      </c>
      <c r="R90">
        <f t="shared" ref="R90" si="427">R91+Q90</f>
        <v>-1691017.3309548902</v>
      </c>
      <c r="S90">
        <f t="shared" ref="S90" si="428">R90/100000</f>
        <v>-16.910173309548902</v>
      </c>
      <c r="T90">
        <f t="shared" ref="T90" si="429">S90/1000</f>
        <v>-1.6910173309548901E-2</v>
      </c>
    </row>
    <row r="91" spans="1:20" x14ac:dyDescent="0.25">
      <c r="A91" s="5">
        <v>44502</v>
      </c>
      <c r="B91">
        <v>53.24</v>
      </c>
      <c r="C91">
        <v>75.95</v>
      </c>
      <c r="D91">
        <v>53.13</v>
      </c>
      <c r="E91">
        <v>74.97</v>
      </c>
      <c r="F91">
        <v>2545340.4700000002</v>
      </c>
      <c r="G91">
        <v>74.97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0.91411042944785237</v>
      </c>
      <c r="Q91">
        <f t="shared" ref="Q91" si="431">F91*P91</f>
        <v>2326722.2701226985</v>
      </c>
      <c r="R91">
        <f t="shared" ref="R91" si="432">R92+Q91</f>
        <v>-679148.91395135643</v>
      </c>
      <c r="S91">
        <f t="shared" ref="S91" si="433">R91/100000</f>
        <v>-6.7914891395135646</v>
      </c>
      <c r="T91">
        <f t="shared" ref="T91" si="434">S91/1000</f>
        <v>-6.7914891395135643E-3</v>
      </c>
    </row>
    <row r="92" spans="1:20" x14ac:dyDescent="0.25">
      <c r="A92" s="5">
        <v>44501</v>
      </c>
      <c r="B92">
        <v>54.88</v>
      </c>
      <c r="C92">
        <v>57.03</v>
      </c>
      <c r="D92">
        <v>50.5</v>
      </c>
      <c r="E92">
        <v>53.28</v>
      </c>
      <c r="F92">
        <v>523852.01</v>
      </c>
      <c r="G92">
        <v>53.28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-0.14854517611026014</v>
      </c>
      <c r="Q92">
        <f t="shared" ref="Q92" si="436">F92*P92</f>
        <v>-77815.689081163757</v>
      </c>
      <c r="R92">
        <f t="shared" ref="R92" si="437">R93+Q92</f>
        <v>-3005871.1840740549</v>
      </c>
      <c r="S92">
        <f t="shared" ref="S92" si="438">R92/100000</f>
        <v>-30.05871184074055</v>
      </c>
      <c r="T92">
        <f t="shared" ref="T92" si="439">S92/1000</f>
        <v>-3.0058711840740548E-2</v>
      </c>
    </row>
    <row r="93" spans="1:20" x14ac:dyDescent="0.25">
      <c r="A93" s="5">
        <v>44500</v>
      </c>
      <c r="B93">
        <v>48.98</v>
      </c>
      <c r="C93">
        <v>60.5</v>
      </c>
      <c r="D93">
        <v>48.96</v>
      </c>
      <c r="E93">
        <v>54.85</v>
      </c>
      <c r="F93">
        <v>1118076.25</v>
      </c>
      <c r="G93">
        <v>54.85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2.0797227036395322E-2</v>
      </c>
      <c r="Q93">
        <f t="shared" ref="Q93" si="441">F93*P93</f>
        <v>23252.885615251496</v>
      </c>
      <c r="R93">
        <f t="shared" ref="R93" si="442">R94+Q93</f>
        <v>-2928055.4949928913</v>
      </c>
      <c r="S93">
        <f t="shared" ref="S93" si="443">R93/100000</f>
        <v>-29.280554949928913</v>
      </c>
      <c r="T93">
        <f t="shared" ref="T93" si="444">S93/1000</f>
        <v>-2.9280554949928914E-2</v>
      </c>
    </row>
    <row r="94" spans="1:20" x14ac:dyDescent="0.25">
      <c r="A94" s="5">
        <v>44499</v>
      </c>
      <c r="B94">
        <v>51.99</v>
      </c>
      <c r="C94">
        <v>52.85</v>
      </c>
      <c r="D94">
        <v>48.64</v>
      </c>
      <c r="E94">
        <v>49</v>
      </c>
      <c r="F94">
        <v>169052.69</v>
      </c>
      <c r="G94">
        <v>49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-0.82897862232779129</v>
      </c>
      <c r="Q94">
        <f t="shared" ref="Q94" si="446">F94*P94</f>
        <v>-140141.06605700718</v>
      </c>
      <c r="R94">
        <f t="shared" ref="R94" si="447">R95+Q94</f>
        <v>-2951308.3806081428</v>
      </c>
      <c r="S94">
        <f t="shared" ref="S94" si="448">R94/100000</f>
        <v>-29.513083806081429</v>
      </c>
      <c r="T94">
        <f t="shared" ref="T94" si="449">S94/1000</f>
        <v>-2.951308380608143E-2</v>
      </c>
    </row>
    <row r="95" spans="1:20" x14ac:dyDescent="0.25">
      <c r="A95" s="5">
        <v>44498</v>
      </c>
      <c r="B95">
        <v>47.6</v>
      </c>
      <c r="C95">
        <v>54.78</v>
      </c>
      <c r="D95">
        <v>47.31</v>
      </c>
      <c r="E95">
        <v>52</v>
      </c>
      <c r="F95">
        <v>445093.07</v>
      </c>
      <c r="G95">
        <v>52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0.25568942436412273</v>
      </c>
      <c r="Q95">
        <f t="shared" ref="Q95" si="451">F95*P95</f>
        <v>113805.59085676019</v>
      </c>
      <c r="R95">
        <f t="shared" ref="R95" si="452">R96+Q95</f>
        <v>-2811167.3145511355</v>
      </c>
      <c r="S95">
        <f t="shared" ref="S95" si="453">R95/100000</f>
        <v>-28.111673145511354</v>
      </c>
      <c r="T95">
        <f t="shared" ref="T95" si="454">S95/1000</f>
        <v>-2.8111673145511353E-2</v>
      </c>
    </row>
    <row r="96" spans="1:20" x14ac:dyDescent="0.25">
      <c r="A96" s="5">
        <v>44497</v>
      </c>
      <c r="B96">
        <v>46.46</v>
      </c>
      <c r="C96">
        <v>49.25</v>
      </c>
      <c r="D96">
        <v>45.65</v>
      </c>
      <c r="E96">
        <v>47.59</v>
      </c>
      <c r="F96">
        <v>337188.21</v>
      </c>
      <c r="G96">
        <v>47.59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7.7777777777780041E-2</v>
      </c>
      <c r="Q96">
        <f t="shared" ref="Q96" si="456">F96*P96</f>
        <v>26225.749666667431</v>
      </c>
      <c r="R96">
        <f t="shared" ref="R96" si="457">R97+Q96</f>
        <v>-2924972.9054078958</v>
      </c>
      <c r="S96">
        <f t="shared" ref="S96" si="458">R96/100000</f>
        <v>-29.249729054078959</v>
      </c>
      <c r="T96">
        <f t="shared" ref="T96" si="459">S96/1000</f>
        <v>-2.9249729054078959E-2</v>
      </c>
    </row>
    <row r="97" spans="1:20" x14ac:dyDescent="0.25">
      <c r="A97" s="5">
        <v>44496</v>
      </c>
      <c r="B97">
        <v>53.4</v>
      </c>
      <c r="C97">
        <v>57.45</v>
      </c>
      <c r="D97">
        <v>44.51</v>
      </c>
      <c r="E97">
        <v>46.46</v>
      </c>
      <c r="F97">
        <v>513395.32</v>
      </c>
      <c r="G97">
        <v>46.46</v>
      </c>
      <c r="L97" t="s">
        <v>8</v>
      </c>
      <c r="M97" t="s">
        <v>7</v>
      </c>
      <c r="N97" t="s">
        <v>7</v>
      </c>
      <c r="P97">
        <f t="shared" ref="P97" si="460">IF(C97=D97,0,((E97-D97)-(C97-E97))/(C97-D97))</f>
        <v>-0.69860896445131337</v>
      </c>
      <c r="Q97">
        <f t="shared" ref="Q97" si="461">F97*P97</f>
        <v>-358662.57285935065</v>
      </c>
      <c r="R97">
        <f t="shared" ref="R97" si="462">R98+Q97</f>
        <v>-2951198.6550745633</v>
      </c>
      <c r="S97">
        <f t="shared" ref="S97" si="463">R97/100000</f>
        <v>-29.511986550745632</v>
      </c>
      <c r="T97">
        <f t="shared" ref="T97" si="464">S97/1000</f>
        <v>-2.9511986550745634E-2</v>
      </c>
    </row>
    <row r="98" spans="1:20" x14ac:dyDescent="0.25">
      <c r="A98" s="5">
        <v>44495</v>
      </c>
      <c r="B98">
        <v>52.92</v>
      </c>
      <c r="C98">
        <v>55.34</v>
      </c>
      <c r="D98">
        <v>51.6</v>
      </c>
      <c r="E98">
        <v>53.4</v>
      </c>
      <c r="F98">
        <v>353249.74</v>
      </c>
      <c r="G98">
        <v>53.4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-3.7433155080215934E-2</v>
      </c>
      <c r="Q98">
        <f t="shared" ref="Q98" si="466">F98*P98</f>
        <v>-13223.252299465958</v>
      </c>
      <c r="R98">
        <f t="shared" ref="R98" si="467">R99+Q98</f>
        <v>-2592536.0822152128</v>
      </c>
      <c r="S98">
        <f t="shared" ref="S98" si="468">R98/100000</f>
        <v>-25.925360822152129</v>
      </c>
      <c r="T98">
        <f t="shared" ref="T98" si="469">S98/1000</f>
        <v>-2.5925360822152129E-2</v>
      </c>
    </row>
    <row r="99" spans="1:20" x14ac:dyDescent="0.25">
      <c r="A99" s="5">
        <v>44494</v>
      </c>
      <c r="B99">
        <v>51.24</v>
      </c>
      <c r="C99">
        <v>54.8</v>
      </c>
      <c r="D99">
        <v>51</v>
      </c>
      <c r="E99">
        <v>52.92</v>
      </c>
      <c r="F99">
        <v>231980.2</v>
      </c>
      <c r="G99">
        <v>52.92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1.0526315789475337E-2</v>
      </c>
      <c r="Q99">
        <f t="shared" ref="Q99" si="471">F99*P99</f>
        <v>2441.8968421056466</v>
      </c>
      <c r="R99">
        <f t="shared" ref="R99" si="472">R100+Q99</f>
        <v>-2579312.8299157466</v>
      </c>
      <c r="S99">
        <f t="shared" ref="S99" si="473">R99/100000</f>
        <v>-25.793128299157466</v>
      </c>
      <c r="T99">
        <f t="shared" ref="T99" si="474">S99/1000</f>
        <v>-2.5793128299157465E-2</v>
      </c>
    </row>
    <row r="100" spans="1:20" x14ac:dyDescent="0.25">
      <c r="A100" s="5">
        <v>44493</v>
      </c>
      <c r="B100">
        <v>52.7</v>
      </c>
      <c r="C100">
        <v>53.14</v>
      </c>
      <c r="D100">
        <v>49.07</v>
      </c>
      <c r="E100">
        <v>51.33</v>
      </c>
      <c r="F100">
        <v>231587.56</v>
      </c>
      <c r="G100">
        <v>51.33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0.11056511056510951</v>
      </c>
      <c r="Q100">
        <f t="shared" ref="Q100" si="476">F100*P100</f>
        <v>25605.504176903931</v>
      </c>
      <c r="R100">
        <f t="shared" ref="R100" si="477">R101+Q100</f>
        <v>-2581754.7267578524</v>
      </c>
      <c r="S100">
        <f t="shared" ref="S100" si="478">R100/100000</f>
        <v>-25.817547267578522</v>
      </c>
      <c r="T100">
        <f t="shared" ref="T100" si="479">S100/1000</f>
        <v>-2.5817547267578522E-2</v>
      </c>
    </row>
    <row r="101" spans="1:20" x14ac:dyDescent="0.25">
      <c r="A101" s="5">
        <v>44492</v>
      </c>
      <c r="B101">
        <v>54.63</v>
      </c>
      <c r="C101">
        <v>54.77</v>
      </c>
      <c r="D101">
        <v>51.44</v>
      </c>
      <c r="E101">
        <v>52.69</v>
      </c>
      <c r="F101">
        <v>150370.54999999999</v>
      </c>
      <c r="G101">
        <v>52.69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-0.24924924924925046</v>
      </c>
      <c r="Q101">
        <f t="shared" ref="Q101" si="481">F101*P101</f>
        <v>-37479.746696696879</v>
      </c>
      <c r="R101">
        <f t="shared" ref="R101" si="482">R102+Q101</f>
        <v>-2607360.2309347563</v>
      </c>
      <c r="S101">
        <f t="shared" ref="S101" si="483">R101/100000</f>
        <v>-26.073602309347564</v>
      </c>
      <c r="T101">
        <f t="shared" ref="T101" si="484">S101/1000</f>
        <v>-2.6073602309347563E-2</v>
      </c>
    </row>
    <row r="102" spans="1:20" x14ac:dyDescent="0.25">
      <c r="A102" s="5">
        <v>44491</v>
      </c>
      <c r="B102">
        <v>53.32</v>
      </c>
      <c r="C102">
        <v>56.46</v>
      </c>
      <c r="D102">
        <v>53.16</v>
      </c>
      <c r="E102">
        <v>54.63</v>
      </c>
      <c r="F102">
        <v>228886.79</v>
      </c>
      <c r="G102">
        <v>54.63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-0.10909090909090663</v>
      </c>
      <c r="Q102">
        <f t="shared" ref="Q102" si="486">F102*P102</f>
        <v>-24969.467999999437</v>
      </c>
      <c r="R102">
        <f t="shared" ref="R102" si="487">R103+Q102</f>
        <v>-2569880.4842380593</v>
      </c>
      <c r="S102">
        <f t="shared" ref="S102" si="488">R102/100000</f>
        <v>-25.698804842380593</v>
      </c>
      <c r="T102">
        <f t="shared" ref="T102" si="489">S102/1000</f>
        <v>-2.5698804842380595E-2</v>
      </c>
    </row>
    <row r="103" spans="1:20" x14ac:dyDescent="0.25">
      <c r="A103" s="5">
        <v>44490</v>
      </c>
      <c r="B103">
        <v>56.55</v>
      </c>
      <c r="C103">
        <v>58.03</v>
      </c>
      <c r="D103">
        <v>52.82</v>
      </c>
      <c r="E103">
        <v>53.38</v>
      </c>
      <c r="F103">
        <v>259992.21</v>
      </c>
      <c r="G103">
        <v>53.38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-0.78502879078694732</v>
      </c>
      <c r="Q103">
        <f t="shared" ref="Q103" si="491">F103*P103</f>
        <v>-204101.37023032608</v>
      </c>
      <c r="R103">
        <f t="shared" ref="R103" si="492">R104+Q103</f>
        <v>-2544911.0162380598</v>
      </c>
      <c r="S103">
        <f t="shared" ref="S103" si="493">R103/100000</f>
        <v>-25.449110162380599</v>
      </c>
      <c r="T103">
        <f t="shared" ref="T103" si="494">S103/1000</f>
        <v>-2.5449110162380599E-2</v>
      </c>
    </row>
    <row r="104" spans="1:20" x14ac:dyDescent="0.25">
      <c r="A104" s="5">
        <v>44489</v>
      </c>
      <c r="B104">
        <v>54.87</v>
      </c>
      <c r="C104">
        <v>57</v>
      </c>
      <c r="D104">
        <v>53.28</v>
      </c>
      <c r="E104">
        <v>56.52</v>
      </c>
      <c r="F104">
        <v>403877.13</v>
      </c>
      <c r="G104">
        <v>56.52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0.7419354838709693</v>
      </c>
      <c r="Q104">
        <f t="shared" ref="Q104" si="496">F104*P104</f>
        <v>299650.77387096838</v>
      </c>
      <c r="R104">
        <f t="shared" ref="R104" si="497">R105+Q104</f>
        <v>-2340809.6460077339</v>
      </c>
      <c r="S104">
        <f t="shared" ref="S104" si="498">R104/100000</f>
        <v>-23.408096460077338</v>
      </c>
      <c r="T104">
        <f t="shared" ref="T104" si="499">S104/1000</f>
        <v>-2.3408096460077337E-2</v>
      </c>
    </row>
    <row r="105" spans="1:20" x14ac:dyDescent="0.25">
      <c r="A105" s="5">
        <v>44488</v>
      </c>
      <c r="B105">
        <v>50.69</v>
      </c>
      <c r="C105">
        <v>55.5</v>
      </c>
      <c r="D105">
        <v>50.1</v>
      </c>
      <c r="E105">
        <v>54.86</v>
      </c>
      <c r="F105">
        <v>376548.72</v>
      </c>
      <c r="G105">
        <v>54.86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0.76296296296296273</v>
      </c>
      <c r="Q105">
        <f t="shared" ref="Q105" si="501">F105*P105</f>
        <v>287292.72711111099</v>
      </c>
      <c r="R105">
        <f t="shared" ref="R105" si="502">R106+Q105</f>
        <v>-2640460.4198787021</v>
      </c>
      <c r="S105">
        <f t="shared" ref="S105" si="503">R105/100000</f>
        <v>-26.40460419878702</v>
      </c>
      <c r="T105">
        <f t="shared" ref="T105" si="504">S105/1000</f>
        <v>-2.640460419878702E-2</v>
      </c>
    </row>
    <row r="106" spans="1:20" x14ac:dyDescent="0.25">
      <c r="A106" s="5">
        <v>44487</v>
      </c>
      <c r="B106">
        <v>51.55</v>
      </c>
      <c r="C106">
        <v>52.9</v>
      </c>
      <c r="D106">
        <v>48.43</v>
      </c>
      <c r="E106">
        <v>50.7</v>
      </c>
      <c r="F106">
        <v>227741.04</v>
      </c>
      <c r="G106">
        <v>50.7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1.5659955257272349E-2</v>
      </c>
      <c r="Q106">
        <f t="shared" ref="Q106" si="506">F106*P106</f>
        <v>3566.4144966446725</v>
      </c>
      <c r="R106">
        <f t="shared" ref="R106" si="507">R107+Q106</f>
        <v>-2927753.1469898131</v>
      </c>
      <c r="S106">
        <f t="shared" ref="S106" si="508">R106/100000</f>
        <v>-29.277531469898129</v>
      </c>
      <c r="T106">
        <f t="shared" ref="T106" si="509">S106/1000</f>
        <v>-2.927753146989813E-2</v>
      </c>
    </row>
    <row r="107" spans="1:20" x14ac:dyDescent="0.25">
      <c r="A107" s="5">
        <v>44486</v>
      </c>
      <c r="B107">
        <v>51.58</v>
      </c>
      <c r="C107">
        <v>53.07</v>
      </c>
      <c r="D107">
        <v>49.17</v>
      </c>
      <c r="E107">
        <v>51.55</v>
      </c>
      <c r="F107">
        <v>202078.03</v>
      </c>
      <c r="G107">
        <v>51.55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0.22051282051281862</v>
      </c>
      <c r="Q107">
        <f t="shared" ref="Q107" si="511">F107*P107</f>
        <v>44560.796358973974</v>
      </c>
      <c r="R107">
        <f t="shared" ref="R107" si="512">R108+Q107</f>
        <v>-2931319.5614864579</v>
      </c>
      <c r="S107">
        <f t="shared" ref="S107" si="513">R107/100000</f>
        <v>-29.313195614864579</v>
      </c>
      <c r="T107">
        <f t="shared" ref="T107" si="514">S107/1000</f>
        <v>-2.931319561486458E-2</v>
      </c>
    </row>
    <row r="108" spans="1:20" x14ac:dyDescent="0.25">
      <c r="A108" s="5">
        <v>44485</v>
      </c>
      <c r="B108">
        <v>53.99</v>
      </c>
      <c r="C108">
        <v>56.91</v>
      </c>
      <c r="D108">
        <v>51.41</v>
      </c>
      <c r="E108">
        <v>51.63</v>
      </c>
      <c r="F108">
        <v>278778.59000000003</v>
      </c>
      <c r="G108">
        <v>51.63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-0.91999999999999782</v>
      </c>
      <c r="Q108">
        <f t="shared" ref="Q108" si="516">F108*P108</f>
        <v>-256476.30279999942</v>
      </c>
      <c r="R108">
        <f t="shared" ref="R108" si="517">R109+Q108</f>
        <v>-2975880.3578454321</v>
      </c>
      <c r="S108">
        <f t="shared" ref="S108" si="518">R108/100000</f>
        <v>-29.758803578454323</v>
      </c>
      <c r="T108">
        <f t="shared" ref="T108" si="519">S108/1000</f>
        <v>-2.9758803578454323E-2</v>
      </c>
    </row>
    <row r="109" spans="1:20" x14ac:dyDescent="0.25">
      <c r="A109" s="5">
        <v>44484</v>
      </c>
      <c r="B109">
        <v>52.5</v>
      </c>
      <c r="C109">
        <v>54.08</v>
      </c>
      <c r="D109">
        <v>50.82</v>
      </c>
      <c r="E109">
        <v>53.99</v>
      </c>
      <c r="F109">
        <v>241536.33</v>
      </c>
      <c r="G109">
        <v>53.99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0.94478527607362184</v>
      </c>
      <c r="Q109">
        <f t="shared" ref="Q109" si="521">F109*P109</f>
        <v>228199.96822085942</v>
      </c>
      <c r="R109">
        <f t="shared" ref="R109" si="522">R110+Q109</f>
        <v>-2719404.0550454329</v>
      </c>
      <c r="S109">
        <f t="shared" ref="S109" si="523">R109/100000</f>
        <v>-27.194040550454329</v>
      </c>
      <c r="T109">
        <f t="shared" ref="T109" si="524">S109/1000</f>
        <v>-2.7194040550454327E-2</v>
      </c>
    </row>
    <row r="110" spans="1:20" x14ac:dyDescent="0.25">
      <c r="A110" s="5">
        <v>44483</v>
      </c>
      <c r="B110">
        <v>52.89</v>
      </c>
      <c r="C110">
        <v>54.88</v>
      </c>
      <c r="D110">
        <v>51.85</v>
      </c>
      <c r="E110">
        <v>52.45</v>
      </c>
      <c r="F110">
        <v>274356.59999999998</v>
      </c>
      <c r="G110">
        <v>52.45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-0.60396039603960316</v>
      </c>
      <c r="Q110">
        <f t="shared" ref="Q110" si="526">F110*P110</f>
        <v>-165700.52079207898</v>
      </c>
      <c r="R110">
        <f t="shared" ref="R110" si="527">R111+Q110</f>
        <v>-2947604.0232662922</v>
      </c>
      <c r="S110">
        <f t="shared" ref="S110" si="528">R110/100000</f>
        <v>-29.476040232662921</v>
      </c>
      <c r="T110">
        <f t="shared" ref="T110" si="529">S110/1000</f>
        <v>-2.9476040232662922E-2</v>
      </c>
    </row>
    <row r="111" spans="1:20" x14ac:dyDescent="0.25">
      <c r="A111" s="5">
        <v>44482</v>
      </c>
      <c r="B111">
        <v>54.48</v>
      </c>
      <c r="C111">
        <v>55.45</v>
      </c>
      <c r="D111">
        <v>50.62</v>
      </c>
      <c r="E111">
        <v>52.89</v>
      </c>
      <c r="F111">
        <v>357441.04</v>
      </c>
      <c r="G111">
        <v>52.89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-6.0041407867494581E-2</v>
      </c>
      <c r="Q111">
        <f t="shared" ref="Q111" si="531">F111*P111</f>
        <v>-21461.263271221444</v>
      </c>
      <c r="R111">
        <f t="shared" ref="R111" si="532">R112+Q111</f>
        <v>-2781903.502474213</v>
      </c>
      <c r="S111">
        <f t="shared" ref="S111" si="533">R111/100000</f>
        <v>-27.819035024742131</v>
      </c>
      <c r="T111">
        <f t="shared" ref="T111" si="534">S111/1000</f>
        <v>-2.7819035024742131E-2</v>
      </c>
    </row>
    <row r="112" spans="1:20" x14ac:dyDescent="0.25">
      <c r="A112" s="5">
        <v>44481</v>
      </c>
      <c r="B112">
        <v>58.16</v>
      </c>
      <c r="C112">
        <v>58.16</v>
      </c>
      <c r="D112">
        <v>51.74</v>
      </c>
      <c r="E112">
        <v>54.48</v>
      </c>
      <c r="F112">
        <v>403115.11</v>
      </c>
      <c r="G112">
        <v>54.48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-0.14641744548286692</v>
      </c>
      <c r="Q112">
        <f t="shared" ref="Q112" si="536">F112*P112</f>
        <v>-59023.084641744899</v>
      </c>
      <c r="R112">
        <f t="shared" ref="R112" si="537">R113+Q112</f>
        <v>-2760442.2392029916</v>
      </c>
      <c r="S112">
        <f t="shared" ref="S112" si="538">R112/100000</f>
        <v>-27.604422392029917</v>
      </c>
      <c r="T112">
        <f t="shared" ref="T112" si="539">S112/1000</f>
        <v>-2.7604422392029919E-2</v>
      </c>
    </row>
    <row r="113" spans="1:20" x14ac:dyDescent="0.25">
      <c r="A113" s="5">
        <v>44480</v>
      </c>
      <c r="B113">
        <v>57.85</v>
      </c>
      <c r="C113">
        <v>64.22</v>
      </c>
      <c r="D113">
        <v>56.05</v>
      </c>
      <c r="E113">
        <v>58.19</v>
      </c>
      <c r="F113">
        <v>628365.57999999996</v>
      </c>
      <c r="G113">
        <v>58.19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-0.47613219094247244</v>
      </c>
      <c r="Q113">
        <f t="shared" ref="Q113" si="541">F113*P113</f>
        <v>-299185.08031823742</v>
      </c>
      <c r="R113">
        <f t="shared" ref="R113" si="542">R114+Q113</f>
        <v>-2701419.1545612467</v>
      </c>
      <c r="S113">
        <f t="shared" ref="S113" si="543">R113/100000</f>
        <v>-27.014191545612466</v>
      </c>
      <c r="T113">
        <f t="shared" ref="T113" si="544">S113/1000</f>
        <v>-2.7014191545612465E-2</v>
      </c>
    </row>
    <row r="114" spans="1:20" x14ac:dyDescent="0.25">
      <c r="A114" s="5">
        <v>44479</v>
      </c>
      <c r="B114">
        <v>61.07</v>
      </c>
      <c r="C114">
        <v>62.89</v>
      </c>
      <c r="D114">
        <v>57.6</v>
      </c>
      <c r="E114">
        <v>57.89</v>
      </c>
      <c r="F114">
        <v>361415.96</v>
      </c>
      <c r="G114">
        <v>57.89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-0.89035916824196626</v>
      </c>
      <c r="Q114">
        <f t="shared" ref="Q114" si="546">F114*P114</f>
        <v>-321790.01353497175</v>
      </c>
      <c r="R114">
        <f t="shared" ref="R114" si="547">R115+Q114</f>
        <v>-2402234.0742430091</v>
      </c>
      <c r="S114">
        <f t="shared" ref="S114" si="548">R114/100000</f>
        <v>-24.022340742430092</v>
      </c>
      <c r="T114">
        <f t="shared" ref="T114" si="549">S114/1000</f>
        <v>-2.4022340742430093E-2</v>
      </c>
    </row>
    <row r="115" spans="1:20" x14ac:dyDescent="0.25">
      <c r="A115" s="5">
        <v>44478</v>
      </c>
      <c r="B115">
        <v>62.53</v>
      </c>
      <c r="C115">
        <v>64.67</v>
      </c>
      <c r="D115">
        <v>59.72</v>
      </c>
      <c r="E115">
        <v>61.13</v>
      </c>
      <c r="F115">
        <v>353209.84</v>
      </c>
      <c r="G115">
        <v>61.13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-0.43030303030302913</v>
      </c>
      <c r="Q115">
        <f t="shared" ref="Q115" si="551">F115*P115</f>
        <v>-151987.26448484807</v>
      </c>
      <c r="R115">
        <f t="shared" ref="R115" si="552">R116+Q115</f>
        <v>-2080444.0607080371</v>
      </c>
      <c r="S115">
        <f t="shared" ref="S115" si="553">R115/100000</f>
        <v>-20.80444060708037</v>
      </c>
      <c r="T115">
        <f t="shared" ref="T115" si="554">S115/1000</f>
        <v>-2.0804440607080369E-2</v>
      </c>
    </row>
    <row r="116" spans="1:20" x14ac:dyDescent="0.25">
      <c r="A116" s="5">
        <v>44477</v>
      </c>
      <c r="B116">
        <v>58.96</v>
      </c>
      <c r="C116">
        <v>69.8</v>
      </c>
      <c r="D116">
        <v>58.54</v>
      </c>
      <c r="E116">
        <v>62.59</v>
      </c>
      <c r="F116">
        <v>956361.12</v>
      </c>
      <c r="G116">
        <v>62.59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-0.28063943161634014</v>
      </c>
      <c r="Q116">
        <f t="shared" ref="Q116" si="556">F116*P116</f>
        <v>-268392.64113676647</v>
      </c>
      <c r="R116">
        <f t="shared" ref="R116" si="557">R117+Q116</f>
        <v>-1928456.796223189</v>
      </c>
      <c r="S116">
        <f t="shared" ref="S116" si="558">R116/100000</f>
        <v>-19.28456796223189</v>
      </c>
      <c r="T116">
        <f t="shared" ref="T116" si="559">S116/1000</f>
        <v>-1.928456796223189E-2</v>
      </c>
    </row>
    <row r="117" spans="1:20" x14ac:dyDescent="0.25">
      <c r="A117" s="5">
        <v>44476</v>
      </c>
      <c r="B117">
        <v>64.680000000000007</v>
      </c>
      <c r="C117">
        <v>67.27</v>
      </c>
      <c r="D117">
        <v>58.7</v>
      </c>
      <c r="E117">
        <v>58.95</v>
      </c>
      <c r="F117">
        <v>990294.28</v>
      </c>
      <c r="G117">
        <v>58.95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-0.94165694282380397</v>
      </c>
      <c r="Q117">
        <f t="shared" ref="Q117" si="561">F117*P117</f>
        <v>-932517.48420070019</v>
      </c>
      <c r="R117">
        <f t="shared" ref="R117" si="562">R118+Q117</f>
        <v>-1660064.1550864226</v>
      </c>
      <c r="S117">
        <f t="shared" ref="S117" si="563">R117/100000</f>
        <v>-16.600641550864225</v>
      </c>
      <c r="T117">
        <f t="shared" ref="T117" si="564">S117/1000</f>
        <v>-1.6600641550864225E-2</v>
      </c>
    </row>
    <row r="118" spans="1:20" x14ac:dyDescent="0.25">
      <c r="A118" s="5">
        <v>44475</v>
      </c>
      <c r="B118">
        <v>53.21</v>
      </c>
      <c r="C118">
        <v>67.849999999999994</v>
      </c>
      <c r="D118">
        <v>48</v>
      </c>
      <c r="E118">
        <v>64.73</v>
      </c>
      <c r="F118">
        <v>1449860.35</v>
      </c>
      <c r="G118">
        <v>64.73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0.68564231738035353</v>
      </c>
      <c r="Q118">
        <f t="shared" ref="Q118" si="566">F118*P118</f>
        <v>994085.6102518905</v>
      </c>
      <c r="R118">
        <f t="shared" ref="R118" si="567">R119+Q118</f>
        <v>-727546.67088572239</v>
      </c>
      <c r="S118">
        <f t="shared" ref="S118" si="568">R118/100000</f>
        <v>-7.2754667088572242</v>
      </c>
      <c r="T118">
        <f t="shared" ref="T118" si="569">S118/1000</f>
        <v>-7.2754667088572242E-3</v>
      </c>
    </row>
    <row r="119" spans="1:20" x14ac:dyDescent="0.25">
      <c r="A119" s="5">
        <v>44474</v>
      </c>
      <c r="B119">
        <v>53.09</v>
      </c>
      <c r="C119">
        <v>55.79</v>
      </c>
      <c r="D119">
        <v>51.73</v>
      </c>
      <c r="E119">
        <v>53.19</v>
      </c>
      <c r="F119">
        <v>278222.73</v>
      </c>
      <c r="G119">
        <v>53.19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-0.28078817733990147</v>
      </c>
      <c r="Q119">
        <f t="shared" ref="Q119" si="571">F119*P119</f>
        <v>-78121.653251231517</v>
      </c>
      <c r="R119">
        <f t="shared" ref="R119" si="572">R120+Q119</f>
        <v>-1721632.2811376129</v>
      </c>
      <c r="S119">
        <f t="shared" ref="S119" si="573">R119/100000</f>
        <v>-17.216322811376127</v>
      </c>
      <c r="T119">
        <f t="shared" ref="T119" si="574">S119/1000</f>
        <v>-1.7216322811376129E-2</v>
      </c>
    </row>
    <row r="120" spans="1:20" x14ac:dyDescent="0.25">
      <c r="A120" s="5">
        <v>44473</v>
      </c>
      <c r="B120">
        <v>57.5</v>
      </c>
      <c r="C120">
        <v>57.84</v>
      </c>
      <c r="D120">
        <v>51.66</v>
      </c>
      <c r="E120">
        <v>53.53</v>
      </c>
      <c r="F120">
        <v>580144.5</v>
      </c>
      <c r="G120">
        <v>53.53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-0.3948220064724911</v>
      </c>
      <c r="Q120">
        <f t="shared" ref="Q120" si="576">F120*P120</f>
        <v>-229053.81553398012</v>
      </c>
      <c r="R120">
        <f t="shared" ref="R120" si="577">R121+Q120</f>
        <v>-1643510.6278863815</v>
      </c>
      <c r="S120">
        <f t="shared" ref="S120" si="578">R120/100000</f>
        <v>-16.435106278863813</v>
      </c>
      <c r="T120">
        <f t="shared" ref="T120" si="579">S120/1000</f>
        <v>-1.6435106278863812E-2</v>
      </c>
    </row>
    <row r="121" spans="1:20" x14ac:dyDescent="0.25">
      <c r="A121" s="5">
        <v>44472</v>
      </c>
      <c r="B121">
        <v>58.4</v>
      </c>
      <c r="C121">
        <v>58.96</v>
      </c>
      <c r="D121">
        <v>54.21</v>
      </c>
      <c r="E121">
        <v>57.28</v>
      </c>
      <c r="F121">
        <v>526755.18000000005</v>
      </c>
      <c r="G121">
        <v>57.28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0.29263157894736852</v>
      </c>
      <c r="Q121">
        <f t="shared" ref="Q121" si="581">F121*P121</f>
        <v>154145.20004210534</v>
      </c>
      <c r="R121">
        <f t="shared" ref="R121" si="582">R122+Q121</f>
        <v>-1414456.8123524014</v>
      </c>
      <c r="S121">
        <f t="shared" ref="S121" si="583">R121/100000</f>
        <v>-14.144568123524014</v>
      </c>
      <c r="T121">
        <f t="shared" ref="T121" si="584">S121/1000</f>
        <v>-1.4144568123524014E-2</v>
      </c>
    </row>
    <row r="122" spans="1:20" x14ac:dyDescent="0.25">
      <c r="A122" s="5">
        <v>44471</v>
      </c>
      <c r="B122">
        <v>48.8</v>
      </c>
      <c r="C122">
        <v>58.61</v>
      </c>
      <c r="D122">
        <v>46.5</v>
      </c>
      <c r="E122">
        <v>58.43</v>
      </c>
      <c r="F122">
        <v>634943.42000000004</v>
      </c>
      <c r="G122">
        <v>58.43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0.97027250206440963</v>
      </c>
      <c r="Q122">
        <f t="shared" ref="Q122" si="586">F122*P122</f>
        <v>616068.14079273329</v>
      </c>
      <c r="R122">
        <f t="shared" ref="R122" si="587">R123+Q122</f>
        <v>-1568602.0123945067</v>
      </c>
      <c r="S122">
        <f t="shared" ref="S122" si="588">R122/100000</f>
        <v>-15.686020123945067</v>
      </c>
      <c r="T122">
        <f t="shared" ref="T122" si="589">S122/1000</f>
        <v>-1.5686020123945068E-2</v>
      </c>
    </row>
    <row r="123" spans="1:20" x14ac:dyDescent="0.25">
      <c r="A123" s="5">
        <v>44470</v>
      </c>
      <c r="B123">
        <v>43.36</v>
      </c>
      <c r="C123">
        <v>49.26</v>
      </c>
      <c r="D123">
        <v>42.58</v>
      </c>
      <c r="E123">
        <v>48.81</v>
      </c>
      <c r="F123">
        <v>560609.26</v>
      </c>
      <c r="G123">
        <v>48.81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0.86526946107784564</v>
      </c>
      <c r="Q123">
        <f t="shared" ref="Q123" si="591">F123*P123</f>
        <v>485078.07227544987</v>
      </c>
      <c r="R123">
        <f t="shared" ref="R123" si="592">R124+Q123</f>
        <v>-2184670.15318724</v>
      </c>
      <c r="S123">
        <f t="shared" ref="S123" si="593">R123/100000</f>
        <v>-21.846701531872402</v>
      </c>
      <c r="T123">
        <f t="shared" ref="T123" si="594">S123/1000</f>
        <v>-2.18467015318724E-2</v>
      </c>
    </row>
    <row r="124" spans="1:20" x14ac:dyDescent="0.25">
      <c r="A124" s="5">
        <v>44469</v>
      </c>
      <c r="B124">
        <v>40.61</v>
      </c>
      <c r="C124">
        <v>43.72</v>
      </c>
      <c r="D124">
        <v>40.229999999999997</v>
      </c>
      <c r="E124">
        <v>43.32</v>
      </c>
      <c r="F124">
        <v>355328.21</v>
      </c>
      <c r="G124">
        <v>43.32</v>
      </c>
      <c r="L124" t="s">
        <v>7</v>
      </c>
      <c r="M124" t="s">
        <v>8</v>
      </c>
      <c r="N124" t="s">
        <v>7</v>
      </c>
      <c r="P124">
        <f t="shared" ref="P124" si="595">IF(C124=D124,0,((E124-D124)-(C124-E124))/(C124-D124))</f>
        <v>0.77077363896848228</v>
      </c>
      <c r="Q124">
        <f t="shared" ref="Q124" si="596">F124*P124</f>
        <v>273877.61744985706</v>
      </c>
      <c r="R124">
        <f t="shared" ref="R124" si="597">R125+Q124</f>
        <v>-2669748.22546269</v>
      </c>
      <c r="S124">
        <f t="shared" ref="S124" si="598">R124/100000</f>
        <v>-26.697482254626902</v>
      </c>
      <c r="T124">
        <f t="shared" ref="T124" si="599">S124/1000</f>
        <v>-2.6697482254626901E-2</v>
      </c>
    </row>
    <row r="125" spans="1:20" x14ac:dyDescent="0.25">
      <c r="A125" s="5">
        <v>44468</v>
      </c>
      <c r="B125">
        <v>38.380000000000003</v>
      </c>
      <c r="C125">
        <v>44.99</v>
      </c>
      <c r="D125">
        <v>38.04</v>
      </c>
      <c r="E125">
        <v>40.65</v>
      </c>
      <c r="F125">
        <v>614560.80000000005</v>
      </c>
      <c r="G125">
        <v>40.65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-0.24892086330935298</v>
      </c>
      <c r="Q125">
        <f t="shared" ref="Q125" si="601">F125*P125</f>
        <v>-152977.00489208664</v>
      </c>
      <c r="R125">
        <f t="shared" ref="R125" si="602">R126+Q125</f>
        <v>-2943625.8429125473</v>
      </c>
      <c r="S125">
        <f t="shared" ref="S125" si="603">R125/100000</f>
        <v>-29.436258429125473</v>
      </c>
      <c r="T125">
        <f t="shared" ref="T125" si="604">S125/1000</f>
        <v>-2.9436258429125475E-2</v>
      </c>
    </row>
    <row r="126" spans="1:20" x14ac:dyDescent="0.25">
      <c r="A126" s="5">
        <v>44467</v>
      </c>
      <c r="B126">
        <v>40.89</v>
      </c>
      <c r="C126">
        <v>41.67</v>
      </c>
      <c r="D126">
        <v>38.07</v>
      </c>
      <c r="E126">
        <v>38.380000000000003</v>
      </c>
      <c r="F126">
        <v>347606.81</v>
      </c>
      <c r="G126">
        <v>38.380000000000003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-0.82777777777777661</v>
      </c>
      <c r="Q126">
        <f t="shared" ref="Q126" si="606">F126*P126</f>
        <v>-287741.19272222184</v>
      </c>
      <c r="R126">
        <f t="shared" ref="R126" si="607">R127+Q126</f>
        <v>-2790648.8380204607</v>
      </c>
      <c r="S126">
        <f t="shared" ref="S126" si="608">R126/100000</f>
        <v>-27.906488380204607</v>
      </c>
      <c r="T126">
        <f t="shared" ref="T126" si="609">S126/1000</f>
        <v>-2.7906488380204608E-2</v>
      </c>
    </row>
    <row r="127" spans="1:20" x14ac:dyDescent="0.25">
      <c r="A127" s="5">
        <v>44466</v>
      </c>
      <c r="B127">
        <v>43.19</v>
      </c>
      <c r="C127">
        <v>46.15</v>
      </c>
      <c r="D127">
        <v>40.85</v>
      </c>
      <c r="E127">
        <v>40.93</v>
      </c>
      <c r="F127">
        <v>314221.27</v>
      </c>
      <c r="G127">
        <v>40.93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-0.96981132075471765</v>
      </c>
      <c r="Q127">
        <f t="shared" ref="Q127" si="611">F127*P127</f>
        <v>-304735.34486792475</v>
      </c>
      <c r="R127">
        <f t="shared" ref="R127" si="612">R128+Q127</f>
        <v>-2502907.6452982388</v>
      </c>
      <c r="S127">
        <f t="shared" ref="S127" si="613">R127/100000</f>
        <v>-25.029076452982387</v>
      </c>
      <c r="T127">
        <f t="shared" ref="T127" si="614">S127/1000</f>
        <v>-2.5029076452982389E-2</v>
      </c>
    </row>
    <row r="128" spans="1:20" x14ac:dyDescent="0.25">
      <c r="A128" s="5">
        <v>44465</v>
      </c>
      <c r="B128">
        <v>44.95</v>
      </c>
      <c r="C128">
        <v>45.6</v>
      </c>
      <c r="D128">
        <v>40.799999999999997</v>
      </c>
      <c r="E128">
        <v>43.23</v>
      </c>
      <c r="F128">
        <v>467180.54</v>
      </c>
      <c r="G128">
        <v>43.23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1.2499999999998982E-2</v>
      </c>
      <c r="Q128">
        <f t="shared" ref="Q128" si="616">F128*P128</f>
        <v>5839.7567499995239</v>
      </c>
      <c r="R128">
        <f t="shared" ref="R128" si="617">R129+Q128</f>
        <v>-2198172.3004303141</v>
      </c>
      <c r="S128">
        <f t="shared" ref="S128" si="618">R128/100000</f>
        <v>-21.981723004303142</v>
      </c>
      <c r="T128">
        <f t="shared" ref="T128" si="619">S128/1000</f>
        <v>-2.1981723004303143E-2</v>
      </c>
    </row>
    <row r="129" spans="1:20" x14ac:dyDescent="0.25">
      <c r="A129" s="5">
        <v>44464</v>
      </c>
      <c r="B129">
        <v>47.57</v>
      </c>
      <c r="C129">
        <v>47.85</v>
      </c>
      <c r="D129">
        <v>44.62</v>
      </c>
      <c r="E129">
        <v>44.94</v>
      </c>
      <c r="F129">
        <v>253639.12</v>
      </c>
      <c r="G129">
        <v>44.94</v>
      </c>
      <c r="L129" t="s">
        <v>8</v>
      </c>
      <c r="M129" t="s">
        <v>7</v>
      </c>
      <c r="N129" t="s">
        <v>8</v>
      </c>
      <c r="P129">
        <f t="shared" ref="P129" si="620">IF(C129=D129,0,((E129-D129)-(C129-E129))/(C129-D129))</f>
        <v>-0.80185758513931893</v>
      </c>
      <c r="Q129">
        <f t="shared" ref="Q129" si="621">F129*P129</f>
        <v>-203382.45226006192</v>
      </c>
      <c r="R129">
        <f t="shared" ref="R129" si="622">R130+Q129</f>
        <v>-2204012.0571803139</v>
      </c>
      <c r="S129">
        <f t="shared" ref="S129" si="623">R129/100000</f>
        <v>-22.04012057180314</v>
      </c>
      <c r="T129">
        <f t="shared" ref="T129" si="624">S129/1000</f>
        <v>-2.2040120571803139E-2</v>
      </c>
    </row>
    <row r="130" spans="1:20" x14ac:dyDescent="0.25">
      <c r="A130" s="5">
        <v>44463</v>
      </c>
      <c r="B130">
        <v>52.35</v>
      </c>
      <c r="C130">
        <v>52.62</v>
      </c>
      <c r="D130">
        <v>43.28</v>
      </c>
      <c r="E130">
        <v>47.55</v>
      </c>
      <c r="F130">
        <v>761271.99</v>
      </c>
      <c r="G130">
        <v>47.55</v>
      </c>
      <c r="L130" t="s">
        <v>7</v>
      </c>
      <c r="M130" t="s">
        <v>7</v>
      </c>
      <c r="N130" t="s">
        <v>8</v>
      </c>
      <c r="P130">
        <f t="shared" ref="P130" si="625">IF(C130=D130,0,((E130-D130)-(C130-E130))/(C130-D130))</f>
        <v>-8.5653104925054027E-2</v>
      </c>
      <c r="Q130">
        <f t="shared" ref="Q130" si="626">F130*P130</f>
        <v>-65205.309635974678</v>
      </c>
      <c r="R130">
        <f t="shared" ref="R130" si="627">R131+Q130</f>
        <v>-2000629.6049202518</v>
      </c>
      <c r="S130">
        <f t="shared" ref="S130" si="628">R130/100000</f>
        <v>-20.006296049202518</v>
      </c>
      <c r="T130">
        <f t="shared" ref="T130" si="629">S130/1000</f>
        <v>-2.0006296049202517E-2</v>
      </c>
    </row>
    <row r="131" spans="1:20" x14ac:dyDescent="0.25">
      <c r="A131" s="5">
        <v>44462</v>
      </c>
      <c r="B131">
        <v>46.91</v>
      </c>
      <c r="C131">
        <v>54.8</v>
      </c>
      <c r="D131">
        <v>46.58</v>
      </c>
      <c r="E131">
        <v>52.32</v>
      </c>
      <c r="F131">
        <v>882390.61</v>
      </c>
      <c r="G131">
        <v>52.32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0.39659367396593742</v>
      </c>
      <c r="Q131">
        <f t="shared" ref="Q131" si="631">F131*P131</f>
        <v>349950.53389294463</v>
      </c>
      <c r="R131">
        <f t="shared" ref="R131" si="632">R132+Q131</f>
        <v>-1935424.2952842771</v>
      </c>
      <c r="S131">
        <f t="shared" ref="S131" si="633">R131/100000</f>
        <v>-19.354242952842771</v>
      </c>
      <c r="T131">
        <f t="shared" ref="T131" si="634">S131/1000</f>
        <v>-1.9354242952842771E-2</v>
      </c>
    </row>
    <row r="132" spans="1:20" x14ac:dyDescent="0.25">
      <c r="A132" s="5">
        <v>44461</v>
      </c>
      <c r="B132">
        <v>36.979999999999997</v>
      </c>
      <c r="C132">
        <v>48.8</v>
      </c>
      <c r="D132">
        <v>36.119999999999997</v>
      </c>
      <c r="E132">
        <v>46.95</v>
      </c>
      <c r="F132">
        <v>681144.9</v>
      </c>
      <c r="G132">
        <v>46.95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0.70820189274448042</v>
      </c>
      <c r="Q132">
        <f t="shared" ref="Q132" si="636">F132*P132</f>
        <v>482388.10741324985</v>
      </c>
      <c r="R132">
        <f t="shared" ref="R132" si="637">R133+Q132</f>
        <v>-2285374.8291772217</v>
      </c>
      <c r="S132">
        <f t="shared" ref="S132" si="638">R132/100000</f>
        <v>-22.853748291772217</v>
      </c>
      <c r="T132">
        <f t="shared" ref="T132" si="639">S132/1000</f>
        <v>-2.2853748291772218E-2</v>
      </c>
    </row>
    <row r="133" spans="1:20" x14ac:dyDescent="0.25">
      <c r="A133" s="5">
        <v>44460</v>
      </c>
      <c r="B133">
        <v>40.369999999999997</v>
      </c>
      <c r="C133">
        <v>42.97</v>
      </c>
      <c r="D133">
        <v>34.15</v>
      </c>
      <c r="E133">
        <v>36.99</v>
      </c>
      <c r="F133">
        <v>691029.53</v>
      </c>
      <c r="G133">
        <v>36.99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-0.35600907029478385</v>
      </c>
      <c r="Q133">
        <f t="shared" ref="Q133" si="641">F133*P133</f>
        <v>-246012.78052154146</v>
      </c>
      <c r="R133">
        <f t="shared" ref="R133" si="642">R134+Q133</f>
        <v>-2767762.9365904718</v>
      </c>
      <c r="S133">
        <f t="shared" ref="S133" si="643">R133/100000</f>
        <v>-27.677629365904718</v>
      </c>
      <c r="T133">
        <f t="shared" ref="T133" si="644">S133/1000</f>
        <v>-2.7677629365904718E-2</v>
      </c>
    </row>
    <row r="134" spans="1:20" x14ac:dyDescent="0.25">
      <c r="A134" s="5">
        <v>44459</v>
      </c>
      <c r="B134">
        <v>49.72</v>
      </c>
      <c r="C134">
        <v>51</v>
      </c>
      <c r="D134">
        <v>41.39</v>
      </c>
      <c r="E134">
        <v>44.58</v>
      </c>
      <c r="F134">
        <v>381778.44</v>
      </c>
      <c r="G134">
        <v>44.58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-0.3361082206035384</v>
      </c>
      <c r="Q134">
        <f t="shared" ref="Q134" si="646">F134*P134</f>
        <v>-128318.87213319475</v>
      </c>
      <c r="R134">
        <f t="shared" ref="R134" si="647">R135+Q134</f>
        <v>-2521750.1560689304</v>
      </c>
      <c r="S134">
        <f t="shared" ref="S134" si="648">R134/100000</f>
        <v>-25.217501560689303</v>
      </c>
      <c r="T134">
        <f t="shared" ref="T134" si="649">S134/1000</f>
        <v>-2.5217501560689304E-2</v>
      </c>
    </row>
    <row r="135" spans="1:20" x14ac:dyDescent="0.25">
      <c r="A135" s="5">
        <v>44458</v>
      </c>
      <c r="B135">
        <v>49.61</v>
      </c>
      <c r="C135">
        <v>54.5</v>
      </c>
      <c r="D135">
        <v>48</v>
      </c>
      <c r="E135">
        <v>49.7</v>
      </c>
      <c r="F135">
        <v>371111.51</v>
      </c>
      <c r="G135">
        <v>49.7</v>
      </c>
      <c r="L135" t="s">
        <v>8</v>
      </c>
      <c r="M135" t="s">
        <v>7</v>
      </c>
      <c r="N135" t="s">
        <v>7</v>
      </c>
      <c r="P135">
        <f t="shared" ref="P135" si="650">IF(C135=D135,0,((E135-D135)-(C135-E135))/(C135-D135))</f>
        <v>-0.47692307692307606</v>
      </c>
      <c r="Q135">
        <f t="shared" ref="Q135" si="651">F135*P135</f>
        <v>-176991.64323076891</v>
      </c>
      <c r="R135">
        <f t="shared" ref="R135" si="652">R136+Q135</f>
        <v>-2393431.2839357355</v>
      </c>
      <c r="S135">
        <f t="shared" ref="S135" si="653">R135/100000</f>
        <v>-23.934312839357354</v>
      </c>
      <c r="T135">
        <f t="shared" ref="T135" si="654">S135/1000</f>
        <v>-2.3934312839357354E-2</v>
      </c>
    </row>
    <row r="136" spans="1:20" x14ac:dyDescent="0.25">
      <c r="A136" s="5">
        <v>44457</v>
      </c>
      <c r="B136">
        <v>48.92</v>
      </c>
      <c r="C136">
        <v>53.1</v>
      </c>
      <c r="D136">
        <v>47.91</v>
      </c>
      <c r="E136">
        <v>49.56</v>
      </c>
      <c r="F136">
        <v>345039.52</v>
      </c>
      <c r="G136">
        <v>49.56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-0.36416184971098103</v>
      </c>
      <c r="Q136">
        <f t="shared" ref="Q136" si="656">F136*P136</f>
        <v>-125650.22982658904</v>
      </c>
      <c r="R136">
        <f t="shared" ref="R136" si="657">R137+Q136</f>
        <v>-2216439.6407049666</v>
      </c>
      <c r="S136">
        <f t="shared" ref="S136" si="658">R136/100000</f>
        <v>-22.164396407049665</v>
      </c>
      <c r="T136">
        <f t="shared" ref="T136" si="659">S136/1000</f>
        <v>-2.2164396407049664E-2</v>
      </c>
    </row>
    <row r="137" spans="1:20" x14ac:dyDescent="0.25">
      <c r="A137" s="5">
        <v>44456</v>
      </c>
      <c r="B137">
        <v>52.97</v>
      </c>
      <c r="C137">
        <v>53.37</v>
      </c>
      <c r="D137">
        <v>47.81</v>
      </c>
      <c r="E137">
        <v>48.92</v>
      </c>
      <c r="F137">
        <v>332275.44</v>
      </c>
      <c r="G137">
        <v>48.92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-0.60071942446043147</v>
      </c>
      <c r="Q137">
        <f t="shared" ref="Q137" si="661">F137*P137</f>
        <v>-199604.31107913662</v>
      </c>
      <c r="R137">
        <f t="shared" ref="R137" si="662">R138+Q137</f>
        <v>-2090789.4108783777</v>
      </c>
      <c r="S137">
        <f t="shared" ref="S137" si="663">R137/100000</f>
        <v>-20.907894108783779</v>
      </c>
      <c r="T137">
        <f t="shared" ref="T137" si="664">S137/1000</f>
        <v>-2.090789410878378E-2</v>
      </c>
    </row>
    <row r="138" spans="1:20" x14ac:dyDescent="0.25">
      <c r="A138" s="5">
        <v>44455</v>
      </c>
      <c r="B138">
        <v>57.23</v>
      </c>
      <c r="C138">
        <v>58.16</v>
      </c>
      <c r="D138">
        <v>52.51</v>
      </c>
      <c r="E138">
        <v>52.97</v>
      </c>
      <c r="F138">
        <v>373139.98</v>
      </c>
      <c r="G138">
        <v>52.97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-0.83716814159291997</v>
      </c>
      <c r="Q138">
        <f t="shared" ref="Q138" si="666">F138*P138</f>
        <v>-312380.90361061931</v>
      </c>
      <c r="R138">
        <f t="shared" ref="R138" si="667">R139+Q138</f>
        <v>-1891185.0997992412</v>
      </c>
      <c r="S138">
        <f t="shared" ref="S138" si="668">R138/100000</f>
        <v>-18.911850997992413</v>
      </c>
      <c r="T138">
        <f t="shared" ref="T138" si="669">S138/1000</f>
        <v>-1.8911850997992412E-2</v>
      </c>
    </row>
    <row r="139" spans="1:20" x14ac:dyDescent="0.25">
      <c r="A139" s="5">
        <v>44454</v>
      </c>
      <c r="B139">
        <v>55.46</v>
      </c>
      <c r="C139">
        <v>59.11</v>
      </c>
      <c r="D139">
        <v>54.12</v>
      </c>
      <c r="E139">
        <v>57.28</v>
      </c>
      <c r="F139">
        <v>328074.15999999997</v>
      </c>
      <c r="G139">
        <v>57.28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0.26653306613226552</v>
      </c>
      <c r="Q139">
        <f t="shared" ref="Q139" si="671">F139*P139</f>
        <v>87442.611783567452</v>
      </c>
      <c r="R139">
        <f t="shared" ref="R139" si="672">R140+Q139</f>
        <v>-1578804.1961886219</v>
      </c>
      <c r="S139">
        <f t="shared" ref="S139" si="673">R139/100000</f>
        <v>-15.788041961886218</v>
      </c>
      <c r="T139">
        <f t="shared" ref="T139" si="674">S139/1000</f>
        <v>-1.5788041961886219E-2</v>
      </c>
    </row>
    <row r="140" spans="1:20" x14ac:dyDescent="0.25">
      <c r="A140" s="5">
        <v>44453</v>
      </c>
      <c r="B140">
        <v>54.22</v>
      </c>
      <c r="C140">
        <v>57.7</v>
      </c>
      <c r="D140">
        <v>53.04</v>
      </c>
      <c r="E140">
        <v>55.46</v>
      </c>
      <c r="F140">
        <v>449919.7</v>
      </c>
      <c r="G140">
        <v>55.46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3.8626609442059992E-2</v>
      </c>
      <c r="Q140">
        <f t="shared" ref="Q140" si="676">F140*P140</f>
        <v>17378.872532188798</v>
      </c>
      <c r="R140">
        <f t="shared" ref="R140" si="677">R141+Q140</f>
        <v>-1666246.8079721893</v>
      </c>
      <c r="S140">
        <f t="shared" ref="S140" si="678">R140/100000</f>
        <v>-16.662468079721894</v>
      </c>
      <c r="T140">
        <f t="shared" ref="T140" si="679">S140/1000</f>
        <v>-1.6662468079721892E-2</v>
      </c>
    </row>
    <row r="141" spans="1:20" x14ac:dyDescent="0.25">
      <c r="A141" s="5">
        <v>44452</v>
      </c>
      <c r="B141">
        <v>59.8</v>
      </c>
      <c r="C141">
        <v>59.86</v>
      </c>
      <c r="D141">
        <v>50.23</v>
      </c>
      <c r="E141">
        <v>54.24</v>
      </c>
      <c r="F141">
        <v>855587.4</v>
      </c>
      <c r="G141">
        <v>54.24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-0.16718587746625047</v>
      </c>
      <c r="Q141">
        <f t="shared" ref="Q141" si="681">F141*P141</f>
        <v>-143042.13021806782</v>
      </c>
      <c r="R141">
        <f t="shared" ref="R141" si="682">R142+Q141</f>
        <v>-1683625.6805043782</v>
      </c>
      <c r="S141">
        <f t="shared" ref="S141" si="683">R141/100000</f>
        <v>-16.836256805043782</v>
      </c>
      <c r="T141">
        <f t="shared" ref="T141" si="684">S141/1000</f>
        <v>-1.6836256805043782E-2</v>
      </c>
    </row>
    <row r="142" spans="1:20" x14ac:dyDescent="0.25">
      <c r="A142" s="5">
        <v>44451</v>
      </c>
      <c r="B142">
        <v>61.09</v>
      </c>
      <c r="C142">
        <v>62.9</v>
      </c>
      <c r="D142">
        <v>58.41</v>
      </c>
      <c r="E142">
        <v>59.84</v>
      </c>
      <c r="F142">
        <v>465519.96</v>
      </c>
      <c r="G142">
        <v>59.84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-0.36302895322939593</v>
      </c>
      <c r="Q142">
        <f t="shared" ref="Q142" si="686">F142*P142</f>
        <v>-168997.22378619027</v>
      </c>
      <c r="R142">
        <f t="shared" ref="R142" si="687">R143+Q142</f>
        <v>-1540583.5502863103</v>
      </c>
      <c r="S142">
        <f t="shared" ref="S142" si="688">R142/100000</f>
        <v>-15.405835502863102</v>
      </c>
      <c r="T142">
        <f t="shared" ref="T142" si="689">S142/1000</f>
        <v>-1.5405835502863102E-2</v>
      </c>
    </row>
    <row r="143" spans="1:20" x14ac:dyDescent="0.25">
      <c r="A143" s="5">
        <v>44450</v>
      </c>
      <c r="B143">
        <v>62.53</v>
      </c>
      <c r="C143">
        <v>65.19</v>
      </c>
      <c r="D143">
        <v>60.05</v>
      </c>
      <c r="E143">
        <v>61.11</v>
      </c>
      <c r="F143">
        <v>585047.81000000006</v>
      </c>
      <c r="G143">
        <v>61.11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-0.58754863813229485</v>
      </c>
      <c r="Q143">
        <f t="shared" ref="Q143" si="691">F143*P143</f>
        <v>-343744.0440077816</v>
      </c>
      <c r="R143">
        <f t="shared" ref="R143" si="692">R144+Q143</f>
        <v>-1371586.3265001201</v>
      </c>
      <c r="S143">
        <f t="shared" ref="S143" si="693">R143/100000</f>
        <v>-13.7158632650012</v>
      </c>
      <c r="T143">
        <f t="shared" ref="T143" si="694">S143/1000</f>
        <v>-1.37158632650012E-2</v>
      </c>
    </row>
    <row r="144" spans="1:20" x14ac:dyDescent="0.25">
      <c r="A144" s="5">
        <v>44449</v>
      </c>
      <c r="B144">
        <v>64.81</v>
      </c>
      <c r="C144">
        <v>74.400000000000006</v>
      </c>
      <c r="D144">
        <v>58.48</v>
      </c>
      <c r="E144">
        <v>62.49</v>
      </c>
      <c r="F144">
        <v>1859715.64</v>
      </c>
      <c r="G144">
        <v>62.49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-0.4962311557788941</v>
      </c>
      <c r="Q144">
        <f t="shared" ref="Q144" si="696">F144*P144</f>
        <v>-922848.84145728569</v>
      </c>
      <c r="R144">
        <f t="shared" ref="R144" si="697">R145+Q144</f>
        <v>-1027842.2824923386</v>
      </c>
      <c r="S144">
        <f t="shared" ref="S144" si="698">R144/100000</f>
        <v>-10.278422824923386</v>
      </c>
      <c r="T144">
        <f t="shared" ref="T144" si="699">S144/1000</f>
        <v>-1.0278422824923385E-2</v>
      </c>
    </row>
    <row r="145" spans="1:20" x14ac:dyDescent="0.25">
      <c r="A145" s="5">
        <v>44448</v>
      </c>
      <c r="B145">
        <v>54.79</v>
      </c>
      <c r="C145">
        <v>71.900000000000006</v>
      </c>
      <c r="D145">
        <v>54.22</v>
      </c>
      <c r="E145">
        <v>64.900000000000006</v>
      </c>
      <c r="F145">
        <v>2558534.7400000002</v>
      </c>
      <c r="G145">
        <v>64.900000000000006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0.20814479638009081</v>
      </c>
      <c r="Q145">
        <f t="shared" ref="Q145" si="701">F145*P145</f>
        <v>532545.69248868863</v>
      </c>
      <c r="R145">
        <f t="shared" ref="R145" si="702">R146+Q145</f>
        <v>-104993.44103505288</v>
      </c>
      <c r="S145">
        <f t="shared" ref="S145" si="703">R145/100000</f>
        <v>-1.0499344103505288</v>
      </c>
      <c r="T145">
        <f t="shared" ref="T145" si="704">S145/1000</f>
        <v>-1.0499344103505287E-3</v>
      </c>
    </row>
    <row r="146" spans="1:20" x14ac:dyDescent="0.25">
      <c r="A146" s="5">
        <v>44447</v>
      </c>
      <c r="B146">
        <v>47.18</v>
      </c>
      <c r="C146">
        <v>60.8</v>
      </c>
      <c r="D146">
        <v>46.16</v>
      </c>
      <c r="E146">
        <v>54.87</v>
      </c>
      <c r="F146">
        <v>1566960.9</v>
      </c>
      <c r="G146">
        <v>54.87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0.18989071038251373</v>
      </c>
      <c r="Q146">
        <f t="shared" ref="Q146" si="706">F146*P146</f>
        <v>297551.31844262307</v>
      </c>
      <c r="R146">
        <f t="shared" ref="R146" si="707">R147+Q146</f>
        <v>-637539.1335237415</v>
      </c>
      <c r="S146">
        <f t="shared" ref="S146" si="708">R146/100000</f>
        <v>-6.3753913352374152</v>
      </c>
      <c r="T146">
        <f t="shared" ref="T146" si="709">S146/1000</f>
        <v>-6.3753913352374153E-3</v>
      </c>
    </row>
    <row r="147" spans="1:20" x14ac:dyDescent="0.25">
      <c r="A147" s="5">
        <v>44446</v>
      </c>
      <c r="B147">
        <v>57.01</v>
      </c>
      <c r="C147">
        <v>57.42</v>
      </c>
      <c r="D147">
        <v>42</v>
      </c>
      <c r="E147">
        <v>47.11</v>
      </c>
      <c r="F147">
        <v>1385367.64</v>
      </c>
      <c r="G147">
        <v>47.11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-0.33722438391699106</v>
      </c>
      <c r="Q147">
        <f t="shared" ref="Q147" si="711">F147*P147</f>
        <v>-467179.74889753584</v>
      </c>
      <c r="R147">
        <f t="shared" ref="R147" si="712">R148+Q147</f>
        <v>-935090.45196636464</v>
      </c>
      <c r="S147">
        <f t="shared" ref="S147" si="713">R147/100000</f>
        <v>-9.3509045196636471</v>
      </c>
      <c r="T147">
        <f t="shared" ref="T147" si="714">S147/1000</f>
        <v>-9.3509045196636473E-3</v>
      </c>
    </row>
    <row r="148" spans="1:20" x14ac:dyDescent="0.25">
      <c r="A148" s="5">
        <v>44445</v>
      </c>
      <c r="B148">
        <v>49.9</v>
      </c>
      <c r="C148">
        <v>63.38</v>
      </c>
      <c r="D148">
        <v>49.32</v>
      </c>
      <c r="E148">
        <v>56.97</v>
      </c>
      <c r="F148">
        <v>1815650.65</v>
      </c>
      <c r="G148">
        <v>56.97</v>
      </c>
      <c r="L148" t="s">
        <v>8</v>
      </c>
      <c r="M148" t="s">
        <v>8</v>
      </c>
      <c r="N148" t="s">
        <v>7</v>
      </c>
      <c r="P148">
        <f t="shared" ref="P148" si="715">IF(C148=D148,0,((E148-D148)-(C148-E148))/(C148-D148))</f>
        <v>8.8193456614508864E-2</v>
      </c>
      <c r="Q148">
        <f t="shared" ref="Q148" si="716">F148*P148</f>
        <v>160128.50682787981</v>
      </c>
      <c r="R148">
        <f t="shared" ref="R148" si="717">R149+Q148</f>
        <v>-467910.70306882879</v>
      </c>
      <c r="S148">
        <f t="shared" ref="S148" si="718">R148/100000</f>
        <v>-4.6791070306882876</v>
      </c>
      <c r="T148">
        <f t="shared" ref="T148" si="719">S148/1000</f>
        <v>-4.6791070306882879E-3</v>
      </c>
    </row>
    <row r="149" spans="1:20" x14ac:dyDescent="0.25">
      <c r="A149" s="5">
        <v>44444</v>
      </c>
      <c r="B149">
        <v>53.22</v>
      </c>
      <c r="C149">
        <v>57.46</v>
      </c>
      <c r="D149">
        <v>48.45</v>
      </c>
      <c r="E149">
        <v>49.95</v>
      </c>
      <c r="F149">
        <v>977586.37</v>
      </c>
      <c r="G149">
        <v>49.95</v>
      </c>
      <c r="L149" t="s">
        <v>7</v>
      </c>
      <c r="M149" t="s">
        <v>7</v>
      </c>
      <c r="N149" t="s">
        <v>7</v>
      </c>
      <c r="P149">
        <f t="shared" ref="P149" si="720">IF(C149=D149,0,((E149-D149)-(C149-E149))/(C149-D149))</f>
        <v>-0.6670366259711431</v>
      </c>
      <c r="Q149">
        <f t="shared" ref="Q149" si="721">F149*P149</f>
        <v>-652085.91384017747</v>
      </c>
      <c r="R149">
        <f t="shared" ref="R149" si="722">R150+Q149</f>
        <v>-628039.20989670861</v>
      </c>
      <c r="S149">
        <f t="shared" ref="S149" si="723">R149/100000</f>
        <v>-6.2803920989670861</v>
      </c>
      <c r="T149">
        <f t="shared" ref="T149" si="724">S149/1000</f>
        <v>-6.2803920989670864E-3</v>
      </c>
    </row>
    <row r="150" spans="1:20" x14ac:dyDescent="0.25">
      <c r="A150" s="5">
        <v>44443</v>
      </c>
      <c r="B150">
        <v>58.7</v>
      </c>
      <c r="C150">
        <v>59.7</v>
      </c>
      <c r="D150">
        <v>52.79</v>
      </c>
      <c r="E150">
        <v>53.29</v>
      </c>
      <c r="F150">
        <v>613269.03</v>
      </c>
      <c r="G150">
        <v>53.29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-0.85528219971056452</v>
      </c>
      <c r="Q150">
        <f t="shared" ref="Q150" si="726">F150*P150</f>
        <v>-524518.08499276417</v>
      </c>
      <c r="R150">
        <f t="shared" ref="R150" si="727">R151+Q150</f>
        <v>24046.703943468863</v>
      </c>
      <c r="S150">
        <f t="shared" ref="S150" si="728">R150/100000</f>
        <v>0.24046703943468864</v>
      </c>
      <c r="T150">
        <f t="shared" ref="T150" si="729">S150/1000</f>
        <v>2.4046703943468863E-4</v>
      </c>
    </row>
    <row r="151" spans="1:20" x14ac:dyDescent="0.25">
      <c r="A151" s="5">
        <v>44442</v>
      </c>
      <c r="B151">
        <v>56.77</v>
      </c>
      <c r="C151">
        <v>63.9</v>
      </c>
      <c r="D151">
        <v>55.36</v>
      </c>
      <c r="E151">
        <v>58.7</v>
      </c>
      <c r="F151">
        <v>976276.15</v>
      </c>
      <c r="G151">
        <v>58.7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-0.21779859484777431</v>
      </c>
      <c r="Q151">
        <f t="shared" ref="Q151" si="731">F151*P151</f>
        <v>-212631.57365339494</v>
      </c>
      <c r="R151">
        <f t="shared" ref="R151" si="732">R152+Q151</f>
        <v>548564.78893623303</v>
      </c>
      <c r="S151">
        <f t="shared" ref="S151" si="733">R151/100000</f>
        <v>5.4856478893623306</v>
      </c>
      <c r="T151">
        <f t="shared" ref="T151" si="734">S151/1000</f>
        <v>5.4856478893623309E-3</v>
      </c>
    </row>
    <row r="152" spans="1:20" x14ac:dyDescent="0.25">
      <c r="A152" s="5">
        <v>44441</v>
      </c>
      <c r="B152">
        <v>61.54</v>
      </c>
      <c r="C152">
        <v>62.5</v>
      </c>
      <c r="D152">
        <v>55.6</v>
      </c>
      <c r="E152">
        <v>56.82</v>
      </c>
      <c r="F152">
        <v>892404.31</v>
      </c>
      <c r="G152">
        <v>56.82</v>
      </c>
      <c r="L152" t="s">
        <v>7</v>
      </c>
      <c r="M152" t="s">
        <v>7</v>
      </c>
      <c r="N152" t="s">
        <v>8</v>
      </c>
      <c r="P152">
        <f t="shared" ref="P152" si="735">IF(C152=D152,0,((E152-D152)-(C152-E152))/(C152-D152))</f>
        <v>-0.64637681159420313</v>
      </c>
      <c r="Q152">
        <f t="shared" ref="Q152" si="736">F152*P152</f>
        <v>-576829.45255072485</v>
      </c>
      <c r="R152">
        <f t="shared" ref="R152" si="737">R153+Q152</f>
        <v>761196.36258962797</v>
      </c>
      <c r="S152">
        <f t="shared" ref="S152" si="738">R152/100000</f>
        <v>7.61196362589628</v>
      </c>
      <c r="T152">
        <f t="shared" ref="T152" si="739">S152/1000</f>
        <v>7.6119636258962804E-3</v>
      </c>
    </row>
    <row r="153" spans="1:20" x14ac:dyDescent="0.25">
      <c r="A153" s="5">
        <v>44440</v>
      </c>
      <c r="B153">
        <v>65.73</v>
      </c>
      <c r="C153">
        <v>67.709999999999994</v>
      </c>
      <c r="D153">
        <v>56.95</v>
      </c>
      <c r="E153">
        <v>61.51</v>
      </c>
      <c r="F153">
        <v>1447334.76</v>
      </c>
      <c r="G153">
        <v>61.51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-0.15241635687732361</v>
      </c>
      <c r="Q153">
        <f t="shared" ref="Q153" si="741">F153*P153</f>
        <v>-220597.49130111551</v>
      </c>
      <c r="R153">
        <f t="shared" ref="R153" si="742">R154+Q153</f>
        <v>1338025.8151403528</v>
      </c>
      <c r="S153">
        <f t="shared" ref="S153" si="743">R153/100000</f>
        <v>13.380258151403527</v>
      </c>
      <c r="T153">
        <f t="shared" ref="T153" si="744">S153/1000</f>
        <v>1.3380258151403528E-2</v>
      </c>
    </row>
    <row r="154" spans="1:20" x14ac:dyDescent="0.25">
      <c r="A154" s="5">
        <v>44439</v>
      </c>
      <c r="B154">
        <v>56.27</v>
      </c>
      <c r="C154">
        <v>70</v>
      </c>
      <c r="D154">
        <v>54.05</v>
      </c>
      <c r="E154">
        <v>65.790000000000006</v>
      </c>
      <c r="F154">
        <v>4478840.16</v>
      </c>
      <c r="G154">
        <v>65.790000000000006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0.47210031347962472</v>
      </c>
      <c r="Q154">
        <f t="shared" ref="Q154" si="746">F154*P154</f>
        <v>2114461.8435611324</v>
      </c>
      <c r="R154">
        <f t="shared" ref="R154" si="747">R155+Q154</f>
        <v>1558623.3064414684</v>
      </c>
      <c r="S154">
        <f t="shared" ref="S154" si="748">R154/100000</f>
        <v>15.586233064414683</v>
      </c>
      <c r="T154">
        <f t="shared" ref="T154" si="749">S154/1000</f>
        <v>1.5586233064414683E-2</v>
      </c>
    </row>
    <row r="155" spans="1:20" x14ac:dyDescent="0.25">
      <c r="A155" s="5">
        <v>44438</v>
      </c>
      <c r="B155">
        <v>42.61</v>
      </c>
      <c r="C155">
        <v>60</v>
      </c>
      <c r="D155">
        <v>38.9</v>
      </c>
      <c r="E155">
        <v>56.32</v>
      </c>
      <c r="F155">
        <v>3167968.76</v>
      </c>
      <c r="G155">
        <v>56.32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0.65118483412322281</v>
      </c>
      <c r="Q155">
        <f t="shared" ref="Q155" si="751">F155*P155</f>
        <v>2062933.2114881517</v>
      </c>
      <c r="R155">
        <f t="shared" ref="R155" si="752">R156+Q155</f>
        <v>-555838.53711966402</v>
      </c>
      <c r="S155">
        <f t="shared" ref="S155" si="753">R155/100000</f>
        <v>-5.55838537119664</v>
      </c>
      <c r="T155">
        <f t="shared" ref="T155" si="754">S155/1000</f>
        <v>-5.5583853711966402E-3</v>
      </c>
    </row>
    <row r="156" spans="1:20" x14ac:dyDescent="0.25">
      <c r="A156" s="5">
        <v>44437</v>
      </c>
      <c r="B156">
        <v>47.66</v>
      </c>
      <c r="C156">
        <v>50</v>
      </c>
      <c r="D156">
        <v>42.43</v>
      </c>
      <c r="E156">
        <v>42.59</v>
      </c>
      <c r="F156">
        <v>1391887.45</v>
      </c>
      <c r="G156">
        <v>42.59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-0.95772787318361863</v>
      </c>
      <c r="Q156">
        <f t="shared" ref="Q156" si="756">F156*P156</f>
        <v>-1333049.4071994703</v>
      </c>
      <c r="R156">
        <f t="shared" ref="R156" si="757">R157+Q156</f>
        <v>-2618771.7486078157</v>
      </c>
      <c r="S156">
        <f t="shared" ref="S156" si="758">R156/100000</f>
        <v>-26.187717486078157</v>
      </c>
      <c r="T156">
        <f t="shared" ref="T156" si="759">S156/1000</f>
        <v>-2.6187717486078156E-2</v>
      </c>
    </row>
    <row r="157" spans="1:20" x14ac:dyDescent="0.25">
      <c r="A157" s="5">
        <v>44436</v>
      </c>
      <c r="B157">
        <v>38.659999999999997</v>
      </c>
      <c r="C157">
        <v>48.11</v>
      </c>
      <c r="D157">
        <v>35.43</v>
      </c>
      <c r="E157">
        <v>47.66</v>
      </c>
      <c r="F157">
        <v>2218587.85</v>
      </c>
      <c r="G157">
        <v>47.66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0.929022082018927</v>
      </c>
      <c r="Q157">
        <f t="shared" ref="Q157" si="761">F157*P157</f>
        <v>2061117.1035488951</v>
      </c>
      <c r="R157">
        <f t="shared" ref="R157" si="762">R158+Q157</f>
        <v>-1285722.3414083454</v>
      </c>
      <c r="S157">
        <f t="shared" ref="S157" si="763">R157/100000</f>
        <v>-12.857223414083453</v>
      </c>
      <c r="T157">
        <f t="shared" ref="T157" si="764">S157/1000</f>
        <v>-1.2857223414083453E-2</v>
      </c>
    </row>
    <row r="158" spans="1:20" x14ac:dyDescent="0.25">
      <c r="A158" s="5">
        <v>44435</v>
      </c>
      <c r="B158">
        <v>25.65</v>
      </c>
      <c r="C158">
        <v>42.63</v>
      </c>
      <c r="D158">
        <v>24.59</v>
      </c>
      <c r="E158">
        <v>38.659999999999997</v>
      </c>
      <c r="F158">
        <v>2987463.86</v>
      </c>
      <c r="G158">
        <v>38.659999999999997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0.55986696230598609</v>
      </c>
      <c r="Q158">
        <f t="shared" ref="Q158" si="766">F158*P158</f>
        <v>1672582.3162971158</v>
      </c>
      <c r="R158">
        <f t="shared" ref="R158" si="767">R159+Q158</f>
        <v>-3346839.4449572405</v>
      </c>
      <c r="S158">
        <f t="shared" ref="S158" si="768">R158/100000</f>
        <v>-33.468394449572408</v>
      </c>
      <c r="T158">
        <f t="shared" ref="T158" si="769">S158/1000</f>
        <v>-3.3468394449572406E-2</v>
      </c>
    </row>
    <row r="159" spans="1:20" x14ac:dyDescent="0.25">
      <c r="A159" s="5">
        <v>44434</v>
      </c>
      <c r="B159">
        <v>26.984000000000002</v>
      </c>
      <c r="C159">
        <v>27.03</v>
      </c>
      <c r="D159">
        <v>23.5</v>
      </c>
      <c r="E159">
        <v>25.64</v>
      </c>
      <c r="F159">
        <v>639934</v>
      </c>
      <c r="G159">
        <v>25.64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0.2124645892351274</v>
      </c>
      <c r="Q159">
        <f t="shared" ref="Q159" si="771">F159*P159</f>
        <v>135963.31444759201</v>
      </c>
      <c r="R159">
        <f t="shared" ref="R159" si="772">R160+Q159</f>
        <v>-5019421.7612543562</v>
      </c>
      <c r="S159">
        <f t="shared" ref="S159" si="773">R159/100000</f>
        <v>-50.194217612543561</v>
      </c>
      <c r="T159">
        <f t="shared" ref="T159" si="774">S159/1000</f>
        <v>-5.0194217612543564E-2</v>
      </c>
    </row>
    <row r="160" spans="1:20" x14ac:dyDescent="0.25">
      <c r="A160" s="5">
        <v>44433</v>
      </c>
      <c r="B160">
        <v>27.975000000000001</v>
      </c>
      <c r="C160">
        <v>29</v>
      </c>
      <c r="D160">
        <v>23.983000000000001</v>
      </c>
      <c r="E160">
        <v>26.981999999999999</v>
      </c>
      <c r="F160">
        <v>923433.76</v>
      </c>
      <c r="G160">
        <v>26.981999999999999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0.19553518038668491</v>
      </c>
      <c r="Q160">
        <f t="shared" ref="Q160" si="776">F160*P160</f>
        <v>180563.78683675471</v>
      </c>
      <c r="R160">
        <f t="shared" ref="R160" si="777">R161+Q160</f>
        <v>-5155385.0757019483</v>
      </c>
      <c r="S160">
        <f t="shared" ref="S160" si="778">R160/100000</f>
        <v>-51.553850757019482</v>
      </c>
      <c r="T160">
        <f t="shared" ref="T160" si="779">S160/1000</f>
        <v>-5.155385075701948E-2</v>
      </c>
    </row>
    <row r="161" spans="1:20" x14ac:dyDescent="0.25">
      <c r="A161" s="5">
        <v>44432</v>
      </c>
      <c r="B161">
        <v>30.812999999999999</v>
      </c>
      <c r="C161">
        <v>31.140999999999998</v>
      </c>
      <c r="D161">
        <v>27.92</v>
      </c>
      <c r="E161">
        <v>27.988</v>
      </c>
      <c r="F161">
        <v>466372.35</v>
      </c>
      <c r="G161">
        <v>27.988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-0.95777708786091409</v>
      </c>
      <c r="Q161">
        <f t="shared" ref="Q161" si="781">F161*P161</f>
        <v>-446680.75124185096</v>
      </c>
      <c r="R161">
        <f t="shared" ref="R161" si="782">R162+Q161</f>
        <v>-5335948.8625387028</v>
      </c>
      <c r="S161">
        <f t="shared" ref="S161" si="783">R161/100000</f>
        <v>-53.35948862538703</v>
      </c>
      <c r="T161">
        <f t="shared" ref="T161" si="784">S161/1000</f>
        <v>-5.335948862538703E-2</v>
      </c>
    </row>
    <row r="162" spans="1:20" x14ac:dyDescent="0.25">
      <c r="A162" s="5">
        <v>44431</v>
      </c>
      <c r="B162">
        <v>28.834</v>
      </c>
      <c r="C162">
        <v>33.655000000000001</v>
      </c>
      <c r="D162">
        <v>28.831</v>
      </c>
      <c r="E162">
        <v>30.817</v>
      </c>
      <c r="F162">
        <v>620892.9</v>
      </c>
      <c r="G162">
        <v>30.817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-0.17661691542288557</v>
      </c>
      <c r="Q162">
        <f t="shared" ref="Q162" si="786">F162*P162</f>
        <v>-109660.18880597016</v>
      </c>
      <c r="R162">
        <f t="shared" ref="R162" si="787">R163+Q162</f>
        <v>-4889268.1112968521</v>
      </c>
      <c r="S162">
        <f t="shared" ref="S162" si="788">R162/100000</f>
        <v>-48.892681112968518</v>
      </c>
      <c r="T162">
        <f t="shared" ref="T162" si="789">S162/1000</f>
        <v>-4.8892681112968517E-2</v>
      </c>
    </row>
    <row r="163" spans="1:20" x14ac:dyDescent="0.25">
      <c r="A163" s="5">
        <v>44430</v>
      </c>
      <c r="B163">
        <v>28.26</v>
      </c>
      <c r="C163">
        <v>29</v>
      </c>
      <c r="D163">
        <v>27.88</v>
      </c>
      <c r="E163">
        <v>28.119</v>
      </c>
      <c r="F163">
        <v>67348.47</v>
      </c>
      <c r="G163">
        <v>28.119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-0.57321428571428468</v>
      </c>
      <c r="Q163">
        <f t="shared" ref="Q163" si="791">F163*P163</f>
        <v>-38605.105124999929</v>
      </c>
      <c r="R163">
        <f t="shared" ref="R163" si="792">R164+Q163</f>
        <v>-4779607.9224908818</v>
      </c>
      <c r="S163">
        <f t="shared" ref="S163" si="793">R163/100000</f>
        <v>-47.796079224908816</v>
      </c>
      <c r="T163">
        <f t="shared" ref="T163" si="794">S163/1000</f>
        <v>-4.7796079224908819E-2</v>
      </c>
    </row>
    <row r="164" spans="1:20" x14ac:dyDescent="0.25">
      <c r="A164" s="5">
        <v>44429</v>
      </c>
      <c r="B164">
        <v>31.091999999999999</v>
      </c>
      <c r="C164">
        <v>31.091999999999999</v>
      </c>
      <c r="D164">
        <v>27.8</v>
      </c>
      <c r="E164">
        <v>28.201000000000001</v>
      </c>
      <c r="F164">
        <v>560956.51</v>
      </c>
      <c r="G164">
        <v>28.201000000000001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-0.75637910085054672</v>
      </c>
      <c r="Q164">
        <f t="shared" ref="Q164" si="796">F164*P164</f>
        <v>-424295.78065006074</v>
      </c>
      <c r="R164">
        <f t="shared" ref="R164" si="797">R165+Q164</f>
        <v>-4741002.817365882</v>
      </c>
      <c r="S164">
        <f t="shared" ref="S164" si="798">R164/100000</f>
        <v>-47.410028173658823</v>
      </c>
      <c r="T164">
        <f t="shared" ref="T164" si="799">S164/1000</f>
        <v>-4.7410028173658823E-2</v>
      </c>
    </row>
    <row r="165" spans="1:20" x14ac:dyDescent="0.25">
      <c r="A165" s="5">
        <v>44428</v>
      </c>
      <c r="B165">
        <v>30.161999999999999</v>
      </c>
      <c r="C165">
        <v>33.098999999999997</v>
      </c>
      <c r="D165">
        <v>28.5</v>
      </c>
      <c r="E165">
        <v>31.061</v>
      </c>
      <c r="F165">
        <v>802577.03</v>
      </c>
      <c r="G165">
        <v>31.061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0.11372037399434738</v>
      </c>
      <c r="Q165">
        <f t="shared" ref="Q165" si="801">F165*P165</f>
        <v>91269.360010872566</v>
      </c>
      <c r="R165">
        <f t="shared" ref="R165" si="802">R166+Q165</f>
        <v>-4316707.0367158214</v>
      </c>
      <c r="S165">
        <f t="shared" ref="S165" si="803">R165/100000</f>
        <v>-43.16707036715821</v>
      </c>
      <c r="T165">
        <f t="shared" ref="T165" si="804">S165/1000</f>
        <v>-4.3167070367158208E-2</v>
      </c>
    </row>
    <row r="166" spans="1:20" x14ac:dyDescent="0.25">
      <c r="A166" s="5">
        <v>44427</v>
      </c>
      <c r="B166">
        <v>33.454000000000001</v>
      </c>
      <c r="C166">
        <v>35.89</v>
      </c>
      <c r="D166">
        <v>27.736000000000001</v>
      </c>
      <c r="E166">
        <v>30.187999999999999</v>
      </c>
      <c r="F166">
        <v>2524649.7799999998</v>
      </c>
      <c r="G166">
        <v>30.187999999999999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-0.39857738533235265</v>
      </c>
      <c r="Q166">
        <f t="shared" ref="Q166" si="806">F166*P166</f>
        <v>-1006268.3081922992</v>
      </c>
      <c r="R166">
        <f t="shared" ref="R166" si="807">R167+Q166</f>
        <v>-4407976.396726694</v>
      </c>
      <c r="S166">
        <f t="shared" ref="S166" si="808">R166/100000</f>
        <v>-44.079763967266942</v>
      </c>
      <c r="T166">
        <f t="shared" ref="T166" si="809">S166/1000</f>
        <v>-4.4079763967266941E-2</v>
      </c>
    </row>
    <row r="167" spans="1:20" x14ac:dyDescent="0.25">
      <c r="A167" s="5">
        <v>44426</v>
      </c>
      <c r="B167">
        <v>22.195</v>
      </c>
      <c r="C167">
        <v>36.164999999999999</v>
      </c>
      <c r="D167">
        <v>21.504999999999999</v>
      </c>
      <c r="E167">
        <v>33.421999999999997</v>
      </c>
      <c r="F167">
        <v>4235286.96</v>
      </c>
      <c r="G167">
        <v>33.421999999999997</v>
      </c>
      <c r="L167" t="s">
        <v>8</v>
      </c>
      <c r="M167" t="s">
        <v>8</v>
      </c>
      <c r="N167" t="s">
        <v>8</v>
      </c>
      <c r="P167">
        <f t="shared" ref="P167" si="810">IF(C167=D167,0,((E167-D167)-(C167-E167))/(C167-D167))</f>
        <v>0.62578444747612527</v>
      </c>
      <c r="Q167">
        <f t="shared" ref="Q167" si="811">F167*P167</f>
        <v>2650376.7101664385</v>
      </c>
      <c r="R167">
        <f t="shared" ref="R167" si="812">R168+Q167</f>
        <v>-3401708.0885343952</v>
      </c>
      <c r="S167">
        <f t="shared" ref="S167" si="813">R167/100000</f>
        <v>-34.017080885343951</v>
      </c>
      <c r="T167">
        <f t="shared" ref="T167" si="814">S167/1000</f>
        <v>-3.4017080885343949E-2</v>
      </c>
    </row>
    <row r="168" spans="1:20" x14ac:dyDescent="0.25">
      <c r="A168" s="5">
        <v>44425</v>
      </c>
      <c r="B168">
        <v>19.701000000000001</v>
      </c>
      <c r="C168">
        <v>24.9</v>
      </c>
      <c r="D168">
        <v>18.853999999999999</v>
      </c>
      <c r="E168">
        <v>22.103999999999999</v>
      </c>
      <c r="F168">
        <v>1409876.56</v>
      </c>
      <c r="G168">
        <v>22.103999999999999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7.5090969235858535E-2</v>
      </c>
      <c r="Q168">
        <f t="shared" ref="Q168" si="816">F168*P168</f>
        <v>105868.99739331806</v>
      </c>
      <c r="R168">
        <f t="shared" ref="R168" si="817">R169+Q168</f>
        <v>-6052084.7987008337</v>
      </c>
      <c r="S168">
        <f t="shared" ref="S168" si="818">R168/100000</f>
        <v>-60.520847987008338</v>
      </c>
      <c r="T168">
        <f t="shared" ref="T168" si="819">S168/1000</f>
        <v>-6.0520847987008339E-2</v>
      </c>
    </row>
    <row r="169" spans="1:20" x14ac:dyDescent="0.25">
      <c r="A169" s="5">
        <v>44424</v>
      </c>
      <c r="B169">
        <v>16.827000000000002</v>
      </c>
      <c r="C169">
        <v>24.8</v>
      </c>
      <c r="D169">
        <v>16.666</v>
      </c>
      <c r="E169">
        <v>19.701000000000001</v>
      </c>
      <c r="F169">
        <v>3147589.43</v>
      </c>
      <c r="G169">
        <v>19.701000000000001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-0.25374969264814357</v>
      </c>
      <c r="Q169">
        <f t="shared" ref="Q169" si="821">F169*P169</f>
        <v>-798699.85044504539</v>
      </c>
      <c r="R169">
        <f t="shared" ref="R169" si="822">R170+Q169</f>
        <v>-6157953.7960941521</v>
      </c>
      <c r="S169">
        <f t="shared" ref="S169" si="823">R169/100000</f>
        <v>-61.579537960941522</v>
      </c>
      <c r="T169">
        <f t="shared" ref="T169" si="824">S169/1000</f>
        <v>-6.1579537960941524E-2</v>
      </c>
    </row>
    <row r="170" spans="1:20" x14ac:dyDescent="0.25">
      <c r="A170" s="5">
        <v>44423</v>
      </c>
      <c r="B170">
        <v>15.648999999999999</v>
      </c>
      <c r="C170">
        <v>16.87</v>
      </c>
      <c r="D170">
        <v>15.137</v>
      </c>
      <c r="E170">
        <v>16.827999999999999</v>
      </c>
      <c r="F170">
        <v>201783.69</v>
      </c>
      <c r="G170">
        <v>16.827999999999999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0.95152914021927115</v>
      </c>
      <c r="Q170">
        <f t="shared" ref="Q170" si="826">F170*P170</f>
        <v>192003.06105597195</v>
      </c>
      <c r="R170">
        <f t="shared" ref="R170" si="827">R171+Q170</f>
        <v>-5359253.945649107</v>
      </c>
      <c r="S170">
        <f t="shared" ref="S170" si="828">R170/100000</f>
        <v>-53.592539456491068</v>
      </c>
      <c r="T170">
        <f t="shared" ref="T170" si="829">S170/1000</f>
        <v>-5.3592539456491069E-2</v>
      </c>
    </row>
    <row r="171" spans="1:20" x14ac:dyDescent="0.25">
      <c r="A171" s="5">
        <v>44422</v>
      </c>
      <c r="B171">
        <v>16.143000000000001</v>
      </c>
      <c r="C171">
        <v>16.670000000000002</v>
      </c>
      <c r="D171">
        <v>15.032999999999999</v>
      </c>
      <c r="E171">
        <v>15.648999999999999</v>
      </c>
      <c r="F171">
        <v>243284.49</v>
      </c>
      <c r="G171">
        <v>15.648999999999999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-0.24740378741600633</v>
      </c>
      <c r="Q171">
        <f t="shared" ref="Q171" si="831">F171*P171</f>
        <v>-60189.504245571516</v>
      </c>
      <c r="R171">
        <f t="shared" ref="R171" si="832">R172+Q171</f>
        <v>-5551257.0067050792</v>
      </c>
      <c r="S171">
        <f t="shared" ref="S171" si="833">R171/100000</f>
        <v>-55.512570067050795</v>
      </c>
      <c r="T171">
        <f t="shared" ref="T171" si="834">S171/1000</f>
        <v>-5.5512570067050793E-2</v>
      </c>
    </row>
    <row r="172" spans="1:20" x14ac:dyDescent="0.25">
      <c r="A172" s="5">
        <v>44421</v>
      </c>
      <c r="B172">
        <v>14.803000000000001</v>
      </c>
      <c r="C172">
        <v>16.5</v>
      </c>
      <c r="D172">
        <v>14.615</v>
      </c>
      <c r="E172">
        <v>16.143000000000001</v>
      </c>
      <c r="F172">
        <v>310692.44</v>
      </c>
      <c r="G172">
        <v>16.143000000000001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0.62122015915119433</v>
      </c>
      <c r="Q172">
        <f t="shared" ref="Q172" si="836">F172*P172</f>
        <v>193008.40702387289</v>
      </c>
      <c r="R172">
        <f t="shared" ref="R172" si="837">R173+Q172</f>
        <v>-5491067.5024595074</v>
      </c>
      <c r="S172">
        <f t="shared" ref="S172" si="838">R172/100000</f>
        <v>-54.910675024595072</v>
      </c>
      <c r="T172">
        <f t="shared" ref="T172" si="839">S172/1000</f>
        <v>-5.4910675024595075E-2</v>
      </c>
    </row>
    <row r="173" spans="1:20" x14ac:dyDescent="0.25">
      <c r="A173" s="5">
        <v>44420</v>
      </c>
      <c r="B173">
        <v>14.923999999999999</v>
      </c>
      <c r="C173">
        <v>15.340999999999999</v>
      </c>
      <c r="D173">
        <v>13.760999999999999</v>
      </c>
      <c r="E173">
        <v>14.803000000000001</v>
      </c>
      <c r="F173">
        <v>584556.94999999995</v>
      </c>
      <c r="G173">
        <v>14.803000000000001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0.31898734177215388</v>
      </c>
      <c r="Q173">
        <f t="shared" ref="Q173" si="841">F173*P173</f>
        <v>186466.26759493785</v>
      </c>
      <c r="R173">
        <f t="shared" ref="R173" si="842">R174+Q173</f>
        <v>-5684075.9094833806</v>
      </c>
      <c r="S173">
        <f t="shared" ref="S173" si="843">R173/100000</f>
        <v>-56.840759094833807</v>
      </c>
      <c r="T173">
        <f t="shared" ref="T173" si="844">S173/1000</f>
        <v>-5.6840759094833805E-2</v>
      </c>
    </row>
    <row r="174" spans="1:20" x14ac:dyDescent="0.25">
      <c r="A174" s="5">
        <v>44419</v>
      </c>
      <c r="B174">
        <v>14.967000000000001</v>
      </c>
      <c r="C174">
        <v>16.006</v>
      </c>
      <c r="D174">
        <v>14.8</v>
      </c>
      <c r="E174">
        <v>14.923999999999999</v>
      </c>
      <c r="F174">
        <v>469770.37</v>
      </c>
      <c r="G174">
        <v>14.923999999999999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-0.79436152570481122</v>
      </c>
      <c r="Q174">
        <f t="shared" ref="Q174" si="846">F174*P174</f>
        <v>-373167.50784411369</v>
      </c>
      <c r="R174">
        <f t="shared" ref="R174" si="847">R175+Q174</f>
        <v>-5870542.1770783188</v>
      </c>
      <c r="S174">
        <f t="shared" ref="S174" si="848">R174/100000</f>
        <v>-58.70542177078319</v>
      </c>
      <c r="T174">
        <f t="shared" ref="T174" si="849">S174/1000</f>
        <v>-5.8705421770783188E-2</v>
      </c>
    </row>
    <row r="175" spans="1:20" x14ac:dyDescent="0.25">
      <c r="A175" s="5">
        <v>44418</v>
      </c>
      <c r="B175">
        <v>15.048999999999999</v>
      </c>
      <c r="C175">
        <v>15.286</v>
      </c>
      <c r="D175">
        <v>14.202</v>
      </c>
      <c r="E175">
        <v>14.972</v>
      </c>
      <c r="F175">
        <v>228188.77</v>
      </c>
      <c r="G175">
        <v>14.972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0.42066420664206611</v>
      </c>
      <c r="Q175">
        <f t="shared" ref="Q175" si="851">F175*P175</f>
        <v>95990.847896678897</v>
      </c>
      <c r="R175">
        <f t="shared" ref="R175" si="852">R176+Q175</f>
        <v>-5497374.669234205</v>
      </c>
      <c r="S175">
        <f t="shared" ref="S175" si="853">R175/100000</f>
        <v>-54.973746692342047</v>
      </c>
      <c r="T175">
        <f t="shared" ref="T175" si="854">S175/1000</f>
        <v>-5.4973746692342049E-2</v>
      </c>
    </row>
    <row r="176" spans="1:20" x14ac:dyDescent="0.25">
      <c r="A176" s="5">
        <v>44417</v>
      </c>
      <c r="B176">
        <v>14.919</v>
      </c>
      <c r="C176">
        <v>16.5</v>
      </c>
      <c r="D176">
        <v>14.028</v>
      </c>
      <c r="E176">
        <v>14.997</v>
      </c>
      <c r="F176">
        <v>530218.68000000005</v>
      </c>
      <c r="G176">
        <v>14.997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-0.21601941747572848</v>
      </c>
      <c r="Q176">
        <f t="shared" ref="Q176" si="856">F176*P176</f>
        <v>-114537.5303883497</v>
      </c>
      <c r="R176">
        <f t="shared" ref="R176" si="857">R177+Q176</f>
        <v>-5593365.5171308843</v>
      </c>
      <c r="S176">
        <f t="shared" ref="S176" si="858">R176/100000</f>
        <v>-55.933655171308843</v>
      </c>
      <c r="T176">
        <f t="shared" ref="T176" si="859">S176/1000</f>
        <v>-5.5933655171308841E-2</v>
      </c>
    </row>
    <row r="177" spans="1:20" x14ac:dyDescent="0.25">
      <c r="A177" s="5">
        <v>44416</v>
      </c>
      <c r="B177">
        <v>13.826000000000001</v>
      </c>
      <c r="C177">
        <v>16.5</v>
      </c>
      <c r="D177">
        <v>13.3</v>
      </c>
      <c r="E177">
        <v>14.917</v>
      </c>
      <c r="F177">
        <v>1023035.8</v>
      </c>
      <c r="G177">
        <v>14.917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1.0624999999999664E-2</v>
      </c>
      <c r="Q177">
        <f t="shared" ref="Q177" si="861">F177*P177</f>
        <v>10869.755374999657</v>
      </c>
      <c r="R177">
        <f t="shared" ref="R177" si="862">R178+Q177</f>
        <v>-5478827.9867425347</v>
      </c>
      <c r="S177">
        <f t="shared" ref="S177" si="863">R177/100000</f>
        <v>-54.788279867425345</v>
      </c>
      <c r="T177">
        <f t="shared" ref="T177" si="864">S177/1000</f>
        <v>-5.4788279867425342E-2</v>
      </c>
    </row>
    <row r="178" spans="1:20" x14ac:dyDescent="0.25">
      <c r="A178" s="5">
        <v>44415</v>
      </c>
      <c r="B178">
        <v>12.651</v>
      </c>
      <c r="C178">
        <v>15.026999999999999</v>
      </c>
      <c r="D178">
        <v>12.617000000000001</v>
      </c>
      <c r="E178">
        <v>13.811</v>
      </c>
      <c r="F178">
        <v>767621.15</v>
      </c>
      <c r="G178">
        <v>13.811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-9.1286307053942972E-3</v>
      </c>
      <c r="Q178">
        <f t="shared" ref="Q178" si="866">F178*P178</f>
        <v>-7007.3300000000818</v>
      </c>
      <c r="R178">
        <f t="shared" ref="R178" si="867">R179+Q178</f>
        <v>-5489697.7421175344</v>
      </c>
      <c r="S178">
        <f t="shared" ref="S178" si="868">R178/100000</f>
        <v>-54.896977421175343</v>
      </c>
      <c r="T178">
        <f t="shared" ref="T178" si="869">S178/1000</f>
        <v>-5.4896977421175344E-2</v>
      </c>
    </row>
    <row r="179" spans="1:20" x14ac:dyDescent="0.25">
      <c r="A179" s="5">
        <v>44414</v>
      </c>
      <c r="B179">
        <v>11.521000000000001</v>
      </c>
      <c r="C179">
        <v>13.6</v>
      </c>
      <c r="D179">
        <v>10.996</v>
      </c>
      <c r="E179">
        <v>12.663</v>
      </c>
      <c r="F179">
        <v>979175.31</v>
      </c>
      <c r="G179">
        <v>12.663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0.28033794162826448</v>
      </c>
      <c r="Q179">
        <f t="shared" ref="Q179" si="871">F179*P179</f>
        <v>274499.99089861778</v>
      </c>
      <c r="R179">
        <f t="shared" ref="R179" si="872">R180+Q179</f>
        <v>-5482690.4121175343</v>
      </c>
      <c r="S179">
        <f t="shared" ref="S179" si="873">R179/100000</f>
        <v>-54.826904121175346</v>
      </c>
      <c r="T179">
        <f t="shared" ref="T179" si="874">S179/1000</f>
        <v>-5.4826904121175343E-2</v>
      </c>
    </row>
    <row r="180" spans="1:20" x14ac:dyDescent="0.25">
      <c r="A180" s="5">
        <v>44413</v>
      </c>
      <c r="B180">
        <v>11.318</v>
      </c>
      <c r="C180">
        <v>11.606</v>
      </c>
      <c r="D180">
        <v>10.667999999999999</v>
      </c>
      <c r="E180">
        <v>11.510999999999999</v>
      </c>
      <c r="F180">
        <v>259496.69</v>
      </c>
      <c r="G180">
        <v>11.510999999999999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0.79744136460554249</v>
      </c>
      <c r="Q180">
        <f t="shared" ref="Q180" si="876">F180*P180</f>
        <v>206933.39458422145</v>
      </c>
      <c r="R180">
        <f t="shared" ref="R180" si="877">R181+Q180</f>
        <v>-5757190.4030161519</v>
      </c>
      <c r="S180">
        <f t="shared" ref="S180" si="878">R180/100000</f>
        <v>-57.571904030161519</v>
      </c>
      <c r="T180">
        <f t="shared" ref="T180" si="879">S180/1000</f>
        <v>-5.7571904030161519E-2</v>
      </c>
    </row>
    <row r="181" spans="1:20" x14ac:dyDescent="0.25">
      <c r="A181" s="5">
        <v>44412</v>
      </c>
      <c r="B181">
        <v>10.92</v>
      </c>
      <c r="C181">
        <v>11.999000000000001</v>
      </c>
      <c r="D181">
        <v>10.798999999999999</v>
      </c>
      <c r="E181">
        <v>11.329000000000001</v>
      </c>
      <c r="F181">
        <v>213654.58</v>
      </c>
      <c r="G181">
        <v>11.329000000000001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-0.11666666666666556</v>
      </c>
      <c r="Q181">
        <f t="shared" ref="Q181" si="881">F181*P181</f>
        <v>-24926.367666666429</v>
      </c>
      <c r="R181">
        <f t="shared" ref="R181" si="882">R182+Q181</f>
        <v>-5964123.7976003736</v>
      </c>
      <c r="S181">
        <f t="shared" ref="S181" si="883">R181/100000</f>
        <v>-59.641237976003737</v>
      </c>
      <c r="T181">
        <f t="shared" ref="T181" si="884">S181/1000</f>
        <v>-5.9641237976003736E-2</v>
      </c>
    </row>
    <row r="182" spans="1:20" x14ac:dyDescent="0.25">
      <c r="A182" s="5">
        <v>44411</v>
      </c>
      <c r="B182">
        <v>11.542</v>
      </c>
      <c r="C182">
        <v>11.68</v>
      </c>
      <c r="D182">
        <v>10.622</v>
      </c>
      <c r="E182">
        <v>10.92</v>
      </c>
      <c r="F182">
        <v>203757.55</v>
      </c>
      <c r="G182">
        <v>10.92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-0.43667296786389398</v>
      </c>
      <c r="Q182">
        <f t="shared" ref="Q182" si="886">F182*P182</f>
        <v>-88975.414083175769</v>
      </c>
      <c r="R182">
        <f t="shared" ref="R182" si="887">R183+Q182</f>
        <v>-5939197.4299337072</v>
      </c>
      <c r="S182">
        <f t="shared" ref="S182" si="888">R182/100000</f>
        <v>-59.391974299337072</v>
      </c>
      <c r="T182">
        <f t="shared" ref="T182" si="889">S182/1000</f>
        <v>-5.9391974299337069E-2</v>
      </c>
    </row>
    <row r="183" spans="1:20" x14ac:dyDescent="0.25">
      <c r="A183" s="5">
        <v>44410</v>
      </c>
      <c r="B183">
        <v>11.505000000000001</v>
      </c>
      <c r="C183">
        <v>11.97</v>
      </c>
      <c r="D183">
        <v>11.2</v>
      </c>
      <c r="E183">
        <v>11.544</v>
      </c>
      <c r="F183">
        <v>203000.59</v>
      </c>
      <c r="G183">
        <v>11.544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-0.10649350649350496</v>
      </c>
      <c r="Q183">
        <f t="shared" ref="Q183" si="891">F183*P183</f>
        <v>-21618.244649350338</v>
      </c>
      <c r="R183">
        <f t="shared" ref="R183" si="892">R184+Q183</f>
        <v>-5850222.0158505319</v>
      </c>
      <c r="S183">
        <f t="shared" ref="S183" si="893">R183/100000</f>
        <v>-58.502220158505317</v>
      </c>
      <c r="T183">
        <f t="shared" ref="T183" si="894">S183/1000</f>
        <v>-5.8502220158505314E-2</v>
      </c>
    </row>
    <row r="184" spans="1:20" x14ac:dyDescent="0.25">
      <c r="A184" s="5">
        <v>44409</v>
      </c>
      <c r="B184">
        <v>11.678000000000001</v>
      </c>
      <c r="C184">
        <v>14</v>
      </c>
      <c r="D184">
        <v>11.352</v>
      </c>
      <c r="E184">
        <v>11.494</v>
      </c>
      <c r="F184">
        <v>688870.08</v>
      </c>
      <c r="G184">
        <v>11.494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-0.89274924471299133</v>
      </c>
      <c r="Q184">
        <f t="shared" ref="Q184" si="896">F184*P184</f>
        <v>-614988.24362537789</v>
      </c>
      <c r="R184">
        <f t="shared" ref="R184" si="897">R185+Q184</f>
        <v>-5828603.7712011812</v>
      </c>
      <c r="S184">
        <f t="shared" ref="S184" si="898">R184/100000</f>
        <v>-58.286037712011812</v>
      </c>
      <c r="T184">
        <f t="shared" ref="T184" si="899">S184/1000</f>
        <v>-5.8286037712011809E-2</v>
      </c>
    </row>
    <row r="185" spans="1:20" x14ac:dyDescent="0.25">
      <c r="A185" s="5">
        <v>44408</v>
      </c>
      <c r="B185">
        <v>11.183999999999999</v>
      </c>
      <c r="C185">
        <v>12.2</v>
      </c>
      <c r="D185">
        <v>10.85</v>
      </c>
      <c r="E185">
        <v>11.678000000000001</v>
      </c>
      <c r="F185">
        <v>206469.11</v>
      </c>
      <c r="G185">
        <v>11.678000000000001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0.22666666666666874</v>
      </c>
      <c r="Q185">
        <f t="shared" ref="Q185" si="901">F185*P185</f>
        <v>46799.664933333755</v>
      </c>
      <c r="R185">
        <f t="shared" ref="R185" si="902">R186+Q185</f>
        <v>-5213615.527575803</v>
      </c>
      <c r="S185">
        <f t="shared" ref="S185" si="903">R185/100000</f>
        <v>-52.136155275758028</v>
      </c>
      <c r="T185">
        <f t="shared" ref="T185" si="904">S185/1000</f>
        <v>-5.2136155275758031E-2</v>
      </c>
    </row>
    <row r="186" spans="1:20" x14ac:dyDescent="0.25">
      <c r="A186" s="5">
        <v>44407</v>
      </c>
      <c r="B186">
        <v>11.146000000000001</v>
      </c>
      <c r="C186">
        <v>11.385999999999999</v>
      </c>
      <c r="D186">
        <v>10.316000000000001</v>
      </c>
      <c r="E186">
        <v>11.183999999999999</v>
      </c>
      <c r="F186">
        <v>169238.2</v>
      </c>
      <c r="G186">
        <v>11.183999999999999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0.62242990654205566</v>
      </c>
      <c r="Q186">
        <f t="shared" ref="Q186" si="906">F186*P186</f>
        <v>105338.91700934574</v>
      </c>
      <c r="R186">
        <f t="shared" ref="R186" si="907">R187+Q186</f>
        <v>-5260415.1925091371</v>
      </c>
      <c r="S186">
        <f t="shared" ref="S186" si="908">R186/100000</f>
        <v>-52.604151925091372</v>
      </c>
      <c r="T186">
        <f t="shared" ref="T186" si="909">S186/1000</f>
        <v>-5.2604151925091373E-2</v>
      </c>
    </row>
    <row r="187" spans="1:20" x14ac:dyDescent="0.25">
      <c r="A187" s="5">
        <v>44406</v>
      </c>
      <c r="B187">
        <v>11.162000000000001</v>
      </c>
      <c r="C187">
        <v>11.58</v>
      </c>
      <c r="D187">
        <v>10.557</v>
      </c>
      <c r="E187">
        <v>11.19</v>
      </c>
      <c r="F187">
        <v>243730.08</v>
      </c>
      <c r="G187">
        <v>11.19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0.23753665689149425</v>
      </c>
      <c r="Q187">
        <f t="shared" ref="Q187" si="911">F187*P187</f>
        <v>57894.828387096444</v>
      </c>
      <c r="R187">
        <f t="shared" ref="R187" si="912">R188+Q187</f>
        <v>-5365754.1095184833</v>
      </c>
      <c r="S187">
        <f t="shared" ref="S187" si="913">R187/100000</f>
        <v>-53.657541095184833</v>
      </c>
      <c r="T187">
        <f t="shared" ref="T187" si="914">S187/1000</f>
        <v>-5.3657541095184835E-2</v>
      </c>
    </row>
    <row r="188" spans="1:20" x14ac:dyDescent="0.25">
      <c r="A188" s="5">
        <v>44405</v>
      </c>
      <c r="B188">
        <v>9.9670000000000005</v>
      </c>
      <c r="C188">
        <v>12.5</v>
      </c>
      <c r="D188">
        <v>9.6920000000000002</v>
      </c>
      <c r="E188">
        <v>11.183999999999999</v>
      </c>
      <c r="F188">
        <v>886716.1</v>
      </c>
      <c r="G188">
        <v>11.183999999999999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6.2678062678062099E-2</v>
      </c>
      <c r="Q188">
        <f t="shared" ref="Q188" si="916">F188*P188</f>
        <v>55577.647293446782</v>
      </c>
      <c r="R188">
        <f t="shared" ref="R188" si="917">R189+Q188</f>
        <v>-5423648.9379055798</v>
      </c>
      <c r="S188">
        <f t="shared" ref="S188" si="918">R188/100000</f>
        <v>-54.236489379055797</v>
      </c>
      <c r="T188">
        <f t="shared" ref="T188" si="919">S188/1000</f>
        <v>-5.4236489379055799E-2</v>
      </c>
    </row>
    <row r="189" spans="1:20" x14ac:dyDescent="0.25">
      <c r="A189" s="5">
        <v>44404</v>
      </c>
      <c r="B189">
        <v>9.3140000000000001</v>
      </c>
      <c r="C189">
        <v>10.298</v>
      </c>
      <c r="D189">
        <v>8.8800000000000008</v>
      </c>
      <c r="E189">
        <v>9.9670000000000005</v>
      </c>
      <c r="F189">
        <v>193252.64</v>
      </c>
      <c r="G189">
        <v>9.9670000000000005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0.53314527503526132</v>
      </c>
      <c r="Q189">
        <f t="shared" ref="Q189" si="921">F189*P189</f>
        <v>103031.73190409035</v>
      </c>
      <c r="R189">
        <f t="shared" ref="R189" si="922">R190+Q189</f>
        <v>-5479226.5851990264</v>
      </c>
      <c r="S189">
        <f t="shared" ref="S189" si="923">R189/100000</f>
        <v>-54.792265851990265</v>
      </c>
      <c r="T189">
        <f t="shared" ref="T189" si="924">S189/1000</f>
        <v>-5.4792265851990263E-2</v>
      </c>
    </row>
    <row r="190" spans="1:20" x14ac:dyDescent="0.25">
      <c r="A190" s="5">
        <v>44403</v>
      </c>
      <c r="B190">
        <v>10.031000000000001</v>
      </c>
      <c r="C190">
        <v>11</v>
      </c>
      <c r="D190">
        <v>9.1609999999999996</v>
      </c>
      <c r="E190">
        <v>9.3140000000000001</v>
      </c>
      <c r="F190">
        <v>429997.07</v>
      </c>
      <c r="G190">
        <v>9.3140000000000001</v>
      </c>
      <c r="L190" t="s">
        <v>7</v>
      </c>
      <c r="M190" t="s">
        <v>7</v>
      </c>
      <c r="N190" t="s">
        <v>8</v>
      </c>
      <c r="P190">
        <f t="shared" ref="P190" si="925">IF(C190=D190,0,((E190-D190)-(C190-E190))/(C190-D190))</f>
        <v>-0.83360522022838457</v>
      </c>
      <c r="Q190">
        <f t="shared" ref="Q190" si="926">F190*P190</f>
        <v>-358447.80223491008</v>
      </c>
      <c r="R190">
        <f t="shared" ref="R190" si="927">R191+Q190</f>
        <v>-5582258.3171031168</v>
      </c>
      <c r="S190">
        <f t="shared" ref="S190" si="928">R190/100000</f>
        <v>-55.82258317103117</v>
      </c>
      <c r="T190">
        <f t="shared" ref="T190" si="929">S190/1000</f>
        <v>-5.582258317103117E-2</v>
      </c>
    </row>
    <row r="191" spans="1:20" x14ac:dyDescent="0.25">
      <c r="A191" s="5">
        <v>44402</v>
      </c>
      <c r="B191">
        <v>8.9149999999999991</v>
      </c>
      <c r="C191">
        <v>11.073</v>
      </c>
      <c r="D191">
        <v>8.7620000000000005</v>
      </c>
      <c r="E191">
        <v>10.026999999999999</v>
      </c>
      <c r="F191">
        <v>409805.06</v>
      </c>
      <c r="G191">
        <v>10.026999999999999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9.4764171354391025E-2</v>
      </c>
      <c r="Q191">
        <f t="shared" ref="Q191" si="931">F191*P191</f>
        <v>38834.836927736498</v>
      </c>
      <c r="R191">
        <f t="shared" ref="R191" si="932">R192+Q191</f>
        <v>-5223810.5148682063</v>
      </c>
      <c r="S191">
        <f t="shared" ref="S191" si="933">R191/100000</f>
        <v>-52.238105148682067</v>
      </c>
      <c r="T191">
        <f t="shared" ref="T191:T197" si="934">S191/1000</f>
        <v>-5.2238105148682067E-2</v>
      </c>
    </row>
    <row r="192" spans="1:20" x14ac:dyDescent="0.25">
      <c r="A192" s="5">
        <v>44401</v>
      </c>
      <c r="B192">
        <v>8.9359999999999999</v>
      </c>
      <c r="C192">
        <v>9.1340000000000003</v>
      </c>
      <c r="D192">
        <v>8.7590000000000003</v>
      </c>
      <c r="E192">
        <v>8.9149999999999991</v>
      </c>
      <c r="F192">
        <v>237519.23</v>
      </c>
      <c r="G192">
        <v>8.9149999999999991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-0.16800000000000637</v>
      </c>
      <c r="Q192">
        <f t="shared" ref="Q192" si="936">F192*P192</f>
        <v>-39903.230640001515</v>
      </c>
      <c r="R192">
        <f t="shared" ref="R192" si="937">R193+Q192</f>
        <v>-5262645.3517959425</v>
      </c>
      <c r="S192">
        <f t="shared" ref="S192" si="938">R192/100000</f>
        <v>-52.626453517959426</v>
      </c>
      <c r="T192">
        <f t="shared" si="934"/>
        <v>-5.2626453517959429E-2</v>
      </c>
    </row>
    <row r="193" spans="1:20" x14ac:dyDescent="0.25">
      <c r="A193" s="5">
        <v>44400</v>
      </c>
      <c r="B193">
        <v>8.49</v>
      </c>
      <c r="C193">
        <v>8.9649999999999999</v>
      </c>
      <c r="D193">
        <v>8.1379999999999999</v>
      </c>
      <c r="E193">
        <v>8.9359999999999999</v>
      </c>
      <c r="F193">
        <v>294397.03999999998</v>
      </c>
      <c r="G193">
        <v>8.9359999999999999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0.9298669891172916</v>
      </c>
      <c r="Q193">
        <f t="shared" ref="Q193" si="940">F193*P193</f>
        <v>273750.08918984287</v>
      </c>
      <c r="R193">
        <f t="shared" ref="R193" si="941">R194+Q193</f>
        <v>-5222742.1211559409</v>
      </c>
      <c r="S193">
        <f t="shared" ref="S193" si="942">R193/100000</f>
        <v>-52.22742121155941</v>
      </c>
      <c r="T193">
        <f t="shared" si="934"/>
        <v>-5.2227421211559412E-2</v>
      </c>
    </row>
    <row r="194" spans="1:20" x14ac:dyDescent="0.25">
      <c r="A194" s="5">
        <v>44399</v>
      </c>
      <c r="B194">
        <v>8.2539999999999996</v>
      </c>
      <c r="C194">
        <v>8.7200000000000006</v>
      </c>
      <c r="D194">
        <v>7.8879999999999999</v>
      </c>
      <c r="E194">
        <v>8.49</v>
      </c>
      <c r="F194">
        <v>188471.6</v>
      </c>
      <c r="G194">
        <v>8.49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0.44711538461538408</v>
      </c>
      <c r="Q194">
        <f t="shared" ref="Q194" si="944">F194*P194</f>
        <v>84268.551923076826</v>
      </c>
      <c r="R194">
        <f t="shared" ref="R194" si="945">R195+Q194</f>
        <v>-5496492.2103457842</v>
      </c>
      <c r="S194">
        <f t="shared" ref="S194" si="946">R194/100000</f>
        <v>-54.964922103457845</v>
      </c>
      <c r="T194">
        <f t="shared" si="934"/>
        <v>-5.4964922103457846E-2</v>
      </c>
    </row>
    <row r="195" spans="1:20" x14ac:dyDescent="0.25">
      <c r="A195" s="5">
        <v>44398</v>
      </c>
      <c r="B195">
        <v>7.2069999999999999</v>
      </c>
      <c r="C195">
        <v>8.6660000000000004</v>
      </c>
      <c r="D195">
        <v>7.101</v>
      </c>
      <c r="E195">
        <v>8.2539999999999996</v>
      </c>
      <c r="F195">
        <v>372089.31</v>
      </c>
      <c r="G195">
        <v>8.2539999999999996</v>
      </c>
      <c r="L195" t="s">
        <v>7</v>
      </c>
      <c r="M195" t="s">
        <v>8</v>
      </c>
      <c r="N195" t="s">
        <v>7</v>
      </c>
      <c r="P195">
        <f t="shared" ref="P195" si="947">IF(C195=D195,0,((E195-D195)-(C195-E195))/(C195-D195))</f>
        <v>0.47348242811501506</v>
      </c>
      <c r="Q195">
        <f t="shared" ref="Q195" si="948">F195*P195</f>
        <v>176177.74997444055</v>
      </c>
      <c r="R195">
        <f t="shared" ref="R195" si="949">R196+Q195</f>
        <v>-5580760.7622688608</v>
      </c>
      <c r="S195">
        <f t="shared" ref="S195" si="950">R195/100000</f>
        <v>-55.807607622688607</v>
      </c>
      <c r="T195">
        <f t="shared" si="934"/>
        <v>-5.5807607622688604E-2</v>
      </c>
    </row>
    <row r="196" spans="1:20" x14ac:dyDescent="0.25">
      <c r="A196" s="5">
        <v>44397</v>
      </c>
      <c r="B196">
        <v>8.15</v>
      </c>
      <c r="C196">
        <v>8.4410000000000007</v>
      </c>
      <c r="D196">
        <v>7.1929999999999996</v>
      </c>
      <c r="E196">
        <v>7.2069999999999999</v>
      </c>
      <c r="F196">
        <v>260759.19</v>
      </c>
      <c r="G196">
        <v>7.2069999999999999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-0.9775641025641022</v>
      </c>
      <c r="Q196">
        <f t="shared" ref="Q196" si="952">F196*P196</f>
        <v>-254908.8235576922</v>
      </c>
      <c r="R196">
        <f t="shared" ref="R196" si="953">R197+Q196</f>
        <v>-5756938.5122433016</v>
      </c>
      <c r="S196">
        <f t="shared" ref="S196" si="954">R196/100000</f>
        <v>-57.569385122433019</v>
      </c>
      <c r="T196">
        <f t="shared" si="934"/>
        <v>-5.7569385122433016E-2</v>
      </c>
    </row>
    <row r="197" spans="1:20" x14ac:dyDescent="0.25">
      <c r="A197" s="5">
        <v>44396</v>
      </c>
      <c r="B197">
        <v>8.9819999999999993</v>
      </c>
      <c r="C197">
        <v>9.0559999999999992</v>
      </c>
      <c r="D197">
        <v>7.89</v>
      </c>
      <c r="E197">
        <v>8.16</v>
      </c>
      <c r="F197">
        <v>166281.63</v>
      </c>
      <c r="G197">
        <v>-9.15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-0.53687821612349818</v>
      </c>
      <c r="Q197">
        <f t="shared" ref="Q197" si="956">F197*P197</f>
        <v>-89272.984888507563</v>
      </c>
      <c r="R197">
        <f t="shared" ref="R197" si="957">R198+Q197</f>
        <v>-5502029.688685609</v>
      </c>
      <c r="S197">
        <f t="shared" ref="S197" si="958">R197/100000</f>
        <v>-55.020296886856087</v>
      </c>
      <c r="T197">
        <f t="shared" si="934"/>
        <v>-5.5020296886856085E-2</v>
      </c>
    </row>
    <row r="198" spans="1:20" x14ac:dyDescent="0.25">
      <c r="A198" s="5">
        <v>44395</v>
      </c>
      <c r="B198">
        <v>8.6180000000000003</v>
      </c>
      <c r="C198">
        <v>10.5</v>
      </c>
      <c r="D198">
        <v>8.6180000000000003</v>
      </c>
      <c r="E198">
        <v>9.0069999999999997</v>
      </c>
      <c r="F198">
        <v>342801.32</v>
      </c>
      <c r="G198">
        <v>4.51</v>
      </c>
      <c r="L198" t="s">
        <v>8</v>
      </c>
      <c r="M198" t="s">
        <v>8</v>
      </c>
      <c r="N198" t="s">
        <v>7</v>
      </c>
      <c r="P198">
        <f t="shared" ref="P198:P261" si="959">IF(C198=D198,0,((E198-D198)-(C198-E198))/(C198-D198))</f>
        <v>-0.58660998937300801</v>
      </c>
      <c r="Q198">
        <f t="shared" ref="Q198:Q261" si="960">F198*P198</f>
        <v>-201090.67868225311</v>
      </c>
      <c r="R198">
        <f t="shared" ref="R198:R261" si="961">R199+Q198</f>
        <v>-5412756.703797101</v>
      </c>
      <c r="S198">
        <f t="shared" ref="S198:S261" si="962">R198/100000</f>
        <v>-54.127567037971012</v>
      </c>
      <c r="T198">
        <f t="shared" ref="T198:T261" si="963">S198/1000</f>
        <v>-5.412756703797101E-2</v>
      </c>
    </row>
    <row r="199" spans="1:20" x14ac:dyDescent="0.25">
      <c r="A199" s="5">
        <v>44394</v>
      </c>
      <c r="B199">
        <v>8.7720000000000002</v>
      </c>
      <c r="C199">
        <v>8.9499999999999993</v>
      </c>
      <c r="D199">
        <v>8.15</v>
      </c>
      <c r="E199">
        <v>8.6189999999999998</v>
      </c>
      <c r="F199">
        <v>182784.19</v>
      </c>
      <c r="G199">
        <v>-1.74</v>
      </c>
      <c r="L199" t="s">
        <v>7</v>
      </c>
      <c r="M199" t="s">
        <v>7</v>
      </c>
      <c r="N199" t="s">
        <v>7</v>
      </c>
      <c r="P199">
        <f t="shared" si="959"/>
        <v>0.1725000000000001</v>
      </c>
      <c r="Q199">
        <f t="shared" si="960"/>
        <v>31530.272775000019</v>
      </c>
      <c r="R199">
        <f t="shared" si="961"/>
        <v>-5211666.0251148483</v>
      </c>
      <c r="S199">
        <f t="shared" si="962"/>
        <v>-52.116660251148481</v>
      </c>
      <c r="T199">
        <f t="shared" si="963"/>
        <v>-5.2116660251148479E-2</v>
      </c>
    </row>
    <row r="200" spans="1:20" x14ac:dyDescent="0.25">
      <c r="A200" s="5">
        <v>44393</v>
      </c>
      <c r="B200">
        <v>9.42</v>
      </c>
      <c r="C200">
        <v>9.7129999999999992</v>
      </c>
      <c r="D200">
        <v>8.5</v>
      </c>
      <c r="E200">
        <v>8.7539999999999996</v>
      </c>
      <c r="F200">
        <v>121429.31</v>
      </c>
      <c r="G200">
        <v>-7.07</v>
      </c>
      <c r="L200" t="s">
        <v>7</v>
      </c>
      <c r="M200" t="s">
        <v>7</v>
      </c>
      <c r="N200" t="s">
        <v>7</v>
      </c>
      <c r="P200">
        <f t="shared" si="959"/>
        <v>-0.58120362737015707</v>
      </c>
      <c r="Q200">
        <f t="shared" si="960"/>
        <v>-70575.155441055293</v>
      </c>
      <c r="R200">
        <f t="shared" si="961"/>
        <v>-5243196.2978898482</v>
      </c>
      <c r="S200">
        <f t="shared" si="962"/>
        <v>-52.431962978898483</v>
      </c>
      <c r="T200">
        <f t="shared" si="963"/>
        <v>-5.2431962978898482E-2</v>
      </c>
    </row>
    <row r="201" spans="1:20" x14ac:dyDescent="0.25">
      <c r="A201" s="5">
        <v>44392</v>
      </c>
      <c r="B201">
        <v>10.061</v>
      </c>
      <c r="C201">
        <v>10.243</v>
      </c>
      <c r="D201">
        <v>9.25</v>
      </c>
      <c r="E201">
        <v>9.4060000000000006</v>
      </c>
      <c r="F201">
        <v>112613.09</v>
      </c>
      <c r="G201">
        <v>-6.51</v>
      </c>
      <c r="L201" t="s">
        <v>7</v>
      </c>
      <c r="M201" t="s">
        <v>7</v>
      </c>
      <c r="N201" t="s">
        <v>8</v>
      </c>
      <c r="P201">
        <f t="shared" si="959"/>
        <v>-0.6858006042296062</v>
      </c>
      <c r="Q201">
        <f t="shared" si="960"/>
        <v>-77230.125166163023</v>
      </c>
      <c r="R201">
        <f t="shared" si="961"/>
        <v>-5172621.1424487932</v>
      </c>
      <c r="S201">
        <f t="shared" si="962"/>
        <v>-51.726211424487929</v>
      </c>
      <c r="T201">
        <f t="shared" si="963"/>
        <v>-5.1726211424487925E-2</v>
      </c>
    </row>
    <row r="202" spans="1:20" x14ac:dyDescent="0.25">
      <c r="A202" s="5">
        <v>44391</v>
      </c>
      <c r="B202">
        <v>10.185</v>
      </c>
      <c r="C202">
        <v>10.584</v>
      </c>
      <c r="D202">
        <v>9.6470000000000002</v>
      </c>
      <c r="E202">
        <v>10.061999999999999</v>
      </c>
      <c r="F202">
        <v>115412.14</v>
      </c>
      <c r="G202">
        <v>-1.21</v>
      </c>
      <c r="L202" t="s">
        <v>7</v>
      </c>
      <c r="M202" t="s">
        <v>7</v>
      </c>
      <c r="N202" t="s">
        <v>8</v>
      </c>
      <c r="P202">
        <f t="shared" si="959"/>
        <v>-0.11419423692636196</v>
      </c>
      <c r="Q202">
        <f t="shared" si="960"/>
        <v>-13179.401259338456</v>
      </c>
      <c r="R202">
        <f t="shared" si="961"/>
        <v>-5095391.0172826303</v>
      </c>
      <c r="S202">
        <f t="shared" si="962"/>
        <v>-50.953910172826305</v>
      </c>
      <c r="T202">
        <f t="shared" si="963"/>
        <v>-5.0953910172826307E-2</v>
      </c>
    </row>
    <row r="203" spans="1:20" x14ac:dyDescent="0.25">
      <c r="A203" s="5">
        <v>44390</v>
      </c>
      <c r="B203">
        <v>10.6</v>
      </c>
      <c r="C203">
        <v>10.63</v>
      </c>
      <c r="D203">
        <v>9.8970000000000002</v>
      </c>
      <c r="E203">
        <v>10.185</v>
      </c>
      <c r="F203">
        <v>123732.88</v>
      </c>
      <c r="G203">
        <v>-3.92</v>
      </c>
      <c r="L203" t="s">
        <v>7</v>
      </c>
      <c r="M203" t="s">
        <v>7</v>
      </c>
      <c r="N203" t="s">
        <v>8</v>
      </c>
      <c r="P203">
        <f t="shared" si="959"/>
        <v>-0.21418826739426999</v>
      </c>
      <c r="Q203">
        <f t="shared" si="960"/>
        <v>-26502.131186903123</v>
      </c>
      <c r="R203">
        <f t="shared" si="961"/>
        <v>-5082211.6160232918</v>
      </c>
      <c r="S203">
        <f t="shared" si="962"/>
        <v>-50.822116160232916</v>
      </c>
      <c r="T203">
        <f t="shared" si="963"/>
        <v>-5.0822116160232918E-2</v>
      </c>
    </row>
    <row r="204" spans="1:20" x14ac:dyDescent="0.25">
      <c r="A204" s="5">
        <v>44389</v>
      </c>
      <c r="B204">
        <v>11.37</v>
      </c>
      <c r="C204">
        <v>11.452</v>
      </c>
      <c r="D204">
        <v>10.427</v>
      </c>
      <c r="E204">
        <v>10.6</v>
      </c>
      <c r="F204">
        <v>82194.179999999993</v>
      </c>
      <c r="G204">
        <v>-6.77</v>
      </c>
      <c r="L204" t="s">
        <v>7</v>
      </c>
      <c r="M204" t="s">
        <v>7</v>
      </c>
      <c r="N204" t="s">
        <v>8</v>
      </c>
      <c r="P204">
        <f t="shared" si="959"/>
        <v>-0.66243902439024394</v>
      </c>
      <c r="Q204">
        <f t="shared" si="960"/>
        <v>-54448.632409756094</v>
      </c>
      <c r="R204">
        <f t="shared" si="961"/>
        <v>-5055709.4848363884</v>
      </c>
      <c r="S204">
        <f t="shared" si="962"/>
        <v>-50.557094848363882</v>
      </c>
      <c r="T204">
        <f t="shared" si="963"/>
        <v>-5.0557094848363883E-2</v>
      </c>
    </row>
    <row r="205" spans="1:20" x14ac:dyDescent="0.25">
      <c r="A205" s="5">
        <v>44388</v>
      </c>
      <c r="B205">
        <v>10.791</v>
      </c>
      <c r="C205">
        <v>11.675000000000001</v>
      </c>
      <c r="D205">
        <v>10.585000000000001</v>
      </c>
      <c r="E205">
        <v>11.379</v>
      </c>
      <c r="F205">
        <v>77263.19</v>
      </c>
      <c r="G205">
        <v>5.45</v>
      </c>
      <c r="L205" t="s">
        <v>8</v>
      </c>
      <c r="M205" t="s">
        <v>7</v>
      </c>
      <c r="N205" t="s">
        <v>8</v>
      </c>
      <c r="P205">
        <f t="shared" si="959"/>
        <v>0.45688073394495193</v>
      </c>
      <c r="Q205">
        <f t="shared" si="960"/>
        <v>35300.062954128269</v>
      </c>
      <c r="R205">
        <f t="shared" si="961"/>
        <v>-5001260.8524266323</v>
      </c>
      <c r="S205">
        <f t="shared" si="962"/>
        <v>-50.012608524266327</v>
      </c>
      <c r="T205">
        <f t="shared" si="963"/>
        <v>-5.0012608524266325E-2</v>
      </c>
    </row>
    <row r="206" spans="1:20" x14ac:dyDescent="0.25">
      <c r="A206" s="5">
        <v>44387</v>
      </c>
      <c r="B206">
        <v>11.012</v>
      </c>
      <c r="C206">
        <v>11.15</v>
      </c>
      <c r="D206">
        <v>10.202</v>
      </c>
      <c r="E206">
        <v>10.76</v>
      </c>
      <c r="F206">
        <v>112930.42</v>
      </c>
      <c r="G206">
        <v>-2.29</v>
      </c>
      <c r="L206" t="s">
        <v>7</v>
      </c>
      <c r="M206" t="s">
        <v>7</v>
      </c>
      <c r="N206" t="s">
        <v>8</v>
      </c>
      <c r="P206">
        <f t="shared" si="959"/>
        <v>0.17721518987341686</v>
      </c>
      <c r="Q206">
        <f t="shared" si="960"/>
        <v>20012.985822784714</v>
      </c>
      <c r="R206">
        <f t="shared" si="961"/>
        <v>-5036560.915380761</v>
      </c>
      <c r="S206">
        <f t="shared" si="962"/>
        <v>-50.365609153807611</v>
      </c>
      <c r="T206">
        <f t="shared" si="963"/>
        <v>-5.0365609153807611E-2</v>
      </c>
    </row>
    <row r="207" spans="1:20" x14ac:dyDescent="0.25">
      <c r="A207" s="5">
        <v>44386</v>
      </c>
      <c r="B207">
        <v>10.881</v>
      </c>
      <c r="C207">
        <v>11.199</v>
      </c>
      <c r="D207">
        <v>10.38</v>
      </c>
      <c r="E207">
        <v>11.012</v>
      </c>
      <c r="F207">
        <v>95013.62</v>
      </c>
      <c r="G207">
        <v>1.2</v>
      </c>
      <c r="L207" t="s">
        <v>7</v>
      </c>
      <c r="M207" t="s">
        <v>7</v>
      </c>
      <c r="N207" t="s">
        <v>8</v>
      </c>
      <c r="P207">
        <f t="shared" si="959"/>
        <v>0.5433455433455443</v>
      </c>
      <c r="Q207">
        <f t="shared" si="960"/>
        <v>51625.226984127075</v>
      </c>
      <c r="R207">
        <f t="shared" si="961"/>
        <v>-5056573.9012035457</v>
      </c>
      <c r="S207">
        <f t="shared" si="962"/>
        <v>-50.565739012035458</v>
      </c>
      <c r="T207">
        <f t="shared" si="963"/>
        <v>-5.0565739012035454E-2</v>
      </c>
    </row>
    <row r="208" spans="1:20" x14ac:dyDescent="0.25">
      <c r="A208" s="5">
        <v>44385</v>
      </c>
      <c r="B208">
        <v>11.843999999999999</v>
      </c>
      <c r="C208">
        <v>12.391999999999999</v>
      </c>
      <c r="D208">
        <v>10.57</v>
      </c>
      <c r="E208">
        <v>10.887</v>
      </c>
      <c r="F208">
        <v>295108.53999999998</v>
      </c>
      <c r="G208">
        <v>-8.08</v>
      </c>
      <c r="L208" t="s">
        <v>7</v>
      </c>
      <c r="M208" t="s">
        <v>7</v>
      </c>
      <c r="N208" t="s">
        <v>8</v>
      </c>
      <c r="P208">
        <f t="shared" si="959"/>
        <v>-0.65203073545554302</v>
      </c>
      <c r="Q208">
        <f t="shared" si="960"/>
        <v>-192419.83837541152</v>
      </c>
      <c r="R208">
        <f t="shared" si="961"/>
        <v>-5108199.1281876732</v>
      </c>
      <c r="S208">
        <f t="shared" si="962"/>
        <v>-51.081991281876732</v>
      </c>
      <c r="T208">
        <f t="shared" si="963"/>
        <v>-5.108199128187673E-2</v>
      </c>
    </row>
    <row r="209" spans="1:20" x14ac:dyDescent="0.25">
      <c r="A209" s="5">
        <v>44384</v>
      </c>
      <c r="B209">
        <v>11.124000000000001</v>
      </c>
      <c r="C209">
        <v>12.978999999999999</v>
      </c>
      <c r="D209">
        <v>10.981</v>
      </c>
      <c r="E209">
        <v>11.84</v>
      </c>
      <c r="F209">
        <v>220543.21</v>
      </c>
      <c r="G209">
        <v>6.44</v>
      </c>
      <c r="L209" t="s">
        <v>8</v>
      </c>
      <c r="M209" t="s">
        <v>8</v>
      </c>
      <c r="N209" t="s">
        <v>8</v>
      </c>
      <c r="P209">
        <f t="shared" si="959"/>
        <v>-0.14014014014013987</v>
      </c>
      <c r="Q209">
        <f t="shared" si="960"/>
        <v>-30906.956356356295</v>
      </c>
      <c r="R209">
        <f t="shared" si="961"/>
        <v>-4915779.2898122612</v>
      </c>
      <c r="S209">
        <f t="shared" si="962"/>
        <v>-49.157792898122615</v>
      </c>
      <c r="T209">
        <f t="shared" si="963"/>
        <v>-4.9157792898122617E-2</v>
      </c>
    </row>
    <row r="210" spans="1:20" x14ac:dyDescent="0.25">
      <c r="A210" s="5">
        <v>44383</v>
      </c>
      <c r="B210">
        <v>10.622</v>
      </c>
      <c r="C210">
        <v>11.471</v>
      </c>
      <c r="D210">
        <v>10.619</v>
      </c>
      <c r="E210">
        <v>11.156000000000001</v>
      </c>
      <c r="F210">
        <v>787668.64</v>
      </c>
      <c r="G210">
        <v>5.03</v>
      </c>
      <c r="L210" t="s">
        <v>8</v>
      </c>
      <c r="M210" t="s">
        <v>8</v>
      </c>
      <c r="N210" t="s">
        <v>8</v>
      </c>
      <c r="P210">
        <f t="shared" si="959"/>
        <v>0.26056338028169157</v>
      </c>
      <c r="Q210">
        <f t="shared" si="960"/>
        <v>205237.60338028282</v>
      </c>
      <c r="R210">
        <f t="shared" si="961"/>
        <v>-4884872.3334559053</v>
      </c>
      <c r="S210">
        <f t="shared" si="962"/>
        <v>-48.848723334559054</v>
      </c>
      <c r="T210">
        <f t="shared" si="963"/>
        <v>-4.8848723334559051E-2</v>
      </c>
    </row>
    <row r="211" spans="1:20" x14ac:dyDescent="0.25">
      <c r="A211" s="5">
        <v>44382</v>
      </c>
      <c r="B211">
        <v>10.929</v>
      </c>
      <c r="C211">
        <v>11.224</v>
      </c>
      <c r="D211">
        <v>10.35</v>
      </c>
      <c r="E211">
        <v>10.635</v>
      </c>
      <c r="F211">
        <v>943436.97</v>
      </c>
      <c r="G211">
        <v>-2.69</v>
      </c>
      <c r="L211" t="s">
        <v>7</v>
      </c>
      <c r="M211" t="s">
        <v>7</v>
      </c>
      <c r="N211" t="s">
        <v>8</v>
      </c>
      <c r="P211">
        <f t="shared" si="959"/>
        <v>-0.34782608695652184</v>
      </c>
      <c r="Q211">
        <f t="shared" si="960"/>
        <v>-328151.98956521746</v>
      </c>
      <c r="R211">
        <f t="shared" si="961"/>
        <v>-5090109.9368361877</v>
      </c>
      <c r="S211">
        <f t="shared" si="962"/>
        <v>-50.901099368361876</v>
      </c>
      <c r="T211">
        <f t="shared" si="963"/>
        <v>-5.0901099368361874E-2</v>
      </c>
    </row>
    <row r="212" spans="1:20" x14ac:dyDescent="0.25">
      <c r="A212" s="5">
        <v>44381</v>
      </c>
      <c r="B212">
        <v>10.563000000000001</v>
      </c>
      <c r="C212">
        <v>11.4</v>
      </c>
      <c r="D212">
        <v>10.282</v>
      </c>
      <c r="E212">
        <v>10.929</v>
      </c>
      <c r="F212">
        <v>447969.1</v>
      </c>
      <c r="G212">
        <v>3.46</v>
      </c>
      <c r="L212" t="s">
        <v>8</v>
      </c>
      <c r="M212" t="s">
        <v>7</v>
      </c>
      <c r="N212" t="s">
        <v>8</v>
      </c>
      <c r="P212">
        <f t="shared" si="959"/>
        <v>0.15742397137745984</v>
      </c>
      <c r="Q212">
        <f t="shared" si="960"/>
        <v>70521.074776386435</v>
      </c>
      <c r="R212">
        <f t="shared" si="961"/>
        <v>-4761957.9472709699</v>
      </c>
      <c r="S212">
        <f t="shared" si="962"/>
        <v>-47.619579472709695</v>
      </c>
      <c r="T212">
        <f t="shared" si="963"/>
        <v>-4.7619579472709693E-2</v>
      </c>
    </row>
    <row r="213" spans="1:20" x14ac:dyDescent="0.25">
      <c r="A213" s="5">
        <v>44380</v>
      </c>
      <c r="B213">
        <v>10.612</v>
      </c>
      <c r="C213">
        <v>10.989000000000001</v>
      </c>
      <c r="D213">
        <v>10</v>
      </c>
      <c r="E213">
        <v>10.561999999999999</v>
      </c>
      <c r="F213">
        <v>321425.46000000002</v>
      </c>
      <c r="G213">
        <v>-0.47</v>
      </c>
      <c r="L213" t="s">
        <v>8</v>
      </c>
      <c r="M213" t="s">
        <v>7</v>
      </c>
      <c r="N213" t="s">
        <v>8</v>
      </c>
      <c r="P213">
        <f t="shared" si="959"/>
        <v>0.13650151668351659</v>
      </c>
      <c r="Q213">
        <f t="shared" si="960"/>
        <v>43875.062790696997</v>
      </c>
      <c r="R213">
        <f t="shared" si="961"/>
        <v>-4832479.0220473567</v>
      </c>
      <c r="S213">
        <f t="shared" si="962"/>
        <v>-48.324790220473567</v>
      </c>
      <c r="T213">
        <f t="shared" si="963"/>
        <v>-4.8324790220473569E-2</v>
      </c>
    </row>
    <row r="214" spans="1:20" x14ac:dyDescent="0.25">
      <c r="A214" s="5">
        <v>44379</v>
      </c>
      <c r="B214">
        <v>10.872999999999999</v>
      </c>
      <c r="C214">
        <v>11.045</v>
      </c>
      <c r="D214">
        <v>9.7129999999999992</v>
      </c>
      <c r="E214">
        <v>10.613</v>
      </c>
      <c r="F214">
        <v>313127.90000000002</v>
      </c>
      <c r="G214">
        <v>-2.39</v>
      </c>
      <c r="L214" t="s">
        <v>7</v>
      </c>
      <c r="M214" t="s">
        <v>7</v>
      </c>
      <c r="N214" t="s">
        <v>8</v>
      </c>
      <c r="P214">
        <f t="shared" si="959"/>
        <v>0.35135135135135115</v>
      </c>
      <c r="Q214">
        <f t="shared" si="960"/>
        <v>110017.91081081076</v>
      </c>
      <c r="R214">
        <f t="shared" si="961"/>
        <v>-4876354.0848380541</v>
      </c>
      <c r="S214">
        <f t="shared" si="962"/>
        <v>-48.763540848380543</v>
      </c>
      <c r="T214">
        <f t="shared" si="963"/>
        <v>-4.876354084838054E-2</v>
      </c>
    </row>
    <row r="215" spans="1:20" x14ac:dyDescent="0.25">
      <c r="A215" s="5">
        <v>44378</v>
      </c>
      <c r="B215">
        <v>10.349</v>
      </c>
      <c r="C215">
        <v>12.76</v>
      </c>
      <c r="D215">
        <v>10.016999999999999</v>
      </c>
      <c r="E215">
        <v>10.872999999999999</v>
      </c>
      <c r="F215">
        <v>718820.49</v>
      </c>
      <c r="G215">
        <v>5.0599999999999996</v>
      </c>
      <c r="L215" t="s">
        <v>8</v>
      </c>
      <c r="M215" t="s">
        <v>8</v>
      </c>
      <c r="N215" t="s">
        <v>8</v>
      </c>
      <c r="P215">
        <f t="shared" si="959"/>
        <v>-0.37586584032081677</v>
      </c>
      <c r="Q215">
        <f t="shared" si="960"/>
        <v>-270180.06751367124</v>
      </c>
      <c r="R215">
        <f t="shared" si="961"/>
        <v>-4986371.9956488647</v>
      </c>
      <c r="S215">
        <f t="shared" si="962"/>
        <v>-49.863719956488644</v>
      </c>
      <c r="T215">
        <f t="shared" si="963"/>
        <v>-4.9863719956488646E-2</v>
      </c>
    </row>
    <row r="216" spans="1:20" x14ac:dyDescent="0.25">
      <c r="A216" s="5">
        <v>44377</v>
      </c>
      <c r="B216">
        <v>10.727</v>
      </c>
      <c r="C216">
        <v>10.798999999999999</v>
      </c>
      <c r="D216">
        <v>9.8330000000000002</v>
      </c>
      <c r="E216">
        <v>10.348000000000001</v>
      </c>
      <c r="F216">
        <v>192491.93</v>
      </c>
      <c r="G216">
        <v>-3.53</v>
      </c>
      <c r="L216" t="s">
        <v>7</v>
      </c>
      <c r="M216" t="s">
        <v>8</v>
      </c>
      <c r="N216" t="s">
        <v>7</v>
      </c>
      <c r="P216">
        <f t="shared" si="959"/>
        <v>6.6252587991720374E-2</v>
      </c>
      <c r="Q216">
        <f t="shared" si="960"/>
        <v>12753.088530021078</v>
      </c>
      <c r="R216">
        <f t="shared" si="961"/>
        <v>-4716191.9281351939</v>
      </c>
      <c r="S216">
        <f t="shared" si="962"/>
        <v>-47.161919281351942</v>
      </c>
      <c r="T216">
        <f t="shared" si="963"/>
        <v>-4.7161919281351945E-2</v>
      </c>
    </row>
    <row r="217" spans="1:20" x14ac:dyDescent="0.25">
      <c r="A217" s="5">
        <v>44376</v>
      </c>
      <c r="B217">
        <v>9.9930000000000003</v>
      </c>
      <c r="C217">
        <v>11.398999999999999</v>
      </c>
      <c r="D217">
        <v>9.9870000000000001</v>
      </c>
      <c r="E217">
        <v>10.736000000000001</v>
      </c>
      <c r="F217">
        <v>235384.81</v>
      </c>
      <c r="G217">
        <v>7.44</v>
      </c>
      <c r="L217" t="s">
        <v>8</v>
      </c>
      <c r="M217" t="s">
        <v>8</v>
      </c>
      <c r="N217" t="s">
        <v>7</v>
      </c>
      <c r="P217">
        <f t="shared" si="959"/>
        <v>6.0906515580738056E-2</v>
      </c>
      <c r="Q217">
        <f t="shared" si="960"/>
        <v>14336.468597734067</v>
      </c>
      <c r="R217">
        <f t="shared" si="961"/>
        <v>-4728945.0166652147</v>
      </c>
      <c r="S217">
        <f t="shared" si="962"/>
        <v>-47.289450166652145</v>
      </c>
      <c r="T217">
        <f t="shared" si="963"/>
        <v>-4.7289450166652147E-2</v>
      </c>
    </row>
    <row r="218" spans="1:20" x14ac:dyDescent="0.25">
      <c r="A218" s="5">
        <v>44375</v>
      </c>
      <c r="B218">
        <v>10.247999999999999</v>
      </c>
      <c r="C218">
        <v>10.667999999999999</v>
      </c>
      <c r="D218">
        <v>9.3569999999999993</v>
      </c>
      <c r="E218">
        <v>9.9949999999999992</v>
      </c>
      <c r="F218">
        <v>357578.73</v>
      </c>
      <c r="G218">
        <v>-2.4700000000000002</v>
      </c>
      <c r="L218" t="s">
        <v>8</v>
      </c>
      <c r="M218" t="s">
        <v>8</v>
      </c>
      <c r="N218" t="s">
        <v>7</v>
      </c>
      <c r="P218">
        <f t="shared" si="959"/>
        <v>-2.6697177726926119E-2</v>
      </c>
      <c r="Q218">
        <f t="shared" si="960"/>
        <v>-9546.3429061785282</v>
      </c>
      <c r="R218">
        <f t="shared" si="961"/>
        <v>-4743281.485262949</v>
      </c>
      <c r="S218">
        <f t="shared" si="962"/>
        <v>-47.432814852629491</v>
      </c>
      <c r="T218">
        <f t="shared" si="963"/>
        <v>-4.7432814852629492E-2</v>
      </c>
    </row>
    <row r="219" spans="1:20" x14ac:dyDescent="0.25">
      <c r="A219" s="5">
        <v>44374</v>
      </c>
      <c r="B219">
        <v>8.9949999999999992</v>
      </c>
      <c r="C219">
        <v>10.522</v>
      </c>
      <c r="D219">
        <v>8.8580000000000005</v>
      </c>
      <c r="E219">
        <v>10.212</v>
      </c>
      <c r="F219">
        <v>669374.65</v>
      </c>
      <c r="G219">
        <v>13.53</v>
      </c>
      <c r="L219" t="s">
        <v>8</v>
      </c>
      <c r="M219" t="s">
        <v>8</v>
      </c>
      <c r="N219" t="s">
        <v>7</v>
      </c>
      <c r="P219">
        <f t="shared" si="959"/>
        <v>0.62740384615384548</v>
      </c>
      <c r="Q219">
        <f t="shared" si="960"/>
        <v>419968.22992788418</v>
      </c>
      <c r="R219">
        <f t="shared" si="961"/>
        <v>-4733735.1423567701</v>
      </c>
      <c r="S219">
        <f t="shared" si="962"/>
        <v>-47.337351423567704</v>
      </c>
      <c r="T219">
        <f t="shared" si="963"/>
        <v>-4.7337351423567701E-2</v>
      </c>
    </row>
    <row r="220" spans="1:20" x14ac:dyDescent="0.25">
      <c r="A220" s="5">
        <v>44373</v>
      </c>
      <c r="B220">
        <v>9.5239999999999991</v>
      </c>
      <c r="C220">
        <v>10</v>
      </c>
      <c r="D220">
        <v>8.27</v>
      </c>
      <c r="E220">
        <v>9</v>
      </c>
      <c r="F220">
        <v>479169.45</v>
      </c>
      <c r="G220">
        <v>-5.5</v>
      </c>
      <c r="L220" t="s">
        <v>7</v>
      </c>
      <c r="M220" t="s">
        <v>7</v>
      </c>
      <c r="N220" t="s">
        <v>7</v>
      </c>
      <c r="P220">
        <f t="shared" si="959"/>
        <v>-0.15606936416184944</v>
      </c>
      <c r="Q220">
        <f t="shared" si="960"/>
        <v>-74783.671387283102</v>
      </c>
      <c r="R220">
        <f t="shared" si="961"/>
        <v>-5153703.3722846545</v>
      </c>
      <c r="S220">
        <f t="shared" si="962"/>
        <v>-51.537033722846544</v>
      </c>
      <c r="T220">
        <f t="shared" si="963"/>
        <v>-5.1537033722846542E-2</v>
      </c>
    </row>
    <row r="221" spans="1:20" x14ac:dyDescent="0.25">
      <c r="A221" s="5">
        <v>44372</v>
      </c>
      <c r="B221">
        <v>11.442</v>
      </c>
      <c r="C221">
        <v>11.727</v>
      </c>
      <c r="D221">
        <v>9.1479999999999997</v>
      </c>
      <c r="E221">
        <v>9.5239999999999991</v>
      </c>
      <c r="F221">
        <v>596874.71</v>
      </c>
      <c r="G221">
        <v>-16.760000000000002</v>
      </c>
      <c r="L221" t="s">
        <v>7</v>
      </c>
      <c r="M221" t="s">
        <v>7</v>
      </c>
      <c r="N221" t="s">
        <v>7</v>
      </c>
      <c r="P221">
        <f t="shared" si="959"/>
        <v>-0.70841411399767407</v>
      </c>
      <c r="Q221">
        <f t="shared" si="960"/>
        <v>-422834.46885226865</v>
      </c>
      <c r="R221">
        <f t="shared" si="961"/>
        <v>-5078919.7008973714</v>
      </c>
      <c r="S221">
        <f t="shared" si="962"/>
        <v>-50.789197008973716</v>
      </c>
      <c r="T221">
        <f t="shared" si="963"/>
        <v>-5.0789197008973719E-2</v>
      </c>
    </row>
    <row r="222" spans="1:20" x14ac:dyDescent="0.25">
      <c r="A222" s="5">
        <v>44371</v>
      </c>
      <c r="B222">
        <v>11.742000000000001</v>
      </c>
      <c r="C222">
        <v>12.5</v>
      </c>
      <c r="D222">
        <v>10.76</v>
      </c>
      <c r="E222">
        <v>11.442</v>
      </c>
      <c r="F222">
        <v>456047.84</v>
      </c>
      <c r="G222">
        <v>-2.5499999999999998</v>
      </c>
      <c r="L222" t="s">
        <v>7</v>
      </c>
      <c r="M222" t="s">
        <v>7</v>
      </c>
      <c r="N222" t="s">
        <v>7</v>
      </c>
      <c r="P222">
        <f t="shared" si="959"/>
        <v>-0.21609195402298817</v>
      </c>
      <c r="Q222">
        <f t="shared" si="960"/>
        <v>-98548.268873563065</v>
      </c>
      <c r="R222">
        <f t="shared" si="961"/>
        <v>-4656085.2320451029</v>
      </c>
      <c r="S222">
        <f t="shared" si="962"/>
        <v>-46.560852320451026</v>
      </c>
      <c r="T222">
        <f t="shared" si="963"/>
        <v>-4.6560852320451027E-2</v>
      </c>
    </row>
    <row r="223" spans="1:20" x14ac:dyDescent="0.25">
      <c r="A223" s="5">
        <v>44370</v>
      </c>
      <c r="B223">
        <v>11.981</v>
      </c>
      <c r="C223">
        <v>13.39</v>
      </c>
      <c r="D223">
        <v>11.116</v>
      </c>
      <c r="E223">
        <v>11.784000000000001</v>
      </c>
      <c r="F223">
        <v>542818</v>
      </c>
      <c r="G223">
        <v>-1.64</v>
      </c>
      <c r="L223" t="s">
        <v>8</v>
      </c>
      <c r="M223" t="s">
        <v>8</v>
      </c>
      <c r="N223" t="s">
        <v>7</v>
      </c>
      <c r="P223">
        <f t="shared" si="959"/>
        <v>-0.41248900615655165</v>
      </c>
      <c r="Q223">
        <f t="shared" si="960"/>
        <v>-223906.45734388704</v>
      </c>
      <c r="R223">
        <f t="shared" si="961"/>
        <v>-4557536.9631715398</v>
      </c>
      <c r="S223">
        <f t="shared" si="962"/>
        <v>-45.575369631715397</v>
      </c>
      <c r="T223">
        <f t="shared" si="963"/>
        <v>-4.55753696317154E-2</v>
      </c>
    </row>
    <row r="224" spans="1:20" x14ac:dyDescent="0.25">
      <c r="A224" s="5">
        <v>44369</v>
      </c>
      <c r="B224">
        <v>13.523999999999999</v>
      </c>
      <c r="C224">
        <v>14.766999999999999</v>
      </c>
      <c r="D224">
        <v>10.935</v>
      </c>
      <c r="E224">
        <v>12.032999999999999</v>
      </c>
      <c r="F224">
        <v>464202.17</v>
      </c>
      <c r="G224">
        <v>-11.02</v>
      </c>
      <c r="L224" t="s">
        <v>7</v>
      </c>
      <c r="M224" t="s">
        <v>7</v>
      </c>
      <c r="N224" t="s">
        <v>7</v>
      </c>
      <c r="P224">
        <f t="shared" si="959"/>
        <v>-0.42693110647181665</v>
      </c>
      <c r="Q224">
        <f t="shared" si="960"/>
        <v>-198182.34606471832</v>
      </c>
      <c r="R224">
        <f t="shared" si="961"/>
        <v>-4333630.5058276532</v>
      </c>
      <c r="S224">
        <f t="shared" si="962"/>
        <v>-43.33630505827653</v>
      </c>
      <c r="T224">
        <f t="shared" si="963"/>
        <v>-4.3336305058276528E-2</v>
      </c>
    </row>
    <row r="225" spans="1:20" x14ac:dyDescent="0.25">
      <c r="A225" s="5">
        <v>44368</v>
      </c>
      <c r="B225">
        <v>18.427</v>
      </c>
      <c r="C225">
        <v>18.436</v>
      </c>
      <c r="D225">
        <v>13.198</v>
      </c>
      <c r="E225">
        <v>13.529</v>
      </c>
      <c r="F225">
        <v>388456.29</v>
      </c>
      <c r="G225">
        <v>-26.58</v>
      </c>
      <c r="L225" t="s">
        <v>7</v>
      </c>
      <c r="M225" t="s">
        <v>7</v>
      </c>
      <c r="N225" t="s">
        <v>7</v>
      </c>
      <c r="P225">
        <f t="shared" si="959"/>
        <v>-0.87361588392516243</v>
      </c>
      <c r="Q225">
        <f t="shared" si="960"/>
        <v>-339361.58515463921</v>
      </c>
      <c r="R225">
        <f t="shared" si="961"/>
        <v>-4135448.1597629348</v>
      </c>
      <c r="S225">
        <f t="shared" si="962"/>
        <v>-41.354481597629345</v>
      </c>
      <c r="T225">
        <f t="shared" si="963"/>
        <v>-4.1354481597629347E-2</v>
      </c>
    </row>
    <row r="226" spans="1:20" x14ac:dyDescent="0.25">
      <c r="A226" s="5">
        <v>44367</v>
      </c>
      <c r="B226">
        <v>17.375</v>
      </c>
      <c r="C226">
        <v>19.309999999999999</v>
      </c>
      <c r="D226">
        <v>15.41</v>
      </c>
      <c r="E226">
        <v>18.428999999999998</v>
      </c>
      <c r="F226">
        <v>615632.4</v>
      </c>
      <c r="G226">
        <v>6.07</v>
      </c>
      <c r="L226" t="s">
        <v>8</v>
      </c>
      <c r="M226" t="s">
        <v>8</v>
      </c>
      <c r="N226" t="s">
        <v>8</v>
      </c>
      <c r="P226">
        <f t="shared" si="959"/>
        <v>0.5482051282051279</v>
      </c>
      <c r="Q226">
        <f t="shared" si="960"/>
        <v>337492.83876923058</v>
      </c>
      <c r="R226">
        <f t="shared" si="961"/>
        <v>-3796086.5746082957</v>
      </c>
      <c r="S226">
        <f t="shared" si="962"/>
        <v>-37.960865746082959</v>
      </c>
      <c r="T226">
        <f t="shared" si="963"/>
        <v>-3.7960865746082956E-2</v>
      </c>
    </row>
    <row r="227" spans="1:20" x14ac:dyDescent="0.25">
      <c r="A227" s="5">
        <v>44366</v>
      </c>
      <c r="B227">
        <v>15.673999999999999</v>
      </c>
      <c r="C227">
        <v>17.998000000000001</v>
      </c>
      <c r="D227">
        <v>15.368</v>
      </c>
      <c r="E227">
        <v>17.372</v>
      </c>
      <c r="F227">
        <v>297512.45</v>
      </c>
      <c r="G227">
        <v>10.83</v>
      </c>
      <c r="L227" t="s">
        <v>8</v>
      </c>
      <c r="M227" t="s">
        <v>8</v>
      </c>
      <c r="N227" t="s">
        <v>7</v>
      </c>
      <c r="P227">
        <f t="shared" si="959"/>
        <v>0.52395437262357336</v>
      </c>
      <c r="Q227">
        <f t="shared" si="960"/>
        <v>155882.94908745223</v>
      </c>
      <c r="R227">
        <f t="shared" si="961"/>
        <v>-4133579.4133775262</v>
      </c>
      <c r="S227">
        <f t="shared" si="962"/>
        <v>-41.335794133775259</v>
      </c>
      <c r="T227">
        <f t="shared" si="963"/>
        <v>-4.1335794133775257E-2</v>
      </c>
    </row>
    <row r="228" spans="1:20" x14ac:dyDescent="0.25">
      <c r="A228" s="5">
        <v>44365</v>
      </c>
      <c r="B228">
        <v>16.154</v>
      </c>
      <c r="C228">
        <v>17.484999999999999</v>
      </c>
      <c r="D228">
        <v>15</v>
      </c>
      <c r="E228">
        <v>15.685</v>
      </c>
      <c r="F228">
        <v>332994.94</v>
      </c>
      <c r="G228">
        <v>-2.9</v>
      </c>
      <c r="L228" t="s">
        <v>8</v>
      </c>
      <c r="M228" t="s">
        <v>8</v>
      </c>
      <c r="N228" t="s">
        <v>7</v>
      </c>
      <c r="P228">
        <f t="shared" si="959"/>
        <v>-0.44869215291750453</v>
      </c>
      <c r="Q228">
        <f t="shared" si="960"/>
        <v>-149412.21653923523</v>
      </c>
      <c r="R228">
        <f t="shared" si="961"/>
        <v>-4289462.3624649784</v>
      </c>
      <c r="S228">
        <f t="shared" si="962"/>
        <v>-42.894623624649782</v>
      </c>
      <c r="T228">
        <f t="shared" si="963"/>
        <v>-4.2894623624649783E-2</v>
      </c>
    </row>
    <row r="229" spans="1:20" x14ac:dyDescent="0.25">
      <c r="A229" s="5">
        <v>44364</v>
      </c>
      <c r="B229">
        <v>15.029</v>
      </c>
      <c r="C229">
        <v>16.917999999999999</v>
      </c>
      <c r="D229">
        <v>14.794</v>
      </c>
      <c r="E229">
        <v>16.186</v>
      </c>
      <c r="F229">
        <v>170905.46</v>
      </c>
      <c r="G229">
        <v>7.7</v>
      </c>
      <c r="L229" t="s">
        <v>8</v>
      </c>
      <c r="M229" t="s">
        <v>7</v>
      </c>
      <c r="N229" t="s">
        <v>7</v>
      </c>
      <c r="P229">
        <f t="shared" si="959"/>
        <v>0.3107344632768364</v>
      </c>
      <c r="Q229">
        <f t="shared" si="960"/>
        <v>53106.216384180829</v>
      </c>
      <c r="R229">
        <f t="shared" si="961"/>
        <v>-4140050.145925743</v>
      </c>
      <c r="S229">
        <f t="shared" si="962"/>
        <v>-41.400501459257427</v>
      </c>
      <c r="T229">
        <f t="shared" si="963"/>
        <v>-4.140050145925743E-2</v>
      </c>
    </row>
    <row r="230" spans="1:20" x14ac:dyDescent="0.25">
      <c r="A230" s="5">
        <v>44363</v>
      </c>
      <c r="B230">
        <v>15.933999999999999</v>
      </c>
      <c r="C230">
        <v>16</v>
      </c>
      <c r="D230">
        <v>14.62</v>
      </c>
      <c r="E230">
        <v>15.029</v>
      </c>
      <c r="F230">
        <v>159426.51999999999</v>
      </c>
      <c r="G230">
        <v>-5.68</v>
      </c>
      <c r="L230" t="s">
        <v>7</v>
      </c>
      <c r="M230" t="s">
        <v>7</v>
      </c>
      <c r="N230" t="s">
        <v>7</v>
      </c>
      <c r="P230">
        <f t="shared" si="959"/>
        <v>-0.40724637681159354</v>
      </c>
      <c r="Q230">
        <f t="shared" si="960"/>
        <v>-64925.872637681052</v>
      </c>
      <c r="R230">
        <f t="shared" si="961"/>
        <v>-4193156.3623099239</v>
      </c>
      <c r="S230">
        <f t="shared" si="962"/>
        <v>-41.931563623099237</v>
      </c>
      <c r="T230">
        <f t="shared" si="963"/>
        <v>-4.1931563623099237E-2</v>
      </c>
    </row>
    <row r="231" spans="1:20" x14ac:dyDescent="0.25">
      <c r="A231" s="5">
        <v>44362</v>
      </c>
      <c r="B231">
        <v>16.2</v>
      </c>
      <c r="C231">
        <v>16.86</v>
      </c>
      <c r="D231">
        <v>15.749000000000001</v>
      </c>
      <c r="E231">
        <v>15.898</v>
      </c>
      <c r="F231">
        <v>140130.37</v>
      </c>
      <c r="G231">
        <v>-1.86</v>
      </c>
      <c r="L231" t="s">
        <v>8</v>
      </c>
      <c r="M231" t="s">
        <v>8</v>
      </c>
      <c r="N231" t="s">
        <v>7</v>
      </c>
      <c r="P231">
        <f t="shared" si="959"/>
        <v>-0.73177317731773306</v>
      </c>
      <c r="Q231">
        <f t="shared" si="960"/>
        <v>-102543.64609360954</v>
      </c>
      <c r="R231">
        <f t="shared" si="961"/>
        <v>-4128230.4896722427</v>
      </c>
      <c r="S231">
        <f t="shared" si="962"/>
        <v>-41.28230489672243</v>
      </c>
      <c r="T231">
        <f t="shared" si="963"/>
        <v>-4.1282304896722431E-2</v>
      </c>
    </row>
    <row r="232" spans="1:20" x14ac:dyDescent="0.25">
      <c r="A232" s="5">
        <v>44361</v>
      </c>
      <c r="B232">
        <v>15.871</v>
      </c>
      <c r="C232">
        <v>16.785</v>
      </c>
      <c r="D232">
        <v>15.035</v>
      </c>
      <c r="E232">
        <v>16.2</v>
      </c>
      <c r="F232">
        <v>209100.41</v>
      </c>
      <c r="G232">
        <v>2.0699999999999998</v>
      </c>
      <c r="L232" t="s">
        <v>8</v>
      </c>
      <c r="M232" t="s">
        <v>8</v>
      </c>
      <c r="N232" t="s">
        <v>7</v>
      </c>
      <c r="P232">
        <f t="shared" si="959"/>
        <v>0.33142857142857046</v>
      </c>
      <c r="Q232">
        <f t="shared" si="960"/>
        <v>69301.850171428378</v>
      </c>
      <c r="R232">
        <f t="shared" si="961"/>
        <v>-4025686.8435786329</v>
      </c>
      <c r="S232">
        <f t="shared" si="962"/>
        <v>-40.25686843578633</v>
      </c>
      <c r="T232">
        <f t="shared" si="963"/>
        <v>-4.0256868435786332E-2</v>
      </c>
    </row>
    <row r="233" spans="1:20" x14ac:dyDescent="0.25">
      <c r="A233" s="5">
        <v>44360</v>
      </c>
      <c r="B233">
        <v>14.654</v>
      </c>
      <c r="C233">
        <v>17.279</v>
      </c>
      <c r="D233">
        <v>13.547000000000001</v>
      </c>
      <c r="E233">
        <v>15.802</v>
      </c>
      <c r="F233">
        <v>322746.49</v>
      </c>
      <c r="G233">
        <v>7.83</v>
      </c>
      <c r="L233" t="s">
        <v>7</v>
      </c>
      <c r="M233" t="s">
        <v>8</v>
      </c>
      <c r="N233" t="s">
        <v>7</v>
      </c>
      <c r="P233">
        <f t="shared" si="959"/>
        <v>0.20846730975348307</v>
      </c>
      <c r="Q233">
        <f t="shared" si="960"/>
        <v>67282.092502679428</v>
      </c>
      <c r="R233">
        <f t="shared" si="961"/>
        <v>-4094988.6937500611</v>
      </c>
      <c r="S233">
        <f t="shared" si="962"/>
        <v>-40.949886937500608</v>
      </c>
      <c r="T233">
        <f t="shared" si="963"/>
        <v>-4.094988693750061E-2</v>
      </c>
    </row>
    <row r="234" spans="1:20" x14ac:dyDescent="0.25">
      <c r="A234" s="5">
        <v>44359</v>
      </c>
      <c r="B234">
        <v>15.589</v>
      </c>
      <c r="C234">
        <v>15.641</v>
      </c>
      <c r="D234">
        <v>13.885999999999999</v>
      </c>
      <c r="E234">
        <v>14.654</v>
      </c>
      <c r="F234">
        <v>239442.72</v>
      </c>
      <c r="G234">
        <v>-6</v>
      </c>
      <c r="L234" t="s">
        <v>7</v>
      </c>
      <c r="M234" t="s">
        <v>7</v>
      </c>
      <c r="N234" t="s">
        <v>7</v>
      </c>
      <c r="P234">
        <f t="shared" si="959"/>
        <v>-0.1247863247863244</v>
      </c>
      <c r="Q234">
        <f t="shared" si="960"/>
        <v>-29879.177025640933</v>
      </c>
      <c r="R234">
        <f t="shared" si="961"/>
        <v>-4162270.7862527403</v>
      </c>
      <c r="S234">
        <f t="shared" si="962"/>
        <v>-41.622707862527406</v>
      </c>
      <c r="T234">
        <f t="shared" si="963"/>
        <v>-4.1622707862527406E-2</v>
      </c>
    </row>
    <row r="235" spans="1:20" x14ac:dyDescent="0.25">
      <c r="A235" s="5">
        <v>44358</v>
      </c>
      <c r="B235">
        <v>16.585000000000001</v>
      </c>
      <c r="C235">
        <v>16.984999999999999</v>
      </c>
      <c r="D235">
        <v>15.11</v>
      </c>
      <c r="E235">
        <v>15.589</v>
      </c>
      <c r="F235">
        <v>255470.17</v>
      </c>
      <c r="G235">
        <v>-6.01</v>
      </c>
      <c r="L235" t="s">
        <v>7</v>
      </c>
      <c r="M235" t="s">
        <v>7</v>
      </c>
      <c r="N235" t="s">
        <v>7</v>
      </c>
      <c r="P235">
        <f t="shared" si="959"/>
        <v>-0.48906666666666559</v>
      </c>
      <c r="Q235">
        <f t="shared" si="960"/>
        <v>-124941.94447466639</v>
      </c>
      <c r="R235">
        <f t="shared" si="961"/>
        <v>-4132391.6092270995</v>
      </c>
      <c r="S235">
        <f t="shared" si="962"/>
        <v>-41.323916092270991</v>
      </c>
      <c r="T235">
        <f t="shared" si="963"/>
        <v>-4.1323916092270992E-2</v>
      </c>
    </row>
    <row r="236" spans="1:20" x14ac:dyDescent="0.25">
      <c r="A236" s="5">
        <v>44357</v>
      </c>
      <c r="B236">
        <v>18.038</v>
      </c>
      <c r="C236">
        <v>19.420000000000002</v>
      </c>
      <c r="D236">
        <v>16.498999999999999</v>
      </c>
      <c r="E236">
        <v>16.667999999999999</v>
      </c>
      <c r="F236">
        <v>363455.19</v>
      </c>
      <c r="G236">
        <v>-7.6</v>
      </c>
      <c r="L236" t="s">
        <v>8</v>
      </c>
      <c r="M236" t="s">
        <v>8</v>
      </c>
      <c r="N236" t="s">
        <v>7</v>
      </c>
      <c r="P236">
        <f t="shared" si="959"/>
        <v>-0.88428620335501518</v>
      </c>
      <c r="Q236">
        <f t="shared" si="960"/>
        <v>-321398.41005477565</v>
      </c>
      <c r="R236">
        <f t="shared" si="961"/>
        <v>-4007449.6647524331</v>
      </c>
      <c r="S236">
        <f t="shared" si="962"/>
        <v>-40.074496647524327</v>
      </c>
      <c r="T236">
        <f t="shared" si="963"/>
        <v>-4.0074496647524327E-2</v>
      </c>
    </row>
    <row r="237" spans="1:20" x14ac:dyDescent="0.25">
      <c r="A237" s="5">
        <v>44356</v>
      </c>
      <c r="B237">
        <v>17.013999999999999</v>
      </c>
      <c r="C237">
        <v>18.751999999999999</v>
      </c>
      <c r="D237">
        <v>15.5</v>
      </c>
      <c r="E237">
        <v>18</v>
      </c>
      <c r="F237">
        <v>591139.46</v>
      </c>
      <c r="G237">
        <v>5.8</v>
      </c>
      <c r="L237" t="s">
        <v>8</v>
      </c>
      <c r="M237" t="s">
        <v>8</v>
      </c>
      <c r="N237" t="s">
        <v>7</v>
      </c>
      <c r="P237">
        <f t="shared" si="959"/>
        <v>0.53751537515375203</v>
      </c>
      <c r="Q237">
        <f t="shared" si="960"/>
        <v>317746.54861008638</v>
      </c>
      <c r="R237">
        <f t="shared" si="961"/>
        <v>-3686051.2546976572</v>
      </c>
      <c r="S237">
        <f t="shared" si="962"/>
        <v>-36.860512546976572</v>
      </c>
      <c r="T237">
        <f t="shared" si="963"/>
        <v>-3.6860512546976573E-2</v>
      </c>
    </row>
    <row r="238" spans="1:20" x14ac:dyDescent="0.25">
      <c r="A238" s="5">
        <v>44355</v>
      </c>
      <c r="B238">
        <v>17.398</v>
      </c>
      <c r="C238">
        <v>21.431000000000001</v>
      </c>
      <c r="D238">
        <v>15.459</v>
      </c>
      <c r="E238">
        <v>17.082999999999998</v>
      </c>
      <c r="F238">
        <v>1717805.46</v>
      </c>
      <c r="G238">
        <v>-1.81</v>
      </c>
      <c r="L238" t="s">
        <v>7</v>
      </c>
      <c r="M238" t="s">
        <v>7</v>
      </c>
      <c r="N238" t="s">
        <v>7</v>
      </c>
      <c r="P238">
        <f t="shared" si="959"/>
        <v>-0.45612860013395901</v>
      </c>
      <c r="Q238">
        <f t="shared" si="960"/>
        <v>-783540.19977227144</v>
      </c>
      <c r="R238">
        <f t="shared" si="961"/>
        <v>-4003797.8033077437</v>
      </c>
      <c r="S238">
        <f t="shared" si="962"/>
        <v>-40.037978033077437</v>
      </c>
      <c r="T238">
        <f t="shared" si="963"/>
        <v>-4.0037978033077438E-2</v>
      </c>
    </row>
    <row r="239" spans="1:20" x14ac:dyDescent="0.25">
      <c r="A239" s="5">
        <v>44354</v>
      </c>
      <c r="B239">
        <v>15.661</v>
      </c>
      <c r="C239">
        <v>22.375</v>
      </c>
      <c r="D239">
        <v>15.439</v>
      </c>
      <c r="E239">
        <v>17.460999999999999</v>
      </c>
      <c r="F239">
        <v>1264759.3</v>
      </c>
      <c r="G239">
        <v>11.49</v>
      </c>
      <c r="L239" t="s">
        <v>8</v>
      </c>
      <c r="M239" t="s">
        <v>8</v>
      </c>
      <c r="N239" t="s">
        <v>8</v>
      </c>
      <c r="P239">
        <f t="shared" si="959"/>
        <v>-0.41695501730103851</v>
      </c>
      <c r="Q239">
        <f t="shared" si="960"/>
        <v>-527347.73581314937</v>
      </c>
      <c r="R239">
        <f t="shared" si="961"/>
        <v>-3220257.6035354724</v>
      </c>
      <c r="S239">
        <f t="shared" si="962"/>
        <v>-32.202576035354724</v>
      </c>
      <c r="T239">
        <f t="shared" si="963"/>
        <v>-3.2202576035354723E-2</v>
      </c>
    </row>
    <row r="240" spans="1:20" x14ac:dyDescent="0.25">
      <c r="A240" s="5">
        <v>44353</v>
      </c>
      <c r="B240">
        <v>15.374000000000001</v>
      </c>
      <c r="C240">
        <v>16.364999999999998</v>
      </c>
      <c r="D240">
        <v>15.173999999999999</v>
      </c>
      <c r="E240">
        <v>15.656000000000001</v>
      </c>
      <c r="F240">
        <v>84395.55</v>
      </c>
      <c r="G240">
        <v>1.83</v>
      </c>
      <c r="L240" t="s">
        <v>8</v>
      </c>
      <c r="M240" t="s">
        <v>7</v>
      </c>
      <c r="N240" t="s">
        <v>8</v>
      </c>
      <c r="P240">
        <f t="shared" si="959"/>
        <v>-0.1905961376994097</v>
      </c>
      <c r="Q240">
        <f t="shared" si="960"/>
        <v>-16085.465869017416</v>
      </c>
      <c r="R240">
        <f t="shared" si="961"/>
        <v>-2692909.8677223232</v>
      </c>
      <c r="S240">
        <f t="shared" si="962"/>
        <v>-26.92909867722323</v>
      </c>
      <c r="T240">
        <f t="shared" si="963"/>
        <v>-2.6929098677223231E-2</v>
      </c>
    </row>
    <row r="241" spans="1:20" x14ac:dyDescent="0.25">
      <c r="A241" s="5">
        <v>44352</v>
      </c>
      <c r="B241">
        <v>15.996</v>
      </c>
      <c r="C241">
        <v>17.5</v>
      </c>
      <c r="D241">
        <v>14.9</v>
      </c>
      <c r="E241">
        <v>15.374000000000001</v>
      </c>
      <c r="F241">
        <v>166930.88</v>
      </c>
      <c r="G241">
        <v>-3.89</v>
      </c>
      <c r="L241" t="s">
        <v>7</v>
      </c>
      <c r="M241" t="s">
        <v>7</v>
      </c>
      <c r="N241" t="s">
        <v>8</v>
      </c>
      <c r="P241">
        <f t="shared" si="959"/>
        <v>-0.63538461538461521</v>
      </c>
      <c r="Q241">
        <f t="shared" si="960"/>
        <v>-106065.31298461536</v>
      </c>
      <c r="R241">
        <f t="shared" si="961"/>
        <v>-2676824.4018533058</v>
      </c>
      <c r="S241">
        <f t="shared" si="962"/>
        <v>-26.768244018533057</v>
      </c>
      <c r="T241">
        <f t="shared" si="963"/>
        <v>-2.6768244018533057E-2</v>
      </c>
    </row>
    <row r="242" spans="1:20" x14ac:dyDescent="0.25">
      <c r="A242" s="5">
        <v>44351</v>
      </c>
      <c r="B242">
        <v>18.702000000000002</v>
      </c>
      <c r="C242">
        <v>20</v>
      </c>
      <c r="D242">
        <v>15.047000000000001</v>
      </c>
      <c r="E242">
        <v>15.987</v>
      </c>
      <c r="F242">
        <v>396983.91</v>
      </c>
      <c r="G242">
        <v>-14.52</v>
      </c>
      <c r="L242" t="s">
        <v>8</v>
      </c>
      <c r="M242" t="s">
        <v>8</v>
      </c>
      <c r="N242" t="s">
        <v>8</v>
      </c>
      <c r="P242">
        <f t="shared" si="959"/>
        <v>-0.6204320613769434</v>
      </c>
      <c r="Q242">
        <f t="shared" si="960"/>
        <v>-246301.54561477897</v>
      </c>
      <c r="R242">
        <f t="shared" si="961"/>
        <v>-2570759.0888686902</v>
      </c>
      <c r="S242">
        <f t="shared" si="962"/>
        <v>-25.707590888686902</v>
      </c>
      <c r="T242">
        <f t="shared" si="963"/>
        <v>-2.5707590888686901E-2</v>
      </c>
    </row>
    <row r="243" spans="1:20" x14ac:dyDescent="0.25">
      <c r="A243" s="5">
        <v>44350</v>
      </c>
      <c r="B243">
        <v>16.885000000000002</v>
      </c>
      <c r="C243">
        <v>18.777999999999999</v>
      </c>
      <c r="D243">
        <v>16</v>
      </c>
      <c r="E243">
        <v>18.704000000000001</v>
      </c>
      <c r="F243">
        <v>237536.57</v>
      </c>
      <c r="G243">
        <v>10.77</v>
      </c>
      <c r="L243" t="s">
        <v>8</v>
      </c>
      <c r="M243" t="s">
        <v>8</v>
      </c>
      <c r="N243" t="s">
        <v>8</v>
      </c>
      <c r="P243">
        <f t="shared" si="959"/>
        <v>0.94672426205903659</v>
      </c>
      <c r="Q243">
        <f t="shared" si="960"/>
        <v>224881.6339452847</v>
      </c>
      <c r="R243">
        <f t="shared" si="961"/>
        <v>-2324457.5432539112</v>
      </c>
      <c r="S243">
        <f t="shared" si="962"/>
        <v>-23.244575432539111</v>
      </c>
      <c r="T243">
        <f t="shared" si="963"/>
        <v>-2.3244575432539112E-2</v>
      </c>
    </row>
    <row r="244" spans="1:20" x14ac:dyDescent="0.25">
      <c r="A244" s="5">
        <v>44349</v>
      </c>
      <c r="B244">
        <v>15.456</v>
      </c>
      <c r="C244">
        <v>17.652999999999999</v>
      </c>
      <c r="D244">
        <v>15.081</v>
      </c>
      <c r="E244">
        <v>16.885000000000002</v>
      </c>
      <c r="F244">
        <v>177735.46</v>
      </c>
      <c r="G244">
        <v>9.25</v>
      </c>
      <c r="L244" t="s">
        <v>8</v>
      </c>
      <c r="M244" t="s">
        <v>8</v>
      </c>
      <c r="N244" t="s">
        <v>8</v>
      </c>
      <c r="P244">
        <f t="shared" si="959"/>
        <v>0.40279937791602072</v>
      </c>
      <c r="Q244">
        <f t="shared" si="960"/>
        <v>71591.73272161778</v>
      </c>
      <c r="R244">
        <f t="shared" si="961"/>
        <v>-2549339.1771991961</v>
      </c>
      <c r="S244">
        <f t="shared" si="962"/>
        <v>-25.493391771991959</v>
      </c>
      <c r="T244">
        <f t="shared" si="963"/>
        <v>-2.5493391771991961E-2</v>
      </c>
    </row>
    <row r="245" spans="1:20" x14ac:dyDescent="0.25">
      <c r="A245" s="5">
        <v>44348</v>
      </c>
      <c r="B245">
        <v>15.304</v>
      </c>
      <c r="C245">
        <v>17.129000000000001</v>
      </c>
      <c r="D245">
        <v>14.605</v>
      </c>
      <c r="E245">
        <v>15.462</v>
      </c>
      <c r="F245">
        <v>242486.78</v>
      </c>
      <c r="G245">
        <v>1.03</v>
      </c>
      <c r="L245" t="s">
        <v>8</v>
      </c>
      <c r="M245" t="s">
        <v>8</v>
      </c>
      <c r="N245" t="s">
        <v>8</v>
      </c>
      <c r="P245">
        <f t="shared" si="959"/>
        <v>-0.32091917591125274</v>
      </c>
      <c r="Q245">
        <f t="shared" si="960"/>
        <v>-77818.65760697324</v>
      </c>
      <c r="R245">
        <f t="shared" si="961"/>
        <v>-2620930.909920814</v>
      </c>
      <c r="S245">
        <f t="shared" si="962"/>
        <v>-26.209309099208141</v>
      </c>
      <c r="T245">
        <f t="shared" si="963"/>
        <v>-2.6209309099208142E-2</v>
      </c>
    </row>
    <row r="246" spans="1:20" x14ac:dyDescent="0.25">
      <c r="A246" s="5">
        <v>44347</v>
      </c>
      <c r="B246">
        <v>14.111000000000001</v>
      </c>
      <c r="C246">
        <v>15.304</v>
      </c>
      <c r="D246">
        <v>12.481</v>
      </c>
      <c r="E246">
        <v>15.304</v>
      </c>
      <c r="F246">
        <v>192736.31</v>
      </c>
      <c r="G246">
        <v>8.4499999999999993</v>
      </c>
      <c r="L246" t="s">
        <v>7</v>
      </c>
      <c r="M246" t="s">
        <v>7</v>
      </c>
      <c r="N246" t="s">
        <v>7</v>
      </c>
      <c r="P246">
        <f t="shared" si="959"/>
        <v>1</v>
      </c>
      <c r="Q246">
        <f t="shared" si="960"/>
        <v>192736.31</v>
      </c>
      <c r="R246">
        <f t="shared" si="961"/>
        <v>-2543112.2523138407</v>
      </c>
      <c r="S246">
        <f t="shared" si="962"/>
        <v>-25.431122523138406</v>
      </c>
      <c r="T246">
        <f t="shared" si="963"/>
        <v>-2.5431122523138405E-2</v>
      </c>
    </row>
    <row r="247" spans="1:20" x14ac:dyDescent="0.25">
      <c r="A247" s="5">
        <v>44346</v>
      </c>
      <c r="B247">
        <v>12.75</v>
      </c>
      <c r="C247">
        <v>15.253</v>
      </c>
      <c r="D247">
        <v>12.176</v>
      </c>
      <c r="E247">
        <v>14.225</v>
      </c>
      <c r="F247">
        <v>160359.57999999999</v>
      </c>
      <c r="G247">
        <v>11.57</v>
      </c>
      <c r="L247" t="s">
        <v>8</v>
      </c>
      <c r="M247" t="s">
        <v>8</v>
      </c>
      <c r="N247" t="s">
        <v>7</v>
      </c>
      <c r="P247">
        <f t="shared" si="959"/>
        <v>0.3318167045823851</v>
      </c>
      <c r="Q247">
        <f t="shared" si="960"/>
        <v>53209.987383815343</v>
      </c>
      <c r="R247">
        <f t="shared" si="961"/>
        <v>-2735848.5623138407</v>
      </c>
      <c r="S247">
        <f t="shared" si="962"/>
        <v>-27.358485623138407</v>
      </c>
      <c r="T247">
        <f t="shared" si="963"/>
        <v>-2.7358485623138407E-2</v>
      </c>
    </row>
    <row r="248" spans="1:20" x14ac:dyDescent="0.25">
      <c r="A248" s="5">
        <v>44345</v>
      </c>
      <c r="B248">
        <v>14.612</v>
      </c>
      <c r="C248">
        <v>16.152999999999999</v>
      </c>
      <c r="D248">
        <v>11.813000000000001</v>
      </c>
      <c r="E248">
        <v>12.75</v>
      </c>
      <c r="F248">
        <v>342815.81</v>
      </c>
      <c r="G248">
        <v>-12.74</v>
      </c>
      <c r="L248" t="s">
        <v>7</v>
      </c>
      <c r="M248" t="s">
        <v>7</v>
      </c>
      <c r="N248" t="s">
        <v>7</v>
      </c>
      <c r="P248">
        <f t="shared" si="959"/>
        <v>-0.56820276497695865</v>
      </c>
      <c r="Q248">
        <f t="shared" si="960"/>
        <v>-194788.8911198157</v>
      </c>
      <c r="R248">
        <f t="shared" si="961"/>
        <v>-2789058.5496976562</v>
      </c>
      <c r="S248">
        <f t="shared" si="962"/>
        <v>-27.890585496976563</v>
      </c>
      <c r="T248">
        <f t="shared" si="963"/>
        <v>-2.7890585496976563E-2</v>
      </c>
    </row>
    <row r="249" spans="1:20" x14ac:dyDescent="0.25">
      <c r="A249" s="5">
        <v>44344</v>
      </c>
      <c r="B249">
        <v>15.551</v>
      </c>
      <c r="C249">
        <v>15.664</v>
      </c>
      <c r="D249">
        <v>13.03</v>
      </c>
      <c r="E249">
        <v>14.602</v>
      </c>
      <c r="F249">
        <v>274979.63</v>
      </c>
      <c r="G249">
        <v>-6.1</v>
      </c>
      <c r="L249" t="s">
        <v>7</v>
      </c>
      <c r="M249" t="s">
        <v>7</v>
      </c>
      <c r="N249" t="s">
        <v>7</v>
      </c>
      <c r="P249">
        <f t="shared" si="959"/>
        <v>0.19362186788154953</v>
      </c>
      <c r="Q249">
        <f t="shared" si="960"/>
        <v>53242.069589977378</v>
      </c>
      <c r="R249">
        <f t="shared" si="961"/>
        <v>-2594269.6585778403</v>
      </c>
      <c r="S249">
        <f t="shared" si="962"/>
        <v>-25.942696585778403</v>
      </c>
      <c r="T249">
        <f t="shared" si="963"/>
        <v>-2.5942696585778403E-2</v>
      </c>
    </row>
    <row r="250" spans="1:20" x14ac:dyDescent="0.25">
      <c r="A250" s="5">
        <v>44343</v>
      </c>
      <c r="B250">
        <v>17.495999999999999</v>
      </c>
      <c r="C250">
        <v>17.552</v>
      </c>
      <c r="D250">
        <v>15.106</v>
      </c>
      <c r="E250">
        <v>15.55</v>
      </c>
      <c r="F250">
        <v>239152.28</v>
      </c>
      <c r="G250">
        <v>-11.12</v>
      </c>
      <c r="L250" t="s">
        <v>7</v>
      </c>
      <c r="M250" t="s">
        <v>7</v>
      </c>
      <c r="N250" t="s">
        <v>8</v>
      </c>
      <c r="P250">
        <f t="shared" si="959"/>
        <v>-0.63695829926410397</v>
      </c>
      <c r="Q250">
        <f t="shared" si="960"/>
        <v>-152330.02953393277</v>
      </c>
      <c r="R250">
        <f t="shared" si="961"/>
        <v>-2647511.7281678175</v>
      </c>
      <c r="S250">
        <f t="shared" si="962"/>
        <v>-26.475117281678173</v>
      </c>
      <c r="T250">
        <f t="shared" si="963"/>
        <v>-2.6475117281678173E-2</v>
      </c>
    </row>
    <row r="251" spans="1:20" x14ac:dyDescent="0.25">
      <c r="A251" s="5">
        <v>44342</v>
      </c>
      <c r="B251">
        <v>14.785</v>
      </c>
      <c r="C251">
        <v>18.89</v>
      </c>
      <c r="D251">
        <v>14.725</v>
      </c>
      <c r="E251">
        <v>17.631</v>
      </c>
      <c r="F251">
        <v>255550.73</v>
      </c>
      <c r="G251">
        <v>19.25</v>
      </c>
      <c r="L251" t="s">
        <v>8</v>
      </c>
      <c r="M251" t="s">
        <v>8</v>
      </c>
      <c r="N251" t="s">
        <v>8</v>
      </c>
      <c r="P251">
        <f t="shared" si="959"/>
        <v>0.39543817527010799</v>
      </c>
      <c r="Q251">
        <f t="shared" si="960"/>
        <v>101054.51436014405</v>
      </c>
      <c r="R251">
        <f t="shared" si="961"/>
        <v>-2495181.6986338845</v>
      </c>
      <c r="S251">
        <f t="shared" si="962"/>
        <v>-24.951816986338844</v>
      </c>
      <c r="T251">
        <f t="shared" si="963"/>
        <v>-2.4951816986338846E-2</v>
      </c>
    </row>
    <row r="252" spans="1:20" x14ac:dyDescent="0.25">
      <c r="A252" s="5">
        <v>44341</v>
      </c>
      <c r="B252">
        <v>15.205</v>
      </c>
      <c r="C252">
        <v>15.715</v>
      </c>
      <c r="D252">
        <v>12.75</v>
      </c>
      <c r="E252">
        <v>14.78</v>
      </c>
      <c r="F252">
        <v>328269.31</v>
      </c>
      <c r="G252">
        <v>-2.8</v>
      </c>
      <c r="L252" t="s">
        <v>7</v>
      </c>
      <c r="M252" t="s">
        <v>7</v>
      </c>
      <c r="N252" t="s">
        <v>8</v>
      </c>
      <c r="P252">
        <f t="shared" si="959"/>
        <v>0.36930860033726776</v>
      </c>
      <c r="Q252">
        <f t="shared" si="960"/>
        <v>121232.67940978066</v>
      </c>
      <c r="R252">
        <f t="shared" si="961"/>
        <v>-2596236.2129940288</v>
      </c>
      <c r="S252">
        <f t="shared" si="962"/>
        <v>-25.962362129940288</v>
      </c>
      <c r="T252">
        <f t="shared" si="963"/>
        <v>-2.5962362129940287E-2</v>
      </c>
    </row>
    <row r="253" spans="1:20" x14ac:dyDescent="0.25">
      <c r="A253" s="5">
        <v>44340</v>
      </c>
      <c r="B253">
        <v>13.336</v>
      </c>
      <c r="C253">
        <v>15.75</v>
      </c>
      <c r="D253">
        <v>12.35</v>
      </c>
      <c r="E253">
        <v>15.124000000000001</v>
      </c>
      <c r="F253">
        <v>324527.73</v>
      </c>
      <c r="G253">
        <v>13.41</v>
      </c>
      <c r="L253" t="s">
        <v>8</v>
      </c>
      <c r="M253" t="s">
        <v>8</v>
      </c>
      <c r="N253" t="s">
        <v>8</v>
      </c>
      <c r="P253">
        <f t="shared" si="959"/>
        <v>0.63176470588235334</v>
      </c>
      <c r="Q253">
        <f t="shared" si="960"/>
        <v>205025.16589411776</v>
      </c>
      <c r="R253">
        <f t="shared" si="961"/>
        <v>-2717468.8924038094</v>
      </c>
      <c r="S253">
        <f t="shared" si="962"/>
        <v>-27.174688924038094</v>
      </c>
      <c r="T253">
        <f t="shared" si="963"/>
        <v>-2.7174688924038095E-2</v>
      </c>
    </row>
    <row r="254" spans="1:20" x14ac:dyDescent="0.25">
      <c r="A254" s="5">
        <v>44339</v>
      </c>
      <c r="B254">
        <v>14.247999999999999</v>
      </c>
      <c r="C254">
        <v>15</v>
      </c>
      <c r="D254">
        <v>9.9</v>
      </c>
      <c r="E254">
        <v>13.28</v>
      </c>
      <c r="F254">
        <v>279919.45</v>
      </c>
      <c r="G254">
        <v>-6.79</v>
      </c>
      <c r="L254" t="s">
        <v>7</v>
      </c>
      <c r="M254" t="s">
        <v>7</v>
      </c>
      <c r="N254" t="s">
        <v>7</v>
      </c>
      <c r="P254">
        <f t="shared" si="959"/>
        <v>0.32549019607843105</v>
      </c>
      <c r="Q254">
        <f t="shared" si="960"/>
        <v>91111.03666666658</v>
      </c>
      <c r="R254">
        <f t="shared" si="961"/>
        <v>-2922494.058297927</v>
      </c>
      <c r="S254">
        <f t="shared" si="962"/>
        <v>-29.224940582979269</v>
      </c>
      <c r="T254">
        <f t="shared" si="963"/>
        <v>-2.9224940582979267E-2</v>
      </c>
    </row>
    <row r="255" spans="1:20" x14ac:dyDescent="0.25">
      <c r="A255" s="5">
        <v>44338</v>
      </c>
      <c r="B255">
        <v>15.308999999999999</v>
      </c>
      <c r="C255">
        <v>16.8</v>
      </c>
      <c r="D255">
        <v>12.5</v>
      </c>
      <c r="E255">
        <v>14.263999999999999</v>
      </c>
      <c r="F255">
        <v>311117.44</v>
      </c>
      <c r="G255">
        <v>-6.83</v>
      </c>
      <c r="L255" t="s">
        <v>7</v>
      </c>
      <c r="M255" t="s">
        <v>7</v>
      </c>
      <c r="N255" t="s">
        <v>7</v>
      </c>
      <c r="P255">
        <f t="shared" si="959"/>
        <v>-0.17953488372093068</v>
      </c>
      <c r="Q255">
        <f t="shared" si="960"/>
        <v>-55856.433413953629</v>
      </c>
      <c r="R255">
        <f t="shared" si="961"/>
        <v>-3013605.0949645936</v>
      </c>
      <c r="S255">
        <f t="shared" si="962"/>
        <v>-30.136050949645938</v>
      </c>
      <c r="T255">
        <f t="shared" si="963"/>
        <v>-3.0136050949645939E-2</v>
      </c>
    </row>
    <row r="256" spans="1:20" x14ac:dyDescent="0.25">
      <c r="A256" s="5">
        <v>44337</v>
      </c>
      <c r="B256">
        <v>18.754999999999999</v>
      </c>
      <c r="C256">
        <v>20.89</v>
      </c>
      <c r="D256">
        <v>13.632999999999999</v>
      </c>
      <c r="E256">
        <v>15.375999999999999</v>
      </c>
      <c r="F256">
        <v>501008.02</v>
      </c>
      <c r="G256">
        <v>-18.02</v>
      </c>
      <c r="L256" t="s">
        <v>8</v>
      </c>
      <c r="M256" t="s">
        <v>8</v>
      </c>
      <c r="N256" t="s">
        <v>8</v>
      </c>
      <c r="P256">
        <f t="shared" si="959"/>
        <v>-0.51963621331128562</v>
      </c>
      <c r="Q256">
        <f t="shared" si="960"/>
        <v>-260341.91035138487</v>
      </c>
      <c r="R256">
        <f t="shared" si="961"/>
        <v>-2957748.6615506401</v>
      </c>
      <c r="S256">
        <f t="shared" si="962"/>
        <v>-29.577486615506402</v>
      </c>
      <c r="T256">
        <f t="shared" si="963"/>
        <v>-2.9577486615506403E-2</v>
      </c>
    </row>
    <row r="257" spans="1:20" x14ac:dyDescent="0.25">
      <c r="A257" s="5">
        <v>44336</v>
      </c>
      <c r="B257">
        <v>16.478999999999999</v>
      </c>
      <c r="C257">
        <v>18.888999999999999</v>
      </c>
      <c r="D257">
        <v>14.807</v>
      </c>
      <c r="E257">
        <v>18.754999999999999</v>
      </c>
      <c r="F257">
        <v>406826.98</v>
      </c>
      <c r="G257">
        <v>13.81</v>
      </c>
      <c r="L257" t="s">
        <v>8</v>
      </c>
      <c r="M257" t="s">
        <v>8</v>
      </c>
      <c r="N257" t="s">
        <v>8</v>
      </c>
      <c r="P257">
        <f t="shared" si="959"/>
        <v>0.93434590886820168</v>
      </c>
      <c r="Q257">
        <f t="shared" si="960"/>
        <v>380117.1243802057</v>
      </c>
      <c r="R257">
        <f t="shared" si="961"/>
        <v>-2697406.7511992552</v>
      </c>
      <c r="S257">
        <f t="shared" si="962"/>
        <v>-26.974067511992551</v>
      </c>
      <c r="T257">
        <f t="shared" si="963"/>
        <v>-2.697406751199255E-2</v>
      </c>
    </row>
    <row r="258" spans="1:20" x14ac:dyDescent="0.25">
      <c r="A258" s="5">
        <v>44335</v>
      </c>
      <c r="B258">
        <v>22.745000000000001</v>
      </c>
      <c r="C258">
        <v>22.984999999999999</v>
      </c>
      <c r="D258">
        <v>10.327</v>
      </c>
      <c r="E258">
        <v>16.478999999999999</v>
      </c>
      <c r="F258">
        <v>523010.18</v>
      </c>
      <c r="G258">
        <v>-27.55</v>
      </c>
      <c r="L258" t="s">
        <v>7</v>
      </c>
      <c r="M258" t="s">
        <v>7</v>
      </c>
      <c r="N258" t="s">
        <v>7</v>
      </c>
      <c r="P258">
        <f t="shared" si="959"/>
        <v>-2.7966503397061224E-2</v>
      </c>
      <c r="Q258">
        <f t="shared" si="960"/>
        <v>-14626.765975667602</v>
      </c>
      <c r="R258">
        <f t="shared" si="961"/>
        <v>-3077523.875579461</v>
      </c>
      <c r="S258">
        <f t="shared" si="962"/>
        <v>-30.775238755794611</v>
      </c>
      <c r="T258">
        <f t="shared" si="963"/>
        <v>-3.0775238755794611E-2</v>
      </c>
    </row>
    <row r="259" spans="1:20" x14ac:dyDescent="0.25">
      <c r="A259" s="5">
        <v>44334</v>
      </c>
      <c r="B259">
        <v>22.734999999999999</v>
      </c>
      <c r="C259">
        <v>25.937999999999999</v>
      </c>
      <c r="D259">
        <v>21.978999999999999</v>
      </c>
      <c r="E259">
        <v>22.542999999999999</v>
      </c>
      <c r="F259">
        <v>222359.51</v>
      </c>
      <c r="G259">
        <v>-0.84</v>
      </c>
      <c r="L259" t="s">
        <v>8</v>
      </c>
      <c r="M259" t="s">
        <v>8</v>
      </c>
      <c r="N259" t="s">
        <v>7</v>
      </c>
      <c r="P259">
        <f t="shared" si="959"/>
        <v>-0.71507956554685526</v>
      </c>
      <c r="Q259">
        <f t="shared" si="960"/>
        <v>-159004.74180601162</v>
      </c>
      <c r="R259">
        <f t="shared" si="961"/>
        <v>-3062897.1096037934</v>
      </c>
      <c r="S259">
        <f t="shared" si="962"/>
        <v>-30.628971096037933</v>
      </c>
      <c r="T259">
        <f t="shared" si="963"/>
        <v>-3.0628971096037932E-2</v>
      </c>
    </row>
    <row r="260" spans="1:20" x14ac:dyDescent="0.25">
      <c r="A260" s="5">
        <v>44333</v>
      </c>
      <c r="B260">
        <v>23.879000000000001</v>
      </c>
      <c r="C260">
        <v>25.001000000000001</v>
      </c>
      <c r="D260">
        <v>21.155000000000001</v>
      </c>
      <c r="E260">
        <v>22.678000000000001</v>
      </c>
      <c r="F260">
        <v>342267.94</v>
      </c>
      <c r="G260">
        <v>-5.03</v>
      </c>
      <c r="L260" t="s">
        <v>7</v>
      </c>
      <c r="M260" t="s">
        <v>7</v>
      </c>
      <c r="N260" t="s">
        <v>7</v>
      </c>
      <c r="P260">
        <f t="shared" si="959"/>
        <v>-0.2080083203328135</v>
      </c>
      <c r="Q260">
        <f t="shared" si="960"/>
        <v>-71194.579303172184</v>
      </c>
      <c r="R260">
        <f t="shared" si="961"/>
        <v>-2903892.3677977817</v>
      </c>
      <c r="S260">
        <f t="shared" si="962"/>
        <v>-29.038923677977817</v>
      </c>
      <c r="T260">
        <f t="shared" si="963"/>
        <v>-2.9038923677977817E-2</v>
      </c>
    </row>
    <row r="261" spans="1:20" x14ac:dyDescent="0.25">
      <c r="A261" s="5">
        <v>44332</v>
      </c>
      <c r="B261">
        <v>26.864999999999998</v>
      </c>
      <c r="C261">
        <v>27.995999999999999</v>
      </c>
      <c r="D261">
        <v>22.693999999999999</v>
      </c>
      <c r="E261">
        <v>23.895</v>
      </c>
      <c r="F261">
        <v>334890.13</v>
      </c>
      <c r="G261">
        <v>-11.06</v>
      </c>
      <c r="L261" t="s">
        <v>7</v>
      </c>
      <c r="M261" t="s">
        <v>7</v>
      </c>
      <c r="N261" t="s">
        <v>7</v>
      </c>
      <c r="P261">
        <f t="shared" si="959"/>
        <v>-0.54696341003394922</v>
      </c>
      <c r="Q261">
        <f t="shared" si="960"/>
        <v>-183172.64749151256</v>
      </c>
      <c r="R261">
        <f t="shared" si="961"/>
        <v>-2832697.7884946098</v>
      </c>
      <c r="S261">
        <f t="shared" si="962"/>
        <v>-28.326977884946096</v>
      </c>
      <c r="T261">
        <f t="shared" si="963"/>
        <v>-2.8326977884946095E-2</v>
      </c>
    </row>
    <row r="262" spans="1:20" x14ac:dyDescent="0.25">
      <c r="A262" s="5">
        <v>44331</v>
      </c>
      <c r="B262">
        <v>29.2</v>
      </c>
      <c r="C262">
        <v>32.700000000000003</v>
      </c>
      <c r="D262">
        <v>26.100999999999999</v>
      </c>
      <c r="E262">
        <v>26.622</v>
      </c>
      <c r="F262">
        <v>909417.91</v>
      </c>
      <c r="G262">
        <v>-8.83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-0.84209728746779799</v>
      </c>
      <c r="Q262">
        <f t="shared" ref="Q262:Q325" si="965">F262*P262</f>
        <v>-765818.35518563411</v>
      </c>
      <c r="R262">
        <f t="shared" ref="R262:R325" si="966">R263+Q262</f>
        <v>-2649525.1410030974</v>
      </c>
      <c r="S262">
        <f t="shared" ref="S262:S325" si="967">R262/100000</f>
        <v>-26.495251410030974</v>
      </c>
      <c r="T262">
        <f t="shared" ref="T262:T325" si="968">S262/1000</f>
        <v>-2.6495251410030975E-2</v>
      </c>
    </row>
    <row r="263" spans="1:20" x14ac:dyDescent="0.25">
      <c r="A263" s="5">
        <v>44330</v>
      </c>
      <c r="B263">
        <v>27.18</v>
      </c>
      <c r="C263">
        <v>77.8</v>
      </c>
      <c r="D263">
        <v>27.18</v>
      </c>
      <c r="E263">
        <v>29.212</v>
      </c>
      <c r="F263">
        <v>2048140.68</v>
      </c>
      <c r="G263">
        <v>7.48</v>
      </c>
      <c r="P263">
        <f t="shared" si="964"/>
        <v>-0.91971552745950214</v>
      </c>
      <c r="Q263">
        <f t="shared" si="965"/>
        <v>-1883706.7858174634</v>
      </c>
      <c r="R263">
        <f t="shared" si="966"/>
        <v>-1883706.7858174634</v>
      </c>
      <c r="S263">
        <f t="shared" si="967"/>
        <v>-18.837067858174635</v>
      </c>
      <c r="T263">
        <f t="shared" si="968"/>
        <v>-1.8837067858174635E-2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964"/>
        <v>0</v>
      </c>
      <c r="Q264">
        <f t="shared" si="965"/>
        <v>0</v>
      </c>
      <c r="R264">
        <f t="shared" si="966"/>
        <v>0</v>
      </c>
      <c r="S264">
        <f t="shared" si="967"/>
        <v>0</v>
      </c>
      <c r="T264">
        <f t="shared" si="96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964"/>
        <v>0</v>
      </c>
      <c r="Q265">
        <f t="shared" si="965"/>
        <v>0</v>
      </c>
      <c r="R265">
        <f t="shared" si="966"/>
        <v>0</v>
      </c>
      <c r="S265">
        <f t="shared" si="967"/>
        <v>0</v>
      </c>
      <c r="T265">
        <f t="shared" si="96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964"/>
        <v>0</v>
      </c>
      <c r="Q266">
        <f t="shared" si="965"/>
        <v>0</v>
      </c>
      <c r="R266">
        <f t="shared" si="966"/>
        <v>0</v>
      </c>
      <c r="S266">
        <f t="shared" si="967"/>
        <v>0</v>
      </c>
      <c r="T266">
        <f t="shared" si="96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ET416" sqref="ET41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$A$415</v>
      </c>
      <c r="D111" s="1" t="str">
        <f>ADDRESS(C121-1,D121,1,1)</f>
        <v>$ET$415</v>
      </c>
      <c r="E111"/>
    </row>
    <row r="112" spans="1:5" x14ac:dyDescent="0.25">
      <c r="A112" s="7">
        <v>12164.144957890772</v>
      </c>
      <c r="C112" s="1" t="str">
        <f>ADDRESS(C121,1,1,1)</f>
        <v>$A$416</v>
      </c>
      <c r="D112" s="1" t="str">
        <f>ADDRESS(C121,D121-1,1,1)</f>
        <v>$ES$416</v>
      </c>
      <c r="E112"/>
    </row>
    <row r="113" spans="1:5" x14ac:dyDescent="0.25">
      <c r="A113" s="7">
        <v>11925.63231165762</v>
      </c>
      <c r="C113" s="1" t="str">
        <f>ADDRESS(C121+1,1,1,1)</f>
        <v>$A$417</v>
      </c>
      <c r="D113" s="1" t="str">
        <f>ADDRESS(C121-1,D121+1,1,1)</f>
        <v>$EU$415</v>
      </c>
    </row>
    <row r="114" spans="1:5" x14ac:dyDescent="0.25">
      <c r="A114" s="7">
        <v>11691.796383978059</v>
      </c>
      <c r="C114" s="1" t="str">
        <f>ADDRESS(C121,D121,1,1)</f>
        <v>$ET$416</v>
      </c>
      <c r="D114" s="1" t="str">
        <f>ADDRESS(C121+1,D121+1,1,1)</f>
        <v>$EU$417</v>
      </c>
    </row>
    <row r="115" spans="1:5" x14ac:dyDescent="0.25">
      <c r="A115" s="7">
        <v>11462.545474488292</v>
      </c>
      <c r="C115" s="1" t="str">
        <f>ADDRESS(C121+1,D121,1,1)</f>
        <v>$ET$417</v>
      </c>
    </row>
    <row r="116" spans="1:5" x14ac:dyDescent="0.25">
      <c r="A116" s="7">
        <v>11237.789680870874</v>
      </c>
      <c r="C116" s="1">
        <f>C117-1</f>
        <v>415</v>
      </c>
    </row>
    <row r="117" spans="1:5" x14ac:dyDescent="0.25">
      <c r="A117" s="7">
        <v>11017.440863598895</v>
      </c>
      <c r="C117" s="1">
        <f>C121</f>
        <v>416</v>
      </c>
      <c r="D117" s="1">
        <f>D121</f>
        <v>150</v>
      </c>
    </row>
    <row r="118" spans="1:5" x14ac:dyDescent="0.25">
      <c r="A118" s="7">
        <v>10801.412611371465</v>
      </c>
      <c r="C118" s="1">
        <f>C117+1</f>
        <v>417</v>
      </c>
      <c r="D118" s="1">
        <f>D117+1</f>
        <v>151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416</v>
      </c>
      <c r="D121" s="19">
        <v>150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R416</v>
      </c>
      <c r="D123" s="1" t="str">
        <f>"C"&amp;D121</f>
        <v>C150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29.55489163296085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106" x14ac:dyDescent="0.25">
      <c r="A353" s="7">
        <v>102.90588033356946</v>
      </c>
      <c r="B353"/>
      <c r="C353"/>
      <c r="D353"/>
      <c r="E353"/>
    </row>
    <row r="354" spans="1:106" x14ac:dyDescent="0.25">
      <c r="A354" s="7">
        <v>100.88811797408771</v>
      </c>
      <c r="B354"/>
      <c r="C354"/>
      <c r="D354"/>
      <c r="E354"/>
    </row>
    <row r="355" spans="1:106" x14ac:dyDescent="0.25">
      <c r="A355" s="7">
        <v>98.909919582438931</v>
      </c>
      <c r="B355"/>
      <c r="C355"/>
      <c r="D355"/>
      <c r="E355"/>
    </row>
    <row r="356" spans="1:106" x14ac:dyDescent="0.25">
      <c r="A356" s="7">
        <v>96.970509394547975</v>
      </c>
      <c r="B356"/>
      <c r="C356"/>
      <c r="D356"/>
      <c r="E356"/>
    </row>
    <row r="357" spans="1:106" x14ac:dyDescent="0.25">
      <c r="A357" s="7">
        <v>95.069126857399979</v>
      </c>
      <c r="B357"/>
      <c r="C357"/>
      <c r="D357"/>
      <c r="E357"/>
    </row>
    <row r="358" spans="1:106" x14ac:dyDescent="0.25">
      <c r="A358" s="7">
        <v>93.205026330784293</v>
      </c>
      <c r="B358"/>
      <c r="C358"/>
      <c r="D358"/>
      <c r="E358"/>
    </row>
    <row r="359" spans="1:106" x14ac:dyDescent="0.25">
      <c r="A359" s="7">
        <v>91.377476794886562</v>
      </c>
      <c r="B359"/>
      <c r="C359"/>
      <c r="D359"/>
      <c r="E359"/>
    </row>
    <row r="360" spans="1:106" x14ac:dyDescent="0.25">
      <c r="A360" s="7">
        <v>89.58576156361427</v>
      </c>
      <c r="B360"/>
      <c r="C360"/>
      <c r="D360"/>
      <c r="E360"/>
      <c r="CY360" s="27" t="s">
        <v>8</v>
      </c>
    </row>
    <row r="361" spans="1:106" x14ac:dyDescent="0.25">
      <c r="A361" s="7">
        <v>87.829178003543404</v>
      </c>
      <c r="B361"/>
      <c r="C361"/>
      <c r="D361"/>
      <c r="E361"/>
      <c r="CW361" s="27" t="s">
        <v>8</v>
      </c>
      <c r="CY361" s="27" t="s">
        <v>8</v>
      </c>
      <c r="CZ361" s="27" t="s">
        <v>7</v>
      </c>
    </row>
    <row r="362" spans="1:106" x14ac:dyDescent="0.25">
      <c r="A362" s="7">
        <v>86.107037258375883</v>
      </c>
      <c r="B362"/>
      <c r="C362"/>
      <c r="D362"/>
      <c r="E362"/>
      <c r="CW362" s="27" t="s">
        <v>8</v>
      </c>
      <c r="CX362" s="27" t="s">
        <v>7</v>
      </c>
      <c r="CY362" s="27" t="s">
        <v>8</v>
      </c>
      <c r="CZ362" s="27" t="s">
        <v>7</v>
      </c>
    </row>
    <row r="363" spans="1:106" x14ac:dyDescent="0.25">
      <c r="A363" s="7">
        <v>84.418663978799884</v>
      </c>
      <c r="B363"/>
      <c r="C363"/>
      <c r="D363"/>
      <c r="E363"/>
      <c r="CW363" s="27" t="s">
        <v>8</v>
      </c>
      <c r="CX363" s="27" t="s">
        <v>7</v>
      </c>
      <c r="CY363" s="27" t="s">
        <v>8</v>
      </c>
      <c r="CZ363" s="27" t="s">
        <v>7</v>
      </c>
      <c r="DA363" s="27" t="s">
        <v>8</v>
      </c>
    </row>
    <row r="364" spans="1:106" x14ac:dyDescent="0.25">
      <c r="A364" s="7">
        <v>82.763396057646943</v>
      </c>
      <c r="B364"/>
      <c r="C364"/>
      <c r="D364"/>
      <c r="E364"/>
      <c r="CW364" s="27" t="s">
        <v>8</v>
      </c>
      <c r="CX364" s="27" t="s">
        <v>7</v>
      </c>
      <c r="CY364" s="27" t="s">
        <v>8</v>
      </c>
      <c r="CZ364" s="27" t="s">
        <v>7</v>
      </c>
      <c r="DA364" s="27" t="s">
        <v>8</v>
      </c>
      <c r="DB364" s="27" t="s">
        <v>7</v>
      </c>
    </row>
    <row r="365" spans="1:106" x14ac:dyDescent="0.25">
      <c r="A365" s="7">
        <v>81.140584370242095</v>
      </c>
      <c r="B365"/>
      <c r="C365"/>
      <c r="D365"/>
      <c r="E365"/>
      <c r="CW365" s="27" t="s">
        <v>8</v>
      </c>
      <c r="CX365" s="27" t="s">
        <v>7</v>
      </c>
      <c r="CY365" s="27" t="s">
        <v>8</v>
      </c>
      <c r="CZ365" s="27" t="s">
        <v>7</v>
      </c>
      <c r="DA365" s="27" t="s">
        <v>8</v>
      </c>
      <c r="DB365" s="27" t="s">
        <v>7</v>
      </c>
    </row>
    <row r="366" spans="1:106" x14ac:dyDescent="0.25">
      <c r="A366" s="7">
        <v>79.549592519845191</v>
      </c>
      <c r="B366"/>
      <c r="C366"/>
      <c r="D366"/>
      <c r="E366"/>
      <c r="CW366" s="27" t="s">
        <v>8</v>
      </c>
      <c r="CX366" s="27" t="s">
        <v>7</v>
      </c>
      <c r="CY366" s="27" t="s">
        <v>8</v>
      </c>
      <c r="CZ366" s="27" t="s">
        <v>7</v>
      </c>
      <c r="DA366" s="27" t="s">
        <v>8</v>
      </c>
      <c r="DB366" s="27" t="s">
        <v>7</v>
      </c>
    </row>
    <row r="367" spans="1:106" x14ac:dyDescent="0.25">
      <c r="A367" s="7">
        <v>77.989796588083522</v>
      </c>
      <c r="B367"/>
      <c r="C367"/>
      <c r="D367"/>
      <c r="E367"/>
      <c r="CW367" s="27" t="s">
        <v>8</v>
      </c>
      <c r="CX367" s="27" t="s">
        <v>7</v>
      </c>
      <c r="CY367" s="27" t="s">
        <v>8</v>
      </c>
      <c r="CZ367" s="27" t="s">
        <v>7</v>
      </c>
      <c r="DA367" s="27" t="s">
        <v>8</v>
      </c>
      <c r="DB367" s="27" t="s">
        <v>7</v>
      </c>
    </row>
    <row r="368" spans="1:106" x14ac:dyDescent="0.25">
      <c r="A368" s="7">
        <v>76.460584890277957</v>
      </c>
      <c r="B368"/>
      <c r="C368"/>
      <c r="D368"/>
      <c r="E368"/>
      <c r="CW368" s="27" t="s">
        <v>8</v>
      </c>
      <c r="CX368" s="27" t="s">
        <v>7</v>
      </c>
      <c r="CY368" s="27" t="s">
        <v>8</v>
      </c>
      <c r="CZ368" s="27" t="s">
        <v>7</v>
      </c>
      <c r="DA368" s="27" t="s">
        <v>8</v>
      </c>
      <c r="DB368" s="27" t="s">
        <v>7</v>
      </c>
    </row>
    <row r="369" spans="1:142" x14ac:dyDescent="0.25">
      <c r="A369" s="7">
        <v>74.961357735566622</v>
      </c>
      <c r="B369"/>
      <c r="C369"/>
      <c r="D369"/>
      <c r="E369"/>
      <c r="CW369" s="27" t="s">
        <v>8</v>
      </c>
      <c r="CX369" s="27" t="s">
        <v>7</v>
      </c>
      <c r="CY369" s="27" t="s">
        <v>8</v>
      </c>
      <c r="CZ369" s="27" t="s">
        <v>7</v>
      </c>
      <c r="DA369" s="27" t="s">
        <v>8</v>
      </c>
      <c r="DB369" s="27" t="s">
        <v>7</v>
      </c>
    </row>
    <row r="370" spans="1:142" x14ac:dyDescent="0.25">
      <c r="A370" s="7">
        <v>73.491527191731976</v>
      </c>
      <c r="B370"/>
      <c r="C370"/>
      <c r="D370"/>
      <c r="E370"/>
      <c r="BQ370" s="27" t="s">
        <v>8</v>
      </c>
      <c r="CW370" s="27" t="s">
        <v>8</v>
      </c>
      <c r="CX370" s="27" t="s">
        <v>7</v>
      </c>
      <c r="CY370" s="27" t="s">
        <v>8</v>
      </c>
      <c r="CZ370" s="27" t="s">
        <v>7</v>
      </c>
      <c r="DA370" s="27" t="s">
        <v>8</v>
      </c>
      <c r="DB370" s="27" t="s">
        <v>7</v>
      </c>
      <c r="DE370" s="27" t="s">
        <v>8</v>
      </c>
    </row>
    <row r="371" spans="1:142" x14ac:dyDescent="0.25">
      <c r="A371" s="7">
        <v>72.050516854639184</v>
      </c>
      <c r="B371"/>
      <c r="C371"/>
      <c r="D371"/>
      <c r="E371"/>
      <c r="BQ371" s="27" t="s">
        <v>8</v>
      </c>
      <c r="BR371" s="27" t="s">
        <v>7</v>
      </c>
      <c r="CW371" s="27" t="s">
        <v>8</v>
      </c>
      <c r="CX371" s="27" t="s">
        <v>7</v>
      </c>
      <c r="CY371" s="27" t="s">
        <v>8</v>
      </c>
      <c r="CZ371" s="27" t="s">
        <v>7</v>
      </c>
      <c r="DB371" s="27" t="s">
        <v>7</v>
      </c>
      <c r="DC371" s="27" t="s">
        <v>8</v>
      </c>
      <c r="DE371" s="27" t="s">
        <v>8</v>
      </c>
      <c r="DF371" s="27" t="s">
        <v>7</v>
      </c>
      <c r="DI371" s="27" t="s">
        <v>8</v>
      </c>
    </row>
    <row r="372" spans="1:142" x14ac:dyDescent="0.25">
      <c r="A372" s="7">
        <v>70.637761622195271</v>
      </c>
      <c r="B372"/>
      <c r="C372"/>
      <c r="D372"/>
      <c r="E372"/>
      <c r="BQ372" s="27" t="s">
        <v>8</v>
      </c>
      <c r="BR372" s="27" t="s">
        <v>7</v>
      </c>
      <c r="CW372" s="27" t="s">
        <v>8</v>
      </c>
      <c r="CX372" s="27" t="s">
        <v>7</v>
      </c>
      <c r="CY372" s="27" t="s">
        <v>8</v>
      </c>
      <c r="DB372" s="27" t="s">
        <v>7</v>
      </c>
      <c r="DC372" s="27" t="s">
        <v>8</v>
      </c>
      <c r="DD372" s="27" t="s">
        <v>7</v>
      </c>
      <c r="DE372" s="27" t="s">
        <v>8</v>
      </c>
      <c r="DF372" s="27" t="s">
        <v>7</v>
      </c>
      <c r="DI372" s="27" t="s">
        <v>8</v>
      </c>
      <c r="DJ372" s="27" t="s">
        <v>7</v>
      </c>
    </row>
    <row r="373" spans="1:142" x14ac:dyDescent="0.25">
      <c r="A373" s="7">
        <v>69.252707472740454</v>
      </c>
      <c r="B373"/>
      <c r="C373"/>
      <c r="D373"/>
      <c r="E373"/>
      <c r="BK373" s="27" t="s">
        <v>8</v>
      </c>
      <c r="BQ373" s="27" t="s">
        <v>8</v>
      </c>
      <c r="BR373" s="27" t="s">
        <v>7</v>
      </c>
      <c r="CI373" s="27" t="s">
        <v>8</v>
      </c>
      <c r="CW373" s="27" t="s">
        <v>8</v>
      </c>
      <c r="CX373" s="27" t="s">
        <v>7</v>
      </c>
      <c r="DB373" s="27" t="s">
        <v>7</v>
      </c>
      <c r="DC373" s="27" t="s">
        <v>8</v>
      </c>
      <c r="DD373" s="27" t="s">
        <v>7</v>
      </c>
      <c r="DE373" s="27" t="s">
        <v>8</v>
      </c>
      <c r="DF373" s="27" t="s">
        <v>7</v>
      </c>
      <c r="DI373" s="27" t="s">
        <v>8</v>
      </c>
      <c r="DJ373" s="27" t="s">
        <v>7</v>
      </c>
    </row>
    <row r="374" spans="1:142" x14ac:dyDescent="0.25">
      <c r="A374" s="7">
        <v>67.894811247784759</v>
      </c>
      <c r="B374"/>
      <c r="C374"/>
      <c r="D374"/>
      <c r="E374"/>
      <c r="BK374" s="27" t="s">
        <v>8</v>
      </c>
      <c r="BL374" s="27" t="s">
        <v>7</v>
      </c>
      <c r="BQ374" s="27" t="s">
        <v>8</v>
      </c>
      <c r="BR374" s="27" t="s">
        <v>7</v>
      </c>
      <c r="CI374" s="27" t="s">
        <v>8</v>
      </c>
      <c r="CJ374" s="27" t="s">
        <v>7</v>
      </c>
      <c r="CW374" s="27" t="s">
        <v>8</v>
      </c>
      <c r="DB374" s="27" t="s">
        <v>7</v>
      </c>
      <c r="DC374" s="27" t="s">
        <v>8</v>
      </c>
      <c r="DD374" s="27" t="s">
        <v>7</v>
      </c>
      <c r="DE374" s="27" t="s">
        <v>8</v>
      </c>
      <c r="DF374" s="27" t="s">
        <v>7</v>
      </c>
      <c r="DI374" s="27" t="s">
        <v>8</v>
      </c>
      <c r="DJ374" s="27" t="s">
        <v>7</v>
      </c>
      <c r="EA374" s="27" t="s">
        <v>8</v>
      </c>
      <c r="EI374" s="27" t="s">
        <v>8</v>
      </c>
    </row>
    <row r="375" spans="1:142" x14ac:dyDescent="0.25">
      <c r="A375" s="7">
        <v>66.563540439004669</v>
      </c>
      <c r="B375"/>
      <c r="C375"/>
      <c r="D375"/>
      <c r="E375"/>
      <c r="BK375" s="27" t="s">
        <v>8</v>
      </c>
      <c r="BL375" s="27" t="s">
        <v>7</v>
      </c>
      <c r="BQ375" s="27" t="s">
        <v>8</v>
      </c>
      <c r="BR375" s="27" t="s">
        <v>7</v>
      </c>
      <c r="CG375" s="27" t="s">
        <v>8</v>
      </c>
      <c r="CI375" s="27" t="s">
        <v>8</v>
      </c>
      <c r="CJ375" s="27" t="s">
        <v>7</v>
      </c>
      <c r="CW375" s="27" t="s">
        <v>8</v>
      </c>
      <c r="DB375" s="27" t="s">
        <v>7</v>
      </c>
      <c r="DC375" s="27" t="s">
        <v>8</v>
      </c>
      <c r="DD375" s="27" t="s">
        <v>7</v>
      </c>
      <c r="DE375" s="27" t="s">
        <v>8</v>
      </c>
      <c r="DF375" s="27" t="s">
        <v>7</v>
      </c>
      <c r="DI375" s="27" t="s">
        <v>8</v>
      </c>
      <c r="DJ375" s="27" t="s">
        <v>7</v>
      </c>
      <c r="EA375" s="27" t="s">
        <v>8</v>
      </c>
      <c r="EB375" s="27" t="s">
        <v>7</v>
      </c>
      <c r="EG375" s="27" t="s">
        <v>8</v>
      </c>
      <c r="EI375" s="27" t="s">
        <v>8</v>
      </c>
      <c r="EJ375" s="27" t="s">
        <v>7</v>
      </c>
    </row>
    <row r="376" spans="1:142" x14ac:dyDescent="0.25">
      <c r="A376" s="7">
        <v>65.258372979416336</v>
      </c>
      <c r="B376"/>
      <c r="C376"/>
      <c r="D376"/>
      <c r="E376"/>
      <c r="BK376" s="27" t="s">
        <v>8</v>
      </c>
      <c r="BL376" s="27" t="s">
        <v>7</v>
      </c>
      <c r="BQ376" s="27" t="s">
        <v>8</v>
      </c>
      <c r="BR376" s="27" t="s">
        <v>7</v>
      </c>
      <c r="CG376" s="27" t="s">
        <v>8</v>
      </c>
      <c r="CH376" s="27" t="s">
        <v>7</v>
      </c>
      <c r="CI376" s="27" t="s">
        <v>8</v>
      </c>
      <c r="CJ376" s="27" t="s">
        <v>7</v>
      </c>
      <c r="CW376" s="27" t="s">
        <v>8</v>
      </c>
      <c r="DB376" s="27" t="s">
        <v>7</v>
      </c>
      <c r="DD376" s="27" t="s">
        <v>7</v>
      </c>
      <c r="DE376" s="27" t="s">
        <v>8</v>
      </c>
      <c r="DF376" s="27" t="s">
        <v>7</v>
      </c>
      <c r="DI376" s="27" t="s">
        <v>8</v>
      </c>
      <c r="DJ376" s="27" t="s">
        <v>7</v>
      </c>
      <c r="DK376" s="27" t="s">
        <v>8</v>
      </c>
      <c r="EA376" s="27" t="s">
        <v>8</v>
      </c>
      <c r="EB376" s="27" t="s">
        <v>7</v>
      </c>
      <c r="EG376" s="27" t="s">
        <v>8</v>
      </c>
      <c r="EH376" s="27" t="s">
        <v>7</v>
      </c>
      <c r="EI376" s="27" t="s">
        <v>8</v>
      </c>
      <c r="EJ376" s="27" t="s">
        <v>7</v>
      </c>
    </row>
    <row r="377" spans="1:142" x14ac:dyDescent="0.25">
      <c r="A377" s="7">
        <v>63.978797038643471</v>
      </c>
      <c r="B377"/>
      <c r="C377"/>
      <c r="D377"/>
      <c r="E377"/>
      <c r="BK377" s="27" t="s">
        <v>8</v>
      </c>
      <c r="BL377" s="27" t="s">
        <v>7</v>
      </c>
      <c r="BQ377" s="27" t="s">
        <v>8</v>
      </c>
      <c r="BR377" s="27" t="s">
        <v>7</v>
      </c>
      <c r="CG377" s="27" t="s">
        <v>8</v>
      </c>
      <c r="CH377" s="27" t="s">
        <v>7</v>
      </c>
      <c r="CI377" s="27" t="s">
        <v>8</v>
      </c>
      <c r="CJ377" s="27" t="s">
        <v>7</v>
      </c>
      <c r="CW377" s="27" t="s">
        <v>8</v>
      </c>
      <c r="DD377" s="27" t="s">
        <v>7</v>
      </c>
      <c r="DF377" s="27" t="s">
        <v>7</v>
      </c>
      <c r="DI377" s="27" t="s">
        <v>8</v>
      </c>
      <c r="DJ377" s="27" t="s">
        <v>7</v>
      </c>
      <c r="DK377" s="27" t="s">
        <v>8</v>
      </c>
      <c r="DL377" s="27" t="s">
        <v>7</v>
      </c>
      <c r="DM377" s="27" t="s">
        <v>8</v>
      </c>
      <c r="EA377" s="27" t="s">
        <v>8</v>
      </c>
      <c r="EB377" s="27" t="s">
        <v>7</v>
      </c>
      <c r="EC377" s="27" t="s">
        <v>8</v>
      </c>
      <c r="EG377" s="27" t="s">
        <v>8</v>
      </c>
      <c r="EH377" s="27" t="s">
        <v>7</v>
      </c>
      <c r="EI377" s="27" t="s">
        <v>8</v>
      </c>
      <c r="EJ377" s="27" t="s">
        <v>7</v>
      </c>
    </row>
    <row r="378" spans="1:142" x14ac:dyDescent="0.25">
      <c r="A378" s="7">
        <v>62.724310822199477</v>
      </c>
      <c r="B378"/>
      <c r="C378"/>
      <c r="D378"/>
      <c r="E378"/>
      <c r="BK378" s="27" t="s">
        <v>8</v>
      </c>
      <c r="BL378" s="27" t="s">
        <v>7</v>
      </c>
      <c r="BM378" s="27" t="s">
        <v>8</v>
      </c>
      <c r="BO378" s="27" t="s">
        <v>8</v>
      </c>
      <c r="BQ378" s="27" t="s">
        <v>8</v>
      </c>
      <c r="BR378" s="27" t="s">
        <v>7</v>
      </c>
      <c r="CG378" s="27" t="s">
        <v>8</v>
      </c>
      <c r="CH378" s="27" t="s">
        <v>7</v>
      </c>
      <c r="CI378" s="27" t="s">
        <v>8</v>
      </c>
      <c r="CJ378" s="27" t="s">
        <v>7</v>
      </c>
      <c r="CW378" s="27" t="s">
        <v>8</v>
      </c>
      <c r="DF378" s="27" t="s">
        <v>7</v>
      </c>
      <c r="DI378" s="27" t="s">
        <v>8</v>
      </c>
      <c r="DJ378" s="27" t="s">
        <v>7</v>
      </c>
      <c r="DK378" s="27" t="s">
        <v>8</v>
      </c>
      <c r="DL378" s="27" t="s">
        <v>7</v>
      </c>
      <c r="DM378" s="27" t="s">
        <v>8</v>
      </c>
      <c r="DN378" s="27" t="s">
        <v>7</v>
      </c>
      <c r="DO378" s="27" t="s">
        <v>8</v>
      </c>
      <c r="EA378" s="27" t="s">
        <v>8</v>
      </c>
      <c r="EB378" s="27" t="s">
        <v>7</v>
      </c>
      <c r="EC378" s="27" t="s">
        <v>8</v>
      </c>
      <c r="ED378" s="27" t="s">
        <v>7</v>
      </c>
      <c r="EG378" s="27" t="s">
        <v>8</v>
      </c>
      <c r="EH378" s="27" t="s">
        <v>7</v>
      </c>
      <c r="EI378" s="27" t="s">
        <v>8</v>
      </c>
      <c r="EJ378" s="27" t="s">
        <v>7</v>
      </c>
    </row>
    <row r="379" spans="1:142" x14ac:dyDescent="0.25">
      <c r="A379" s="7">
        <v>61.494422374705366</v>
      </c>
      <c r="B379"/>
      <c r="C379"/>
      <c r="D379"/>
      <c r="E379"/>
      <c r="BK379" s="27" t="s">
        <v>8</v>
      </c>
      <c r="BL379" s="27" t="s">
        <v>7</v>
      </c>
      <c r="BM379" s="27" t="s">
        <v>8</v>
      </c>
      <c r="BN379" s="27" t="s">
        <v>7</v>
      </c>
      <c r="BO379" s="27" t="s">
        <v>8</v>
      </c>
      <c r="BP379" s="27" t="s">
        <v>7</v>
      </c>
      <c r="BQ379" s="27" t="s">
        <v>8</v>
      </c>
      <c r="BR379" s="27" t="s">
        <v>7</v>
      </c>
      <c r="CG379" s="27" t="s">
        <v>8</v>
      </c>
      <c r="CH379" s="27" t="s">
        <v>7</v>
      </c>
      <c r="CI379" s="27" t="s">
        <v>8</v>
      </c>
      <c r="CJ379" s="27" t="s">
        <v>7</v>
      </c>
      <c r="CW379" s="27" t="s">
        <v>8</v>
      </c>
      <c r="DF379" s="27" t="s">
        <v>7</v>
      </c>
      <c r="DG379" s="27" t="s">
        <v>8</v>
      </c>
      <c r="DI379" s="27" t="s">
        <v>8</v>
      </c>
      <c r="DJ379" s="27" t="s">
        <v>7</v>
      </c>
      <c r="DK379" s="27" t="s">
        <v>8</v>
      </c>
      <c r="DL379" s="27" t="s">
        <v>7</v>
      </c>
      <c r="DM379" s="27" t="s">
        <v>8</v>
      </c>
      <c r="DN379" s="27" t="s">
        <v>7</v>
      </c>
      <c r="DO379" s="27" t="s">
        <v>8</v>
      </c>
      <c r="DP379" s="27" t="s">
        <v>7</v>
      </c>
      <c r="EA379" s="27" t="s">
        <v>8</v>
      </c>
      <c r="EB379" s="27" t="s">
        <v>7</v>
      </c>
      <c r="EC379" s="27" t="s">
        <v>8</v>
      </c>
      <c r="ED379" s="27" t="s">
        <v>7</v>
      </c>
      <c r="EG379" s="27" t="s">
        <v>8</v>
      </c>
      <c r="EH379" s="27" t="s">
        <v>7</v>
      </c>
      <c r="EI379" s="27" t="s">
        <v>8</v>
      </c>
      <c r="EJ379" s="27" t="s">
        <v>7</v>
      </c>
    </row>
    <row r="380" spans="1:142" x14ac:dyDescent="0.25">
      <c r="A380" s="7">
        <v>60.288649386966043</v>
      </c>
      <c r="B380"/>
      <c r="C380"/>
      <c r="D380"/>
      <c r="E380"/>
      <c r="BK380" s="27" t="s">
        <v>8</v>
      </c>
      <c r="BL380" s="27" t="s">
        <v>7</v>
      </c>
      <c r="BM380" s="27" t="s">
        <v>8</v>
      </c>
      <c r="BN380" s="27" t="s">
        <v>7</v>
      </c>
      <c r="BO380" s="27" t="s">
        <v>8</v>
      </c>
      <c r="BP380" s="27" t="s">
        <v>7</v>
      </c>
      <c r="BQ380" s="27" t="s">
        <v>8</v>
      </c>
      <c r="BR380" s="27" t="s">
        <v>7</v>
      </c>
      <c r="CG380" s="27" t="s">
        <v>8</v>
      </c>
      <c r="CH380" s="27" t="s">
        <v>7</v>
      </c>
      <c r="CI380" s="27" t="s">
        <v>8</v>
      </c>
      <c r="CJ380" s="27" t="s">
        <v>7</v>
      </c>
      <c r="CU380" s="27" t="s">
        <v>8</v>
      </c>
      <c r="CW380" s="27" t="s">
        <v>8</v>
      </c>
      <c r="DF380" s="27" t="s">
        <v>7</v>
      </c>
      <c r="DG380" s="27" t="s">
        <v>8</v>
      </c>
      <c r="DH380" s="27" t="s">
        <v>7</v>
      </c>
      <c r="DI380" s="27" t="s">
        <v>8</v>
      </c>
      <c r="DJ380" s="27" t="s">
        <v>7</v>
      </c>
      <c r="DK380" s="27" t="s">
        <v>8</v>
      </c>
      <c r="DL380" s="27" t="s">
        <v>7</v>
      </c>
      <c r="DM380" s="27" t="s">
        <v>8</v>
      </c>
      <c r="DN380" s="27" t="s">
        <v>7</v>
      </c>
      <c r="DO380" s="27" t="s">
        <v>8</v>
      </c>
      <c r="DP380" s="27" t="s">
        <v>7</v>
      </c>
      <c r="EA380" s="27" t="s">
        <v>8</v>
      </c>
      <c r="EB380" s="27" t="s">
        <v>7</v>
      </c>
      <c r="EC380" s="27" t="s">
        <v>8</v>
      </c>
      <c r="ED380" s="27" t="s">
        <v>7</v>
      </c>
      <c r="EG380" s="27" t="s">
        <v>8</v>
      </c>
      <c r="EH380" s="27" t="s">
        <v>7</v>
      </c>
      <c r="EI380" s="27" t="s">
        <v>8</v>
      </c>
      <c r="EJ380" s="27" t="s">
        <v>7</v>
      </c>
    </row>
    <row r="381" spans="1:142" x14ac:dyDescent="0.25">
      <c r="A381" s="7">
        <v>59.106519006829451</v>
      </c>
      <c r="B381"/>
      <c r="C381"/>
      <c r="D381"/>
      <c r="E381"/>
      <c r="BK381" s="27" t="s">
        <v>8</v>
      </c>
      <c r="BL381" s="27" t="s">
        <v>7</v>
      </c>
      <c r="BM381" s="27" t="s">
        <v>8</v>
      </c>
      <c r="BN381" s="27" t="s">
        <v>7</v>
      </c>
      <c r="BO381" s="27" t="s">
        <v>8</v>
      </c>
      <c r="BP381" s="27" t="s">
        <v>7</v>
      </c>
      <c r="BQ381" s="27" t="s">
        <v>8</v>
      </c>
      <c r="BR381" s="27" t="s">
        <v>7</v>
      </c>
      <c r="BS381" s="27" t="s">
        <v>8</v>
      </c>
      <c r="CG381" s="27" t="s">
        <v>8</v>
      </c>
      <c r="CH381" s="27" t="s">
        <v>7</v>
      </c>
      <c r="CJ381" s="27" t="s">
        <v>7</v>
      </c>
      <c r="CU381" s="27" t="s">
        <v>8</v>
      </c>
      <c r="CV381" s="27" t="s">
        <v>7</v>
      </c>
      <c r="CW381" s="27" t="s">
        <v>8</v>
      </c>
      <c r="DF381" s="27" t="s">
        <v>7</v>
      </c>
      <c r="DG381" s="27" t="s">
        <v>8</v>
      </c>
      <c r="DH381" s="27" t="s">
        <v>7</v>
      </c>
      <c r="DI381" s="27" t="s">
        <v>8</v>
      </c>
      <c r="DJ381" s="27" t="s">
        <v>7</v>
      </c>
      <c r="DK381" s="27" t="s">
        <v>8</v>
      </c>
      <c r="DL381" s="27" t="s">
        <v>7</v>
      </c>
      <c r="DM381" s="27" t="s">
        <v>8</v>
      </c>
      <c r="DN381" s="27" t="s">
        <v>7</v>
      </c>
      <c r="DO381" s="27" t="s">
        <v>8</v>
      </c>
      <c r="DP381" s="27" t="s">
        <v>7</v>
      </c>
      <c r="DW381" s="27" t="s">
        <v>8</v>
      </c>
      <c r="EA381" s="27" t="s">
        <v>8</v>
      </c>
      <c r="EB381" s="27" t="s">
        <v>7</v>
      </c>
      <c r="ED381" s="27" t="s">
        <v>7</v>
      </c>
      <c r="EG381" s="27" t="s">
        <v>8</v>
      </c>
      <c r="EH381" s="27" t="s">
        <v>7</v>
      </c>
      <c r="EI381" s="27" t="s">
        <v>8</v>
      </c>
      <c r="EJ381" s="27" t="s">
        <v>7</v>
      </c>
    </row>
    <row r="382" spans="1:142" x14ac:dyDescent="0.25">
      <c r="A382" s="7">
        <v>57.947567653754362</v>
      </c>
      <c r="B382"/>
      <c r="C382"/>
      <c r="D382"/>
      <c r="E382"/>
      <c r="BK382" s="27" t="s">
        <v>8</v>
      </c>
      <c r="BL382" s="27" t="s">
        <v>7</v>
      </c>
      <c r="BM382" s="27" t="s">
        <v>8</v>
      </c>
      <c r="BN382" s="27" t="s">
        <v>7</v>
      </c>
      <c r="BO382" s="27" t="s">
        <v>8</v>
      </c>
      <c r="BP382" s="27" t="s">
        <v>7</v>
      </c>
      <c r="BQ382" s="27" t="s">
        <v>8</v>
      </c>
      <c r="BR382" s="27" t="s">
        <v>7</v>
      </c>
      <c r="BS382" s="27" t="s">
        <v>8</v>
      </c>
      <c r="BT382" s="27" t="s">
        <v>7</v>
      </c>
      <c r="CE382" s="27" t="s">
        <v>8</v>
      </c>
      <c r="CG382" s="27" t="s">
        <v>8</v>
      </c>
      <c r="CJ382" s="27" t="s">
        <v>7</v>
      </c>
      <c r="CO382" s="27" t="s">
        <v>8</v>
      </c>
      <c r="CU382" s="27" t="s">
        <v>8</v>
      </c>
      <c r="CV382" s="27" t="s">
        <v>7</v>
      </c>
      <c r="CW382" s="27" t="s">
        <v>8</v>
      </c>
      <c r="DF382" s="27" t="s">
        <v>7</v>
      </c>
      <c r="DG382" s="27" t="s">
        <v>8</v>
      </c>
      <c r="DH382" s="27" t="s">
        <v>7</v>
      </c>
      <c r="DI382" s="27" t="s">
        <v>8</v>
      </c>
      <c r="DJ382" s="27" t="s">
        <v>7</v>
      </c>
      <c r="DL382" s="27" t="s">
        <v>7</v>
      </c>
      <c r="DM382" s="27" t="s">
        <v>8</v>
      </c>
      <c r="DN382" s="27" t="s">
        <v>7</v>
      </c>
      <c r="DO382" s="27" t="s">
        <v>8</v>
      </c>
      <c r="DP382" s="27" t="s">
        <v>7</v>
      </c>
      <c r="DW382" s="27" t="s">
        <v>8</v>
      </c>
      <c r="DX382" s="27" t="s">
        <v>7</v>
      </c>
      <c r="DY382" s="27" t="s">
        <v>8</v>
      </c>
      <c r="EA382" s="27" t="s">
        <v>8</v>
      </c>
      <c r="ED382" s="27" t="s">
        <v>7</v>
      </c>
      <c r="EE382" s="27" t="s">
        <v>8</v>
      </c>
      <c r="EG382" s="27" t="s">
        <v>8</v>
      </c>
      <c r="EH382" s="27" t="s">
        <v>7</v>
      </c>
      <c r="EJ382" s="27" t="s">
        <v>7</v>
      </c>
    </row>
    <row r="383" spans="1:142" x14ac:dyDescent="0.25">
      <c r="A383" s="7">
        <v>56.811340837014079</v>
      </c>
      <c r="B383"/>
      <c r="C383"/>
      <c r="D383"/>
      <c r="E383"/>
      <c r="BK383" s="27" t="s">
        <v>8</v>
      </c>
      <c r="BL383" s="27" t="s">
        <v>7</v>
      </c>
      <c r="BM383" s="27" t="s">
        <v>8</v>
      </c>
      <c r="BN383" s="27" t="s">
        <v>7</v>
      </c>
      <c r="BO383" s="27" t="s">
        <v>8</v>
      </c>
      <c r="BP383" s="27" t="s">
        <v>7</v>
      </c>
      <c r="BQ383" s="27" t="s">
        <v>8</v>
      </c>
      <c r="BR383" s="27" t="s">
        <v>7</v>
      </c>
      <c r="BS383" s="27" t="s">
        <v>8</v>
      </c>
      <c r="BT383" s="27" t="s">
        <v>7</v>
      </c>
      <c r="CE383" s="27" t="s">
        <v>8</v>
      </c>
      <c r="CF383" s="27" t="s">
        <v>7</v>
      </c>
      <c r="CG383" s="27" t="s">
        <v>8</v>
      </c>
      <c r="CJ383" s="27" t="s">
        <v>7</v>
      </c>
      <c r="CM383" s="27" t="s">
        <v>8</v>
      </c>
      <c r="CO383" s="27" t="s">
        <v>8</v>
      </c>
      <c r="CP383" s="27" t="s">
        <v>7</v>
      </c>
      <c r="CQ383" s="27" t="s">
        <v>8</v>
      </c>
      <c r="CU383" s="27" t="s">
        <v>8</v>
      </c>
      <c r="CV383" s="27" t="s">
        <v>7</v>
      </c>
      <c r="CW383" s="27" t="s">
        <v>8</v>
      </c>
      <c r="DF383" s="27" t="s">
        <v>7</v>
      </c>
      <c r="DG383" s="27" t="s">
        <v>8</v>
      </c>
      <c r="DH383" s="27" t="s">
        <v>7</v>
      </c>
      <c r="DI383" s="27" t="s">
        <v>8</v>
      </c>
      <c r="DL383" s="27" t="s">
        <v>7</v>
      </c>
      <c r="DM383" s="27" t="s">
        <v>8</v>
      </c>
      <c r="DN383" s="27" t="s">
        <v>7</v>
      </c>
      <c r="DO383" s="27" t="s">
        <v>8</v>
      </c>
      <c r="DP383" s="27" t="s">
        <v>7</v>
      </c>
      <c r="DW383" s="27" t="s">
        <v>8</v>
      </c>
      <c r="DX383" s="27" t="s">
        <v>7</v>
      </c>
      <c r="DY383" s="27" t="s">
        <v>8</v>
      </c>
      <c r="DZ383" s="27" t="s">
        <v>7</v>
      </c>
      <c r="EA383" s="27" t="s">
        <v>8</v>
      </c>
      <c r="ED383" s="27" t="s">
        <v>7</v>
      </c>
      <c r="EE383" s="27" t="s">
        <v>8</v>
      </c>
      <c r="EF383" s="27" t="s">
        <v>7</v>
      </c>
      <c r="EG383" s="27" t="s">
        <v>8</v>
      </c>
      <c r="EJ383" s="27" t="s">
        <v>7</v>
      </c>
      <c r="EK383" s="27" t="s">
        <v>8</v>
      </c>
    </row>
    <row r="384" spans="1:142" x14ac:dyDescent="0.25">
      <c r="A384" s="7">
        <v>55.69739297746478</v>
      </c>
      <c r="B384"/>
      <c r="C384"/>
      <c r="D384"/>
      <c r="E384"/>
      <c r="BK384" s="27" t="s">
        <v>8</v>
      </c>
      <c r="BL384" s="27" t="s">
        <v>7</v>
      </c>
      <c r="BN384" s="27" t="s">
        <v>7</v>
      </c>
      <c r="BO384" s="27" t="s">
        <v>8</v>
      </c>
      <c r="BP384" s="27" t="s">
        <v>7</v>
      </c>
      <c r="BQ384" s="27" t="s">
        <v>8</v>
      </c>
      <c r="BR384" s="27" t="s">
        <v>7</v>
      </c>
      <c r="BS384" s="27" t="s">
        <v>8</v>
      </c>
      <c r="BT384" s="27" t="s">
        <v>7</v>
      </c>
      <c r="CE384" s="27" t="s">
        <v>8</v>
      </c>
      <c r="CF384" s="27" t="s">
        <v>7</v>
      </c>
      <c r="CG384" s="27" t="s">
        <v>8</v>
      </c>
      <c r="CJ384" s="27" t="s">
        <v>7</v>
      </c>
      <c r="CM384" s="27" t="s">
        <v>8</v>
      </c>
      <c r="CN384" s="27" t="s">
        <v>7</v>
      </c>
      <c r="CO384" s="27" t="s">
        <v>8</v>
      </c>
      <c r="CP384" s="27" t="s">
        <v>7</v>
      </c>
      <c r="CQ384" s="27" t="s">
        <v>8</v>
      </c>
      <c r="CR384" s="27" t="s">
        <v>7</v>
      </c>
      <c r="CU384" s="27" t="s">
        <v>8</v>
      </c>
      <c r="CV384" s="27" t="s">
        <v>7</v>
      </c>
      <c r="CW384" s="27" t="s">
        <v>8</v>
      </c>
      <c r="DF384" s="27" t="s">
        <v>7</v>
      </c>
      <c r="DH384" s="27" t="s">
        <v>7</v>
      </c>
      <c r="DI384" s="27" t="s">
        <v>8</v>
      </c>
      <c r="DL384" s="27" t="s">
        <v>7</v>
      </c>
      <c r="DM384" s="27" t="s">
        <v>8</v>
      </c>
      <c r="DN384" s="27" t="s">
        <v>7</v>
      </c>
      <c r="DO384" s="27" t="s">
        <v>8</v>
      </c>
      <c r="DP384" s="27" t="s">
        <v>7</v>
      </c>
      <c r="DW384" s="27" t="s">
        <v>8</v>
      </c>
      <c r="DX384" s="27" t="s">
        <v>7</v>
      </c>
      <c r="DY384" s="27" t="s">
        <v>8</v>
      </c>
      <c r="DZ384" s="27" t="s">
        <v>7</v>
      </c>
      <c r="EA384" s="27" t="s">
        <v>8</v>
      </c>
      <c r="ED384" s="27" t="s">
        <v>7</v>
      </c>
      <c r="EE384" s="27" t="s">
        <v>8</v>
      </c>
      <c r="EF384" s="27" t="s">
        <v>7</v>
      </c>
      <c r="EG384" s="27" t="s">
        <v>8</v>
      </c>
      <c r="EJ384" s="27" t="s">
        <v>7</v>
      </c>
      <c r="EK384" s="27" t="s">
        <v>8</v>
      </c>
      <c r="EL384" s="27" t="s">
        <v>7</v>
      </c>
    </row>
    <row r="385" spans="1:146" x14ac:dyDescent="0.25">
      <c r="A385" s="7">
        <v>54.605287232808607</v>
      </c>
      <c r="B385"/>
      <c r="C385"/>
      <c r="D385"/>
      <c r="E385"/>
      <c r="BK385" s="27" t="s">
        <v>8</v>
      </c>
      <c r="BN385" s="27" t="s">
        <v>7</v>
      </c>
      <c r="BO385" s="27" t="s">
        <v>8</v>
      </c>
      <c r="BP385" s="27" t="s">
        <v>7</v>
      </c>
      <c r="BQ385" s="27" t="s">
        <v>8</v>
      </c>
      <c r="BR385" s="27" t="s">
        <v>7</v>
      </c>
      <c r="BS385" s="27" t="s">
        <v>8</v>
      </c>
      <c r="BT385" s="27" t="s">
        <v>7</v>
      </c>
      <c r="BW385" s="27" t="s">
        <v>8</v>
      </c>
      <c r="CE385" s="27" t="s">
        <v>8</v>
      </c>
      <c r="CF385" s="27" t="s">
        <v>7</v>
      </c>
      <c r="CG385" s="27" t="s">
        <v>8</v>
      </c>
      <c r="CJ385" s="27" t="s">
        <v>7</v>
      </c>
      <c r="CK385" s="27" t="s">
        <v>8</v>
      </c>
      <c r="CM385" s="27" t="s">
        <v>8</v>
      </c>
      <c r="CN385" s="27" t="s">
        <v>7</v>
      </c>
      <c r="CO385" s="27" t="s">
        <v>8</v>
      </c>
      <c r="CP385" s="27" t="s">
        <v>7</v>
      </c>
      <c r="CQ385" s="27" t="s">
        <v>8</v>
      </c>
      <c r="CR385" s="27" t="s">
        <v>7</v>
      </c>
      <c r="CS385" s="27" t="s">
        <v>8</v>
      </c>
      <c r="CU385" s="27" t="s">
        <v>8</v>
      </c>
      <c r="CV385" s="27" t="s">
        <v>7</v>
      </c>
      <c r="CW385" s="27" t="s">
        <v>8</v>
      </c>
      <c r="DH385" s="27" t="s">
        <v>7</v>
      </c>
      <c r="DI385" s="27" t="s">
        <v>8</v>
      </c>
      <c r="DL385" s="27" t="s">
        <v>7</v>
      </c>
      <c r="DM385" s="27" t="s">
        <v>8</v>
      </c>
      <c r="DN385" s="27" t="s">
        <v>7</v>
      </c>
      <c r="DO385" s="27" t="s">
        <v>8</v>
      </c>
      <c r="DP385" s="27" t="s">
        <v>7</v>
      </c>
      <c r="DW385" s="27" t="s">
        <v>8</v>
      </c>
      <c r="DX385" s="27" t="s">
        <v>7</v>
      </c>
      <c r="DY385" s="27" t="s">
        <v>8</v>
      </c>
      <c r="DZ385" s="27" t="s">
        <v>7</v>
      </c>
      <c r="EA385" s="27" t="s">
        <v>8</v>
      </c>
      <c r="ED385" s="27" t="s">
        <v>7</v>
      </c>
      <c r="EE385" s="27" t="s">
        <v>8</v>
      </c>
      <c r="EF385" s="27" t="s">
        <v>7</v>
      </c>
      <c r="EG385" s="27" t="s">
        <v>8</v>
      </c>
      <c r="EJ385" s="27" t="s">
        <v>7</v>
      </c>
      <c r="EK385" s="27" t="s">
        <v>8</v>
      </c>
      <c r="EL385" s="27" t="s">
        <v>7</v>
      </c>
    </row>
    <row r="386" spans="1:146" x14ac:dyDescent="0.25">
      <c r="A386" s="7">
        <v>53.534595326282947</v>
      </c>
      <c r="B386"/>
      <c r="C386"/>
      <c r="D386"/>
      <c r="E386"/>
      <c r="BK386" s="27" t="s">
        <v>8</v>
      </c>
      <c r="BN386" s="27" t="s">
        <v>7</v>
      </c>
      <c r="BO386" s="27" t="s">
        <v>8</v>
      </c>
      <c r="BP386" s="27" t="s">
        <v>7</v>
      </c>
      <c r="BQ386" s="27" t="s">
        <v>8</v>
      </c>
      <c r="BR386" s="27" t="s">
        <v>7</v>
      </c>
      <c r="BS386" s="27" t="s">
        <v>8</v>
      </c>
      <c r="BT386" s="27" t="s">
        <v>7</v>
      </c>
      <c r="BU386" s="27" t="s">
        <v>8</v>
      </c>
      <c r="BW386" s="27" t="s">
        <v>8</v>
      </c>
      <c r="BX386" s="27" t="s">
        <v>7</v>
      </c>
      <c r="CE386" s="27" t="s">
        <v>8</v>
      </c>
      <c r="CF386" s="27" t="s">
        <v>7</v>
      </c>
      <c r="CG386" s="27" t="s">
        <v>8</v>
      </c>
      <c r="CJ386" s="27" t="s">
        <v>7</v>
      </c>
      <c r="CK386" s="27" t="s">
        <v>8</v>
      </c>
      <c r="CL386" s="27" t="s">
        <v>7</v>
      </c>
      <c r="CM386" s="27" t="s">
        <v>8</v>
      </c>
      <c r="CN386" s="27" t="s">
        <v>7</v>
      </c>
      <c r="CO386" s="27" t="s">
        <v>8</v>
      </c>
      <c r="CP386" s="27" t="s">
        <v>7</v>
      </c>
      <c r="CQ386" s="27" t="s">
        <v>8</v>
      </c>
      <c r="CR386" s="27" t="s">
        <v>7</v>
      </c>
      <c r="CS386" s="27" t="s">
        <v>8</v>
      </c>
      <c r="CT386" s="27" t="s">
        <v>7</v>
      </c>
      <c r="CU386" s="27" t="s">
        <v>8</v>
      </c>
      <c r="CV386" s="27" t="s">
        <v>7</v>
      </c>
      <c r="CW386" s="27" t="s">
        <v>8</v>
      </c>
      <c r="DH386" s="27" t="s">
        <v>7</v>
      </c>
      <c r="DI386" s="27" t="s">
        <v>8</v>
      </c>
      <c r="DL386" s="27" t="s">
        <v>7</v>
      </c>
      <c r="DM386" s="27" t="s">
        <v>8</v>
      </c>
      <c r="DN386" s="27" t="s">
        <v>7</v>
      </c>
      <c r="DO386" s="27" t="s">
        <v>8</v>
      </c>
      <c r="DP386" s="27" t="s">
        <v>7</v>
      </c>
      <c r="DW386" s="27" t="s">
        <v>8</v>
      </c>
      <c r="DX386" s="27" t="s">
        <v>7</v>
      </c>
      <c r="DY386" s="27" t="s">
        <v>8</v>
      </c>
      <c r="DZ386" s="27" t="s">
        <v>7</v>
      </c>
      <c r="EA386" s="27" t="s">
        <v>8</v>
      </c>
      <c r="ED386" s="27" t="s">
        <v>7</v>
      </c>
      <c r="EF386" s="27" t="s">
        <v>7</v>
      </c>
      <c r="EJ386" s="27" t="s">
        <v>7</v>
      </c>
      <c r="EL386" s="27" t="s">
        <v>7</v>
      </c>
      <c r="EO386" s="27" t="s">
        <v>8</v>
      </c>
    </row>
    <row r="387" spans="1:146" x14ac:dyDescent="0.25">
      <c r="A387" s="7">
        <v>52.484897378708773</v>
      </c>
      <c r="B387"/>
      <c r="C387"/>
      <c r="D387"/>
      <c r="E387"/>
      <c r="BK387" s="27" t="s">
        <v>8</v>
      </c>
      <c r="BN387" s="27" t="s">
        <v>7</v>
      </c>
      <c r="BO387" s="27" t="s">
        <v>8</v>
      </c>
      <c r="BP387" s="27" t="s">
        <v>7</v>
      </c>
      <c r="BQ387" s="27" t="s">
        <v>8</v>
      </c>
      <c r="BR387" s="27" t="s">
        <v>7</v>
      </c>
      <c r="BS387" s="27" t="s">
        <v>8</v>
      </c>
      <c r="BT387" s="27" t="s">
        <v>7</v>
      </c>
      <c r="BU387" s="27" t="s">
        <v>8</v>
      </c>
      <c r="BV387" s="27" t="s">
        <v>7</v>
      </c>
      <c r="BW387" s="27" t="s">
        <v>8</v>
      </c>
      <c r="BX387" s="27" t="s">
        <v>7</v>
      </c>
      <c r="CE387" s="27" t="s">
        <v>8</v>
      </c>
      <c r="CF387" s="27" t="s">
        <v>7</v>
      </c>
      <c r="CJ387" s="27" t="s">
        <v>7</v>
      </c>
      <c r="CK387" s="27" t="s">
        <v>8</v>
      </c>
      <c r="CL387" s="27" t="s">
        <v>7</v>
      </c>
      <c r="CM387" s="27" t="s">
        <v>8</v>
      </c>
      <c r="CN387" s="27" t="s">
        <v>7</v>
      </c>
      <c r="CO387" s="27" t="s">
        <v>8</v>
      </c>
      <c r="CP387" s="27" t="s">
        <v>7</v>
      </c>
      <c r="CQ387" s="27" t="s">
        <v>8</v>
      </c>
      <c r="CR387" s="27" t="s">
        <v>7</v>
      </c>
      <c r="CS387" s="27" t="s">
        <v>8</v>
      </c>
      <c r="CT387" s="27" t="s">
        <v>7</v>
      </c>
      <c r="CU387" s="27" t="s">
        <v>8</v>
      </c>
      <c r="CV387" s="27" t="s">
        <v>7</v>
      </c>
      <c r="CW387" s="27" t="s">
        <v>8</v>
      </c>
      <c r="DH387" s="27" t="s">
        <v>7</v>
      </c>
      <c r="DI387" s="27" t="s">
        <v>8</v>
      </c>
      <c r="DL387" s="27" t="s">
        <v>7</v>
      </c>
      <c r="DN387" s="27" t="s">
        <v>7</v>
      </c>
      <c r="DP387" s="27" t="s">
        <v>7</v>
      </c>
      <c r="DW387" s="27" t="s">
        <v>8</v>
      </c>
      <c r="DX387" s="27" t="s">
        <v>7</v>
      </c>
      <c r="DY387" s="27" t="s">
        <v>8</v>
      </c>
      <c r="DZ387" s="27" t="s">
        <v>7</v>
      </c>
      <c r="EL387" s="27" t="s">
        <v>7</v>
      </c>
      <c r="EM387" s="27" t="s">
        <v>8</v>
      </c>
      <c r="EO387" s="27" t="s">
        <v>8</v>
      </c>
      <c r="EP387" s="27" t="s">
        <v>7</v>
      </c>
    </row>
    <row r="388" spans="1:146" x14ac:dyDescent="0.25">
      <c r="A388" s="7">
        <v>51.455781743832127</v>
      </c>
      <c r="B388"/>
      <c r="C388"/>
      <c r="D388"/>
      <c r="E388"/>
      <c r="BK388" s="27" t="s">
        <v>8</v>
      </c>
      <c r="BN388" s="27" t="s">
        <v>7</v>
      </c>
      <c r="BO388" s="27" t="s">
        <v>8</v>
      </c>
      <c r="BP388" s="27" t="s">
        <v>7</v>
      </c>
      <c r="BQ388" s="27" t="s">
        <v>8</v>
      </c>
      <c r="BR388" s="27" t="s">
        <v>7</v>
      </c>
      <c r="BS388" s="27" t="s">
        <v>8</v>
      </c>
      <c r="BT388" s="27" t="s">
        <v>7</v>
      </c>
      <c r="BU388" s="27" t="s">
        <v>8</v>
      </c>
      <c r="BV388" s="27" t="s">
        <v>7</v>
      </c>
      <c r="BW388" s="27" t="s">
        <v>8</v>
      </c>
      <c r="BX388" s="27" t="s">
        <v>7</v>
      </c>
      <c r="CE388" s="27" t="s">
        <v>8</v>
      </c>
      <c r="CJ388" s="27" t="s">
        <v>7</v>
      </c>
      <c r="CL388" s="27" t="s">
        <v>7</v>
      </c>
      <c r="CN388" s="27" t="s">
        <v>7</v>
      </c>
      <c r="CO388" s="27" t="s">
        <v>8</v>
      </c>
      <c r="CP388" s="27" t="s">
        <v>7</v>
      </c>
      <c r="CQ388" s="27" t="s">
        <v>8</v>
      </c>
      <c r="CR388" s="27" t="s">
        <v>7</v>
      </c>
      <c r="CS388" s="27" t="s">
        <v>8</v>
      </c>
      <c r="CT388" s="27" t="s">
        <v>7</v>
      </c>
      <c r="CU388" s="27" t="s">
        <v>8</v>
      </c>
      <c r="CV388" s="27" t="s">
        <v>7</v>
      </c>
      <c r="DH388" s="27" t="s">
        <v>7</v>
      </c>
      <c r="DP388" s="27" t="s">
        <v>7</v>
      </c>
      <c r="DQ388" s="27" t="s">
        <v>8</v>
      </c>
      <c r="DW388" s="27" t="s">
        <v>8</v>
      </c>
      <c r="DX388" s="27" t="s">
        <v>7</v>
      </c>
      <c r="DY388" s="27" t="s">
        <v>8</v>
      </c>
      <c r="EL388" s="27" t="s">
        <v>7</v>
      </c>
      <c r="EM388" s="27" t="s">
        <v>8</v>
      </c>
      <c r="EN388" s="27" t="s">
        <v>7</v>
      </c>
      <c r="EO388" s="27" t="s">
        <v>8</v>
      </c>
      <c r="EP388" s="27" t="s">
        <v>7</v>
      </c>
    </row>
    <row r="389" spans="1:146" x14ac:dyDescent="0.25">
      <c r="A389" s="7">
        <v>50.446844846894244</v>
      </c>
      <c r="B389"/>
      <c r="C389"/>
      <c r="D389"/>
      <c r="E389"/>
      <c r="BK389" s="27" t="s">
        <v>8</v>
      </c>
      <c r="BN389" s="27" t="s">
        <v>7</v>
      </c>
      <c r="BO389" s="27" t="s">
        <v>8</v>
      </c>
      <c r="BP389" s="27" t="s">
        <v>7</v>
      </c>
      <c r="BQ389" s="27" t="s">
        <v>8</v>
      </c>
      <c r="BR389" s="27" t="s">
        <v>7</v>
      </c>
      <c r="BT389" s="27" t="s">
        <v>7</v>
      </c>
      <c r="BU389" s="27" t="s">
        <v>8</v>
      </c>
      <c r="BV389" s="27" t="s">
        <v>7</v>
      </c>
      <c r="BW389" s="27" t="s">
        <v>8</v>
      </c>
      <c r="BX389" s="27" t="s">
        <v>7</v>
      </c>
      <c r="CE389" s="27" t="s">
        <v>8</v>
      </c>
      <c r="CN389" s="27" t="s">
        <v>7</v>
      </c>
      <c r="CO389" s="27" t="s">
        <v>8</v>
      </c>
      <c r="CP389" s="27" t="s">
        <v>7</v>
      </c>
      <c r="CQ389" s="27" t="s">
        <v>8</v>
      </c>
      <c r="CR389" s="27" t="s">
        <v>7</v>
      </c>
      <c r="CS389" s="27" t="s">
        <v>8</v>
      </c>
      <c r="CT389" s="27" t="s">
        <v>7</v>
      </c>
      <c r="CU389" s="27" t="s">
        <v>8</v>
      </c>
      <c r="DP389" s="27" t="s">
        <v>7</v>
      </c>
      <c r="DQ389" s="27" t="s">
        <v>8</v>
      </c>
      <c r="DR389" s="27" t="s">
        <v>7</v>
      </c>
      <c r="DW389" s="27" t="s">
        <v>8</v>
      </c>
      <c r="DX389" s="27" t="s">
        <v>7</v>
      </c>
      <c r="EL389" s="27" t="s">
        <v>7</v>
      </c>
      <c r="EM389" s="27" t="s">
        <v>8</v>
      </c>
      <c r="EN389" s="27" t="s">
        <v>7</v>
      </c>
      <c r="EO389" s="27" t="s">
        <v>8</v>
      </c>
      <c r="EP389" s="27" t="s">
        <v>7</v>
      </c>
    </row>
    <row r="390" spans="1:146" x14ac:dyDescent="0.25">
      <c r="A390" s="7">
        <v>49.457691026366902</v>
      </c>
      <c r="B390"/>
      <c r="C390"/>
      <c r="D390"/>
      <c r="E390"/>
      <c r="BK390" s="27" t="s">
        <v>8</v>
      </c>
      <c r="BN390" s="27" t="s">
        <v>7</v>
      </c>
      <c r="BO390" s="27" t="s">
        <v>8</v>
      </c>
      <c r="BP390" s="27" t="s">
        <v>7</v>
      </c>
      <c r="BQ390" s="27" t="s">
        <v>8</v>
      </c>
      <c r="BT390" s="27" t="s">
        <v>7</v>
      </c>
      <c r="BU390" s="27" t="s">
        <v>8</v>
      </c>
      <c r="BV390" s="27" t="s">
        <v>7</v>
      </c>
      <c r="BW390" s="27" t="s">
        <v>8</v>
      </c>
      <c r="BX390" s="27" t="s">
        <v>7</v>
      </c>
      <c r="CE390" s="27" t="s">
        <v>8</v>
      </c>
      <c r="CN390" s="27" t="s">
        <v>7</v>
      </c>
      <c r="CO390" s="27" t="s">
        <v>8</v>
      </c>
      <c r="CP390" s="27" t="s">
        <v>7</v>
      </c>
      <c r="CR390" s="27" t="s">
        <v>7</v>
      </c>
      <c r="CS390" s="27" t="s">
        <v>8</v>
      </c>
      <c r="CT390" s="27" t="s">
        <v>7</v>
      </c>
      <c r="DP390" s="27" t="s">
        <v>7</v>
      </c>
      <c r="DQ390" s="27" t="s">
        <v>8</v>
      </c>
      <c r="DR390" s="27" t="s">
        <v>7</v>
      </c>
      <c r="DS390" s="27" t="s">
        <v>8</v>
      </c>
      <c r="DW390" s="27" t="s">
        <v>8</v>
      </c>
      <c r="EL390" s="27" t="s">
        <v>7</v>
      </c>
      <c r="EM390" s="27" t="s">
        <v>8</v>
      </c>
      <c r="EN390" s="27" t="s">
        <v>7</v>
      </c>
      <c r="EO390" s="27" t="s">
        <v>8</v>
      </c>
      <c r="EP390" s="27" t="s">
        <v>7</v>
      </c>
    </row>
    <row r="391" spans="1:146" x14ac:dyDescent="0.25">
      <c r="A391" s="7">
        <v>48.487932378791079</v>
      </c>
      <c r="B391"/>
      <c r="C391"/>
      <c r="D391"/>
      <c r="E391"/>
      <c r="BK391" s="27" t="s">
        <v>8</v>
      </c>
      <c r="BN391" s="27" t="s">
        <v>7</v>
      </c>
      <c r="BP391" s="27" t="s">
        <v>7</v>
      </c>
      <c r="BQ391" s="27" t="s">
        <v>8</v>
      </c>
      <c r="BT391" s="27" t="s">
        <v>7</v>
      </c>
      <c r="BV391" s="27" t="s">
        <v>7</v>
      </c>
      <c r="BW391" s="27" t="s">
        <v>8</v>
      </c>
      <c r="BX391" s="27" t="s">
        <v>7</v>
      </c>
      <c r="CE391" s="27" t="s">
        <v>8</v>
      </c>
      <c r="CN391" s="27" t="s">
        <v>7</v>
      </c>
      <c r="CR391" s="27" t="s">
        <v>7</v>
      </c>
      <c r="CS391" s="27" t="s">
        <v>8</v>
      </c>
      <c r="DP391" s="27" t="s">
        <v>7</v>
      </c>
      <c r="DQ391" s="27" t="s">
        <v>8</v>
      </c>
      <c r="DR391" s="27" t="s">
        <v>7</v>
      </c>
      <c r="DS391" s="27" t="s">
        <v>8</v>
      </c>
      <c r="DT391" s="27" t="s">
        <v>7</v>
      </c>
      <c r="DW391" s="27" t="s">
        <v>8</v>
      </c>
      <c r="EL391" s="27" t="s">
        <v>7</v>
      </c>
      <c r="EM391" s="27" t="s">
        <v>8</v>
      </c>
      <c r="EN391" s="27" t="s">
        <v>7</v>
      </c>
      <c r="EO391" s="27" t="s">
        <v>8</v>
      </c>
      <c r="EP391" s="27" t="s">
        <v>7</v>
      </c>
    </row>
    <row r="392" spans="1:146" x14ac:dyDescent="0.25">
      <c r="A392" s="7">
        <v>47.537188606657921</v>
      </c>
      <c r="B392"/>
      <c r="C392"/>
      <c r="D392"/>
      <c r="E392"/>
      <c r="BK392" s="27" t="s">
        <v>8</v>
      </c>
      <c r="BP392" s="27" t="s">
        <v>7</v>
      </c>
      <c r="BQ392" s="27" t="s">
        <v>8</v>
      </c>
      <c r="BV392" s="27" t="s">
        <v>7</v>
      </c>
      <c r="BW392" s="27" t="s">
        <v>8</v>
      </c>
      <c r="BX392" s="27" t="s">
        <v>7</v>
      </c>
      <c r="BY392" s="27" t="s">
        <v>8</v>
      </c>
      <c r="CE392" s="27" t="s">
        <v>8</v>
      </c>
      <c r="CR392" s="27" t="s">
        <v>7</v>
      </c>
      <c r="CS392" s="27" t="s">
        <v>8</v>
      </c>
      <c r="DP392" s="27" t="s">
        <v>7</v>
      </c>
      <c r="DQ392" s="27" t="s">
        <v>8</v>
      </c>
      <c r="DR392" s="27" t="s">
        <v>7</v>
      </c>
      <c r="DS392" s="27" t="s">
        <v>8</v>
      </c>
      <c r="DT392" s="27" t="s">
        <v>7</v>
      </c>
      <c r="DW392" s="27" t="s">
        <v>8</v>
      </c>
      <c r="EL392" s="27" t="s">
        <v>7</v>
      </c>
      <c r="EM392" s="27" t="s">
        <v>8</v>
      </c>
      <c r="EN392" s="27" t="s">
        <v>7</v>
      </c>
      <c r="EO392" s="27" t="s">
        <v>8</v>
      </c>
      <c r="EP392" s="27" t="s">
        <v>7</v>
      </c>
    </row>
    <row r="393" spans="1:146" x14ac:dyDescent="0.25">
      <c r="A393" s="7">
        <v>46.605086869272469</v>
      </c>
      <c r="B393"/>
      <c r="C393"/>
      <c r="D393"/>
      <c r="E393"/>
      <c r="BK393" s="27" t="s">
        <v>8</v>
      </c>
      <c r="BP393" s="27" t="s">
        <v>7</v>
      </c>
      <c r="BQ393" s="27" t="s">
        <v>8</v>
      </c>
      <c r="BV393" s="27" t="s">
        <v>7</v>
      </c>
      <c r="BW393" s="27" t="s">
        <v>8</v>
      </c>
      <c r="BX393" s="27" t="s">
        <v>7</v>
      </c>
      <c r="BY393" s="27" t="s">
        <v>8</v>
      </c>
      <c r="BZ393" s="27" t="s">
        <v>7</v>
      </c>
      <c r="CE393" s="27" t="s">
        <v>8</v>
      </c>
      <c r="CR393" s="27" t="s">
        <v>7</v>
      </c>
      <c r="CS393" s="27" t="s">
        <v>8</v>
      </c>
      <c r="DP393" s="27" t="s">
        <v>7</v>
      </c>
      <c r="DQ393" s="27" t="s">
        <v>8</v>
      </c>
      <c r="DR393" s="27" t="s">
        <v>7</v>
      </c>
      <c r="DS393" s="27" t="s">
        <v>8</v>
      </c>
      <c r="DT393" s="27" t="s">
        <v>7</v>
      </c>
      <c r="DW393" s="27" t="s">
        <v>8</v>
      </c>
      <c r="EL393" s="27" t="s">
        <v>7</v>
      </c>
      <c r="EM393" s="27" t="s">
        <v>8</v>
      </c>
      <c r="EN393" s="27" t="s">
        <v>7</v>
      </c>
      <c r="EO393" s="27" t="s">
        <v>8</v>
      </c>
      <c r="EP393" s="27" t="s">
        <v>7</v>
      </c>
    </row>
    <row r="394" spans="1:146" x14ac:dyDescent="0.25">
      <c r="A394" s="7">
        <v>45.691261636541633</v>
      </c>
      <c r="B394"/>
      <c r="C394"/>
      <c r="D394"/>
      <c r="E394"/>
      <c r="BK394" s="27" t="s">
        <v>8</v>
      </c>
      <c r="BP394" s="27" t="s">
        <v>7</v>
      </c>
      <c r="BQ394" s="27" t="s">
        <v>8</v>
      </c>
      <c r="BV394" s="27" t="s">
        <v>7</v>
      </c>
      <c r="BW394" s="27" t="s">
        <v>8</v>
      </c>
      <c r="BX394" s="27" t="s">
        <v>7</v>
      </c>
      <c r="BY394" s="27" t="s">
        <v>8</v>
      </c>
      <c r="BZ394" s="27" t="s">
        <v>7</v>
      </c>
      <c r="CA394" s="27" t="s">
        <v>8</v>
      </c>
      <c r="CE394" s="27" t="s">
        <v>8</v>
      </c>
      <c r="CR394" s="27" t="s">
        <v>7</v>
      </c>
      <c r="DP394" s="27" t="s">
        <v>7</v>
      </c>
      <c r="DQ394" s="27" t="s">
        <v>8</v>
      </c>
      <c r="DR394" s="27" t="s">
        <v>7</v>
      </c>
      <c r="DS394" s="27" t="s">
        <v>8</v>
      </c>
      <c r="DT394" s="27" t="s">
        <v>7</v>
      </c>
      <c r="DW394" s="27" t="s">
        <v>8</v>
      </c>
      <c r="EL394" s="27" t="s">
        <v>7</v>
      </c>
      <c r="EN394" s="27" t="s">
        <v>7</v>
      </c>
      <c r="EO394" s="27" t="s">
        <v>8</v>
      </c>
      <c r="EP394" s="27" t="s">
        <v>7</v>
      </c>
    </row>
    <row r="395" spans="1:146" x14ac:dyDescent="0.25">
      <c r="A395" s="7">
        <v>44.795354545629053</v>
      </c>
      <c r="B395"/>
      <c r="C395"/>
      <c r="D395"/>
      <c r="E395"/>
      <c r="BK395" s="27" t="s">
        <v>8</v>
      </c>
      <c r="BP395" s="27" t="s">
        <v>7</v>
      </c>
      <c r="BQ395" s="27" t="s">
        <v>8</v>
      </c>
      <c r="BV395" s="27" t="s">
        <v>7</v>
      </c>
      <c r="BW395" s="27" t="s">
        <v>8</v>
      </c>
      <c r="BX395" s="27" t="s">
        <v>7</v>
      </c>
      <c r="BY395" s="27" t="s">
        <v>8</v>
      </c>
      <c r="BZ395" s="27" t="s">
        <v>7</v>
      </c>
      <c r="CA395" s="27" t="s">
        <v>8</v>
      </c>
      <c r="CB395" s="27" t="s">
        <v>7</v>
      </c>
      <c r="CC395" s="27" t="s">
        <v>8</v>
      </c>
      <c r="CE395" s="27" t="s">
        <v>8</v>
      </c>
      <c r="DP395" s="27" t="s">
        <v>7</v>
      </c>
      <c r="DQ395" s="27" t="s">
        <v>8</v>
      </c>
      <c r="DR395" s="27" t="s">
        <v>7</v>
      </c>
      <c r="DS395" s="27" t="s">
        <v>8</v>
      </c>
      <c r="DT395" s="27" t="s">
        <v>7</v>
      </c>
      <c r="DW395" s="27" t="s">
        <v>8</v>
      </c>
      <c r="EN395" s="27" t="s">
        <v>7</v>
      </c>
      <c r="EP395" s="27" t="s">
        <v>7</v>
      </c>
    </row>
    <row r="396" spans="1:146" x14ac:dyDescent="0.25">
      <c r="A396" s="7">
        <v>43.917014260420636</v>
      </c>
      <c r="B396"/>
      <c r="C396"/>
      <c r="D396"/>
      <c r="E396"/>
      <c r="BK396" s="27" t="s">
        <v>8</v>
      </c>
      <c r="BP396" s="27" t="s">
        <v>7</v>
      </c>
      <c r="BQ396" s="27" t="s">
        <v>8</v>
      </c>
      <c r="BV396" s="27" t="s">
        <v>7</v>
      </c>
      <c r="BW396" s="27" t="s">
        <v>8</v>
      </c>
      <c r="BX396" s="27" t="s">
        <v>7</v>
      </c>
      <c r="BZ396" s="27" t="s">
        <v>7</v>
      </c>
      <c r="CA396" s="27" t="s">
        <v>8</v>
      </c>
      <c r="CB396" s="27" t="s">
        <v>7</v>
      </c>
      <c r="CC396" s="27" t="s">
        <v>8</v>
      </c>
      <c r="CD396" s="27" t="s">
        <v>7</v>
      </c>
      <c r="CE396" s="27" t="s">
        <v>8</v>
      </c>
      <c r="DP396" s="27" t="s">
        <v>7</v>
      </c>
      <c r="DQ396" s="27" t="s">
        <v>8</v>
      </c>
      <c r="DR396" s="27" t="s">
        <v>7</v>
      </c>
      <c r="DS396" s="27" t="s">
        <v>8</v>
      </c>
      <c r="DT396" s="27" t="s">
        <v>7</v>
      </c>
      <c r="DW396" s="27" t="s">
        <v>8</v>
      </c>
      <c r="EP396" s="27" t="s">
        <v>7</v>
      </c>
    </row>
    <row r="397" spans="1:146" x14ac:dyDescent="0.25">
      <c r="A397" s="7">
        <v>43.055896333745721</v>
      </c>
      <c r="B397"/>
      <c r="C397"/>
      <c r="D397"/>
      <c r="E397"/>
      <c r="BK397" s="27" t="s">
        <v>8</v>
      </c>
      <c r="BP397" s="27" t="s">
        <v>7</v>
      </c>
      <c r="BQ397" s="27" t="s">
        <v>8</v>
      </c>
      <c r="BV397" s="27" t="s">
        <v>7</v>
      </c>
      <c r="BW397" s="27" t="s">
        <v>8</v>
      </c>
      <c r="BZ397" s="27" t="s">
        <v>7</v>
      </c>
      <c r="CA397" s="27" t="s">
        <v>8</v>
      </c>
      <c r="CB397" s="27" t="s">
        <v>7</v>
      </c>
      <c r="CC397" s="27" t="s">
        <v>8</v>
      </c>
      <c r="CD397" s="27" t="s">
        <v>7</v>
      </c>
      <c r="CE397" s="27" t="s">
        <v>8</v>
      </c>
      <c r="DP397" s="27" t="s">
        <v>7</v>
      </c>
      <c r="DQ397" s="27" t="s">
        <v>8</v>
      </c>
      <c r="DR397" s="27" t="s">
        <v>7</v>
      </c>
      <c r="DS397" s="27" t="s">
        <v>8</v>
      </c>
      <c r="DT397" s="27" t="s">
        <v>7</v>
      </c>
      <c r="DW397" s="27" t="s">
        <v>8</v>
      </c>
      <c r="EP397" s="27" t="s">
        <v>7</v>
      </c>
    </row>
    <row r="398" spans="1:146" x14ac:dyDescent="0.25">
      <c r="A398" s="7">
        <v>42.211663072299729</v>
      </c>
      <c r="B398"/>
      <c r="C398"/>
      <c r="D398"/>
      <c r="E398"/>
      <c r="BK398" s="27" t="s">
        <v>8</v>
      </c>
      <c r="BP398" s="27" t="s">
        <v>7</v>
      </c>
      <c r="BV398" s="27" t="s">
        <v>7</v>
      </c>
      <c r="BW398" s="27" t="s">
        <v>8</v>
      </c>
      <c r="BZ398" s="27" t="s">
        <v>7</v>
      </c>
      <c r="CA398" s="27" t="s">
        <v>8</v>
      </c>
      <c r="CB398" s="27" t="s">
        <v>7</v>
      </c>
      <c r="CC398" s="27" t="s">
        <v>8</v>
      </c>
      <c r="CD398" s="27" t="s">
        <v>7</v>
      </c>
      <c r="CE398" s="27" t="s">
        <v>8</v>
      </c>
      <c r="DP398" s="27" t="s">
        <v>7</v>
      </c>
      <c r="DQ398" s="27" t="s">
        <v>8</v>
      </c>
      <c r="DR398" s="27" t="s">
        <v>7</v>
      </c>
      <c r="DS398" s="27" t="s">
        <v>8</v>
      </c>
      <c r="DT398" s="27" t="s">
        <v>7</v>
      </c>
      <c r="DU398" s="27" t="s">
        <v>8</v>
      </c>
      <c r="DW398" s="27" t="s">
        <v>8</v>
      </c>
      <c r="EP398" s="27" t="s">
        <v>7</v>
      </c>
    </row>
    <row r="399" spans="1:146" x14ac:dyDescent="0.25">
      <c r="A399" s="7">
        <v>41.383983404215421</v>
      </c>
      <c r="B399"/>
      <c r="C399"/>
      <c r="D399"/>
      <c r="E399"/>
      <c r="BK399" s="27" t="s">
        <v>8</v>
      </c>
      <c r="BV399" s="27" t="s">
        <v>7</v>
      </c>
      <c r="BW399" s="27" t="s">
        <v>8</v>
      </c>
      <c r="BZ399" s="27" t="s">
        <v>7</v>
      </c>
      <c r="CB399" s="27" t="s">
        <v>7</v>
      </c>
      <c r="CC399" s="27" t="s">
        <v>8</v>
      </c>
      <c r="CD399" s="27" t="s">
        <v>7</v>
      </c>
      <c r="CE399" s="27" t="s">
        <v>8</v>
      </c>
      <c r="DP399" s="27" t="s">
        <v>7</v>
      </c>
      <c r="DQ399" s="27" t="s">
        <v>8</v>
      </c>
      <c r="DR399" s="27" t="s">
        <v>7</v>
      </c>
      <c r="DS399" s="27" t="s">
        <v>8</v>
      </c>
      <c r="DT399" s="27" t="s">
        <v>7</v>
      </c>
      <c r="DU399" s="27" t="s">
        <v>8</v>
      </c>
      <c r="DV399" s="27" t="s">
        <v>7</v>
      </c>
      <c r="DW399" s="27" t="s">
        <v>8</v>
      </c>
      <c r="EP399" s="27" t="s">
        <v>7</v>
      </c>
    </row>
    <row r="400" spans="1:146" x14ac:dyDescent="0.25">
      <c r="A400" s="7">
        <v>40.572532749230803</v>
      </c>
      <c r="B400"/>
      <c r="C400"/>
      <c r="D400"/>
      <c r="E400"/>
      <c r="BK400" s="27" t="s">
        <v>8</v>
      </c>
      <c r="BV400" s="27" t="s">
        <v>7</v>
      </c>
      <c r="BW400" s="27" t="s">
        <v>8</v>
      </c>
      <c r="CB400" s="27" t="s">
        <v>7</v>
      </c>
      <c r="CC400" s="27" t="s">
        <v>8</v>
      </c>
      <c r="CD400" s="27" t="s">
        <v>7</v>
      </c>
      <c r="DP400" s="27" t="s">
        <v>7</v>
      </c>
      <c r="DQ400" s="27" t="s">
        <v>8</v>
      </c>
      <c r="DR400" s="27" t="s">
        <v>7</v>
      </c>
      <c r="DT400" s="27" t="s">
        <v>7</v>
      </c>
      <c r="DU400" s="27" t="s">
        <v>8</v>
      </c>
      <c r="DV400" s="27" t="s">
        <v>7</v>
      </c>
      <c r="DW400" s="27" t="s">
        <v>8</v>
      </c>
      <c r="EP400" s="27" t="s">
        <v>7</v>
      </c>
    </row>
    <row r="401" spans="1:150" x14ac:dyDescent="0.25">
      <c r="A401" s="7">
        <v>39.776992891402749</v>
      </c>
      <c r="B401"/>
      <c r="C401"/>
      <c r="D401"/>
      <c r="E401"/>
      <c r="BK401" s="27" t="s">
        <v>8</v>
      </c>
      <c r="BV401" s="27" t="s">
        <v>7</v>
      </c>
      <c r="BW401" s="27" t="s">
        <v>8</v>
      </c>
      <c r="CB401" s="27" t="s">
        <v>7</v>
      </c>
      <c r="CC401" s="27" t="s">
        <v>8</v>
      </c>
      <c r="DP401" s="27" t="s">
        <v>7</v>
      </c>
      <c r="DQ401" s="27" t="s">
        <v>8</v>
      </c>
      <c r="DT401" s="27" t="s">
        <v>7</v>
      </c>
      <c r="DV401" s="27" t="s">
        <v>7</v>
      </c>
      <c r="DW401" s="27" t="s">
        <v>8</v>
      </c>
      <c r="EP401" s="27" t="s">
        <v>7</v>
      </c>
    </row>
    <row r="402" spans="1:150" x14ac:dyDescent="0.25">
      <c r="A402" s="7">
        <v>38.997051854316418</v>
      </c>
      <c r="B402"/>
      <c r="C402"/>
      <c r="D402"/>
      <c r="E402"/>
      <c r="BK402" s="27" t="s">
        <v>8</v>
      </c>
      <c r="BV402" s="27" t="s">
        <v>7</v>
      </c>
      <c r="BW402" s="27" t="s">
        <v>8</v>
      </c>
      <c r="CB402" s="27" t="s">
        <v>7</v>
      </c>
      <c r="CC402" s="27" t="s">
        <v>8</v>
      </c>
      <c r="DP402" s="27" t="s">
        <v>7</v>
      </c>
      <c r="DQ402" s="27" t="s">
        <v>8</v>
      </c>
      <c r="DV402" s="27" t="s">
        <v>7</v>
      </c>
      <c r="DW402" s="27" t="s">
        <v>8</v>
      </c>
      <c r="EP402" s="27" t="s">
        <v>7</v>
      </c>
    </row>
    <row r="403" spans="1:150" x14ac:dyDescent="0.25">
      <c r="A403" s="7">
        <v>38.232403778741585</v>
      </c>
      <c r="B403"/>
      <c r="C403"/>
      <c r="D403"/>
      <c r="E403"/>
      <c r="BK403" s="27" t="s">
        <v>8</v>
      </c>
      <c r="BV403" s="27" t="s">
        <v>7</v>
      </c>
      <c r="BW403" s="27" t="s">
        <v>8</v>
      </c>
      <c r="CB403" s="27" t="s">
        <v>7</v>
      </c>
      <c r="DP403" s="27" t="s">
        <v>7</v>
      </c>
      <c r="DV403" s="27" t="s">
        <v>7</v>
      </c>
      <c r="DW403" s="27" t="s">
        <v>8</v>
      </c>
      <c r="EP403" s="27" t="s">
        <v>7</v>
      </c>
    </row>
    <row r="404" spans="1:150" x14ac:dyDescent="0.25">
      <c r="A404" s="7">
        <v>37.48274880268783</v>
      </c>
      <c r="B404"/>
      <c r="C404"/>
      <c r="D404"/>
      <c r="E404"/>
      <c r="BK404" s="27" t="s">
        <v>8</v>
      </c>
      <c r="BV404" s="27" t="s">
        <v>7</v>
      </c>
      <c r="BW404" s="27" t="s">
        <v>8</v>
      </c>
      <c r="DV404" s="27" t="s">
        <v>7</v>
      </c>
      <c r="DW404" s="27" t="s">
        <v>8</v>
      </c>
      <c r="EP404" s="27" t="s">
        <v>7</v>
      </c>
    </row>
    <row r="405" spans="1:150" x14ac:dyDescent="0.25">
      <c r="A405" s="7">
        <v>36.747792943811596</v>
      </c>
      <c r="B405"/>
      <c r="C405"/>
      <c r="D405"/>
      <c r="E405"/>
      <c r="BK405" s="27" t="s">
        <v>8</v>
      </c>
      <c r="BV405" s="27" t="s">
        <v>7</v>
      </c>
      <c r="BW405" s="27" t="s">
        <v>8</v>
      </c>
      <c r="DV405" s="27" t="s">
        <v>7</v>
      </c>
      <c r="DW405" s="27" t="s">
        <v>8</v>
      </c>
      <c r="EP405" s="27" t="s">
        <v>7</v>
      </c>
    </row>
    <row r="406" spans="1:150" x14ac:dyDescent="0.25">
      <c r="A406" s="7">
        <v>36.027247984129012</v>
      </c>
      <c r="B406"/>
      <c r="C406"/>
      <c r="D406"/>
      <c r="E406"/>
      <c r="BE406" s="27" t="s">
        <v>8</v>
      </c>
      <c r="BK406" s="27" t="s">
        <v>8</v>
      </c>
      <c r="BV406" s="27" t="s">
        <v>7</v>
      </c>
      <c r="BW406" s="27" t="s">
        <v>8</v>
      </c>
      <c r="DV406" s="27" t="s">
        <v>7</v>
      </c>
      <c r="DW406" s="27" t="s">
        <v>8</v>
      </c>
      <c r="EP406" s="27" t="s">
        <v>7</v>
      </c>
    </row>
    <row r="407" spans="1:150" x14ac:dyDescent="0.25">
      <c r="A407" s="7">
        <v>35.320831356989224</v>
      </c>
      <c r="B407"/>
      <c r="C407"/>
      <c r="D407"/>
      <c r="E407"/>
      <c r="BE407" s="27" t="s">
        <v>8</v>
      </c>
      <c r="BF407" s="27" t="s">
        <v>7</v>
      </c>
      <c r="BK407" s="27" t="s">
        <v>8</v>
      </c>
      <c r="BV407" s="27" t="s">
        <v>7</v>
      </c>
      <c r="BW407" s="27" t="s">
        <v>8</v>
      </c>
      <c r="DV407" s="27" t="s">
        <v>7</v>
      </c>
      <c r="EP407" s="27" t="s">
        <v>7</v>
      </c>
      <c r="EQ407" s="27" t="s">
        <v>8</v>
      </c>
    </row>
    <row r="408" spans="1:150" x14ac:dyDescent="0.25">
      <c r="A408" s="7">
        <v>34.628266036263945</v>
      </c>
      <c r="B408"/>
      <c r="C408"/>
      <c r="D408"/>
      <c r="E408"/>
      <c r="BE408" s="27" t="s">
        <v>8</v>
      </c>
      <c r="BF408" s="27" t="s">
        <v>7</v>
      </c>
      <c r="BK408" s="27" t="s">
        <v>8</v>
      </c>
      <c r="BV408" s="27" t="s">
        <v>7</v>
      </c>
      <c r="EP408" s="27" t="s">
        <v>7</v>
      </c>
      <c r="EQ408" s="27" t="s">
        <v>8</v>
      </c>
      <c r="ER408" s="27" t="s">
        <v>7</v>
      </c>
      <c r="ES408" s="27" t="s">
        <v>8</v>
      </c>
    </row>
    <row r="409" spans="1:150" x14ac:dyDescent="0.25">
      <c r="A409" s="7">
        <v>33.949280427709752</v>
      </c>
      <c r="B409"/>
      <c r="C409"/>
      <c r="D409"/>
      <c r="E409"/>
      <c r="BE409" s="27" t="s">
        <v>8</v>
      </c>
      <c r="BF409" s="27" t="s">
        <v>7</v>
      </c>
      <c r="BK409" s="27" t="s">
        <v>8</v>
      </c>
      <c r="EP409" s="27" t="s">
        <v>7</v>
      </c>
      <c r="EQ409" s="27" t="s">
        <v>8</v>
      </c>
      <c r="ER409" s="27" t="s">
        <v>7</v>
      </c>
      <c r="ES409" s="27" t="s">
        <v>8</v>
      </c>
      <c r="ET409" s="27" t="s">
        <v>7</v>
      </c>
    </row>
    <row r="410" spans="1:150" x14ac:dyDescent="0.25">
      <c r="A410" s="7">
        <v>33.28360826246054</v>
      </c>
      <c r="B410"/>
      <c r="C410"/>
      <c r="D410"/>
      <c r="E410"/>
      <c r="BE410" s="27" t="s">
        <v>8</v>
      </c>
      <c r="BF410" s="27" t="s">
        <v>7</v>
      </c>
      <c r="BI410" s="27" t="s">
        <v>8</v>
      </c>
      <c r="BK410" s="27" t="s">
        <v>8</v>
      </c>
      <c r="EP410" s="27" t="s">
        <v>7</v>
      </c>
      <c r="EQ410" s="27" t="s">
        <v>8</v>
      </c>
      <c r="ER410" s="27" t="s">
        <v>7</v>
      </c>
      <c r="ES410" s="27" t="s">
        <v>8</v>
      </c>
      <c r="ET410" s="27" t="s">
        <v>7</v>
      </c>
    </row>
    <row r="411" spans="1:150" x14ac:dyDescent="0.25">
      <c r="A411" s="7">
        <v>32.630988492608374</v>
      </c>
      <c r="B411"/>
      <c r="C411"/>
      <c r="D411"/>
      <c r="E411" t="s">
        <v>8</v>
      </c>
      <c r="BE411" s="27" t="s">
        <v>8</v>
      </c>
      <c r="BF411" s="27" t="s">
        <v>7</v>
      </c>
      <c r="BG411" s="27" t="s">
        <v>8</v>
      </c>
      <c r="BI411" s="27" t="s">
        <v>8</v>
      </c>
      <c r="BJ411" s="27" t="s">
        <v>7</v>
      </c>
      <c r="BK411" s="27" t="s">
        <v>8</v>
      </c>
      <c r="EP411" s="27" t="s">
        <v>7</v>
      </c>
      <c r="EQ411" s="27" t="s">
        <v>8</v>
      </c>
      <c r="ER411" s="27" t="s">
        <v>7</v>
      </c>
      <c r="ES411" s="27" t="s">
        <v>8</v>
      </c>
      <c r="ET411" s="27" t="s">
        <v>7</v>
      </c>
    </row>
    <row r="412" spans="1:150" x14ac:dyDescent="0.25">
      <c r="A412" s="7">
        <v>31.99116518883174</v>
      </c>
      <c r="B412"/>
      <c r="C412"/>
      <c r="D412"/>
      <c r="E412" t="s">
        <v>8</v>
      </c>
      <c r="F412" s="27" t="s">
        <v>7</v>
      </c>
      <c r="BE412" s="27" t="s">
        <v>8</v>
      </c>
      <c r="BF412" s="27" t="s">
        <v>7</v>
      </c>
      <c r="BG412" s="27" t="s">
        <v>8</v>
      </c>
      <c r="BH412" s="27" t="s">
        <v>7</v>
      </c>
      <c r="BI412" s="27" t="s">
        <v>8</v>
      </c>
      <c r="BJ412" s="27" t="s">
        <v>7</v>
      </c>
      <c r="BK412" s="27" t="s">
        <v>8</v>
      </c>
      <c r="EP412" s="27" t="s">
        <v>7</v>
      </c>
      <c r="EQ412" s="27" t="s">
        <v>8</v>
      </c>
      <c r="ER412" s="27" t="s">
        <v>7</v>
      </c>
      <c r="ES412" s="27" t="s">
        <v>8</v>
      </c>
      <c r="ET412" s="27" t="s">
        <v>7</v>
      </c>
    </row>
    <row r="413" spans="1:150" x14ac:dyDescent="0.25">
      <c r="A413" s="7">
        <v>31.363887440031117</v>
      </c>
      <c r="B413"/>
      <c r="C413"/>
      <c r="D413"/>
      <c r="E413" t="s">
        <v>8</v>
      </c>
      <c r="F413" s="27" t="s">
        <v>7</v>
      </c>
      <c r="BE413" s="27" t="s">
        <v>8</v>
      </c>
      <c r="BF413" s="27" t="s">
        <v>7</v>
      </c>
      <c r="BG413" s="27" t="s">
        <v>8</v>
      </c>
      <c r="BH413" s="27" t="s">
        <v>7</v>
      </c>
      <c r="BI413" s="27" t="s">
        <v>8</v>
      </c>
      <c r="BJ413" s="27" t="s">
        <v>7</v>
      </c>
      <c r="BK413" s="27" t="s">
        <v>8</v>
      </c>
      <c r="EP413" s="27" t="s">
        <v>7</v>
      </c>
      <c r="EQ413" s="27" t="s">
        <v>8</v>
      </c>
      <c r="ER413" s="27" t="s">
        <v>7</v>
      </c>
      <c r="ES413" s="27" t="s">
        <v>8</v>
      </c>
      <c r="ET413" s="27" t="s">
        <v>7</v>
      </c>
    </row>
    <row r="414" spans="1:150" x14ac:dyDescent="0.25">
      <c r="A414" s="7">
        <v>30.748909254932467</v>
      </c>
      <c r="B414"/>
      <c r="C414"/>
      <c r="D414"/>
      <c r="E414" t="s">
        <v>8</v>
      </c>
      <c r="F414" s="27" t="s">
        <v>7</v>
      </c>
      <c r="BE414" s="27" t="s">
        <v>8</v>
      </c>
      <c r="BF414" s="27" t="s">
        <v>7</v>
      </c>
      <c r="BG414" s="27" t="s">
        <v>8</v>
      </c>
      <c r="BH414" s="27" t="s">
        <v>7</v>
      </c>
      <c r="BI414" s="27" t="s">
        <v>8</v>
      </c>
      <c r="BJ414" s="27" t="s">
        <v>7</v>
      </c>
      <c r="BK414" s="27" t="s">
        <v>8</v>
      </c>
      <c r="EP414" s="27" t="s">
        <v>7</v>
      </c>
      <c r="EQ414" s="27" t="s">
        <v>8</v>
      </c>
      <c r="ER414" s="27" t="s">
        <v>7</v>
      </c>
      <c r="ES414" s="27" t="s">
        <v>8</v>
      </c>
      <c r="ET414" s="27" t="s">
        <v>7</v>
      </c>
    </row>
    <row r="415" spans="1:150" x14ac:dyDescent="0.25">
      <c r="A415" s="7">
        <v>30.145989465620065</v>
      </c>
      <c r="B415"/>
      <c r="C415"/>
      <c r="D415"/>
      <c r="E415" t="s">
        <v>8</v>
      </c>
      <c r="F415" s="27" t="s">
        <v>7</v>
      </c>
      <c r="BE415" s="27" t="s">
        <v>8</v>
      </c>
      <c r="BF415" s="27" t="s">
        <v>7</v>
      </c>
      <c r="BG415" s="27" t="s">
        <v>8</v>
      </c>
      <c r="BH415" s="27" t="s">
        <v>7</v>
      </c>
      <c r="BI415" s="27" t="s">
        <v>8</v>
      </c>
      <c r="BJ415" s="27" t="s">
        <v>7</v>
      </c>
      <c r="BK415" s="27" t="s">
        <v>8</v>
      </c>
      <c r="EP415" s="27" t="s">
        <v>7</v>
      </c>
      <c r="EQ415" s="27" t="s">
        <v>8</v>
      </c>
      <c r="ER415" s="27" t="s">
        <v>7</v>
      </c>
      <c r="ES415" s="27" t="s">
        <v>8</v>
      </c>
      <c r="ET415" s="27" t="s">
        <v>7</v>
      </c>
    </row>
    <row r="416" spans="1:150" x14ac:dyDescent="0.25">
      <c r="A416" s="7">
        <v>29.55489163296085</v>
      </c>
      <c r="B416"/>
      <c r="C416"/>
      <c r="D416"/>
      <c r="E416" t="s">
        <v>8</v>
      </c>
      <c r="F416" s="27" t="s">
        <v>7</v>
      </c>
      <c r="BE416" s="27" t="s">
        <v>8</v>
      </c>
      <c r="BF416" s="27" t="s">
        <v>7</v>
      </c>
      <c r="BG416" s="27" t="s">
        <v>8</v>
      </c>
      <c r="BH416" s="27" t="s">
        <v>7</v>
      </c>
      <c r="BI416" s="27" t="s">
        <v>8</v>
      </c>
      <c r="BJ416" s="27" t="s">
        <v>7</v>
      </c>
      <c r="BK416" s="27" t="s">
        <v>8</v>
      </c>
      <c r="EP416" s="27" t="s">
        <v>7</v>
      </c>
      <c r="EQ416" s="27" t="s">
        <v>8</v>
      </c>
      <c r="ER416" s="27" t="s">
        <v>7</v>
      </c>
      <c r="ES416" s="27" t="s">
        <v>8</v>
      </c>
      <c r="ET416" s="27" t="s">
        <v>7</v>
      </c>
    </row>
    <row r="417" spans="1:149" x14ac:dyDescent="0.25">
      <c r="A417" s="7">
        <v>28.975383953883185</v>
      </c>
      <c r="B417"/>
      <c r="C417"/>
      <c r="D417"/>
      <c r="E417" t="s">
        <v>8</v>
      </c>
      <c r="F417" s="27" t="s">
        <v>7</v>
      </c>
      <c r="BE417" s="27" t="s">
        <v>8</v>
      </c>
      <c r="BF417" s="27" t="s">
        <v>7</v>
      </c>
      <c r="BG417" s="27" t="s">
        <v>8</v>
      </c>
      <c r="BH417" s="27" t="s">
        <v>7</v>
      </c>
      <c r="BI417" s="27" t="s">
        <v>8</v>
      </c>
      <c r="BJ417" s="27" t="s">
        <v>7</v>
      </c>
      <c r="BK417" s="27" t="s">
        <v>8</v>
      </c>
      <c r="EP417" s="27" t="s">
        <v>7</v>
      </c>
      <c r="EQ417" s="27" t="s">
        <v>8</v>
      </c>
      <c r="ER417" s="27" t="s">
        <v>7</v>
      </c>
      <c r="ES417" s="27" t="s">
        <v>8</v>
      </c>
    </row>
    <row r="418" spans="1:149" x14ac:dyDescent="0.25">
      <c r="A418" s="7">
        <v>28.407239170473709</v>
      </c>
      <c r="B418"/>
      <c r="C418"/>
      <c r="D418"/>
      <c r="E418" t="s">
        <v>8</v>
      </c>
      <c r="F418" s="27" t="s">
        <v>7</v>
      </c>
      <c r="BE418" s="27" t="s">
        <v>8</v>
      </c>
      <c r="BF418" s="27" t="s">
        <v>7</v>
      </c>
      <c r="BG418" s="27" t="s">
        <v>8</v>
      </c>
      <c r="BH418" s="27" t="s">
        <v>7</v>
      </c>
      <c r="BI418" s="27" t="s">
        <v>8</v>
      </c>
      <c r="BJ418" s="27" t="s">
        <v>7</v>
      </c>
      <c r="BK418" s="27" t="s">
        <v>8</v>
      </c>
      <c r="EP418" s="27" t="s">
        <v>7</v>
      </c>
      <c r="EQ418" s="27" t="s">
        <v>8</v>
      </c>
      <c r="ER418" s="27" t="s">
        <v>7</v>
      </c>
      <c r="ES418" s="27" t="s">
        <v>8</v>
      </c>
    </row>
    <row r="419" spans="1:149" x14ac:dyDescent="0.25">
      <c r="A419" s="7">
        <v>27.850234480856578</v>
      </c>
      <c r="B419"/>
      <c r="C419"/>
      <c r="D419"/>
      <c r="E419" t="s">
        <v>8</v>
      </c>
      <c r="F419" s="27" t="s">
        <v>7</v>
      </c>
      <c r="BE419" s="27" t="s">
        <v>8</v>
      </c>
      <c r="BF419" s="27" t="s">
        <v>7</v>
      </c>
      <c r="BH419" s="27" t="s">
        <v>7</v>
      </c>
      <c r="BJ419" s="27" t="s">
        <v>7</v>
      </c>
      <c r="BK419" s="27" t="s">
        <v>8</v>
      </c>
      <c r="EP419" s="27" t="s">
        <v>7</v>
      </c>
      <c r="EQ419" s="27" t="s">
        <v>8</v>
      </c>
      <c r="ER419" s="27" t="s">
        <v>7</v>
      </c>
    </row>
    <row r="420" spans="1:149" x14ac:dyDescent="0.25">
      <c r="A420" s="7">
        <v>27.304151451820175</v>
      </c>
      <c r="B420"/>
      <c r="C420"/>
      <c r="D420"/>
      <c r="E420" t="s">
        <v>8</v>
      </c>
      <c r="F420" s="27" t="s">
        <v>7</v>
      </c>
      <c r="BE420" s="27" t="s">
        <v>8</v>
      </c>
      <c r="BJ420" s="27" t="s">
        <v>7</v>
      </c>
      <c r="BK420" s="27" t="s">
        <v>8</v>
      </c>
      <c r="EP420" s="27" t="s">
        <v>7</v>
      </c>
    </row>
    <row r="421" spans="1:149" x14ac:dyDescent="0.25">
      <c r="A421" s="7">
        <v>26.768775933157034</v>
      </c>
      <c r="B421"/>
      <c r="C421"/>
      <c r="D421"/>
      <c r="E421" t="s">
        <v>8</v>
      </c>
      <c r="F421" s="27" t="s">
        <v>7</v>
      </c>
      <c r="BE421" s="27" t="s">
        <v>8</v>
      </c>
      <c r="BJ421" s="27" t="s">
        <v>7</v>
      </c>
      <c r="BK421" s="27" t="s">
        <v>8</v>
      </c>
    </row>
    <row r="422" spans="1:149" x14ac:dyDescent="0.25">
      <c r="A422" s="7">
        <v>26.243897973683367</v>
      </c>
      <c r="B422"/>
      <c r="C422"/>
      <c r="D422"/>
      <c r="E422" t="s">
        <v>8</v>
      </c>
      <c r="F422" s="27" t="s">
        <v>7</v>
      </c>
      <c r="BE422" s="27" t="s">
        <v>8</v>
      </c>
      <c r="BJ422" s="27" t="s">
        <v>7</v>
      </c>
      <c r="BK422" s="27" t="s">
        <v>8</v>
      </c>
    </row>
    <row r="423" spans="1:149" x14ac:dyDescent="0.25">
      <c r="A423" s="7">
        <v>25.729311738905263</v>
      </c>
      <c r="B423"/>
      <c r="C423"/>
      <c r="D423"/>
      <c r="E423" t="s">
        <v>8</v>
      </c>
      <c r="F423" s="27" t="s">
        <v>7</v>
      </c>
      <c r="G423" s="27" t="s">
        <v>8</v>
      </c>
      <c r="BE423" s="27" t="s">
        <v>8</v>
      </c>
      <c r="BJ423" s="27" t="s">
        <v>7</v>
      </c>
      <c r="BK423" s="27" t="s">
        <v>8</v>
      </c>
    </row>
    <row r="424" spans="1:149" x14ac:dyDescent="0.25">
      <c r="A424" s="7">
        <v>25.224815430299277</v>
      </c>
      <c r="B424"/>
      <c r="C424"/>
      <c r="D424"/>
      <c r="E424" t="s">
        <v>8</v>
      </c>
      <c r="F424" s="27" t="s">
        <v>7</v>
      </c>
      <c r="G424" s="27" t="s">
        <v>8</v>
      </c>
      <c r="H424" s="27" t="s">
        <v>7</v>
      </c>
      <c r="BE424" s="27" t="s">
        <v>8</v>
      </c>
      <c r="BJ424" s="27" t="s">
        <v>7</v>
      </c>
      <c r="BK424" s="27" t="s">
        <v>8</v>
      </c>
    </row>
    <row r="425" spans="1:149" x14ac:dyDescent="0.25">
      <c r="A425" s="7">
        <v>24.73021120617576</v>
      </c>
      <c r="B425"/>
      <c r="C425"/>
      <c r="D425"/>
      <c r="E425" t="s">
        <v>8</v>
      </c>
      <c r="F425" s="27" t="s">
        <v>7</v>
      </c>
      <c r="G425" s="27" t="s">
        <v>8</v>
      </c>
      <c r="H425" s="27" t="s">
        <v>7</v>
      </c>
      <c r="BC425" s="27" t="s">
        <v>8</v>
      </c>
      <c r="BE425" s="27" t="s">
        <v>8</v>
      </c>
      <c r="BJ425" s="27" t="s">
        <v>7</v>
      </c>
      <c r="BK425" s="27" t="s">
        <v>8</v>
      </c>
    </row>
    <row r="426" spans="1:149" x14ac:dyDescent="0.25">
      <c r="A426" s="7">
        <v>24.24530510409388</v>
      </c>
      <c r="B426"/>
      <c r="C426"/>
      <c r="D426"/>
      <c r="E426" t="s">
        <v>8</v>
      </c>
      <c r="F426" s="27" t="s">
        <v>7</v>
      </c>
      <c r="G426" s="27" t="s">
        <v>8</v>
      </c>
      <c r="H426" s="27" t="s">
        <v>7</v>
      </c>
      <c r="BC426" s="27" t="s">
        <v>8</v>
      </c>
      <c r="BD426" s="27" t="s">
        <v>7</v>
      </c>
      <c r="BE426" s="27" t="s">
        <v>8</v>
      </c>
      <c r="BJ426" s="27" t="s">
        <v>7</v>
      </c>
      <c r="BK426" s="27" t="s">
        <v>8</v>
      </c>
    </row>
    <row r="427" spans="1:149" x14ac:dyDescent="0.25">
      <c r="A427" s="7">
        <v>23.769906964797922</v>
      </c>
      <c r="B427"/>
      <c r="C427"/>
      <c r="D427"/>
      <c r="E427" t="s">
        <v>8</v>
      </c>
      <c r="F427" s="27" t="s">
        <v>7</v>
      </c>
      <c r="G427" s="27" t="s">
        <v>8</v>
      </c>
      <c r="H427" s="27" t="s">
        <v>7</v>
      </c>
      <c r="BC427" s="27" t="s">
        <v>8</v>
      </c>
      <c r="BD427" s="27" t="s">
        <v>7</v>
      </c>
      <c r="BE427" s="27" t="s">
        <v>8</v>
      </c>
      <c r="BJ427" s="27" t="s">
        <v>7</v>
      </c>
    </row>
    <row r="428" spans="1:149" x14ac:dyDescent="0.25">
      <c r="A428" s="7">
        <v>23.303830357645023</v>
      </c>
      <c r="B428"/>
      <c r="C428"/>
      <c r="D428"/>
      <c r="E428" t="s">
        <v>8</v>
      </c>
      <c r="F428" s="27" t="s">
        <v>7</v>
      </c>
      <c r="G428" s="27" t="s">
        <v>8</v>
      </c>
      <c r="H428" s="27" t="s">
        <v>7</v>
      </c>
      <c r="BC428" s="27" t="s">
        <v>8</v>
      </c>
      <c r="BD428" s="27" t="s">
        <v>7</v>
      </c>
      <c r="BE428" s="27" t="s">
        <v>8</v>
      </c>
    </row>
    <row r="429" spans="1:149" x14ac:dyDescent="0.25">
      <c r="A429" s="7">
        <v>22.84689250749512</v>
      </c>
      <c r="B429"/>
      <c r="C429"/>
      <c r="D429"/>
      <c r="E429" t="s">
        <v>8</v>
      </c>
      <c r="F429" s="27" t="s">
        <v>7</v>
      </c>
      <c r="G429" s="27" t="s">
        <v>8</v>
      </c>
      <c r="H429" s="27" t="s">
        <v>7</v>
      </c>
      <c r="BC429" s="27" t="s">
        <v>8</v>
      </c>
      <c r="BD429" s="27" t="s">
        <v>7</v>
      </c>
      <c r="BE429" s="27" t="s">
        <v>8</v>
      </c>
    </row>
    <row r="430" spans="1:149" x14ac:dyDescent="0.25">
      <c r="A430" s="7">
        <v>22.398914223034431</v>
      </c>
      <c r="B430"/>
      <c r="C430"/>
      <c r="D430"/>
      <c r="E430" t="s">
        <v>8</v>
      </c>
      <c r="F430" s="27" t="s">
        <v>7</v>
      </c>
      <c r="G430" s="27" t="s">
        <v>8</v>
      </c>
      <c r="H430" s="27" t="s">
        <v>7</v>
      </c>
      <c r="BC430" s="27" t="s">
        <v>8</v>
      </c>
      <c r="BD430" s="27" t="s">
        <v>7</v>
      </c>
      <c r="BE430" s="27" t="s">
        <v>8</v>
      </c>
    </row>
    <row r="431" spans="1:149" x14ac:dyDescent="0.25">
      <c r="A431" s="7">
        <v>21.959719826504344</v>
      </c>
      <c r="B431"/>
      <c r="C431"/>
      <c r="D431"/>
      <c r="E431" t="s">
        <v>8</v>
      </c>
      <c r="F431" s="27" t="s">
        <v>7</v>
      </c>
      <c r="G431" s="27" t="s">
        <v>8</v>
      </c>
      <c r="H431" s="27" t="s">
        <v>7</v>
      </c>
      <c r="S431" s="27" t="s">
        <v>8</v>
      </c>
      <c r="BC431" s="27" t="s">
        <v>8</v>
      </c>
      <c r="BD431" s="27" t="s">
        <v>7</v>
      </c>
      <c r="BE431" s="27" t="s">
        <v>8</v>
      </c>
    </row>
    <row r="432" spans="1:149" x14ac:dyDescent="0.25">
      <c r="A432" s="7">
        <v>21.52913708480818</v>
      </c>
      <c r="B432"/>
      <c r="C432"/>
      <c r="D432"/>
      <c r="E432" t="s">
        <v>8</v>
      </c>
      <c r="F432" s="27" t="s">
        <v>7</v>
      </c>
      <c r="H432" s="27" t="s">
        <v>7</v>
      </c>
      <c r="S432" s="27" t="s">
        <v>8</v>
      </c>
      <c r="T432" s="27" t="s">
        <v>7</v>
      </c>
      <c r="BC432" s="27" t="s">
        <v>8</v>
      </c>
      <c r="BD432" s="27" t="s">
        <v>7</v>
      </c>
      <c r="BE432" s="27" t="s">
        <v>8</v>
      </c>
    </row>
    <row r="433" spans="1:57" x14ac:dyDescent="0.25">
      <c r="A433" s="7">
        <v>21.106997141968804</v>
      </c>
      <c r="B433"/>
      <c r="C433"/>
      <c r="D433"/>
      <c r="E433" t="s">
        <v>8</v>
      </c>
      <c r="H433" s="27" t="s">
        <v>7</v>
      </c>
      <c r="S433" s="27" t="s">
        <v>8</v>
      </c>
      <c r="T433" s="27" t="s">
        <v>7</v>
      </c>
      <c r="BC433" s="27" t="s">
        <v>8</v>
      </c>
      <c r="BD433" s="27" t="s">
        <v>7</v>
      </c>
      <c r="BE433" s="27" t="s">
        <v>8</v>
      </c>
    </row>
    <row r="434" spans="1:57" x14ac:dyDescent="0.25">
      <c r="A434" s="7">
        <v>20.693134452910591</v>
      </c>
      <c r="B434"/>
      <c r="C434"/>
      <c r="D434"/>
      <c r="E434" t="s">
        <v>8</v>
      </c>
      <c r="H434" s="27" t="s">
        <v>7</v>
      </c>
      <c r="I434" s="27" t="s">
        <v>8</v>
      </c>
      <c r="S434" s="27" t="s">
        <v>8</v>
      </c>
      <c r="T434" s="27" t="s">
        <v>7</v>
      </c>
      <c r="BC434" s="27" t="s">
        <v>8</v>
      </c>
      <c r="BD434" s="27" t="s">
        <v>7</v>
      </c>
      <c r="BE434" s="27" t="s">
        <v>8</v>
      </c>
    </row>
    <row r="435" spans="1:57" x14ac:dyDescent="0.25">
      <c r="A435" s="7">
        <v>20.287386718539796</v>
      </c>
      <c r="B435"/>
      <c r="C435"/>
      <c r="D435"/>
      <c r="E435" t="s">
        <v>8</v>
      </c>
      <c r="H435" s="27" t="s">
        <v>7</v>
      </c>
      <c r="I435" s="27" t="s">
        <v>8</v>
      </c>
      <c r="J435" s="27" t="s">
        <v>7</v>
      </c>
      <c r="S435" s="27" t="s">
        <v>8</v>
      </c>
      <c r="T435" s="27" t="s">
        <v>7</v>
      </c>
      <c r="BC435" s="27" t="s">
        <v>8</v>
      </c>
      <c r="BD435" s="27" t="s">
        <v>7</v>
      </c>
      <c r="BE435" s="27" t="s">
        <v>8</v>
      </c>
    </row>
    <row r="436" spans="1:57" x14ac:dyDescent="0.25">
      <c r="A436" s="7">
        <v>19.889594822097838</v>
      </c>
      <c r="B436"/>
      <c r="C436"/>
      <c r="D436"/>
      <c r="E436" t="s">
        <v>8</v>
      </c>
      <c r="H436" s="27" t="s">
        <v>7</v>
      </c>
      <c r="I436" s="27" t="s">
        <v>8</v>
      </c>
      <c r="J436" s="27" t="s">
        <v>7</v>
      </c>
      <c r="Q436" s="27" t="s">
        <v>8</v>
      </c>
      <c r="S436" s="27" t="s">
        <v>8</v>
      </c>
      <c r="T436" s="27" t="s">
        <v>7</v>
      </c>
      <c r="BC436" s="27" t="s">
        <v>8</v>
      </c>
      <c r="BD436" s="27" t="s">
        <v>7</v>
      </c>
      <c r="BE436" s="27" t="s">
        <v>8</v>
      </c>
    </row>
    <row r="437" spans="1:57" x14ac:dyDescent="0.25">
      <c r="A437" s="7">
        <v>19.499602766762585</v>
      </c>
      <c r="B437"/>
      <c r="C437"/>
      <c r="D437"/>
      <c r="E437" t="s">
        <v>8</v>
      </c>
      <c r="H437" s="27" t="s">
        <v>7</v>
      </c>
      <c r="I437" s="27" t="s">
        <v>8</v>
      </c>
      <c r="J437" s="27" t="s">
        <v>7</v>
      </c>
      <c r="Q437" s="27" t="s">
        <v>8</v>
      </c>
      <c r="R437" s="27" t="s">
        <v>7</v>
      </c>
      <c r="S437" s="27" t="s">
        <v>8</v>
      </c>
      <c r="T437" s="27" t="s">
        <v>7</v>
      </c>
      <c r="BC437" s="27" t="s">
        <v>8</v>
      </c>
      <c r="BD437" s="27" t="s">
        <v>7</v>
      </c>
      <c r="BE437" s="27" t="s">
        <v>8</v>
      </c>
    </row>
    <row r="438" spans="1:57" x14ac:dyDescent="0.25">
      <c r="A438" s="7">
        <v>19.117257614473122</v>
      </c>
      <c r="B438"/>
      <c r="C438"/>
      <c r="D438"/>
      <c r="E438" t="s">
        <v>8</v>
      </c>
      <c r="H438" s="27" t="s">
        <v>7</v>
      </c>
      <c r="I438" s="27" t="s">
        <v>8</v>
      </c>
      <c r="J438" s="27" t="s">
        <v>7</v>
      </c>
      <c r="Q438" s="27" t="s">
        <v>8</v>
      </c>
      <c r="R438" s="27" t="s">
        <v>7</v>
      </c>
      <c r="S438" s="27" t="s">
        <v>8</v>
      </c>
      <c r="T438" s="27" t="s">
        <v>7</v>
      </c>
      <c r="U438" s="27" t="s">
        <v>8</v>
      </c>
      <c r="Y438" s="27" t="s">
        <v>8</v>
      </c>
      <c r="BC438" s="27" t="s">
        <v>8</v>
      </c>
      <c r="BD438" s="27" t="s">
        <v>7</v>
      </c>
    </row>
    <row r="439" spans="1:57" x14ac:dyDescent="0.25">
      <c r="A439" s="7">
        <v>18.74240942595404</v>
      </c>
      <c r="B439"/>
      <c r="C439"/>
      <c r="D439"/>
      <c r="E439" t="s">
        <v>8</v>
      </c>
      <c r="H439" s="27" t="s">
        <v>7</v>
      </c>
      <c r="I439" s="27" t="s">
        <v>8</v>
      </c>
      <c r="J439" s="27" t="s">
        <v>7</v>
      </c>
      <c r="M439" s="27" t="s">
        <v>8</v>
      </c>
      <c r="Q439" s="27" t="s">
        <v>8</v>
      </c>
      <c r="R439" s="27" t="s">
        <v>7</v>
      </c>
      <c r="S439" s="27" t="s">
        <v>8</v>
      </c>
      <c r="T439" s="27" t="s">
        <v>7</v>
      </c>
      <c r="U439" s="27" t="s">
        <v>8</v>
      </c>
      <c r="V439" s="27" t="s">
        <v>7</v>
      </c>
      <c r="Y439" s="27" t="s">
        <v>8</v>
      </c>
      <c r="Z439" s="27" t="s">
        <v>7</v>
      </c>
      <c r="BC439" s="27" t="s">
        <v>8</v>
      </c>
    </row>
    <row r="440" spans="1:57" x14ac:dyDescent="0.25">
      <c r="A440" s="7">
        <v>18.374911201915726</v>
      </c>
      <c r="B440"/>
      <c r="C440"/>
      <c r="D440"/>
      <c r="E440" t="s">
        <v>8</v>
      </c>
      <c r="H440" s="27" t="s">
        <v>7</v>
      </c>
      <c r="I440" s="27" t="s">
        <v>8</v>
      </c>
      <c r="J440" s="27" t="s">
        <v>7</v>
      </c>
      <c r="M440" s="27" t="s">
        <v>8</v>
      </c>
      <c r="N440" s="27" t="s">
        <v>7</v>
      </c>
      <c r="Q440" s="27" t="s">
        <v>8</v>
      </c>
      <c r="R440" s="27" t="s">
        <v>7</v>
      </c>
      <c r="S440" s="27" t="s">
        <v>8</v>
      </c>
      <c r="T440" s="27" t="s">
        <v>7</v>
      </c>
      <c r="U440" s="27" t="s">
        <v>8</v>
      </c>
      <c r="V440" s="27" t="s">
        <v>7</v>
      </c>
      <c r="Y440" s="27" t="s">
        <v>8</v>
      </c>
      <c r="Z440" s="27" t="s">
        <v>7</v>
      </c>
      <c r="BC440" s="27" t="s">
        <v>8</v>
      </c>
    </row>
    <row r="441" spans="1:57" x14ac:dyDescent="0.25">
      <c r="A441" s="7">
        <v>18.014618825407574</v>
      </c>
      <c r="B441"/>
      <c r="C441"/>
      <c r="D441"/>
      <c r="E441" t="s">
        <v>8</v>
      </c>
      <c r="H441" s="27" t="s">
        <v>7</v>
      </c>
      <c r="I441" s="27" t="s">
        <v>8</v>
      </c>
      <c r="J441" s="27" t="s">
        <v>7</v>
      </c>
      <c r="M441" s="27" t="s">
        <v>8</v>
      </c>
      <c r="N441" s="27" t="s">
        <v>7</v>
      </c>
      <c r="Q441" s="27" t="s">
        <v>8</v>
      </c>
      <c r="R441" s="27" t="s">
        <v>7</v>
      </c>
      <c r="S441" s="27" t="s">
        <v>8</v>
      </c>
      <c r="T441" s="27" t="s">
        <v>7</v>
      </c>
      <c r="U441" s="27" t="s">
        <v>8</v>
      </c>
      <c r="V441" s="27" t="s">
        <v>7</v>
      </c>
      <c r="Y441" s="27" t="s">
        <v>8</v>
      </c>
      <c r="Z441" s="27" t="s">
        <v>7</v>
      </c>
      <c r="BC441" s="27" t="s">
        <v>8</v>
      </c>
    </row>
    <row r="442" spans="1:57" x14ac:dyDescent="0.25">
      <c r="A442" s="7">
        <v>17.661391005301542</v>
      </c>
      <c r="B442"/>
      <c r="C442"/>
      <c r="D442"/>
      <c r="E442" t="s">
        <v>8</v>
      </c>
      <c r="H442" s="27" t="s">
        <v>7</v>
      </c>
      <c r="I442" s="27" t="s">
        <v>8</v>
      </c>
      <c r="J442" s="27" t="s">
        <v>7</v>
      </c>
      <c r="M442" s="27" t="s">
        <v>8</v>
      </c>
      <c r="N442" s="27" t="s">
        <v>7</v>
      </c>
      <c r="Q442" s="27" t="s">
        <v>8</v>
      </c>
      <c r="R442" s="27" t="s">
        <v>7</v>
      </c>
      <c r="S442" s="27" t="s">
        <v>8</v>
      </c>
      <c r="T442" s="27" t="s">
        <v>7</v>
      </c>
      <c r="U442" s="27" t="s">
        <v>8</v>
      </c>
      <c r="V442" s="27" t="s">
        <v>7</v>
      </c>
      <c r="Y442" s="27" t="s">
        <v>8</v>
      </c>
      <c r="Z442" s="27" t="s">
        <v>7</v>
      </c>
      <c r="BC442" s="27" t="s">
        <v>8</v>
      </c>
    </row>
    <row r="443" spans="1:57" x14ac:dyDescent="0.25">
      <c r="A443" s="7">
        <v>17.315089220883866</v>
      </c>
      <c r="B443"/>
      <c r="C443"/>
      <c r="D443"/>
      <c r="E443" t="s">
        <v>8</v>
      </c>
      <c r="H443" s="27" t="s">
        <v>7</v>
      </c>
      <c r="I443" s="27" t="s">
        <v>8</v>
      </c>
      <c r="J443" s="27" t="s">
        <v>7</v>
      </c>
      <c r="M443" s="27" t="s">
        <v>8</v>
      </c>
      <c r="N443" s="27" t="s">
        <v>7</v>
      </c>
      <c r="Q443" s="27" t="s">
        <v>8</v>
      </c>
      <c r="R443" s="27" t="s">
        <v>7</v>
      </c>
      <c r="S443" s="27" t="s">
        <v>8</v>
      </c>
      <c r="T443" s="27" t="s">
        <v>7</v>
      </c>
      <c r="U443" s="27" t="s">
        <v>8</v>
      </c>
      <c r="V443" s="27" t="s">
        <v>7</v>
      </c>
      <c r="Y443" s="27" t="s">
        <v>8</v>
      </c>
      <c r="Z443" s="27" t="s">
        <v>7</v>
      </c>
      <c r="BC443" s="27" t="s">
        <v>8</v>
      </c>
    </row>
    <row r="444" spans="1:57" x14ac:dyDescent="0.25">
      <c r="A444" s="7">
        <v>16.975577667533202</v>
      </c>
      <c r="B444"/>
      <c r="C444"/>
      <c r="D444"/>
      <c r="E444" t="s">
        <v>8</v>
      </c>
      <c r="H444" s="27" t="s">
        <v>7</v>
      </c>
      <c r="I444" s="27" t="s">
        <v>8</v>
      </c>
      <c r="J444" s="27" t="s">
        <v>7</v>
      </c>
      <c r="M444" s="27" t="s">
        <v>8</v>
      </c>
      <c r="N444" s="27" t="s">
        <v>7</v>
      </c>
      <c r="Q444" s="27" t="s">
        <v>8</v>
      </c>
      <c r="R444" s="27" t="s">
        <v>7</v>
      </c>
      <c r="S444" s="27" t="s">
        <v>8</v>
      </c>
      <c r="T444" s="27" t="s">
        <v>7</v>
      </c>
      <c r="U444" s="27" t="s">
        <v>8</v>
      </c>
      <c r="V444" s="27" t="s">
        <v>7</v>
      </c>
      <c r="Y444" s="27" t="s">
        <v>8</v>
      </c>
      <c r="Z444" s="27" t="s">
        <v>7</v>
      </c>
      <c r="BC444" s="27" t="s">
        <v>8</v>
      </c>
    </row>
    <row r="445" spans="1:57" x14ac:dyDescent="0.25">
      <c r="A445" s="7">
        <v>16.642723203463923</v>
      </c>
      <c r="B445"/>
      <c r="C445"/>
      <c r="D445"/>
      <c r="E445" t="s">
        <v>8</v>
      </c>
      <c r="H445" s="27" t="s">
        <v>7</v>
      </c>
      <c r="I445" s="27" t="s">
        <v>8</v>
      </c>
      <c r="J445" s="27" t="s">
        <v>7</v>
      </c>
      <c r="M445" s="27" t="s">
        <v>8</v>
      </c>
      <c r="N445" s="27" t="s">
        <v>7</v>
      </c>
      <c r="Q445" s="27" t="s">
        <v>8</v>
      </c>
      <c r="R445" s="27" t="s">
        <v>7</v>
      </c>
      <c r="S445" s="27" t="s">
        <v>8</v>
      </c>
      <c r="T445" s="27" t="s">
        <v>7</v>
      </c>
      <c r="U445" s="27" t="s">
        <v>8</v>
      </c>
      <c r="V445" s="27" t="s">
        <v>7</v>
      </c>
      <c r="W445" s="27" t="s">
        <v>8</v>
      </c>
      <c r="Y445" s="27" t="s">
        <v>8</v>
      </c>
      <c r="Z445" s="27" t="s">
        <v>7</v>
      </c>
      <c r="BA445" s="27" t="s">
        <v>8</v>
      </c>
      <c r="BC445" s="27" t="s">
        <v>8</v>
      </c>
    </row>
    <row r="446" spans="1:57" x14ac:dyDescent="0.25">
      <c r="A446" s="7">
        <v>16.316395297513651</v>
      </c>
      <c r="B446"/>
      <c r="C446"/>
      <c r="D446"/>
      <c r="E446" t="s">
        <v>8</v>
      </c>
      <c r="H446" s="27" t="s">
        <v>7</v>
      </c>
      <c r="I446" s="27" t="s">
        <v>8</v>
      </c>
      <c r="J446" s="27" t="s">
        <v>7</v>
      </c>
      <c r="M446" s="27" t="s">
        <v>8</v>
      </c>
      <c r="N446" s="27" t="s">
        <v>7</v>
      </c>
      <c r="Q446" s="27" t="s">
        <v>8</v>
      </c>
      <c r="R446" s="27" t="s">
        <v>7</v>
      </c>
      <c r="S446" s="27" t="s">
        <v>8</v>
      </c>
      <c r="T446" s="27" t="s">
        <v>7</v>
      </c>
      <c r="U446" s="27" t="s">
        <v>8</v>
      </c>
      <c r="V446" s="27" t="s">
        <v>7</v>
      </c>
      <c r="W446" s="27" t="s">
        <v>8</v>
      </c>
      <c r="X446" s="27" t="s">
        <v>7</v>
      </c>
      <c r="Y446" s="27" t="s">
        <v>8</v>
      </c>
      <c r="Z446" s="27" t="s">
        <v>7</v>
      </c>
      <c r="AW446" s="27" t="s">
        <v>8</v>
      </c>
      <c r="BA446" s="27" t="s">
        <v>8</v>
      </c>
      <c r="BB446" s="27" t="s">
        <v>7</v>
      </c>
      <c r="BC446" s="27" t="s">
        <v>8</v>
      </c>
    </row>
    <row r="447" spans="1:57" x14ac:dyDescent="0.25">
      <c r="A447" s="7">
        <v>15.996465977954561</v>
      </c>
      <c r="B447"/>
      <c r="C447"/>
      <c r="D447"/>
      <c r="E447" t="s">
        <v>8</v>
      </c>
      <c r="H447" s="27" t="s">
        <v>7</v>
      </c>
      <c r="I447" s="27" t="s">
        <v>8</v>
      </c>
      <c r="J447" s="27" t="s">
        <v>7</v>
      </c>
      <c r="M447" s="27" t="s">
        <v>8</v>
      </c>
      <c r="N447" s="27" t="s">
        <v>7</v>
      </c>
      <c r="Q447" s="27" t="s">
        <v>8</v>
      </c>
      <c r="R447" s="27" t="s">
        <v>7</v>
      </c>
      <c r="S447" s="27" t="s">
        <v>8</v>
      </c>
      <c r="T447" s="27" t="s">
        <v>7</v>
      </c>
      <c r="U447" s="27" t="s">
        <v>8</v>
      </c>
      <c r="V447" s="27" t="s">
        <v>7</v>
      </c>
      <c r="W447" s="27" t="s">
        <v>8</v>
      </c>
      <c r="X447" s="27" t="s">
        <v>7</v>
      </c>
      <c r="Y447" s="27" t="s">
        <v>8</v>
      </c>
      <c r="Z447" s="27" t="s">
        <v>7</v>
      </c>
      <c r="AW447" s="27" t="s">
        <v>8</v>
      </c>
      <c r="AX447" s="27" t="s">
        <v>7</v>
      </c>
      <c r="AY447" s="27" t="s">
        <v>8</v>
      </c>
      <c r="BA447" s="27" t="s">
        <v>8</v>
      </c>
      <c r="BB447" s="27" t="s">
        <v>7</v>
      </c>
      <c r="BC447" s="27" t="s">
        <v>8</v>
      </c>
    </row>
    <row r="448" spans="1:57" x14ac:dyDescent="0.25">
      <c r="A448" s="7">
        <v>15.682809782308393</v>
      </c>
      <c r="B448"/>
      <c r="C448"/>
      <c r="D448"/>
      <c r="E448" t="s">
        <v>8</v>
      </c>
      <c r="H448" s="27" t="s">
        <v>7</v>
      </c>
      <c r="I448" s="27" t="s">
        <v>8</v>
      </c>
      <c r="J448" s="27" t="s">
        <v>7</v>
      </c>
      <c r="K448" s="27" t="s">
        <v>8</v>
      </c>
      <c r="M448" s="27" t="s">
        <v>8</v>
      </c>
      <c r="N448" s="27" t="s">
        <v>7</v>
      </c>
      <c r="Q448" s="27" t="s">
        <v>8</v>
      </c>
      <c r="R448" s="27" t="s">
        <v>7</v>
      </c>
      <c r="S448" s="27" t="s">
        <v>8</v>
      </c>
      <c r="T448" s="27" t="s">
        <v>7</v>
      </c>
      <c r="V448" s="27" t="s">
        <v>7</v>
      </c>
      <c r="W448" s="27" t="s">
        <v>8</v>
      </c>
      <c r="X448" s="27" t="s">
        <v>7</v>
      </c>
      <c r="Y448" s="27" t="s">
        <v>8</v>
      </c>
      <c r="Z448" s="27" t="s">
        <v>7</v>
      </c>
      <c r="AW448" s="27" t="s">
        <v>8</v>
      </c>
      <c r="AX448" s="27" t="s">
        <v>7</v>
      </c>
      <c r="AY448" s="27" t="s">
        <v>8</v>
      </c>
      <c r="AZ448" s="27" t="s">
        <v>7</v>
      </c>
      <c r="BA448" s="27" t="s">
        <v>8</v>
      </c>
      <c r="BB448" s="27" t="s">
        <v>7</v>
      </c>
      <c r="BC448" s="27" t="s">
        <v>8</v>
      </c>
    </row>
    <row r="449" spans="1:54" x14ac:dyDescent="0.25">
      <c r="A449" s="7">
        <v>15.375303708145482</v>
      </c>
      <c r="B449"/>
      <c r="C449"/>
      <c r="D449"/>
      <c r="E449" t="s">
        <v>8</v>
      </c>
      <c r="H449" s="27" t="s">
        <v>7</v>
      </c>
      <c r="I449" s="27" t="s">
        <v>8</v>
      </c>
      <c r="J449" s="27" t="s">
        <v>7</v>
      </c>
      <c r="K449" s="27" t="s">
        <v>8</v>
      </c>
      <c r="L449" s="27" t="s">
        <v>7</v>
      </c>
      <c r="M449" s="27" t="s">
        <v>8</v>
      </c>
      <c r="N449" s="27" t="s">
        <v>7</v>
      </c>
      <c r="Q449" s="27" t="s">
        <v>8</v>
      </c>
      <c r="R449" s="27" t="s">
        <v>7</v>
      </c>
      <c r="S449" s="27" t="s">
        <v>8</v>
      </c>
      <c r="V449" s="27" t="s">
        <v>7</v>
      </c>
      <c r="W449" s="27" t="s">
        <v>8</v>
      </c>
      <c r="X449" s="27" t="s">
        <v>7</v>
      </c>
      <c r="Y449" s="27" t="s">
        <v>8</v>
      </c>
      <c r="Z449" s="27" t="s">
        <v>7</v>
      </c>
      <c r="AW449" s="27" t="s">
        <v>8</v>
      </c>
      <c r="AX449" s="27" t="s">
        <v>7</v>
      </c>
      <c r="AY449" s="27" t="s">
        <v>8</v>
      </c>
      <c r="AZ449" s="27" t="s">
        <v>7</v>
      </c>
      <c r="BA449" s="27" t="s">
        <v>8</v>
      </c>
      <c r="BB449" s="27" t="s">
        <v>7</v>
      </c>
    </row>
    <row r="450" spans="1:54" x14ac:dyDescent="0.25">
      <c r="A450" s="7">
        <v>15.073827164848511</v>
      </c>
      <c r="B450"/>
      <c r="C450"/>
      <c r="D450"/>
      <c r="E450" t="s">
        <v>8</v>
      </c>
      <c r="H450" s="27" t="s">
        <v>7</v>
      </c>
      <c r="I450" s="27" t="s">
        <v>8</v>
      </c>
      <c r="J450" s="27" t="s">
        <v>7</v>
      </c>
      <c r="K450" s="27" t="s">
        <v>8</v>
      </c>
      <c r="L450" s="27" t="s">
        <v>7</v>
      </c>
      <c r="M450" s="27" t="s">
        <v>8</v>
      </c>
      <c r="N450" s="27" t="s">
        <v>7</v>
      </c>
      <c r="O450" s="27" t="s">
        <v>8</v>
      </c>
      <c r="Q450" s="27" t="s">
        <v>8</v>
      </c>
      <c r="R450" s="27" t="s">
        <v>7</v>
      </c>
      <c r="V450" s="27" t="s">
        <v>7</v>
      </c>
      <c r="W450" s="27" t="s">
        <v>8</v>
      </c>
      <c r="X450" s="27" t="s">
        <v>7</v>
      </c>
      <c r="Y450" s="27" t="s">
        <v>8</v>
      </c>
      <c r="Z450" s="27" t="s">
        <v>7</v>
      </c>
      <c r="AW450" s="27" t="s">
        <v>8</v>
      </c>
      <c r="AX450" s="27" t="s">
        <v>7</v>
      </c>
      <c r="AY450" s="27" t="s">
        <v>8</v>
      </c>
      <c r="AZ450" s="27" t="s">
        <v>7</v>
      </c>
      <c r="BA450" s="27" t="s">
        <v>8</v>
      </c>
    </row>
    <row r="451" spans="1:54" x14ac:dyDescent="0.25">
      <c r="A451" s="7">
        <v>14.77826192632207</v>
      </c>
      <c r="B451"/>
      <c r="C451"/>
      <c r="D451"/>
      <c r="E451" t="s">
        <v>8</v>
      </c>
      <c r="H451" s="27" t="s">
        <v>7</v>
      </c>
      <c r="I451" s="27" t="s">
        <v>8</v>
      </c>
      <c r="J451" s="27" t="s">
        <v>7</v>
      </c>
      <c r="K451" s="27" t="s">
        <v>8</v>
      </c>
      <c r="L451" s="27" t="s">
        <v>7</v>
      </c>
      <c r="M451" s="27" t="s">
        <v>8</v>
      </c>
      <c r="N451" s="27" t="s">
        <v>7</v>
      </c>
      <c r="O451" s="27" t="s">
        <v>8</v>
      </c>
      <c r="P451" s="27" t="s">
        <v>7</v>
      </c>
      <c r="Q451" s="27" t="s">
        <v>8</v>
      </c>
      <c r="V451" s="27" t="s">
        <v>7</v>
      </c>
      <c r="W451" s="27" t="s">
        <v>8</v>
      </c>
      <c r="X451" s="27" t="s">
        <v>7</v>
      </c>
      <c r="Z451" s="27" t="s">
        <v>7</v>
      </c>
      <c r="AW451" s="27" t="s">
        <v>8</v>
      </c>
      <c r="AX451" s="27" t="s">
        <v>7</v>
      </c>
      <c r="AY451" s="27" t="s">
        <v>8</v>
      </c>
      <c r="AZ451" s="27" t="s">
        <v>7</v>
      </c>
      <c r="BA451" s="27" t="s">
        <v>8</v>
      </c>
    </row>
    <row r="452" spans="1:54" x14ac:dyDescent="0.25">
      <c r="A452" s="7">
        <v>14.488492084629481</v>
      </c>
      <c r="B452"/>
      <c r="C452"/>
      <c r="D452"/>
      <c r="E452" t="s">
        <v>8</v>
      </c>
      <c r="H452" s="27" t="s">
        <v>7</v>
      </c>
      <c r="I452" s="27" t="s">
        <v>8</v>
      </c>
      <c r="J452" s="27" t="s">
        <v>7</v>
      </c>
      <c r="K452" s="27" t="s">
        <v>8</v>
      </c>
      <c r="L452" s="27" t="s">
        <v>7</v>
      </c>
      <c r="M452" s="27" t="s">
        <v>8</v>
      </c>
      <c r="N452" s="27" t="s">
        <v>7</v>
      </c>
      <c r="O452" s="27" t="s">
        <v>8</v>
      </c>
      <c r="P452" s="27" t="s">
        <v>7</v>
      </c>
      <c r="Q452" s="27" t="s">
        <v>8</v>
      </c>
      <c r="V452" s="27" t="s">
        <v>7</v>
      </c>
      <c r="W452" s="27" t="s">
        <v>8</v>
      </c>
      <c r="Z452" s="27" t="s">
        <v>7</v>
      </c>
      <c r="AW452" s="27" t="s">
        <v>8</v>
      </c>
      <c r="AX452" s="27" t="s">
        <v>7</v>
      </c>
      <c r="AY452" s="27" t="s">
        <v>8</v>
      </c>
      <c r="AZ452" s="27" t="s">
        <v>7</v>
      </c>
      <c r="BA452" s="27" t="s">
        <v>8</v>
      </c>
    </row>
    <row r="453" spans="1:54" x14ac:dyDescent="0.25">
      <c r="A453" s="7">
        <v>14.204404004538707</v>
      </c>
      <c r="B453"/>
      <c r="C453"/>
      <c r="D453"/>
      <c r="E453" t="s">
        <v>8</v>
      </c>
      <c r="H453" s="27" t="s">
        <v>7</v>
      </c>
      <c r="I453" s="27" t="s">
        <v>8</v>
      </c>
      <c r="J453" s="27" t="s">
        <v>7</v>
      </c>
      <c r="K453" s="27" t="s">
        <v>8</v>
      </c>
      <c r="L453" s="27" t="s">
        <v>7</v>
      </c>
      <c r="M453" s="27" t="s">
        <v>8</v>
      </c>
      <c r="N453" s="27" t="s">
        <v>7</v>
      </c>
      <c r="O453" s="27" t="s">
        <v>8</v>
      </c>
      <c r="P453" s="27" t="s">
        <v>7</v>
      </c>
      <c r="Q453" s="27" t="s">
        <v>8</v>
      </c>
      <c r="V453" s="27" t="s">
        <v>7</v>
      </c>
      <c r="W453" s="27" t="s">
        <v>8</v>
      </c>
      <c r="Z453" s="27" t="s">
        <v>7</v>
      </c>
      <c r="AW453" s="27" t="s">
        <v>8</v>
      </c>
      <c r="AX453" s="27" t="s">
        <v>7</v>
      </c>
      <c r="AZ453" s="27" t="s">
        <v>7</v>
      </c>
      <c r="BA453" s="27" t="s">
        <v>8</v>
      </c>
    </row>
    <row r="454" spans="1:54" x14ac:dyDescent="0.25">
      <c r="A454" s="7">
        <v>13.925886278959517</v>
      </c>
      <c r="B454"/>
      <c r="C454"/>
      <c r="D454"/>
      <c r="E454" t="s">
        <v>8</v>
      </c>
      <c r="H454" s="27" t="s">
        <v>7</v>
      </c>
      <c r="I454" s="27" t="s">
        <v>8</v>
      </c>
      <c r="J454" s="27" t="s">
        <v>7</v>
      </c>
      <c r="K454" s="27" t="s">
        <v>8</v>
      </c>
      <c r="L454" s="27" t="s">
        <v>7</v>
      </c>
      <c r="M454" s="27" t="s">
        <v>8</v>
      </c>
      <c r="N454" s="27" t="s">
        <v>7</v>
      </c>
      <c r="O454" s="27" t="s">
        <v>8</v>
      </c>
      <c r="P454" s="27" t="s">
        <v>7</v>
      </c>
      <c r="Q454" s="27" t="s">
        <v>8</v>
      </c>
      <c r="V454" s="27" t="s">
        <v>7</v>
      </c>
      <c r="W454" s="27" t="s">
        <v>8</v>
      </c>
      <c r="Z454" s="27" t="s">
        <v>7</v>
      </c>
      <c r="AS454" s="27" t="s">
        <v>8</v>
      </c>
      <c r="AW454" s="27" t="s">
        <v>8</v>
      </c>
      <c r="AZ454" s="27" t="s">
        <v>7</v>
      </c>
    </row>
    <row r="455" spans="1:54" x14ac:dyDescent="0.25">
      <c r="A455" s="7">
        <v>13.652829685254428</v>
      </c>
      <c r="B455"/>
      <c r="C455"/>
      <c r="D455"/>
      <c r="E455" t="s">
        <v>8</v>
      </c>
      <c r="H455" s="27" t="s">
        <v>7</v>
      </c>
      <c r="I455" s="27" t="s">
        <v>8</v>
      </c>
      <c r="J455" s="27" t="s">
        <v>7</v>
      </c>
      <c r="K455" s="27" t="s">
        <v>8</v>
      </c>
      <c r="L455" s="27" t="s">
        <v>7</v>
      </c>
      <c r="M455" s="27" t="s">
        <v>8</v>
      </c>
      <c r="N455" s="27" t="s">
        <v>7</v>
      </c>
      <c r="O455" s="27" t="s">
        <v>8</v>
      </c>
      <c r="P455" s="27" t="s">
        <v>7</v>
      </c>
      <c r="Q455" s="27" t="s">
        <v>8</v>
      </c>
      <c r="V455" s="27" t="s">
        <v>7</v>
      </c>
      <c r="Z455" s="27" t="s">
        <v>7</v>
      </c>
      <c r="AS455" s="27" t="s">
        <v>8</v>
      </c>
      <c r="AT455" s="27" t="s">
        <v>7</v>
      </c>
      <c r="AW455" s="27" t="s">
        <v>8</v>
      </c>
    </row>
    <row r="456" spans="1:54" x14ac:dyDescent="0.25">
      <c r="A456" s="7">
        <v>13.385127142406303</v>
      </c>
      <c r="B456"/>
      <c r="C456"/>
      <c r="D456"/>
      <c r="E456" t="s">
        <v>8</v>
      </c>
      <c r="H456" s="27" t="s">
        <v>7</v>
      </c>
      <c r="I456" s="27" t="s">
        <v>8</v>
      </c>
      <c r="J456" s="27" t="s">
        <v>7</v>
      </c>
      <c r="K456" s="27" t="s">
        <v>8</v>
      </c>
      <c r="L456" s="27" t="s">
        <v>7</v>
      </c>
      <c r="M456" s="27" t="s">
        <v>8</v>
      </c>
      <c r="N456" s="27" t="s">
        <v>7</v>
      </c>
      <c r="O456" s="27" t="s">
        <v>8</v>
      </c>
      <c r="P456" s="27" t="s">
        <v>7</v>
      </c>
      <c r="Q456" s="27" t="s">
        <v>8</v>
      </c>
      <c r="Z456" s="27" t="s">
        <v>7</v>
      </c>
      <c r="AA456" s="27" t="s">
        <v>8</v>
      </c>
      <c r="AS456" s="27" t="s">
        <v>8</v>
      </c>
      <c r="AT456" s="27" t="s">
        <v>7</v>
      </c>
      <c r="AW456" s="27" t="s">
        <v>8</v>
      </c>
    </row>
    <row r="457" spans="1:54" x14ac:dyDescent="0.25">
      <c r="A457" s="7">
        <v>13.122673669025787</v>
      </c>
      <c r="B457"/>
      <c r="C457"/>
      <c r="D457"/>
      <c r="E457" t="s">
        <v>8</v>
      </c>
      <c r="H457" s="27" t="s">
        <v>7</v>
      </c>
      <c r="I457" s="27" t="s">
        <v>8</v>
      </c>
      <c r="J457" s="27" t="s">
        <v>7</v>
      </c>
      <c r="K457" s="27" t="s">
        <v>8</v>
      </c>
      <c r="L457" s="27" t="s">
        <v>7</v>
      </c>
      <c r="M457" s="27" t="s">
        <v>8</v>
      </c>
      <c r="N457" s="27" t="s">
        <v>7</v>
      </c>
      <c r="O457" s="27" t="s">
        <v>8</v>
      </c>
      <c r="P457" s="27" t="s">
        <v>7</v>
      </c>
      <c r="Q457" s="27" t="s">
        <v>8</v>
      </c>
      <c r="Z457" s="27" t="s">
        <v>7</v>
      </c>
      <c r="AA457" s="27" t="s">
        <v>8</v>
      </c>
      <c r="AB457" s="27" t="s">
        <v>7</v>
      </c>
      <c r="AS457" s="27" t="s">
        <v>8</v>
      </c>
      <c r="AT457" s="27" t="s">
        <v>7</v>
      </c>
      <c r="AW457" s="27" t="s">
        <v>8</v>
      </c>
    </row>
    <row r="458" spans="1:54" x14ac:dyDescent="0.25">
      <c r="A458" s="7">
        <v>12.865366342182144</v>
      </c>
      <c r="B458"/>
      <c r="C458"/>
      <c r="D458"/>
      <c r="E458" t="s">
        <v>8</v>
      </c>
      <c r="H458" s="27" t="s">
        <v>7</v>
      </c>
      <c r="I458" s="27" t="s">
        <v>8</v>
      </c>
      <c r="J458" s="27" t="s">
        <v>7</v>
      </c>
      <c r="K458" s="27" t="s">
        <v>8</v>
      </c>
      <c r="L458" s="27" t="s">
        <v>7</v>
      </c>
      <c r="N458" s="27" t="s">
        <v>7</v>
      </c>
      <c r="O458" s="27" t="s">
        <v>8</v>
      </c>
      <c r="P458" s="27" t="s">
        <v>7</v>
      </c>
      <c r="Q458" s="27" t="s">
        <v>8</v>
      </c>
      <c r="Z458" s="27" t="s">
        <v>7</v>
      </c>
      <c r="AA458" s="27" t="s">
        <v>8</v>
      </c>
      <c r="AB458" s="27" t="s">
        <v>7</v>
      </c>
      <c r="AI458" s="27" t="s">
        <v>8</v>
      </c>
      <c r="AS458" s="27" t="s">
        <v>8</v>
      </c>
      <c r="AT458" s="27" t="s">
        <v>7</v>
      </c>
      <c r="AW458" s="27" t="s">
        <v>8</v>
      </c>
    </row>
    <row r="459" spans="1:54" x14ac:dyDescent="0.25">
      <c r="A459" s="7">
        <v>12.613104257041318</v>
      </c>
      <c r="B459"/>
      <c r="C459"/>
      <c r="D459"/>
      <c r="E459" t="s">
        <v>8</v>
      </c>
      <c r="H459" s="27" t="s">
        <v>7</v>
      </c>
      <c r="I459" s="27" t="s">
        <v>8</v>
      </c>
      <c r="J459" s="27" t="s">
        <v>7</v>
      </c>
      <c r="K459" s="27" t="s">
        <v>8</v>
      </c>
      <c r="N459" s="27" t="s">
        <v>7</v>
      </c>
      <c r="O459" s="27" t="s">
        <v>8</v>
      </c>
      <c r="P459" s="27" t="s">
        <v>7</v>
      </c>
      <c r="Z459" s="27" t="s">
        <v>7</v>
      </c>
      <c r="AA459" s="27" t="s">
        <v>8</v>
      </c>
      <c r="AB459" s="27" t="s">
        <v>7</v>
      </c>
      <c r="AE459" s="27" t="s">
        <v>8</v>
      </c>
      <c r="AI459" s="27" t="s">
        <v>8</v>
      </c>
      <c r="AJ459" s="27" t="s">
        <v>7</v>
      </c>
      <c r="AS459" s="27" t="s">
        <v>8</v>
      </c>
      <c r="AT459" s="27" t="s">
        <v>7</v>
      </c>
      <c r="AW459" s="27" t="s">
        <v>8</v>
      </c>
    </row>
    <row r="460" spans="1:54" x14ac:dyDescent="0.25">
      <c r="A460" s="7">
        <v>12.36578848729541</v>
      </c>
      <c r="B460"/>
      <c r="C460"/>
      <c r="D460"/>
      <c r="E460" t="s">
        <v>8</v>
      </c>
      <c r="H460" s="27" t="s">
        <v>7</v>
      </c>
      <c r="I460" s="27" t="s">
        <v>8</v>
      </c>
      <c r="J460" s="27" t="s">
        <v>7</v>
      </c>
      <c r="K460" s="27" t="s">
        <v>8</v>
      </c>
      <c r="N460" s="27" t="s">
        <v>7</v>
      </c>
      <c r="O460" s="27" t="s">
        <v>8</v>
      </c>
      <c r="Z460" s="27" t="s">
        <v>7</v>
      </c>
      <c r="AA460" s="27" t="s">
        <v>8</v>
      </c>
      <c r="AB460" s="27" t="s">
        <v>7</v>
      </c>
      <c r="AE460" s="27" t="s">
        <v>8</v>
      </c>
      <c r="AF460" s="27" t="s">
        <v>7</v>
      </c>
      <c r="AI460" s="27" t="s">
        <v>8</v>
      </c>
      <c r="AJ460" s="27" t="s">
        <v>7</v>
      </c>
      <c r="AQ460" s="27" t="s">
        <v>8</v>
      </c>
      <c r="AS460" s="27" t="s">
        <v>8</v>
      </c>
      <c r="AT460" s="27" t="s">
        <v>7</v>
      </c>
      <c r="AW460" s="27" t="s">
        <v>8</v>
      </c>
    </row>
    <row r="461" spans="1:54" x14ac:dyDescent="0.25">
      <c r="A461" s="7">
        <v>12.123322046368049</v>
      </c>
      <c r="B461"/>
      <c r="C461"/>
      <c r="D461"/>
      <c r="E461" t="s">
        <v>8</v>
      </c>
      <c r="H461" s="27" t="s">
        <v>7</v>
      </c>
      <c r="I461" s="27" t="s">
        <v>8</v>
      </c>
      <c r="J461" s="27" t="s">
        <v>7</v>
      </c>
      <c r="K461" s="27" t="s">
        <v>8</v>
      </c>
      <c r="N461" s="27" t="s">
        <v>7</v>
      </c>
      <c r="O461" s="27" t="s">
        <v>8</v>
      </c>
      <c r="Z461" s="27" t="s">
        <v>7</v>
      </c>
      <c r="AA461" s="27" t="s">
        <v>8</v>
      </c>
      <c r="AB461" s="27" t="s">
        <v>7</v>
      </c>
      <c r="AE461" s="27" t="s">
        <v>8</v>
      </c>
      <c r="AF461" s="27" t="s">
        <v>7</v>
      </c>
      <c r="AI461" s="27" t="s">
        <v>8</v>
      </c>
      <c r="AJ461" s="27" t="s">
        <v>7</v>
      </c>
      <c r="AQ461" s="27" t="s">
        <v>8</v>
      </c>
      <c r="AR461" s="27" t="s">
        <v>7</v>
      </c>
      <c r="AS461" s="27" t="s">
        <v>8</v>
      </c>
      <c r="AT461" s="27" t="s">
        <v>7</v>
      </c>
      <c r="AW461" s="27" t="s">
        <v>8</v>
      </c>
    </row>
    <row r="462" spans="1:54" x14ac:dyDescent="0.25">
      <c r="A462" s="7">
        <v>11.88560984938044</v>
      </c>
      <c r="B462"/>
      <c r="C462"/>
      <c r="D462"/>
      <c r="E462" t="s">
        <v>8</v>
      </c>
      <c r="H462" s="27" t="s">
        <v>7</v>
      </c>
      <c r="I462" s="27" t="s">
        <v>8</v>
      </c>
      <c r="J462" s="27" t="s">
        <v>7</v>
      </c>
      <c r="K462" s="27" t="s">
        <v>8</v>
      </c>
      <c r="N462" s="27" t="s">
        <v>7</v>
      </c>
      <c r="Z462" s="27" t="s">
        <v>7</v>
      </c>
      <c r="AA462" s="27" t="s">
        <v>8</v>
      </c>
      <c r="AB462" s="27" t="s">
        <v>7</v>
      </c>
      <c r="AE462" s="27" t="s">
        <v>8</v>
      </c>
      <c r="AF462" s="27" t="s">
        <v>7</v>
      </c>
      <c r="AI462" s="27" t="s">
        <v>8</v>
      </c>
      <c r="AJ462" s="27" t="s">
        <v>7</v>
      </c>
      <c r="AQ462" s="27" t="s">
        <v>8</v>
      </c>
      <c r="AR462" s="27" t="s">
        <v>7</v>
      </c>
      <c r="AS462" s="27" t="s">
        <v>8</v>
      </c>
      <c r="AT462" s="27" t="s">
        <v>7</v>
      </c>
      <c r="AU462" s="27" t="s">
        <v>8</v>
      </c>
      <c r="AW462" s="27" t="s">
        <v>8</v>
      </c>
    </row>
    <row r="463" spans="1:54" x14ac:dyDescent="0.25">
      <c r="A463" s="7">
        <v>11.652558675863176</v>
      </c>
      <c r="B463"/>
      <c r="C463"/>
      <c r="D463"/>
      <c r="E463" t="s">
        <v>8</v>
      </c>
      <c r="H463" s="27" t="s">
        <v>7</v>
      </c>
      <c r="I463" s="27" t="s">
        <v>8</v>
      </c>
      <c r="J463" s="27" t="s">
        <v>7</v>
      </c>
      <c r="K463" s="27" t="s">
        <v>8</v>
      </c>
      <c r="Z463" s="27" t="s">
        <v>7</v>
      </c>
      <c r="AA463" s="27" t="s">
        <v>8</v>
      </c>
      <c r="AB463" s="27" t="s">
        <v>7</v>
      </c>
      <c r="AE463" s="27" t="s">
        <v>8</v>
      </c>
      <c r="AF463" s="27" t="s">
        <v>7</v>
      </c>
      <c r="AI463" s="27" t="s">
        <v>8</v>
      </c>
      <c r="AJ463" s="27" t="s">
        <v>7</v>
      </c>
      <c r="AK463" s="27" t="s">
        <v>8</v>
      </c>
      <c r="AQ463" s="27" t="s">
        <v>8</v>
      </c>
      <c r="AR463" s="27" t="s">
        <v>7</v>
      </c>
      <c r="AS463" s="27" t="s">
        <v>8</v>
      </c>
      <c r="AT463" s="27" t="s">
        <v>7</v>
      </c>
      <c r="AU463" s="27" t="s">
        <v>8</v>
      </c>
      <c r="AV463" s="27" t="s">
        <v>7</v>
      </c>
      <c r="AW463" s="27" t="s">
        <v>8</v>
      </c>
    </row>
    <row r="464" spans="1:54" x14ac:dyDescent="0.25">
      <c r="A464" s="7">
        <v>11.424077133199193</v>
      </c>
      <c r="B464"/>
      <c r="C464"/>
      <c r="D464"/>
      <c r="E464" t="s">
        <v>8</v>
      </c>
      <c r="H464" s="27" t="s">
        <v>7</v>
      </c>
      <c r="I464" s="27" t="s">
        <v>8</v>
      </c>
      <c r="J464" s="27" t="s">
        <v>7</v>
      </c>
      <c r="K464" s="27" t="s">
        <v>8</v>
      </c>
      <c r="Z464" s="27" t="s">
        <v>7</v>
      </c>
      <c r="AA464" s="27" t="s">
        <v>8</v>
      </c>
      <c r="AB464" s="27" t="s">
        <v>7</v>
      </c>
      <c r="AE464" s="27" t="s">
        <v>8</v>
      </c>
      <c r="AF464" s="27" t="s">
        <v>7</v>
      </c>
      <c r="AI464" s="27" t="s">
        <v>8</v>
      </c>
      <c r="AJ464" s="27" t="s">
        <v>7</v>
      </c>
      <c r="AK464" s="27" t="s">
        <v>8</v>
      </c>
      <c r="AL464" s="27" t="s">
        <v>7</v>
      </c>
      <c r="AQ464" s="27" t="s">
        <v>8</v>
      </c>
      <c r="AR464" s="27" t="s">
        <v>7</v>
      </c>
      <c r="AS464" s="27" t="s">
        <v>8</v>
      </c>
      <c r="AT464" s="27" t="s">
        <v>7</v>
      </c>
      <c r="AU464" s="27" t="s">
        <v>8</v>
      </c>
      <c r="AV464" s="27" t="s">
        <v>7</v>
      </c>
      <c r="AW464" s="27" t="s">
        <v>8</v>
      </c>
    </row>
    <row r="465" spans="1:49" x14ac:dyDescent="0.25">
      <c r="A465" s="7">
        <v>11.200075620783522</v>
      </c>
      <c r="B465"/>
      <c r="C465"/>
      <c r="D465"/>
      <c r="E465" t="s">
        <v>8</v>
      </c>
      <c r="H465" s="27" t="s">
        <v>7</v>
      </c>
      <c r="I465" s="27" t="s">
        <v>8</v>
      </c>
      <c r="J465" s="27" t="s">
        <v>7</v>
      </c>
      <c r="K465" s="27" t="s">
        <v>8</v>
      </c>
      <c r="Z465" s="27" t="s">
        <v>7</v>
      </c>
      <c r="AA465" s="27" t="s">
        <v>8</v>
      </c>
      <c r="AB465" s="27" t="s">
        <v>7</v>
      </c>
      <c r="AC465" s="27" t="s">
        <v>8</v>
      </c>
      <c r="AE465" s="27" t="s">
        <v>8</v>
      </c>
      <c r="AF465" s="27" t="s">
        <v>7</v>
      </c>
      <c r="AG465" s="27" t="s">
        <v>8</v>
      </c>
      <c r="AI465" s="27" t="s">
        <v>8</v>
      </c>
      <c r="AJ465" s="27" t="s">
        <v>7</v>
      </c>
      <c r="AK465" s="27" t="s">
        <v>8</v>
      </c>
      <c r="AL465" s="27" t="s">
        <v>7</v>
      </c>
      <c r="AQ465" s="27" t="s">
        <v>8</v>
      </c>
      <c r="AR465" s="27" t="s">
        <v>7</v>
      </c>
      <c r="AS465" s="27" t="s">
        <v>8</v>
      </c>
      <c r="AT465" s="27" t="s">
        <v>7</v>
      </c>
      <c r="AU465" s="27" t="s">
        <v>8</v>
      </c>
      <c r="AV465" s="27" t="s">
        <v>7</v>
      </c>
      <c r="AW465" s="27" t="s">
        <v>8</v>
      </c>
    </row>
    <row r="466" spans="1:49" x14ac:dyDescent="0.25">
      <c r="A466" s="7">
        <v>10.980466294885806</v>
      </c>
      <c r="B466"/>
      <c r="C466"/>
      <c r="D466"/>
      <c r="E466" t="s">
        <v>8</v>
      </c>
      <c r="H466" s="27" t="s">
        <v>7</v>
      </c>
      <c r="I466" s="27" t="s">
        <v>8</v>
      </c>
      <c r="J466" s="27" t="s">
        <v>7</v>
      </c>
      <c r="K466" s="27" t="s">
        <v>8</v>
      </c>
      <c r="Z466" s="27" t="s">
        <v>7</v>
      </c>
      <c r="AB466" s="27" t="s">
        <v>7</v>
      </c>
      <c r="AC466" s="27" t="s">
        <v>8</v>
      </c>
      <c r="AD466" s="27" t="s">
        <v>7</v>
      </c>
      <c r="AE466" s="27" t="s">
        <v>8</v>
      </c>
      <c r="AF466" s="27" t="s">
        <v>7</v>
      </c>
      <c r="AG466" s="27" t="s">
        <v>8</v>
      </c>
      <c r="AH466" s="27" t="s">
        <v>7</v>
      </c>
      <c r="AI466" s="27" t="s">
        <v>8</v>
      </c>
      <c r="AJ466" s="27" t="s">
        <v>7</v>
      </c>
      <c r="AK466" s="27" t="s">
        <v>8</v>
      </c>
      <c r="AL466" s="27" t="s">
        <v>7</v>
      </c>
      <c r="AO466" s="27" t="s">
        <v>8</v>
      </c>
      <c r="AQ466" s="27" t="s">
        <v>8</v>
      </c>
      <c r="AR466" s="27" t="s">
        <v>7</v>
      </c>
      <c r="AS466" s="27" t="s">
        <v>8</v>
      </c>
      <c r="AT466" s="27" t="s">
        <v>7</v>
      </c>
      <c r="AU466" s="27" t="s">
        <v>8</v>
      </c>
      <c r="AV466" s="27" t="s">
        <v>7</v>
      </c>
      <c r="AW466" s="27" t="s">
        <v>8</v>
      </c>
    </row>
    <row r="467" spans="1:49" x14ac:dyDescent="0.25">
      <c r="A467" s="7">
        <v>10.765163034201771</v>
      </c>
      <c r="B467"/>
      <c r="C467"/>
      <c r="D467"/>
      <c r="E467" t="s">
        <v>8</v>
      </c>
      <c r="H467" s="27" t="s">
        <v>7</v>
      </c>
      <c r="I467" s="27" t="s">
        <v>8</v>
      </c>
      <c r="J467" s="27" t="s">
        <v>7</v>
      </c>
      <c r="K467" s="27" t="s">
        <v>8</v>
      </c>
      <c r="AB467" s="27" t="s">
        <v>7</v>
      </c>
      <c r="AC467" s="27" t="s">
        <v>8</v>
      </c>
      <c r="AD467" s="27" t="s">
        <v>7</v>
      </c>
      <c r="AE467" s="27" t="s">
        <v>8</v>
      </c>
      <c r="AF467" s="27" t="s">
        <v>7</v>
      </c>
      <c r="AG467" s="27" t="s">
        <v>8</v>
      </c>
      <c r="AH467" s="27" t="s">
        <v>7</v>
      </c>
      <c r="AI467" s="27" t="s">
        <v>8</v>
      </c>
      <c r="AJ467" s="27" t="s">
        <v>7</v>
      </c>
      <c r="AK467" s="27" t="s">
        <v>8</v>
      </c>
      <c r="AL467" s="27" t="s">
        <v>7</v>
      </c>
      <c r="AO467" s="27" t="s">
        <v>8</v>
      </c>
      <c r="AP467" s="27" t="s">
        <v>7</v>
      </c>
      <c r="AQ467" s="27" t="s">
        <v>8</v>
      </c>
      <c r="AR467" s="27" t="s">
        <v>7</v>
      </c>
      <c r="AS467" s="27" t="s">
        <v>8</v>
      </c>
      <c r="AT467" s="27" t="s">
        <v>7</v>
      </c>
      <c r="AV467" s="27" t="s">
        <v>7</v>
      </c>
    </row>
    <row r="468" spans="1:49" x14ac:dyDescent="0.25">
      <c r="A468" s="7">
        <v>10.554081406080169</v>
      </c>
      <c r="B468"/>
      <c r="C468"/>
      <c r="D468"/>
      <c r="E468" t="s">
        <v>8</v>
      </c>
      <c r="H468" s="27" t="s">
        <v>7</v>
      </c>
      <c r="I468" s="27" t="s">
        <v>8</v>
      </c>
      <c r="J468" s="27" t="s">
        <v>7</v>
      </c>
      <c r="K468" s="27" t="s">
        <v>8</v>
      </c>
      <c r="AB468" s="27" t="s">
        <v>7</v>
      </c>
      <c r="AC468" s="27" t="s">
        <v>8</v>
      </c>
      <c r="AD468" s="27" t="s">
        <v>7</v>
      </c>
      <c r="AE468" s="27" t="s">
        <v>8</v>
      </c>
      <c r="AF468" s="27" t="s">
        <v>7</v>
      </c>
      <c r="AG468" s="27" t="s">
        <v>8</v>
      </c>
      <c r="AH468" s="27" t="s">
        <v>7</v>
      </c>
      <c r="AJ468" s="27" t="s">
        <v>7</v>
      </c>
      <c r="AK468" s="27" t="s">
        <v>8</v>
      </c>
      <c r="AL468" s="27" t="s">
        <v>7</v>
      </c>
      <c r="AO468" s="27" t="s">
        <v>8</v>
      </c>
      <c r="AP468" s="27" t="s">
        <v>7</v>
      </c>
      <c r="AQ468" s="27" t="s">
        <v>8</v>
      </c>
      <c r="AR468" s="27" t="s">
        <v>7</v>
      </c>
      <c r="AS468" s="27" t="s">
        <v>8</v>
      </c>
    </row>
    <row r="469" spans="1:49" x14ac:dyDescent="0.25">
      <c r="A469" s="7">
        <v>10.34713863341193</v>
      </c>
      <c r="B469"/>
      <c r="C469"/>
      <c r="D469"/>
      <c r="E469" t="s">
        <v>8</v>
      </c>
      <c r="H469" s="27" t="s">
        <v>7</v>
      </c>
      <c r="J469" s="27" t="s">
        <v>7</v>
      </c>
      <c r="K469" s="27" t="s">
        <v>8</v>
      </c>
      <c r="AB469" s="27" t="s">
        <v>7</v>
      </c>
      <c r="AC469" s="27" t="s">
        <v>8</v>
      </c>
      <c r="AD469" s="27" t="s">
        <v>7</v>
      </c>
      <c r="AE469" s="27" t="s">
        <v>8</v>
      </c>
      <c r="AF469" s="27" t="s">
        <v>7</v>
      </c>
      <c r="AG469" s="27" t="s">
        <v>8</v>
      </c>
      <c r="AJ469" s="27" t="s">
        <v>7</v>
      </c>
      <c r="AL469" s="27" t="s">
        <v>7</v>
      </c>
      <c r="AM469" s="27" t="s">
        <v>8</v>
      </c>
      <c r="AO469" s="27" t="s">
        <v>8</v>
      </c>
      <c r="AP469" s="27" t="s">
        <v>7</v>
      </c>
      <c r="AQ469" s="27" t="s">
        <v>8</v>
      </c>
      <c r="AR469" s="27" t="s">
        <v>7</v>
      </c>
    </row>
    <row r="470" spans="1:49" x14ac:dyDescent="0.25">
      <c r="A470" s="7">
        <v>10.14425356216856</v>
      </c>
      <c r="B470"/>
      <c r="C470"/>
      <c r="D470"/>
      <c r="E470" t="s">
        <v>8</v>
      </c>
      <c r="J470" s="27" t="s">
        <v>7</v>
      </c>
      <c r="K470" s="27" t="s">
        <v>8</v>
      </c>
      <c r="AB470" s="27" t="s">
        <v>7</v>
      </c>
      <c r="AC470" s="27" t="s">
        <v>8</v>
      </c>
      <c r="AD470" s="27" t="s">
        <v>7</v>
      </c>
      <c r="AE470" s="27" t="s">
        <v>8</v>
      </c>
      <c r="AF470" s="27" t="s">
        <v>7</v>
      </c>
      <c r="AG470" s="27" t="s">
        <v>8</v>
      </c>
      <c r="AL470" s="27" t="s">
        <v>7</v>
      </c>
      <c r="AM470" s="27" t="s">
        <v>8</v>
      </c>
      <c r="AN470" s="27" t="s">
        <v>7</v>
      </c>
      <c r="AO470" s="27" t="s">
        <v>8</v>
      </c>
      <c r="AP470" s="27" t="s">
        <v>7</v>
      </c>
      <c r="AQ470" s="27" t="s">
        <v>8</v>
      </c>
    </row>
    <row r="471" spans="1:49" x14ac:dyDescent="0.25">
      <c r="A471" s="7">
        <v>9.9453466295770188</v>
      </c>
      <c r="B471"/>
      <c r="C471"/>
      <c r="D471"/>
      <c r="E471" t="s">
        <v>8</v>
      </c>
      <c r="J471" s="27" t="s">
        <v>7</v>
      </c>
      <c r="AB471" s="27" t="s">
        <v>7</v>
      </c>
      <c r="AC471" s="27" t="s">
        <v>8</v>
      </c>
      <c r="AD471" s="27" t="s">
        <v>7</v>
      </c>
      <c r="AF471" s="27" t="s">
        <v>7</v>
      </c>
      <c r="AG471" s="27" t="s">
        <v>8</v>
      </c>
      <c r="AL471" s="27" t="s">
        <v>7</v>
      </c>
      <c r="AM471" s="27" t="s">
        <v>8</v>
      </c>
      <c r="AN471" s="27" t="s">
        <v>7</v>
      </c>
      <c r="AO471" s="27" t="s">
        <v>8</v>
      </c>
      <c r="AP471" s="27" t="s">
        <v>7</v>
      </c>
      <c r="AQ471" s="27" t="s">
        <v>8</v>
      </c>
    </row>
    <row r="472" spans="1:49" x14ac:dyDescent="0.25">
      <c r="A472" s="7">
        <v>9.7503398329186464</v>
      </c>
      <c r="B472"/>
      <c r="C472"/>
      <c r="D472"/>
      <c r="E472" t="s">
        <v>8</v>
      </c>
      <c r="AB472" s="27" t="s">
        <v>7</v>
      </c>
      <c r="AC472" s="27" t="s">
        <v>8</v>
      </c>
      <c r="AF472" s="27" t="s">
        <v>7</v>
      </c>
      <c r="AL472" s="27" t="s">
        <v>7</v>
      </c>
      <c r="AM472" s="27" t="s">
        <v>8</v>
      </c>
      <c r="AN472" s="27" t="s">
        <v>7</v>
      </c>
      <c r="AO472" s="27" t="s">
        <v>8</v>
      </c>
      <c r="AP472" s="27" t="s">
        <v>7</v>
      </c>
      <c r="AQ472" s="27" t="s">
        <v>8</v>
      </c>
    </row>
    <row r="473" spans="1:49" x14ac:dyDescent="0.25">
      <c r="A473" s="7">
        <v>9.5591566989398498</v>
      </c>
      <c r="B473"/>
      <c r="C473"/>
      <c r="D473"/>
      <c r="E473" t="s">
        <v>8</v>
      </c>
      <c r="AB473" s="27" t="s">
        <v>7</v>
      </c>
      <c r="AC473" s="27" t="s">
        <v>8</v>
      </c>
      <c r="AL473" s="27" t="s">
        <v>7</v>
      </c>
      <c r="AM473" s="27" t="s">
        <v>8</v>
      </c>
      <c r="AN473" s="27" t="s">
        <v>7</v>
      </c>
      <c r="AO473" s="27" t="s">
        <v>8</v>
      </c>
      <c r="AP473" s="27" t="s">
        <v>7</v>
      </c>
      <c r="AQ473" s="27" t="s">
        <v>8</v>
      </c>
    </row>
    <row r="474" spans="1:49" x14ac:dyDescent="0.25">
      <c r="A474" s="7">
        <v>9.3717222538625968</v>
      </c>
      <c r="B474"/>
      <c r="C474"/>
      <c r="D474"/>
      <c r="E474" t="s">
        <v>8</v>
      </c>
      <c r="AB474" s="27" t="s">
        <v>7</v>
      </c>
      <c r="AC474" s="27" t="s">
        <v>8</v>
      </c>
      <c r="AL474" s="27" t="s">
        <v>7</v>
      </c>
      <c r="AM474" s="27" t="s">
        <v>8</v>
      </c>
      <c r="AN474" s="27" t="s">
        <v>7</v>
      </c>
      <c r="AO474" s="27" t="s">
        <v>8</v>
      </c>
      <c r="AP474" s="27" t="s">
        <v>7</v>
      </c>
      <c r="AQ474" s="27" t="s">
        <v>8</v>
      </c>
    </row>
    <row r="475" spans="1:49" x14ac:dyDescent="0.25">
      <c r="A475" s="7">
        <v>9.1879629939829375</v>
      </c>
      <c r="B475"/>
      <c r="C475"/>
      <c r="D475"/>
      <c r="E475" t="s">
        <v>8</v>
      </c>
      <c r="AB475" s="27" t="s">
        <v>7</v>
      </c>
      <c r="AC475" s="27" t="s">
        <v>8</v>
      </c>
      <c r="AL475" s="27" t="s">
        <v>7</v>
      </c>
      <c r="AM475" s="27" t="s">
        <v>8</v>
      </c>
      <c r="AN475" s="27" t="s">
        <v>7</v>
      </c>
      <c r="AO475" s="27" t="s">
        <v>8</v>
      </c>
      <c r="AP475" s="27" t="s">
        <v>7</v>
      </c>
      <c r="AQ475" s="27" t="s">
        <v>8</v>
      </c>
    </row>
    <row r="476" spans="1:49" x14ac:dyDescent="0.25">
      <c r="A476" s="7">
        <v>9.0078068568460168</v>
      </c>
      <c r="B476"/>
      <c r="C476"/>
      <c r="D476"/>
      <c r="E476" t="s">
        <v>8</v>
      </c>
      <c r="AB476" s="27" t="s">
        <v>7</v>
      </c>
      <c r="AC476" s="27" t="s">
        <v>8</v>
      </c>
      <c r="AL476" s="27" t="s">
        <v>7</v>
      </c>
      <c r="AM476" s="27" t="s">
        <v>8</v>
      </c>
      <c r="AN476" s="27" t="s">
        <v>7</v>
      </c>
      <c r="AO476" s="27" t="s">
        <v>8</v>
      </c>
      <c r="AP476" s="27" t="s">
        <v>7</v>
      </c>
    </row>
    <row r="477" spans="1:49" x14ac:dyDescent="0.25">
      <c r="A477" s="7">
        <v>8.8311831929862912</v>
      </c>
      <c r="B477"/>
      <c r="C477"/>
      <c r="D477"/>
      <c r="E477" t="s">
        <v>8</v>
      </c>
      <c r="AB477" s="27" t="s">
        <v>7</v>
      </c>
      <c r="AC477" s="27" t="s">
        <v>8</v>
      </c>
      <c r="AL477" s="27" t="s">
        <v>7</v>
      </c>
      <c r="AM477" s="27" t="s">
        <v>8</v>
      </c>
      <c r="AN477" s="27" t="s">
        <v>7</v>
      </c>
      <c r="AO477" s="27" t="s">
        <v>8</v>
      </c>
    </row>
    <row r="478" spans="1:49" x14ac:dyDescent="0.25">
      <c r="A478" s="7">
        <v>8.6580227382218542</v>
      </c>
      <c r="B478"/>
      <c r="C478"/>
      <c r="D478"/>
      <c r="E478" t="s">
        <v>8</v>
      </c>
      <c r="AB478" s="27" t="s">
        <v>7</v>
      </c>
      <c r="AC478" s="27" t="s">
        <v>8</v>
      </c>
      <c r="AL478" s="27" t="s">
        <v>7</v>
      </c>
      <c r="AM478" s="27" t="s">
        <v>8</v>
      </c>
      <c r="AN478" s="27" t="s">
        <v>7</v>
      </c>
      <c r="AO478" s="27" t="s">
        <v>8</v>
      </c>
    </row>
    <row r="479" spans="1:49" x14ac:dyDescent="0.25">
      <c r="A479" s="7">
        <v>8.4882575864920131</v>
      </c>
      <c r="B479"/>
      <c r="C479"/>
      <c r="D479"/>
      <c r="E479" t="s">
        <v>8</v>
      </c>
      <c r="AB479" s="27" t="s">
        <v>7</v>
      </c>
      <c r="AC479" s="27" t="s">
        <v>8</v>
      </c>
      <c r="AL479" s="27" t="s">
        <v>7</v>
      </c>
      <c r="AM479" s="27" t="s">
        <v>8</v>
      </c>
      <c r="AN479" s="27" t="s">
        <v>7</v>
      </c>
      <c r="AO479" s="27" t="s">
        <v>8</v>
      </c>
    </row>
    <row r="480" spans="1:49" x14ac:dyDescent="0.25">
      <c r="A480" s="7">
        <v>8.3218211632274635</v>
      </c>
      <c r="B480"/>
      <c r="C480"/>
      <c r="D480"/>
      <c r="E480" t="s">
        <v>8</v>
      </c>
      <c r="AB480" s="27" t="s">
        <v>7</v>
      </c>
      <c r="AL480" s="27" t="s">
        <v>7</v>
      </c>
      <c r="AM480" s="27" t="s">
        <v>8</v>
      </c>
      <c r="AN480" s="27" t="s">
        <v>7</v>
      </c>
      <c r="AO480" s="27" t="s">
        <v>8</v>
      </c>
    </row>
    <row r="481" spans="1:41" x14ac:dyDescent="0.25">
      <c r="A481" s="7">
        <v>8.1586481992426112</v>
      </c>
      <c r="B481"/>
      <c r="C481"/>
      <c r="D481"/>
      <c r="E481" t="s">
        <v>8</v>
      </c>
      <c r="AL481" s="27" t="s">
        <v>7</v>
      </c>
      <c r="AN481" s="27" t="s">
        <v>7</v>
      </c>
      <c r="AO481" s="27" t="s">
        <v>8</v>
      </c>
    </row>
    <row r="482" spans="1:41" x14ac:dyDescent="0.25">
      <c r="A482" s="7">
        <v>7.9986747051398144</v>
      </c>
      <c r="B482"/>
      <c r="C482"/>
      <c r="D482"/>
      <c r="E482" t="s">
        <v>8</v>
      </c>
      <c r="AN482" s="18" t="s">
        <v>7</v>
      </c>
      <c r="AO482" s="27" t="s">
        <v>8</v>
      </c>
    </row>
    <row r="483" spans="1:41" x14ac:dyDescent="0.25">
      <c r="A483" s="7">
        <v>7.8418379462155041</v>
      </c>
      <c r="B483"/>
      <c r="C483"/>
      <c r="D483"/>
      <c r="E483" t="s">
        <v>8</v>
      </c>
      <c r="AN483" s="27" t="s">
        <v>7</v>
      </c>
      <c r="AO483" s="27" t="s">
        <v>8</v>
      </c>
    </row>
    <row r="484" spans="1:41" x14ac:dyDescent="0.25">
      <c r="A484" s="7">
        <v>7.688076417858337</v>
      </c>
      <c r="B484"/>
      <c r="C484"/>
      <c r="D484"/>
      <c r="E484" t="s">
        <v>8</v>
      </c>
      <c r="AN484" s="27" t="s">
        <v>7</v>
      </c>
      <c r="AO484" s="27" t="s">
        <v>8</v>
      </c>
    </row>
    <row r="485" spans="1:41" x14ac:dyDescent="0.25">
      <c r="A485" s="7">
        <v>7.5373298214297417</v>
      </c>
      <c r="B485"/>
      <c r="C485"/>
      <c r="D485"/>
      <c r="E485" t="s">
        <v>8</v>
      </c>
      <c r="AN485" s="27" t="s">
        <v>7</v>
      </c>
      <c r="AO485" s="27" t="s">
        <v>8</v>
      </c>
    </row>
    <row r="486" spans="1:41" x14ac:dyDescent="0.25">
      <c r="A486" s="7">
        <v>7.389539040617394</v>
      </c>
      <c r="B486"/>
      <c r="C486"/>
      <c r="D486"/>
      <c r="E486" t="s">
        <v>8</v>
      </c>
      <c r="AN486" s="27" t="s">
        <v>7</v>
      </c>
      <c r="AO486" s="27" t="s">
        <v>8</v>
      </c>
    </row>
    <row r="487" spans="1:41" x14ac:dyDescent="0.25">
      <c r="A487" s="7">
        <v>7.2446461182523469</v>
      </c>
      <c r="B487"/>
      <c r="C487"/>
      <c r="D487"/>
      <c r="E487" t="s">
        <v>8</v>
      </c>
      <c r="AN487" s="27" t="s">
        <v>7</v>
      </c>
      <c r="AO487" s="27" t="s">
        <v>8</v>
      </c>
    </row>
    <row r="488" spans="1:41" x14ac:dyDescent="0.25">
      <c r="A488" s="7">
        <v>7.1025942335807324</v>
      </c>
      <c r="B488"/>
      <c r="C488"/>
      <c r="D488"/>
      <c r="E488" t="s">
        <v>8</v>
      </c>
      <c r="AN488" s="27" t="s">
        <v>7</v>
      </c>
    </row>
    <row r="489" spans="1:41" x14ac:dyDescent="0.25">
      <c r="A489" s="7">
        <v>6.9633276799811101</v>
      </c>
      <c r="B489"/>
      <c r="C489"/>
      <c r="D489"/>
      <c r="E489" t="s">
        <v>8</v>
      </c>
    </row>
    <row r="490" spans="1:41" x14ac:dyDescent="0.25">
      <c r="A490" s="7">
        <v>6.8267918431187349</v>
      </c>
      <c r="B490"/>
      <c r="C490"/>
      <c r="D490"/>
      <c r="E490" t="s">
        <v>8</v>
      </c>
    </row>
    <row r="491" spans="1:41" x14ac:dyDescent="0.25">
      <c r="A491" s="7">
        <v>6.692933179528171</v>
      </c>
      <c r="B491"/>
      <c r="C491"/>
      <c r="D491"/>
      <c r="E491" t="s">
        <v>8</v>
      </c>
    </row>
    <row r="492" spans="1:41" x14ac:dyDescent="0.25">
      <c r="A492" s="7">
        <v>6.5616991956158541</v>
      </c>
      <c r="B492"/>
      <c r="C492"/>
      <c r="D492"/>
      <c r="E492" t="s">
        <v>8</v>
      </c>
    </row>
    <row r="493" spans="1:41" x14ac:dyDescent="0.25">
      <c r="A493" s="7">
        <v>6.4330384270743668</v>
      </c>
      <c r="B493"/>
      <c r="C493"/>
      <c r="D493"/>
      <c r="E493" t="s">
        <v>8</v>
      </c>
    </row>
    <row r="494" spans="1:41" x14ac:dyDescent="0.25">
      <c r="A494" s="7">
        <v>6.3069004187003594</v>
      </c>
      <c r="B494"/>
      <c r="C494"/>
      <c r="D494"/>
      <c r="E494" t="s">
        <v>8</v>
      </c>
    </row>
    <row r="495" spans="1:41" x14ac:dyDescent="0.25">
      <c r="A495" s="7">
        <v>6.1832357046081956</v>
      </c>
      <c r="B495"/>
      <c r="C495"/>
      <c r="D495"/>
      <c r="E495" t="s">
        <v>8</v>
      </c>
    </row>
    <row r="496" spans="1:41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64" operator="equal">
      <formula>$U$1</formula>
    </cfRule>
    <cfRule type="cellIs" dxfId="89" priority="665" operator="equal">
      <formula>$S$1</formula>
    </cfRule>
  </conditionalFormatting>
  <conditionalFormatting sqref="D27">
    <cfRule type="cellIs" dxfId="88" priority="662" operator="equal">
      <formula>$S$1</formula>
    </cfRule>
    <cfRule type="cellIs" dxfId="87" priority="663" operator="equal">
      <formula>$U$1</formula>
    </cfRule>
  </conditionalFormatting>
  <conditionalFormatting sqref="C164">
    <cfRule type="cellIs" dxfId="86" priority="660" operator="equal">
      <formula>$U$1</formula>
    </cfRule>
    <cfRule type="cellIs" dxfId="85" priority="661" operator="equal">
      <formula>$S$1</formula>
    </cfRule>
  </conditionalFormatting>
  <conditionalFormatting sqref="D164">
    <cfRule type="cellIs" dxfId="84" priority="658" operator="equal">
      <formula>$S$1</formula>
    </cfRule>
    <cfRule type="cellIs" dxfId="83" priority="659" operator="equal">
      <formula>$U$1</formula>
    </cfRule>
  </conditionalFormatting>
  <conditionalFormatting sqref="C55">
    <cfRule type="cellIs" dxfId="82" priority="656" operator="equal">
      <formula>$U$1</formula>
    </cfRule>
    <cfRule type="cellIs" dxfId="81" priority="657" operator="equal">
      <formula>$S$1</formula>
    </cfRule>
  </conditionalFormatting>
  <conditionalFormatting sqref="D55">
    <cfRule type="cellIs" dxfId="80" priority="654" operator="equal">
      <formula>$S$1</formula>
    </cfRule>
    <cfRule type="cellIs" dxfId="79" priority="655" operator="equal">
      <formula>$U$1</formula>
    </cfRule>
  </conditionalFormatting>
  <conditionalFormatting sqref="C89">
    <cfRule type="cellIs" dxfId="78" priority="652" operator="equal">
      <formula>$U$1</formula>
    </cfRule>
    <cfRule type="cellIs" dxfId="77" priority="653" operator="equal">
      <formula>$S$1</formula>
    </cfRule>
  </conditionalFormatting>
  <conditionalFormatting sqref="D89">
    <cfRule type="cellIs" dxfId="76" priority="650" operator="equal">
      <formula>$S$1</formula>
    </cfRule>
    <cfRule type="cellIs" dxfId="75" priority="651" operator="equal">
      <formula>$U$1</formula>
    </cfRule>
  </conditionalFormatting>
  <conditionalFormatting sqref="C136">
    <cfRule type="cellIs" dxfId="74" priority="648" operator="equal">
      <formula>$U$1</formula>
    </cfRule>
    <cfRule type="cellIs" dxfId="73" priority="649" operator="equal">
      <formula>$S$1</formula>
    </cfRule>
  </conditionalFormatting>
  <conditionalFormatting sqref="D136">
    <cfRule type="cellIs" dxfId="72" priority="646" operator="equal">
      <formula>$S$1</formula>
    </cfRule>
    <cfRule type="cellIs" dxfId="71" priority="647" operator="equal">
      <formula>$U$1</formula>
    </cfRule>
  </conditionalFormatting>
  <conditionalFormatting sqref="C1">
    <cfRule type="cellIs" dxfId="70" priority="645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53" zoomScale="90" zoomScaleNormal="90" workbookViewId="0">
      <pane xSplit="4" topLeftCell="G1" activePane="topRight" state="frozen"/>
      <selection activeCell="A109" sqref="A109"/>
      <selection pane="topRight" activeCell="CK168" sqref="CK16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$A$167</v>
      </c>
      <c r="D111" s="1" t="str">
        <f>ADDRESS(C121-1,D121,1,1)</f>
        <v>$CK$167</v>
      </c>
      <c r="E111"/>
    </row>
    <row r="112" spans="1:5" x14ac:dyDescent="0.25">
      <c r="A112" s="30">
        <v>515.50191262726139</v>
      </c>
      <c r="C112" s="1" t="str">
        <f>ADDRESS(C121,1,1,1)</f>
        <v>$A$168</v>
      </c>
      <c r="D112" s="1" t="str">
        <f>ADDRESS(C121,D121-1,1,1)</f>
        <v>$CJ$168</v>
      </c>
      <c r="E112"/>
    </row>
    <row r="113" spans="1:5" x14ac:dyDescent="0.25">
      <c r="A113" s="30">
        <v>490.95420250215363</v>
      </c>
      <c r="C113" s="1" t="str">
        <f>ADDRESS(C121+1,1,1,1)</f>
        <v>$A$169</v>
      </c>
      <c r="D113" s="1" t="str">
        <f>ADDRESS(C121-1,D121+1,1,1)</f>
        <v>$CL$167</v>
      </c>
    </row>
    <row r="114" spans="1:5" x14ac:dyDescent="0.25">
      <c r="A114" s="30">
        <v>467.57543095443202</v>
      </c>
      <c r="C114" s="1" t="str">
        <f>ADDRESS(C121,D121,1,1)</f>
        <v>$CK$168</v>
      </c>
      <c r="D114" s="1" t="str">
        <f>ADDRESS(C121+1,D121+1,1,1)</f>
        <v>$CL$169</v>
      </c>
    </row>
    <row r="115" spans="1:5" x14ac:dyDescent="0.25">
      <c r="A115" s="30">
        <v>445.30993424231622</v>
      </c>
      <c r="C115" s="1" t="str">
        <f>ADDRESS(C121+1,D121,1,1)</f>
        <v>$CK$169</v>
      </c>
    </row>
    <row r="116" spans="1:5" x14ac:dyDescent="0.25">
      <c r="A116" s="30">
        <v>424.10469927839637</v>
      </c>
      <c r="C116" s="1">
        <f>C117-1</f>
        <v>167</v>
      </c>
    </row>
    <row r="117" spans="1:5" x14ac:dyDescent="0.25">
      <c r="A117" s="30">
        <v>403.9092374079965</v>
      </c>
      <c r="C117" s="1">
        <f>C121</f>
        <v>168</v>
      </c>
      <c r="D117" s="1">
        <f>D121</f>
        <v>89</v>
      </c>
    </row>
    <row r="118" spans="1:5" x14ac:dyDescent="0.25">
      <c r="A118" s="30">
        <v>384.6754641980919</v>
      </c>
      <c r="C118" s="1">
        <f>C117+1</f>
        <v>169</v>
      </c>
      <c r="D118" s="1">
        <f>D117+1</f>
        <v>90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168</v>
      </c>
      <c r="D121" s="19">
        <v>89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R168</v>
      </c>
      <c r="D123" s="1" t="str">
        <f>"C"&amp;D121</f>
        <v>C89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33.545134152904119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86" x14ac:dyDescent="0.25">
      <c r="A145" s="30">
        <v>103.03467644609493</v>
      </c>
      <c r="E145"/>
    </row>
    <row r="146" spans="1:86" x14ac:dyDescent="0.25">
      <c r="A146" s="30">
        <v>98.128263281995174</v>
      </c>
      <c r="E146"/>
    </row>
    <row r="147" spans="1:86" x14ac:dyDescent="0.25">
      <c r="A147" s="30">
        <v>93.455488839995397</v>
      </c>
      <c r="E147"/>
    </row>
    <row r="148" spans="1:86" x14ac:dyDescent="0.25">
      <c r="A148" s="30">
        <v>89.005227466662276</v>
      </c>
      <c r="E148"/>
      <c r="BM148" s="27" t="s">
        <v>8</v>
      </c>
    </row>
    <row r="149" spans="1:86" x14ac:dyDescent="0.25">
      <c r="A149" s="30">
        <v>84.766883301583121</v>
      </c>
      <c r="E149"/>
      <c r="BK149" s="27" t="s">
        <v>8</v>
      </c>
      <c r="BM149" s="27" t="s">
        <v>8</v>
      </c>
      <c r="BN149" s="27" t="s">
        <v>7</v>
      </c>
      <c r="BO149" s="27" t="s">
        <v>8</v>
      </c>
    </row>
    <row r="150" spans="1:86" x14ac:dyDescent="0.25">
      <c r="A150" s="30">
        <v>80.730365049126775</v>
      </c>
      <c r="E150"/>
      <c r="BK150" s="27" t="s">
        <v>8</v>
      </c>
      <c r="BL150" s="27" t="s">
        <v>7</v>
      </c>
      <c r="BM150" s="27" t="s">
        <v>8</v>
      </c>
      <c r="BN150" s="27" t="s">
        <v>7</v>
      </c>
      <c r="BO150" s="27" t="s">
        <v>8</v>
      </c>
      <c r="BP150" s="27" t="s">
        <v>7</v>
      </c>
    </row>
    <row r="151" spans="1:86" x14ac:dyDescent="0.25">
      <c r="A151" s="30">
        <v>76.886061951549308</v>
      </c>
      <c r="E151"/>
      <c r="BK151" s="27" t="s">
        <v>8</v>
      </c>
      <c r="BL151" s="27" t="s">
        <v>7</v>
      </c>
      <c r="BM151" s="27" t="s">
        <v>8</v>
      </c>
      <c r="BN151" s="27" t="s">
        <v>7</v>
      </c>
      <c r="BO151" s="27" t="s">
        <v>8</v>
      </c>
      <c r="BP151" s="27" t="s">
        <v>7</v>
      </c>
    </row>
    <row r="152" spans="1:86" x14ac:dyDescent="0.25">
      <c r="A152" s="30">
        <v>73.22482090623744</v>
      </c>
      <c r="E152"/>
      <c r="BA152" s="27" t="s">
        <v>8</v>
      </c>
      <c r="BK152" s="27" t="s">
        <v>8</v>
      </c>
      <c r="BL152" s="27" t="s">
        <v>7</v>
      </c>
      <c r="BM152" s="27" t="s">
        <v>8</v>
      </c>
      <c r="BN152" s="27" t="s">
        <v>7</v>
      </c>
      <c r="BP152" s="27" t="s">
        <v>7</v>
      </c>
    </row>
    <row r="153" spans="1:86" x14ac:dyDescent="0.25">
      <c r="A153" s="30">
        <v>69.737924672607079</v>
      </c>
      <c r="C153" s="7"/>
      <c r="D153"/>
      <c r="E153"/>
      <c r="AW153" s="27" t="s">
        <v>8</v>
      </c>
      <c r="BA153" s="27" t="s">
        <v>8</v>
      </c>
      <c r="BB153" s="27" t="s">
        <v>7</v>
      </c>
      <c r="BE153" s="27" t="s">
        <v>8</v>
      </c>
      <c r="BK153" s="27" t="s">
        <v>8</v>
      </c>
      <c r="BL153" s="27" t="s">
        <v>7</v>
      </c>
      <c r="BP153" s="27" t="s">
        <v>7</v>
      </c>
      <c r="BQ153" s="27" t="s">
        <v>8</v>
      </c>
    </row>
    <row r="154" spans="1:86" x14ac:dyDescent="0.25">
      <c r="A154" s="30">
        <v>66.417071116768639</v>
      </c>
      <c r="E154"/>
      <c r="AW154" s="27" t="s">
        <v>8</v>
      </c>
      <c r="AX154" s="27" t="s">
        <v>7</v>
      </c>
      <c r="BA154" s="27" t="s">
        <v>8</v>
      </c>
      <c r="BB154" s="27" t="s">
        <v>7</v>
      </c>
      <c r="BE154" s="27" t="s">
        <v>8</v>
      </c>
      <c r="BF154" s="27" t="s">
        <v>7</v>
      </c>
      <c r="BK154" s="27" t="s">
        <v>8</v>
      </c>
      <c r="BP154" s="27" t="s">
        <v>7</v>
      </c>
      <c r="BQ154" s="27" t="s">
        <v>8</v>
      </c>
      <c r="BR154" s="27" t="s">
        <v>7</v>
      </c>
      <c r="CA154" s="27" t="s">
        <v>8</v>
      </c>
      <c r="CC154" s="27" t="s">
        <v>8</v>
      </c>
      <c r="CE154" s="27" t="s">
        <v>8</v>
      </c>
    </row>
    <row r="155" spans="1:86" x14ac:dyDescent="0.25">
      <c r="A155" s="30">
        <v>63.254353444541557</v>
      </c>
      <c r="E155"/>
      <c r="AW155" s="27" t="s">
        <v>8</v>
      </c>
      <c r="AX155" s="27" t="s">
        <v>7</v>
      </c>
      <c r="AY155" s="27" t="s">
        <v>8</v>
      </c>
      <c r="BA155" s="27" t="s">
        <v>8</v>
      </c>
      <c r="BB155" s="27" t="s">
        <v>7</v>
      </c>
      <c r="BE155" s="27" t="s">
        <v>8</v>
      </c>
      <c r="BF155" s="27" t="s">
        <v>7</v>
      </c>
      <c r="BK155" s="27" t="s">
        <v>8</v>
      </c>
      <c r="BP155" s="27" t="s">
        <v>7</v>
      </c>
      <c r="BQ155" s="27" t="s">
        <v>8</v>
      </c>
      <c r="BR155" s="27" t="s">
        <v>7</v>
      </c>
      <c r="BS155" s="27" t="s">
        <v>8</v>
      </c>
      <c r="CA155" s="27" t="s">
        <v>8</v>
      </c>
      <c r="CB155" s="27" t="s">
        <v>7</v>
      </c>
      <c r="CC155" s="27" t="s">
        <v>8</v>
      </c>
      <c r="CD155" s="27" t="s">
        <v>7</v>
      </c>
      <c r="CE155" s="27" t="s">
        <v>8</v>
      </c>
      <c r="CF155" s="27" t="s">
        <v>7</v>
      </c>
    </row>
    <row r="156" spans="1:86" x14ac:dyDescent="0.25">
      <c r="A156" s="30">
        <v>60.242241375753864</v>
      </c>
      <c r="C156"/>
      <c r="D156"/>
      <c r="E156"/>
      <c r="AW156" s="27" t="s">
        <v>8</v>
      </c>
      <c r="AX156" s="27" t="s">
        <v>7</v>
      </c>
      <c r="AY156" s="27" t="s">
        <v>8</v>
      </c>
      <c r="AZ156" s="27" t="s">
        <v>7</v>
      </c>
      <c r="BA156" s="27" t="s">
        <v>8</v>
      </c>
      <c r="BB156" s="27" t="s">
        <v>7</v>
      </c>
      <c r="BE156" s="27" t="s">
        <v>8</v>
      </c>
      <c r="BF156" s="27" t="s">
        <v>7</v>
      </c>
      <c r="BI156" s="27" t="s">
        <v>8</v>
      </c>
      <c r="BK156" s="27" t="s">
        <v>8</v>
      </c>
      <c r="BP156" s="27" t="s">
        <v>7</v>
      </c>
      <c r="BQ156" s="27" t="s">
        <v>8</v>
      </c>
      <c r="BR156" s="27" t="s">
        <v>7</v>
      </c>
      <c r="BS156" s="27" t="s">
        <v>8</v>
      </c>
      <c r="BT156" s="27" t="s">
        <v>7</v>
      </c>
      <c r="BU156" s="27" t="s">
        <v>8</v>
      </c>
      <c r="CA156" s="27" t="s">
        <v>8</v>
      </c>
      <c r="CB156" s="27" t="s">
        <v>7</v>
      </c>
      <c r="CC156" s="27" t="s">
        <v>8</v>
      </c>
      <c r="CD156" s="27" t="s">
        <v>7</v>
      </c>
      <c r="CE156" s="27" t="s">
        <v>8</v>
      </c>
      <c r="CF156" s="27" t="s">
        <v>7</v>
      </c>
    </row>
    <row r="157" spans="1:86" x14ac:dyDescent="0.25">
      <c r="A157" s="30">
        <v>57.373563215003678</v>
      </c>
      <c r="E157"/>
      <c r="AW157" s="27" t="s">
        <v>8</v>
      </c>
      <c r="AX157" s="27" t="s">
        <v>7</v>
      </c>
      <c r="AY157" s="27" t="s">
        <v>8</v>
      </c>
      <c r="AZ157" s="27" t="s">
        <v>7</v>
      </c>
      <c r="BA157" s="27" t="s">
        <v>8</v>
      </c>
      <c r="BB157" s="27" t="s">
        <v>7</v>
      </c>
      <c r="BE157" s="27" t="s">
        <v>8</v>
      </c>
      <c r="BF157" s="27" t="s">
        <v>7</v>
      </c>
      <c r="BG157" s="27" t="s">
        <v>8</v>
      </c>
      <c r="BI157" s="27" t="s">
        <v>8</v>
      </c>
      <c r="BJ157" s="27" t="s">
        <v>7</v>
      </c>
      <c r="BK157" s="27" t="s">
        <v>8</v>
      </c>
      <c r="BP157" s="27" t="s">
        <v>7</v>
      </c>
      <c r="BQ157" s="27" t="s">
        <v>8</v>
      </c>
      <c r="BR157" s="27" t="s">
        <v>7</v>
      </c>
      <c r="BS157" s="27" t="s">
        <v>8</v>
      </c>
      <c r="BT157" s="27" t="s">
        <v>7</v>
      </c>
      <c r="BU157" s="27" t="s">
        <v>8</v>
      </c>
      <c r="BV157" s="27" t="s">
        <v>7</v>
      </c>
      <c r="CA157" s="27" t="s">
        <v>8</v>
      </c>
      <c r="CB157" s="27" t="s">
        <v>7</v>
      </c>
      <c r="CC157" s="27" t="s">
        <v>8</v>
      </c>
      <c r="CD157" s="27" t="s">
        <v>7</v>
      </c>
      <c r="CF157" s="27" t="s">
        <v>7</v>
      </c>
    </row>
    <row r="158" spans="1:86" x14ac:dyDescent="0.25">
      <c r="A158" s="30">
        <v>54.641488776193974</v>
      </c>
      <c r="E158"/>
      <c r="AW158" s="27" t="s">
        <v>8</v>
      </c>
      <c r="AX158" s="27" t="s">
        <v>7</v>
      </c>
      <c r="AY158" s="27" t="s">
        <v>8</v>
      </c>
      <c r="AZ158" s="27" t="s">
        <v>7</v>
      </c>
      <c r="BA158" s="27" t="s">
        <v>8</v>
      </c>
      <c r="BB158" s="27" t="s">
        <v>7</v>
      </c>
      <c r="BC158" s="27" t="s">
        <v>8</v>
      </c>
      <c r="BE158" s="27" t="s">
        <v>8</v>
      </c>
      <c r="BF158" s="27" t="s">
        <v>7</v>
      </c>
      <c r="BG158" s="27" t="s">
        <v>8</v>
      </c>
      <c r="BH158" s="27" t="s">
        <v>7</v>
      </c>
      <c r="BI158" s="27" t="s">
        <v>8</v>
      </c>
      <c r="BJ158" s="27" t="s">
        <v>7</v>
      </c>
      <c r="BK158" s="27" t="s">
        <v>8</v>
      </c>
      <c r="BP158" s="27" t="s">
        <v>7</v>
      </c>
      <c r="BQ158" s="27" t="s">
        <v>8</v>
      </c>
      <c r="BR158" s="27" t="s">
        <v>7</v>
      </c>
      <c r="BS158" s="27" t="s">
        <v>8</v>
      </c>
      <c r="BT158" s="27" t="s">
        <v>7</v>
      </c>
      <c r="BU158" s="27" t="s">
        <v>8</v>
      </c>
      <c r="BV158" s="27" t="s">
        <v>7</v>
      </c>
      <c r="CA158" s="27" t="s">
        <v>8</v>
      </c>
      <c r="CB158" s="27" t="s">
        <v>7</v>
      </c>
      <c r="CF158" s="27" t="s">
        <v>7</v>
      </c>
    </row>
    <row r="159" spans="1:86" x14ac:dyDescent="0.25">
      <c r="A159" s="30">
        <v>52.039513120184736</v>
      </c>
      <c r="E159"/>
      <c r="AW159" s="27" t="s">
        <v>8</v>
      </c>
      <c r="AX159" s="27" t="s">
        <v>7</v>
      </c>
      <c r="AY159" s="27" t="s">
        <v>8</v>
      </c>
      <c r="AZ159" s="27" t="s">
        <v>7</v>
      </c>
      <c r="BA159" s="27" t="s">
        <v>8</v>
      </c>
      <c r="BB159" s="27" t="s">
        <v>7</v>
      </c>
      <c r="BC159" s="27" t="s">
        <v>8</v>
      </c>
      <c r="BD159" s="27" t="s">
        <v>7</v>
      </c>
      <c r="BE159" s="27" t="s">
        <v>8</v>
      </c>
      <c r="BF159" s="27" t="s">
        <v>7</v>
      </c>
      <c r="BG159" s="27" t="s">
        <v>8</v>
      </c>
      <c r="BH159" s="27" t="s">
        <v>7</v>
      </c>
      <c r="BI159" s="27" t="s">
        <v>8</v>
      </c>
      <c r="BJ159" s="27" t="s">
        <v>7</v>
      </c>
      <c r="BP159" s="27" t="s">
        <v>7</v>
      </c>
      <c r="BR159" s="27" t="s">
        <v>7</v>
      </c>
      <c r="BT159" s="27" t="s">
        <v>7</v>
      </c>
      <c r="BV159" s="27" t="s">
        <v>7</v>
      </c>
      <c r="CA159" s="27" t="s">
        <v>8</v>
      </c>
      <c r="CF159" s="27" t="s">
        <v>7</v>
      </c>
      <c r="CG159" s="27" t="s">
        <v>8</v>
      </c>
    </row>
    <row r="160" spans="1:86" x14ac:dyDescent="0.25">
      <c r="A160" s="30">
        <v>49.561441066842605</v>
      </c>
      <c r="C160"/>
      <c r="E160"/>
      <c r="AW160" s="27" t="s">
        <v>8</v>
      </c>
      <c r="AX160" s="27" t="s">
        <v>7</v>
      </c>
      <c r="AZ160" s="27" t="s">
        <v>7</v>
      </c>
      <c r="BA160" s="27" t="s">
        <v>8</v>
      </c>
      <c r="BB160" s="27" t="s">
        <v>7</v>
      </c>
      <c r="BC160" s="27" t="s">
        <v>8</v>
      </c>
      <c r="BD160" s="27" t="s">
        <v>7</v>
      </c>
      <c r="BE160" s="27" t="s">
        <v>8</v>
      </c>
      <c r="BF160" s="27" t="s">
        <v>7</v>
      </c>
      <c r="BH160" s="27" t="s">
        <v>7</v>
      </c>
      <c r="BI160" s="27" t="s">
        <v>8</v>
      </c>
      <c r="BV160" s="27" t="s">
        <v>7</v>
      </c>
      <c r="BW160" s="27" t="s">
        <v>8</v>
      </c>
      <c r="BY160" s="27" t="s">
        <v>8</v>
      </c>
      <c r="CA160" s="27" t="s">
        <v>8</v>
      </c>
      <c r="CF160" s="27" t="s">
        <v>7</v>
      </c>
      <c r="CG160" s="27" t="s">
        <v>8</v>
      </c>
      <c r="CH160" s="27" t="s">
        <v>7</v>
      </c>
    </row>
    <row r="161" spans="1:89" x14ac:dyDescent="0.25">
      <c r="A161" s="30">
        <v>47.201372444612005</v>
      </c>
      <c r="E161"/>
      <c r="AW161" s="27" t="s">
        <v>8</v>
      </c>
      <c r="AZ161" s="27" t="s">
        <v>7</v>
      </c>
      <c r="BA161" s="27" t="s">
        <v>8</v>
      </c>
      <c r="BB161" s="27" t="s">
        <v>7</v>
      </c>
      <c r="BC161" s="27" t="s">
        <v>8</v>
      </c>
      <c r="BD161" s="27" t="s">
        <v>7</v>
      </c>
      <c r="BE161" s="27" t="s">
        <v>8</v>
      </c>
      <c r="BH161" s="27" t="s">
        <v>7</v>
      </c>
      <c r="BI161" s="27" t="s">
        <v>8</v>
      </c>
      <c r="BV161" s="27" t="s">
        <v>7</v>
      </c>
      <c r="BW161" s="27" t="s">
        <v>8</v>
      </c>
      <c r="BX161" s="27" t="s">
        <v>7</v>
      </c>
      <c r="BY161" s="27" t="s">
        <v>8</v>
      </c>
      <c r="BZ161" s="27" t="s">
        <v>7</v>
      </c>
      <c r="CA161" s="27" t="s">
        <v>8</v>
      </c>
      <c r="CF161" s="27" t="s">
        <v>7</v>
      </c>
      <c r="CG161" s="27" t="s">
        <v>8</v>
      </c>
      <c r="CH161" s="27" t="s">
        <v>7</v>
      </c>
    </row>
    <row r="162" spans="1:89" x14ac:dyDescent="0.25">
      <c r="A162" s="30">
        <v>44.95368804248762</v>
      </c>
      <c r="E162"/>
      <c r="AW162" s="27" t="s">
        <v>8</v>
      </c>
      <c r="AZ162" s="27" t="s">
        <v>7</v>
      </c>
      <c r="BA162" s="27" t="s">
        <v>8</v>
      </c>
      <c r="BB162" s="27" t="s">
        <v>7</v>
      </c>
      <c r="BC162" s="27" t="s">
        <v>8</v>
      </c>
      <c r="BD162" s="27" t="s">
        <v>7</v>
      </c>
      <c r="BE162" s="27" t="s">
        <v>8</v>
      </c>
      <c r="BH162" s="27" t="s">
        <v>7</v>
      </c>
      <c r="BV162" s="27" t="s">
        <v>7</v>
      </c>
      <c r="BW162" s="27" t="s">
        <v>8</v>
      </c>
      <c r="BX162" s="27" t="s">
        <v>7</v>
      </c>
      <c r="BY162" s="27" t="s">
        <v>8</v>
      </c>
      <c r="BZ162" s="27" t="s">
        <v>7</v>
      </c>
      <c r="CA162" s="27" t="s">
        <v>8</v>
      </c>
      <c r="CF162" s="27" t="s">
        <v>7</v>
      </c>
      <c r="CH162" s="27" t="s">
        <v>7</v>
      </c>
    </row>
    <row r="163" spans="1:89" x14ac:dyDescent="0.25">
      <c r="A163" s="30">
        <v>42.81303623094059</v>
      </c>
      <c r="E163"/>
      <c r="AW163" s="27" t="s">
        <v>8</v>
      </c>
      <c r="AZ163" s="27" t="s">
        <v>7</v>
      </c>
      <c r="BB163" s="27" t="s">
        <v>7</v>
      </c>
      <c r="BC163" s="27" t="s">
        <v>8</v>
      </c>
      <c r="BD163" s="27" t="s">
        <v>7</v>
      </c>
      <c r="BE163" s="27" t="s">
        <v>8</v>
      </c>
      <c r="BV163" s="27" t="s">
        <v>7</v>
      </c>
      <c r="BW163" s="27" t="s">
        <v>8</v>
      </c>
      <c r="BX163" s="27" t="s">
        <v>7</v>
      </c>
      <c r="BY163" s="27" t="s">
        <v>8</v>
      </c>
      <c r="BZ163" s="27" t="s">
        <v>7</v>
      </c>
      <c r="CA163" s="27" t="s">
        <v>8</v>
      </c>
      <c r="CH163" s="27" t="s">
        <v>7</v>
      </c>
    </row>
    <row r="164" spans="1:89" x14ac:dyDescent="0.25">
      <c r="A164" s="30">
        <v>40.774320219943419</v>
      </c>
      <c r="E164"/>
      <c r="AW164" s="27" t="s">
        <v>8</v>
      </c>
      <c r="BB164" s="27" t="s">
        <v>7</v>
      </c>
      <c r="BC164" s="27" t="s">
        <v>8</v>
      </c>
      <c r="BD164" s="27" t="s">
        <v>7</v>
      </c>
      <c r="BE164" s="27" t="s">
        <v>8</v>
      </c>
      <c r="BV164" s="27" t="s">
        <v>7</v>
      </c>
      <c r="BW164" s="27" t="s">
        <v>8</v>
      </c>
      <c r="BX164" s="27" t="s">
        <v>7</v>
      </c>
      <c r="BZ164" s="27" t="s">
        <v>7</v>
      </c>
      <c r="CA164" s="27" t="s">
        <v>8</v>
      </c>
      <c r="CH164" s="27" t="s">
        <v>7</v>
      </c>
    </row>
    <row r="165" spans="1:89" x14ac:dyDescent="0.25">
      <c r="A165" s="30">
        <v>38.832685923755633</v>
      </c>
      <c r="E165"/>
      <c r="AW165" s="27" t="s">
        <v>8</v>
      </c>
      <c r="BB165" s="27" t="s">
        <v>7</v>
      </c>
      <c r="BC165" s="27" t="s">
        <v>8</v>
      </c>
      <c r="BD165" s="27" t="s">
        <v>7</v>
      </c>
      <c r="BV165" s="27" t="s">
        <v>7</v>
      </c>
      <c r="BZ165" s="27" t="s">
        <v>7</v>
      </c>
      <c r="CA165" s="27" t="s">
        <v>8</v>
      </c>
      <c r="CH165" s="27" t="s">
        <v>7</v>
      </c>
    </row>
    <row r="166" spans="1:89" x14ac:dyDescent="0.25">
      <c r="A166" s="30">
        <v>36.983510403576794</v>
      </c>
      <c r="E166"/>
      <c r="AW166" s="27" t="s">
        <v>8</v>
      </c>
      <c r="BB166" s="27" t="s">
        <v>7</v>
      </c>
      <c r="BC166" s="27" t="s">
        <v>8</v>
      </c>
      <c r="BZ166" s="27" t="s">
        <v>7</v>
      </c>
      <c r="CA166" s="27" t="s">
        <v>8</v>
      </c>
      <c r="CH166" s="27" t="s">
        <v>7</v>
      </c>
    </row>
    <row r="167" spans="1:89" x14ac:dyDescent="0.25">
      <c r="A167" s="30">
        <v>35.222390860549325</v>
      </c>
      <c r="E167"/>
      <c r="AS167" s="27" t="s">
        <v>8</v>
      </c>
      <c r="AW167" s="27" t="s">
        <v>8</v>
      </c>
      <c r="BB167" s="27" t="s">
        <v>7</v>
      </c>
      <c r="BZ167" s="27" t="s">
        <v>7</v>
      </c>
      <c r="CH167" s="27" t="s">
        <v>7</v>
      </c>
      <c r="CI167" s="27" t="s">
        <v>8</v>
      </c>
    </row>
    <row r="168" spans="1:89" x14ac:dyDescent="0.25">
      <c r="A168" s="30">
        <v>33.545134152904119</v>
      </c>
      <c r="E168"/>
      <c r="AS168" s="27" t="s">
        <v>8</v>
      </c>
      <c r="AT168" s="27" t="s">
        <v>7</v>
      </c>
      <c r="AU168" s="27" t="s">
        <v>8</v>
      </c>
      <c r="AW168" s="27" t="s">
        <v>8</v>
      </c>
      <c r="CH168" s="27" t="s">
        <v>7</v>
      </c>
      <c r="CI168" s="27" t="s">
        <v>8</v>
      </c>
      <c r="CJ168" s="27" t="s">
        <v>7</v>
      </c>
      <c r="CK168" s="27" t="s">
        <v>8</v>
      </c>
    </row>
    <row r="169" spans="1:89" x14ac:dyDescent="0.25">
      <c r="A169" s="30">
        <v>31.947746812289637</v>
      </c>
      <c r="E169" t="s">
        <v>8</v>
      </c>
      <c r="AS169" s="27" t="s">
        <v>8</v>
      </c>
      <c r="AT169" s="27" t="s">
        <v>7</v>
      </c>
      <c r="AU169" s="27" t="s">
        <v>8</v>
      </c>
      <c r="AV169" s="27" t="s">
        <v>7</v>
      </c>
      <c r="AW169" s="27" t="s">
        <v>8</v>
      </c>
      <c r="CH169" s="27" t="s">
        <v>7</v>
      </c>
      <c r="CI169" s="27" t="s">
        <v>8</v>
      </c>
      <c r="CJ169" s="27" t="s">
        <v>7</v>
      </c>
      <c r="CK169" s="27" t="s">
        <v>8</v>
      </c>
    </row>
    <row r="170" spans="1:89" x14ac:dyDescent="0.25">
      <c r="A170" s="30">
        <v>30.426425535513939</v>
      </c>
      <c r="E170" t="s">
        <v>8</v>
      </c>
      <c r="F170" s="27" t="s">
        <v>7</v>
      </c>
      <c r="AS170" s="27" t="s">
        <v>8</v>
      </c>
      <c r="AT170" s="27" t="s">
        <v>7</v>
      </c>
      <c r="AU170" s="27" t="s">
        <v>8</v>
      </c>
      <c r="AV170" s="27" t="s">
        <v>7</v>
      </c>
      <c r="AW170" s="27" t="s">
        <v>8</v>
      </c>
      <c r="CH170" s="27" t="s">
        <v>7</v>
      </c>
      <c r="CI170" s="27" t="s">
        <v>8</v>
      </c>
      <c r="CJ170" s="27" t="s">
        <v>7</v>
      </c>
      <c r="CK170" s="27" t="s">
        <v>8</v>
      </c>
    </row>
    <row r="171" spans="1:89" x14ac:dyDescent="0.25">
      <c r="A171" s="30">
        <v>28.977548129060892</v>
      </c>
      <c r="E171" t="s">
        <v>8</v>
      </c>
      <c r="F171" s="27" t="s">
        <v>7</v>
      </c>
      <c r="AS171" s="27" t="s">
        <v>8</v>
      </c>
      <c r="AT171" s="27" t="s">
        <v>7</v>
      </c>
      <c r="AV171" s="27" t="s">
        <v>7</v>
      </c>
      <c r="AW171" s="27" t="s">
        <v>8</v>
      </c>
      <c r="CH171" s="27" t="s">
        <v>7</v>
      </c>
      <c r="CI171" s="27" t="s">
        <v>8</v>
      </c>
      <c r="CJ171" s="27" t="s">
        <v>7</v>
      </c>
      <c r="CK171" s="27" t="s">
        <v>8</v>
      </c>
    </row>
    <row r="172" spans="1:89" x14ac:dyDescent="0.25">
      <c r="A172" s="30">
        <v>27.597664884819896</v>
      </c>
      <c r="E172" t="s">
        <v>8</v>
      </c>
      <c r="F172" s="27" t="s">
        <v>7</v>
      </c>
      <c r="AS172" s="27" t="s">
        <v>8</v>
      </c>
      <c r="AV172" s="27" t="s">
        <v>7</v>
      </c>
      <c r="AW172" s="27" t="s">
        <v>8</v>
      </c>
      <c r="CH172" s="27" t="s">
        <v>7</v>
      </c>
      <c r="CJ172" s="27" t="s">
        <v>7</v>
      </c>
    </row>
    <row r="173" spans="1:89" x14ac:dyDescent="0.25">
      <c r="A173" s="30">
        <v>26.283490366495137</v>
      </c>
      <c r="E173" t="s">
        <v>8</v>
      </c>
      <c r="F173" s="27" t="s">
        <v>7</v>
      </c>
      <c r="AS173" s="27" t="s">
        <v>8</v>
      </c>
      <c r="AV173" s="27" t="s">
        <v>7</v>
      </c>
      <c r="AW173" s="27" t="s">
        <v>8</v>
      </c>
    </row>
    <row r="174" spans="1:89" x14ac:dyDescent="0.25">
      <c r="A174" s="30">
        <v>25.031895587138223</v>
      </c>
      <c r="E174" t="s">
        <v>8</v>
      </c>
      <c r="F174" s="27" t="s">
        <v>7</v>
      </c>
      <c r="G174" s="31" t="s">
        <v>8</v>
      </c>
      <c r="AS174" s="27" t="s">
        <v>8</v>
      </c>
      <c r="AV174" s="27" t="s">
        <v>7</v>
      </c>
      <c r="AW174" s="27" t="s">
        <v>8</v>
      </c>
    </row>
    <row r="175" spans="1:89" x14ac:dyDescent="0.25">
      <c r="A175" s="30">
        <v>23.839900559179259</v>
      </c>
      <c r="E175" t="s">
        <v>8</v>
      </c>
      <c r="F175" s="27" t="s">
        <v>7</v>
      </c>
      <c r="G175" s="27" t="s">
        <v>8</v>
      </c>
      <c r="H175" s="31" t="s">
        <v>7</v>
      </c>
      <c r="AQ175" s="27" t="s">
        <v>8</v>
      </c>
      <c r="AS175" s="27" t="s">
        <v>8</v>
      </c>
      <c r="AV175" s="27" t="s">
        <v>7</v>
      </c>
    </row>
    <row r="176" spans="1:89" x14ac:dyDescent="0.25">
      <c r="A176" s="30">
        <v>22.704667199218342</v>
      </c>
      <c r="E176" t="s">
        <v>8</v>
      </c>
      <c r="F176" s="27" t="s">
        <v>7</v>
      </c>
      <c r="G176" s="27" t="s">
        <v>8</v>
      </c>
      <c r="H176" s="27" t="s">
        <v>7</v>
      </c>
      <c r="I176" s="31"/>
      <c r="AQ176" s="27" t="s">
        <v>8</v>
      </c>
      <c r="AR176" s="27" t="s">
        <v>7</v>
      </c>
      <c r="AS176" s="27" t="s">
        <v>8</v>
      </c>
    </row>
    <row r="177" spans="1:56" x14ac:dyDescent="0.25">
      <c r="A177" s="30">
        <v>21.623492570684135</v>
      </c>
      <c r="E177" t="s">
        <v>8</v>
      </c>
      <c r="F177" s="27" t="s">
        <v>7</v>
      </c>
      <c r="H177" s="27" t="s">
        <v>7</v>
      </c>
      <c r="J177" s="31"/>
      <c r="S177" s="27" t="s">
        <v>8</v>
      </c>
      <c r="AQ177" s="27" t="s">
        <v>8</v>
      </c>
      <c r="AR177" s="27" t="s">
        <v>7</v>
      </c>
      <c r="AS177" s="27" t="s">
        <v>8</v>
      </c>
      <c r="BD177" s="31"/>
    </row>
    <row r="178" spans="1:56" x14ac:dyDescent="0.25">
      <c r="A178" s="30">
        <v>20.593802448270605</v>
      </c>
      <c r="C178" s="7"/>
      <c r="D178"/>
      <c r="E178" t="s">
        <v>8</v>
      </c>
      <c r="H178" s="27" t="s">
        <v>7</v>
      </c>
      <c r="I178" s="27" t="s">
        <v>8</v>
      </c>
      <c r="K178" s="31"/>
      <c r="S178" s="27" t="s">
        <v>8</v>
      </c>
      <c r="T178" s="27" t="s">
        <v>7</v>
      </c>
      <c r="AQ178" s="27" t="s">
        <v>8</v>
      </c>
      <c r="AR178" s="27" t="s">
        <v>7</v>
      </c>
      <c r="AS178" s="27" t="s">
        <v>8</v>
      </c>
      <c r="BC178" s="31"/>
    </row>
    <row r="179" spans="1:56" x14ac:dyDescent="0.25">
      <c r="A179" s="30">
        <v>19.613145188829147</v>
      </c>
      <c r="E179" t="s">
        <v>8</v>
      </c>
      <c r="H179" s="27" t="s">
        <v>7</v>
      </c>
      <c r="I179" s="27" t="s">
        <v>8</v>
      </c>
      <c r="J179" s="27" t="s">
        <v>7</v>
      </c>
      <c r="L179" s="31"/>
      <c r="Q179" s="27" t="s">
        <v>8</v>
      </c>
      <c r="S179" s="27" t="s">
        <v>8</v>
      </c>
      <c r="T179" s="27" t="s">
        <v>7</v>
      </c>
      <c r="AQ179" s="27" t="s">
        <v>8</v>
      </c>
      <c r="AR179" s="27" t="s">
        <v>7</v>
      </c>
      <c r="BB179" s="31"/>
    </row>
    <row r="180" spans="1:56" x14ac:dyDescent="0.25">
      <c r="A180" s="30">
        <v>18.679185894122998</v>
      </c>
      <c r="E180" t="s">
        <v>8</v>
      </c>
      <c r="H180" s="27" t="s">
        <v>7</v>
      </c>
      <c r="I180" s="27" t="s">
        <v>8</v>
      </c>
      <c r="J180" s="27" t="s">
        <v>7</v>
      </c>
      <c r="M180" s="31" t="s">
        <v>8</v>
      </c>
      <c r="Q180" s="27" t="s">
        <v>8</v>
      </c>
      <c r="R180" s="27" t="s">
        <v>7</v>
      </c>
      <c r="S180" s="27" t="s">
        <v>8</v>
      </c>
      <c r="T180" s="27" t="s">
        <v>7</v>
      </c>
      <c r="U180" s="27" t="s">
        <v>8</v>
      </c>
      <c r="Y180" s="31" t="s">
        <v>8</v>
      </c>
      <c r="AQ180" s="27" t="s">
        <v>8</v>
      </c>
      <c r="BA180" s="31"/>
    </row>
    <row r="181" spans="1:56" x14ac:dyDescent="0.25">
      <c r="A181" s="30">
        <v>17.78970085154571</v>
      </c>
      <c r="C181"/>
      <c r="D181"/>
      <c r="E181" t="s">
        <v>8</v>
      </c>
      <c r="H181" s="27" t="s">
        <v>7</v>
      </c>
      <c r="I181" s="27" t="s">
        <v>8</v>
      </c>
      <c r="J181" s="27" t="s">
        <v>7</v>
      </c>
      <c r="M181" s="27" t="s">
        <v>8</v>
      </c>
      <c r="N181" s="31" t="s">
        <v>7</v>
      </c>
      <c r="Q181" s="27" t="s">
        <v>8</v>
      </c>
      <c r="R181" s="27" t="s">
        <v>7</v>
      </c>
      <c r="S181" s="27" t="s">
        <v>8</v>
      </c>
      <c r="T181" s="27" t="s">
        <v>7</v>
      </c>
      <c r="U181" s="27" t="s">
        <v>8</v>
      </c>
      <c r="V181" s="27" t="s">
        <v>7</v>
      </c>
      <c r="Y181" s="32" t="s">
        <v>8</v>
      </c>
      <c r="Z181" s="31" t="s">
        <v>7</v>
      </c>
      <c r="AQ181" s="27" t="s">
        <v>8</v>
      </c>
      <c r="AZ181" s="31"/>
    </row>
    <row r="182" spans="1:56" x14ac:dyDescent="0.25">
      <c r="A182" s="30">
        <v>16.942572239567344</v>
      </c>
      <c r="E182" t="s">
        <v>8</v>
      </c>
      <c r="H182" s="27" t="s">
        <v>7</v>
      </c>
      <c r="I182" s="27" t="s">
        <v>8</v>
      </c>
      <c r="J182" s="27" t="s">
        <v>7</v>
      </c>
      <c r="M182" s="27" t="s">
        <v>8</v>
      </c>
      <c r="N182" s="27" t="s">
        <v>7</v>
      </c>
      <c r="O182" s="31"/>
      <c r="Q182" s="27" t="s">
        <v>8</v>
      </c>
      <c r="R182" s="27" t="s">
        <v>7</v>
      </c>
      <c r="S182" s="27" t="s">
        <v>8</v>
      </c>
      <c r="T182" s="27" t="s">
        <v>7</v>
      </c>
      <c r="U182" s="27" t="s">
        <v>8</v>
      </c>
      <c r="V182" s="31" t="s">
        <v>7</v>
      </c>
      <c r="W182" s="27" t="s">
        <v>8</v>
      </c>
      <c r="Y182" s="27" t="s">
        <v>8</v>
      </c>
      <c r="Z182" s="27" t="s">
        <v>7</v>
      </c>
      <c r="AA182" s="31"/>
      <c r="AQ182" s="27" t="s">
        <v>8</v>
      </c>
      <c r="AY182" s="31"/>
    </row>
    <row r="183" spans="1:56" x14ac:dyDescent="0.25">
      <c r="A183" s="30">
        <v>16.135783085302233</v>
      </c>
      <c r="E183" t="s">
        <v>8</v>
      </c>
      <c r="H183" s="27" t="s">
        <v>7</v>
      </c>
      <c r="I183" s="27" t="s">
        <v>8</v>
      </c>
      <c r="J183" s="27" t="s">
        <v>7</v>
      </c>
      <c r="M183" s="32" t="s">
        <v>8</v>
      </c>
      <c r="N183" s="27" t="s">
        <v>7</v>
      </c>
      <c r="P183" s="31"/>
      <c r="Q183" s="27" t="s">
        <v>8</v>
      </c>
      <c r="R183" s="27" t="s">
        <v>7</v>
      </c>
      <c r="S183" s="27" t="s">
        <v>8</v>
      </c>
      <c r="T183" s="27" t="s">
        <v>7</v>
      </c>
      <c r="U183" s="31"/>
      <c r="V183" s="27" t="s">
        <v>7</v>
      </c>
      <c r="W183" s="27" t="s">
        <v>8</v>
      </c>
      <c r="X183" s="27" t="s">
        <v>7</v>
      </c>
      <c r="Y183" s="27" t="s">
        <v>8</v>
      </c>
      <c r="Z183" s="27" t="s">
        <v>7</v>
      </c>
      <c r="AB183" s="31"/>
      <c r="AO183" s="27" t="s">
        <v>8</v>
      </c>
      <c r="AQ183" s="27" t="s">
        <v>8</v>
      </c>
      <c r="AX183" s="31"/>
    </row>
    <row r="184" spans="1:56" x14ac:dyDescent="0.25">
      <c r="A184" s="30">
        <v>15.367412462192602</v>
      </c>
      <c r="E184" t="s">
        <v>8</v>
      </c>
      <c r="H184" s="27" t="s">
        <v>7</v>
      </c>
      <c r="I184" s="27" t="s">
        <v>8</v>
      </c>
      <c r="J184" s="27" t="s">
        <v>7</v>
      </c>
      <c r="K184" s="27" t="s">
        <v>8</v>
      </c>
      <c r="M184" s="27" t="s">
        <v>8</v>
      </c>
      <c r="N184" s="27" t="s">
        <v>7</v>
      </c>
      <c r="Q184" s="32" t="s">
        <v>8</v>
      </c>
      <c r="R184" s="27" t="s">
        <v>7</v>
      </c>
      <c r="T184" s="31"/>
      <c r="V184" s="33" t="s">
        <v>7</v>
      </c>
      <c r="W184" s="27" t="s">
        <v>8</v>
      </c>
      <c r="X184" s="27" t="s">
        <v>7</v>
      </c>
      <c r="Y184" s="27" t="s">
        <v>8</v>
      </c>
      <c r="Z184" s="27" t="s">
        <v>7</v>
      </c>
      <c r="AC184" s="31"/>
      <c r="AO184" s="27" t="s">
        <v>8</v>
      </c>
      <c r="AP184" s="27" t="s">
        <v>7</v>
      </c>
      <c r="AQ184" s="27" t="s">
        <v>8</v>
      </c>
      <c r="AW184" s="31"/>
    </row>
    <row r="185" spans="1:56" x14ac:dyDescent="0.25">
      <c r="A185" s="30">
        <v>14.635630916373906</v>
      </c>
      <c r="C185"/>
      <c r="E185" t="s">
        <v>8</v>
      </c>
      <c r="H185" s="27" t="s">
        <v>7</v>
      </c>
      <c r="I185" s="27" t="s">
        <v>8</v>
      </c>
      <c r="J185" s="27" t="s">
        <v>7</v>
      </c>
      <c r="K185" s="27" t="s">
        <v>8</v>
      </c>
      <c r="L185" s="27" t="s">
        <v>7</v>
      </c>
      <c r="M185" s="27" t="s">
        <v>8</v>
      </c>
      <c r="N185" s="27" t="s">
        <v>7</v>
      </c>
      <c r="O185" s="27" t="s">
        <v>8</v>
      </c>
      <c r="Q185" s="27" t="s">
        <v>8</v>
      </c>
      <c r="S185" s="31"/>
      <c r="V185" s="27" t="s">
        <v>7</v>
      </c>
      <c r="W185" s="27" t="s">
        <v>8</v>
      </c>
      <c r="X185" s="27" t="s">
        <v>7</v>
      </c>
      <c r="Z185" s="27" t="s">
        <v>7</v>
      </c>
      <c r="AD185" s="31"/>
      <c r="AO185" s="27" t="s">
        <v>8</v>
      </c>
      <c r="AP185" s="27" t="s">
        <v>7</v>
      </c>
      <c r="AQ185" s="27" t="s">
        <v>8</v>
      </c>
      <c r="AV185" s="31"/>
    </row>
    <row r="186" spans="1:56" x14ac:dyDescent="0.25">
      <c r="A186" s="30">
        <v>13.938696110832291</v>
      </c>
      <c r="E186" t="s">
        <v>8</v>
      </c>
      <c r="H186" s="27" t="s">
        <v>7</v>
      </c>
      <c r="I186" s="27" t="s">
        <v>8</v>
      </c>
      <c r="J186" s="27" t="s">
        <v>7</v>
      </c>
      <c r="K186" s="27" t="s">
        <v>8</v>
      </c>
      <c r="L186" s="27" t="s">
        <v>7</v>
      </c>
      <c r="M186" s="27" t="s">
        <v>8</v>
      </c>
      <c r="N186" s="27" t="s">
        <v>7</v>
      </c>
      <c r="O186" s="27" t="s">
        <v>8</v>
      </c>
      <c r="P186" s="27" t="s">
        <v>7</v>
      </c>
      <c r="Q186" s="27" t="s">
        <v>8</v>
      </c>
      <c r="R186" s="31"/>
      <c r="V186" s="27" t="s">
        <v>7</v>
      </c>
      <c r="Z186" s="33" t="s">
        <v>7</v>
      </c>
      <c r="AE186" s="31"/>
      <c r="AM186" s="27" t="s">
        <v>8</v>
      </c>
      <c r="AO186" s="27" t="s">
        <v>8</v>
      </c>
      <c r="AP186" s="27" t="s">
        <v>7</v>
      </c>
      <c r="AU186" s="31"/>
    </row>
    <row r="187" spans="1:56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H187" s="27" t="s">
        <v>7</v>
      </c>
      <c r="I187" s="27" t="s">
        <v>8</v>
      </c>
      <c r="J187" s="27" t="s">
        <v>7</v>
      </c>
      <c r="K187" s="27" t="s">
        <v>8</v>
      </c>
      <c r="L187" s="27" t="s">
        <v>7</v>
      </c>
      <c r="N187" s="27" t="s">
        <v>7</v>
      </c>
      <c r="O187" s="27" t="s">
        <v>8</v>
      </c>
      <c r="P187" s="27" t="s">
        <v>7</v>
      </c>
      <c r="Q187" s="31" t="s">
        <v>8</v>
      </c>
      <c r="Z187" s="27" t="s">
        <v>7</v>
      </c>
      <c r="AA187" s="27" t="s">
        <v>8</v>
      </c>
      <c r="AF187" s="31"/>
      <c r="AM187" s="27" t="s">
        <v>8</v>
      </c>
      <c r="AN187" s="27" t="s">
        <v>7</v>
      </c>
      <c r="AO187" s="27" t="s">
        <v>8</v>
      </c>
      <c r="AT187" s="31"/>
    </row>
    <row r="188" spans="1:56" x14ac:dyDescent="0.25">
      <c r="A188" s="30">
        <v>12.64280826379346</v>
      </c>
      <c r="E188" t="s">
        <v>8</v>
      </c>
      <c r="H188" s="27" t="s">
        <v>7</v>
      </c>
      <c r="I188" s="27" t="s">
        <v>8</v>
      </c>
      <c r="J188" s="27" t="s">
        <v>7</v>
      </c>
      <c r="K188" s="27" t="s">
        <v>8</v>
      </c>
      <c r="N188" s="33" t="s">
        <v>7</v>
      </c>
      <c r="O188" s="27" t="s">
        <v>8</v>
      </c>
      <c r="P188" s="31" t="s">
        <v>7</v>
      </c>
      <c r="Z188" s="27" t="s">
        <v>7</v>
      </c>
      <c r="AA188" s="27" t="s">
        <v>8</v>
      </c>
      <c r="AB188" s="27" t="s">
        <v>7</v>
      </c>
      <c r="AC188" s="34" t="s">
        <v>8</v>
      </c>
      <c r="AE188" s="34" t="s">
        <v>8</v>
      </c>
      <c r="AG188" s="31"/>
      <c r="AM188" s="27" t="s">
        <v>8</v>
      </c>
      <c r="AN188" s="27" t="s">
        <v>7</v>
      </c>
      <c r="AO188" s="27" t="s">
        <v>8</v>
      </c>
      <c r="AS188" s="31"/>
    </row>
    <row r="189" spans="1:56" x14ac:dyDescent="0.25">
      <c r="A189" s="30">
        <v>12.04076977504139</v>
      </c>
      <c r="E189" t="s">
        <v>8</v>
      </c>
      <c r="H189" s="27" t="s">
        <v>7</v>
      </c>
      <c r="I189" s="27" t="s">
        <v>8</v>
      </c>
      <c r="J189" s="27" t="s">
        <v>7</v>
      </c>
      <c r="K189" s="27" t="s">
        <v>8</v>
      </c>
      <c r="N189" s="27" t="s">
        <v>7</v>
      </c>
      <c r="Z189" s="27" t="s">
        <v>7</v>
      </c>
      <c r="AA189" s="27" t="s">
        <v>8</v>
      </c>
      <c r="AB189" s="27" t="s">
        <v>7</v>
      </c>
      <c r="AC189" s="27" t="s">
        <v>8</v>
      </c>
      <c r="AD189" s="27" t="s">
        <v>7</v>
      </c>
      <c r="AE189" s="27" t="s">
        <v>8</v>
      </c>
      <c r="AF189" s="27" t="s">
        <v>7</v>
      </c>
      <c r="AH189" s="31"/>
      <c r="AK189" s="27" t="s">
        <v>8</v>
      </c>
      <c r="AM189" s="27" t="s">
        <v>8</v>
      </c>
      <c r="AN189" s="27" t="s">
        <v>7</v>
      </c>
      <c r="AO189" s="27" t="s">
        <v>8</v>
      </c>
      <c r="AR189" s="31"/>
    </row>
    <row r="190" spans="1:56" x14ac:dyDescent="0.25">
      <c r="A190" s="30">
        <v>11.467399785753704</v>
      </c>
      <c r="E190" t="s">
        <v>8</v>
      </c>
      <c r="H190" s="27" t="s">
        <v>7</v>
      </c>
      <c r="I190" s="27" t="s">
        <v>8</v>
      </c>
      <c r="J190" s="27" t="s">
        <v>7</v>
      </c>
      <c r="K190" s="27" t="s">
        <v>8</v>
      </c>
      <c r="Z190" s="27" t="s">
        <v>7</v>
      </c>
      <c r="AB190" s="27" t="s">
        <v>7</v>
      </c>
      <c r="AC190" s="27" t="s">
        <v>8</v>
      </c>
      <c r="AD190" s="27" t="s">
        <v>7</v>
      </c>
      <c r="AE190" s="27" t="s">
        <v>8</v>
      </c>
      <c r="AF190" s="27" t="s">
        <v>7</v>
      </c>
      <c r="AI190" s="31"/>
      <c r="AK190" s="27" t="s">
        <v>8</v>
      </c>
      <c r="AL190" s="27" t="s">
        <v>7</v>
      </c>
      <c r="AM190" s="27" t="s">
        <v>8</v>
      </c>
      <c r="AN190" s="27" t="s">
        <v>7</v>
      </c>
      <c r="AO190" s="27" t="s">
        <v>8</v>
      </c>
      <c r="AQ190" s="31"/>
    </row>
    <row r="191" spans="1:56" x14ac:dyDescent="0.25">
      <c r="A191" s="30">
        <v>10.921333129289241</v>
      </c>
      <c r="E191" t="s">
        <v>8</v>
      </c>
      <c r="H191" s="27" t="s">
        <v>7</v>
      </c>
      <c r="I191" s="27" t="s">
        <v>8</v>
      </c>
      <c r="J191" s="27" t="s">
        <v>7</v>
      </c>
      <c r="K191" s="27" t="s">
        <v>8</v>
      </c>
      <c r="AB191" s="27" t="s">
        <v>7</v>
      </c>
      <c r="AC191" s="27" t="s">
        <v>8</v>
      </c>
      <c r="AD191" s="27" t="s">
        <v>7</v>
      </c>
      <c r="AE191" s="27" t="s">
        <v>8</v>
      </c>
      <c r="AF191" s="27" t="s">
        <v>7</v>
      </c>
      <c r="AI191" s="32" t="s">
        <v>8</v>
      </c>
      <c r="AJ191" s="31"/>
      <c r="AK191" s="27" t="s">
        <v>8</v>
      </c>
      <c r="AL191" s="27" t="s">
        <v>7</v>
      </c>
      <c r="AM191" s="27" t="s">
        <v>8</v>
      </c>
      <c r="AN191" s="27" t="s">
        <v>7</v>
      </c>
      <c r="AP191" s="31"/>
    </row>
    <row r="192" spans="1:56" x14ac:dyDescent="0.25">
      <c r="A192" s="30">
        <v>10.401269646942135</v>
      </c>
      <c r="E192" t="s">
        <v>8</v>
      </c>
      <c r="H192" s="27" t="s">
        <v>7</v>
      </c>
      <c r="J192" s="27" t="s">
        <v>7</v>
      </c>
      <c r="K192" s="27" t="s">
        <v>8</v>
      </c>
      <c r="AB192" s="27" t="s">
        <v>7</v>
      </c>
      <c r="AC192" s="27" t="s">
        <v>8</v>
      </c>
      <c r="AD192" s="27" t="s">
        <v>7</v>
      </c>
      <c r="AE192" s="27" t="s">
        <v>8</v>
      </c>
      <c r="AF192" s="27" t="s">
        <v>7</v>
      </c>
      <c r="AG192" s="27" t="s">
        <v>8</v>
      </c>
      <c r="AI192" s="27" t="s">
        <v>8</v>
      </c>
      <c r="AJ192" s="27" t="s">
        <v>7</v>
      </c>
      <c r="AK192" s="31" t="s">
        <v>8</v>
      </c>
      <c r="AL192" s="27" t="s">
        <v>7</v>
      </c>
      <c r="AO192" s="31"/>
    </row>
    <row r="193" spans="1:40" x14ac:dyDescent="0.25">
      <c r="A193" s="30">
        <v>9.9059710923258422</v>
      </c>
      <c r="E193" t="s">
        <v>8</v>
      </c>
      <c r="J193" s="27" t="s">
        <v>7</v>
      </c>
      <c r="AB193" s="27" t="s">
        <v>7</v>
      </c>
      <c r="AC193" s="27" t="s">
        <v>8</v>
      </c>
      <c r="AD193" s="27" t="s">
        <v>7</v>
      </c>
      <c r="AF193" s="27" t="s">
        <v>7</v>
      </c>
      <c r="AG193" s="27" t="s">
        <v>8</v>
      </c>
      <c r="AH193" s="27" t="s">
        <v>7</v>
      </c>
      <c r="AI193" s="27" t="s">
        <v>8</v>
      </c>
      <c r="AJ193" s="27" t="s">
        <v>7</v>
      </c>
      <c r="AK193" s="27" t="s">
        <v>8</v>
      </c>
      <c r="AN193" s="31"/>
    </row>
    <row r="194" spans="1:40" x14ac:dyDescent="0.25">
      <c r="A194" s="30">
        <v>9.4342581831674686</v>
      </c>
      <c r="E194" t="s">
        <v>8</v>
      </c>
      <c r="AB194" s="27" t="s">
        <v>7</v>
      </c>
      <c r="AC194" s="27" t="s">
        <v>8</v>
      </c>
      <c r="AF194" s="27" t="s">
        <v>7</v>
      </c>
      <c r="AG194" s="27" t="s">
        <v>8</v>
      </c>
      <c r="AH194" s="27" t="s">
        <v>7</v>
      </c>
      <c r="AI194" s="27" t="s">
        <v>8</v>
      </c>
      <c r="AJ194" s="27" t="s">
        <v>7</v>
      </c>
      <c r="AK194" s="27" t="s">
        <v>8</v>
      </c>
      <c r="AM194" s="31"/>
    </row>
    <row r="195" spans="1:40" x14ac:dyDescent="0.25">
      <c r="A195" s="30">
        <v>8.9850077934928265</v>
      </c>
      <c r="E195" t="s">
        <v>8</v>
      </c>
      <c r="AB195" s="27" t="s">
        <v>7</v>
      </c>
      <c r="AC195" s="27" t="s">
        <v>8</v>
      </c>
      <c r="AF195" s="27" t="s">
        <v>7</v>
      </c>
      <c r="AG195" s="27" t="s">
        <v>8</v>
      </c>
      <c r="AH195" s="27" t="s">
        <v>7</v>
      </c>
      <c r="AI195" s="27" t="s">
        <v>8</v>
      </c>
      <c r="AJ195" s="27" t="s">
        <v>7</v>
      </c>
      <c r="AL195" s="31"/>
    </row>
    <row r="196" spans="1:40" x14ac:dyDescent="0.25">
      <c r="A196" s="30">
        <v>8.5571502795169767</v>
      </c>
      <c r="E196" t="s">
        <v>8</v>
      </c>
      <c r="AB196" s="27" t="s">
        <v>7</v>
      </c>
      <c r="AF196" s="27" t="s">
        <v>7</v>
      </c>
      <c r="AH196" s="27" t="s">
        <v>7</v>
      </c>
      <c r="AI196" s="27" t="s">
        <v>8</v>
      </c>
      <c r="AK196" s="31"/>
    </row>
    <row r="197" spans="1:40" x14ac:dyDescent="0.25">
      <c r="A197" s="30">
        <v>8.1496669328733109</v>
      </c>
      <c r="E197" t="s">
        <v>8</v>
      </c>
      <c r="AH197" s="18" t="s">
        <v>7</v>
      </c>
      <c r="AI197" s="27" t="s">
        <v>8</v>
      </c>
      <c r="AJ197" s="31"/>
    </row>
    <row r="198" spans="1:40" x14ac:dyDescent="0.25">
      <c r="A198" s="30">
        <v>7.7615875551174378</v>
      </c>
      <c r="E198" t="s">
        <v>8</v>
      </c>
      <c r="AH198" s="27" t="s">
        <v>7</v>
      </c>
      <c r="AI198" s="31" t="s">
        <v>8</v>
      </c>
    </row>
    <row r="199" spans="1:40" x14ac:dyDescent="0.25">
      <c r="A199" s="30">
        <v>7.3919881477308929</v>
      </c>
      <c r="E199" t="s">
        <v>8</v>
      </c>
      <c r="AH199" s="31" t="s">
        <v>7</v>
      </c>
    </row>
    <row r="200" spans="1:40" x14ac:dyDescent="0.25">
      <c r="A200" s="30">
        <v>7.0399887121246598</v>
      </c>
      <c r="E200" t="s">
        <v>8</v>
      </c>
    </row>
    <row r="201" spans="1:40" x14ac:dyDescent="0.25">
      <c r="A201" s="30">
        <v>6.7047511544044376</v>
      </c>
      <c r="E201" t="s">
        <v>8</v>
      </c>
    </row>
    <row r="202" spans="1:40" x14ac:dyDescent="0.25">
      <c r="A202" s="30">
        <v>6.3854772899089882</v>
      </c>
      <c r="E202" t="s">
        <v>8</v>
      </c>
    </row>
    <row r="203" spans="1:40" x14ac:dyDescent="0.25">
      <c r="A203" s="30">
        <v>6.0814069427704647</v>
      </c>
      <c r="C203" s="7"/>
      <c r="D203"/>
      <c r="E203" t="s">
        <v>8</v>
      </c>
    </row>
    <row r="204" spans="1:40" x14ac:dyDescent="0.25">
      <c r="A204" s="30">
        <v>5.7918161359718709</v>
      </c>
      <c r="E204" t="s">
        <v>8</v>
      </c>
    </row>
    <row r="205" spans="1:40" x14ac:dyDescent="0.25">
      <c r="A205" s="30">
        <v>5.5160153675922574</v>
      </c>
      <c r="E205" t="s">
        <v>8</v>
      </c>
    </row>
    <row r="206" spans="1:40" x14ac:dyDescent="0.25">
      <c r="A206" s="30">
        <v>5.2533479691354827</v>
      </c>
      <c r="C206"/>
      <c r="D206"/>
      <c r="E206" t="s">
        <v>8</v>
      </c>
    </row>
    <row r="207" spans="1:40" x14ac:dyDescent="0.25">
      <c r="A207" s="30">
        <v>5.0031885420337927</v>
      </c>
      <c r="E207" t="s">
        <v>8</v>
      </c>
    </row>
    <row r="208" spans="1:40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79" operator="equal">
      <formula>$U$1</formula>
    </cfRule>
    <cfRule type="cellIs" dxfId="67" priority="680" operator="equal">
      <formula>$S$1</formula>
    </cfRule>
  </conditionalFormatting>
  <conditionalFormatting sqref="D136">
    <cfRule type="cellIs" dxfId="66" priority="677" operator="equal">
      <formula>$S$1</formula>
    </cfRule>
    <cfRule type="cellIs" dxfId="65" priority="678" operator="equal">
      <formula>$U$1</formula>
    </cfRule>
  </conditionalFormatting>
  <conditionalFormatting sqref="C162">
    <cfRule type="cellIs" dxfId="64" priority="675" operator="equal">
      <formula>$U$1</formula>
    </cfRule>
    <cfRule type="cellIs" dxfId="63" priority="676" operator="equal">
      <formula>$S$1</formula>
    </cfRule>
  </conditionalFormatting>
  <conditionalFormatting sqref="D162">
    <cfRule type="cellIs" dxfId="62" priority="673" operator="equal">
      <formula>$S$1</formula>
    </cfRule>
    <cfRule type="cellIs" dxfId="61" priority="674" operator="equal">
      <formula>$U$1</formula>
    </cfRule>
  </conditionalFormatting>
  <conditionalFormatting sqref="C187">
    <cfRule type="cellIs" dxfId="60" priority="671" operator="equal">
      <formula>$U$1</formula>
    </cfRule>
    <cfRule type="cellIs" dxfId="59" priority="672" operator="equal">
      <formula>$S$1</formula>
    </cfRule>
  </conditionalFormatting>
  <conditionalFormatting sqref="D187">
    <cfRule type="cellIs" dxfId="58" priority="669" operator="equal">
      <formula>$S$1</formula>
    </cfRule>
    <cfRule type="cellIs" dxfId="57" priority="670" operator="equal">
      <formula>$U$1</formula>
    </cfRule>
  </conditionalFormatting>
  <conditionalFormatting sqref="C212">
    <cfRule type="cellIs" dxfId="56" priority="667" operator="equal">
      <formula>$U$1</formula>
    </cfRule>
    <cfRule type="cellIs" dxfId="55" priority="668" operator="equal">
      <formula>$S$1</formula>
    </cfRule>
  </conditionalFormatting>
  <conditionalFormatting sqref="D212">
    <cfRule type="cellIs" dxfId="54" priority="665" operator="equal">
      <formula>$S$1</formula>
    </cfRule>
    <cfRule type="cellIs" dxfId="53" priority="666" operator="equal">
      <formula>$U$1</formula>
    </cfRule>
  </conditionalFormatting>
  <conditionalFormatting sqref="C237">
    <cfRule type="cellIs" dxfId="52" priority="663" operator="equal">
      <formula>$U$1</formula>
    </cfRule>
    <cfRule type="cellIs" dxfId="51" priority="664" operator="equal">
      <formula>$S$1</formula>
    </cfRule>
  </conditionalFormatting>
  <conditionalFormatting sqref="D237">
    <cfRule type="cellIs" dxfId="50" priority="661" operator="equal">
      <formula>$S$1</formula>
    </cfRule>
    <cfRule type="cellIs" dxfId="49" priority="662" operator="equal">
      <formula>$U$1</formula>
    </cfRule>
  </conditionalFormatting>
  <conditionalFormatting sqref="C106">
    <cfRule type="cellIs" dxfId="48" priority="659" operator="equal">
      <formula>$U$1</formula>
    </cfRule>
    <cfRule type="cellIs" dxfId="47" priority="660" operator="equal">
      <formula>$S$1</formula>
    </cfRule>
  </conditionalFormatting>
  <conditionalFormatting sqref="D106">
    <cfRule type="cellIs" dxfId="46" priority="657" operator="equal">
      <formula>$S$1</formula>
    </cfRule>
    <cfRule type="cellIs" dxfId="45" priority="658" operator="equal">
      <formula>$U$1</formula>
    </cfRule>
  </conditionalFormatting>
  <conditionalFormatting sqref="C81">
    <cfRule type="cellIs" dxfId="44" priority="655" operator="equal">
      <formula>$U$1</formula>
    </cfRule>
    <cfRule type="cellIs" dxfId="43" priority="656" operator="equal">
      <formula>$S$1</formula>
    </cfRule>
  </conditionalFormatting>
  <conditionalFormatting sqref="D81">
    <cfRule type="cellIs" dxfId="42" priority="653" operator="equal">
      <formula>$S$1</formula>
    </cfRule>
    <cfRule type="cellIs" dxfId="41" priority="654" operator="equal">
      <formula>$U$1</formula>
    </cfRule>
  </conditionalFormatting>
  <conditionalFormatting sqref="C56">
    <cfRule type="cellIs" dxfId="40" priority="651" operator="equal">
      <formula>$U$1</formula>
    </cfRule>
    <cfRule type="cellIs" dxfId="39" priority="652" operator="equal">
      <formula>$S$1</formula>
    </cfRule>
  </conditionalFormatting>
  <conditionalFormatting sqref="D56">
    <cfRule type="cellIs" dxfId="38" priority="649" operator="equal">
      <formula>$S$1</formula>
    </cfRule>
    <cfRule type="cellIs" dxfId="37" priority="650" operator="equal">
      <formula>$U$1</formula>
    </cfRule>
  </conditionalFormatting>
  <conditionalFormatting sqref="C31">
    <cfRule type="cellIs" dxfId="36" priority="647" operator="equal">
      <formula>$U$1</formula>
    </cfRule>
    <cfRule type="cellIs" dxfId="35" priority="648" operator="equal">
      <formula>$S$1</formula>
    </cfRule>
  </conditionalFormatting>
  <conditionalFormatting sqref="D31">
    <cfRule type="cellIs" dxfId="34" priority="645" operator="equal">
      <formula>$S$1</formula>
    </cfRule>
    <cfRule type="cellIs" dxfId="33" priority="646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F86" sqref="AF8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32" x14ac:dyDescent="0.25">
      <c r="A65" s="30">
        <v>207.96505671840671</v>
      </c>
      <c r="E65"/>
    </row>
    <row r="66" spans="1:32" x14ac:dyDescent="0.25">
      <c r="A66" s="30">
        <v>189.05914247127882</v>
      </c>
      <c r="E66"/>
    </row>
    <row r="67" spans="1:32" x14ac:dyDescent="0.25">
      <c r="A67" s="30">
        <v>171.87194770116255</v>
      </c>
      <c r="C67" s="1" t="s">
        <v>15</v>
      </c>
      <c r="E67"/>
    </row>
    <row r="68" spans="1:32" x14ac:dyDescent="0.25">
      <c r="A68" s="30">
        <v>156.24722518287504</v>
      </c>
      <c r="C68" s="7">
        <v>0.11167815779424731</v>
      </c>
      <c r="D68"/>
      <c r="E68"/>
    </row>
    <row r="69" spans="1:32" x14ac:dyDescent="0.25">
      <c r="A69" s="30">
        <v>142.04293198443185</v>
      </c>
      <c r="E69"/>
    </row>
    <row r="70" spans="1:32" x14ac:dyDescent="0.25">
      <c r="A70" s="30">
        <v>129.1299381676653</v>
      </c>
      <c r="C70" s="1" t="s">
        <v>11</v>
      </c>
      <c r="D70" s="1" t="s">
        <v>12</v>
      </c>
      <c r="E70"/>
    </row>
    <row r="71" spans="1:32" x14ac:dyDescent="0.25">
      <c r="A71" s="30">
        <v>117.39085287969573</v>
      </c>
      <c r="C71"/>
      <c r="D71"/>
      <c r="E71"/>
    </row>
    <row r="72" spans="1:32" x14ac:dyDescent="0.25">
      <c r="A72" s="30">
        <v>106.71895716335975</v>
      </c>
      <c r="E72"/>
    </row>
    <row r="73" spans="1:32" x14ac:dyDescent="0.25">
      <c r="A73" s="30">
        <v>97.017233784872488</v>
      </c>
      <c r="C73" s="1" t="s">
        <v>13</v>
      </c>
      <c r="E73"/>
    </row>
    <row r="74" spans="1:32" x14ac:dyDescent="0.25">
      <c r="A74" s="30">
        <v>88.197485258974979</v>
      </c>
      <c r="C74" s="1">
        <f>C63</f>
        <v>0</v>
      </c>
      <c r="E74"/>
      <c r="AA74" s="27" t="s">
        <v>8</v>
      </c>
    </row>
    <row r="75" spans="1:32" x14ac:dyDescent="0.25">
      <c r="A75" s="30">
        <v>80.179532053613613</v>
      </c>
      <c r="C75"/>
      <c r="D75"/>
      <c r="E75"/>
      <c r="AA75" s="27" t="s">
        <v>8</v>
      </c>
      <c r="AB75" s="27" t="s">
        <v>7</v>
      </c>
    </row>
    <row r="76" spans="1:32" x14ac:dyDescent="0.25">
      <c r="A76" s="30">
        <v>72.890483685103277</v>
      </c>
      <c r="C76" s="1" t="s">
        <v>14</v>
      </c>
      <c r="E76"/>
      <c r="U76" s="27" t="s">
        <v>8</v>
      </c>
      <c r="AA76" s="27" t="s">
        <v>8</v>
      </c>
      <c r="AB76" s="27" t="s">
        <v>7</v>
      </c>
      <c r="AC76" s="27" t="s">
        <v>8</v>
      </c>
    </row>
    <row r="77" spans="1:32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S77" s="27" t="s">
        <v>8</v>
      </c>
      <c r="U77" s="27" t="s">
        <v>8</v>
      </c>
      <c r="V77" s="27" t="s">
        <v>7</v>
      </c>
      <c r="Y77" s="27" t="s">
        <v>8</v>
      </c>
      <c r="AA77" s="27" t="s">
        <v>8</v>
      </c>
      <c r="AB77" s="27" t="s">
        <v>7</v>
      </c>
      <c r="AC77" s="27" t="s">
        <v>8</v>
      </c>
      <c r="AD77" s="27" t="s">
        <v>7</v>
      </c>
      <c r="AE77" s="27" t="s">
        <v>8</v>
      </c>
    </row>
    <row r="78" spans="1:32" x14ac:dyDescent="0.25">
      <c r="A78" s="30">
        <v>60.240069161242367</v>
      </c>
      <c r="E78"/>
      <c r="S78" s="27" t="s">
        <v>8</v>
      </c>
      <c r="T78" s="27" t="s">
        <v>7</v>
      </c>
      <c r="U78" s="27" t="s">
        <v>8</v>
      </c>
      <c r="V78" s="27" t="s">
        <v>7</v>
      </c>
      <c r="Y78" s="27" t="s">
        <v>8</v>
      </c>
      <c r="Z78" s="27" t="s">
        <v>7</v>
      </c>
      <c r="AA78" s="27" t="s">
        <v>8</v>
      </c>
      <c r="AB78" s="27" t="s">
        <v>7</v>
      </c>
      <c r="AC78" s="27" t="s">
        <v>8</v>
      </c>
      <c r="AD78" s="27" t="s">
        <v>7</v>
      </c>
      <c r="AE78" s="27" t="s">
        <v>8</v>
      </c>
      <c r="AF78" s="27" t="s">
        <v>7</v>
      </c>
    </row>
    <row r="79" spans="1:32" x14ac:dyDescent="0.25">
      <c r="A79" s="30">
        <v>54.763699237493057</v>
      </c>
      <c r="E79"/>
      <c r="S79" s="27" t="s">
        <v>8</v>
      </c>
      <c r="T79" s="27" t="s">
        <v>7</v>
      </c>
      <c r="U79" s="27" t="s">
        <v>8</v>
      </c>
      <c r="V79" s="27" t="s">
        <v>7</v>
      </c>
      <c r="W79" s="27" t="s">
        <v>8</v>
      </c>
      <c r="Y79" s="27" t="s">
        <v>8</v>
      </c>
      <c r="Z79" s="27" t="s">
        <v>7</v>
      </c>
      <c r="AA79" s="27" t="s">
        <v>8</v>
      </c>
      <c r="AB79" s="27" t="s">
        <v>7</v>
      </c>
      <c r="AD79" s="27" t="s">
        <v>7</v>
      </c>
      <c r="AE79" s="27" t="s">
        <v>8</v>
      </c>
      <c r="AF79" s="27" t="s">
        <v>7</v>
      </c>
    </row>
    <row r="80" spans="1:32" x14ac:dyDescent="0.25">
      <c r="A80" s="30">
        <v>49.785181124993684</v>
      </c>
      <c r="E80"/>
      <c r="S80" s="27" t="s">
        <v>8</v>
      </c>
      <c r="T80" s="27" t="s">
        <v>7</v>
      </c>
      <c r="U80" s="27" t="s">
        <v>8</v>
      </c>
      <c r="V80" s="27" t="s">
        <v>7</v>
      </c>
      <c r="W80" s="27" t="s">
        <v>8</v>
      </c>
      <c r="X80" s="27" t="s">
        <v>7</v>
      </c>
      <c r="Y80" s="27" t="s">
        <v>8</v>
      </c>
      <c r="Z80" s="27" t="s">
        <v>7</v>
      </c>
      <c r="AA80" s="27" t="s">
        <v>8</v>
      </c>
      <c r="AD80" s="27" t="s">
        <v>7</v>
      </c>
      <c r="AE80" s="27" t="s">
        <v>8</v>
      </c>
      <c r="AF80" s="27" t="s">
        <v>7</v>
      </c>
    </row>
    <row r="81" spans="1:32" x14ac:dyDescent="0.25">
      <c r="A81" s="30">
        <v>45.259255568176073</v>
      </c>
      <c r="E81"/>
      <c r="S81" s="27" t="s">
        <v>8</v>
      </c>
      <c r="T81" s="27" t="s">
        <v>7</v>
      </c>
      <c r="V81" s="27" t="s">
        <v>7</v>
      </c>
      <c r="W81" s="27" t="s">
        <v>8</v>
      </c>
      <c r="X81" s="27" t="s">
        <v>7</v>
      </c>
      <c r="Y81" s="27" t="s">
        <v>8</v>
      </c>
      <c r="Z81" s="27" t="s">
        <v>7</v>
      </c>
      <c r="AD81" s="27" t="s">
        <v>7</v>
      </c>
      <c r="AE81" s="27" t="s">
        <v>8</v>
      </c>
      <c r="AF81" s="27" t="s">
        <v>7</v>
      </c>
    </row>
    <row r="82" spans="1:32" x14ac:dyDescent="0.25">
      <c r="A82" s="30">
        <v>41.144777789250973</v>
      </c>
      <c r="E82"/>
      <c r="S82" s="27" t="s">
        <v>8</v>
      </c>
      <c r="V82" s="27" t="s">
        <v>7</v>
      </c>
      <c r="W82" s="27" t="s">
        <v>8</v>
      </c>
      <c r="X82" s="27" t="s">
        <v>7</v>
      </c>
      <c r="AD82" s="27" t="s">
        <v>7</v>
      </c>
      <c r="AE82" s="27" t="s">
        <v>8</v>
      </c>
      <c r="AF82" s="27" t="s">
        <v>7</v>
      </c>
    </row>
    <row r="83" spans="1:32" x14ac:dyDescent="0.25">
      <c r="A83" s="30">
        <v>37.404343444773609</v>
      </c>
      <c r="E83"/>
      <c r="S83" s="27" t="s">
        <v>8</v>
      </c>
      <c r="V83" s="27" t="s">
        <v>7</v>
      </c>
      <c r="AD83" s="27" t="s">
        <v>7</v>
      </c>
      <c r="AF83" s="27" t="s">
        <v>7</v>
      </c>
    </row>
    <row r="84" spans="1:32" x14ac:dyDescent="0.25">
      <c r="A84" s="30">
        <v>34.003948586157826</v>
      </c>
      <c r="E84"/>
      <c r="Q84" s="27" t="s">
        <v>8</v>
      </c>
      <c r="S84" s="27" t="s">
        <v>8</v>
      </c>
      <c r="AF84" s="27" t="s">
        <v>7</v>
      </c>
    </row>
    <row r="85" spans="1:32" x14ac:dyDescent="0.25">
      <c r="A85" s="30">
        <v>30.912680532870748</v>
      </c>
      <c r="E85" t="s">
        <v>8</v>
      </c>
      <c r="Q85" s="27" t="s">
        <v>8</v>
      </c>
      <c r="R85" s="27" t="s">
        <v>7</v>
      </c>
      <c r="S85" s="27" t="s">
        <v>8</v>
      </c>
      <c r="AF85" s="27" t="s">
        <v>7</v>
      </c>
    </row>
    <row r="86" spans="1:32" x14ac:dyDescent="0.25">
      <c r="A86" s="30">
        <v>28.102436848064315</v>
      </c>
      <c r="E86" t="s">
        <v>8</v>
      </c>
      <c r="F86" s="27" t="s">
        <v>7</v>
      </c>
      <c r="Q86" s="27" t="s">
        <v>8</v>
      </c>
      <c r="R86" s="27" t="s">
        <v>7</v>
      </c>
      <c r="S86" s="27" t="s">
        <v>8</v>
      </c>
      <c r="AF86" s="27" t="s">
        <v>7</v>
      </c>
    </row>
    <row r="87" spans="1:32" x14ac:dyDescent="0.25">
      <c r="A87" s="30">
        <v>25.547669861876649</v>
      </c>
      <c r="E87" t="s">
        <v>8</v>
      </c>
      <c r="F87" s="27" t="s">
        <v>7</v>
      </c>
      <c r="Q87" s="27" t="s">
        <v>8</v>
      </c>
      <c r="R87" s="27" t="s">
        <v>7</v>
      </c>
    </row>
    <row r="88" spans="1:32" x14ac:dyDescent="0.25">
      <c r="A88" s="30">
        <v>23.225154419887861</v>
      </c>
      <c r="E88" t="s">
        <v>8</v>
      </c>
      <c r="F88" s="27" t="s">
        <v>7</v>
      </c>
      <c r="Q88" s="27" t="s">
        <v>8</v>
      </c>
    </row>
    <row r="89" spans="1:32" x14ac:dyDescent="0.25">
      <c r="A89" s="30">
        <v>21.113776745352599</v>
      </c>
      <c r="E89" t="s">
        <v>8</v>
      </c>
      <c r="F89" s="27" t="s">
        <v>7</v>
      </c>
      <c r="K89" s="27" t="s">
        <v>8</v>
      </c>
      <c r="Q89" s="27" t="s">
        <v>8</v>
      </c>
    </row>
    <row r="90" spans="1:32" x14ac:dyDescent="0.25">
      <c r="A90" s="30">
        <v>19.194342495775089</v>
      </c>
      <c r="E90" t="s">
        <v>8</v>
      </c>
      <c r="F90" s="27" t="s">
        <v>7</v>
      </c>
      <c r="G90" s="27" t="s">
        <v>8</v>
      </c>
      <c r="K90" s="27" t="s">
        <v>8</v>
      </c>
      <c r="L90" s="27" t="s">
        <v>7</v>
      </c>
      <c r="M90" s="27" t="s">
        <v>8</v>
      </c>
      <c r="Q90" s="27" t="s">
        <v>8</v>
      </c>
    </row>
    <row r="91" spans="1:32" x14ac:dyDescent="0.25">
      <c r="A91" s="30">
        <v>17.449402268886445</v>
      </c>
      <c r="E91" t="s">
        <v>8</v>
      </c>
      <c r="F91" s="27" t="s">
        <v>7</v>
      </c>
      <c r="G91" s="27" t="s">
        <v>8</v>
      </c>
      <c r="H91" s="27" t="s">
        <v>7</v>
      </c>
      <c r="I91" s="27" t="s">
        <v>8</v>
      </c>
      <c r="K91" s="27" t="s">
        <v>8</v>
      </c>
      <c r="L91" s="27" t="s">
        <v>7</v>
      </c>
      <c r="M91" s="27" t="s">
        <v>8</v>
      </c>
      <c r="N91" s="27" t="s">
        <v>7</v>
      </c>
      <c r="Q91" s="27" t="s">
        <v>8</v>
      </c>
    </row>
    <row r="92" spans="1:32" x14ac:dyDescent="0.25">
      <c r="A92" s="30">
        <v>15.863092971714948</v>
      </c>
      <c r="C92" s="1" t="s">
        <v>15</v>
      </c>
      <c r="E92" t="s">
        <v>8</v>
      </c>
      <c r="F92" s="27" t="s">
        <v>7</v>
      </c>
      <c r="G92" s="27" t="s">
        <v>8</v>
      </c>
      <c r="H92" s="27" t="s">
        <v>7</v>
      </c>
      <c r="I92" s="27" t="s">
        <v>8</v>
      </c>
      <c r="J92" s="27" t="s">
        <v>7</v>
      </c>
      <c r="K92" s="27" t="s">
        <v>8</v>
      </c>
      <c r="L92" s="27" t="s">
        <v>7</v>
      </c>
      <c r="M92" s="27" t="s">
        <v>8</v>
      </c>
      <c r="N92" s="27" t="s">
        <v>7</v>
      </c>
      <c r="Q92" s="27" t="s">
        <v>8</v>
      </c>
    </row>
    <row r="93" spans="1:32" x14ac:dyDescent="0.25">
      <c r="A93" s="30">
        <v>14.420993610649951</v>
      </c>
      <c r="C93" s="7">
        <v>0.11167815779424731</v>
      </c>
      <c r="D93"/>
      <c r="E93" t="s">
        <v>8</v>
      </c>
      <c r="F93" s="27" t="s">
        <v>7</v>
      </c>
      <c r="G93" s="27" t="s">
        <v>8</v>
      </c>
      <c r="H93" s="27" t="s">
        <v>7</v>
      </c>
      <c r="I93" s="27" t="s">
        <v>8</v>
      </c>
      <c r="J93" s="27" t="s">
        <v>7</v>
      </c>
      <c r="K93" s="27" t="s">
        <v>8</v>
      </c>
      <c r="L93" s="27" t="s">
        <v>7</v>
      </c>
      <c r="N93" s="27" t="s">
        <v>7</v>
      </c>
      <c r="Q93" s="27" t="s">
        <v>8</v>
      </c>
    </row>
    <row r="94" spans="1:32" x14ac:dyDescent="0.25">
      <c r="A94" s="30">
        <v>13.109994191499954</v>
      </c>
      <c r="E94" t="s">
        <v>8</v>
      </c>
      <c r="F94" s="27" t="s">
        <v>7</v>
      </c>
      <c r="G94" s="27" t="s">
        <v>8</v>
      </c>
      <c r="H94" s="27" t="s">
        <v>7</v>
      </c>
      <c r="I94" s="27" t="s">
        <v>8</v>
      </c>
      <c r="J94" s="27" t="s">
        <v>7</v>
      </c>
      <c r="K94" s="27" t="s">
        <v>8</v>
      </c>
      <c r="N94" s="27" t="s">
        <v>7</v>
      </c>
      <c r="Q94" s="27" t="s">
        <v>8</v>
      </c>
    </row>
    <row r="95" spans="1:32" x14ac:dyDescent="0.25">
      <c r="A95" s="30">
        <v>11.918176537727231</v>
      </c>
      <c r="C95" s="1" t="s">
        <v>11</v>
      </c>
      <c r="D95" s="1" t="s">
        <v>12</v>
      </c>
      <c r="E95" t="s">
        <v>8</v>
      </c>
      <c r="F95" s="27" t="s">
        <v>7</v>
      </c>
      <c r="G95" s="27" t="s">
        <v>8</v>
      </c>
      <c r="H95" s="27" t="s">
        <v>7</v>
      </c>
      <c r="I95" s="27" t="s">
        <v>8</v>
      </c>
      <c r="J95" s="27" t="s">
        <v>7</v>
      </c>
      <c r="N95" s="27" t="s">
        <v>7</v>
      </c>
      <c r="O95" s="27" t="s">
        <v>8</v>
      </c>
      <c r="Q95" s="27" t="s">
        <v>8</v>
      </c>
    </row>
    <row r="96" spans="1:32" x14ac:dyDescent="0.25">
      <c r="A96" s="30">
        <v>10.834705943388391</v>
      </c>
      <c r="C96"/>
      <c r="D96"/>
      <c r="E96" t="s">
        <v>8</v>
      </c>
      <c r="F96" s="27" t="s">
        <v>7</v>
      </c>
      <c r="H96" s="27" t="s">
        <v>7</v>
      </c>
      <c r="N96" s="27" t="s">
        <v>7</v>
      </c>
      <c r="O96" s="27" t="s">
        <v>8</v>
      </c>
      <c r="P96" s="27" t="s">
        <v>7</v>
      </c>
      <c r="Q96" s="27" t="s">
        <v>8</v>
      </c>
    </row>
    <row r="97" spans="1:17" x14ac:dyDescent="0.25">
      <c r="A97" s="30">
        <v>9.849732675807628</v>
      </c>
      <c r="E97" t="s">
        <v>8</v>
      </c>
      <c r="N97" s="27" t="s">
        <v>7</v>
      </c>
      <c r="O97" s="27" t="s">
        <v>8</v>
      </c>
      <c r="P97" s="27" t="s">
        <v>7</v>
      </c>
      <c r="Q97" s="27" t="s">
        <v>8</v>
      </c>
    </row>
    <row r="98" spans="1:17" x14ac:dyDescent="0.25">
      <c r="A98" s="30">
        <v>8.9543024325523888</v>
      </c>
      <c r="C98" s="1" t="s">
        <v>13</v>
      </c>
      <c r="E98" t="s">
        <v>8</v>
      </c>
      <c r="N98" s="27" t="s">
        <v>7</v>
      </c>
      <c r="P98" s="27" t="s">
        <v>7</v>
      </c>
      <c r="Q98" s="27" t="s">
        <v>8</v>
      </c>
    </row>
    <row r="99" spans="1:17" x14ac:dyDescent="0.25">
      <c r="A99" s="30">
        <v>8.140274938683989</v>
      </c>
      <c r="C99" s="1">
        <f>C88</f>
        <v>0</v>
      </c>
      <c r="E99" t="s">
        <v>8</v>
      </c>
      <c r="P99" s="18" t="s">
        <v>7</v>
      </c>
      <c r="Q99" s="27" t="s">
        <v>8</v>
      </c>
    </row>
    <row r="100" spans="1:17" x14ac:dyDescent="0.25">
      <c r="A100" s="30">
        <v>7.4002499442581717</v>
      </c>
      <c r="C100"/>
      <c r="D100"/>
      <c r="E100" t="s">
        <v>8</v>
      </c>
      <c r="P100" s="27" t="s">
        <v>7</v>
      </c>
    </row>
    <row r="101" spans="1:17" x14ac:dyDescent="0.25">
      <c r="A101" s="30">
        <v>6.72749994932561</v>
      </c>
      <c r="C101" s="1" t="s">
        <v>14</v>
      </c>
      <c r="E101" t="s">
        <v>8</v>
      </c>
    </row>
    <row r="102" spans="1:17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17" x14ac:dyDescent="0.25">
      <c r="A103" s="30">
        <v>5.5599173134922388</v>
      </c>
      <c r="E103" t="s">
        <v>8</v>
      </c>
    </row>
    <row r="104" spans="1:17" x14ac:dyDescent="0.25">
      <c r="A104" s="30">
        <v>5.0544702849929442</v>
      </c>
      <c r="E104" t="s">
        <v>8</v>
      </c>
    </row>
    <row r="105" spans="1:17" x14ac:dyDescent="0.25">
      <c r="A105" s="30">
        <v>4.594972986357222</v>
      </c>
      <c r="E105" t="s">
        <v>8</v>
      </c>
    </row>
    <row r="106" spans="1:17" x14ac:dyDescent="0.25">
      <c r="A106" s="30">
        <v>4.1772481694156562</v>
      </c>
      <c r="E106" t="s">
        <v>8</v>
      </c>
    </row>
    <row r="107" spans="1:17" x14ac:dyDescent="0.25">
      <c r="A107" s="30">
        <v>3.7974983358324148</v>
      </c>
      <c r="E107" t="s">
        <v>8</v>
      </c>
    </row>
    <row r="108" spans="1:17" x14ac:dyDescent="0.25">
      <c r="A108" s="30">
        <v>3.4522712143931042</v>
      </c>
      <c r="E108" t="s">
        <v>8</v>
      </c>
    </row>
    <row r="109" spans="1:17" x14ac:dyDescent="0.25">
      <c r="A109" s="30">
        <v>3.1384283767210035</v>
      </c>
      <c r="E109" t="s">
        <v>8</v>
      </c>
    </row>
    <row r="110" spans="1:17" x14ac:dyDescent="0.25">
      <c r="A110" s="30">
        <v>2.8531167061100029</v>
      </c>
      <c r="E110" t="s">
        <v>8</v>
      </c>
    </row>
    <row r="111" spans="1:17" x14ac:dyDescent="0.25">
      <c r="A111" s="30">
        <v>2.5937424601000023</v>
      </c>
      <c r="C111" s="1" t="str">
        <f>ADDRESS(C121-1,1,1,1)</f>
        <v>$A$85</v>
      </c>
      <c r="D111" s="1" t="str">
        <f>ADDRESS(C121-1,D121,1,1)</f>
        <v>$AF$85</v>
      </c>
      <c r="E111" t="s">
        <v>8</v>
      </c>
    </row>
    <row r="112" spans="1:17" x14ac:dyDescent="0.25">
      <c r="A112" s="30">
        <v>2.3579476910000019</v>
      </c>
      <c r="C112" s="1" t="str">
        <f>ADDRESS(C121,1,1,1)</f>
        <v>$A$86</v>
      </c>
      <c r="D112" s="1" t="str">
        <f>ADDRESS(C121,D121-1,1,1)</f>
        <v>$AE$86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$A$87</v>
      </c>
      <c r="D113" s="1" t="str">
        <f>ADDRESS(C121-1,D121+1,1,1)</f>
        <v>$AG$85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$AF$86</v>
      </c>
      <c r="D114" s="1" t="str">
        <f>ADDRESS(C121+1,D121+1,1,1)</f>
        <v>$AG$87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$AF$87</v>
      </c>
      <c r="E115" s="1" t="s">
        <v>8</v>
      </c>
    </row>
    <row r="116" spans="1:5" x14ac:dyDescent="0.25">
      <c r="A116" s="30">
        <v>1.6105100000000008</v>
      </c>
      <c r="C116" s="1">
        <f>C117-1</f>
        <v>85</v>
      </c>
      <c r="E116" s="1" t="s">
        <v>8</v>
      </c>
    </row>
    <row r="117" spans="1:5" x14ac:dyDescent="0.25">
      <c r="A117" s="30">
        <v>1.4641000000000006</v>
      </c>
      <c r="C117" s="1">
        <f>C121</f>
        <v>86</v>
      </c>
      <c r="D117" s="1">
        <f>D121</f>
        <v>32</v>
      </c>
      <c r="E117" s="1" t="s">
        <v>8</v>
      </c>
    </row>
    <row r="118" spans="1:5" x14ac:dyDescent="0.25">
      <c r="A118" s="30">
        <v>1.3310000000000004</v>
      </c>
      <c r="C118" s="1">
        <f>C117+1</f>
        <v>87</v>
      </c>
      <c r="D118" s="1">
        <f>D117+1</f>
        <v>33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86</v>
      </c>
      <c r="D121" s="19">
        <v>32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R86</v>
      </c>
      <c r="D123" s="1" t="str">
        <f>"C"&amp;D121</f>
        <v>C32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28.102436848064315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63" operator="equal">
      <formula>$U$1</formula>
    </cfRule>
    <cfRule type="cellIs" dxfId="30" priority="664" operator="equal">
      <formula>$S$1</formula>
    </cfRule>
  </conditionalFormatting>
  <conditionalFormatting sqref="D136">
    <cfRule type="cellIs" dxfId="29" priority="661" operator="equal">
      <formula>$S$1</formula>
    </cfRule>
    <cfRule type="cellIs" dxfId="28" priority="662" operator="equal">
      <formula>$U$1</formula>
    </cfRule>
  </conditionalFormatting>
  <conditionalFormatting sqref="C102">
    <cfRule type="cellIs" dxfId="27" priority="659" operator="equal">
      <formula>$U$1</formula>
    </cfRule>
    <cfRule type="cellIs" dxfId="26" priority="660" operator="equal">
      <formula>$S$1</formula>
    </cfRule>
  </conditionalFormatting>
  <conditionalFormatting sqref="D102">
    <cfRule type="cellIs" dxfId="25" priority="657" operator="equal">
      <formula>$S$1</formula>
    </cfRule>
    <cfRule type="cellIs" dxfId="24" priority="658" operator="equal">
      <formula>$U$1</formula>
    </cfRule>
  </conditionalFormatting>
  <conditionalFormatting sqref="C77">
    <cfRule type="cellIs" dxfId="23" priority="655" operator="equal">
      <formula>$U$1</formula>
    </cfRule>
    <cfRule type="cellIs" dxfId="22" priority="656" operator="equal">
      <formula>$S$1</formula>
    </cfRule>
  </conditionalFormatting>
  <conditionalFormatting sqref="D77">
    <cfRule type="cellIs" dxfId="21" priority="653" operator="equal">
      <formula>$S$1</formula>
    </cfRule>
    <cfRule type="cellIs" dxfId="20" priority="654" operator="equal">
      <formula>$U$1</formula>
    </cfRule>
  </conditionalFormatting>
  <conditionalFormatting sqref="C52">
    <cfRule type="cellIs" dxfId="19" priority="651" operator="equal">
      <formula>$U$1</formula>
    </cfRule>
    <cfRule type="cellIs" dxfId="18" priority="652" operator="equal">
      <formula>$S$1</formula>
    </cfRule>
  </conditionalFormatting>
  <conditionalFormatting sqref="D52">
    <cfRule type="cellIs" dxfId="17" priority="649" operator="equal">
      <formula>$S$1</formula>
    </cfRule>
    <cfRule type="cellIs" dxfId="16" priority="650" operator="equal">
      <formula>$U$1</formula>
    </cfRule>
  </conditionalFormatting>
  <conditionalFormatting sqref="C26">
    <cfRule type="cellIs" dxfId="15" priority="647" operator="equal">
      <formula>$U$1</formula>
    </cfRule>
    <cfRule type="cellIs" dxfId="14" priority="648" operator="equal">
      <formula>$S$1</formula>
    </cfRule>
  </conditionalFormatting>
  <conditionalFormatting sqref="D26">
    <cfRule type="cellIs" dxfId="13" priority="645" operator="equal">
      <formula>$S$1</formula>
    </cfRule>
    <cfRule type="cellIs" dxfId="12" priority="646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2022-01-28T01:13:44Z</dcterms:modified>
</cp:coreProperties>
</file>