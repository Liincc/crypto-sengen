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2C6C268-EDDC-469E-9A81-BB84A7E9DAF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22" i="4"/>
  <c r="C133" i="4" s="1"/>
  <c r="C136" i="4" s="1"/>
  <c r="C118" i="4"/>
  <c r="R765" i="1"/>
  <c r="S765" i="1" s="1"/>
  <c r="T765" i="1" s="1"/>
  <c r="C122" i="3"/>
  <c r="C133" i="3" s="1"/>
  <c r="C136" i="3" s="1"/>
  <c r="C116" i="3"/>
  <c r="C118" i="3"/>
  <c r="C136" i="5" l="1"/>
  <c r="C138" i="5" s="1"/>
  <c r="R764" i="1"/>
  <c r="R763" i="1" s="1"/>
  <c r="D136" i="4"/>
  <c r="C138" i="4" s="1"/>
  <c r="D136" i="3"/>
  <c r="C138" i="3" s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<sst xmlns="http://schemas.openxmlformats.org/spreadsheetml/2006/main" count="5335" uniqueCount="34">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</sst>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63.92</c:v>
                </c:pt>
                <c:pt idx="1">
                  <c:v>65.87</c:v>
                </c:pt>
                <c:pt idx="2">
                  <c:v>68.010000000000005</c:v>
                </c:pt>
                <c:pt idx="3">
                  <c:v>63.06</c:v>
                </c:pt>
                <c:pt idx="4">
                  <c:v>64.83</c:v>
                </c:pt>
                <c:pt idx="5">
                  <c:v>59.78</c:v>
                </c:pt>
                <c:pt idx="6">
                  <c:v>66.06</c:v>
                </c:pt>
                <c:pt idx="7">
                  <c:v>79.33</c:v>
                </c:pt>
                <c:pt idx="8">
                  <c:v>82.61</c:v>
                </c:pt>
                <c:pt idx="9">
                  <c:v>86.01</c:v>
                </c:pt>
                <c:pt idx="10">
                  <c:v>86.67</c:v>
                </c:pt>
                <c:pt idx="11">
                  <c:v>92.24</c:v>
                </c:pt>
                <c:pt idx="12">
                  <c:v>92.98</c:v>
                </c:pt>
                <c:pt idx="13">
                  <c:v>90.39</c:v>
                </c:pt>
                <c:pt idx="14">
                  <c:v>89.65</c:v>
                </c:pt>
                <c:pt idx="15">
                  <c:v>95.94</c:v>
                </c:pt>
                <c:pt idx="16">
                  <c:v>89.59</c:v>
                </c:pt>
                <c:pt idx="17">
                  <c:v>84.36</c:v>
                </c:pt>
                <c:pt idx="18">
                  <c:v>89.33</c:v>
                </c:pt>
                <c:pt idx="19">
                  <c:v>83.9</c:v>
                </c:pt>
                <c:pt idx="20">
                  <c:v>86.74</c:v>
                </c:pt>
                <c:pt idx="21">
                  <c:v>95.11</c:v>
                </c:pt>
                <c:pt idx="22">
                  <c:v>97.42</c:v>
                </c:pt>
                <c:pt idx="23">
                  <c:v>103.33</c:v>
                </c:pt>
                <c:pt idx="24">
                  <c:v>108.11</c:v>
                </c:pt>
                <c:pt idx="25">
                  <c:v>113.03</c:v>
                </c:pt>
                <c:pt idx="26">
                  <c:v>114.13</c:v>
                </c:pt>
                <c:pt idx="27">
                  <c:v>109.43</c:v>
                </c:pt>
                <c:pt idx="28">
                  <c:v>101.75</c:v>
                </c:pt>
                <c:pt idx="29">
                  <c:v>103.1</c:v>
                </c:pt>
                <c:pt idx="30">
                  <c:v>107.06</c:v>
                </c:pt>
                <c:pt idx="31">
                  <c:v>113.85</c:v>
                </c:pt>
                <c:pt idx="32">
                  <c:v>115.02</c:v>
                </c:pt>
                <c:pt idx="33">
                  <c:v>115.01</c:v>
                </c:pt>
                <c:pt idx="34">
                  <c:v>114.94</c:v>
                </c:pt>
                <c:pt idx="35">
                  <c:v>121.4</c:v>
                </c:pt>
                <c:pt idx="36">
                  <c:v>116.69</c:v>
                </c:pt>
                <c:pt idx="37">
                  <c:v>123.24</c:v>
                </c:pt>
                <c:pt idx="38">
                  <c:v>113.55</c:v>
                </c:pt>
                <c:pt idx="39">
                  <c:v>107.61</c:v>
                </c:pt>
                <c:pt idx="40">
                  <c:v>115.9</c:v>
                </c:pt>
                <c:pt idx="41">
                  <c:v>110.81</c:v>
                </c:pt>
                <c:pt idx="42">
                  <c:v>98.21</c:v>
                </c:pt>
                <c:pt idx="43">
                  <c:v>101.24</c:v>
                </c:pt>
                <c:pt idx="44">
                  <c:v>87.17</c:v>
                </c:pt>
                <c:pt idx="45">
                  <c:v>79.05</c:v>
                </c:pt>
                <c:pt idx="46">
                  <c:v>88</c:v>
                </c:pt>
                <c:pt idx="47">
                  <c:v>81.62</c:v>
                </c:pt>
                <c:pt idx="48">
                  <c:v>80.61</c:v>
                </c:pt>
                <c:pt idx="49">
                  <c:v>85.46</c:v>
                </c:pt>
                <c:pt idx="50">
                  <c:v>93.19</c:v>
                </c:pt>
                <c:pt idx="51">
                  <c:v>89.57</c:v>
                </c:pt>
                <c:pt idx="52">
                  <c:v>92.97</c:v>
                </c:pt>
                <c:pt idx="53">
                  <c:v>86.35</c:v>
                </c:pt>
                <c:pt idx="54">
                  <c:v>93.05</c:v>
                </c:pt>
                <c:pt idx="55">
                  <c:v>108.32</c:v>
                </c:pt>
                <c:pt idx="56">
                  <c:v>107.78</c:v>
                </c:pt>
                <c:pt idx="57">
                  <c:v>119.65</c:v>
                </c:pt>
                <c:pt idx="58">
                  <c:v>120.41</c:v>
                </c:pt>
                <c:pt idx="59">
                  <c:v>120.39</c:v>
                </c:pt>
                <c:pt idx="60">
                  <c:v>110.42</c:v>
                </c:pt>
                <c:pt idx="61">
                  <c:v>113.52</c:v>
                </c:pt>
                <c:pt idx="62">
                  <c:v>104.27</c:v>
                </c:pt>
                <c:pt idx="63">
                  <c:v>119.27</c:v>
                </c:pt>
                <c:pt idx="64">
                  <c:v>118.98</c:v>
                </c:pt>
                <c:pt idx="65">
                  <c:v>123.83</c:v>
                </c:pt>
                <c:pt idx="66">
                  <c:v>134.84</c:v>
                </c:pt>
                <c:pt idx="67">
                  <c:v>128.47</c:v>
                </c:pt>
                <c:pt idx="68">
                  <c:v>125.83</c:v>
                </c:pt>
                <c:pt idx="69">
                  <c:v>111.93</c:v>
                </c:pt>
                <c:pt idx="70">
                  <c:v>100.63</c:v>
                </c:pt>
                <c:pt idx="71">
                  <c:v>107.63</c:v>
                </c:pt>
                <c:pt idx="72">
                  <c:v>97.84</c:v>
                </c:pt>
                <c:pt idx="73">
                  <c:v>93.9</c:v>
                </c:pt>
                <c:pt idx="74">
                  <c:v>95.4</c:v>
                </c:pt>
                <c:pt idx="75">
                  <c:v>97.54</c:v>
                </c:pt>
                <c:pt idx="76">
                  <c:v>84.78</c:v>
                </c:pt>
                <c:pt idx="77">
                  <c:v>87.88</c:v>
                </c:pt>
                <c:pt idx="78">
                  <c:v>85.23</c:v>
                </c:pt>
                <c:pt idx="79">
                  <c:v>88.33</c:v>
                </c:pt>
                <c:pt idx="80">
                  <c:v>91.18</c:v>
                </c:pt>
                <c:pt idx="81">
                  <c:v>87.57</c:v>
                </c:pt>
                <c:pt idx="82">
                  <c:v>78.72</c:v>
                </c:pt>
                <c:pt idx="83">
                  <c:v>74.19</c:v>
                </c:pt>
                <c:pt idx="84">
                  <c:v>78.97</c:v>
                </c:pt>
                <c:pt idx="85">
                  <c:v>75.55</c:v>
                </c:pt>
                <c:pt idx="86">
                  <c:v>67.739999999999995</c:v>
                </c:pt>
                <c:pt idx="87">
                  <c:v>64.930000000000007</c:v>
                </c:pt>
                <c:pt idx="88">
                  <c:v>64.5</c:v>
                </c:pt>
                <c:pt idx="89">
                  <c:v>62.35</c:v>
                </c:pt>
                <c:pt idx="90">
                  <c:v>64.87</c:v>
                </c:pt>
                <c:pt idx="91">
                  <c:v>64.34</c:v>
                </c:pt>
                <c:pt idx="92">
                  <c:v>61.57</c:v>
                </c:pt>
                <c:pt idx="93">
                  <c:v>68.66</c:v>
                </c:pt>
                <c:pt idx="94">
                  <c:v>69.73</c:v>
                </c:pt>
                <c:pt idx="95">
                  <c:v>64.53</c:v>
                </c:pt>
                <c:pt idx="96">
                  <c:v>65.38</c:v>
                </c:pt>
                <c:pt idx="97">
                  <c:v>65.540000000000006</c:v>
                </c:pt>
                <c:pt idx="98">
                  <c:v>61.48</c:v>
                </c:pt>
                <c:pt idx="99">
                  <c:v>59.66</c:v>
                </c:pt>
                <c:pt idx="100">
                  <c:v>56.8</c:v>
                </c:pt>
                <c:pt idx="101">
                  <c:v>55.48</c:v>
                </c:pt>
                <c:pt idx="102">
                  <c:v>56.1</c:v>
                </c:pt>
                <c:pt idx="103">
                  <c:v>57.61</c:v>
                </c:pt>
                <c:pt idx="104">
                  <c:v>56.36</c:v>
                </c:pt>
                <c:pt idx="105">
                  <c:v>56.18</c:v>
                </c:pt>
                <c:pt idx="106">
                  <c:v>55.01</c:v>
                </c:pt>
                <c:pt idx="107">
                  <c:v>54.34</c:v>
                </c:pt>
                <c:pt idx="108">
                  <c:v>55.3</c:v>
                </c:pt>
                <c:pt idx="109">
                  <c:v>56.51</c:v>
                </c:pt>
                <c:pt idx="110">
                  <c:v>60.63</c:v>
                </c:pt>
                <c:pt idx="111">
                  <c:v>60.51</c:v>
                </c:pt>
                <c:pt idx="112">
                  <c:v>61.52</c:v>
                </c:pt>
                <c:pt idx="113">
                  <c:v>60.01</c:v>
                </c:pt>
                <c:pt idx="114">
                  <c:v>64.599999999999994</c:v>
                </c:pt>
                <c:pt idx="115">
                  <c:v>65.16</c:v>
                </c:pt>
                <c:pt idx="116">
                  <c:v>68.790000000000006</c:v>
                </c:pt>
                <c:pt idx="117">
                  <c:v>69.08</c:v>
                </c:pt>
                <c:pt idx="118">
                  <c:v>67.67</c:v>
                </c:pt>
                <c:pt idx="119">
                  <c:v>66.63</c:v>
                </c:pt>
                <c:pt idx="120">
                  <c:v>65.459999999999994</c:v>
                </c:pt>
                <c:pt idx="121">
                  <c:v>61.51</c:v>
                </c:pt>
                <c:pt idx="122">
                  <c:v>66.33</c:v>
                </c:pt>
                <c:pt idx="123">
                  <c:v>66.77</c:v>
                </c:pt>
                <c:pt idx="124">
                  <c:v>68.28</c:v>
                </c:pt>
                <c:pt idx="125">
                  <c:v>72.31</c:v>
                </c:pt>
                <c:pt idx="126">
                  <c:v>76.44</c:v>
                </c:pt>
                <c:pt idx="127">
                  <c:v>74.069999999999993</c:v>
                </c:pt>
                <c:pt idx="128">
                  <c:v>58.98</c:v>
                </c:pt>
                <c:pt idx="129">
                  <c:v>62.97</c:v>
                </c:pt>
                <c:pt idx="130">
                  <c:v>70.069999999999993</c:v>
                </c:pt>
                <c:pt idx="131">
                  <c:v>69.02</c:v>
                </c:pt>
                <c:pt idx="132">
                  <c:v>70.11</c:v>
                </c:pt>
                <c:pt idx="133">
                  <c:v>67.56</c:v>
                </c:pt>
                <c:pt idx="134">
                  <c:v>57.84</c:v>
                </c:pt>
                <c:pt idx="135">
                  <c:v>51.5</c:v>
                </c:pt>
                <c:pt idx="136">
                  <c:v>53.15</c:v>
                </c:pt>
                <c:pt idx="137">
                  <c:v>59.22</c:v>
                </c:pt>
                <c:pt idx="138">
                  <c:v>57.02</c:v>
                </c:pt>
                <c:pt idx="139">
                  <c:v>49.3</c:v>
                </c:pt>
                <c:pt idx="140">
                  <c:v>40.770000000000003</c:v>
                </c:pt>
                <c:pt idx="141">
                  <c:v>37</c:v>
                </c:pt>
                <c:pt idx="142">
                  <c:v>37.93</c:v>
                </c:pt>
                <c:pt idx="143">
                  <c:v>47.1</c:v>
                </c:pt>
                <c:pt idx="144">
                  <c:v>48.15</c:v>
                </c:pt>
                <c:pt idx="145">
                  <c:v>47.15</c:v>
                </c:pt>
                <c:pt idx="146">
                  <c:v>45.89</c:v>
                </c:pt>
                <c:pt idx="147">
                  <c:v>47.58</c:v>
                </c:pt>
                <c:pt idx="148">
                  <c:v>42.47</c:v>
                </c:pt>
                <c:pt idx="149">
                  <c:v>39.5</c:v>
                </c:pt>
                <c:pt idx="150">
                  <c:v>41.44</c:v>
                </c:pt>
                <c:pt idx="151">
                  <c:v>47.39</c:v>
                </c:pt>
                <c:pt idx="152">
                  <c:v>50.2</c:v>
                </c:pt>
                <c:pt idx="153">
                  <c:v>50.14</c:v>
                </c:pt>
                <c:pt idx="154">
                  <c:v>41.32</c:v>
                </c:pt>
                <c:pt idx="155">
                  <c:v>46.207999999999998</c:v>
                </c:pt>
                <c:pt idx="156">
                  <c:v>55.473999999999997</c:v>
                </c:pt>
                <c:pt idx="157">
                  <c:v>46.451000000000001</c:v>
                </c:pt>
                <c:pt idx="158">
                  <c:v>42.533000000000001</c:v>
                </c:pt>
                <c:pt idx="159">
                  <c:v>43.676000000000002</c:v>
                </c:pt>
                <c:pt idx="160">
                  <c:v>39.155000000000001</c:v>
                </c:pt>
                <c:pt idx="161">
                  <c:v>30.652999999999999</c:v>
                </c:pt>
                <c:pt idx="162">
                  <c:v>29.992999999999999</c:v>
                </c:pt>
                <c:pt idx="163">
                  <c:v>23.446000000000002</c:v>
                </c:pt>
                <c:pt idx="164">
                  <c:v>19.071000000000002</c:v>
                </c:pt>
                <c:pt idx="165">
                  <c:v>18.762</c:v>
                </c:pt>
                <c:pt idx="166">
                  <c:v>18.093</c:v>
                </c:pt>
                <c:pt idx="167">
                  <c:v>18.030999999999999</c:v>
                </c:pt>
                <c:pt idx="168">
                  <c:v>16.574999999999999</c:v>
                </c:pt>
                <c:pt idx="169">
                  <c:v>16.687999999999999</c:v>
                </c:pt>
                <c:pt idx="170">
                  <c:v>16.420000000000002</c:v>
                </c:pt>
                <c:pt idx="171">
                  <c:v>16.169</c:v>
                </c:pt>
                <c:pt idx="172">
                  <c:v>14.826000000000001</c:v>
                </c:pt>
                <c:pt idx="173">
                  <c:v>15.834</c:v>
                </c:pt>
                <c:pt idx="174">
                  <c:v>14.77</c:v>
                </c:pt>
                <c:pt idx="175">
                  <c:v>13.834</c:v>
                </c:pt>
                <c:pt idx="176">
                  <c:v>13.696</c:v>
                </c:pt>
                <c:pt idx="177">
                  <c:v>12.557</c:v>
                </c:pt>
                <c:pt idx="178">
                  <c:v>12.993</c:v>
                </c:pt>
                <c:pt idx="179">
                  <c:v>12.853</c:v>
                </c:pt>
                <c:pt idx="180">
                  <c:v>13.525</c:v>
                </c:pt>
                <c:pt idx="181">
                  <c:v>12.978</c:v>
                </c:pt>
                <c:pt idx="182">
                  <c:v>12.433</c:v>
                </c:pt>
                <c:pt idx="183">
                  <c:v>12.32</c:v>
                </c:pt>
                <c:pt idx="184">
                  <c:v>11.917</c:v>
                </c:pt>
                <c:pt idx="185">
                  <c:v>11.46</c:v>
                </c:pt>
                <c:pt idx="186">
                  <c:v>11.247</c:v>
                </c:pt>
                <c:pt idx="187">
                  <c:v>11.141999999999999</c:v>
                </c:pt>
                <c:pt idx="188">
                  <c:v>11.086</c:v>
                </c:pt>
                <c:pt idx="189">
                  <c:v>10.833</c:v>
                </c:pt>
                <c:pt idx="190">
                  <c:v>10.425000000000001</c:v>
                </c:pt>
                <c:pt idx="191">
                  <c:v>9.6389999999999993</c:v>
                </c:pt>
                <c:pt idx="192">
                  <c:v>10.183</c:v>
                </c:pt>
                <c:pt idx="193">
                  <c:v>10.69</c:v>
                </c:pt>
                <c:pt idx="194">
                  <c:v>10.958</c:v>
                </c:pt>
                <c:pt idx="195">
                  <c:v>10.814</c:v>
                </c:pt>
                <c:pt idx="196">
                  <c:v>11.391</c:v>
                </c:pt>
                <c:pt idx="197">
                  <c:v>11.792999999999999</c:v>
                </c:pt>
                <c:pt idx="198">
                  <c:v>11.91</c:v>
                </c:pt>
                <c:pt idx="199">
                  <c:v>12.157</c:v>
                </c:pt>
                <c:pt idx="200">
                  <c:v>12.433</c:v>
                </c:pt>
                <c:pt idx="201">
                  <c:v>12.015000000000001</c:v>
                </c:pt>
                <c:pt idx="202">
                  <c:v>12.552</c:v>
                </c:pt>
                <c:pt idx="203">
                  <c:v>12.098000000000001</c:v>
                </c:pt>
                <c:pt idx="204">
                  <c:v>13.105</c:v>
                </c:pt>
                <c:pt idx="205">
                  <c:v>13.384</c:v>
                </c:pt>
                <c:pt idx="206">
                  <c:v>12.042</c:v>
                </c:pt>
                <c:pt idx="207">
                  <c:v>12.345000000000001</c:v>
                </c:pt>
                <c:pt idx="208">
                  <c:v>11.509</c:v>
                </c:pt>
                <c:pt idx="209">
                  <c:v>11.112</c:v>
                </c:pt>
                <c:pt idx="210">
                  <c:v>11.180999999999999</c:v>
                </c:pt>
                <c:pt idx="211">
                  <c:v>11.949</c:v>
                </c:pt>
                <c:pt idx="212">
                  <c:v>11.92</c:v>
                </c:pt>
                <c:pt idx="213">
                  <c:v>11.321999999999999</c:v>
                </c:pt>
                <c:pt idx="214">
                  <c:v>10.941000000000001</c:v>
                </c:pt>
                <c:pt idx="215">
                  <c:v>10.318</c:v>
                </c:pt>
                <c:pt idx="216">
                  <c:v>10.234999999999999</c:v>
                </c:pt>
                <c:pt idx="217">
                  <c:v>11.493</c:v>
                </c:pt>
                <c:pt idx="218">
                  <c:v>11.456</c:v>
                </c:pt>
                <c:pt idx="219">
                  <c:v>10.577999999999999</c:v>
                </c:pt>
                <c:pt idx="220">
                  <c:v>11.2</c:v>
                </c:pt>
                <c:pt idx="221">
                  <c:v>13.917</c:v>
                </c:pt>
                <c:pt idx="222">
                  <c:v>13.382999999999999</c:v>
                </c:pt>
                <c:pt idx="223">
                  <c:v>13.64</c:v>
                </c:pt>
                <c:pt idx="224">
                  <c:v>14.843999999999999</c:v>
                </c:pt>
                <c:pt idx="225">
                  <c:v>14.077999999999999</c:v>
                </c:pt>
                <c:pt idx="226">
                  <c:v>14.714</c:v>
                </c:pt>
                <c:pt idx="227">
                  <c:v>15.113</c:v>
                </c:pt>
                <c:pt idx="228">
                  <c:v>14.760999999999999</c:v>
                </c:pt>
                <c:pt idx="229">
                  <c:v>13.545</c:v>
                </c:pt>
                <c:pt idx="230">
                  <c:v>13.407999999999999</c:v>
                </c:pt>
                <c:pt idx="231">
                  <c:v>14.193</c:v>
                </c:pt>
                <c:pt idx="232">
                  <c:v>15.4</c:v>
                </c:pt>
                <c:pt idx="233">
                  <c:v>14.792</c:v>
                </c:pt>
                <c:pt idx="234">
                  <c:v>15.536</c:v>
                </c:pt>
                <c:pt idx="235">
                  <c:v>17.382999999999999</c:v>
                </c:pt>
                <c:pt idx="236">
                  <c:v>17.23</c:v>
                </c:pt>
                <c:pt idx="237">
                  <c:v>18.242999999999999</c:v>
                </c:pt>
                <c:pt idx="238">
                  <c:v>20.268000000000001</c:v>
                </c:pt>
                <c:pt idx="239">
                  <c:v>18.687000000000001</c:v>
                </c:pt>
                <c:pt idx="240">
                  <c:v>17.748000000000001</c:v>
                </c:pt>
                <c:pt idx="241">
                  <c:v>18.14</c:v>
                </c:pt>
                <c:pt idx="242">
                  <c:v>16.518000000000001</c:v>
                </c:pt>
                <c:pt idx="243">
                  <c:v>16.167999999999999</c:v>
                </c:pt>
                <c:pt idx="244">
                  <c:v>16.727</c:v>
                </c:pt>
                <c:pt idx="245">
                  <c:v>19.117999999999999</c:v>
                </c:pt>
                <c:pt idx="246">
                  <c:v>20.797000000000001</c:v>
                </c:pt>
                <c:pt idx="247">
                  <c:v>19.446000000000002</c:v>
                </c:pt>
                <c:pt idx="248">
                  <c:v>19.395</c:v>
                </c:pt>
                <c:pt idx="249">
                  <c:v>15.606</c:v>
                </c:pt>
                <c:pt idx="250">
                  <c:v>18.797000000000001</c:v>
                </c:pt>
                <c:pt idx="251">
                  <c:v>21.827000000000002</c:v>
                </c:pt>
                <c:pt idx="252">
                  <c:v>25.085999999999999</c:v>
                </c:pt>
                <c:pt idx="253">
                  <c:v>23.052</c:v>
                </c:pt>
                <c:pt idx="254">
                  <c:v>36.875</c:v>
                </c:pt>
                <c:pt idx="255">
                  <c:v>33.67</c:v>
                </c:pt>
                <c:pt idx="256">
                  <c:v>36.6</c:v>
                </c:pt>
                <c:pt idx="257">
                  <c:v>34.439</c:v>
                </c:pt>
                <c:pt idx="258">
                  <c:v>36.999000000000002</c:v>
                </c:pt>
                <c:pt idx="259">
                  <c:v>35.075000000000003</c:v>
                </c:pt>
                <c:pt idx="260">
                  <c:v>32.799999999999997</c:v>
                </c:pt>
                <c:pt idx="261">
                  <c:v>36.799999999999997</c:v>
                </c:pt>
                <c:pt idx="262">
                  <c:v>34.652000000000001</c:v>
                </c:pt>
                <c:pt idx="263">
                  <c:v>38.969000000000001</c:v>
                </c:pt>
                <c:pt idx="264">
                  <c:v>38.399000000000001</c:v>
                </c:pt>
                <c:pt idx="265">
                  <c:v>37.875</c:v>
                </c:pt>
                <c:pt idx="266">
                  <c:v>38.003</c:v>
                </c:pt>
                <c:pt idx="267">
                  <c:v>35.258000000000003</c:v>
                </c:pt>
                <c:pt idx="268">
                  <c:v>30.286999999999999</c:v>
                </c:pt>
                <c:pt idx="269">
                  <c:v>35.871000000000002</c:v>
                </c:pt>
                <c:pt idx="270">
                  <c:v>31.28</c:v>
                </c:pt>
                <c:pt idx="271">
                  <c:v>31.805</c:v>
                </c:pt>
                <c:pt idx="272">
                  <c:v>32.799999999999997</c:v>
                </c:pt>
                <c:pt idx="273">
                  <c:v>27.911999999999999</c:v>
                </c:pt>
                <c:pt idx="274">
                  <c:v>28.233000000000001</c:v>
                </c:pt>
                <c:pt idx="275">
                  <c:v>27.949000000000002</c:v>
                </c:pt>
                <c:pt idx="276">
                  <c:v>26.451000000000001</c:v>
                </c:pt>
                <c:pt idx="277">
                  <c:v>21.623999999999999</c:v>
                </c:pt>
                <c:pt idx="278">
                  <c:v>21.8523</c:v>
                </c:pt>
                <c:pt idx="279">
                  <c:v>23.531700000000001</c:v>
                </c:pt>
                <c:pt idx="280">
                  <c:v>23.970300000000002</c:v>
                </c:pt>
                <c:pt idx="281">
                  <c:v>25.813099999999999</c:v>
                </c:pt>
                <c:pt idx="282">
                  <c:v>27.405799999999999</c:v>
                </c:pt>
                <c:pt idx="283">
                  <c:v>26.182700000000001</c:v>
                </c:pt>
                <c:pt idx="284">
                  <c:v>29.334800000000001</c:v>
                </c:pt>
                <c:pt idx="285">
                  <c:v>33.934199999999997</c:v>
                </c:pt>
                <c:pt idx="286">
                  <c:v>35.450000000000003</c:v>
                </c:pt>
                <c:pt idx="287">
                  <c:v>37.017400000000002</c:v>
                </c:pt>
                <c:pt idx="288">
                  <c:v>38.339100000000002</c:v>
                </c:pt>
                <c:pt idx="289">
                  <c:v>33.6462</c:v>
                </c:pt>
                <c:pt idx="290">
                  <c:v>33.805500000000002</c:v>
                </c:pt>
                <c:pt idx="291">
                  <c:v>31.5976</c:v>
                </c:pt>
                <c:pt idx="292">
                  <c:v>31.776</c:v>
                </c:pt>
                <c:pt idx="293">
                  <c:v>31.517800000000001</c:v>
                </c:pt>
                <c:pt idx="294">
                  <c:v>30.751000000000001</c:v>
                </c:pt>
                <c:pt idx="295">
                  <c:v>29.506799999999998</c:v>
                </c:pt>
                <c:pt idx="296">
                  <c:v>31.4635</c:v>
                </c:pt>
                <c:pt idx="297">
                  <c:v>31.2559</c:v>
                </c:pt>
                <c:pt idx="298">
                  <c:v>29.157299999999999</c:v>
                </c:pt>
                <c:pt idx="299">
                  <c:v>28.178699999999999</c:v>
                </c:pt>
                <c:pt idx="300">
                  <c:v>29.035299999999999</c:v>
                </c:pt>
                <c:pt idx="301">
                  <c:v>28.2456</c:v>
                </c:pt>
                <c:pt idx="302">
                  <c:v>28.721800000000002</c:v>
                </c:pt>
                <c:pt idx="303">
                  <c:v>29.600899999999999</c:v>
                </c:pt>
                <c:pt idx="304">
                  <c:v>29.5</c:v>
                </c:pt>
                <c:pt idx="305">
                  <c:v>28.716699999999999</c:v>
                </c:pt>
                <c:pt idx="306">
                  <c:v>27.622499999999999</c:v>
                </c:pt>
                <c:pt idx="307">
                  <c:v>28.252700000000001</c:v>
                </c:pt>
                <c:pt idx="308">
                  <c:v>25.824999999999999</c:v>
                </c:pt>
                <c:pt idx="309">
                  <c:v>25.838699999999999</c:v>
                </c:pt>
                <c:pt idx="310">
                  <c:v>28.470400000000001</c:v>
                </c:pt>
                <c:pt idx="311">
                  <c:v>29.17</c:v>
                </c:pt>
                <c:pt idx="312">
                  <c:v>32.811700000000002</c:v>
                </c:pt>
                <c:pt idx="313">
                  <c:v>34.202199999999998</c:v>
                </c:pt>
                <c:pt idx="314">
                  <c:v>37.316600000000001</c:v>
                </c:pt>
                <c:pt idx="315">
                  <c:v>33.213200000000001</c:v>
                </c:pt>
                <c:pt idx="316">
                  <c:v>32.678899999999999</c:v>
                </c:pt>
                <c:pt idx="317">
                  <c:v>33.036000000000001</c:v>
                </c:pt>
                <c:pt idx="318">
                  <c:v>28.947199999999999</c:v>
                </c:pt>
                <c:pt idx="319">
                  <c:v>28.842300000000002</c:v>
                </c:pt>
                <c:pt idx="320">
                  <c:v>30.879899999999999</c:v>
                </c:pt>
                <c:pt idx="321">
                  <c:v>27.956099999999999</c:v>
                </c:pt>
                <c:pt idx="322">
                  <c:v>30.8005</c:v>
                </c:pt>
                <c:pt idx="323">
                  <c:v>29.585799999999999</c:v>
                </c:pt>
                <c:pt idx="324">
                  <c:v>34.314</c:v>
                </c:pt>
                <c:pt idx="325">
                  <c:v>25.617899999999999</c:v>
                </c:pt>
                <c:pt idx="326">
                  <c:v>26.686299999999999</c:v>
                </c:pt>
                <c:pt idx="327">
                  <c:v>24.911000000000001</c:v>
                </c:pt>
                <c:pt idx="328">
                  <c:v>24.241399999999999</c:v>
                </c:pt>
                <c:pt idx="329">
                  <c:v>25.778099999999998</c:v>
                </c:pt>
                <c:pt idx="330">
                  <c:v>27.22</c:v>
                </c:pt>
                <c:pt idx="331">
                  <c:v>27.110099999999999</c:v>
                </c:pt>
                <c:pt idx="332">
                  <c:v>27.5107</c:v>
                </c:pt>
                <c:pt idx="333">
                  <c:v>23.956600000000002</c:v>
                </c:pt>
                <c:pt idx="334">
                  <c:v>25.761600000000001</c:v>
                </c:pt>
                <c:pt idx="335">
                  <c:v>25.9695</c:v>
                </c:pt>
                <c:pt idx="336">
                  <c:v>26.7</c:v>
                </c:pt>
                <c:pt idx="337">
                  <c:v>29.739599999999999</c:v>
                </c:pt>
                <c:pt idx="338">
                  <c:v>27.592400000000001</c:v>
                </c:pt>
                <c:pt idx="339">
                  <c:v>32.150199999999998</c:v>
                </c:pt>
                <c:pt idx="340">
                  <c:v>36.185499999999998</c:v>
                </c:pt>
                <c:pt idx="341">
                  <c:v>35.9985</c:v>
                </c:pt>
                <c:pt idx="342">
                  <c:v>38.727400000000003</c:v>
                </c:pt>
                <c:pt idx="343">
                  <c:v>40.965600000000002</c:v>
                </c:pt>
                <c:pt idx="344">
                  <c:v>37.3003</c:v>
                </c:pt>
                <c:pt idx="345">
                  <c:v>36.540199999999999</c:v>
                </c:pt>
                <c:pt idx="346">
                  <c:v>38.308999999999997</c:v>
                </c:pt>
                <c:pt idx="347">
                  <c:v>39.171100000000003</c:v>
                </c:pt>
                <c:pt idx="348">
                  <c:v>44.083199999999998</c:v>
                </c:pt>
                <c:pt idx="349">
                  <c:v>48.297800000000002</c:v>
                </c:pt>
                <c:pt idx="350">
                  <c:v>46.967300000000002</c:v>
                </c:pt>
                <c:pt idx="351">
                  <c:v>54.686100000000003</c:v>
                </c:pt>
                <c:pt idx="352">
                  <c:v>31.9194</c:v>
                </c:pt>
                <c:pt idx="353">
                  <c:v>30.056000000000001</c:v>
                </c:pt>
                <c:pt idx="354">
                  <c:v>23.704999999999998</c:v>
                </c:pt>
                <c:pt idx="355">
                  <c:v>18.121600000000001</c:v>
                </c:pt>
                <c:pt idx="356">
                  <c:v>17.897300000000001</c:v>
                </c:pt>
                <c:pt idx="357">
                  <c:v>15.2697</c:v>
                </c:pt>
                <c:pt idx="358">
                  <c:v>14.84</c:v>
                </c:pt>
                <c:pt idx="359">
                  <c:v>13.4703</c:v>
                </c:pt>
                <c:pt idx="360">
                  <c:v>13.215299999999999</c:v>
                </c:pt>
                <c:pt idx="361">
                  <c:v>13.4704</c:v>
                </c:pt>
                <c:pt idx="362">
                  <c:v>12.0433</c:v>
                </c:pt>
                <c:pt idx="363">
                  <c:v>11.6158</c:v>
                </c:pt>
                <c:pt idx="364">
                  <c:v>11.961499999999999</c:v>
                </c:pt>
                <c:pt idx="365">
                  <c:v>11.157999999999999</c:v>
                </c:pt>
                <c:pt idx="366">
                  <c:v>12.2088</c:v>
                </c:pt>
                <c:pt idx="367">
                  <c:v>12.1816</c:v>
                </c:pt>
                <c:pt idx="368">
                  <c:v>12.4801</c:v>
                </c:pt>
                <c:pt idx="369">
                  <c:v>12.866899999999999</c:v>
                </c:pt>
                <c:pt idx="370">
                  <c:v>12.7097</c:v>
                </c:pt>
                <c:pt idx="371">
                  <c:v>11.3225</c:v>
                </c:pt>
                <c:pt idx="372">
                  <c:v>12.376799999999999</c:v>
                </c:pt>
                <c:pt idx="373">
                  <c:v>11.736700000000001</c:v>
                </c:pt>
                <c:pt idx="374">
                  <c:v>12.7035</c:v>
                </c:pt>
                <c:pt idx="375">
                  <c:v>13.1746</c:v>
                </c:pt>
                <c:pt idx="376">
                  <c:v>12.8421</c:v>
                </c:pt>
                <c:pt idx="377">
                  <c:v>9.3794000000000004</c:v>
                </c:pt>
                <c:pt idx="378">
                  <c:v>9.3177000000000003</c:v>
                </c:pt>
                <c:pt idx="379">
                  <c:v>8.4695</c:v>
                </c:pt>
                <c:pt idx="380">
                  <c:v>7.72</c:v>
                </c:pt>
                <c:pt idx="381">
                  <c:v>6.4713000000000003</c:v>
                </c:pt>
                <c:pt idx="382">
                  <c:v>6.5415999999999999</c:v>
                </c:pt>
                <c:pt idx="383">
                  <c:v>7.1877000000000004</c:v>
                </c:pt>
                <c:pt idx="384">
                  <c:v>5.7</c:v>
                </c:pt>
                <c:pt idx="385">
                  <c:v>4.4706999999999999</c:v>
                </c:pt>
                <c:pt idx="386">
                  <c:v>4.5788000000000002</c:v>
                </c:pt>
                <c:pt idx="387">
                  <c:v>4.2500999999999998</c:v>
                </c:pt>
                <c:pt idx="388">
                  <c:v>3.5998999999999999</c:v>
                </c:pt>
                <c:pt idx="389">
                  <c:v>3.4691000000000001</c:v>
                </c:pt>
                <c:pt idx="390">
                  <c:v>3.4956</c:v>
                </c:pt>
                <c:pt idx="391">
                  <c:v>3.6497000000000002</c:v>
                </c:pt>
                <c:pt idx="392">
                  <c:v>3.1859000000000002</c:v>
                </c:pt>
                <c:pt idx="393">
                  <c:v>2.9161999999999999</c:v>
                </c:pt>
                <c:pt idx="394">
                  <c:v>2.9247999999999998</c:v>
                </c:pt>
                <c:pt idx="395">
                  <c:v>2.9577</c:v>
                </c:pt>
                <c:pt idx="396">
                  <c:v>2.9026000000000001</c:v>
                </c:pt>
                <c:pt idx="397">
                  <c:v>2.9178000000000002</c:v>
                </c:pt>
                <c:pt idx="398">
                  <c:v>2.9517000000000002</c:v>
                </c:pt>
                <c:pt idx="399">
                  <c:v>3.1006</c:v>
                </c:pt>
                <c:pt idx="400">
                  <c:v>2.9464999999999999</c:v>
                </c:pt>
                <c:pt idx="401">
                  <c:v>3.0760999999999998</c:v>
                </c:pt>
                <c:pt idx="402">
                  <c:v>3.0891999999999999</c:v>
                </c:pt>
                <c:pt idx="403">
                  <c:v>3.3039999999999998</c:v>
                </c:pt>
                <c:pt idx="404">
                  <c:v>3.4651000000000001</c:v>
                </c:pt>
                <c:pt idx="405">
                  <c:v>3.4081000000000001</c:v>
                </c:pt>
                <c:pt idx="406">
                  <c:v>3.2079</c:v>
                </c:pt>
                <c:pt idx="407">
                  <c:v>3.3409</c:v>
                </c:pt>
                <c:pt idx="408">
                  <c:v>3.3014000000000001</c:v>
                </c:pt>
                <c:pt idx="409">
                  <c:v>3.1433</c:v>
                </c:pt>
                <c:pt idx="410">
                  <c:v>3.3405</c:v>
                </c:pt>
                <c:pt idx="411">
                  <c:v>3.3332000000000002</c:v>
                </c:pt>
                <c:pt idx="412">
                  <c:v>3.2374999999999998</c:v>
                </c:pt>
                <c:pt idx="413">
                  <c:v>3.1499000000000001</c:v>
                </c:pt>
                <c:pt idx="414">
                  <c:v>3.2652000000000001</c:v>
                </c:pt>
                <c:pt idx="415">
                  <c:v>3.1172</c:v>
                </c:pt>
                <c:pt idx="416">
                  <c:v>3.3895</c:v>
                </c:pt>
                <c:pt idx="417">
                  <c:v>3.6055000000000001</c:v>
                </c:pt>
                <c:pt idx="418">
                  <c:v>3.6381999999999999</c:v>
                </c:pt>
                <c:pt idx="419">
                  <c:v>3.5348000000000002</c:v>
                </c:pt>
                <c:pt idx="420">
                  <c:v>3.8123</c:v>
                </c:pt>
                <c:pt idx="421">
                  <c:v>3.74</c:v>
                </c:pt>
                <c:pt idx="422">
                  <c:v>3.5543</c:v>
                </c:pt>
                <c:pt idx="423">
                  <c:v>3.7023999999999999</c:v>
                </c:pt>
                <c:pt idx="424">
                  <c:v>3.7012999999999998</c:v>
                </c:pt>
                <c:pt idx="425">
                  <c:v>3.6271</c:v>
                </c:pt>
                <c:pt idx="426">
                  <c:v>3.5941999999999998</c:v>
                </c:pt>
                <c:pt idx="427">
                  <c:v>3.5447000000000002</c:v>
                </c:pt>
                <c:pt idx="428">
                  <c:v>4.0453000000000001</c:v>
                </c:pt>
                <c:pt idx="429">
                  <c:v>4.26</c:v>
                </c:pt>
                <c:pt idx="430">
                  <c:v>4.0747</c:v>
                </c:pt>
                <c:pt idx="431">
                  <c:v>3.8892000000000002</c:v>
                </c:pt>
                <c:pt idx="432">
                  <c:v>4.0281000000000002</c:v>
                </c:pt>
                <c:pt idx="433">
                  <c:v>3.7149999999999999</c:v>
                </c:pt>
                <c:pt idx="434">
                  <c:v>3.6398999999999999</c:v>
                </c:pt>
                <c:pt idx="435">
                  <c:v>3.7444999999999999</c:v>
                </c:pt>
                <c:pt idx="436">
                  <c:v>3.8355000000000001</c:v>
                </c:pt>
                <c:pt idx="437">
                  <c:v>3.7</c:v>
                </c:pt>
                <c:pt idx="438">
                  <c:v>3.5453000000000001</c:v>
                </c:pt>
                <c:pt idx="439">
                  <c:v>3.4893999999999998</c:v>
                </c:pt>
                <c:pt idx="440">
                  <c:v>3.6745000000000001</c:v>
                </c:pt>
                <c:pt idx="441">
                  <c:v>3.4243000000000001</c:v>
                </c:pt>
                <c:pt idx="442">
                  <c:v>3.4842</c:v>
                </c:pt>
                <c:pt idx="443">
                  <c:v>3.5712999999999999</c:v>
                </c:pt>
                <c:pt idx="444">
                  <c:v>3.4125000000000001</c:v>
                </c:pt>
                <c:pt idx="445">
                  <c:v>3.4754</c:v>
                </c:pt>
                <c:pt idx="446">
                  <c:v>3.4125999999999999</c:v>
                </c:pt>
                <c:pt idx="447">
                  <c:v>3.5912999999999999</c:v>
                </c:pt>
                <c:pt idx="448">
                  <c:v>3.3348</c:v>
                </c:pt>
                <c:pt idx="449">
                  <c:v>3.1718000000000002</c:v>
                </c:pt>
                <c:pt idx="450">
                  <c:v>3.323</c:v>
                </c:pt>
                <c:pt idx="451">
                  <c:v>3.617</c:v>
                </c:pt>
                <c:pt idx="452">
                  <c:v>3.6814</c:v>
                </c:pt>
                <c:pt idx="453">
                  <c:v>3.6456</c:v>
                </c:pt>
                <c:pt idx="454">
                  <c:v>3.7223999999999999</c:v>
                </c:pt>
                <c:pt idx="455">
                  <c:v>3.7757999999999998</c:v>
                </c:pt>
                <c:pt idx="456">
                  <c:v>4.0595999999999997</c:v>
                </c:pt>
                <c:pt idx="457">
                  <c:v>4.1216999999999997</c:v>
                </c:pt>
                <c:pt idx="458">
                  <c:v>4.1479999999999997</c:v>
                </c:pt>
                <c:pt idx="459">
                  <c:v>4.1478999999999999</c:v>
                </c:pt>
                <c:pt idx="460">
                  <c:v>4.1821000000000002</c:v>
                </c:pt>
                <c:pt idx="461">
                  <c:v>4.2568000000000001</c:v>
                </c:pt>
                <c:pt idx="462">
                  <c:v>4.3384999999999998</c:v>
                </c:pt>
                <c:pt idx="463">
                  <c:v>3.9584999999999999</c:v>
                </c:pt>
                <c:pt idx="464">
                  <c:v>3.8039999999999998</c:v>
                </c:pt>
                <c:pt idx="465">
                  <c:v>4.05</c:v>
                </c:pt>
                <c:pt idx="466">
                  <c:v>4.1195000000000004</c:v>
                </c:pt>
                <c:pt idx="467">
                  <c:v>4.1946000000000003</c:v>
                </c:pt>
                <c:pt idx="468">
                  <c:v>4.0433000000000003</c:v>
                </c:pt>
                <c:pt idx="469">
                  <c:v>4.1269</c:v>
                </c:pt>
                <c:pt idx="470">
                  <c:v>4.1596000000000002</c:v>
                </c:pt>
                <c:pt idx="471">
                  <c:v>4.4805999999999999</c:v>
                </c:pt>
                <c:pt idx="472">
                  <c:v>4.41</c:v>
                </c:pt>
                <c:pt idx="473">
                  <c:v>4.0960000000000001</c:v>
                </c:pt>
                <c:pt idx="474">
                  <c:v>4.0229999999999997</c:v>
                </c:pt>
                <c:pt idx="475">
                  <c:v>4.2491000000000003</c:v>
                </c:pt>
                <c:pt idx="476">
                  <c:v>3.9146999999999998</c:v>
                </c:pt>
                <c:pt idx="477">
                  <c:v>3.4420000000000002</c:v>
                </c:pt>
                <c:pt idx="478">
                  <c:v>3.5424000000000002</c:v>
                </c:pt>
                <c:pt idx="479">
                  <c:v>3.9813000000000001</c:v>
                </c:pt>
                <c:pt idx="480">
                  <c:v>3.964</c:v>
                </c:pt>
                <c:pt idx="481">
                  <c:v>4.0167999999999999</c:v>
                </c:pt>
                <c:pt idx="482">
                  <c:v>3.9115000000000002</c:v>
                </c:pt>
                <c:pt idx="483">
                  <c:v>4.1500000000000004</c:v>
                </c:pt>
                <c:pt idx="484">
                  <c:v>4.3292999999999999</c:v>
                </c:pt>
                <c:pt idx="485">
                  <c:v>4.1394000000000002</c:v>
                </c:pt>
                <c:pt idx="486">
                  <c:v>4.2020999999999997</c:v>
                </c:pt>
                <c:pt idx="487">
                  <c:v>4.6483999999999996</c:v>
                </c:pt>
                <c:pt idx="488">
                  <c:v>4.5199999999999996</c:v>
                </c:pt>
                <c:pt idx="489">
                  <c:v>4.7134</c:v>
                </c:pt>
                <c:pt idx="490">
                  <c:v>4.6410999999999998</c:v>
                </c:pt>
                <c:pt idx="491">
                  <c:v>3.5350000000000001</c:v>
                </c:pt>
                <c:pt idx="492">
                  <c:v>5.3193000000000001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C-4656-B888-C4B5F9D72F7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0.6256275422051597</c:v>
                </c:pt>
                <c:pt idx="1">
                  <c:v>0.62707169386854944</c:v>
                </c:pt>
                <c:pt idx="2">
                  <c:v>0.65002944114132666</c:v>
                </c:pt>
                <c:pt idx="3">
                  <c:v>0.63834213817916441</c:v>
                </c:pt>
                <c:pt idx="4">
                  <c:v>0.61485123368535632</c:v>
                </c:pt>
                <c:pt idx="5">
                  <c:v>0.60085397362835891</c:v>
                </c:pt>
                <c:pt idx="6">
                  <c:v>0.60411066786016143</c:v>
                </c:pt>
                <c:pt idx="7">
                  <c:v>0.62924804545414326</c:v>
                </c:pt>
                <c:pt idx="8">
                  <c:v>0.63975885223396778</c:v>
                </c:pt>
                <c:pt idx="9">
                  <c:v>0.64457510915774141</c:v>
                </c:pt>
                <c:pt idx="10">
                  <c:v>0.64202045553698661</c:v>
                </c:pt>
                <c:pt idx="11">
                  <c:v>0.65036874115151166</c:v>
                </c:pt>
                <c:pt idx="12">
                  <c:v>0.65729670854312461</c:v>
                </c:pt>
                <c:pt idx="13">
                  <c:v>0.65352384366586103</c:v>
                </c:pt>
                <c:pt idx="14">
                  <c:v>0.6488187288905306</c:v>
                </c:pt>
                <c:pt idx="15">
                  <c:v>0.66112485914383134</c:v>
                </c:pt>
                <c:pt idx="16">
                  <c:v>0.64768068750427632</c:v>
                </c:pt>
                <c:pt idx="17">
                  <c:v>0.63854891611364739</c:v>
                </c:pt>
                <c:pt idx="18">
                  <c:v>0.64726471770925709</c:v>
                </c:pt>
                <c:pt idx="19">
                  <c:v>0.63897105343919336</c:v>
                </c:pt>
                <c:pt idx="20">
                  <c:v>0.64137874342925072</c:v>
                </c:pt>
                <c:pt idx="21">
                  <c:v>0.65880826619357713</c:v>
                </c:pt>
                <c:pt idx="22">
                  <c:v>0.6559569368999264</c:v>
                </c:pt>
                <c:pt idx="23">
                  <c:v>0.65906647936302598</c:v>
                </c:pt>
                <c:pt idx="24">
                  <c:v>0.67274700377225682</c:v>
                </c:pt>
                <c:pt idx="25">
                  <c:v>0.68007581988949828</c:v>
                </c:pt>
                <c:pt idx="26">
                  <c:v>0.68733788088027581</c:v>
                </c:pt>
                <c:pt idx="27">
                  <c:v>0.67670067131909162</c:v>
                </c:pt>
                <c:pt idx="28">
                  <c:v>0.66264719938519623</c:v>
                </c:pt>
                <c:pt idx="29">
                  <c:v>0.6630531718698115</c:v>
                </c:pt>
                <c:pt idx="30">
                  <c:v>0.67869913952435712</c:v>
                </c:pt>
                <c:pt idx="31">
                  <c:v>0.69448202517629254</c:v>
                </c:pt>
                <c:pt idx="32">
                  <c:v>0.70907543069647372</c:v>
                </c:pt>
                <c:pt idx="33">
                  <c:v>0.70311348791207007</c:v>
                </c:pt>
                <c:pt idx="34">
                  <c:v>0.69935507323904766</c:v>
                </c:pt>
                <c:pt idx="35">
                  <c:v>0.71391830855644667</c:v>
                </c:pt>
                <c:pt idx="36">
                  <c:v>0.70957337875554161</c:v>
                </c:pt>
                <c:pt idx="37">
                  <c:v>0.73335476370745312</c:v>
                </c:pt>
                <c:pt idx="38">
                  <c:v>0.70028602709758769</c:v>
                </c:pt>
                <c:pt idx="39">
                  <c:v>0.67180040228912974</c:v>
                </c:pt>
                <c:pt idx="40">
                  <c:v>0.68914902914805298</c:v>
                </c:pt>
                <c:pt idx="41">
                  <c:v>0.66336125547465219</c:v>
                </c:pt>
                <c:pt idx="42">
                  <c:v>0.63805234979603298</c:v>
                </c:pt>
                <c:pt idx="43">
                  <c:v>0.68619924938903309</c:v>
                </c:pt>
                <c:pt idx="44">
                  <c:v>0.65141248447179867</c:v>
                </c:pt>
                <c:pt idx="45">
                  <c:v>0.6232265756535923</c:v>
                </c:pt>
                <c:pt idx="46">
                  <c:v>0.64152293347134537</c:v>
                </c:pt>
                <c:pt idx="47">
                  <c:v>0.63104501445061567</c:v>
                </c:pt>
                <c:pt idx="48">
                  <c:v>0.62974374255280541</c:v>
                </c:pt>
                <c:pt idx="49">
                  <c:v>0.66091218297010657</c:v>
                </c:pt>
                <c:pt idx="50">
                  <c:v>0.67689000416718359</c:v>
                </c:pt>
                <c:pt idx="51">
                  <c:v>0.65728701373671272</c:v>
                </c:pt>
                <c:pt idx="52">
                  <c:v>0.67561021287592393</c:v>
                </c:pt>
                <c:pt idx="53">
                  <c:v>0.63516891418229271</c:v>
                </c:pt>
                <c:pt idx="54">
                  <c:v>0.64988472531588348</c:v>
                </c:pt>
                <c:pt idx="55">
                  <c:v>0.64837309845633018</c:v>
                </c:pt>
                <c:pt idx="56">
                  <c:v>0.63982566444521904</c:v>
                </c:pt>
                <c:pt idx="57">
                  <c:v>0.66112167637738684</c:v>
                </c:pt>
                <c:pt idx="58">
                  <c:v>0.6769857131143947</c:v>
                </c:pt>
                <c:pt idx="59">
                  <c:v>0.67020475669124668</c:v>
                </c:pt>
                <c:pt idx="60">
                  <c:v>0.64512747212147503</c:v>
                </c:pt>
                <c:pt idx="61">
                  <c:v>0.6293032140684901</c:v>
                </c:pt>
                <c:pt idx="62">
                  <c:v>0.61811186219623016</c:v>
                </c:pt>
                <c:pt idx="63">
                  <c:v>0.64927481914536811</c:v>
                </c:pt>
                <c:pt idx="64">
                  <c:v>0.66612313120366984</c:v>
                </c:pt>
                <c:pt idx="65">
                  <c:v>0.67626123401006244</c:v>
                </c:pt>
                <c:pt idx="66">
                  <c:v>0.70647952014669757</c:v>
                </c:pt>
                <c:pt idx="67">
                  <c:v>0.71016430501156247</c:v>
                </c:pt>
                <c:pt idx="68">
                  <c:v>0.75270495166821361</c:v>
                </c:pt>
                <c:pt idx="69">
                  <c:v>0.72205604968236714</c:v>
                </c:pt>
                <c:pt idx="70">
                  <c:v>0.6837264189347364</c:v>
                </c:pt>
                <c:pt idx="71">
                  <c:v>0.68725972518897327</c:v>
                </c:pt>
                <c:pt idx="72">
                  <c:v>0.63412216718438952</c:v>
                </c:pt>
                <c:pt idx="73">
                  <c:v>0.60234773587543733</c:v>
                </c:pt>
                <c:pt idx="74">
                  <c:v>0.62528472796162293</c:v>
                </c:pt>
                <c:pt idx="75">
                  <c:v>0.62851082312435014</c:v>
                </c:pt>
                <c:pt idx="76">
                  <c:v>0.59914068900578887</c:v>
                </c:pt>
                <c:pt idx="77">
                  <c:v>0.60280501034410139</c:v>
                </c:pt>
                <c:pt idx="78">
                  <c:v>0.59396837647446155</c:v>
                </c:pt>
                <c:pt idx="79">
                  <c:v>0.5991131522740154</c:v>
                </c:pt>
                <c:pt idx="80">
                  <c:v>0.61018379877668805</c:v>
                </c:pt>
                <c:pt idx="81">
                  <c:v>0.60070964450949793</c:v>
                </c:pt>
                <c:pt idx="82">
                  <c:v>0.5639114924303068</c:v>
                </c:pt>
                <c:pt idx="83">
                  <c:v>0.54682358173030676</c:v>
                </c:pt>
                <c:pt idx="84">
                  <c:v>0.55950000312264048</c:v>
                </c:pt>
                <c:pt idx="85">
                  <c:v>0.53854992310721184</c:v>
                </c:pt>
                <c:pt idx="86">
                  <c:v>0.49372055247938162</c:v>
                </c:pt>
                <c:pt idx="87">
                  <c:v>0.47902655856192145</c:v>
                </c:pt>
                <c:pt idx="88">
                  <c:v>0.47460083230226463</c:v>
                </c:pt>
                <c:pt idx="89">
                  <c:v>0.45928997970226465</c:v>
                </c:pt>
                <c:pt idx="90">
                  <c:v>0.46348149583125725</c:v>
                </c:pt>
                <c:pt idx="91">
                  <c:v>0.46282362280517025</c:v>
                </c:pt>
                <c:pt idx="92">
                  <c:v>0.44696203382550925</c:v>
                </c:pt>
                <c:pt idx="93">
                  <c:v>0.45931456652629049</c:v>
                </c:pt>
                <c:pt idx="94">
                  <c:v>0.48278412619295719</c:v>
                </c:pt>
                <c:pt idx="95">
                  <c:v>0.46147018845151577</c:v>
                </c:pt>
                <c:pt idx="96">
                  <c:v>0.46335825423917004</c:v>
                </c:pt>
                <c:pt idx="97">
                  <c:v>0.48204556623874184</c:v>
                </c:pt>
                <c:pt idx="98">
                  <c:v>0.4754657527514593</c:v>
                </c:pt>
                <c:pt idx="99">
                  <c:v>0.47667407175917931</c:v>
                </c:pt>
                <c:pt idx="100">
                  <c:v>0.47130225486565713</c:v>
                </c:pt>
                <c:pt idx="101">
                  <c:v>0.46891306228646251</c:v>
                </c:pt>
                <c:pt idx="102">
                  <c:v>0.46601294584870318</c:v>
                </c:pt>
                <c:pt idx="103">
                  <c:v>0.46447674669340011</c:v>
                </c:pt>
                <c:pt idx="104">
                  <c:v>0.48012451859899891</c:v>
                </c:pt>
                <c:pt idx="105">
                  <c:v>0.47386133676587588</c:v>
                </c:pt>
                <c:pt idx="106">
                  <c:v>0.48250811684045219</c:v>
                </c:pt>
                <c:pt idx="107">
                  <c:v>0.48533092031713615</c:v>
                </c:pt>
                <c:pt idx="108">
                  <c:v>0.46312197473868177</c:v>
                </c:pt>
                <c:pt idx="109">
                  <c:v>0.47800897102387374</c:v>
                </c:pt>
                <c:pt idx="110">
                  <c:v>0.49314054161213006</c:v>
                </c:pt>
                <c:pt idx="111">
                  <c:v>0.49721288795059149</c:v>
                </c:pt>
                <c:pt idx="112">
                  <c:v>0.52841794801854514</c:v>
                </c:pt>
                <c:pt idx="113">
                  <c:v>0.49576664367568801</c:v>
                </c:pt>
                <c:pt idx="114">
                  <c:v>0.5217771812362143</c:v>
                </c:pt>
                <c:pt idx="115">
                  <c:v>0.52440665554699883</c:v>
                </c:pt>
                <c:pt idx="116">
                  <c:v>0.53954081524590003</c:v>
                </c:pt>
                <c:pt idx="117">
                  <c:v>0.55674122544097371</c:v>
                </c:pt>
                <c:pt idx="118">
                  <c:v>0.56576021012691335</c:v>
                </c:pt>
                <c:pt idx="119">
                  <c:v>0.53726097681545815</c:v>
                </c:pt>
                <c:pt idx="120">
                  <c:v>0.53649212819450787</c:v>
                </c:pt>
                <c:pt idx="121">
                  <c:v>0.5351755754352846</c:v>
                </c:pt>
                <c:pt idx="122">
                  <c:v>0.57825623105125101</c:v>
                </c:pt>
                <c:pt idx="123">
                  <c:v>0.62148832489515349</c:v>
                </c:pt>
                <c:pt idx="124">
                  <c:v>0.61817700341901138</c:v>
                </c:pt>
                <c:pt idx="125">
                  <c:v>0.65248772258254073</c:v>
                </c:pt>
                <c:pt idx="126">
                  <c:v>0.66024853134659944</c:v>
                </c:pt>
                <c:pt idx="127">
                  <c:v>0.65508184595569041</c:v>
                </c:pt>
                <c:pt idx="128">
                  <c:v>0.5342689935968219</c:v>
                </c:pt>
                <c:pt idx="129">
                  <c:v>0.5439334865808978</c:v>
                </c:pt>
                <c:pt idx="130">
                  <c:v>0.57656477762019087</c:v>
                </c:pt>
                <c:pt idx="131">
                  <c:v>0.60122208300602853</c:v>
                </c:pt>
                <c:pt idx="132">
                  <c:v>0.66000647829485437</c:v>
                </c:pt>
                <c:pt idx="133">
                  <c:v>0.56729839944855465</c:v>
                </c:pt>
                <c:pt idx="134">
                  <c:v>0.43799663135009581</c:v>
                </c:pt>
                <c:pt idx="135">
                  <c:v>0.37626582743131398</c:v>
                </c:pt>
                <c:pt idx="136">
                  <c:v>0.40800435956211806</c:v>
                </c:pt>
                <c:pt idx="137">
                  <c:v>0.43757058247614522</c:v>
                </c:pt>
                <c:pt idx="138">
                  <c:v>0.43828413231297109</c:v>
                </c:pt>
                <c:pt idx="139">
                  <c:v>0.34056752475562807</c:v>
                </c:pt>
                <c:pt idx="140">
                  <c:v>0.18284201269167977</c:v>
                </c:pt>
                <c:pt idx="141">
                  <c:v>0.17400853529952237</c:v>
                </c:pt>
                <c:pt idx="142">
                  <c:v>0.15749904944500523</c:v>
                </c:pt>
                <c:pt idx="143">
                  <c:v>0.18814109542542606</c:v>
                </c:pt>
                <c:pt idx="144">
                  <c:v>0.18466929344360786</c:v>
                </c:pt>
                <c:pt idx="145">
                  <c:v>0.16290002910673917</c:v>
                </c:pt>
                <c:pt idx="146">
                  <c:v>0.15923873435975128</c:v>
                </c:pt>
                <c:pt idx="147">
                  <c:v>0.21387456421800372</c:v>
                </c:pt>
                <c:pt idx="148">
                  <c:v>0.15648823805410686</c:v>
                </c:pt>
                <c:pt idx="149">
                  <c:v>0.14906090840667668</c:v>
                </c:pt>
                <c:pt idx="150">
                  <c:v>0.18747398411781718</c:v>
                </c:pt>
                <c:pt idx="151">
                  <c:v>0.24755167008984999</c:v>
                </c:pt>
                <c:pt idx="152">
                  <c:v>0.28614759088476277</c:v>
                </c:pt>
                <c:pt idx="153">
                  <c:v>0.25462810653492146</c:v>
                </c:pt>
                <c:pt idx="154">
                  <c:v>0.15185607909934623</c:v>
                </c:pt>
                <c:pt idx="155">
                  <c:v>0.24159655613501749</c:v>
                </c:pt>
                <c:pt idx="156">
                  <c:v>0.34566743273786821</c:v>
                </c:pt>
                <c:pt idx="157">
                  <c:v>0.27459768323030043</c:v>
                </c:pt>
                <c:pt idx="158">
                  <c:v>0.32249370507070402</c:v>
                </c:pt>
                <c:pt idx="159">
                  <c:v>0.33283457700028529</c:v>
                </c:pt>
                <c:pt idx="160">
                  <c:v>0.33909587574753158</c:v>
                </c:pt>
                <c:pt idx="161">
                  <c:v>0.25794173529103148</c:v>
                </c:pt>
                <c:pt idx="162">
                  <c:v>0.28536034272449112</c:v>
                </c:pt>
                <c:pt idx="163">
                  <c:v>0.18098568521670733</c:v>
                </c:pt>
                <c:pt idx="164">
                  <c:v>0.13744902286050734</c:v>
                </c:pt>
                <c:pt idx="165">
                  <c:v>0.15764797713276463</c:v>
                </c:pt>
                <c:pt idx="166">
                  <c:v>0.145059688280995</c:v>
                </c:pt>
                <c:pt idx="167">
                  <c:v>0.1384582522124507</c:v>
                </c:pt>
                <c:pt idx="168">
                  <c:v>0.1274189875131132</c:v>
                </c:pt>
                <c:pt idx="169">
                  <c:v>0.12593972637085146</c:v>
                </c:pt>
                <c:pt idx="170">
                  <c:v>0.13462741441794304</c:v>
                </c:pt>
                <c:pt idx="171">
                  <c:v>0.1368044674816451</c:v>
                </c:pt>
                <c:pt idx="172">
                  <c:v>0.12409515607192347</c:v>
                </c:pt>
                <c:pt idx="173">
                  <c:v>0.13268208988355665</c:v>
                </c:pt>
                <c:pt idx="174">
                  <c:v>0.11334712473513875</c:v>
                </c:pt>
                <c:pt idx="175">
                  <c:v>9.9990873048803067E-2</c:v>
                </c:pt>
                <c:pt idx="176">
                  <c:v>9.0225205516457282E-2</c:v>
                </c:pt>
                <c:pt idx="177">
                  <c:v>7.9286812810413484E-2</c:v>
                </c:pt>
                <c:pt idx="178">
                  <c:v>8.6625192917113555E-2</c:v>
                </c:pt>
                <c:pt idx="179">
                  <c:v>8.6674206214686092E-2</c:v>
                </c:pt>
                <c:pt idx="180">
                  <c:v>9.9265227041699822E-2</c:v>
                </c:pt>
                <c:pt idx="181">
                  <c:v>8.9287031208829012E-2</c:v>
                </c:pt>
                <c:pt idx="182">
                  <c:v>7.4211075847557983E-2</c:v>
                </c:pt>
                <c:pt idx="183">
                  <c:v>6.8454878713826661E-2</c:v>
                </c:pt>
                <c:pt idx="184">
                  <c:v>5.9628901054179277E-2</c:v>
                </c:pt>
                <c:pt idx="185">
                  <c:v>5.7078492943669526E-2</c:v>
                </c:pt>
                <c:pt idx="186">
                  <c:v>7.0821474878605586E-2</c:v>
                </c:pt>
                <c:pt idx="187">
                  <c:v>6.6735422124075988E-2</c:v>
                </c:pt>
                <c:pt idx="188">
                  <c:v>6.8726818348153085E-2</c:v>
                </c:pt>
                <c:pt idx="189">
                  <c:v>6.3668953898215183E-2</c:v>
                </c:pt>
                <c:pt idx="190">
                  <c:v>5.7966208587910489E-2</c:v>
                </c:pt>
                <c:pt idx="191">
                  <c:v>5.3104428119771313E-2</c:v>
                </c:pt>
                <c:pt idx="192">
                  <c:v>5.6236829610531662E-2</c:v>
                </c:pt>
                <c:pt idx="193">
                  <c:v>5.9527991153891777E-2</c:v>
                </c:pt>
                <c:pt idx="194">
                  <c:v>6.5365780698051795E-2</c:v>
                </c:pt>
                <c:pt idx="195">
                  <c:v>6.4596214030762072E-2</c:v>
                </c:pt>
                <c:pt idx="196">
                  <c:v>7.3055531444722863E-2</c:v>
                </c:pt>
                <c:pt idx="197">
                  <c:v>7.6731298849404578E-2</c:v>
                </c:pt>
                <c:pt idx="198">
                  <c:v>7.3384005866822005E-2</c:v>
                </c:pt>
                <c:pt idx="199">
                  <c:v>7.824662689577852E-2</c:v>
                </c:pt>
                <c:pt idx="200">
                  <c:v>8.0445455754884557E-2</c:v>
                </c:pt>
                <c:pt idx="201">
                  <c:v>7.5830889537583532E-2</c:v>
                </c:pt>
                <c:pt idx="202">
                  <c:v>8.0577858467267616E-2</c:v>
                </c:pt>
                <c:pt idx="203">
                  <c:v>7.4139149006308733E-2</c:v>
                </c:pt>
                <c:pt idx="204">
                  <c:v>8.2853619668183692E-2</c:v>
                </c:pt>
                <c:pt idx="205">
                  <c:v>0.10104336450990779</c:v>
                </c:pt>
                <c:pt idx="206">
                  <c:v>9.5434392597962339E-2</c:v>
                </c:pt>
                <c:pt idx="207">
                  <c:v>9.3522458846605122E-2</c:v>
                </c:pt>
                <c:pt idx="208">
                  <c:v>8.8848859916782638E-2</c:v>
                </c:pt>
                <c:pt idx="209">
                  <c:v>8.4561236122897926E-2</c:v>
                </c:pt>
                <c:pt idx="210">
                  <c:v>8.0847405672897915E-2</c:v>
                </c:pt>
                <c:pt idx="211">
                  <c:v>8.5614704734990527E-2</c:v>
                </c:pt>
                <c:pt idx="212">
                  <c:v>7.8606207958270821E-2</c:v>
                </c:pt>
                <c:pt idx="213">
                  <c:v>7.4072830491355018E-2</c:v>
                </c:pt>
                <c:pt idx="214">
                  <c:v>6.7723848499174399E-2</c:v>
                </c:pt>
                <c:pt idx="215">
                  <c:v>6.1402762993743254E-2</c:v>
                </c:pt>
                <c:pt idx="216">
                  <c:v>5.7894522823302083E-2</c:v>
                </c:pt>
                <c:pt idx="217">
                  <c:v>7.0973380102440906E-2</c:v>
                </c:pt>
                <c:pt idx="218">
                  <c:v>6.536359726102911E-2</c:v>
                </c:pt>
                <c:pt idx="219">
                  <c:v>5.5047237367495672E-2</c:v>
                </c:pt>
                <c:pt idx="220">
                  <c:v>5.4145281032247618E-2</c:v>
                </c:pt>
                <c:pt idx="221">
                  <c:v>7.4366337020690135E-2</c:v>
                </c:pt>
                <c:pt idx="222">
                  <c:v>6.7129258859964167E-2</c:v>
                </c:pt>
                <c:pt idx="223">
                  <c:v>7.1067092035956958E-2</c:v>
                </c:pt>
                <c:pt idx="224">
                  <c:v>7.9450014825775128E-2</c:v>
                </c:pt>
                <c:pt idx="225">
                  <c:v>7.6946507938292039E-2</c:v>
                </c:pt>
                <c:pt idx="226">
                  <c:v>8.7813125244072407E-2</c:v>
                </c:pt>
                <c:pt idx="227">
                  <c:v>9.9905273116479607E-2</c:v>
                </c:pt>
                <c:pt idx="228">
                  <c:v>9.2609122730563612E-2</c:v>
                </c:pt>
                <c:pt idx="229">
                  <c:v>7.8716627374750228E-2</c:v>
                </c:pt>
                <c:pt idx="230">
                  <c:v>7.3004871666761978E-2</c:v>
                </c:pt>
                <c:pt idx="231">
                  <c:v>8.5648372114864979E-2</c:v>
                </c:pt>
                <c:pt idx="232">
                  <c:v>9.7653362969951571E-2</c:v>
                </c:pt>
                <c:pt idx="233">
                  <c:v>8.1232875310826277E-2</c:v>
                </c:pt>
                <c:pt idx="234">
                  <c:v>8.2354265505276233E-2</c:v>
                </c:pt>
                <c:pt idx="235">
                  <c:v>0.10601142863044903</c:v>
                </c:pt>
                <c:pt idx="236">
                  <c:v>0.10867120708411937</c:v>
                </c:pt>
                <c:pt idx="237">
                  <c:v>0.1191936670331991</c:v>
                </c:pt>
                <c:pt idx="238">
                  <c:v>0.12785393312566412</c:v>
                </c:pt>
                <c:pt idx="239">
                  <c:v>0.11641803679351173</c:v>
                </c:pt>
                <c:pt idx="240">
                  <c:v>0.11037459865010801</c:v>
                </c:pt>
                <c:pt idx="241">
                  <c:v>0.11158030765139342</c:v>
                </c:pt>
                <c:pt idx="242">
                  <c:v>9.8631978101868273E-2</c:v>
                </c:pt>
                <c:pt idx="243">
                  <c:v>9.639487445363E-2</c:v>
                </c:pt>
                <c:pt idx="244">
                  <c:v>9.8606663924637031E-2</c:v>
                </c:pt>
                <c:pt idx="245">
                  <c:v>0.1125017230776542</c:v>
                </c:pt>
                <c:pt idx="246">
                  <c:v>0.12521660509665461</c:v>
                </c:pt>
                <c:pt idx="247">
                  <c:v>0.11025176230697806</c:v>
                </c:pt>
                <c:pt idx="248">
                  <c:v>9.5620416341376524E-2</c:v>
                </c:pt>
                <c:pt idx="249">
                  <c:v>6.9640756117929789E-2</c:v>
                </c:pt>
                <c:pt idx="250">
                  <c:v>7.3546697857032925E-2</c:v>
                </c:pt>
                <c:pt idx="251">
                  <c:v>9.3575352432452172E-2</c:v>
                </c:pt>
                <c:pt idx="252">
                  <c:v>0.10003779735369377</c:v>
                </c:pt>
                <c:pt idx="253">
                  <c:v>9.2692791942467961E-2</c:v>
                </c:pt>
                <c:pt idx="254">
                  <c:v>0.13130551166620205</c:v>
                </c:pt>
                <c:pt idx="255">
                  <c:v>0.10812499785304323</c:v>
                </c:pt>
                <c:pt idx="256">
                  <c:v>0.12618374257250006</c:v>
                </c:pt>
                <c:pt idx="257">
                  <c:v>0.11885226590722228</c:v>
                </c:pt>
                <c:pt idx="258">
                  <c:v>0.16186879463803447</c:v>
                </c:pt>
                <c:pt idx="259">
                  <c:v>0.14728222553873302</c:v>
                </c:pt>
                <c:pt idx="260">
                  <c:v>0.13125610318031597</c:v>
                </c:pt>
                <c:pt idx="261">
                  <c:v>0.17706801474736986</c:v>
                </c:pt>
                <c:pt idx="262">
                  <c:v>0.15554991088514764</c:v>
                </c:pt>
                <c:pt idx="263">
                  <c:v>0.16337441554275953</c:v>
                </c:pt>
                <c:pt idx="264">
                  <c:v>0.14503582923936001</c:v>
                </c:pt>
                <c:pt idx="265">
                  <c:v>0.14691942687609608</c:v>
                </c:pt>
                <c:pt idx="266">
                  <c:v>0.18218712473098242</c:v>
                </c:pt>
                <c:pt idx="267">
                  <c:v>0.15486872228400819</c:v>
                </c:pt>
                <c:pt idx="268">
                  <c:v>0.12595433197163494</c:v>
                </c:pt>
                <c:pt idx="269">
                  <c:v>0.16001952724531937</c:v>
                </c:pt>
                <c:pt idx="270">
                  <c:v>0.13016848107789478</c:v>
                </c:pt>
                <c:pt idx="271">
                  <c:v>0.13494495910494433</c:v>
                </c:pt>
                <c:pt idx="272">
                  <c:v>0.16933453852703631</c:v>
                </c:pt>
                <c:pt idx="273">
                  <c:v>0.13810097337718363</c:v>
                </c:pt>
                <c:pt idx="274">
                  <c:v>0.14198870317397355</c:v>
                </c:pt>
                <c:pt idx="275">
                  <c:v>0.12974415375080531</c:v>
                </c:pt>
                <c:pt idx="276">
                  <c:v>0.10727915981383138</c:v>
                </c:pt>
                <c:pt idx="277">
                  <c:v>7.7606779520680694E-2</c:v>
                </c:pt>
                <c:pt idx="278">
                  <c:v>8.1951163440571601E-2</c:v>
                </c:pt>
                <c:pt idx="279">
                  <c:v>9.6027230578398015E-2</c:v>
                </c:pt>
                <c:pt idx="280">
                  <c:v>9.1062321449766948E-2</c:v>
                </c:pt>
                <c:pt idx="281">
                  <c:v>0.11014389217361011</c:v>
                </c:pt>
                <c:pt idx="282">
                  <c:v>0.13649035305563137</c:v>
                </c:pt>
                <c:pt idx="283">
                  <c:v>0.13106515705226993</c:v>
                </c:pt>
                <c:pt idx="284">
                  <c:v>0.1554015512352204</c:v>
                </c:pt>
                <c:pt idx="285">
                  <c:v>0.14629737138394538</c:v>
                </c:pt>
                <c:pt idx="286">
                  <c:v>0.16465617797061285</c:v>
                </c:pt>
                <c:pt idx="287">
                  <c:v>0.16221911852604431</c:v>
                </c:pt>
                <c:pt idx="288">
                  <c:v>0.19279780571401528</c:v>
                </c:pt>
                <c:pt idx="289">
                  <c:v>0.14247307168237319</c:v>
                </c:pt>
                <c:pt idx="290">
                  <c:v>0.13567272951973827</c:v>
                </c:pt>
                <c:pt idx="291">
                  <c:v>0.12792408499871138</c:v>
                </c:pt>
                <c:pt idx="292">
                  <c:v>0.12827318247335651</c:v>
                </c:pt>
                <c:pt idx="293">
                  <c:v>0.14197877695921801</c:v>
                </c:pt>
                <c:pt idx="294">
                  <c:v>0.13920634020918357</c:v>
                </c:pt>
                <c:pt idx="295">
                  <c:v>0.13482031712140158</c:v>
                </c:pt>
                <c:pt idx="296">
                  <c:v>0.15521582240531026</c:v>
                </c:pt>
                <c:pt idx="297">
                  <c:v>0.16900897126411935</c:v>
                </c:pt>
                <c:pt idx="298">
                  <c:v>0.16051757831028166</c:v>
                </c:pt>
                <c:pt idx="299">
                  <c:v>0.15467431445850777</c:v>
                </c:pt>
                <c:pt idx="300">
                  <c:v>0.18919879770623144</c:v>
                </c:pt>
                <c:pt idx="301">
                  <c:v>0.18417734660159049</c:v>
                </c:pt>
                <c:pt idx="302">
                  <c:v>0.18949213979050719</c:v>
                </c:pt>
                <c:pt idx="303">
                  <c:v>0.1817540034548609</c:v>
                </c:pt>
                <c:pt idx="304">
                  <c:v>0.18482241585251005</c:v>
                </c:pt>
                <c:pt idx="305">
                  <c:v>0.18098699555895187</c:v>
                </c:pt>
                <c:pt idx="306">
                  <c:v>0.17496017872757197</c:v>
                </c:pt>
                <c:pt idx="307">
                  <c:v>0.17682801168423171</c:v>
                </c:pt>
                <c:pt idx="308">
                  <c:v>0.16421332048413464</c:v>
                </c:pt>
                <c:pt idx="309">
                  <c:v>0.16580920820243286</c:v>
                </c:pt>
                <c:pt idx="310">
                  <c:v>0.18327462153280943</c:v>
                </c:pt>
                <c:pt idx="311">
                  <c:v>0.19964692446788931</c:v>
                </c:pt>
                <c:pt idx="312">
                  <c:v>0.22159938102541393</c:v>
                </c:pt>
                <c:pt idx="313">
                  <c:v>0.23652444679510826</c:v>
                </c:pt>
                <c:pt idx="314">
                  <c:v>0.26165899790071845</c:v>
                </c:pt>
                <c:pt idx="315">
                  <c:v>0.23098107368054555</c:v>
                </c:pt>
                <c:pt idx="316">
                  <c:v>0.24096584312731745</c:v>
                </c:pt>
                <c:pt idx="317">
                  <c:v>0.23198370214034933</c:v>
                </c:pt>
                <c:pt idx="318">
                  <c:v>0.19571801229188396</c:v>
                </c:pt>
                <c:pt idx="319">
                  <c:v>0.19353335303211208</c:v>
                </c:pt>
                <c:pt idx="320">
                  <c:v>0.22189056840718063</c:v>
                </c:pt>
                <c:pt idx="321">
                  <c:v>0.20965836549353609</c:v>
                </c:pt>
                <c:pt idx="322">
                  <c:v>0.23024205099258996</c:v>
                </c:pt>
                <c:pt idx="323">
                  <c:v>0.22586668096950333</c:v>
                </c:pt>
                <c:pt idx="324">
                  <c:v>0.28898309307541131</c:v>
                </c:pt>
                <c:pt idx="325">
                  <c:v>0.19258276966072624</c:v>
                </c:pt>
                <c:pt idx="326">
                  <c:v>0.20015518525534515</c:v>
                </c:pt>
                <c:pt idx="327">
                  <c:v>0.19518148582584555</c:v>
                </c:pt>
                <c:pt idx="328">
                  <c:v>0.19078922509983107</c:v>
                </c:pt>
                <c:pt idx="329">
                  <c:v>0.19943452333090786</c:v>
                </c:pt>
                <c:pt idx="330">
                  <c:v>0.20941406188234551</c:v>
                </c:pt>
                <c:pt idx="331">
                  <c:v>0.22425857402027599</c:v>
                </c:pt>
                <c:pt idx="332">
                  <c:v>0.25519646355935521</c:v>
                </c:pt>
                <c:pt idx="333">
                  <c:v>0.23602679583493522</c:v>
                </c:pt>
                <c:pt idx="334">
                  <c:v>0.23669703491816785</c:v>
                </c:pt>
                <c:pt idx="335">
                  <c:v>0.24330334917163399</c:v>
                </c:pt>
                <c:pt idx="336">
                  <c:v>0.24814049751108655</c:v>
                </c:pt>
                <c:pt idx="337">
                  <c:v>0.27028371819548641</c:v>
                </c:pt>
                <c:pt idx="338">
                  <c:v>0.26125821773456165</c:v>
                </c:pt>
                <c:pt idx="339">
                  <c:v>0.26028283391878915</c:v>
                </c:pt>
                <c:pt idx="340">
                  <c:v>0.25332304472266848</c:v>
                </c:pt>
                <c:pt idx="341">
                  <c:v>0.25532092509120047</c:v>
                </c:pt>
                <c:pt idx="342">
                  <c:v>0.26400882991913144</c:v>
                </c:pt>
                <c:pt idx="343">
                  <c:v>0.27117231272107023</c:v>
                </c:pt>
                <c:pt idx="344">
                  <c:v>0.26650636050337773</c:v>
                </c:pt>
                <c:pt idx="345">
                  <c:v>0.27292783753332028</c:v>
                </c:pt>
                <c:pt idx="346">
                  <c:v>0.28377570645612454</c:v>
                </c:pt>
                <c:pt idx="347">
                  <c:v>0.29015533237807578</c:v>
                </c:pt>
                <c:pt idx="348">
                  <c:v>0.3123240802554722</c:v>
                </c:pt>
                <c:pt idx="349">
                  <c:v>0.328199759340498</c:v>
                </c:pt>
                <c:pt idx="350">
                  <c:v>0.33224041759357748</c:v>
                </c:pt>
                <c:pt idx="351">
                  <c:v>0.34456232862079805</c:v>
                </c:pt>
                <c:pt idx="352">
                  <c:v>0.28509275802075768</c:v>
                </c:pt>
                <c:pt idx="353">
                  <c:v>0.26887410505225268</c:v>
                </c:pt>
                <c:pt idx="354">
                  <c:v>0.25343221148545514</c:v>
                </c:pt>
                <c:pt idx="355">
                  <c:v>0.21535691703192206</c:v>
                </c:pt>
                <c:pt idx="356">
                  <c:v>0.20537597279948619</c:v>
                </c:pt>
                <c:pt idx="357">
                  <c:v>0.19036354341972658</c:v>
                </c:pt>
                <c:pt idx="358">
                  <c:v>0.18353305235661471</c:v>
                </c:pt>
                <c:pt idx="359">
                  <c:v>0.17231224632578779</c:v>
                </c:pt>
                <c:pt idx="360">
                  <c:v>0.16879782255760029</c:v>
                </c:pt>
                <c:pt idx="361">
                  <c:v>0.16511575278324953</c:v>
                </c:pt>
                <c:pt idx="362">
                  <c:v>0.16882666516334435</c:v>
                </c:pt>
                <c:pt idx="363">
                  <c:v>0.16763847299547405</c:v>
                </c:pt>
                <c:pt idx="364">
                  <c:v>0.17583191837873882</c:v>
                </c:pt>
                <c:pt idx="365">
                  <c:v>0.17375918006433605</c:v>
                </c:pt>
                <c:pt idx="366">
                  <c:v>0.17718675392412844</c:v>
                </c:pt>
                <c:pt idx="367">
                  <c:v>0.17522481609204923</c:v>
                </c:pt>
                <c:pt idx="368">
                  <c:v>0.1796837097678749</c:v>
                </c:pt>
                <c:pt idx="369">
                  <c:v>0.18352977610387486</c:v>
                </c:pt>
                <c:pt idx="370">
                  <c:v>0.18669842822447852</c:v>
                </c:pt>
                <c:pt idx="371">
                  <c:v>0.17546156936795085</c:v>
                </c:pt>
                <c:pt idx="372">
                  <c:v>0.18806419192663312</c:v>
                </c:pt>
                <c:pt idx="373">
                  <c:v>0.1832724281892131</c:v>
                </c:pt>
                <c:pt idx="374">
                  <c:v>0.19627186079662082</c:v>
                </c:pt>
                <c:pt idx="375">
                  <c:v>0.20678273457045873</c:v>
                </c:pt>
                <c:pt idx="376">
                  <c:v>0.21679314459983046</c:v>
                </c:pt>
                <c:pt idx="377">
                  <c:v>0.18962026428770926</c:v>
                </c:pt>
                <c:pt idx="378">
                  <c:v>0.18511292749643651</c:v>
                </c:pt>
                <c:pt idx="379">
                  <c:v>0.16998208643630996</c:v>
                </c:pt>
                <c:pt idx="380">
                  <c:v>0.15362740926968729</c:v>
                </c:pt>
                <c:pt idx="381">
                  <c:v>0.14006634268475507</c:v>
                </c:pt>
                <c:pt idx="382">
                  <c:v>0.13647496033513004</c:v>
                </c:pt>
                <c:pt idx="383">
                  <c:v>0.144284116491155</c:v>
                </c:pt>
                <c:pt idx="384">
                  <c:v>0.11640160278058927</c:v>
                </c:pt>
                <c:pt idx="385">
                  <c:v>9.2420079149010334E-2</c:v>
                </c:pt>
                <c:pt idx="386">
                  <c:v>9.3845890562462828E-2</c:v>
                </c:pt>
                <c:pt idx="387">
                  <c:v>9.2308895856685336E-2</c:v>
                </c:pt>
                <c:pt idx="388">
                  <c:v>7.4003118428401155E-2</c:v>
                </c:pt>
                <c:pt idx="389">
                  <c:v>7.108106166082595E-2</c:v>
                </c:pt>
                <c:pt idx="390">
                  <c:v>7.7477376776793089E-2</c:v>
                </c:pt>
                <c:pt idx="391">
                  <c:v>8.3775204876426076E-2</c:v>
                </c:pt>
                <c:pt idx="392">
                  <c:v>6.4666949583336505E-2</c:v>
                </c:pt>
                <c:pt idx="393">
                  <c:v>5.9827463874389024E-2</c:v>
                </c:pt>
                <c:pt idx="394">
                  <c:v>5.7361830506262285E-2</c:v>
                </c:pt>
                <c:pt idx="395">
                  <c:v>5.7015825638883209E-2</c:v>
                </c:pt>
                <c:pt idx="396">
                  <c:v>5.7154877095481775E-2</c:v>
                </c:pt>
                <c:pt idx="397">
                  <c:v>5.9817897393022061E-2</c:v>
                </c:pt>
                <c:pt idx="398">
                  <c:v>6.0201857169767815E-2</c:v>
                </c:pt>
                <c:pt idx="399">
                  <c:v>6.2202732667699552E-2</c:v>
                </c:pt>
                <c:pt idx="400">
                  <c:v>5.3863906360272946E-2</c:v>
                </c:pt>
                <c:pt idx="401">
                  <c:v>7.0642691578712988E-2</c:v>
                </c:pt>
                <c:pt idx="402">
                  <c:v>6.8367064856209483E-2</c:v>
                </c:pt>
                <c:pt idx="403">
                  <c:v>7.034220250201384E-2</c:v>
                </c:pt>
                <c:pt idx="404">
                  <c:v>7.3435677550328468E-2</c:v>
                </c:pt>
                <c:pt idx="405">
                  <c:v>7.4665097302487202E-2</c:v>
                </c:pt>
                <c:pt idx="406">
                  <c:v>7.0782111745258086E-2</c:v>
                </c:pt>
                <c:pt idx="407">
                  <c:v>7.5167553030612108E-2</c:v>
                </c:pt>
                <c:pt idx="408">
                  <c:v>7.09613718535958E-2</c:v>
                </c:pt>
                <c:pt idx="409">
                  <c:v>7.0985527207840793E-2</c:v>
                </c:pt>
                <c:pt idx="410">
                  <c:v>8.0635041182683553E-2</c:v>
                </c:pt>
                <c:pt idx="411">
                  <c:v>8.1374493784219765E-2</c:v>
                </c:pt>
                <c:pt idx="412">
                  <c:v>8.1865346227666141E-2</c:v>
                </c:pt>
                <c:pt idx="413">
                  <c:v>7.7963730140051313E-2</c:v>
                </c:pt>
                <c:pt idx="414">
                  <c:v>8.2648945188486658E-2</c:v>
                </c:pt>
                <c:pt idx="415">
                  <c:v>7.5917540425928146E-2</c:v>
                </c:pt>
                <c:pt idx="416">
                  <c:v>8.3426768148006911E-2</c:v>
                </c:pt>
                <c:pt idx="417">
                  <c:v>8.4774985863510774E-2</c:v>
                </c:pt>
                <c:pt idx="418">
                  <c:v>8.4414629468583247E-2</c:v>
                </c:pt>
                <c:pt idx="419">
                  <c:v>8.3979335854169682E-2</c:v>
                </c:pt>
                <c:pt idx="420">
                  <c:v>8.659412756035377E-2</c:v>
                </c:pt>
                <c:pt idx="421">
                  <c:v>8.6387182096102549E-2</c:v>
                </c:pt>
                <c:pt idx="422">
                  <c:v>8.5423258458650356E-2</c:v>
                </c:pt>
                <c:pt idx="423">
                  <c:v>8.735042848961258E-2</c:v>
                </c:pt>
                <c:pt idx="424">
                  <c:v>8.8203651957626056E-2</c:v>
                </c:pt>
                <c:pt idx="425">
                  <c:v>8.7205345326588649E-2</c:v>
                </c:pt>
                <c:pt idx="426">
                  <c:v>8.6300503134246698E-2</c:v>
                </c:pt>
                <c:pt idx="427">
                  <c:v>8.6160160976591682E-2</c:v>
                </c:pt>
                <c:pt idx="428">
                  <c:v>8.965536381619614E-2</c:v>
                </c:pt>
                <c:pt idx="429">
                  <c:v>9.2845802700558602E-2</c:v>
                </c:pt>
                <c:pt idx="430">
                  <c:v>8.6969569588688428E-2</c:v>
                </c:pt>
                <c:pt idx="431">
                  <c:v>8.6366174135039525E-2</c:v>
                </c:pt>
                <c:pt idx="432">
                  <c:v>8.6234475735667712E-2</c:v>
                </c:pt>
                <c:pt idx="433">
                  <c:v>8.2488851698777677E-2</c:v>
                </c:pt>
                <c:pt idx="434">
                  <c:v>8.5928661987432167E-2</c:v>
                </c:pt>
                <c:pt idx="435">
                  <c:v>8.7407446074881406E-2</c:v>
                </c:pt>
                <c:pt idx="436">
                  <c:v>8.6338364006372598E-2</c:v>
                </c:pt>
                <c:pt idx="437">
                  <c:v>8.534550191306102E-2</c:v>
                </c:pt>
                <c:pt idx="438">
                  <c:v>8.3092074652787035E-2</c:v>
                </c:pt>
                <c:pt idx="439">
                  <c:v>8.2353260759528604E-2</c:v>
                </c:pt>
                <c:pt idx="440">
                  <c:v>8.40983189540776E-2</c:v>
                </c:pt>
                <c:pt idx="441">
                  <c:v>7.9273104564537858E-2</c:v>
                </c:pt>
                <c:pt idx="442">
                  <c:v>7.9784200663494093E-2</c:v>
                </c:pt>
                <c:pt idx="443">
                  <c:v>8.3154290382605217E-2</c:v>
                </c:pt>
                <c:pt idx="444">
                  <c:v>8.0498345055555393E-2</c:v>
                </c:pt>
                <c:pt idx="445">
                  <c:v>8.0051934085483445E-2</c:v>
                </c:pt>
                <c:pt idx="446">
                  <c:v>8.1468261099088876E-2</c:v>
                </c:pt>
                <c:pt idx="447">
                  <c:v>8.8502242653758473E-2</c:v>
                </c:pt>
                <c:pt idx="448">
                  <c:v>8.3349203144945108E-2</c:v>
                </c:pt>
                <c:pt idx="449">
                  <c:v>7.8653453463622791E-2</c:v>
                </c:pt>
                <c:pt idx="450">
                  <c:v>7.9054050737871265E-2</c:v>
                </c:pt>
                <c:pt idx="451">
                  <c:v>8.2937578590102867E-2</c:v>
                </c:pt>
                <c:pt idx="452">
                  <c:v>8.6102289777935576E-2</c:v>
                </c:pt>
                <c:pt idx="453">
                  <c:v>8.4343333616923852E-2</c:v>
                </c:pt>
                <c:pt idx="454">
                  <c:v>8.5491733417845522E-2</c:v>
                </c:pt>
                <c:pt idx="455">
                  <c:v>8.3958438049624676E-2</c:v>
                </c:pt>
                <c:pt idx="456">
                  <c:v>8.7144461734471546E-2</c:v>
                </c:pt>
                <c:pt idx="457">
                  <c:v>8.7011444060397486E-2</c:v>
                </c:pt>
                <c:pt idx="458">
                  <c:v>8.8318034753745611E-2</c:v>
                </c:pt>
                <c:pt idx="459">
                  <c:v>9.1206766410053444E-2</c:v>
                </c:pt>
                <c:pt idx="460">
                  <c:v>9.1987166771783452E-2</c:v>
                </c:pt>
                <c:pt idx="461">
                  <c:v>9.33440745575492E-2</c:v>
                </c:pt>
                <c:pt idx="462">
                  <c:v>9.4350707032250736E-2</c:v>
                </c:pt>
                <c:pt idx="463">
                  <c:v>9.1112748930266704E-2</c:v>
                </c:pt>
                <c:pt idx="464">
                  <c:v>9.0884865887464639E-2</c:v>
                </c:pt>
                <c:pt idx="465">
                  <c:v>9.3479145771622293E-2</c:v>
                </c:pt>
                <c:pt idx="466">
                  <c:v>9.4496157355925273E-2</c:v>
                </c:pt>
                <c:pt idx="467">
                  <c:v>9.5102776094561636E-2</c:v>
                </c:pt>
                <c:pt idx="468">
                  <c:v>9.2844650517182145E-2</c:v>
                </c:pt>
                <c:pt idx="469">
                  <c:v>9.1837819506428692E-2</c:v>
                </c:pt>
                <c:pt idx="470">
                  <c:v>9.152034160002559E-2</c:v>
                </c:pt>
                <c:pt idx="471">
                  <c:v>9.345285337796333E-2</c:v>
                </c:pt>
                <c:pt idx="472">
                  <c:v>9.0984783171510403E-2</c:v>
                </c:pt>
                <c:pt idx="473">
                  <c:v>9.025762731175431E-2</c:v>
                </c:pt>
                <c:pt idx="474">
                  <c:v>8.8415260373713944E-2</c:v>
                </c:pt>
                <c:pt idx="475">
                  <c:v>9.5231079437235508E-2</c:v>
                </c:pt>
                <c:pt idx="476">
                  <c:v>9.1171972086679723E-2</c:v>
                </c:pt>
                <c:pt idx="477">
                  <c:v>8.34406178305033E-2</c:v>
                </c:pt>
                <c:pt idx="478">
                  <c:v>7.9628209202673092E-2</c:v>
                </c:pt>
                <c:pt idx="479">
                  <c:v>8.7692687547153078E-2</c:v>
                </c:pt>
                <c:pt idx="480">
                  <c:v>8.6418889157631448E-2</c:v>
                </c:pt>
                <c:pt idx="481">
                  <c:v>8.6039969532793775E-2</c:v>
                </c:pt>
                <c:pt idx="482">
                  <c:v>8.6591615874241981E-2</c:v>
                </c:pt>
                <c:pt idx="483">
                  <c:v>8.7536526109495985E-2</c:v>
                </c:pt>
                <c:pt idx="484">
                  <c:v>9.4522154940503728E-2</c:v>
                </c:pt>
                <c:pt idx="485">
                  <c:v>8.8969950931399672E-2</c:v>
                </c:pt>
                <c:pt idx="486">
                  <c:v>8.8063748788447055E-2</c:v>
                </c:pt>
                <c:pt idx="487">
                  <c:v>9.8576170907154106E-2</c:v>
                </c:pt>
                <c:pt idx="488">
                  <c:v>8.6789752653016292E-2</c:v>
                </c:pt>
                <c:pt idx="489">
                  <c:v>9.0836912598348571E-2</c:v>
                </c:pt>
                <c:pt idx="490">
                  <c:v>8.1240854525434669E-2</c:v>
                </c:pt>
                <c:pt idx="491">
                  <c:v>3.3746663342307977E-2</c:v>
                </c:pt>
                <c:pt idx="492">
                  <c:v>0.14256721199996103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6C-4656-B888-C4B5F9D72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329935"/>
        <c:axId val="635329519"/>
      </c:lineChart>
      <c:dateAx>
        <c:axId val="6353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329519"/>
        <c:crosses val="autoZero"/>
        <c:auto val="1"/>
        <c:lblOffset val="100"/>
        <c:baseTimeUnit val="days"/>
      </c:dateAx>
      <c:valAx>
        <c:axId val="63532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32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964EA21-A138-4672-8DD3-A75CBC7FC6D8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024D75-D016-4FDA-8B1A-3826D57F30F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147</v>
      </c>
      <c r="D2" s="4">
        <f>MIN(D3:D1912)</f>
        <v>0.85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65.87</v>
      </c>
      <c r="C5">
        <v>66.7</v>
      </c>
      <c r="D5">
        <v>63.75</v>
      </c>
      <c r="E5">
        <v>63.92</v>
      </c>
      <c r="F5">
        <v>163227.87</v>
      </c>
      <c r="G5">
        <v>63.92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-0.88474576271186334</v>
      </c>
      <c r="Q5">
        <f t="shared" ref="Q5" si="1">F5*P5</f>
        <v>-144415.16633898288</v>
      </c>
      <c r="R5">
        <f t="shared" ref="R5" si="2">R6+Q5</f>
        <v>62562754.220515966</v>
      </c>
      <c r="S5">
        <f t="shared" ref="S5" si="3">R5/100000</f>
        <v>625.62754220515967</v>
      </c>
      <c r="T5">
        <f t="shared" ref="T5" si="4">S5/1000</f>
        <v>0.6256275422051597</v>
      </c>
    </row>
    <row r="6" spans="1:20" x14ac:dyDescent="0.25">
      <c r="A6" s="5">
        <v>44587</v>
      </c>
      <c r="B6">
        <v>68.010000000000005</v>
      </c>
      <c r="C6">
        <v>73.5</v>
      </c>
      <c r="D6">
        <v>64.39</v>
      </c>
      <c r="E6">
        <v>65.87</v>
      </c>
      <c r="F6">
        <v>3400732.97</v>
      </c>
      <c r="G6">
        <v>65.87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-0.67508232711306171</v>
      </c>
      <c r="Q6">
        <f t="shared" ref="Q6" si="6">F6*P6</f>
        <v>-2295774.7272777138</v>
      </c>
      <c r="R6">
        <f t="shared" ref="R6" si="7">R7+Q6</f>
        <v>62707169.386854947</v>
      </c>
      <c r="S6">
        <f t="shared" ref="S6" si="8">R6/100000</f>
        <v>627.07169386854946</v>
      </c>
      <c r="T6">
        <f t="shared" ref="T6" si="9">S6/1000</f>
        <v>0.62707169386854944</v>
      </c>
    </row>
    <row r="7" spans="1:20" x14ac:dyDescent="0.25">
      <c r="A7" s="5">
        <v>44586</v>
      </c>
      <c r="B7">
        <v>63</v>
      </c>
      <c r="C7">
        <v>70.53</v>
      </c>
      <c r="D7">
        <v>61.65</v>
      </c>
      <c r="E7">
        <v>68.010000000000005</v>
      </c>
      <c r="F7">
        <v>2702688.81</v>
      </c>
      <c r="G7">
        <v>68.010000000000005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0.43243243243243351</v>
      </c>
      <c r="Q7">
        <f t="shared" ref="Q7" si="11">F7*P7</f>
        <v>1168730.2962162192</v>
      </c>
      <c r="R7">
        <f t="shared" ref="R7" si="12">R8+Q7</f>
        <v>65002944.114132658</v>
      </c>
      <c r="S7">
        <f t="shared" ref="S7" si="13">R7/100000</f>
        <v>650.02944114132663</v>
      </c>
      <c r="T7">
        <f t="shared" ref="T7" si="14">S7/1000</f>
        <v>0.65002944114132666</v>
      </c>
    </row>
    <row r="8" spans="1:20" x14ac:dyDescent="0.25">
      <c r="A8" s="5">
        <v>44585</v>
      </c>
      <c r="B8">
        <v>64.8</v>
      </c>
      <c r="C8">
        <v>64.83</v>
      </c>
      <c r="D8">
        <v>55.14</v>
      </c>
      <c r="E8">
        <v>63.06</v>
      </c>
      <c r="F8">
        <v>3701249.83</v>
      </c>
      <c r="G8">
        <v>63.06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0.63467492260061997</v>
      </c>
      <c r="Q8">
        <f t="shared" ref="Q8" si="16">F8*P8</f>
        <v>2349090.449380808</v>
      </c>
      <c r="R8">
        <f t="shared" ref="R8" si="17">R9+Q8</f>
        <v>63834213.817916438</v>
      </c>
      <c r="S8">
        <f t="shared" ref="S8" si="18">R8/100000</f>
        <v>638.34213817916441</v>
      </c>
      <c r="T8">
        <f t="shared" ref="T8" si="19">S8/1000</f>
        <v>0.63834213817916441</v>
      </c>
    </row>
    <row r="9" spans="1:20" x14ac:dyDescent="0.25">
      <c r="A9" s="5">
        <v>44584</v>
      </c>
      <c r="B9">
        <v>59.81</v>
      </c>
      <c r="C9">
        <v>66.88</v>
      </c>
      <c r="D9">
        <v>59.02</v>
      </c>
      <c r="E9">
        <v>64.83</v>
      </c>
      <c r="F9">
        <v>2926022.98</v>
      </c>
      <c r="G9">
        <v>64.83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0.47837150127226485</v>
      </c>
      <c r="Q9">
        <f t="shared" ref="Q9" si="21">F9*P9</f>
        <v>1399726.0056997461</v>
      </c>
      <c r="R9">
        <f t="shared" ref="R9" si="22">R10+Q9</f>
        <v>61485123.36853563</v>
      </c>
      <c r="S9">
        <f t="shared" ref="S9" si="23">R9/100000</f>
        <v>614.85123368535631</v>
      </c>
      <c r="T9">
        <f t="shared" ref="T9" si="24">S9/1000</f>
        <v>0.61485123368535632</v>
      </c>
    </row>
    <row r="10" spans="1:20" x14ac:dyDescent="0.25">
      <c r="A10" s="5">
        <v>44583</v>
      </c>
      <c r="B10">
        <v>66.03</v>
      </c>
      <c r="C10">
        <v>67.540000000000006</v>
      </c>
      <c r="D10">
        <v>52.95</v>
      </c>
      <c r="E10">
        <v>59.78</v>
      </c>
      <c r="F10">
        <v>5109157.9400000004</v>
      </c>
      <c r="G10">
        <v>59.78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-6.3742289239205385E-2</v>
      </c>
      <c r="Q10">
        <f t="shared" ref="Q10" si="26">F10*P10</f>
        <v>-325669.42318026279</v>
      </c>
      <c r="R10">
        <f t="shared" ref="R10" si="27">R11+Q10</f>
        <v>60085397.362835884</v>
      </c>
      <c r="S10">
        <f t="shared" ref="S10" si="28">R10/100000</f>
        <v>600.85397362835886</v>
      </c>
      <c r="T10">
        <f t="shared" ref="T10" si="29">S10/1000</f>
        <v>0.60085397362835891</v>
      </c>
    </row>
    <row r="11" spans="1:20" x14ac:dyDescent="0.25">
      <c r="A11" s="5">
        <v>44582</v>
      </c>
      <c r="B11">
        <v>79.319999999999993</v>
      </c>
      <c r="C11">
        <v>80.38</v>
      </c>
      <c r="D11">
        <v>63.93</v>
      </c>
      <c r="E11">
        <v>66.06</v>
      </c>
      <c r="F11">
        <v>3392205.59</v>
      </c>
      <c r="G11">
        <v>66.06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-0.74103343465045557</v>
      </c>
      <c r="Q11">
        <f t="shared" ref="Q11" si="31">F11*P11</f>
        <v>-2513737.7593981749</v>
      </c>
      <c r="R11">
        <f t="shared" ref="R11" si="32">R12+Q11</f>
        <v>60411066.786016144</v>
      </c>
      <c r="S11">
        <f t="shared" ref="S11" si="33">R11/100000</f>
        <v>604.11066786016147</v>
      </c>
      <c r="T11">
        <f t="shared" ref="T11" si="34">S11/1000</f>
        <v>0.60411066786016143</v>
      </c>
    </row>
    <row r="12" spans="1:20" x14ac:dyDescent="0.25">
      <c r="A12" s="5">
        <v>44581</v>
      </c>
      <c r="B12">
        <v>82.58</v>
      </c>
      <c r="C12">
        <v>87.8</v>
      </c>
      <c r="D12">
        <v>78.680000000000007</v>
      </c>
      <c r="E12">
        <v>79.33</v>
      </c>
      <c r="F12">
        <v>1225812.76</v>
      </c>
      <c r="G12">
        <v>79.33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-0.85745614035087891</v>
      </c>
      <c r="Q12">
        <f t="shared" ref="Q12" si="36">F12*P12</f>
        <v>-1051080.6779824581</v>
      </c>
      <c r="R12">
        <f t="shared" ref="R12" si="37">R13+Q12</f>
        <v>62924804.545414321</v>
      </c>
      <c r="S12">
        <f t="shared" ref="S12" si="38">R12/100000</f>
        <v>629.24804545414327</v>
      </c>
      <c r="T12">
        <f t="shared" ref="T12" si="39">S12/1000</f>
        <v>0.62924804545414326</v>
      </c>
    </row>
    <row r="13" spans="1:20" x14ac:dyDescent="0.25">
      <c r="A13" s="5">
        <v>44580</v>
      </c>
      <c r="B13">
        <v>86.03</v>
      </c>
      <c r="C13">
        <v>86.38</v>
      </c>
      <c r="D13">
        <v>81.08</v>
      </c>
      <c r="E13">
        <v>82.61</v>
      </c>
      <c r="F13">
        <v>1139560.79</v>
      </c>
      <c r="G13">
        <v>82.61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-0.4226415094339615</v>
      </c>
      <c r="Q13">
        <f t="shared" ref="Q13" si="41">F13*P13</f>
        <v>-481625.69237735763</v>
      </c>
      <c r="R13">
        <f t="shared" ref="R13" si="42">R14+Q13</f>
        <v>63975885.223396778</v>
      </c>
      <c r="S13">
        <f t="shared" ref="S13" si="43">R13/100000</f>
        <v>639.75885223396779</v>
      </c>
      <c r="T13">
        <f t="shared" ref="T13" si="44">S13/1000</f>
        <v>0.63975885223396778</v>
      </c>
    </row>
    <row r="14" spans="1:20" x14ac:dyDescent="0.25">
      <c r="A14" s="5">
        <v>44579</v>
      </c>
      <c r="B14">
        <v>86.67</v>
      </c>
      <c r="C14">
        <v>87.41</v>
      </c>
      <c r="D14">
        <v>83.7</v>
      </c>
      <c r="E14">
        <v>86.01</v>
      </c>
      <c r="F14">
        <v>1041512.63</v>
      </c>
      <c r="G14">
        <v>86.01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0.24528301886792786</v>
      </c>
      <c r="Q14">
        <f t="shared" ref="Q14" si="46">F14*P14</f>
        <v>255465.36207547516</v>
      </c>
      <c r="R14">
        <f t="shared" ref="R14" si="47">R15+Q14</f>
        <v>64457510.915774137</v>
      </c>
      <c r="S14">
        <f t="shared" ref="S14" si="48">R14/100000</f>
        <v>644.57510915774139</v>
      </c>
      <c r="T14">
        <f t="shared" ref="T14" si="49">S14/1000</f>
        <v>0.64457510915774141</v>
      </c>
    </row>
    <row r="15" spans="1:20" x14ac:dyDescent="0.25">
      <c r="A15" s="5">
        <v>44578</v>
      </c>
      <c r="B15">
        <v>92.25</v>
      </c>
      <c r="C15">
        <v>92.5</v>
      </c>
      <c r="D15">
        <v>85.34</v>
      </c>
      <c r="E15">
        <v>86.67</v>
      </c>
      <c r="F15">
        <v>1328305</v>
      </c>
      <c r="G15">
        <v>86.67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-0.6284916201117321</v>
      </c>
      <c r="Q15">
        <f t="shared" ref="Q15" si="51">F15*P15</f>
        <v>-834828.56145251426</v>
      </c>
      <c r="R15">
        <f t="shared" ref="R15" si="52">R16+Q15</f>
        <v>64202045.553698659</v>
      </c>
      <c r="S15">
        <f t="shared" ref="S15" si="53">R15/100000</f>
        <v>642.02045553698656</v>
      </c>
      <c r="T15">
        <f t="shared" ref="T15" si="54">S15/1000</f>
        <v>0.64202045553698661</v>
      </c>
    </row>
    <row r="16" spans="1:20" x14ac:dyDescent="0.25">
      <c r="A16" s="5">
        <v>44577</v>
      </c>
      <c r="B16">
        <v>92.98</v>
      </c>
      <c r="C16">
        <v>94.9</v>
      </c>
      <c r="D16">
        <v>91.8</v>
      </c>
      <c r="E16">
        <v>92.24</v>
      </c>
      <c r="F16">
        <v>967418.87</v>
      </c>
      <c r="G16">
        <v>92.24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-0.71612903225806679</v>
      </c>
      <c r="Q16">
        <f t="shared" ref="Q16" si="56">F16*P16</f>
        <v>-692796.73916129256</v>
      </c>
      <c r="R16">
        <f t="shared" ref="R16" si="57">R17+Q16</f>
        <v>65036874.115151174</v>
      </c>
      <c r="S16">
        <f t="shared" ref="S16" si="58">R16/100000</f>
        <v>650.3687411515117</v>
      </c>
      <c r="T16">
        <f t="shared" ref="T16" si="59">S16/1000</f>
        <v>0.65036874115151166</v>
      </c>
    </row>
    <row r="17" spans="1:20" x14ac:dyDescent="0.25">
      <c r="A17" s="5">
        <v>44576</v>
      </c>
      <c r="B17">
        <v>90.4</v>
      </c>
      <c r="C17">
        <v>94.44</v>
      </c>
      <c r="D17">
        <v>89.47</v>
      </c>
      <c r="E17">
        <v>92.98</v>
      </c>
      <c r="F17">
        <v>914689.68</v>
      </c>
      <c r="G17">
        <v>92.98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0.41247484909456977</v>
      </c>
      <c r="Q17">
        <f t="shared" ref="Q17" si="61">F17*P17</f>
        <v>377286.48772636033</v>
      </c>
      <c r="R17">
        <f t="shared" ref="R17" si="62">R18+Q17</f>
        <v>65729670.854312465</v>
      </c>
      <c r="S17">
        <f t="shared" ref="S17" si="63">R17/100000</f>
        <v>657.29670854312462</v>
      </c>
      <c r="T17">
        <f t="shared" ref="T17" si="64">S17/1000</f>
        <v>0.65729670854312461</v>
      </c>
    </row>
    <row r="18" spans="1:20" x14ac:dyDescent="0.25">
      <c r="A18" s="5">
        <v>44575</v>
      </c>
      <c r="B18">
        <v>89.65</v>
      </c>
      <c r="C18">
        <v>91.77</v>
      </c>
      <c r="D18">
        <v>87.23</v>
      </c>
      <c r="E18">
        <v>90.39</v>
      </c>
      <c r="F18">
        <v>1200068.6000000001</v>
      </c>
      <c r="G18">
        <v>90.39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0.39207048458149873</v>
      </c>
      <c r="Q18">
        <f t="shared" ref="Q18" si="66">F18*P18</f>
        <v>470511.4775330408</v>
      </c>
      <c r="R18">
        <f t="shared" ref="R18" si="67">R19+Q18</f>
        <v>65352384.366586104</v>
      </c>
      <c r="S18">
        <f t="shared" ref="S18" si="68">R18/100000</f>
        <v>653.52384366586102</v>
      </c>
      <c r="T18">
        <f t="shared" ref="T18" si="69">S18/1000</f>
        <v>0.65352384366586103</v>
      </c>
    </row>
    <row r="19" spans="1:20" x14ac:dyDescent="0.25">
      <c r="A19" s="5">
        <v>44574</v>
      </c>
      <c r="B19">
        <v>95.95</v>
      </c>
      <c r="C19">
        <v>97.26</v>
      </c>
      <c r="D19">
        <v>89.08</v>
      </c>
      <c r="E19">
        <v>89.65</v>
      </c>
      <c r="F19">
        <v>1429888.43</v>
      </c>
      <c r="G19">
        <v>89.65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-0.8606356968215142</v>
      </c>
      <c r="Q19">
        <f t="shared" ref="Q19" si="71">F19*P19</f>
        <v>-1230613.0253300709</v>
      </c>
      <c r="R19">
        <f t="shared" ref="R19" si="72">R20+Q19</f>
        <v>64881872.889053062</v>
      </c>
      <c r="S19">
        <f t="shared" ref="S19" si="73">R19/100000</f>
        <v>648.81872889053056</v>
      </c>
      <c r="T19">
        <f t="shared" ref="T19" si="74">S19/1000</f>
        <v>0.6488187288905306</v>
      </c>
    </row>
    <row r="20" spans="1:20" x14ac:dyDescent="0.25">
      <c r="A20" s="5">
        <v>44573</v>
      </c>
      <c r="B20">
        <v>89.57</v>
      </c>
      <c r="C20">
        <v>96.89</v>
      </c>
      <c r="D20">
        <v>88.8</v>
      </c>
      <c r="E20">
        <v>95.94</v>
      </c>
      <c r="F20">
        <v>1757081.56</v>
      </c>
      <c r="G20">
        <v>95.94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0.76514215080346049</v>
      </c>
      <c r="Q20">
        <f t="shared" ref="Q20" si="76">F20*P20</f>
        <v>1344417.1639554997</v>
      </c>
      <c r="R20">
        <f t="shared" ref="R20" si="77">R21+Q20</f>
        <v>66112485.914383136</v>
      </c>
      <c r="S20">
        <f t="shared" ref="S20" si="78">R20/100000</f>
        <v>661.12485914383137</v>
      </c>
      <c r="T20">
        <f t="shared" ref="T20" si="79">S20/1000</f>
        <v>0.66112485914383134</v>
      </c>
    </row>
    <row r="21" spans="1:20" x14ac:dyDescent="0.25">
      <c r="A21" s="5">
        <v>44572</v>
      </c>
      <c r="B21">
        <v>84.42</v>
      </c>
      <c r="C21">
        <v>91</v>
      </c>
      <c r="D21">
        <v>83.21</v>
      </c>
      <c r="E21">
        <v>89.59</v>
      </c>
      <c r="F21">
        <v>1431317.89</v>
      </c>
      <c r="G21">
        <v>89.59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0.63799743260590613</v>
      </c>
      <c r="Q21">
        <f t="shared" ref="Q21" si="81">F21*P21</f>
        <v>913177.13906290266</v>
      </c>
      <c r="R21">
        <f t="shared" ref="R21" si="82">R22+Q21</f>
        <v>64768068.750427634</v>
      </c>
      <c r="S21">
        <f t="shared" ref="S21" si="83">R21/100000</f>
        <v>647.68068750427631</v>
      </c>
      <c r="T21">
        <f t="shared" ref="T21" si="84">S21/1000</f>
        <v>0.64768068750427632</v>
      </c>
    </row>
    <row r="22" spans="1:20" x14ac:dyDescent="0.25">
      <c r="A22" s="5">
        <v>44571</v>
      </c>
      <c r="B22">
        <v>89.32</v>
      </c>
      <c r="C22">
        <v>92.4</v>
      </c>
      <c r="D22">
        <v>80.099999999999994</v>
      </c>
      <c r="E22">
        <v>84.36</v>
      </c>
      <c r="F22">
        <v>2836094.17</v>
      </c>
      <c r="G22">
        <v>84.36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-0.30731707317073154</v>
      </c>
      <c r="Q22">
        <f t="shared" ref="Q22" si="86">F22*P22</f>
        <v>-871580.15956097515</v>
      </c>
      <c r="R22">
        <f t="shared" ref="R22" si="87">R23+Q22</f>
        <v>63854891.61136473</v>
      </c>
      <c r="S22">
        <f t="shared" ref="S22" si="88">R22/100000</f>
        <v>638.54891611364735</v>
      </c>
      <c r="T22">
        <f t="shared" ref="T22" si="89">S22/1000</f>
        <v>0.63854891611364739</v>
      </c>
    </row>
    <row r="23" spans="1:20" x14ac:dyDescent="0.25">
      <c r="A23" s="5">
        <v>44570</v>
      </c>
      <c r="B23">
        <v>83.87</v>
      </c>
      <c r="C23">
        <v>91.88</v>
      </c>
      <c r="D23">
        <v>82.46</v>
      </c>
      <c r="E23">
        <v>89.33</v>
      </c>
      <c r="F23">
        <v>1808479.57</v>
      </c>
      <c r="G23">
        <v>89.33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0.45859872611465036</v>
      </c>
      <c r="Q23">
        <f t="shared" ref="Q23" si="91">F23*P23</f>
        <v>829366.42700637062</v>
      </c>
      <c r="R23">
        <f t="shared" ref="R23" si="92">R24+Q23</f>
        <v>64726471.770925708</v>
      </c>
      <c r="S23">
        <f t="shared" ref="S23" si="93">R23/100000</f>
        <v>647.26471770925707</v>
      </c>
      <c r="T23">
        <f t="shared" ref="T23" si="94">S23/1000</f>
        <v>0.64726471770925709</v>
      </c>
    </row>
    <row r="24" spans="1:20" x14ac:dyDescent="0.25">
      <c r="A24" s="5">
        <v>44569</v>
      </c>
      <c r="B24">
        <v>86.74</v>
      </c>
      <c r="C24">
        <v>89.64</v>
      </c>
      <c r="D24">
        <v>79.180000000000007</v>
      </c>
      <c r="E24">
        <v>83.9</v>
      </c>
      <c r="F24">
        <v>2469062.48</v>
      </c>
      <c r="G24">
        <v>83.9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-9.7514340344167935E-2</v>
      </c>
      <c r="Q24">
        <f t="shared" ref="Q24" si="96">F24*P24</f>
        <v>-240768.99900573533</v>
      </c>
      <c r="R24">
        <f t="shared" ref="R24" si="97">R25+Q24</f>
        <v>63897105.343919337</v>
      </c>
      <c r="S24">
        <f t="shared" ref="S24" si="98">R24/100000</f>
        <v>638.97105343919338</v>
      </c>
      <c r="T24">
        <f t="shared" ref="T24" si="99">S24/1000</f>
        <v>0.63897105343919336</v>
      </c>
    </row>
    <row r="25" spans="1:20" x14ac:dyDescent="0.25">
      <c r="A25" s="5">
        <v>44568</v>
      </c>
      <c r="B25">
        <v>95.1</v>
      </c>
      <c r="C25">
        <v>95.54</v>
      </c>
      <c r="D25">
        <v>85</v>
      </c>
      <c r="E25">
        <v>86.74</v>
      </c>
      <c r="F25">
        <v>2602084.56</v>
      </c>
      <c r="G25">
        <v>86.74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-0.66982922201138639</v>
      </c>
      <c r="Q25">
        <f t="shared" ref="Q25" si="101">F25*P25</f>
        <v>-1742952.2764326406</v>
      </c>
      <c r="R25">
        <f t="shared" ref="R25" si="102">R26+Q25</f>
        <v>64137874.342925072</v>
      </c>
      <c r="S25">
        <f t="shared" ref="S25" si="103">R25/100000</f>
        <v>641.37874342925068</v>
      </c>
      <c r="T25">
        <f t="shared" ref="T25" si="104">S25/1000</f>
        <v>0.64137874342925072</v>
      </c>
    </row>
    <row r="26" spans="1:20" x14ac:dyDescent="0.25">
      <c r="A26" s="5">
        <v>44567</v>
      </c>
      <c r="B26">
        <v>97.42</v>
      </c>
      <c r="C26">
        <v>97.97</v>
      </c>
      <c r="D26">
        <v>91.04</v>
      </c>
      <c r="E26">
        <v>95.11</v>
      </c>
      <c r="F26">
        <v>1633034.05</v>
      </c>
      <c r="G26">
        <v>95.11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0.1746031746031739</v>
      </c>
      <c r="Q26">
        <f t="shared" ref="Q26" si="106">F26*P26</f>
        <v>285132.92936507822</v>
      </c>
      <c r="R26">
        <f t="shared" ref="R26" si="107">R27+Q26</f>
        <v>65880826.619357713</v>
      </c>
      <c r="S26">
        <f t="shared" ref="S26" si="108">R26/100000</f>
        <v>658.80826619357708</v>
      </c>
      <c r="T26">
        <f t="shared" ref="T26" si="109">S26/1000</f>
        <v>0.65880826619357713</v>
      </c>
    </row>
    <row r="27" spans="1:20" x14ac:dyDescent="0.25">
      <c r="A27" s="5">
        <v>44566</v>
      </c>
      <c r="B27">
        <v>103.33</v>
      </c>
      <c r="C27">
        <v>106.66</v>
      </c>
      <c r="D27">
        <v>90.4</v>
      </c>
      <c r="E27">
        <v>97.42</v>
      </c>
      <c r="F27">
        <v>2277529.75</v>
      </c>
      <c r="G27">
        <v>97.42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-0.13653136531365315</v>
      </c>
      <c r="Q27">
        <f t="shared" ref="Q27" si="111">F27*P27</f>
        <v>-310954.24630996311</v>
      </c>
      <c r="R27">
        <f t="shared" ref="R27" si="112">R28+Q27</f>
        <v>65595693.689992636</v>
      </c>
      <c r="S27">
        <f t="shared" ref="S27" si="113">R27/100000</f>
        <v>655.9569368999264</v>
      </c>
      <c r="T27">
        <f t="shared" ref="T27" si="114">S27/1000</f>
        <v>0.6559569368999264</v>
      </c>
    </row>
    <row r="28" spans="1:20" x14ac:dyDescent="0.25">
      <c r="A28" s="5">
        <v>44565</v>
      </c>
      <c r="B28">
        <v>108.11</v>
      </c>
      <c r="C28">
        <v>109.28</v>
      </c>
      <c r="D28">
        <v>102.78</v>
      </c>
      <c r="E28">
        <v>103.33</v>
      </c>
      <c r="F28">
        <v>1646729.79</v>
      </c>
      <c r="G28">
        <v>103.33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-0.83076923076923159</v>
      </c>
      <c r="Q28">
        <f t="shared" ref="Q28" si="116">F28*P28</f>
        <v>-1368052.4409230782</v>
      </c>
      <c r="R28">
        <f t="shared" ref="R28" si="117">R29+Q28</f>
        <v>65906647.936302602</v>
      </c>
      <c r="S28">
        <f t="shared" ref="S28" si="118">R28/100000</f>
        <v>659.06647936302602</v>
      </c>
      <c r="T28">
        <f t="shared" ref="T28" si="119">S28/1000</f>
        <v>0.65906647936302598</v>
      </c>
    </row>
    <row r="29" spans="1:20" x14ac:dyDescent="0.25">
      <c r="A29" s="5">
        <v>44564</v>
      </c>
      <c r="B29">
        <v>113.02</v>
      </c>
      <c r="C29">
        <v>114.13</v>
      </c>
      <c r="D29">
        <v>106.01</v>
      </c>
      <c r="E29">
        <v>108.11</v>
      </c>
      <c r="F29">
        <v>1518111.91</v>
      </c>
      <c r="G29">
        <v>108.11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-0.48275862068965597</v>
      </c>
      <c r="Q29">
        <f t="shared" ref="Q29" si="121">F29*P29</f>
        <v>-732881.61172413907</v>
      </c>
      <c r="R29">
        <f t="shared" ref="R29" si="122">R30+Q29</f>
        <v>67274700.377225682</v>
      </c>
      <c r="S29">
        <f t="shared" ref="S29" si="123">R29/100000</f>
        <v>672.74700377225679</v>
      </c>
      <c r="T29">
        <f t="shared" ref="T29" si="124">S29/1000</f>
        <v>0.67274700377225682</v>
      </c>
    </row>
    <row r="30" spans="1:20" x14ac:dyDescent="0.25">
      <c r="A30" s="5">
        <v>44563</v>
      </c>
      <c r="B30">
        <v>114.12</v>
      </c>
      <c r="C30">
        <v>117.53</v>
      </c>
      <c r="D30">
        <v>112</v>
      </c>
      <c r="E30">
        <v>113.03</v>
      </c>
      <c r="F30">
        <v>1157325.57</v>
      </c>
      <c r="G30">
        <v>113.03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-0.62748643761301959</v>
      </c>
      <c r="Q30">
        <f t="shared" ref="Q30" si="126">F30*P30</f>
        <v>-726206.09907775733</v>
      </c>
      <c r="R30">
        <f t="shared" ref="R30" si="127">R31+Q30</f>
        <v>68007581.98894982</v>
      </c>
      <c r="S30">
        <f t="shared" ref="S30" si="128">R30/100000</f>
        <v>680.07581988949823</v>
      </c>
      <c r="T30">
        <f t="shared" ref="T30" si="129">S30/1000</f>
        <v>0.68007581988949828</v>
      </c>
    </row>
    <row r="31" spans="1:20" x14ac:dyDescent="0.25">
      <c r="A31" s="5">
        <v>44562</v>
      </c>
      <c r="B31">
        <v>109.43</v>
      </c>
      <c r="C31">
        <v>114.5</v>
      </c>
      <c r="D31">
        <v>108.42</v>
      </c>
      <c r="E31">
        <v>114.13</v>
      </c>
      <c r="F31">
        <v>1211127.98</v>
      </c>
      <c r="G31">
        <v>114.13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0.87828947368420895</v>
      </c>
      <c r="Q31">
        <f t="shared" ref="Q31" si="131">F31*P31</f>
        <v>1063720.9561184191</v>
      </c>
      <c r="R31">
        <f t="shared" ref="R31" si="132">R32+Q31</f>
        <v>68733788.088027582</v>
      </c>
      <c r="S31">
        <f t="shared" ref="S31" si="133">R31/100000</f>
        <v>687.33788088027586</v>
      </c>
      <c r="T31">
        <f t="shared" ref="T31" si="134">S31/1000</f>
        <v>0.68733788088027581</v>
      </c>
    </row>
    <row r="32" spans="1:20" x14ac:dyDescent="0.25">
      <c r="A32" s="5">
        <v>44561</v>
      </c>
      <c r="B32">
        <v>101.75</v>
      </c>
      <c r="C32">
        <v>111.99</v>
      </c>
      <c r="D32">
        <v>100.13</v>
      </c>
      <c r="E32">
        <v>109.43</v>
      </c>
      <c r="F32">
        <v>2472910.64</v>
      </c>
      <c r="G32">
        <v>109.43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0.56829679595278448</v>
      </c>
      <c r="Q32">
        <f t="shared" ref="Q32" si="136">F32*P32</f>
        <v>1405347.1933895499</v>
      </c>
      <c r="R32">
        <f t="shared" ref="R32" si="137">R33+Q32</f>
        <v>67670067.131909162</v>
      </c>
      <c r="S32">
        <f t="shared" ref="S32" si="138">R32/100000</f>
        <v>676.70067131909161</v>
      </c>
      <c r="T32">
        <f t="shared" ref="T32" si="139">S32/1000</f>
        <v>0.67670067131909162</v>
      </c>
    </row>
    <row r="33" spans="1:20" x14ac:dyDescent="0.25">
      <c r="A33" s="5">
        <v>44560</v>
      </c>
      <c r="B33">
        <v>103.1</v>
      </c>
      <c r="C33">
        <v>105.4</v>
      </c>
      <c r="D33">
        <v>98.25</v>
      </c>
      <c r="E33">
        <v>101.75</v>
      </c>
      <c r="F33">
        <v>1935135.51</v>
      </c>
      <c r="G33">
        <v>101.75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-2.0979020979021757E-2</v>
      </c>
      <c r="Q33">
        <f t="shared" ref="Q33" si="141">F33*P33</f>
        <v>-40597.248461539966</v>
      </c>
      <c r="R33">
        <f t="shared" ref="R33" si="142">R34+Q33</f>
        <v>66264719.938519619</v>
      </c>
      <c r="S33">
        <f t="shared" ref="S33" si="143">R33/100000</f>
        <v>662.64719938519625</v>
      </c>
      <c r="T33">
        <f t="shared" ref="T33" si="144">S33/1000</f>
        <v>0.66264719938519623</v>
      </c>
    </row>
    <row r="34" spans="1:20" x14ac:dyDescent="0.25">
      <c r="A34" s="5">
        <v>44559</v>
      </c>
      <c r="B34">
        <v>107.05</v>
      </c>
      <c r="C34">
        <v>110.55</v>
      </c>
      <c r="D34">
        <v>102.3</v>
      </c>
      <c r="E34">
        <v>103.1</v>
      </c>
      <c r="F34">
        <v>1941041.1</v>
      </c>
      <c r="G34">
        <v>103.1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-0.8060606060606067</v>
      </c>
      <c r="Q34">
        <f t="shared" ref="Q34" si="146">F34*P34</f>
        <v>-1564596.7654545468</v>
      </c>
      <c r="R34">
        <f t="shared" ref="R34" si="147">R35+Q34</f>
        <v>66305317.186981156</v>
      </c>
      <c r="S34">
        <f t="shared" ref="S34" si="148">R34/100000</f>
        <v>663.05317186981154</v>
      </c>
      <c r="T34">
        <f t="shared" ref="T34" si="149">S34/1000</f>
        <v>0.6630531718698115</v>
      </c>
    </row>
    <row r="35" spans="1:20" x14ac:dyDescent="0.25">
      <c r="A35" s="5">
        <v>44558</v>
      </c>
      <c r="B35">
        <v>113.85</v>
      </c>
      <c r="C35">
        <v>116.73</v>
      </c>
      <c r="D35">
        <v>104.33</v>
      </c>
      <c r="E35">
        <v>107.06</v>
      </c>
      <c r="F35">
        <v>2819996.86</v>
      </c>
      <c r="G35">
        <v>107.06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-0.55967741935483828</v>
      </c>
      <c r="Q35">
        <f t="shared" ref="Q35" si="151">F35*P35</f>
        <v>-1578288.5651935472</v>
      </c>
      <c r="R35">
        <f t="shared" ref="R35" si="152">R36+Q35</f>
        <v>67869913.952435702</v>
      </c>
      <c r="S35">
        <f t="shared" ref="S35" si="153">R35/100000</f>
        <v>678.69913952435707</v>
      </c>
      <c r="T35">
        <f t="shared" ref="T35" si="154">S35/1000</f>
        <v>0.67869913952435712</v>
      </c>
    </row>
    <row r="36" spans="1:20" x14ac:dyDescent="0.25">
      <c r="A36" s="5">
        <v>44557</v>
      </c>
      <c r="B36">
        <v>115.06</v>
      </c>
      <c r="C36">
        <v>120.96</v>
      </c>
      <c r="D36">
        <v>113.23</v>
      </c>
      <c r="E36">
        <v>113.85</v>
      </c>
      <c r="F36">
        <v>1738166.79</v>
      </c>
      <c r="G36">
        <v>113.85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-0.83958602846054564</v>
      </c>
      <c r="Q36">
        <f t="shared" ref="Q36" si="156">F36*P36</f>
        <v>-1459340.5520181153</v>
      </c>
      <c r="R36">
        <f t="shared" ref="R36" si="157">R37+Q36</f>
        <v>69448202.517629251</v>
      </c>
      <c r="S36">
        <f t="shared" ref="S36" si="158">R36/100000</f>
        <v>694.4820251762925</v>
      </c>
      <c r="T36">
        <f t="shared" ref="T36" si="159">S36/1000</f>
        <v>0.69448202517629254</v>
      </c>
    </row>
    <row r="37" spans="1:20" x14ac:dyDescent="0.25">
      <c r="A37" s="5">
        <v>44556</v>
      </c>
      <c r="B37">
        <v>114.99</v>
      </c>
      <c r="C37">
        <v>118</v>
      </c>
      <c r="D37">
        <v>109.28</v>
      </c>
      <c r="E37">
        <v>115.02</v>
      </c>
      <c r="F37">
        <v>1883628.3</v>
      </c>
      <c r="G37">
        <v>115.02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0.3165137614678889</v>
      </c>
      <c r="Q37">
        <f t="shared" ref="Q37" si="161">F37*P37</f>
        <v>596194.2784403651</v>
      </c>
      <c r="R37">
        <f t="shared" ref="R37" si="162">R38+Q37</f>
        <v>70907543.069647372</v>
      </c>
      <c r="S37">
        <f t="shared" ref="S37" si="163">R37/100000</f>
        <v>709.07543069647375</v>
      </c>
      <c r="T37">
        <f t="shared" ref="T37" si="164">S37/1000</f>
        <v>0.70907543069647372</v>
      </c>
    </row>
    <row r="38" spans="1:20" x14ac:dyDescent="0.25">
      <c r="A38" s="5">
        <v>44555</v>
      </c>
      <c r="B38">
        <v>114.95</v>
      </c>
      <c r="C38">
        <v>116.93</v>
      </c>
      <c r="D38">
        <v>112</v>
      </c>
      <c r="E38">
        <v>115.01</v>
      </c>
      <c r="F38">
        <v>1699906.82</v>
      </c>
      <c r="G38">
        <v>115.01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0.22109533468559878</v>
      </c>
      <c r="Q38">
        <f t="shared" ref="Q38" si="166">F38*P38</f>
        <v>375841.46730223193</v>
      </c>
      <c r="R38">
        <f t="shared" ref="R38" si="167">R39+Q38</f>
        <v>70311348.791207001</v>
      </c>
      <c r="S38">
        <f t="shared" ref="S38" si="168">R38/100000</f>
        <v>703.11348791207001</v>
      </c>
      <c r="T38">
        <f t="shared" ref="T38" si="169">S38/1000</f>
        <v>0.70311348791207007</v>
      </c>
    </row>
    <row r="39" spans="1:20" x14ac:dyDescent="0.25">
      <c r="A39" s="5">
        <v>44554</v>
      </c>
      <c r="B39">
        <v>121.45</v>
      </c>
      <c r="C39">
        <v>124.57</v>
      </c>
      <c r="D39">
        <v>113.19</v>
      </c>
      <c r="E39">
        <v>114.94</v>
      </c>
      <c r="F39">
        <v>2103167.7400000002</v>
      </c>
      <c r="G39">
        <v>114.94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-0.69244288224956052</v>
      </c>
      <c r="Q39">
        <f t="shared" ref="Q39" si="171">F39*P39</f>
        <v>-1456323.5317398945</v>
      </c>
      <c r="R39">
        <f t="shared" ref="R39" si="172">R40+Q39</f>
        <v>69935507.323904768</v>
      </c>
      <c r="S39">
        <f t="shared" ref="S39" si="173">R39/100000</f>
        <v>699.35507323904767</v>
      </c>
      <c r="T39">
        <f t="shared" ref="T39" si="174">S39/1000</f>
        <v>0.69935507323904766</v>
      </c>
    </row>
    <row r="40" spans="1:20" x14ac:dyDescent="0.25">
      <c r="A40" s="5">
        <v>44553</v>
      </c>
      <c r="B40">
        <v>116.68</v>
      </c>
      <c r="C40">
        <v>125.06</v>
      </c>
      <c r="D40">
        <v>116.22</v>
      </c>
      <c r="E40">
        <v>121.4</v>
      </c>
      <c r="F40">
        <v>2526919.7000000002</v>
      </c>
      <c r="G40">
        <v>121.4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0.17194570135746715</v>
      </c>
      <c r="Q40">
        <f t="shared" ref="Q40" si="176">F40*P40</f>
        <v>434492.9800905005</v>
      </c>
      <c r="R40">
        <f t="shared" ref="R40" si="177">R41+Q40</f>
        <v>71391830.855644658</v>
      </c>
      <c r="S40">
        <f t="shared" ref="S40" si="178">R40/100000</f>
        <v>713.91830855644662</v>
      </c>
      <c r="T40">
        <f t="shared" ref="T40" si="179">S40/1000</f>
        <v>0.71391830855644667</v>
      </c>
    </row>
    <row r="41" spans="1:20" x14ac:dyDescent="0.25">
      <c r="A41" s="5">
        <v>44552</v>
      </c>
      <c r="B41">
        <v>123.23</v>
      </c>
      <c r="C41">
        <v>127.32</v>
      </c>
      <c r="D41">
        <v>115.55</v>
      </c>
      <c r="E41">
        <v>116.69</v>
      </c>
      <c r="F41">
        <v>2949493.16</v>
      </c>
      <c r="G41">
        <v>116.69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-0.80628717077315193</v>
      </c>
      <c r="Q41">
        <f t="shared" ref="Q41" si="181">F41*P41</f>
        <v>-2378138.4951911638</v>
      </c>
      <c r="R41">
        <f t="shared" ref="R41" si="182">R42+Q41</f>
        <v>70957337.875554159</v>
      </c>
      <c r="S41">
        <f t="shared" ref="S41" si="183">R41/100000</f>
        <v>709.57337875554163</v>
      </c>
      <c r="T41">
        <f t="shared" ref="T41" si="184">S41/1000</f>
        <v>0.70957337875554161</v>
      </c>
    </row>
    <row r="42" spans="1:20" x14ac:dyDescent="0.25">
      <c r="A42" s="5">
        <v>44551</v>
      </c>
      <c r="B42">
        <v>113.52</v>
      </c>
      <c r="C42">
        <v>123.97</v>
      </c>
      <c r="D42">
        <v>110.59</v>
      </c>
      <c r="E42">
        <v>123.24</v>
      </c>
      <c r="F42">
        <v>3711910.2</v>
      </c>
      <c r="G42">
        <v>123.24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0.89088191330343736</v>
      </c>
      <c r="Q42">
        <f t="shared" ref="Q42" si="186">F42*P42</f>
        <v>3306873.660986545</v>
      </c>
      <c r="R42">
        <f t="shared" ref="R42" si="187">R43+Q42</f>
        <v>73335476.370745316</v>
      </c>
      <c r="S42">
        <f t="shared" ref="S42" si="188">R42/100000</f>
        <v>733.35476370745312</v>
      </c>
      <c r="T42">
        <f t="shared" ref="T42" si="189">S42/1000</f>
        <v>0.73335476370745312</v>
      </c>
    </row>
    <row r="43" spans="1:20" x14ac:dyDescent="0.25">
      <c r="A43" s="5">
        <v>44550</v>
      </c>
      <c r="B43">
        <v>107.61</v>
      </c>
      <c r="C43">
        <v>116.33</v>
      </c>
      <c r="D43">
        <v>100.96</v>
      </c>
      <c r="E43">
        <v>113.55</v>
      </c>
      <c r="F43">
        <v>4463038.26</v>
      </c>
      <c r="G43">
        <v>113.55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0.63825634352634997</v>
      </c>
      <c r="Q43">
        <f t="shared" ref="Q43" si="191">F43*P43</f>
        <v>2848562.4808458029</v>
      </c>
      <c r="R43">
        <f t="shared" ref="R43" si="192">R44+Q43</f>
        <v>70028602.709758773</v>
      </c>
      <c r="S43">
        <f t="shared" ref="S43" si="193">R43/100000</f>
        <v>700.28602709758775</v>
      </c>
      <c r="T43">
        <f t="shared" ref="T43" si="194">S43/1000</f>
        <v>0.70028602709758769</v>
      </c>
    </row>
    <row r="44" spans="1:20" x14ac:dyDescent="0.25">
      <c r="A44" s="5">
        <v>44549</v>
      </c>
      <c r="B44">
        <v>115.91</v>
      </c>
      <c r="C44">
        <v>116.69</v>
      </c>
      <c r="D44">
        <v>106.66</v>
      </c>
      <c r="E44">
        <v>107.61</v>
      </c>
      <c r="F44">
        <v>2140304.15</v>
      </c>
      <c r="G44">
        <v>107.61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-0.81056829511465545</v>
      </c>
      <c r="Q44">
        <f t="shared" ref="Q44" si="196">F44*P44</f>
        <v>-1734862.6858923216</v>
      </c>
      <c r="R44">
        <f t="shared" ref="R44" si="197">R45+Q44</f>
        <v>67180040.228912964</v>
      </c>
      <c r="S44">
        <f t="shared" ref="S44" si="198">R44/100000</f>
        <v>671.80040228912969</v>
      </c>
      <c r="T44">
        <f t="shared" ref="T44" si="199">S44/1000</f>
        <v>0.67180040228912974</v>
      </c>
    </row>
    <row r="45" spans="1:20" x14ac:dyDescent="0.25">
      <c r="A45" s="5">
        <v>44548</v>
      </c>
      <c r="B45">
        <v>110.82</v>
      </c>
      <c r="C45">
        <v>117.39</v>
      </c>
      <c r="D45">
        <v>105.51</v>
      </c>
      <c r="E45">
        <v>115.9</v>
      </c>
      <c r="F45">
        <v>3442233.16</v>
      </c>
      <c r="G45">
        <v>115.9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0.74915824915824991</v>
      </c>
      <c r="Q45">
        <f t="shared" ref="Q45" si="201">F45*P45</f>
        <v>2578777.3673400702</v>
      </c>
      <c r="R45">
        <f t="shared" ref="R45" si="202">R46+Q45</f>
        <v>68914902.914805293</v>
      </c>
      <c r="S45">
        <f t="shared" ref="S45" si="203">R45/100000</f>
        <v>689.14902914805293</v>
      </c>
      <c r="T45">
        <f t="shared" ref="T45" si="204">S45/1000</f>
        <v>0.68914902914805298</v>
      </c>
    </row>
    <row r="46" spans="1:20" x14ac:dyDescent="0.25">
      <c r="A46" s="5">
        <v>44547</v>
      </c>
      <c r="B46">
        <v>98.23</v>
      </c>
      <c r="C46">
        <v>116.1</v>
      </c>
      <c r="D46">
        <v>98.14</v>
      </c>
      <c r="E46">
        <v>110.81</v>
      </c>
      <c r="F46">
        <v>6159186.2599999998</v>
      </c>
      <c r="G46">
        <v>110.81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0.4109131403118047</v>
      </c>
      <c r="Q46">
        <f t="shared" ref="Q46" si="206">F46*P46</f>
        <v>2530890.5678619198</v>
      </c>
      <c r="R46">
        <f t="shared" ref="R46" si="207">R47+Q46</f>
        <v>66336125.54746522</v>
      </c>
      <c r="S46">
        <f t="shared" ref="S46" si="208">R46/100000</f>
        <v>663.36125547465224</v>
      </c>
      <c r="T46">
        <f t="shared" ref="T46" si="209">S46/1000</f>
        <v>0.66336125547465219</v>
      </c>
    </row>
    <row r="47" spans="1:20" x14ac:dyDescent="0.25">
      <c r="A47" s="5">
        <v>44546</v>
      </c>
      <c r="B47">
        <v>101.28</v>
      </c>
      <c r="C47">
        <v>110</v>
      </c>
      <c r="D47">
        <v>98</v>
      </c>
      <c r="E47">
        <v>98.21</v>
      </c>
      <c r="F47">
        <v>4989316.0199999996</v>
      </c>
      <c r="G47">
        <v>98.21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-0.96500000000000108</v>
      </c>
      <c r="Q47">
        <f t="shared" ref="Q47" si="211">F47*P47</f>
        <v>-4814689.9593000049</v>
      </c>
      <c r="R47">
        <f t="shared" ref="R47" si="212">R48+Q47</f>
        <v>63805234.979603298</v>
      </c>
      <c r="S47">
        <f t="shared" ref="S47" si="213">R47/100000</f>
        <v>638.05234979603301</v>
      </c>
      <c r="T47">
        <f t="shared" ref="T47" si="214">S47/1000</f>
        <v>0.63805234979603298</v>
      </c>
    </row>
    <row r="48" spans="1:20" x14ac:dyDescent="0.25">
      <c r="A48" s="5">
        <v>44545</v>
      </c>
      <c r="B48">
        <v>87.16</v>
      </c>
      <c r="C48">
        <v>105.77</v>
      </c>
      <c r="D48">
        <v>86.1</v>
      </c>
      <c r="E48">
        <v>101.24</v>
      </c>
      <c r="F48">
        <v>6449158.0199999996</v>
      </c>
      <c r="G48">
        <v>101.24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0.53940010167768171</v>
      </c>
      <c r="Q48">
        <f t="shared" ref="Q48" si="216">F48*P48</f>
        <v>3478676.4917234364</v>
      </c>
      <c r="R48">
        <f t="shared" ref="R48" si="217">R49+Q48</f>
        <v>68619924.938903302</v>
      </c>
      <c r="S48">
        <f t="shared" ref="S48" si="218">R48/100000</f>
        <v>686.19924938903307</v>
      </c>
      <c r="T48">
        <f t="shared" ref="T48" si="219">S48/1000</f>
        <v>0.68619924938903309</v>
      </c>
    </row>
    <row r="49" spans="1:20" x14ac:dyDescent="0.25">
      <c r="A49" s="5">
        <v>44544</v>
      </c>
      <c r="B49">
        <v>79.05</v>
      </c>
      <c r="C49">
        <v>87.46</v>
      </c>
      <c r="D49">
        <v>76.31</v>
      </c>
      <c r="E49">
        <v>87.17</v>
      </c>
      <c r="F49">
        <v>2973253.39</v>
      </c>
      <c r="G49">
        <v>87.17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0.94798206278027042</v>
      </c>
      <c r="Q49">
        <f t="shared" ref="Q49" si="221">F49*P49</f>
        <v>2818590.8818206321</v>
      </c>
      <c r="R49">
        <f t="shared" ref="R49" si="222">R50+Q49</f>
        <v>65141248.447179861</v>
      </c>
      <c r="S49">
        <f t="shared" ref="S49" si="223">R49/100000</f>
        <v>651.41248447179862</v>
      </c>
      <c r="T49">
        <f t="shared" ref="T49" si="224">S49/1000</f>
        <v>0.65141248447179867</v>
      </c>
    </row>
    <row r="50" spans="1:20" x14ac:dyDescent="0.25">
      <c r="A50" s="5">
        <v>44543</v>
      </c>
      <c r="B50">
        <v>88.01</v>
      </c>
      <c r="C50">
        <v>89.92</v>
      </c>
      <c r="D50">
        <v>75.5</v>
      </c>
      <c r="E50">
        <v>79.05</v>
      </c>
      <c r="F50">
        <v>3604282.51</v>
      </c>
      <c r="G50">
        <v>79.05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-0.50762829403606147</v>
      </c>
      <c r="Q50">
        <f t="shared" ref="Q50" si="226">F50*P50</f>
        <v>-1829635.7817753134</v>
      </c>
      <c r="R50">
        <f t="shared" ref="R50" si="227">R51+Q50</f>
        <v>62322657.565359227</v>
      </c>
      <c r="S50">
        <f t="shared" ref="S50" si="228">R50/100000</f>
        <v>623.22657565359225</v>
      </c>
      <c r="T50">
        <f t="shared" ref="T50" si="229">S50/1000</f>
        <v>0.6232265756535923</v>
      </c>
    </row>
    <row r="51" spans="1:20" x14ac:dyDescent="0.25">
      <c r="A51" s="5">
        <v>44542</v>
      </c>
      <c r="B51">
        <v>86.55</v>
      </c>
      <c r="C51">
        <v>88.97</v>
      </c>
      <c r="D51">
        <v>82.94</v>
      </c>
      <c r="E51">
        <v>88</v>
      </c>
      <c r="F51">
        <v>1544788.55</v>
      </c>
      <c r="G51">
        <v>88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0.67827529021558919</v>
      </c>
      <c r="Q51">
        <f t="shared" ref="Q51" si="231">F51*P51</f>
        <v>1047791.9020729692</v>
      </c>
      <c r="R51">
        <f t="shared" ref="R51" si="232">R52+Q51</f>
        <v>64152293.347134538</v>
      </c>
      <c r="S51">
        <f t="shared" ref="S51" si="233">R51/100000</f>
        <v>641.52293347134537</v>
      </c>
      <c r="T51">
        <f t="shared" ref="T51" si="234">S51/1000</f>
        <v>0.64152293347134537</v>
      </c>
    </row>
    <row r="52" spans="1:20" x14ac:dyDescent="0.25">
      <c r="A52" s="5">
        <v>44541</v>
      </c>
      <c r="B52">
        <v>80.569999999999993</v>
      </c>
      <c r="C52">
        <v>81.89</v>
      </c>
      <c r="D52">
        <v>79.150000000000006</v>
      </c>
      <c r="E52">
        <v>81.62</v>
      </c>
      <c r="F52">
        <v>162067.5</v>
      </c>
      <c r="G52">
        <v>81.62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0.80291970802919965</v>
      </c>
      <c r="Q52">
        <f t="shared" ref="Q52" si="236">F52*P52</f>
        <v>130127.18978102232</v>
      </c>
      <c r="R52">
        <f t="shared" ref="R52" si="237">R53+Q52</f>
        <v>63104501.445061572</v>
      </c>
      <c r="S52">
        <f t="shared" ref="S52" si="238">R52/100000</f>
        <v>631.04501445061567</v>
      </c>
      <c r="T52">
        <f t="shared" ref="T52" si="239">S52/1000</f>
        <v>0.63104501445061567</v>
      </c>
    </row>
    <row r="53" spans="1:20" x14ac:dyDescent="0.25">
      <c r="A53" s="5">
        <v>44540</v>
      </c>
      <c r="B53">
        <v>85.41</v>
      </c>
      <c r="C53">
        <v>91.78</v>
      </c>
      <c r="D53">
        <v>80.22</v>
      </c>
      <c r="E53">
        <v>80.61</v>
      </c>
      <c r="F53">
        <v>3342367.08</v>
      </c>
      <c r="G53">
        <v>80.61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-0.93252595155709339</v>
      </c>
      <c r="Q53">
        <f t="shared" ref="Q53" si="241">F53*P53</f>
        <v>-3116844.0417301035</v>
      </c>
      <c r="R53">
        <f t="shared" ref="R53" si="242">R54+Q53</f>
        <v>62974374.255280547</v>
      </c>
      <c r="S53">
        <f t="shared" ref="S53" si="243">R53/100000</f>
        <v>629.74374255280543</v>
      </c>
      <c r="T53">
        <f t="shared" ref="T53" si="244">S53/1000</f>
        <v>0.62974374255280541</v>
      </c>
    </row>
    <row r="54" spans="1:20" x14ac:dyDescent="0.25">
      <c r="A54" s="5">
        <v>44539</v>
      </c>
      <c r="B54">
        <v>93.2</v>
      </c>
      <c r="C54">
        <v>94.57</v>
      </c>
      <c r="D54">
        <v>83.28</v>
      </c>
      <c r="E54">
        <v>85.46</v>
      </c>
      <c r="F54">
        <v>2603024.5499999998</v>
      </c>
      <c r="G54">
        <v>85.46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-0.61381753764393376</v>
      </c>
      <c r="Q54">
        <f t="shared" ref="Q54" si="246">F54*P54</f>
        <v>-1597782.1197077087</v>
      </c>
      <c r="R54">
        <f t="shared" ref="R54" si="247">R55+Q54</f>
        <v>66091218.297010653</v>
      </c>
      <c r="S54">
        <f t="shared" ref="S54" si="248">R54/100000</f>
        <v>660.91218297010653</v>
      </c>
      <c r="T54">
        <f t="shared" ref="T54" si="249">S54/1000</f>
        <v>0.66091218297010657</v>
      </c>
    </row>
    <row r="55" spans="1:20" x14ac:dyDescent="0.25">
      <c r="A55" s="5">
        <v>44538</v>
      </c>
      <c r="B55">
        <v>89.54</v>
      </c>
      <c r="C55">
        <v>93.22</v>
      </c>
      <c r="D55">
        <v>86</v>
      </c>
      <c r="E55">
        <v>93.19</v>
      </c>
      <c r="F55">
        <v>1976726.13</v>
      </c>
      <c r="G55">
        <v>93.19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0.99168975069252041</v>
      </c>
      <c r="Q55">
        <f t="shared" ref="Q55" si="251">F55*P55</f>
        <v>1960299.0430470905</v>
      </c>
      <c r="R55">
        <f t="shared" ref="R55" si="252">R56+Q55</f>
        <v>67689000.416718364</v>
      </c>
      <c r="S55">
        <f t="shared" ref="S55" si="253">R55/100000</f>
        <v>676.89000416718363</v>
      </c>
      <c r="T55">
        <f t="shared" ref="T55" si="254">S55/1000</f>
        <v>0.67689000416718359</v>
      </c>
    </row>
    <row r="56" spans="1:20" x14ac:dyDescent="0.25">
      <c r="A56" s="5">
        <v>44537</v>
      </c>
      <c r="B56">
        <v>92.93</v>
      </c>
      <c r="C56">
        <v>96.62</v>
      </c>
      <c r="D56">
        <v>88</v>
      </c>
      <c r="E56">
        <v>89.57</v>
      </c>
      <c r="F56">
        <v>2882225.85</v>
      </c>
      <c r="G56">
        <v>89.57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-0.63573085846867927</v>
      </c>
      <c r="Q56">
        <f t="shared" ref="Q56" si="256">F56*P56</f>
        <v>-1832319.9139211189</v>
      </c>
      <c r="R56">
        <f t="shared" ref="R56" si="257">R57+Q56</f>
        <v>65728701.373671278</v>
      </c>
      <c r="S56">
        <f t="shared" ref="S56" si="258">R56/100000</f>
        <v>657.28701373671277</v>
      </c>
      <c r="T56">
        <f t="shared" ref="T56" si="259">S56/1000</f>
        <v>0.65728701373671272</v>
      </c>
    </row>
    <row r="57" spans="1:20" x14ac:dyDescent="0.25">
      <c r="A57" s="5">
        <v>44536</v>
      </c>
      <c r="B57">
        <v>86.34</v>
      </c>
      <c r="C57">
        <v>94.9</v>
      </c>
      <c r="D57">
        <v>77</v>
      </c>
      <c r="E57">
        <v>92.97</v>
      </c>
      <c r="F57">
        <v>5155977.54</v>
      </c>
      <c r="G57">
        <v>92.97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0.78435754189944062</v>
      </c>
      <c r="Q57">
        <f t="shared" ref="Q57" si="261">F57*P57</f>
        <v>4044129.8693631249</v>
      </c>
      <c r="R57">
        <f t="shared" ref="R57" si="262">R58+Q57</f>
        <v>67561021.287592396</v>
      </c>
      <c r="S57">
        <f t="shared" ref="S57" si="263">R57/100000</f>
        <v>675.61021287592393</v>
      </c>
      <c r="T57">
        <f t="shared" ref="T57" si="264">S57/1000</f>
        <v>0.67561021287592393</v>
      </c>
    </row>
    <row r="58" spans="1:20" x14ac:dyDescent="0.25">
      <c r="A58" s="5">
        <v>44535</v>
      </c>
      <c r="B58">
        <v>93.02</v>
      </c>
      <c r="C58">
        <v>95.5</v>
      </c>
      <c r="D58">
        <v>82.55</v>
      </c>
      <c r="E58">
        <v>86.35</v>
      </c>
      <c r="F58">
        <v>3562051.48</v>
      </c>
      <c r="G58">
        <v>86.35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-0.41312741312741369</v>
      </c>
      <c r="Q58">
        <f t="shared" ref="Q58" si="266">F58*P58</f>
        <v>-1471581.1133590753</v>
      </c>
      <c r="R58">
        <f t="shared" ref="R58" si="267">R59+Q58</f>
        <v>63516891.418229267</v>
      </c>
      <c r="S58">
        <f t="shared" ref="S58" si="268">R58/100000</f>
        <v>635.16891418229272</v>
      </c>
      <c r="T58">
        <f t="shared" ref="T58" si="269">S58/1000</f>
        <v>0.63516891418229271</v>
      </c>
    </row>
    <row r="59" spans="1:20" x14ac:dyDescent="0.25">
      <c r="A59" s="5">
        <v>44534</v>
      </c>
      <c r="B59">
        <v>108.36</v>
      </c>
      <c r="C59">
        <v>108.81</v>
      </c>
      <c r="D59">
        <v>76.569999999999993</v>
      </c>
      <c r="E59">
        <v>93.05</v>
      </c>
      <c r="F59">
        <v>6768729.1600000001</v>
      </c>
      <c r="G59">
        <v>93.05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2.2332506203473903E-2</v>
      </c>
      <c r="Q59">
        <f t="shared" ref="Q59" si="271">F59*P59</f>
        <v>151162.68595533472</v>
      </c>
      <c r="R59">
        <f t="shared" ref="R59" si="272">R60+Q59</f>
        <v>64988472.531588346</v>
      </c>
      <c r="S59">
        <f t="shared" ref="S59" si="273">R59/100000</f>
        <v>649.88472531588343</v>
      </c>
      <c r="T59">
        <f t="shared" ref="T59" si="274">S59/1000</f>
        <v>0.64988472531588348</v>
      </c>
    </row>
    <row r="60" spans="1:20" x14ac:dyDescent="0.25">
      <c r="A60" s="5">
        <v>44533</v>
      </c>
      <c r="B60">
        <v>107.79</v>
      </c>
      <c r="C60">
        <v>113.23</v>
      </c>
      <c r="D60">
        <v>100</v>
      </c>
      <c r="E60">
        <v>108.32</v>
      </c>
      <c r="F60">
        <v>3316203.87</v>
      </c>
      <c r="G60">
        <v>108.32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0.25774754346182777</v>
      </c>
      <c r="Q60">
        <f t="shared" ref="Q60" si="276">F60*P60</f>
        <v>854743.4011111065</v>
      </c>
      <c r="R60">
        <f t="shared" ref="R60" si="277">R61+Q60</f>
        <v>64837309.845633008</v>
      </c>
      <c r="S60">
        <f t="shared" ref="S60" si="278">R60/100000</f>
        <v>648.37309845633013</v>
      </c>
      <c r="T60">
        <f t="shared" ref="T60" si="279">S60/1000</f>
        <v>0.64837309845633018</v>
      </c>
    </row>
    <row r="61" spans="1:20" x14ac:dyDescent="0.25">
      <c r="A61" s="5">
        <v>44532</v>
      </c>
      <c r="B61">
        <v>119.64</v>
      </c>
      <c r="C61">
        <v>119.75</v>
      </c>
      <c r="D61">
        <v>106.88</v>
      </c>
      <c r="E61">
        <v>107.78</v>
      </c>
      <c r="F61">
        <v>2475877.81</v>
      </c>
      <c r="G61">
        <v>107.78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-0.86013986013985932</v>
      </c>
      <c r="Q61">
        <f t="shared" ref="Q61" si="281">F61*P61</f>
        <v>-2129601.1932167811</v>
      </c>
      <c r="R61">
        <f t="shared" ref="R61" si="282">R62+Q61</f>
        <v>63982566.444521904</v>
      </c>
      <c r="S61">
        <f t="shared" ref="S61" si="283">R61/100000</f>
        <v>639.82566444521899</v>
      </c>
      <c r="T61">
        <f t="shared" ref="T61" si="284">S61/1000</f>
        <v>0.63982566444521904</v>
      </c>
    </row>
    <row r="62" spans="1:20" x14ac:dyDescent="0.25">
      <c r="A62" s="5">
        <v>44531</v>
      </c>
      <c r="B62">
        <v>120.42</v>
      </c>
      <c r="C62">
        <v>127.41</v>
      </c>
      <c r="D62">
        <v>117.25</v>
      </c>
      <c r="E62">
        <v>119.65</v>
      </c>
      <c r="F62">
        <v>3007063.68</v>
      </c>
      <c r="G62">
        <v>119.65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-0.52755905511810897</v>
      </c>
      <c r="Q62">
        <f t="shared" ref="Q62" si="286">F62*P62</f>
        <v>-1586403.6737007836</v>
      </c>
      <c r="R62">
        <f t="shared" ref="R62" si="287">R63+Q62</f>
        <v>66112167.637738682</v>
      </c>
      <c r="S62">
        <f t="shared" ref="S62" si="288">R62/100000</f>
        <v>661.12167637738685</v>
      </c>
      <c r="T62">
        <f t="shared" ref="T62" si="289">S62/1000</f>
        <v>0.66112167637738684</v>
      </c>
    </row>
    <row r="63" spans="1:20" x14ac:dyDescent="0.25">
      <c r="A63" s="5">
        <v>44530</v>
      </c>
      <c r="B63">
        <v>120.39</v>
      </c>
      <c r="C63">
        <v>124.8</v>
      </c>
      <c r="D63">
        <v>114</v>
      </c>
      <c r="E63">
        <v>120.41</v>
      </c>
      <c r="F63">
        <v>3625461.85</v>
      </c>
      <c r="G63">
        <v>120.41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0.18703703703703672</v>
      </c>
      <c r="Q63">
        <f t="shared" ref="Q63" si="291">F63*P63</f>
        <v>678095.64231481368</v>
      </c>
      <c r="R63">
        <f t="shared" ref="R63" si="292">R64+Q63</f>
        <v>67698571.311439469</v>
      </c>
      <c r="S63">
        <f t="shared" ref="S63" si="293">R63/100000</f>
        <v>676.98571311439468</v>
      </c>
      <c r="T63">
        <f t="shared" ref="T63" si="294">S63/1000</f>
        <v>0.6769857131143947</v>
      </c>
    </row>
    <row r="64" spans="1:20" x14ac:dyDescent="0.25">
      <c r="A64" s="5">
        <v>44529</v>
      </c>
      <c r="B64">
        <v>110.42</v>
      </c>
      <c r="C64">
        <v>120.41</v>
      </c>
      <c r="D64">
        <v>109.03</v>
      </c>
      <c r="E64">
        <v>120.39</v>
      </c>
      <c r="F64">
        <v>2516574.06</v>
      </c>
      <c r="G64">
        <v>120.39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0.99648506151142424</v>
      </c>
      <c r="Q64">
        <f t="shared" ref="Q64" si="296">F64*P64</f>
        <v>2507728.4569771546</v>
      </c>
      <c r="R64">
        <f t="shared" ref="R64" si="297">R65+Q64</f>
        <v>67020475.669124663</v>
      </c>
      <c r="S64">
        <f t="shared" ref="S64" si="298">R64/100000</f>
        <v>670.20475669124664</v>
      </c>
      <c r="T64">
        <f t="shared" ref="T64" si="299">S64/1000</f>
        <v>0.67020475669124668</v>
      </c>
    </row>
    <row r="65" spans="1:20" x14ac:dyDescent="0.25">
      <c r="A65" s="5">
        <v>44528</v>
      </c>
      <c r="B65">
        <v>113.55</v>
      </c>
      <c r="C65">
        <v>113.97</v>
      </c>
      <c r="D65">
        <v>100.57</v>
      </c>
      <c r="E65">
        <v>110.42</v>
      </c>
      <c r="F65">
        <v>3365794.57</v>
      </c>
      <c r="G65">
        <v>110.42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0.47014925373134392</v>
      </c>
      <c r="Q65">
        <f t="shared" ref="Q65" si="301">F65*P65</f>
        <v>1582425.8052985095</v>
      </c>
      <c r="R65">
        <f t="shared" ref="R65" si="302">R66+Q65</f>
        <v>64512747.212147512</v>
      </c>
      <c r="S65">
        <f t="shared" ref="S65" si="303">R65/100000</f>
        <v>645.12747212147508</v>
      </c>
      <c r="T65">
        <f t="shared" ref="T65" si="304">S65/1000</f>
        <v>0.64512747212147503</v>
      </c>
    </row>
    <row r="66" spans="1:20" x14ac:dyDescent="0.25">
      <c r="A66" s="5">
        <v>44527</v>
      </c>
      <c r="B66">
        <v>104.3</v>
      </c>
      <c r="C66">
        <v>118</v>
      </c>
      <c r="D66">
        <v>103.22</v>
      </c>
      <c r="E66">
        <v>113.52</v>
      </c>
      <c r="F66">
        <v>2842064.96</v>
      </c>
      <c r="G66">
        <v>113.52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0.39377537212449204</v>
      </c>
      <c r="Q66">
        <f t="shared" ref="Q66" si="306">F66*P66</f>
        <v>1119135.1872259795</v>
      </c>
      <c r="R66">
        <f t="shared" ref="R66" si="307">R67+Q66</f>
        <v>62930321.406849004</v>
      </c>
      <c r="S66">
        <f t="shared" ref="S66" si="308">R66/100000</f>
        <v>629.30321406849009</v>
      </c>
      <c r="T66">
        <f t="shared" ref="T66" si="309">S66/1000</f>
        <v>0.6293032140684901</v>
      </c>
    </row>
    <row r="67" spans="1:20" x14ac:dyDescent="0.25">
      <c r="A67" s="5">
        <v>44526</v>
      </c>
      <c r="B67">
        <v>119.25</v>
      </c>
      <c r="C67">
        <v>119.87</v>
      </c>
      <c r="D67">
        <v>101.31</v>
      </c>
      <c r="E67">
        <v>104.27</v>
      </c>
      <c r="F67">
        <v>4575826.59</v>
      </c>
      <c r="G67">
        <v>104.27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-0.68103448275862144</v>
      </c>
      <c r="Q67">
        <f t="shared" ref="Q67" si="311">F67*P67</f>
        <v>-3116295.6949137966</v>
      </c>
      <c r="R67">
        <f t="shared" ref="R67" si="312">R68+Q67</f>
        <v>61811186.219623022</v>
      </c>
      <c r="S67">
        <f t="shared" ref="S67" si="313">R67/100000</f>
        <v>618.11186219623016</v>
      </c>
      <c r="T67">
        <f t="shared" ref="T67" si="314">S67/1000</f>
        <v>0.61811186219623016</v>
      </c>
    </row>
    <row r="68" spans="1:20" x14ac:dyDescent="0.25">
      <c r="A68" s="5">
        <v>44525</v>
      </c>
      <c r="B68">
        <v>115.25</v>
      </c>
      <c r="C68">
        <v>130</v>
      </c>
      <c r="D68">
        <v>114.22</v>
      </c>
      <c r="E68">
        <v>119.27</v>
      </c>
      <c r="F68">
        <v>4680745.8499999996</v>
      </c>
      <c r="G68">
        <v>119.27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-0.35994930291508281</v>
      </c>
      <c r="Q68">
        <f t="shared" ref="Q68" si="316">F68*P68</f>
        <v>-1684831.2058301666</v>
      </c>
      <c r="R68">
        <f t="shared" ref="R68" si="317">R69+Q68</f>
        <v>64927481.914536819</v>
      </c>
      <c r="S68">
        <f t="shared" ref="S68" si="318">R68/100000</f>
        <v>649.27481914536816</v>
      </c>
      <c r="T68">
        <f t="shared" ref="T68" si="319">S68/1000</f>
        <v>0.64927481914536811</v>
      </c>
    </row>
    <row r="69" spans="1:20" x14ac:dyDescent="0.25">
      <c r="A69" s="5">
        <v>44524</v>
      </c>
      <c r="B69">
        <v>123.83</v>
      </c>
      <c r="C69">
        <v>124.68</v>
      </c>
      <c r="D69">
        <v>118.11</v>
      </c>
      <c r="E69">
        <v>118.98</v>
      </c>
      <c r="F69">
        <v>1379033.86</v>
      </c>
      <c r="G69">
        <v>118.98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-0.73515981735159708</v>
      </c>
      <c r="Q69">
        <f t="shared" ref="Q69" si="321">F69*P69</f>
        <v>-1013810.280639268</v>
      </c>
      <c r="R69">
        <f t="shared" ref="R69" si="322">R70+Q69</f>
        <v>66612313.120366983</v>
      </c>
      <c r="S69">
        <f t="shared" ref="S69" si="323">R69/100000</f>
        <v>666.1231312036698</v>
      </c>
      <c r="T69">
        <f t="shared" ref="T69" si="324">S69/1000</f>
        <v>0.66612313120366984</v>
      </c>
    </row>
    <row r="70" spans="1:20" x14ac:dyDescent="0.25">
      <c r="A70" s="5">
        <v>44523</v>
      </c>
      <c r="B70">
        <v>134.84</v>
      </c>
      <c r="C70">
        <v>136.49</v>
      </c>
      <c r="D70">
        <v>121.75</v>
      </c>
      <c r="E70">
        <v>123.83</v>
      </c>
      <c r="F70">
        <v>4209995.63</v>
      </c>
      <c r="G70">
        <v>123.83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-0.71777476255088235</v>
      </c>
      <c r="Q70">
        <f t="shared" ref="Q70" si="326">F70*P70</f>
        <v>-3021828.613663502</v>
      </c>
      <c r="R70">
        <f t="shared" ref="R70" si="327">R71+Q70</f>
        <v>67626123.401006252</v>
      </c>
      <c r="S70">
        <f t="shared" ref="S70" si="328">R70/100000</f>
        <v>676.26123401006248</v>
      </c>
      <c r="T70">
        <f t="shared" ref="T70" si="329">S70/1000</f>
        <v>0.67626123401006244</v>
      </c>
    </row>
    <row r="71" spans="1:20" x14ac:dyDescent="0.25">
      <c r="A71" s="5">
        <v>44522</v>
      </c>
      <c r="B71">
        <v>128.52000000000001</v>
      </c>
      <c r="C71">
        <v>145</v>
      </c>
      <c r="D71">
        <v>125.76</v>
      </c>
      <c r="E71">
        <v>134.84</v>
      </c>
      <c r="F71">
        <v>6564376</v>
      </c>
      <c r="G71">
        <v>134.84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-5.613305613305606E-2</v>
      </c>
      <c r="Q71">
        <f t="shared" ref="Q71" si="331">F71*P71</f>
        <v>-368478.48648648598</v>
      </c>
      <c r="R71">
        <f t="shared" ref="R71" si="332">R72+Q71</f>
        <v>70647952.014669761</v>
      </c>
      <c r="S71">
        <f t="shared" ref="S71" si="333">R71/100000</f>
        <v>706.47952014669761</v>
      </c>
      <c r="T71">
        <f t="shared" ref="T71" si="334">S71/1000</f>
        <v>0.70647952014669757</v>
      </c>
    </row>
    <row r="72" spans="1:20" x14ac:dyDescent="0.25">
      <c r="A72" s="5">
        <v>44521</v>
      </c>
      <c r="B72">
        <v>125.86</v>
      </c>
      <c r="C72">
        <v>147</v>
      </c>
      <c r="D72">
        <v>123.23</v>
      </c>
      <c r="E72">
        <v>128.47</v>
      </c>
      <c r="F72">
        <v>7608661.9340000004</v>
      </c>
      <c r="G72">
        <v>128.47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-0.55910811947833439</v>
      </c>
      <c r="Q72">
        <f t="shared" ref="Q72" si="336">F72*P72</f>
        <v>-4254064.6656651273</v>
      </c>
      <c r="R72">
        <f t="shared" ref="R72" si="337">R73+Q72</f>
        <v>71016430.501156241</v>
      </c>
      <c r="S72">
        <f t="shared" ref="S72" si="338">R72/100000</f>
        <v>710.16430501156242</v>
      </c>
      <c r="T72">
        <f t="shared" ref="T72" si="339">S72/1000</f>
        <v>0.71016430501156247</v>
      </c>
    </row>
    <row r="73" spans="1:20" x14ac:dyDescent="0.25">
      <c r="A73" s="5">
        <v>44520</v>
      </c>
      <c r="B73">
        <v>111.91</v>
      </c>
      <c r="C73">
        <v>129.94</v>
      </c>
      <c r="D73">
        <v>111.57</v>
      </c>
      <c r="E73">
        <v>125.83</v>
      </c>
      <c r="F73">
        <v>5546998.3200000003</v>
      </c>
      <c r="G73">
        <v>125.83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0.55253130103429526</v>
      </c>
      <c r="Q73">
        <f t="shared" ref="Q73" si="341">F73*P73</f>
        <v>3064890.1985846502</v>
      </c>
      <c r="R73">
        <f t="shared" ref="R73" si="342">R74+Q73</f>
        <v>75270495.166821361</v>
      </c>
      <c r="S73">
        <f t="shared" ref="S73" si="343">R73/100000</f>
        <v>752.70495166821365</v>
      </c>
      <c r="T73">
        <f t="shared" ref="T73" si="344">S73/1000</f>
        <v>0.75270495166821361</v>
      </c>
    </row>
    <row r="74" spans="1:20" x14ac:dyDescent="0.25">
      <c r="A74" s="5">
        <v>44519</v>
      </c>
      <c r="B74">
        <v>100.54</v>
      </c>
      <c r="C74">
        <v>112.35</v>
      </c>
      <c r="D74">
        <v>95.89</v>
      </c>
      <c r="E74">
        <v>111.93</v>
      </c>
      <c r="F74">
        <v>4039089.13</v>
      </c>
      <c r="G74">
        <v>111.93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0.94896719319562728</v>
      </c>
      <c r="Q74">
        <f t="shared" ref="Q74" si="346">F74*P74</f>
        <v>3832963.074763068</v>
      </c>
      <c r="R74">
        <f t="shared" ref="R74" si="347">R75+Q74</f>
        <v>72205604.968236715</v>
      </c>
      <c r="S74">
        <f t="shared" ref="S74" si="348">R74/100000</f>
        <v>722.05604968236719</v>
      </c>
      <c r="T74">
        <f t="shared" ref="T74" si="349">S74/1000</f>
        <v>0.72205604968236714</v>
      </c>
    </row>
    <row r="75" spans="1:20" x14ac:dyDescent="0.25">
      <c r="A75" s="5">
        <v>44518</v>
      </c>
      <c r="B75">
        <v>107.62</v>
      </c>
      <c r="C75">
        <v>110.41</v>
      </c>
      <c r="D75">
        <v>92</v>
      </c>
      <c r="E75">
        <v>100.63</v>
      </c>
      <c r="F75">
        <v>5656362.4469999997</v>
      </c>
      <c r="G75">
        <v>100.63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-6.2466051059207273E-2</v>
      </c>
      <c r="Q75">
        <f t="shared" ref="Q75" si="351">F75*P75</f>
        <v>-353330.6254236846</v>
      </c>
      <c r="R75">
        <f t="shared" ref="R75" si="352">R76+Q75</f>
        <v>68372641.89347364</v>
      </c>
      <c r="S75">
        <f t="shared" ref="S75" si="353">R75/100000</f>
        <v>683.72641893473644</v>
      </c>
      <c r="T75">
        <f t="shared" ref="T75" si="354">S75/1000</f>
        <v>0.6837264189347364</v>
      </c>
    </row>
    <row r="76" spans="1:20" x14ac:dyDescent="0.25">
      <c r="A76" s="5">
        <v>44517</v>
      </c>
      <c r="B76">
        <v>97.8</v>
      </c>
      <c r="C76">
        <v>110</v>
      </c>
      <c r="D76">
        <v>91.5</v>
      </c>
      <c r="E76">
        <v>107.63</v>
      </c>
      <c r="F76">
        <v>7144221.0980000002</v>
      </c>
      <c r="G76">
        <v>107.63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0.74378378378378329</v>
      </c>
      <c r="Q76">
        <f t="shared" ref="Q76" si="356">F76*P76</f>
        <v>5313755.8004583754</v>
      </c>
      <c r="R76">
        <f t="shared" ref="R76" si="357">R77+Q76</f>
        <v>68725972.518897325</v>
      </c>
      <c r="S76">
        <f t="shared" ref="S76" si="358">R76/100000</f>
        <v>687.25972518897322</v>
      </c>
      <c r="T76">
        <f t="shared" ref="T76" si="359">S76/1000</f>
        <v>0.68725972518897327</v>
      </c>
    </row>
    <row r="77" spans="1:20" x14ac:dyDescent="0.25">
      <c r="A77" s="5">
        <v>44516</v>
      </c>
      <c r="B77">
        <v>93.86</v>
      </c>
      <c r="C77">
        <v>101.82</v>
      </c>
      <c r="D77">
        <v>83.5</v>
      </c>
      <c r="E77">
        <v>97.84</v>
      </c>
      <c r="F77">
        <v>5618799.0499999998</v>
      </c>
      <c r="G77">
        <v>97.84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0.56550218340611447</v>
      </c>
      <c r="Q77">
        <f t="shared" ref="Q77" si="361">F77*P77</f>
        <v>3177443.1308952016</v>
      </c>
      <c r="R77">
        <f t="shared" ref="R77" si="362">R78+Q77</f>
        <v>63412216.718438946</v>
      </c>
      <c r="S77">
        <f t="shared" ref="S77" si="363">R77/100000</f>
        <v>634.12216718438947</v>
      </c>
      <c r="T77">
        <f t="shared" ref="T77" si="364">S77/1000</f>
        <v>0.63412216718438952</v>
      </c>
    </row>
    <row r="78" spans="1:20" x14ac:dyDescent="0.25">
      <c r="A78" s="5">
        <v>44515</v>
      </c>
      <c r="B78">
        <v>95.4</v>
      </c>
      <c r="C78">
        <v>101.7</v>
      </c>
      <c r="D78">
        <v>92</v>
      </c>
      <c r="E78">
        <v>93.9</v>
      </c>
      <c r="F78">
        <v>3770997.0040000002</v>
      </c>
      <c r="G78">
        <v>93.9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-0.60824742268041132</v>
      </c>
      <c r="Q78">
        <f t="shared" ref="Q78" si="366">F78*P78</f>
        <v>-2293699.2086185529</v>
      </c>
      <c r="R78">
        <f t="shared" ref="R78" si="367">R79+Q78</f>
        <v>60234773.587543741</v>
      </c>
      <c r="S78">
        <f t="shared" ref="S78" si="368">R78/100000</f>
        <v>602.34773587543737</v>
      </c>
      <c r="T78">
        <f t="shared" ref="T78" si="369">S78/1000</f>
        <v>0.60234773587543733</v>
      </c>
    </row>
    <row r="79" spans="1:20" x14ac:dyDescent="0.25">
      <c r="A79" s="5">
        <v>44514</v>
      </c>
      <c r="B79">
        <v>97.56</v>
      </c>
      <c r="C79">
        <v>99.9</v>
      </c>
      <c r="D79">
        <v>91.65</v>
      </c>
      <c r="E79">
        <v>95.4</v>
      </c>
      <c r="F79">
        <v>3548704.679</v>
      </c>
      <c r="G79">
        <v>95.4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-9.0909090909090912E-2</v>
      </c>
      <c r="Q79">
        <f t="shared" ref="Q79" si="371">F79*P79</f>
        <v>-322609.51627272728</v>
      </c>
      <c r="R79">
        <f t="shared" ref="R79" si="372">R80+Q79</f>
        <v>62528472.796162292</v>
      </c>
      <c r="S79">
        <f t="shared" ref="S79" si="373">R79/100000</f>
        <v>625.28472796162293</v>
      </c>
      <c r="T79">
        <f t="shared" ref="T79" si="374">S79/1000</f>
        <v>0.62528472796162293</v>
      </c>
    </row>
    <row r="80" spans="1:20" x14ac:dyDescent="0.25">
      <c r="A80" s="5">
        <v>44513</v>
      </c>
      <c r="B80">
        <v>84.81</v>
      </c>
      <c r="C80">
        <v>98.69</v>
      </c>
      <c r="D80">
        <v>84.79</v>
      </c>
      <c r="E80">
        <v>97.54</v>
      </c>
      <c r="F80">
        <v>3519352.2779999999</v>
      </c>
      <c r="G80">
        <v>97.54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0.83453237410072056</v>
      </c>
      <c r="Q80">
        <f t="shared" ref="Q80" si="376">F80*P80</f>
        <v>2937013.4118561191</v>
      </c>
      <c r="R80">
        <f t="shared" ref="R80" si="377">R81+Q80</f>
        <v>62851082.312435016</v>
      </c>
      <c r="S80">
        <f t="shared" ref="S80" si="378">R80/100000</f>
        <v>628.51082312435017</v>
      </c>
      <c r="T80">
        <f t="shared" ref="T80" si="379">S80/1000</f>
        <v>0.62851082312435014</v>
      </c>
    </row>
    <row r="81" spans="1:20" x14ac:dyDescent="0.25">
      <c r="A81" s="5">
        <v>44512</v>
      </c>
      <c r="B81">
        <v>87.86</v>
      </c>
      <c r="C81">
        <v>89.88</v>
      </c>
      <c r="D81">
        <v>81.11</v>
      </c>
      <c r="E81">
        <v>84.78</v>
      </c>
      <c r="F81">
        <v>2247279.59</v>
      </c>
      <c r="G81">
        <v>84.78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-0.16305587229190344</v>
      </c>
      <c r="Q81">
        <f t="shared" ref="Q81" si="381">F81*P81</f>
        <v>-366432.13383124111</v>
      </c>
      <c r="R81">
        <f t="shared" ref="R81" si="382">R82+Q81</f>
        <v>59914068.900578894</v>
      </c>
      <c r="S81">
        <f t="shared" ref="S81" si="383">R81/100000</f>
        <v>599.14068900578889</v>
      </c>
      <c r="T81">
        <f t="shared" ref="T81" si="384">S81/1000</f>
        <v>0.59914068900578887</v>
      </c>
    </row>
    <row r="82" spans="1:20" x14ac:dyDescent="0.25">
      <c r="A82" s="5">
        <v>44511</v>
      </c>
      <c r="B82">
        <v>85.19</v>
      </c>
      <c r="C82">
        <v>89.56</v>
      </c>
      <c r="D82">
        <v>83.73</v>
      </c>
      <c r="E82">
        <v>87.88</v>
      </c>
      <c r="F82">
        <v>2085731.8</v>
      </c>
      <c r="G82">
        <v>87.88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0.42367066895368533</v>
      </c>
      <c r="Q82">
        <f t="shared" ref="Q82" si="386">F82*P82</f>
        <v>883663.38696397422</v>
      </c>
      <c r="R82">
        <f t="shared" ref="R82" si="387">R83+Q82</f>
        <v>60280501.034410134</v>
      </c>
      <c r="S82">
        <f t="shared" ref="S82" si="388">R82/100000</f>
        <v>602.80501034410133</v>
      </c>
      <c r="T82">
        <f t="shared" ref="T82" si="389">S82/1000</f>
        <v>0.60280501034410139</v>
      </c>
    </row>
    <row r="83" spans="1:20" x14ac:dyDescent="0.25">
      <c r="A83" s="5">
        <v>44510</v>
      </c>
      <c r="B83">
        <v>88.35</v>
      </c>
      <c r="C83">
        <v>94</v>
      </c>
      <c r="D83">
        <v>78.31</v>
      </c>
      <c r="E83">
        <v>85.23</v>
      </c>
      <c r="F83">
        <v>4363326.07</v>
      </c>
      <c r="G83">
        <v>85.23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-0.1179094964945822</v>
      </c>
      <c r="Q83">
        <f t="shared" ref="Q83" si="391">F83*P83</f>
        <v>-514477.57995538414</v>
      </c>
      <c r="R83">
        <f t="shared" ref="R83" si="392">R84+Q83</f>
        <v>59396837.647446163</v>
      </c>
      <c r="S83">
        <f t="shared" ref="S83" si="393">R83/100000</f>
        <v>593.96837647446159</v>
      </c>
      <c r="T83">
        <f t="shared" ref="T83" si="394">S83/1000</f>
        <v>0.59396837647446155</v>
      </c>
    </row>
    <row r="84" spans="1:20" x14ac:dyDescent="0.25">
      <c r="A84" s="5">
        <v>44509</v>
      </c>
      <c r="B84">
        <v>91.18</v>
      </c>
      <c r="C84">
        <v>91.49</v>
      </c>
      <c r="D84">
        <v>87</v>
      </c>
      <c r="E84">
        <v>88.33</v>
      </c>
      <c r="F84">
        <v>2716240.59</v>
      </c>
      <c r="G84">
        <v>88.33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-0.40757238307349675</v>
      </c>
      <c r="Q84">
        <f t="shared" ref="Q84" si="396">F84*P84</f>
        <v>-1107064.6502672608</v>
      </c>
      <c r="R84">
        <f t="shared" ref="R84" si="397">R85+Q84</f>
        <v>59911315.227401547</v>
      </c>
      <c r="S84">
        <f t="shared" ref="S84" si="398">R84/100000</f>
        <v>599.11315227401542</v>
      </c>
      <c r="T84">
        <f t="shared" ref="T84" si="399">S84/1000</f>
        <v>0.5991131522740154</v>
      </c>
    </row>
    <row r="85" spans="1:20" x14ac:dyDescent="0.25">
      <c r="A85" s="5">
        <v>44508</v>
      </c>
      <c r="B85">
        <v>87.56</v>
      </c>
      <c r="C85">
        <v>96.92</v>
      </c>
      <c r="D85">
        <v>83.61</v>
      </c>
      <c r="E85">
        <v>91.18</v>
      </c>
      <c r="F85">
        <v>6890764.6610000003</v>
      </c>
      <c r="G85">
        <v>91.18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0.13749060856498965</v>
      </c>
      <c r="Q85">
        <f t="shared" ref="Q85" si="401">F85*P85</f>
        <v>947415.42671901465</v>
      </c>
      <c r="R85">
        <f t="shared" ref="R85" si="402">R86+Q85</f>
        <v>61018379.877668805</v>
      </c>
      <c r="S85">
        <f t="shared" ref="S85" si="403">R85/100000</f>
        <v>610.18379877668804</v>
      </c>
      <c r="T85">
        <f t="shared" ref="T85" si="404">S85/1000</f>
        <v>0.61018379877668805</v>
      </c>
    </row>
    <row r="86" spans="1:20" x14ac:dyDescent="0.25">
      <c r="A86" s="5">
        <v>44507</v>
      </c>
      <c r="B86">
        <v>78.7</v>
      </c>
      <c r="C86">
        <v>88.88</v>
      </c>
      <c r="D86">
        <v>78</v>
      </c>
      <c r="E86">
        <v>87.57</v>
      </c>
      <c r="F86">
        <v>4847020.5159999998</v>
      </c>
      <c r="G86">
        <v>87.57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0.75919117647058776</v>
      </c>
      <c r="Q86">
        <f t="shared" ref="Q86" si="406">F86*P86</f>
        <v>3679815.2079191152</v>
      </c>
      <c r="R86">
        <f t="shared" ref="R86" si="407">R87+Q86</f>
        <v>60070964.450949788</v>
      </c>
      <c r="S86">
        <f t="shared" ref="S86" si="408">R86/100000</f>
        <v>600.70964450949793</v>
      </c>
      <c r="T86">
        <f t="shared" ref="T86" si="409">S86/1000</f>
        <v>0.60070964450949793</v>
      </c>
    </row>
    <row r="87" spans="1:20" x14ac:dyDescent="0.25">
      <c r="A87" s="5">
        <v>44506</v>
      </c>
      <c r="B87">
        <v>74.19</v>
      </c>
      <c r="C87">
        <v>78.72</v>
      </c>
      <c r="D87">
        <v>72.319999999999993</v>
      </c>
      <c r="E87">
        <v>78.72</v>
      </c>
      <c r="F87">
        <v>1708791.07</v>
      </c>
      <c r="G87">
        <v>78.72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1</v>
      </c>
      <c r="Q87">
        <f t="shared" ref="Q87" si="411">F87*P87</f>
        <v>1708791.07</v>
      </c>
      <c r="R87">
        <f t="shared" ref="R87" si="412">R88+Q87</f>
        <v>56391149.243030675</v>
      </c>
      <c r="S87">
        <f t="shared" ref="S87" si="413">R87/100000</f>
        <v>563.91149243030679</v>
      </c>
      <c r="T87">
        <f t="shared" ref="T87" si="414">S87/1000</f>
        <v>0.5639114924303068</v>
      </c>
    </row>
    <row r="88" spans="1:20" x14ac:dyDescent="0.25">
      <c r="A88" s="5">
        <v>44505</v>
      </c>
      <c r="B88">
        <v>78.959999999999994</v>
      </c>
      <c r="C88">
        <v>81</v>
      </c>
      <c r="D88">
        <v>72.13</v>
      </c>
      <c r="E88">
        <v>74.19</v>
      </c>
      <c r="F88">
        <v>2367154.9</v>
      </c>
      <c r="G88">
        <v>74.19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-0.53551296505073254</v>
      </c>
      <c r="Q88">
        <f t="shared" ref="Q88" si="416">F88*P88</f>
        <v>-1267642.1392333703</v>
      </c>
      <c r="R88">
        <f t="shared" ref="R88" si="417">R89+Q88</f>
        <v>54682358.173030674</v>
      </c>
      <c r="S88">
        <f t="shared" ref="S88" si="418">R88/100000</f>
        <v>546.82358173030673</v>
      </c>
      <c r="T88">
        <f t="shared" ref="T88" si="419">S88/1000</f>
        <v>0.54682358173030676</v>
      </c>
    </row>
    <row r="89" spans="1:20" x14ac:dyDescent="0.25">
      <c r="A89" s="5">
        <v>44504</v>
      </c>
      <c r="B89">
        <v>75.56</v>
      </c>
      <c r="C89">
        <v>80.91</v>
      </c>
      <c r="D89">
        <v>73.91</v>
      </c>
      <c r="E89">
        <v>78.97</v>
      </c>
      <c r="F89">
        <v>4700338.4649999999</v>
      </c>
      <c r="G89">
        <v>78.97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0.44571428571428634</v>
      </c>
      <c r="Q89">
        <f t="shared" ref="Q89" si="421">F89*P89</f>
        <v>2095008.0015428599</v>
      </c>
      <c r="R89">
        <f t="shared" ref="R89" si="422">R90+Q89</f>
        <v>55950000.312264048</v>
      </c>
      <c r="S89">
        <f t="shared" ref="S89" si="423">R89/100000</f>
        <v>559.50000312264046</v>
      </c>
      <c r="T89">
        <f t="shared" ref="T89" si="424">S89/1000</f>
        <v>0.55950000312264048</v>
      </c>
    </row>
    <row r="90" spans="1:20" x14ac:dyDescent="0.25">
      <c r="A90" s="5">
        <v>44503</v>
      </c>
      <c r="B90">
        <v>67.75</v>
      </c>
      <c r="C90">
        <v>75.569999999999993</v>
      </c>
      <c r="D90">
        <v>67.09</v>
      </c>
      <c r="E90">
        <v>75.55</v>
      </c>
      <c r="F90">
        <v>4504183.21</v>
      </c>
      <c r="G90">
        <v>75.55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0.99528301886792547</v>
      </c>
      <c r="Q90">
        <f t="shared" ref="Q90" si="426">F90*P90</f>
        <v>4482937.0627830233</v>
      </c>
      <c r="R90">
        <f t="shared" ref="R90" si="427">R91+Q90</f>
        <v>53854992.310721189</v>
      </c>
      <c r="S90">
        <f t="shared" ref="S90" si="428">R90/100000</f>
        <v>538.54992310721184</v>
      </c>
      <c r="T90">
        <f t="shared" ref="T90" si="429">S90/1000</f>
        <v>0.53854992310721184</v>
      </c>
    </row>
    <row r="91" spans="1:20" x14ac:dyDescent="0.25">
      <c r="A91" s="5">
        <v>44502</v>
      </c>
      <c r="B91">
        <v>64.94</v>
      </c>
      <c r="C91">
        <v>68.040000000000006</v>
      </c>
      <c r="D91">
        <v>64.260000000000005</v>
      </c>
      <c r="E91">
        <v>67.739999999999995</v>
      </c>
      <c r="F91">
        <v>1746644.56</v>
      </c>
      <c r="G91">
        <v>67.739999999999995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0.84126984126983528</v>
      </c>
      <c r="Q91">
        <f t="shared" ref="Q91" si="431">F91*P91</f>
        <v>1469399.3917460213</v>
      </c>
      <c r="R91">
        <f t="shared" ref="R91" si="432">R92+Q91</f>
        <v>49372055.247938164</v>
      </c>
      <c r="S91">
        <f t="shared" ref="S91" si="433">R91/100000</f>
        <v>493.72055247938164</v>
      </c>
      <c r="T91">
        <f t="shared" ref="T91" si="434">S91/1000</f>
        <v>0.49372055247938162</v>
      </c>
    </row>
    <row r="92" spans="1:20" x14ac:dyDescent="0.25">
      <c r="A92" s="5">
        <v>44501</v>
      </c>
      <c r="B92">
        <v>64.5</v>
      </c>
      <c r="C92">
        <v>66.849999999999994</v>
      </c>
      <c r="D92">
        <v>62.19</v>
      </c>
      <c r="E92">
        <v>64.930000000000007</v>
      </c>
      <c r="F92">
        <v>2515107.85</v>
      </c>
      <c r="G92">
        <v>64.930000000000007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0.17596566523605628</v>
      </c>
      <c r="Q92">
        <f t="shared" ref="Q92" si="436">F92*P92</f>
        <v>442572.62596567726</v>
      </c>
      <c r="R92">
        <f t="shared" ref="R92" si="437">R93+Q92</f>
        <v>47902655.856192142</v>
      </c>
      <c r="S92">
        <f t="shared" ref="S92" si="438">R92/100000</f>
        <v>479.02655856192143</v>
      </c>
      <c r="T92">
        <f t="shared" ref="T92" si="439">S92/1000</f>
        <v>0.47902655856192145</v>
      </c>
    </row>
    <row r="93" spans="1:20" x14ac:dyDescent="0.25">
      <c r="A93" s="5">
        <v>44500</v>
      </c>
      <c r="B93">
        <v>62.33</v>
      </c>
      <c r="C93">
        <v>64.5</v>
      </c>
      <c r="D93">
        <v>60.09</v>
      </c>
      <c r="E93">
        <v>64.5</v>
      </c>
      <c r="F93">
        <v>1531085.26</v>
      </c>
      <c r="G93">
        <v>64.5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1</v>
      </c>
      <c r="Q93">
        <f t="shared" ref="Q93" si="441">F93*P93</f>
        <v>1531085.26</v>
      </c>
      <c r="R93">
        <f t="shared" ref="R93" si="442">R94+Q93</f>
        <v>47460083.230226465</v>
      </c>
      <c r="S93">
        <f t="shared" ref="S93" si="443">R93/100000</f>
        <v>474.60083230226462</v>
      </c>
      <c r="T93">
        <f t="shared" ref="T93" si="444">S93/1000</f>
        <v>0.47460083230226463</v>
      </c>
    </row>
    <row r="94" spans="1:20" x14ac:dyDescent="0.25">
      <c r="A94" s="5">
        <v>44499</v>
      </c>
      <c r="B94">
        <v>64.87</v>
      </c>
      <c r="C94">
        <v>64.959999999999994</v>
      </c>
      <c r="D94">
        <v>60.89</v>
      </c>
      <c r="E94">
        <v>62.35</v>
      </c>
      <c r="F94">
        <v>1483432.23</v>
      </c>
      <c r="G94">
        <v>62.35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-0.28255528255528095</v>
      </c>
      <c r="Q94">
        <f t="shared" ref="Q94" si="446">F94*P94</f>
        <v>-419151.61289926054</v>
      </c>
      <c r="R94">
        <f t="shared" ref="R94" si="447">R95+Q94</f>
        <v>45928997.970226467</v>
      </c>
      <c r="S94">
        <f t="shared" ref="S94" si="448">R94/100000</f>
        <v>459.28997970226465</v>
      </c>
      <c r="T94">
        <f t="shared" ref="T94" si="449">S94/1000</f>
        <v>0.45928997970226465</v>
      </c>
    </row>
    <row r="95" spans="1:20" x14ac:dyDescent="0.25">
      <c r="A95" s="5">
        <v>44498</v>
      </c>
      <c r="B95">
        <v>64.34</v>
      </c>
      <c r="C95">
        <v>66.19</v>
      </c>
      <c r="D95">
        <v>63.43</v>
      </c>
      <c r="E95">
        <v>64.87</v>
      </c>
      <c r="F95">
        <v>1513107.96</v>
      </c>
      <c r="G95">
        <v>64.87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4.347826086956947E-2</v>
      </c>
      <c r="Q95">
        <f t="shared" ref="Q95" si="451">F95*P95</f>
        <v>65787.302608702084</v>
      </c>
      <c r="R95">
        <f t="shared" ref="R95" si="452">R96+Q95</f>
        <v>46348149.583125725</v>
      </c>
      <c r="S95">
        <f t="shared" ref="S95" si="453">R95/100000</f>
        <v>463.48149583125723</v>
      </c>
      <c r="T95">
        <f t="shared" ref="T95" si="454">S95/1000</f>
        <v>0.46348149583125725</v>
      </c>
    </row>
    <row r="96" spans="1:20" x14ac:dyDescent="0.25">
      <c r="A96" s="5">
        <v>44497</v>
      </c>
      <c r="B96">
        <v>61.58</v>
      </c>
      <c r="C96">
        <v>64.98</v>
      </c>
      <c r="D96">
        <v>61.44</v>
      </c>
      <c r="E96">
        <v>64.34</v>
      </c>
      <c r="F96">
        <v>2484514.38</v>
      </c>
      <c r="G96">
        <v>64.34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0.63841807909604553</v>
      </c>
      <c r="Q96">
        <f t="shared" ref="Q96" si="456">F96*P96</f>
        <v>1586158.8979661025</v>
      </c>
      <c r="R96">
        <f t="shared" ref="R96" si="457">R97+Q96</f>
        <v>46282362.280517027</v>
      </c>
      <c r="S96">
        <f t="shared" ref="S96" si="458">R96/100000</f>
        <v>462.82362280517026</v>
      </c>
      <c r="T96">
        <f t="shared" ref="T96" si="459">S96/1000</f>
        <v>0.46282362280517025</v>
      </c>
    </row>
    <row r="97" spans="1:20" x14ac:dyDescent="0.25">
      <c r="A97" s="5">
        <v>44496</v>
      </c>
      <c r="B97">
        <v>68.680000000000007</v>
      </c>
      <c r="C97">
        <v>69.819999999999993</v>
      </c>
      <c r="D97">
        <v>57.02</v>
      </c>
      <c r="E97">
        <v>61.57</v>
      </c>
      <c r="F97">
        <v>4273308.6100000003</v>
      </c>
      <c r="G97">
        <v>61.57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-0.28906249999999989</v>
      </c>
      <c r="Q97">
        <f t="shared" ref="Q97" si="461">F97*P97</f>
        <v>-1235253.2700781247</v>
      </c>
      <c r="R97">
        <f t="shared" ref="R97" si="462">R98+Q97</f>
        <v>44696203.382550925</v>
      </c>
      <c r="S97">
        <f t="shared" ref="S97" si="463">R97/100000</f>
        <v>446.96203382550925</v>
      </c>
      <c r="T97">
        <f t="shared" ref="T97" si="464">S97/1000</f>
        <v>0.44696203382550925</v>
      </c>
    </row>
    <row r="98" spans="1:20" x14ac:dyDescent="0.25">
      <c r="A98" s="5">
        <v>44495</v>
      </c>
      <c r="B98">
        <v>69.739999999999995</v>
      </c>
      <c r="C98">
        <v>73.010000000000005</v>
      </c>
      <c r="D98">
        <v>67.61</v>
      </c>
      <c r="E98">
        <v>68.66</v>
      </c>
      <c r="F98">
        <v>3840473.4</v>
      </c>
      <c r="G98">
        <v>68.66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-0.6111111111111126</v>
      </c>
      <c r="Q98">
        <f t="shared" ref="Q98" si="466">F98*P98</f>
        <v>-2346955.9666666724</v>
      </c>
      <c r="R98">
        <f t="shared" ref="R98" si="467">R99+Q98</f>
        <v>45931456.652629048</v>
      </c>
      <c r="S98">
        <f t="shared" ref="S98" si="468">R98/100000</f>
        <v>459.31456652629049</v>
      </c>
      <c r="T98">
        <f t="shared" ref="T98" si="469">S98/1000</f>
        <v>0.45931456652629049</v>
      </c>
    </row>
    <row r="99" spans="1:20" x14ac:dyDescent="0.25">
      <c r="A99" s="5">
        <v>44494</v>
      </c>
      <c r="B99">
        <v>64.53</v>
      </c>
      <c r="C99">
        <v>69.900000000000006</v>
      </c>
      <c r="D99">
        <v>64.349999999999994</v>
      </c>
      <c r="E99">
        <v>69.73</v>
      </c>
      <c r="F99">
        <v>2270486.65</v>
      </c>
      <c r="G99">
        <v>69.73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0.93873873873873825</v>
      </c>
      <c r="Q99">
        <f t="shared" ref="Q99" si="471">F99*P99</f>
        <v>2131393.7741441429</v>
      </c>
      <c r="R99">
        <f t="shared" ref="R99" si="472">R100+Q99</f>
        <v>48278412.619295716</v>
      </c>
      <c r="S99">
        <f t="shared" ref="S99" si="473">R99/100000</f>
        <v>482.78412619295716</v>
      </c>
      <c r="T99">
        <f t="shared" ref="T99" si="474">S99/1000</f>
        <v>0.48278412619295719</v>
      </c>
    </row>
    <row r="100" spans="1:20" x14ac:dyDescent="0.25">
      <c r="A100" s="5">
        <v>44493</v>
      </c>
      <c r="B100">
        <v>65.39</v>
      </c>
      <c r="C100">
        <v>67.61</v>
      </c>
      <c r="D100">
        <v>61.94</v>
      </c>
      <c r="E100">
        <v>64.53</v>
      </c>
      <c r="F100">
        <v>2184761.84</v>
      </c>
      <c r="G100">
        <v>64.53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-8.6419753086418818E-2</v>
      </c>
      <c r="Q100">
        <f t="shared" ref="Q100" si="476">F100*P100</f>
        <v>-188806.57876543005</v>
      </c>
      <c r="R100">
        <f t="shared" ref="R100" si="477">R101+Q100</f>
        <v>46147018.845151573</v>
      </c>
      <c r="S100">
        <f t="shared" ref="S100" si="478">R100/100000</f>
        <v>461.47018845151575</v>
      </c>
      <c r="T100">
        <f t="shared" ref="T100" si="479">S100/1000</f>
        <v>0.46147018845151577</v>
      </c>
    </row>
    <row r="101" spans="1:20" x14ac:dyDescent="0.25">
      <c r="A101" s="5">
        <v>44492</v>
      </c>
      <c r="B101">
        <v>65.540000000000006</v>
      </c>
      <c r="C101">
        <v>69.180000000000007</v>
      </c>
      <c r="D101">
        <v>64.510000000000005</v>
      </c>
      <c r="E101">
        <v>65.38</v>
      </c>
      <c r="F101">
        <v>2978489.66</v>
      </c>
      <c r="G101">
        <v>65.38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-0.62740899357602142</v>
      </c>
      <c r="Q101">
        <f t="shared" ref="Q101" si="481">F101*P101</f>
        <v>-1868731.1999571864</v>
      </c>
      <c r="R101">
        <f t="shared" ref="R101" si="482">R102+Q101</f>
        <v>46335825.423917003</v>
      </c>
      <c r="S101">
        <f t="shared" ref="S101" si="483">R101/100000</f>
        <v>463.35825423917004</v>
      </c>
      <c r="T101">
        <f t="shared" ref="T101" si="484">S101/1000</f>
        <v>0.46335825423917004</v>
      </c>
    </row>
    <row r="102" spans="1:20" x14ac:dyDescent="0.25">
      <c r="A102" s="5">
        <v>44491</v>
      </c>
      <c r="B102">
        <v>61.48</v>
      </c>
      <c r="C102">
        <v>68.83</v>
      </c>
      <c r="D102">
        <v>61.36</v>
      </c>
      <c r="E102">
        <v>65.540000000000006</v>
      </c>
      <c r="F102">
        <v>5522607.5</v>
      </c>
      <c r="G102">
        <v>65.540000000000006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0.11914323962516933</v>
      </c>
      <c r="Q102">
        <f t="shared" ref="Q102" si="486">F102*P102</f>
        <v>657981.34872825735</v>
      </c>
      <c r="R102">
        <f t="shared" ref="R102" si="487">R103+Q102</f>
        <v>48204556.623874187</v>
      </c>
      <c r="S102">
        <f t="shared" ref="S102" si="488">R102/100000</f>
        <v>482.04556623874186</v>
      </c>
      <c r="T102">
        <f t="shared" ref="T102" si="489">S102/1000</f>
        <v>0.48204556623874184</v>
      </c>
    </row>
    <row r="103" spans="1:20" x14ac:dyDescent="0.25">
      <c r="A103" s="5">
        <v>44490</v>
      </c>
      <c r="B103">
        <v>59.66</v>
      </c>
      <c r="C103">
        <v>64.349999999999994</v>
      </c>
      <c r="D103">
        <v>58.78</v>
      </c>
      <c r="E103">
        <v>61.48</v>
      </c>
      <c r="F103">
        <v>3959021.69</v>
      </c>
      <c r="G103">
        <v>61.48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-3.0520646319569463E-2</v>
      </c>
      <c r="Q103">
        <f t="shared" ref="Q103" si="491">F103*P103</f>
        <v>-120831.90077199417</v>
      </c>
      <c r="R103">
        <f t="shared" ref="R103" si="492">R104+Q103</f>
        <v>47546575.275145933</v>
      </c>
      <c r="S103">
        <f t="shared" ref="S103" si="493">R103/100000</f>
        <v>475.46575275145932</v>
      </c>
      <c r="T103">
        <f t="shared" ref="T103" si="494">S103/1000</f>
        <v>0.4754657527514593</v>
      </c>
    </row>
    <row r="104" spans="1:20" x14ac:dyDescent="0.25">
      <c r="A104" s="5">
        <v>44489</v>
      </c>
      <c r="B104">
        <v>56.81</v>
      </c>
      <c r="C104">
        <v>61.64</v>
      </c>
      <c r="D104">
        <v>56.7</v>
      </c>
      <c r="E104">
        <v>59.66</v>
      </c>
      <c r="F104">
        <v>2707834.23</v>
      </c>
      <c r="G104">
        <v>59.66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0.19838056680161745</v>
      </c>
      <c r="Q104">
        <f t="shared" ref="Q104" si="496">F104*P104</f>
        <v>537181.68935222132</v>
      </c>
      <c r="R104">
        <f t="shared" ref="R104" si="497">R105+Q104</f>
        <v>47667407.175917931</v>
      </c>
      <c r="S104">
        <f t="shared" ref="S104" si="498">R104/100000</f>
        <v>476.6740717591793</v>
      </c>
      <c r="T104">
        <f t="shared" ref="T104" si="499">S104/1000</f>
        <v>0.47667407175917931</v>
      </c>
    </row>
    <row r="105" spans="1:20" x14ac:dyDescent="0.25">
      <c r="A105" s="5">
        <v>44488</v>
      </c>
      <c r="B105">
        <v>55.47</v>
      </c>
      <c r="C105">
        <v>58.1</v>
      </c>
      <c r="D105">
        <v>55.12</v>
      </c>
      <c r="E105">
        <v>56.8</v>
      </c>
      <c r="F105">
        <v>1873629.97</v>
      </c>
      <c r="G105">
        <v>56.8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0.12751677852348825</v>
      </c>
      <c r="Q105">
        <f t="shared" ref="Q105" si="501">F105*P105</f>
        <v>238919.25791945992</v>
      </c>
      <c r="R105">
        <f t="shared" ref="R105" si="502">R106+Q105</f>
        <v>47130225.486565709</v>
      </c>
      <c r="S105">
        <f t="shared" ref="S105" si="503">R105/100000</f>
        <v>471.30225486565712</v>
      </c>
      <c r="T105">
        <f t="shared" ref="T105" si="504">S105/1000</f>
        <v>0.47130225486565713</v>
      </c>
    </row>
    <row r="106" spans="1:20" x14ac:dyDescent="0.25">
      <c r="A106" s="5">
        <v>44487</v>
      </c>
      <c r="B106">
        <v>56.11</v>
      </c>
      <c r="C106">
        <v>56.46</v>
      </c>
      <c r="D106">
        <v>54.05</v>
      </c>
      <c r="E106">
        <v>55.48</v>
      </c>
      <c r="F106">
        <v>1553173.47</v>
      </c>
      <c r="G106">
        <v>55.48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0.18672199170124276</v>
      </c>
      <c r="Q106">
        <f t="shared" ref="Q106" si="506">F106*P106</f>
        <v>290011.6437759304</v>
      </c>
      <c r="R106">
        <f t="shared" ref="R106" si="507">R107+Q106</f>
        <v>46891306.228646249</v>
      </c>
      <c r="S106">
        <f t="shared" ref="S106" si="508">R106/100000</f>
        <v>468.91306228646249</v>
      </c>
      <c r="T106">
        <f t="shared" ref="T106" si="509">S106/1000</f>
        <v>0.46891306228646251</v>
      </c>
    </row>
    <row r="107" spans="1:20" x14ac:dyDescent="0.25">
      <c r="A107" s="5">
        <v>44486</v>
      </c>
      <c r="B107">
        <v>57.62</v>
      </c>
      <c r="C107">
        <v>58.55</v>
      </c>
      <c r="D107">
        <v>53.27</v>
      </c>
      <c r="E107">
        <v>56.1</v>
      </c>
      <c r="F107">
        <v>2134508.2999999998</v>
      </c>
      <c r="G107">
        <v>56.1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7.196969696969753E-2</v>
      </c>
      <c r="Q107">
        <f t="shared" ref="Q107" si="511">F107*P107</f>
        <v>153619.91553030422</v>
      </c>
      <c r="R107">
        <f t="shared" ref="R107" si="512">R108+Q107</f>
        <v>46601294.584870316</v>
      </c>
      <c r="S107">
        <f t="shared" ref="S107" si="513">R107/100000</f>
        <v>466.01294584870317</v>
      </c>
      <c r="T107">
        <f t="shared" ref="T107" si="514">S107/1000</f>
        <v>0.46601294584870318</v>
      </c>
    </row>
    <row r="108" spans="1:20" x14ac:dyDescent="0.25">
      <c r="A108" s="5">
        <v>44485</v>
      </c>
      <c r="B108">
        <v>56.33</v>
      </c>
      <c r="C108">
        <v>62.11</v>
      </c>
      <c r="D108">
        <v>55.68</v>
      </c>
      <c r="E108">
        <v>57.61</v>
      </c>
      <c r="F108">
        <v>3914987.29</v>
      </c>
      <c r="G108">
        <v>57.61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-0.3996889580093313</v>
      </c>
      <c r="Q108">
        <f t="shared" ref="Q108" si="516">F108*P108</f>
        <v>-1564777.1905598757</v>
      </c>
      <c r="R108">
        <f t="shared" ref="R108" si="517">R109+Q108</f>
        <v>46447674.669340014</v>
      </c>
      <c r="S108">
        <f t="shared" ref="S108" si="518">R108/100000</f>
        <v>464.47674669340012</v>
      </c>
      <c r="T108">
        <f t="shared" ref="T108" si="519">S108/1000</f>
        <v>0.46447674669340011</v>
      </c>
    </row>
    <row r="109" spans="1:20" x14ac:dyDescent="0.25">
      <c r="A109" s="5">
        <v>44484</v>
      </c>
      <c r="B109">
        <v>56.18</v>
      </c>
      <c r="C109">
        <v>57.61</v>
      </c>
      <c r="D109">
        <v>54.44</v>
      </c>
      <c r="E109">
        <v>56.36</v>
      </c>
      <c r="F109">
        <v>2963326.33</v>
      </c>
      <c r="G109">
        <v>56.36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0.21135646687697204</v>
      </c>
      <c r="Q109">
        <f t="shared" ref="Q109" si="521">F109*P109</f>
        <v>626318.18331230409</v>
      </c>
      <c r="R109">
        <f t="shared" ref="R109" si="522">R110+Q109</f>
        <v>48012451.859899893</v>
      </c>
      <c r="S109">
        <f t="shared" ref="S109" si="523">R109/100000</f>
        <v>480.12451859899892</v>
      </c>
      <c r="T109">
        <f t="shared" ref="T109" si="524">S109/1000</f>
        <v>0.48012451859899891</v>
      </c>
    </row>
    <row r="110" spans="1:20" x14ac:dyDescent="0.25">
      <c r="A110" s="5">
        <v>44483</v>
      </c>
      <c r="B110">
        <v>55</v>
      </c>
      <c r="C110">
        <v>58.46</v>
      </c>
      <c r="D110">
        <v>54.92</v>
      </c>
      <c r="E110">
        <v>56.18</v>
      </c>
      <c r="F110">
        <v>3000941.32</v>
      </c>
      <c r="G110">
        <v>56.18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-0.28813559322033994</v>
      </c>
      <c r="Q110">
        <f t="shared" ref="Q110" si="526">F110*P110</f>
        <v>-864678.00745762989</v>
      </c>
      <c r="R110">
        <f t="shared" ref="R110" si="527">R111+Q110</f>
        <v>47386133.676587589</v>
      </c>
      <c r="S110">
        <f t="shared" ref="S110" si="528">R110/100000</f>
        <v>473.86133676587588</v>
      </c>
      <c r="T110">
        <f t="shared" ref="T110" si="529">S110/1000</f>
        <v>0.47386133676587588</v>
      </c>
    </row>
    <row r="111" spans="1:20" x14ac:dyDescent="0.25">
      <c r="A111" s="5">
        <v>44482</v>
      </c>
      <c r="B111">
        <v>54.33</v>
      </c>
      <c r="C111">
        <v>57.09</v>
      </c>
      <c r="D111">
        <v>53.23</v>
      </c>
      <c r="E111">
        <v>55.01</v>
      </c>
      <c r="F111">
        <v>3632007.14</v>
      </c>
      <c r="G111">
        <v>55.01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-7.772020725388698E-2</v>
      </c>
      <c r="Q111">
        <f t="shared" ref="Q111" si="531">F111*P111</f>
        <v>-282280.3476683973</v>
      </c>
      <c r="R111">
        <f t="shared" ref="R111" si="532">R112+Q111</f>
        <v>48250811.684045218</v>
      </c>
      <c r="S111">
        <f t="shared" ref="S111" si="533">R111/100000</f>
        <v>482.5081168404522</v>
      </c>
      <c r="T111">
        <f t="shared" ref="T111" si="534">S111/1000</f>
        <v>0.48250811684045219</v>
      </c>
    </row>
    <row r="112" spans="1:20" x14ac:dyDescent="0.25">
      <c r="A112" s="5">
        <v>44481</v>
      </c>
      <c r="B112">
        <v>55.3</v>
      </c>
      <c r="C112">
        <v>55.31</v>
      </c>
      <c r="D112">
        <v>51.04</v>
      </c>
      <c r="E112">
        <v>54.34</v>
      </c>
      <c r="F112">
        <v>4070051.4</v>
      </c>
      <c r="G112">
        <v>54.34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0.5456674473067924</v>
      </c>
      <c r="Q112">
        <f t="shared" ref="Q112" si="536">F112*P112</f>
        <v>2220894.5578454365</v>
      </c>
      <c r="R112">
        <f t="shared" ref="R112" si="537">R113+Q112</f>
        <v>48533092.031713612</v>
      </c>
      <c r="S112">
        <f t="shared" ref="S112" si="538">R112/100000</f>
        <v>485.33092031713613</v>
      </c>
      <c r="T112">
        <f t="shared" ref="T112" si="539">S112/1000</f>
        <v>0.48533092031713615</v>
      </c>
    </row>
    <row r="113" spans="1:20" x14ac:dyDescent="0.25">
      <c r="A113" s="5">
        <v>44480</v>
      </c>
      <c r="B113">
        <v>56.5</v>
      </c>
      <c r="C113">
        <v>59.23</v>
      </c>
      <c r="D113">
        <v>53.76</v>
      </c>
      <c r="E113">
        <v>55.3</v>
      </c>
      <c r="F113">
        <v>3407191.2</v>
      </c>
      <c r="G113">
        <v>55.3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-0.43692870201096912</v>
      </c>
      <c r="Q113">
        <f t="shared" ref="Q113" si="541">F113*P113</f>
        <v>-1488699.6285191963</v>
      </c>
      <c r="R113">
        <f t="shared" ref="R113" si="542">R114+Q113</f>
        <v>46312197.473868176</v>
      </c>
      <c r="S113">
        <f t="shared" ref="S113" si="543">R113/100000</f>
        <v>463.12197473868179</v>
      </c>
      <c r="T113">
        <f t="shared" ref="T113" si="544">S113/1000</f>
        <v>0.46312197473868177</v>
      </c>
    </row>
    <row r="114" spans="1:20" x14ac:dyDescent="0.25">
      <c r="A114" s="5">
        <v>44479</v>
      </c>
      <c r="B114">
        <v>60.63</v>
      </c>
      <c r="C114">
        <v>61.01</v>
      </c>
      <c r="D114">
        <v>55.39</v>
      </c>
      <c r="E114">
        <v>56.51</v>
      </c>
      <c r="F114">
        <v>2515959.37</v>
      </c>
      <c r="G114">
        <v>56.51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-0.60142348754448471</v>
      </c>
      <c r="Q114">
        <f t="shared" ref="Q114" si="546">F114*P114</f>
        <v>-1513157.0588256246</v>
      </c>
      <c r="R114">
        <f t="shared" ref="R114" si="547">R115+Q114</f>
        <v>47800897.102387376</v>
      </c>
      <c r="S114">
        <f t="shared" ref="S114" si="548">R114/100000</f>
        <v>478.00897102387376</v>
      </c>
      <c r="T114">
        <f t="shared" ref="T114" si="549">S114/1000</f>
        <v>0.47800897102387374</v>
      </c>
    </row>
    <row r="115" spans="1:20" x14ac:dyDescent="0.25">
      <c r="A115" s="5">
        <v>44478</v>
      </c>
      <c r="B115">
        <v>60.52</v>
      </c>
      <c r="C115">
        <v>62.04</v>
      </c>
      <c r="D115">
        <v>59.7</v>
      </c>
      <c r="E115">
        <v>60.63</v>
      </c>
      <c r="F115">
        <v>1985268.84</v>
      </c>
      <c r="G115">
        <v>60.63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-0.20512820512820412</v>
      </c>
      <c r="Q115">
        <f t="shared" ref="Q115" si="551">F115*P115</f>
        <v>-407234.63384615188</v>
      </c>
      <c r="R115">
        <f t="shared" ref="R115" si="552">R116+Q115</f>
        <v>49314054.161213003</v>
      </c>
      <c r="S115">
        <f t="shared" ref="S115" si="553">R115/100000</f>
        <v>493.14054161213005</v>
      </c>
      <c r="T115">
        <f t="shared" ref="T115" si="554">S115/1000</f>
        <v>0.49314054161213006</v>
      </c>
    </row>
    <row r="116" spans="1:20" x14ac:dyDescent="0.25">
      <c r="A116" s="5">
        <v>44477</v>
      </c>
      <c r="B116">
        <v>61.53</v>
      </c>
      <c r="C116">
        <v>64.94</v>
      </c>
      <c r="D116">
        <v>59.76</v>
      </c>
      <c r="E116">
        <v>60.51</v>
      </c>
      <c r="F116">
        <v>4392451.3899999997</v>
      </c>
      <c r="G116">
        <v>60.51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-0.71042471042471045</v>
      </c>
      <c r="Q116">
        <f t="shared" ref="Q116" si="556">F116*P116</f>
        <v>-3120506.0067953668</v>
      </c>
      <c r="R116">
        <f t="shared" ref="R116" si="557">R117+Q116</f>
        <v>49721288.795059152</v>
      </c>
      <c r="S116">
        <f t="shared" ref="S116" si="558">R116/100000</f>
        <v>497.21288795059149</v>
      </c>
      <c r="T116">
        <f t="shared" ref="T116" si="559">S116/1000</f>
        <v>0.49721288795059149</v>
      </c>
    </row>
    <row r="117" spans="1:20" x14ac:dyDescent="0.25">
      <c r="A117" s="5">
        <v>44476</v>
      </c>
      <c r="B117">
        <v>60</v>
      </c>
      <c r="C117">
        <v>62.29</v>
      </c>
      <c r="D117">
        <v>57.39</v>
      </c>
      <c r="E117">
        <v>61.52</v>
      </c>
      <c r="F117">
        <v>4761648.55</v>
      </c>
      <c r="G117">
        <v>61.52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0.68571428571428727</v>
      </c>
      <c r="Q117">
        <f t="shared" ref="Q117" si="561">F117*P117</f>
        <v>3265130.4342857217</v>
      </c>
      <c r="R117">
        <f t="shared" ref="R117" si="562">R118+Q117</f>
        <v>52841794.801854521</v>
      </c>
      <c r="S117">
        <f t="shared" ref="S117" si="563">R117/100000</f>
        <v>528.41794801854519</v>
      </c>
      <c r="T117">
        <f t="shared" ref="T117" si="564">S117/1000</f>
        <v>0.52841794801854514</v>
      </c>
    </row>
    <row r="118" spans="1:20" x14ac:dyDescent="0.25">
      <c r="A118" s="5">
        <v>44475</v>
      </c>
      <c r="B118">
        <v>64.599999999999994</v>
      </c>
      <c r="C118">
        <v>65.760000000000005</v>
      </c>
      <c r="D118">
        <v>58.16</v>
      </c>
      <c r="E118">
        <v>60.01</v>
      </c>
      <c r="F118">
        <v>5068720.1399999997</v>
      </c>
      <c r="G118">
        <v>60.01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-0.51315789473684226</v>
      </c>
      <c r="Q118">
        <f t="shared" ref="Q118" si="566">F118*P118</f>
        <v>-2601053.7560526324</v>
      </c>
      <c r="R118">
        <f t="shared" ref="R118" si="567">R119+Q118</f>
        <v>49576664.367568798</v>
      </c>
      <c r="S118">
        <f t="shared" ref="S118" si="568">R118/100000</f>
        <v>495.76664367568799</v>
      </c>
      <c r="T118">
        <f t="shared" ref="T118" si="569">S118/1000</f>
        <v>0.49576664367568801</v>
      </c>
    </row>
    <row r="119" spans="1:20" x14ac:dyDescent="0.25">
      <c r="A119" s="5">
        <v>44474</v>
      </c>
      <c r="B119">
        <v>65.260000000000005</v>
      </c>
      <c r="C119">
        <v>66.78</v>
      </c>
      <c r="D119">
        <v>62.7</v>
      </c>
      <c r="E119">
        <v>64.599999999999994</v>
      </c>
      <c r="F119">
        <v>3831519.71</v>
      </c>
      <c r="G119">
        <v>64.599999999999994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-6.8627450980395951E-2</v>
      </c>
      <c r="Q119">
        <f t="shared" ref="Q119" si="571">F119*P119</f>
        <v>-262947.43107844592</v>
      </c>
      <c r="R119">
        <f t="shared" ref="R119" si="572">R120+Q119</f>
        <v>52177718.123621434</v>
      </c>
      <c r="S119">
        <f t="shared" ref="S119" si="573">R119/100000</f>
        <v>521.77718123621435</v>
      </c>
      <c r="T119">
        <f t="shared" ref="T119" si="574">S119/1000</f>
        <v>0.5217771812362143</v>
      </c>
    </row>
    <row r="120" spans="1:20" x14ac:dyDescent="0.25">
      <c r="A120" s="5">
        <v>44473</v>
      </c>
      <c r="B120">
        <v>68.69</v>
      </c>
      <c r="C120">
        <v>68.760000000000005</v>
      </c>
      <c r="D120">
        <v>63.3</v>
      </c>
      <c r="E120">
        <v>65.16</v>
      </c>
      <c r="F120">
        <v>4748994.9400000004</v>
      </c>
      <c r="G120">
        <v>65.16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-0.31868131868131988</v>
      </c>
      <c r="Q120">
        <f t="shared" ref="Q120" si="576">F120*P120</f>
        <v>-1513415.9698901158</v>
      </c>
      <c r="R120">
        <f t="shared" ref="R120" si="577">R121+Q120</f>
        <v>52440665.554699883</v>
      </c>
      <c r="S120">
        <f t="shared" ref="S120" si="578">R120/100000</f>
        <v>524.40665554699888</v>
      </c>
      <c r="T120">
        <f t="shared" ref="T120" si="579">S120/1000</f>
        <v>0.52440665554699883</v>
      </c>
    </row>
    <row r="121" spans="1:20" x14ac:dyDescent="0.25">
      <c r="A121" s="5">
        <v>44472</v>
      </c>
      <c r="B121">
        <v>69.09</v>
      </c>
      <c r="C121">
        <v>71.61</v>
      </c>
      <c r="D121">
        <v>67.55</v>
      </c>
      <c r="E121">
        <v>68.790000000000006</v>
      </c>
      <c r="F121">
        <v>4419852.24</v>
      </c>
      <c r="G121">
        <v>68.790000000000006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-0.38916256157635054</v>
      </c>
      <c r="Q121">
        <f t="shared" ref="Q121" si="581">F121*P121</f>
        <v>-1720041.0195073709</v>
      </c>
      <c r="R121">
        <f t="shared" ref="R121" si="582">R122+Q121</f>
        <v>53954081.524590001</v>
      </c>
      <c r="S121">
        <f t="shared" ref="S121" si="583">R121/100000</f>
        <v>539.54081524590003</v>
      </c>
      <c r="T121">
        <f t="shared" ref="T121" si="584">S121/1000</f>
        <v>0.53954081524590003</v>
      </c>
    </row>
    <row r="122" spans="1:20" x14ac:dyDescent="0.25">
      <c r="A122" s="5">
        <v>44471</v>
      </c>
      <c r="B122">
        <v>67.66</v>
      </c>
      <c r="C122">
        <v>73.41</v>
      </c>
      <c r="D122">
        <v>65.8</v>
      </c>
      <c r="E122">
        <v>69.08</v>
      </c>
      <c r="F122">
        <v>6536616.5199999996</v>
      </c>
      <c r="G122">
        <v>69.08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-0.13797634691195759</v>
      </c>
      <c r="Q122">
        <f t="shared" ref="Q122" si="586">F122*P122</f>
        <v>-901898.46859395294</v>
      </c>
      <c r="R122">
        <f t="shared" ref="R122" si="587">R123+Q122</f>
        <v>55674122.544097371</v>
      </c>
      <c r="S122">
        <f t="shared" ref="S122" si="588">R122/100000</f>
        <v>556.74122544097372</v>
      </c>
      <c r="T122">
        <f t="shared" ref="T122" si="589">S122/1000</f>
        <v>0.55674122544097371</v>
      </c>
    </row>
    <row r="123" spans="1:20" x14ac:dyDescent="0.25">
      <c r="A123" s="5">
        <v>44470</v>
      </c>
      <c r="B123">
        <v>66.64</v>
      </c>
      <c r="C123">
        <v>69.58</v>
      </c>
      <c r="D123">
        <v>63.12</v>
      </c>
      <c r="E123">
        <v>67.67</v>
      </c>
      <c r="F123">
        <v>6973676.0300000003</v>
      </c>
      <c r="G123">
        <v>67.67</v>
      </c>
      <c r="L123" t="s">
        <v>7</v>
      </c>
      <c r="M123" t="s">
        <v>7</v>
      </c>
      <c r="N123" t="s">
        <v>8</v>
      </c>
      <c r="P123">
        <f t="shared" ref="P123" si="590">IF(C123=D123,0,((E123-D123)-(C123-E123))/(C123-D123))</f>
        <v>0.40866873065015591</v>
      </c>
      <c r="Q123">
        <f t="shared" ref="Q123" si="591">F123*P123</f>
        <v>2849923.3311455185</v>
      </c>
      <c r="R123">
        <f t="shared" ref="R123" si="592">R124+Q123</f>
        <v>56576021.012691326</v>
      </c>
      <c r="S123">
        <f t="shared" ref="S123" si="593">R123/100000</f>
        <v>565.76021012691331</v>
      </c>
      <c r="T123">
        <f t="shared" ref="T123" si="594">S123/1000</f>
        <v>0.56576021012691335</v>
      </c>
    </row>
    <row r="124" spans="1:20" x14ac:dyDescent="0.25">
      <c r="A124" s="5">
        <v>44469</v>
      </c>
      <c r="B124">
        <v>65.459999999999994</v>
      </c>
      <c r="C124">
        <v>68.91</v>
      </c>
      <c r="D124">
        <v>64.28</v>
      </c>
      <c r="E124">
        <v>66.63</v>
      </c>
      <c r="F124">
        <v>5085384.45</v>
      </c>
      <c r="G124">
        <v>66.63</v>
      </c>
      <c r="L124" t="s">
        <v>7</v>
      </c>
      <c r="M124" t="s">
        <v>7</v>
      </c>
      <c r="N124" t="s">
        <v>8</v>
      </c>
      <c r="P124">
        <f t="shared" ref="P124" si="595">IF(C124=D124,0,((E124-D124)-(C124-E124))/(C124-D124))</f>
        <v>1.5118790496758801E-2</v>
      </c>
      <c r="Q124">
        <f t="shared" ref="Q124" si="596">F124*P124</f>
        <v>76884.86209502499</v>
      </c>
      <c r="R124">
        <f t="shared" ref="R124" si="597">R125+Q124</f>
        <v>53726097.681545809</v>
      </c>
      <c r="S124">
        <f t="shared" ref="S124" si="598">R124/100000</f>
        <v>537.26097681545809</v>
      </c>
      <c r="T124">
        <f t="shared" ref="T124" si="599">S124/1000</f>
        <v>0.53726097681545815</v>
      </c>
    </row>
    <row r="125" spans="1:20" x14ac:dyDescent="0.25">
      <c r="A125" s="5">
        <v>44468</v>
      </c>
      <c r="B125">
        <v>61.51</v>
      </c>
      <c r="C125">
        <v>69.5</v>
      </c>
      <c r="D125">
        <v>61.26</v>
      </c>
      <c r="E125">
        <v>65.459999999999994</v>
      </c>
      <c r="F125">
        <v>6780246.71</v>
      </c>
      <c r="G125">
        <v>65.459999999999994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1.9417475728154058E-2</v>
      </c>
      <c r="Q125">
        <f t="shared" ref="Q125" si="601">F125*P125</f>
        <v>131655.27592232139</v>
      </c>
      <c r="R125">
        <f t="shared" ref="R125" si="602">R126+Q125</f>
        <v>53649212.819450781</v>
      </c>
      <c r="S125">
        <f t="shared" ref="S125" si="603">R125/100000</f>
        <v>536.49212819450781</v>
      </c>
      <c r="T125">
        <f t="shared" ref="T125" si="604">S125/1000</f>
        <v>0.53649212819450787</v>
      </c>
    </row>
    <row r="126" spans="1:20" x14ac:dyDescent="0.25">
      <c r="A126" s="5">
        <v>44467</v>
      </c>
      <c r="B126">
        <v>66.34</v>
      </c>
      <c r="C126">
        <v>69.44</v>
      </c>
      <c r="D126">
        <v>61.11</v>
      </c>
      <c r="E126">
        <v>61.51</v>
      </c>
      <c r="F126">
        <v>4765761.7699999996</v>
      </c>
      <c r="G126">
        <v>61.51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-0.9039615846338539</v>
      </c>
      <c r="Q126">
        <f t="shared" ref="Q126" si="606">F126*P126</f>
        <v>-4308065.5615966404</v>
      </c>
      <c r="R126">
        <f t="shared" ref="R126" si="607">R127+Q126</f>
        <v>53517557.54352846</v>
      </c>
      <c r="S126">
        <f t="shared" ref="S126" si="608">R126/100000</f>
        <v>535.1755754352846</v>
      </c>
      <c r="T126">
        <f t="shared" ref="T126" si="609">S126/1000</f>
        <v>0.5351755754352846</v>
      </c>
    </row>
    <row r="127" spans="1:20" x14ac:dyDescent="0.25">
      <c r="A127" s="5">
        <v>44466</v>
      </c>
      <c r="B127">
        <v>66.77</v>
      </c>
      <c r="C127">
        <v>72.69</v>
      </c>
      <c r="D127">
        <v>65.31</v>
      </c>
      <c r="E127">
        <v>66.33</v>
      </c>
      <c r="F127">
        <v>5974772.5199999996</v>
      </c>
      <c r="G127">
        <v>66.33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-0.72357723577235866</v>
      </c>
      <c r="Q127">
        <f t="shared" ref="Q127" si="611">F127*P127</f>
        <v>-4323209.3843902489</v>
      </c>
      <c r="R127">
        <f t="shared" ref="R127" si="612">R128+Q127</f>
        <v>57825623.105125099</v>
      </c>
      <c r="S127">
        <f t="shared" ref="S127" si="613">R127/100000</f>
        <v>578.25623105125101</v>
      </c>
      <c r="T127">
        <f t="shared" ref="T127" si="614">S127/1000</f>
        <v>0.57825623105125101</v>
      </c>
    </row>
    <row r="128" spans="1:20" x14ac:dyDescent="0.25">
      <c r="A128" s="5">
        <v>44465</v>
      </c>
      <c r="B128">
        <v>68.28</v>
      </c>
      <c r="C128">
        <v>71.44</v>
      </c>
      <c r="D128">
        <v>61.59</v>
      </c>
      <c r="E128">
        <v>66.77</v>
      </c>
      <c r="F128">
        <v>6395395.4000000004</v>
      </c>
      <c r="G128">
        <v>66.77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5.1776649746191998E-2</v>
      </c>
      <c r="Q128">
        <f t="shared" ref="Q128" si="616">F128*P128</f>
        <v>331132.14761420747</v>
      </c>
      <c r="R128">
        <f t="shared" ref="R128" si="617">R129+Q128</f>
        <v>62148832.489515349</v>
      </c>
      <c r="S128">
        <f t="shared" ref="S128" si="618">R128/100000</f>
        <v>621.48832489515348</v>
      </c>
      <c r="T128">
        <f t="shared" ref="T128" si="619">S128/1000</f>
        <v>0.62148832489515349</v>
      </c>
    </row>
    <row r="129" spans="1:20" x14ac:dyDescent="0.25">
      <c r="A129" s="5">
        <v>44464</v>
      </c>
      <c r="B129">
        <v>72.3</v>
      </c>
      <c r="C129">
        <v>72.599999999999994</v>
      </c>
      <c r="D129">
        <v>67.5</v>
      </c>
      <c r="E129">
        <v>68.28</v>
      </c>
      <c r="F129">
        <v>4943069.71</v>
      </c>
      <c r="G129">
        <v>68.28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-0.69411764705882273</v>
      </c>
      <c r="Q129">
        <f t="shared" ref="Q129" si="621">F129*P129</f>
        <v>-3431071.916352937</v>
      </c>
      <c r="R129">
        <f t="shared" ref="R129" si="622">R130+Q129</f>
        <v>61817700.341901138</v>
      </c>
      <c r="S129">
        <f t="shared" ref="S129" si="623">R129/100000</f>
        <v>618.17700341901138</v>
      </c>
      <c r="T129">
        <f t="shared" ref="T129" si="624">S129/1000</f>
        <v>0.61817700341901138</v>
      </c>
    </row>
    <row r="130" spans="1:20" x14ac:dyDescent="0.25">
      <c r="A130" s="5">
        <v>44463</v>
      </c>
      <c r="B130">
        <v>76.430000000000007</v>
      </c>
      <c r="C130">
        <v>78.86</v>
      </c>
      <c r="D130">
        <v>66.59</v>
      </c>
      <c r="E130">
        <v>72.31</v>
      </c>
      <c r="F130">
        <v>11472906.449999999</v>
      </c>
      <c r="G130">
        <v>72.31</v>
      </c>
      <c r="L130" t="s">
        <v>7</v>
      </c>
      <c r="M130" t="s">
        <v>8</v>
      </c>
      <c r="N130" t="s">
        <v>8</v>
      </c>
      <c r="P130">
        <f t="shared" ref="P130" si="625">IF(C130=D130,0,((E130-D130)-(C130-E130))/(C130-D130))</f>
        <v>-6.7644661776690998E-2</v>
      </c>
      <c r="Q130">
        <f t="shared" ref="Q130" si="626">F130*P130</f>
        <v>-776080.87640586658</v>
      </c>
      <c r="R130">
        <f t="shared" ref="R130" si="627">R131+Q130</f>
        <v>65248772.258254074</v>
      </c>
      <c r="S130">
        <f t="shared" ref="S130" si="628">R130/100000</f>
        <v>652.48772258254075</v>
      </c>
      <c r="T130">
        <f t="shared" ref="T130" si="629">S130/1000</f>
        <v>0.65248772258254073</v>
      </c>
    </row>
    <row r="131" spans="1:20" x14ac:dyDescent="0.25">
      <c r="A131" s="5">
        <v>44462</v>
      </c>
      <c r="B131">
        <v>74.040000000000006</v>
      </c>
      <c r="C131">
        <v>79.8</v>
      </c>
      <c r="D131">
        <v>72.760000000000005</v>
      </c>
      <c r="E131">
        <v>76.44</v>
      </c>
      <c r="F131">
        <v>11366707.859999999</v>
      </c>
      <c r="G131">
        <v>76.44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4.545454545454454E-2</v>
      </c>
      <c r="Q131">
        <f t="shared" ref="Q131" si="631">F131*P131</f>
        <v>516668.53909089864</v>
      </c>
      <c r="R131">
        <f t="shared" ref="R131" si="632">R132+Q131</f>
        <v>66024853.134659939</v>
      </c>
      <c r="S131">
        <f t="shared" ref="S131" si="633">R131/100000</f>
        <v>660.24853134659941</v>
      </c>
      <c r="T131">
        <f t="shared" ref="T131" si="634">S131/1000</f>
        <v>0.66024853134659944</v>
      </c>
    </row>
    <row r="132" spans="1:20" x14ac:dyDescent="0.25">
      <c r="A132" s="5">
        <v>44461</v>
      </c>
      <c r="B132">
        <v>59</v>
      </c>
      <c r="C132">
        <v>74.69</v>
      </c>
      <c r="D132">
        <v>57.72</v>
      </c>
      <c r="E132">
        <v>74.069999999999993</v>
      </c>
      <c r="F132">
        <v>13033656.1</v>
      </c>
      <c r="G132">
        <v>74.069999999999993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0.92692987625220924</v>
      </c>
      <c r="Q132">
        <f t="shared" ref="Q132" si="636">F132*P132</f>
        <v>12081285.235886851</v>
      </c>
      <c r="R132">
        <f t="shared" ref="R132" si="637">R133+Q132</f>
        <v>65508184.595569037</v>
      </c>
      <c r="S132">
        <f t="shared" ref="S132" si="638">R132/100000</f>
        <v>655.08184595569037</v>
      </c>
      <c r="T132">
        <f t="shared" ref="T132" si="639">S132/1000</f>
        <v>0.65508184595569041</v>
      </c>
    </row>
    <row r="133" spans="1:20" x14ac:dyDescent="0.25">
      <c r="A133" s="5">
        <v>44460</v>
      </c>
      <c r="B133">
        <v>57.34</v>
      </c>
      <c r="C133">
        <v>66.239999999999995</v>
      </c>
      <c r="D133">
        <v>52.55</v>
      </c>
      <c r="E133">
        <v>58.98</v>
      </c>
      <c r="F133">
        <v>15940591.439999999</v>
      </c>
      <c r="G133">
        <v>58.98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-6.0628195763330783E-2</v>
      </c>
      <c r="Q133">
        <f t="shared" ref="Q133" si="641">F133*P133</f>
        <v>-966449.29840759491</v>
      </c>
      <c r="R133">
        <f t="shared" ref="R133" si="642">R134+Q133</f>
        <v>53426899.359682187</v>
      </c>
      <c r="S133">
        <f t="shared" ref="S133" si="643">R133/100000</f>
        <v>534.26899359682193</v>
      </c>
      <c r="T133">
        <f t="shared" ref="T133" si="644">S133/1000</f>
        <v>0.5342689935968219</v>
      </c>
    </row>
    <row r="134" spans="1:20" x14ac:dyDescent="0.25">
      <c r="A134" s="5">
        <v>44459</v>
      </c>
      <c r="B134">
        <v>70.06</v>
      </c>
      <c r="C134">
        <v>70.45</v>
      </c>
      <c r="D134">
        <v>60.83</v>
      </c>
      <c r="E134">
        <v>62.97</v>
      </c>
      <c r="F134">
        <v>5878520.9699999997</v>
      </c>
      <c r="G134">
        <v>62.97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-0.55509355509355518</v>
      </c>
      <c r="Q134">
        <f t="shared" ref="Q134" si="646">F134*P134</f>
        <v>-3263129.1039293143</v>
      </c>
      <c r="R134">
        <f t="shared" ref="R134" si="647">R135+Q134</f>
        <v>54393348.658089779</v>
      </c>
      <c r="S134">
        <f t="shared" ref="S134" si="648">R134/100000</f>
        <v>543.93348658089781</v>
      </c>
      <c r="T134">
        <f t="shared" ref="T134" si="649">S134/1000</f>
        <v>0.5439334865808978</v>
      </c>
    </row>
    <row r="135" spans="1:20" x14ac:dyDescent="0.25">
      <c r="A135" s="5">
        <v>44458</v>
      </c>
      <c r="B135">
        <v>69.02</v>
      </c>
      <c r="C135">
        <v>76.27</v>
      </c>
      <c r="D135">
        <v>66.42</v>
      </c>
      <c r="E135">
        <v>70.069999999999993</v>
      </c>
      <c r="F135">
        <v>9524488.5510000009</v>
      </c>
      <c r="G135">
        <v>70.069999999999993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-0.2588832487309658</v>
      </c>
      <c r="Q135">
        <f t="shared" ref="Q135" si="651">F135*P135</f>
        <v>-2465730.5385837695</v>
      </c>
      <c r="R135">
        <f t="shared" ref="R135" si="652">R136+Q135</f>
        <v>57656477.76201909</v>
      </c>
      <c r="S135">
        <f t="shared" ref="S135" si="653">R135/100000</f>
        <v>576.56477762019085</v>
      </c>
      <c r="T135">
        <f t="shared" ref="T135" si="654">S135/1000</f>
        <v>0.57656477762019087</v>
      </c>
    </row>
    <row r="136" spans="1:20" x14ac:dyDescent="0.25">
      <c r="A136" s="5">
        <v>44457</v>
      </c>
      <c r="B136">
        <v>70.150000000000006</v>
      </c>
      <c r="C136">
        <v>75.59</v>
      </c>
      <c r="D136">
        <v>67.16</v>
      </c>
      <c r="E136">
        <v>69.02</v>
      </c>
      <c r="F136">
        <v>10521283.488</v>
      </c>
      <c r="G136">
        <v>69.02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-0.55871886120996495</v>
      </c>
      <c r="Q136">
        <f t="shared" ref="Q136" si="656">F136*P136</f>
        <v>-5878439.5288825678</v>
      </c>
      <c r="R136">
        <f t="shared" ref="R136" si="657">R137+Q136</f>
        <v>60122208.300602861</v>
      </c>
      <c r="S136">
        <f t="shared" ref="S136" si="658">R136/100000</f>
        <v>601.22208300602858</v>
      </c>
      <c r="T136">
        <f t="shared" ref="T136" si="659">S136/1000</f>
        <v>0.60122208300602853</v>
      </c>
    </row>
    <row r="137" spans="1:20" x14ac:dyDescent="0.25">
      <c r="A137" s="5">
        <v>44456</v>
      </c>
      <c r="B137">
        <v>67.59</v>
      </c>
      <c r="C137">
        <v>70.900000000000006</v>
      </c>
      <c r="D137">
        <v>60.36</v>
      </c>
      <c r="E137">
        <v>70.11</v>
      </c>
      <c r="F137">
        <v>10905615.525</v>
      </c>
      <c r="G137">
        <v>70.11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0.85009487666034045</v>
      </c>
      <c r="Q137">
        <f t="shared" ref="Q137" si="661">F137*P137</f>
        <v>9270807.8846299686</v>
      </c>
      <c r="R137">
        <f t="shared" ref="R137" si="662">R138+Q137</f>
        <v>66000647.829485431</v>
      </c>
      <c r="S137">
        <f t="shared" ref="S137" si="663">R137/100000</f>
        <v>660.00647829485433</v>
      </c>
      <c r="T137">
        <f t="shared" ref="T137" si="664">S137/1000</f>
        <v>0.66000647829485437</v>
      </c>
    </row>
    <row r="138" spans="1:20" x14ac:dyDescent="0.25">
      <c r="A138" s="5">
        <v>44455</v>
      </c>
      <c r="B138">
        <v>57.83</v>
      </c>
      <c r="C138">
        <v>68.33</v>
      </c>
      <c r="D138">
        <v>57.17</v>
      </c>
      <c r="E138">
        <v>67.56</v>
      </c>
      <c r="F138">
        <v>15000080.374</v>
      </c>
      <c r="G138">
        <v>67.56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0.862007168458782</v>
      </c>
      <c r="Q138">
        <f t="shared" ref="Q138" si="666">F138*P138</f>
        <v>12930176.809845887</v>
      </c>
      <c r="R138">
        <f t="shared" ref="R138" si="667">R139+Q138</f>
        <v>56729839.944855466</v>
      </c>
      <c r="S138">
        <f t="shared" ref="S138" si="668">R138/100000</f>
        <v>567.29839944855462</v>
      </c>
      <c r="T138">
        <f t="shared" ref="T138" si="669">S138/1000</f>
        <v>0.56729839944855465</v>
      </c>
    </row>
    <row r="139" spans="1:20" x14ac:dyDescent="0.25">
      <c r="A139" s="5">
        <v>44454</v>
      </c>
      <c r="B139">
        <v>51.51</v>
      </c>
      <c r="C139">
        <v>58.18</v>
      </c>
      <c r="D139">
        <v>50.3</v>
      </c>
      <c r="E139">
        <v>57.84</v>
      </c>
      <c r="F139">
        <v>6756093.54</v>
      </c>
      <c r="G139">
        <v>57.84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0.91370558375634614</v>
      </c>
      <c r="Q139">
        <f t="shared" ref="Q139" si="671">F139*P139</f>
        <v>6173080.3918781793</v>
      </c>
      <c r="R139">
        <f t="shared" ref="R139" si="672">R140+Q139</f>
        <v>43799663.135009579</v>
      </c>
      <c r="S139">
        <f t="shared" ref="S139" si="673">R139/100000</f>
        <v>437.99663135009581</v>
      </c>
      <c r="T139">
        <f t="shared" ref="T139" si="674">S139/1000</f>
        <v>0.43799663135009581</v>
      </c>
    </row>
    <row r="140" spans="1:20" x14ac:dyDescent="0.25">
      <c r="A140" s="5">
        <v>44453</v>
      </c>
      <c r="B140">
        <v>53.14</v>
      </c>
      <c r="C140">
        <v>57.63</v>
      </c>
      <c r="D140">
        <v>48.8</v>
      </c>
      <c r="E140">
        <v>51.5</v>
      </c>
      <c r="F140">
        <v>8170590.0499999998</v>
      </c>
      <c r="G140">
        <v>51.5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-0.38844847112117753</v>
      </c>
      <c r="Q140">
        <f t="shared" ref="Q140" si="676">F140*P140</f>
        <v>-3173853.2130804053</v>
      </c>
      <c r="R140">
        <f t="shared" ref="R140" si="677">R141+Q140</f>
        <v>37626582.743131399</v>
      </c>
      <c r="S140">
        <f t="shared" ref="S140" si="678">R140/100000</f>
        <v>376.26582743131399</v>
      </c>
      <c r="T140">
        <f t="shared" ref="T140" si="679">S140/1000</f>
        <v>0.37626582743131398</v>
      </c>
    </row>
    <row r="141" spans="1:20" x14ac:dyDescent="0.25">
      <c r="A141" s="5">
        <v>44452</v>
      </c>
      <c r="B141">
        <v>59.21</v>
      </c>
      <c r="C141">
        <v>60.92</v>
      </c>
      <c r="D141">
        <v>47.66</v>
      </c>
      <c r="E141">
        <v>53.15</v>
      </c>
      <c r="F141">
        <v>17195092.800000001</v>
      </c>
      <c r="G141">
        <v>53.15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-0.17194570135746609</v>
      </c>
      <c r="Q141">
        <f t="shared" ref="Q141" si="681">F141*P141</f>
        <v>-2956622.2914027157</v>
      </c>
      <c r="R141">
        <f t="shared" ref="R141" si="682">R142+Q141</f>
        <v>40800435.956211805</v>
      </c>
      <c r="S141">
        <f t="shared" ref="S141" si="683">R141/100000</f>
        <v>408.00435956211805</v>
      </c>
      <c r="T141">
        <f t="shared" ref="T141" si="684">S141/1000</f>
        <v>0.40800435956211806</v>
      </c>
    </row>
    <row r="142" spans="1:20" x14ac:dyDescent="0.25">
      <c r="A142" s="5">
        <v>44451</v>
      </c>
      <c r="B142">
        <v>57.02</v>
      </c>
      <c r="C142">
        <v>64.900000000000006</v>
      </c>
      <c r="D142">
        <v>53.59</v>
      </c>
      <c r="E142">
        <v>59.22</v>
      </c>
      <c r="F142">
        <v>16140497.309</v>
      </c>
      <c r="G142">
        <v>59.22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-4.4208664898330117E-3</v>
      </c>
      <c r="Q142">
        <f t="shared" ref="Q142" si="686">F142*P142</f>
        <v>-71354.983682598002</v>
      </c>
      <c r="R142">
        <f t="shared" ref="R142" si="687">R143+Q142</f>
        <v>43757058.247614518</v>
      </c>
      <c r="S142">
        <f t="shared" ref="S142" si="688">R142/100000</f>
        <v>437.5705824761452</v>
      </c>
      <c r="T142">
        <f t="shared" ref="T142" si="689">S142/1000</f>
        <v>0.43757058247614522</v>
      </c>
    </row>
    <row r="143" spans="1:20" x14ac:dyDescent="0.25">
      <c r="A143" s="5">
        <v>44450</v>
      </c>
      <c r="B143">
        <v>49.33</v>
      </c>
      <c r="C143">
        <v>59.25</v>
      </c>
      <c r="D143">
        <v>48.11</v>
      </c>
      <c r="E143">
        <v>57.02</v>
      </c>
      <c r="F143">
        <v>16295853.415999999</v>
      </c>
      <c r="G143">
        <v>57.02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0.59964093357271153</v>
      </c>
      <c r="Q143">
        <f t="shared" ref="Q143" si="691">F143*P143</f>
        <v>9771660.7557343002</v>
      </c>
      <c r="R143">
        <f t="shared" ref="R143" si="692">R144+Q143</f>
        <v>43828413.231297113</v>
      </c>
      <c r="S143">
        <f t="shared" ref="S143" si="693">R143/100000</f>
        <v>438.28413231297111</v>
      </c>
      <c r="T143">
        <f t="shared" ref="T143" si="694">S143/1000</f>
        <v>0.43828413231297109</v>
      </c>
    </row>
    <row r="144" spans="1:20" x14ac:dyDescent="0.25">
      <c r="A144" s="5">
        <v>44449</v>
      </c>
      <c r="B144">
        <v>40.75</v>
      </c>
      <c r="C144">
        <v>49.7</v>
      </c>
      <c r="D144">
        <v>40.380000000000003</v>
      </c>
      <c r="E144">
        <v>49.3</v>
      </c>
      <c r="F144">
        <v>17253541.93</v>
      </c>
      <c r="G144">
        <v>49.3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0.91416309012875419</v>
      </c>
      <c r="Q144">
        <f t="shared" ref="Q144" si="696">F144*P144</f>
        <v>15772551.206394829</v>
      </c>
      <c r="R144">
        <f t="shared" ref="R144" si="697">R145+Q144</f>
        <v>34056752.475562811</v>
      </c>
      <c r="S144">
        <f t="shared" ref="S144" si="698">R144/100000</f>
        <v>340.56752475562809</v>
      </c>
      <c r="T144">
        <f t="shared" ref="T144" si="699">S144/1000</f>
        <v>0.34056752475562807</v>
      </c>
    </row>
    <row r="145" spans="1:20" x14ac:dyDescent="0.25">
      <c r="A145" s="5">
        <v>44448</v>
      </c>
      <c r="B145">
        <v>37.03</v>
      </c>
      <c r="C145">
        <v>44.6</v>
      </c>
      <c r="D145">
        <v>36.21</v>
      </c>
      <c r="E145">
        <v>40.770000000000003</v>
      </c>
      <c r="F145">
        <v>10152448.674000001</v>
      </c>
      <c r="G145">
        <v>40.770000000000003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8.7008343265793084E-2</v>
      </c>
      <c r="Q145">
        <f t="shared" ref="Q145" si="701">F145*P145</f>
        <v>883347.73921573791</v>
      </c>
      <c r="R145">
        <f t="shared" ref="R145" si="702">R146+Q145</f>
        <v>18284201.269167978</v>
      </c>
      <c r="S145">
        <f t="shared" ref="S145" si="703">R145/100000</f>
        <v>182.84201269167977</v>
      </c>
      <c r="T145">
        <f t="shared" ref="T145" si="704">S145/1000</f>
        <v>0.18284201269167977</v>
      </c>
    </row>
    <row r="146" spans="1:20" x14ac:dyDescent="0.25">
      <c r="A146" s="5">
        <v>44447</v>
      </c>
      <c r="B146">
        <v>37.97</v>
      </c>
      <c r="C146">
        <v>39.5</v>
      </c>
      <c r="D146">
        <v>33.08</v>
      </c>
      <c r="E146">
        <v>37</v>
      </c>
      <c r="F146">
        <v>7464147.8300000001</v>
      </c>
      <c r="G146">
        <v>37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0.22118380062305318</v>
      </c>
      <c r="Q146">
        <f t="shared" ref="Q146" si="706">F146*P146</f>
        <v>1650948.5854517152</v>
      </c>
      <c r="R146">
        <f t="shared" ref="R146" si="707">R147+Q146</f>
        <v>17400853.529952239</v>
      </c>
      <c r="S146">
        <f t="shared" ref="S146" si="708">R146/100000</f>
        <v>174.00853529952238</v>
      </c>
      <c r="T146">
        <f t="shared" ref="T146" si="709">S146/1000</f>
        <v>0.17400853529952237</v>
      </c>
    </row>
    <row r="147" spans="1:20" x14ac:dyDescent="0.25">
      <c r="A147" s="5">
        <v>44446</v>
      </c>
      <c r="B147">
        <v>47.11</v>
      </c>
      <c r="C147">
        <v>47.2</v>
      </c>
      <c r="D147">
        <v>32.229999999999997</v>
      </c>
      <c r="E147">
        <v>37.93</v>
      </c>
      <c r="F147">
        <v>12849059.617000001</v>
      </c>
      <c r="G147">
        <v>37.93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-0.23847695390781556</v>
      </c>
      <c r="Q147">
        <f t="shared" ref="Q147" si="711">F147*P147</f>
        <v>-3064204.5980420834</v>
      </c>
      <c r="R147">
        <f t="shared" ref="R147" si="712">R148+Q147</f>
        <v>15749904.944500523</v>
      </c>
      <c r="S147">
        <f t="shared" ref="S147" si="713">R147/100000</f>
        <v>157.49904944500523</v>
      </c>
      <c r="T147">
        <f t="shared" ref="T147" si="714">S147/1000</f>
        <v>0.15749904944500523</v>
      </c>
    </row>
    <row r="148" spans="1:20" x14ac:dyDescent="0.25">
      <c r="A148" s="5">
        <v>44445</v>
      </c>
      <c r="B148">
        <v>48.14</v>
      </c>
      <c r="C148">
        <v>51.36</v>
      </c>
      <c r="D148">
        <v>42.45</v>
      </c>
      <c r="E148">
        <v>47.1</v>
      </c>
      <c r="F148">
        <v>7931732.2199999997</v>
      </c>
      <c r="G148">
        <v>47.1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4.3771043771043849E-2</v>
      </c>
      <c r="Q148">
        <f t="shared" ref="Q148" si="716">F148*P148</f>
        <v>347180.19818181876</v>
      </c>
      <c r="R148">
        <f t="shared" ref="R148" si="717">R149+Q148</f>
        <v>18814109.542542607</v>
      </c>
      <c r="S148">
        <f t="shared" ref="S148" si="718">R148/100000</f>
        <v>188.14109542542607</v>
      </c>
      <c r="T148">
        <f t="shared" ref="T148" si="719">S148/1000</f>
        <v>0.18814109542542606</v>
      </c>
    </row>
    <row r="149" spans="1:20" x14ac:dyDescent="0.25">
      <c r="A149" s="5">
        <v>44444</v>
      </c>
      <c r="B149">
        <v>47.19</v>
      </c>
      <c r="C149">
        <v>49.4</v>
      </c>
      <c r="D149">
        <v>45.44</v>
      </c>
      <c r="E149">
        <v>48.15</v>
      </c>
      <c r="F149">
        <v>5904540.1900000004</v>
      </c>
      <c r="G149">
        <v>48.15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0.36868686868686884</v>
      </c>
      <c r="Q149">
        <f t="shared" ref="Q149" si="721">F149*P149</f>
        <v>2176926.4336868697</v>
      </c>
      <c r="R149">
        <f t="shared" ref="R149" si="722">R150+Q149</f>
        <v>18466929.344360787</v>
      </c>
      <c r="S149">
        <f t="shared" ref="S149" si="723">R149/100000</f>
        <v>184.66929344360787</v>
      </c>
      <c r="T149">
        <f t="shared" ref="T149" si="724">S149/1000</f>
        <v>0.18466929344360786</v>
      </c>
    </row>
    <row r="150" spans="1:20" x14ac:dyDescent="0.25">
      <c r="A150" s="5">
        <v>44443</v>
      </c>
      <c r="B150">
        <v>45.9</v>
      </c>
      <c r="C150">
        <v>49.88</v>
      </c>
      <c r="D150">
        <v>44.07</v>
      </c>
      <c r="E150">
        <v>47.15</v>
      </c>
      <c r="F150">
        <v>6077749.2800000003</v>
      </c>
      <c r="G150">
        <v>47.15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6.0240963855420687E-2</v>
      </c>
      <c r="Q150">
        <f t="shared" ref="Q150" si="726">F150*P150</f>
        <v>366129.47469878913</v>
      </c>
      <c r="R150">
        <f t="shared" ref="R150" si="727">R151+Q150</f>
        <v>16290002.910673916</v>
      </c>
      <c r="S150">
        <f t="shared" ref="S150" si="728">R150/100000</f>
        <v>162.90002910673917</v>
      </c>
      <c r="T150">
        <f t="shared" ref="T150" si="729">S150/1000</f>
        <v>0.16290002910673917</v>
      </c>
    </row>
    <row r="151" spans="1:20" x14ac:dyDescent="0.25">
      <c r="A151" s="5">
        <v>44442</v>
      </c>
      <c r="B151">
        <v>47.6</v>
      </c>
      <c r="C151">
        <v>51.66</v>
      </c>
      <c r="D151">
        <v>44.45</v>
      </c>
      <c r="E151">
        <v>45.89</v>
      </c>
      <c r="F151">
        <v>9097559.6600000001</v>
      </c>
      <c r="G151">
        <v>45.89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-0.60055478502080473</v>
      </c>
      <c r="Q151">
        <f t="shared" ref="Q151" si="731">F151*P151</f>
        <v>-5463582.9858252453</v>
      </c>
      <c r="R151">
        <f t="shared" ref="R151" si="732">R152+Q151</f>
        <v>15923873.435975127</v>
      </c>
      <c r="S151">
        <f t="shared" ref="S151" si="733">R151/100000</f>
        <v>159.23873435975128</v>
      </c>
      <c r="T151">
        <f t="shared" ref="T151" si="734">S151/1000</f>
        <v>0.15923873435975128</v>
      </c>
    </row>
    <row r="152" spans="1:20" x14ac:dyDescent="0.25">
      <c r="A152" s="5">
        <v>44441</v>
      </c>
      <c r="B152">
        <v>42.5</v>
      </c>
      <c r="C152">
        <v>47.98</v>
      </c>
      <c r="D152">
        <v>41</v>
      </c>
      <c r="E152">
        <v>47.58</v>
      </c>
      <c r="F152">
        <v>6481497.6799999997</v>
      </c>
      <c r="G152">
        <v>47.58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0.88538681948424103</v>
      </c>
      <c r="Q152">
        <f t="shared" ref="Q152" si="736">F152*P152</f>
        <v>5738632.6163896872</v>
      </c>
      <c r="R152">
        <f t="shared" ref="R152" si="737">R153+Q152</f>
        <v>21387456.421800371</v>
      </c>
      <c r="S152">
        <f t="shared" ref="S152" si="738">R152/100000</f>
        <v>213.87456421800371</v>
      </c>
      <c r="T152">
        <f t="shared" ref="T152" si="739">S152/1000</f>
        <v>0.21387456421800372</v>
      </c>
    </row>
    <row r="153" spans="1:20" x14ac:dyDescent="0.25">
      <c r="A153" s="5">
        <v>44440</v>
      </c>
      <c r="B153">
        <v>39.51</v>
      </c>
      <c r="C153">
        <v>45.71</v>
      </c>
      <c r="D153">
        <v>38.549999999999997</v>
      </c>
      <c r="E153">
        <v>42.47</v>
      </c>
      <c r="F153">
        <v>7820541.2170000002</v>
      </c>
      <c r="G153">
        <v>42.47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9.4972067039106059E-2</v>
      </c>
      <c r="Q153">
        <f t="shared" ref="Q153" si="741">F153*P153</f>
        <v>742732.96474301605</v>
      </c>
      <c r="R153">
        <f t="shared" ref="R153" si="742">R154+Q153</f>
        <v>15648823.805410685</v>
      </c>
      <c r="S153">
        <f t="shared" ref="S153" si="743">R153/100000</f>
        <v>156.48823805410686</v>
      </c>
      <c r="T153">
        <f t="shared" ref="T153" si="744">S153/1000</f>
        <v>0.15648823805410686</v>
      </c>
    </row>
    <row r="154" spans="1:20" x14ac:dyDescent="0.25">
      <c r="A154" s="5">
        <v>44439</v>
      </c>
      <c r="B154">
        <v>41.42</v>
      </c>
      <c r="C154">
        <v>44.22</v>
      </c>
      <c r="D154">
        <v>38.17</v>
      </c>
      <c r="E154">
        <v>39.5</v>
      </c>
      <c r="F154">
        <v>6855430.9160000002</v>
      </c>
      <c r="G154">
        <v>39.5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-0.56033057851239709</v>
      </c>
      <c r="Q154">
        <f t="shared" ref="Q154" si="746">F154*P154</f>
        <v>-3841307.5711140526</v>
      </c>
      <c r="R154">
        <f t="shared" ref="R154" si="747">R155+Q154</f>
        <v>14906090.840667669</v>
      </c>
      <c r="S154">
        <f t="shared" ref="S154" si="748">R154/100000</f>
        <v>149.06090840667667</v>
      </c>
      <c r="T154">
        <f t="shared" ref="T154" si="749">S154/1000</f>
        <v>0.14906090840667668</v>
      </c>
    </row>
    <row r="155" spans="1:20" x14ac:dyDescent="0.25">
      <c r="A155" s="5">
        <v>44438</v>
      </c>
      <c r="B155">
        <v>47.43</v>
      </c>
      <c r="C155">
        <v>48.33</v>
      </c>
      <c r="D155">
        <v>41</v>
      </c>
      <c r="E155">
        <v>41.44</v>
      </c>
      <c r="F155">
        <v>6827433.1500000004</v>
      </c>
      <c r="G155">
        <v>41.44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-0.87994542974079182</v>
      </c>
      <c r="Q155">
        <f t="shared" ref="Q155" si="751">F155*P155</f>
        <v>-6007768.597203278</v>
      </c>
      <c r="R155">
        <f t="shared" ref="R155" si="752">R156+Q155</f>
        <v>18747398.411781721</v>
      </c>
      <c r="S155">
        <f t="shared" ref="S155" si="753">R155/100000</f>
        <v>187.4739841178172</v>
      </c>
      <c r="T155">
        <f t="shared" ref="T155" si="754">S155/1000</f>
        <v>0.18747398411781718</v>
      </c>
    </row>
    <row r="156" spans="1:20" x14ac:dyDescent="0.25">
      <c r="A156" s="5">
        <v>44437</v>
      </c>
      <c r="B156">
        <v>50.2</v>
      </c>
      <c r="C156">
        <v>52.4</v>
      </c>
      <c r="D156">
        <v>46.66</v>
      </c>
      <c r="E156">
        <v>47.39</v>
      </c>
      <c r="F156">
        <v>5176181.9009999996</v>
      </c>
      <c r="G156">
        <v>47.39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-0.74564459930313454</v>
      </c>
      <c r="Q156">
        <f t="shared" ref="Q156" si="756">F156*P156</f>
        <v>-3859592.0794912819</v>
      </c>
      <c r="R156">
        <f t="shared" ref="R156" si="757">R157+Q156</f>
        <v>24755167.008984998</v>
      </c>
      <c r="S156">
        <f t="shared" ref="S156" si="758">R156/100000</f>
        <v>247.55167008984998</v>
      </c>
      <c r="T156">
        <f t="shared" ref="T156" si="759">S156/1000</f>
        <v>0.24755167008984999</v>
      </c>
    </row>
    <row r="157" spans="1:20" x14ac:dyDescent="0.25">
      <c r="A157" s="5">
        <v>44436</v>
      </c>
      <c r="B157">
        <v>50.12</v>
      </c>
      <c r="C157">
        <v>51.79</v>
      </c>
      <c r="D157">
        <v>46.12</v>
      </c>
      <c r="E157">
        <v>50.2</v>
      </c>
      <c r="F157">
        <v>7177328.3640000001</v>
      </c>
      <c r="G157">
        <v>50.2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0.43915343915344063</v>
      </c>
      <c r="Q157">
        <f t="shared" ref="Q157" si="761">F157*P157</f>
        <v>3151948.4349841378</v>
      </c>
      <c r="R157">
        <f t="shared" ref="R157" si="762">R158+Q157</f>
        <v>28614759.088476282</v>
      </c>
      <c r="S157">
        <f t="shared" ref="S157" si="763">R157/100000</f>
        <v>286.14759088476279</v>
      </c>
      <c r="T157">
        <f t="shared" ref="T157" si="764">S157/1000</f>
        <v>0.28614759088476277</v>
      </c>
    </row>
    <row r="158" spans="1:20" x14ac:dyDescent="0.25">
      <c r="A158" s="5">
        <v>44435</v>
      </c>
      <c r="B158">
        <v>41.32</v>
      </c>
      <c r="C158">
        <v>50.47</v>
      </c>
      <c r="D158">
        <v>40.299999999999997</v>
      </c>
      <c r="E158">
        <v>50.14</v>
      </c>
      <c r="F158">
        <v>10990447.097999999</v>
      </c>
      <c r="G158">
        <v>50.14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0.93510324483775842</v>
      </c>
      <c r="Q158">
        <f t="shared" ref="Q158" si="766">F158*P158</f>
        <v>10277202.743557524</v>
      </c>
      <c r="R158">
        <f t="shared" ref="R158" si="767">R159+Q158</f>
        <v>25462810.653492145</v>
      </c>
      <c r="S158">
        <f t="shared" ref="S158" si="768">R158/100000</f>
        <v>254.62810653492144</v>
      </c>
      <c r="T158">
        <f t="shared" ref="T158" si="769">S158/1000</f>
        <v>0.25462810653492146</v>
      </c>
    </row>
    <row r="159" spans="1:20" x14ac:dyDescent="0.25">
      <c r="A159" s="5">
        <v>44434</v>
      </c>
      <c r="B159">
        <v>46.210999999999999</v>
      </c>
      <c r="C159">
        <v>48.463000000000001</v>
      </c>
      <c r="D159">
        <v>41.2</v>
      </c>
      <c r="E159">
        <v>41.32</v>
      </c>
      <c r="F159">
        <v>9280721.6960000005</v>
      </c>
      <c r="G159">
        <v>41.32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-0.9669558033870308</v>
      </c>
      <c r="Q159">
        <f t="shared" ref="Q159" si="771">F159*P159</f>
        <v>-8974047.7035671268</v>
      </c>
      <c r="R159">
        <f t="shared" ref="R159" si="772">R160+Q159</f>
        <v>15185607.909934623</v>
      </c>
      <c r="S159">
        <f t="shared" ref="S159" si="773">R159/100000</f>
        <v>151.85607909934623</v>
      </c>
      <c r="T159">
        <f t="shared" ref="T159" si="774">S159/1000</f>
        <v>0.15185607909934623</v>
      </c>
    </row>
    <row r="160" spans="1:20" x14ac:dyDescent="0.25">
      <c r="A160" s="5">
        <v>44433</v>
      </c>
      <c r="B160">
        <v>55.475000000000001</v>
      </c>
      <c r="C160">
        <v>57.584000000000003</v>
      </c>
      <c r="D160">
        <v>45.65</v>
      </c>
      <c r="E160">
        <v>46.207999999999998</v>
      </c>
      <c r="F160">
        <v>11480697.369000001</v>
      </c>
      <c r="G160">
        <v>46.207999999999998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-0.90648567119155365</v>
      </c>
      <c r="Q160">
        <f t="shared" ref="Q160" si="776">F160*P160</f>
        <v>-10407087.660285071</v>
      </c>
      <c r="R160">
        <f t="shared" ref="R160" si="777">R161+Q160</f>
        <v>24159655.61350175</v>
      </c>
      <c r="S160">
        <f t="shared" ref="S160" si="778">R160/100000</f>
        <v>241.59655613501749</v>
      </c>
      <c r="T160">
        <f t="shared" ref="T160" si="779">S160/1000</f>
        <v>0.24159655613501749</v>
      </c>
    </row>
    <row r="161" spans="1:20" x14ac:dyDescent="0.25">
      <c r="A161" s="5">
        <v>44432</v>
      </c>
      <c r="B161">
        <v>46.406999999999996</v>
      </c>
      <c r="C161">
        <v>58.976999999999997</v>
      </c>
      <c r="D161">
        <v>44.151000000000003</v>
      </c>
      <c r="E161">
        <v>55.473999999999997</v>
      </c>
      <c r="F161">
        <v>13474170.155999999</v>
      </c>
      <c r="G161">
        <v>55.473999999999997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0.5274517739106972</v>
      </c>
      <c r="Q161">
        <f t="shared" ref="Q161" si="781">F161*P161</f>
        <v>7106974.9507567752</v>
      </c>
      <c r="R161">
        <f t="shared" ref="R161" si="782">R162+Q161</f>
        <v>34566743.27378682</v>
      </c>
      <c r="S161">
        <f t="shared" ref="S161" si="783">R161/100000</f>
        <v>345.66743273786818</v>
      </c>
      <c r="T161">
        <f t="shared" ref="T161" si="784">S161/1000</f>
        <v>0.34566743273786821</v>
      </c>
    </row>
    <row r="162" spans="1:20" x14ac:dyDescent="0.25">
      <c r="A162" s="5">
        <v>44431</v>
      </c>
      <c r="B162">
        <v>43.682000000000002</v>
      </c>
      <c r="C162">
        <v>53.622999999999998</v>
      </c>
      <c r="D162">
        <v>43.613999999999997</v>
      </c>
      <c r="E162">
        <v>46.451000000000001</v>
      </c>
      <c r="F162">
        <v>11058622.436000001</v>
      </c>
      <c r="G162">
        <v>46.451000000000001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-0.43311020081926205</v>
      </c>
      <c r="Q162">
        <f t="shared" ref="Q162" si="786">F162*P162</f>
        <v>-4789602.1840403574</v>
      </c>
      <c r="R162">
        <f t="shared" ref="R162" si="787">R163+Q162</f>
        <v>27459768.323030047</v>
      </c>
      <c r="S162">
        <f t="shared" ref="S162" si="788">R162/100000</f>
        <v>274.59768323030045</v>
      </c>
      <c r="T162">
        <f t="shared" ref="T162" si="789">S162/1000</f>
        <v>0.27459768323030043</v>
      </c>
    </row>
    <row r="163" spans="1:20" x14ac:dyDescent="0.25">
      <c r="A163" s="5">
        <v>44430</v>
      </c>
      <c r="B163">
        <v>43.692999999999998</v>
      </c>
      <c r="C163">
        <v>44.91</v>
      </c>
      <c r="D163">
        <v>41.328000000000003</v>
      </c>
      <c r="E163">
        <v>42.533000000000001</v>
      </c>
      <c r="F163">
        <v>3160495.1579999998</v>
      </c>
      <c r="G163">
        <v>42.533000000000001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-0.32719151312116113</v>
      </c>
      <c r="Q163">
        <f t="shared" ref="Q163" si="791">F163*P163</f>
        <v>-1034087.1929581232</v>
      </c>
      <c r="R163">
        <f t="shared" ref="R163" si="792">R164+Q163</f>
        <v>32249370.507070404</v>
      </c>
      <c r="S163">
        <f t="shared" ref="S163" si="793">R163/100000</f>
        <v>322.49370507070404</v>
      </c>
      <c r="T163">
        <f t="shared" ref="T163" si="794">S163/1000</f>
        <v>0.32249370507070402</v>
      </c>
    </row>
    <row r="164" spans="1:20" x14ac:dyDescent="0.25">
      <c r="A164" s="5">
        <v>44429</v>
      </c>
      <c r="B164">
        <v>39.148000000000003</v>
      </c>
      <c r="C164">
        <v>50.27</v>
      </c>
      <c r="D164">
        <v>37.676000000000002</v>
      </c>
      <c r="E164">
        <v>43.676000000000002</v>
      </c>
      <c r="F164">
        <v>13275218.253</v>
      </c>
      <c r="G164">
        <v>43.676000000000002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-4.7165316817532249E-2</v>
      </c>
      <c r="Q164">
        <f t="shared" ref="Q164" si="796">F164*P164</f>
        <v>-626129.87472463201</v>
      </c>
      <c r="R164">
        <f t="shared" ref="R164" si="797">R165+Q164</f>
        <v>33283457.700028528</v>
      </c>
      <c r="S164">
        <f t="shared" ref="S164" si="798">R164/100000</f>
        <v>332.83457700028526</v>
      </c>
      <c r="T164">
        <f t="shared" ref="T164" si="799">S164/1000</f>
        <v>0.33283457700028529</v>
      </c>
    </row>
    <row r="165" spans="1:20" x14ac:dyDescent="0.25">
      <c r="A165" s="5">
        <v>44428</v>
      </c>
      <c r="B165">
        <v>30.652999999999999</v>
      </c>
      <c r="C165">
        <v>39.228999999999999</v>
      </c>
      <c r="D165">
        <v>29.943000000000001</v>
      </c>
      <c r="E165">
        <v>39.155000000000001</v>
      </c>
      <c r="F165">
        <v>8246852.1370000001</v>
      </c>
      <c r="G165">
        <v>39.155000000000001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0.98406202886065086</v>
      </c>
      <c r="Q165">
        <f t="shared" ref="Q165" si="801">F165*P165</f>
        <v>8115414.0456500147</v>
      </c>
      <c r="R165">
        <f t="shared" ref="R165" si="802">R166+Q165</f>
        <v>33909587.574753158</v>
      </c>
      <c r="S165">
        <f t="shared" ref="S165" si="803">R165/100000</f>
        <v>339.09587574753158</v>
      </c>
      <c r="T165">
        <f t="shared" ref="T165" si="804">S165/1000</f>
        <v>0.33909587574753158</v>
      </c>
    </row>
    <row r="166" spans="1:20" x14ac:dyDescent="0.25">
      <c r="A166" s="5">
        <v>44427</v>
      </c>
      <c r="B166">
        <v>29.992000000000001</v>
      </c>
      <c r="C166">
        <v>33.755000000000003</v>
      </c>
      <c r="D166">
        <v>28.713999999999999</v>
      </c>
      <c r="E166">
        <v>30.652999999999999</v>
      </c>
      <c r="F166">
        <v>11884539.989</v>
      </c>
      <c r="G166">
        <v>30.652999999999999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-0.23070819281888572</v>
      </c>
      <c r="Q166">
        <f t="shared" ref="Q166" si="806">F166*P166</f>
        <v>-2741860.7433459698</v>
      </c>
      <c r="R166">
        <f t="shared" ref="R166" si="807">R167+Q166</f>
        <v>25794173.529103145</v>
      </c>
      <c r="S166">
        <f t="shared" ref="S166" si="808">R166/100000</f>
        <v>257.94173529103148</v>
      </c>
      <c r="T166">
        <f t="shared" ref="T166" si="809">S166/1000</f>
        <v>0.25794173529103148</v>
      </c>
    </row>
    <row r="167" spans="1:20" x14ac:dyDescent="0.25">
      <c r="A167" s="5">
        <v>44426</v>
      </c>
      <c r="B167">
        <v>23.452000000000002</v>
      </c>
      <c r="C167">
        <v>30.885000000000002</v>
      </c>
      <c r="D167">
        <v>21.454000000000001</v>
      </c>
      <c r="E167">
        <v>29.992999999999999</v>
      </c>
      <c r="F167">
        <v>12872464.953</v>
      </c>
      <c r="G167">
        <v>29.992999999999999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0.81083660269324509</v>
      </c>
      <c r="Q167">
        <f t="shared" ref="Q167" si="811">F167*P167</f>
        <v>10437465.750778383</v>
      </c>
      <c r="R167">
        <f t="shared" ref="R167" si="812">R168+Q167</f>
        <v>28536034.272449113</v>
      </c>
      <c r="S167">
        <f t="shared" ref="S167" si="813">R167/100000</f>
        <v>285.36034272449115</v>
      </c>
      <c r="T167">
        <f t="shared" ref="T167" si="814">S167/1000</f>
        <v>0.28536034272449112</v>
      </c>
    </row>
    <row r="168" spans="1:20" x14ac:dyDescent="0.25">
      <c r="A168" s="5">
        <v>44425</v>
      </c>
      <c r="B168">
        <v>19.071000000000002</v>
      </c>
      <c r="C168">
        <v>25.46</v>
      </c>
      <c r="D168">
        <v>18.417999999999999</v>
      </c>
      <c r="E168">
        <v>23.446000000000002</v>
      </c>
      <c r="F168">
        <v>10172036.374</v>
      </c>
      <c r="G168">
        <v>23.446000000000002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0.42800340812269272</v>
      </c>
      <c r="Q168">
        <f t="shared" ref="Q168" si="816">F168*P168</f>
        <v>4353666.2356199976</v>
      </c>
      <c r="R168">
        <f t="shared" ref="R168" si="817">R169+Q168</f>
        <v>18098568.521670733</v>
      </c>
      <c r="S168">
        <f t="shared" ref="S168" si="818">R168/100000</f>
        <v>180.98568521670734</v>
      </c>
      <c r="T168">
        <f t="shared" ref="T168" si="819">S168/1000</f>
        <v>0.18098568521670733</v>
      </c>
    </row>
    <row r="169" spans="1:20" x14ac:dyDescent="0.25">
      <c r="A169" s="5">
        <v>44424</v>
      </c>
      <c r="B169">
        <v>18.762</v>
      </c>
      <c r="C169">
        <v>21.13</v>
      </c>
      <c r="D169">
        <v>18.440999999999999</v>
      </c>
      <c r="E169">
        <v>19.071000000000002</v>
      </c>
      <c r="F169">
        <v>3800908.89</v>
      </c>
      <c r="G169">
        <v>19.071000000000002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-0.53142432130903494</v>
      </c>
      <c r="Q169">
        <f t="shared" ref="Q169" si="821">F169*P169</f>
        <v>-2019895.4272257274</v>
      </c>
      <c r="R169">
        <f t="shared" ref="R169" si="822">R170+Q169</f>
        <v>13744902.286050735</v>
      </c>
      <c r="S169">
        <f t="shared" ref="S169" si="823">R169/100000</f>
        <v>137.44902286050734</v>
      </c>
      <c r="T169">
        <f t="shared" ref="T169" si="824">S169/1000</f>
        <v>0.13744902286050734</v>
      </c>
    </row>
    <row r="170" spans="1:20" x14ac:dyDescent="0.25">
      <c r="A170" s="5">
        <v>44423</v>
      </c>
      <c r="B170">
        <v>18.09</v>
      </c>
      <c r="C170">
        <v>18.855</v>
      </c>
      <c r="D170">
        <v>17.058</v>
      </c>
      <c r="E170">
        <v>18.762</v>
      </c>
      <c r="F170">
        <v>1404168.5330000001</v>
      </c>
      <c r="G170">
        <v>18.762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0.89649415692821377</v>
      </c>
      <c r="Q170">
        <f t="shared" ref="Q170" si="826">F170*P170</f>
        <v>1258828.8851769618</v>
      </c>
      <c r="R170">
        <f t="shared" ref="R170" si="827">R171+Q170</f>
        <v>15764797.713276463</v>
      </c>
      <c r="S170">
        <f t="shared" ref="S170" si="828">R170/100000</f>
        <v>157.64797713276462</v>
      </c>
      <c r="T170">
        <f t="shared" ref="T170" si="829">S170/1000</f>
        <v>0.15764797713276463</v>
      </c>
    </row>
    <row r="171" spans="1:20" x14ac:dyDescent="0.25">
      <c r="A171" s="5">
        <v>44422</v>
      </c>
      <c r="B171">
        <v>18.044</v>
      </c>
      <c r="C171">
        <v>18.433</v>
      </c>
      <c r="D171">
        <v>17.169</v>
      </c>
      <c r="E171">
        <v>18.093</v>
      </c>
      <c r="F171">
        <v>1428803.9709999999</v>
      </c>
      <c r="G171">
        <v>18.093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0.46202531645569617</v>
      </c>
      <c r="Q171">
        <f t="shared" ref="Q171" si="831">F171*P171</f>
        <v>660143.60685443028</v>
      </c>
      <c r="R171">
        <f t="shared" ref="R171" si="832">R172+Q171</f>
        <v>14505968.8280995</v>
      </c>
      <c r="S171">
        <f t="shared" ref="S171" si="833">R171/100000</f>
        <v>145.059688280995</v>
      </c>
      <c r="T171">
        <f t="shared" ref="T171" si="834">S171/1000</f>
        <v>0.145059688280995</v>
      </c>
    </row>
    <row r="172" spans="1:20" x14ac:dyDescent="0.25">
      <c r="A172" s="5">
        <v>44421</v>
      </c>
      <c r="B172">
        <v>16.574000000000002</v>
      </c>
      <c r="C172">
        <v>18.291</v>
      </c>
      <c r="D172">
        <v>16.388999999999999</v>
      </c>
      <c r="E172">
        <v>18.030999999999999</v>
      </c>
      <c r="F172">
        <v>1519296.777</v>
      </c>
      <c r="G172">
        <v>18.030999999999999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0.7266035751840153</v>
      </c>
      <c r="Q172">
        <f t="shared" ref="Q172" si="836">F172*P172</f>
        <v>1103926.4699337517</v>
      </c>
      <c r="R172">
        <f t="shared" ref="R172" si="837">R173+Q172</f>
        <v>13845825.221245071</v>
      </c>
      <c r="S172">
        <f t="shared" ref="S172" si="838">R172/100000</f>
        <v>138.4582522124507</v>
      </c>
      <c r="T172">
        <f t="shared" ref="T172" si="839">S172/1000</f>
        <v>0.1384582522124507</v>
      </c>
    </row>
    <row r="173" spans="1:20" x14ac:dyDescent="0.25">
      <c r="A173" s="5">
        <v>44420</v>
      </c>
      <c r="B173">
        <v>16.673999999999999</v>
      </c>
      <c r="C173">
        <v>17.538</v>
      </c>
      <c r="D173">
        <v>15.429</v>
      </c>
      <c r="E173">
        <v>16.574999999999999</v>
      </c>
      <c r="F173">
        <v>1704787.841</v>
      </c>
      <c r="G173">
        <v>16.574999999999999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8.6770981507822684E-2</v>
      </c>
      <c r="Q173">
        <f t="shared" ref="Q173" si="841">F173*P173</f>
        <v>147926.11422617195</v>
      </c>
      <c r="R173">
        <f t="shared" ref="R173" si="842">R174+Q173</f>
        <v>12741898.751311319</v>
      </c>
      <c r="S173">
        <f t="shared" ref="S173" si="843">R173/100000</f>
        <v>127.41898751311319</v>
      </c>
      <c r="T173">
        <f t="shared" ref="T173" si="844">S173/1000</f>
        <v>0.1274189875131132</v>
      </c>
    </row>
    <row r="174" spans="1:20" x14ac:dyDescent="0.25">
      <c r="A174" s="5">
        <v>44419</v>
      </c>
      <c r="B174">
        <v>16.43</v>
      </c>
      <c r="C174">
        <v>17.547000000000001</v>
      </c>
      <c r="D174">
        <v>16.378</v>
      </c>
      <c r="E174">
        <v>16.687999999999999</v>
      </c>
      <c r="F174">
        <v>1849892.0449999999</v>
      </c>
      <c r="G174">
        <v>16.687999999999999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-0.46963216424294507</v>
      </c>
      <c r="Q174">
        <f t="shared" ref="Q174" si="846">F174*P174</f>
        <v>-868768.80470915756</v>
      </c>
      <c r="R174">
        <f t="shared" ref="R174" si="847">R175+Q174</f>
        <v>12593972.637085147</v>
      </c>
      <c r="S174">
        <f t="shared" ref="S174" si="848">R174/100000</f>
        <v>125.93972637085147</v>
      </c>
      <c r="T174">
        <f t="shared" ref="T174" si="849">S174/1000</f>
        <v>0.12593972637085146</v>
      </c>
    </row>
    <row r="175" spans="1:20" x14ac:dyDescent="0.25">
      <c r="A175" s="5">
        <v>44418</v>
      </c>
      <c r="B175">
        <v>16.167000000000002</v>
      </c>
      <c r="C175">
        <v>17.184000000000001</v>
      </c>
      <c r="D175">
        <v>15.801</v>
      </c>
      <c r="E175">
        <v>16.420000000000002</v>
      </c>
      <c r="F175">
        <v>2076458.1980000001</v>
      </c>
      <c r="G175">
        <v>16.420000000000002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-0.10484454085321598</v>
      </c>
      <c r="Q175">
        <f t="shared" ref="Q175" si="851">F175*P175</f>
        <v>-217705.30637020626</v>
      </c>
      <c r="R175">
        <f t="shared" ref="R175" si="852">R176+Q175</f>
        <v>13462741.441794304</v>
      </c>
      <c r="S175">
        <f t="shared" ref="S175" si="853">R175/100000</f>
        <v>134.62741441794304</v>
      </c>
      <c r="T175">
        <f t="shared" ref="T175" si="854">S175/1000</f>
        <v>0.13462741441794304</v>
      </c>
    </row>
    <row r="176" spans="1:20" x14ac:dyDescent="0.25">
      <c r="A176" s="5">
        <v>44417</v>
      </c>
      <c r="B176">
        <v>14.83</v>
      </c>
      <c r="C176">
        <v>16.759</v>
      </c>
      <c r="D176">
        <v>14.423999999999999</v>
      </c>
      <c r="E176">
        <v>16.169</v>
      </c>
      <c r="F176">
        <v>2569371.6140000001</v>
      </c>
      <c r="G176">
        <v>16.169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0.49464668094218445</v>
      </c>
      <c r="Q176">
        <f t="shared" ref="Q176" si="856">F176*P176</f>
        <v>1270931.1409721635</v>
      </c>
      <c r="R176">
        <f t="shared" ref="R176" si="857">R177+Q176</f>
        <v>13680446.74816451</v>
      </c>
      <c r="S176">
        <f t="shared" ref="S176" si="858">R176/100000</f>
        <v>136.8044674816451</v>
      </c>
      <c r="T176">
        <f t="shared" ref="T176" si="859">S176/1000</f>
        <v>0.1368044674816451</v>
      </c>
    </row>
    <row r="177" spans="1:20" x14ac:dyDescent="0.25">
      <c r="A177" s="5">
        <v>44416</v>
      </c>
      <c r="B177">
        <v>15.85</v>
      </c>
      <c r="C177">
        <v>16.100000000000001</v>
      </c>
      <c r="D177">
        <v>14.557</v>
      </c>
      <c r="E177">
        <v>14.826000000000001</v>
      </c>
      <c r="F177">
        <v>1318372.027</v>
      </c>
      <c r="G177">
        <v>14.826000000000001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-0.65132858068697352</v>
      </c>
      <c r="Q177">
        <f t="shared" ref="Q177" si="861">F177*P177</f>
        <v>-858693.38116331829</v>
      </c>
      <c r="R177">
        <f t="shared" ref="R177" si="862">R178+Q177</f>
        <v>12409515.607192347</v>
      </c>
      <c r="S177">
        <f t="shared" ref="S177" si="863">R177/100000</f>
        <v>124.09515607192347</v>
      </c>
      <c r="T177">
        <f t="shared" ref="T177" si="864">S177/1000</f>
        <v>0.12409515607192347</v>
      </c>
    </row>
    <row r="178" spans="1:20" x14ac:dyDescent="0.25">
      <c r="A178" s="5">
        <v>44415</v>
      </c>
      <c r="B178">
        <v>14.773999999999999</v>
      </c>
      <c r="C178">
        <v>15.952</v>
      </c>
      <c r="D178">
        <v>14.612</v>
      </c>
      <c r="E178">
        <v>15.834</v>
      </c>
      <c r="F178">
        <v>2346816.4219999998</v>
      </c>
      <c r="G178">
        <v>15.834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0.82388059701492489</v>
      </c>
      <c r="Q178">
        <f t="shared" ref="Q178" si="866">F178*P178</f>
        <v>1933496.5148417896</v>
      </c>
      <c r="R178">
        <f t="shared" ref="R178" si="867">R179+Q178</f>
        <v>13268208.988355665</v>
      </c>
      <c r="S178">
        <f t="shared" ref="S178" si="868">R178/100000</f>
        <v>132.68208988355664</v>
      </c>
      <c r="T178">
        <f t="shared" ref="T178" si="869">S178/1000</f>
        <v>0.13268208988355665</v>
      </c>
    </row>
    <row r="179" spans="1:20" x14ac:dyDescent="0.25">
      <c r="A179" s="5">
        <v>44414</v>
      </c>
      <c r="B179">
        <v>13.834</v>
      </c>
      <c r="C179">
        <v>15.08</v>
      </c>
      <c r="D179">
        <v>13.388</v>
      </c>
      <c r="E179">
        <v>14.77</v>
      </c>
      <c r="F179">
        <v>2108094.949</v>
      </c>
      <c r="G179">
        <v>14.77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0.63356973995271815</v>
      </c>
      <c r="Q179">
        <f t="shared" ref="Q179" si="871">F179*P179</f>
        <v>1335625.1686335686</v>
      </c>
      <c r="R179">
        <f t="shared" ref="R179" si="872">R180+Q179</f>
        <v>11334712.473513875</v>
      </c>
      <c r="S179">
        <f t="shared" ref="S179" si="873">R179/100000</f>
        <v>113.34712473513875</v>
      </c>
      <c r="T179">
        <f t="shared" ref="T179" si="874">S179/1000</f>
        <v>0.11334712473513875</v>
      </c>
    </row>
    <row r="180" spans="1:20" x14ac:dyDescent="0.25">
      <c r="A180" s="5">
        <v>44413</v>
      </c>
      <c r="B180">
        <v>13.696</v>
      </c>
      <c r="C180">
        <v>14</v>
      </c>
      <c r="D180">
        <v>12.849</v>
      </c>
      <c r="E180">
        <v>13.834</v>
      </c>
      <c r="F180">
        <v>1372439.9669999999</v>
      </c>
      <c r="G180">
        <v>13.834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0.71155516941789676</v>
      </c>
      <c r="Q180">
        <f t="shared" ref="Q180" si="876">F180*P180</f>
        <v>976566.7532345776</v>
      </c>
      <c r="R180">
        <f t="shared" ref="R180" si="877">R181+Q180</f>
        <v>9999087.3048803061</v>
      </c>
      <c r="S180">
        <f t="shared" ref="S180" si="878">R180/100000</f>
        <v>99.990873048803067</v>
      </c>
      <c r="T180">
        <f t="shared" ref="T180" si="879">S180/1000</f>
        <v>9.9990873048803067E-2</v>
      </c>
    </row>
    <row r="181" spans="1:20" x14ac:dyDescent="0.25">
      <c r="A181" s="5">
        <v>44412</v>
      </c>
      <c r="B181">
        <v>12.568</v>
      </c>
      <c r="C181">
        <v>13.78</v>
      </c>
      <c r="D181">
        <v>12.41</v>
      </c>
      <c r="E181">
        <v>13.696</v>
      </c>
      <c r="F181">
        <v>1246721.9639999999</v>
      </c>
      <c r="G181">
        <v>13.696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0.87737226277372304</v>
      </c>
      <c r="Q181">
        <f t="shared" ref="Q181" si="881">F181*P181</f>
        <v>1093839.2706043799</v>
      </c>
      <c r="R181">
        <f t="shared" ref="R181" si="882">R182+Q181</f>
        <v>9022520.5516457278</v>
      </c>
      <c r="S181">
        <f t="shared" ref="S181" si="883">R181/100000</f>
        <v>90.225205516457279</v>
      </c>
      <c r="T181">
        <f t="shared" ref="T181" si="884">S181/1000</f>
        <v>9.0225205516457282E-2</v>
      </c>
    </row>
    <row r="182" spans="1:20" x14ac:dyDescent="0.25">
      <c r="A182" s="5">
        <v>44411</v>
      </c>
      <c r="B182">
        <v>12.992000000000001</v>
      </c>
      <c r="C182">
        <v>13.522</v>
      </c>
      <c r="D182">
        <v>12.324999999999999</v>
      </c>
      <c r="E182">
        <v>12.557</v>
      </c>
      <c r="F182">
        <v>1198368.4839999999</v>
      </c>
      <c r="G182">
        <v>12.557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-0.61236424394318978</v>
      </c>
      <c r="Q182">
        <f t="shared" ref="Q182" si="886">F182*P182</f>
        <v>-733838.01067000651</v>
      </c>
      <c r="R182">
        <f t="shared" ref="R182" si="887">R183+Q182</f>
        <v>7928681.2810413484</v>
      </c>
      <c r="S182">
        <f t="shared" ref="S182" si="888">R182/100000</f>
        <v>79.28681281041348</v>
      </c>
      <c r="T182">
        <f t="shared" ref="T182" si="889">S182/1000</f>
        <v>7.9286812810413484E-2</v>
      </c>
    </row>
    <row r="183" spans="1:20" x14ac:dyDescent="0.25">
      <c r="A183" s="5">
        <v>44410</v>
      </c>
      <c r="B183">
        <v>12.846</v>
      </c>
      <c r="C183">
        <v>13.374000000000001</v>
      </c>
      <c r="D183">
        <v>12.616</v>
      </c>
      <c r="E183">
        <v>12.993</v>
      </c>
      <c r="F183">
        <v>928801.98899999994</v>
      </c>
      <c r="G183">
        <v>12.993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-5.2770448548806791E-3</v>
      </c>
      <c r="Q183">
        <f t="shared" ref="Q183" si="891">F183*P183</f>
        <v>-4901.3297572553911</v>
      </c>
      <c r="R183">
        <f t="shared" ref="R183" si="892">R184+Q183</f>
        <v>8662519.2917113546</v>
      </c>
      <c r="S183">
        <f t="shared" ref="S183" si="893">R183/100000</f>
        <v>86.625192917113552</v>
      </c>
      <c r="T183">
        <f t="shared" ref="T183" si="894">S183/1000</f>
        <v>8.6625192917113555E-2</v>
      </c>
    </row>
    <row r="184" spans="1:20" x14ac:dyDescent="0.25">
      <c r="A184" s="5">
        <v>44409</v>
      </c>
      <c r="B184">
        <v>13.535</v>
      </c>
      <c r="C184">
        <v>14.077</v>
      </c>
      <c r="D184">
        <v>12.617000000000001</v>
      </c>
      <c r="E184">
        <v>12.853</v>
      </c>
      <c r="F184">
        <v>1860616.4380000001</v>
      </c>
      <c r="G184">
        <v>12.853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-0.67671232876712462</v>
      </c>
      <c r="Q184">
        <f t="shared" ref="Q184" si="896">F184*P184</f>
        <v>-1259102.0827013724</v>
      </c>
      <c r="R184">
        <f t="shared" ref="R184" si="897">R185+Q184</f>
        <v>8667420.6214686092</v>
      </c>
      <c r="S184">
        <f t="shared" ref="S184" si="898">R184/100000</f>
        <v>86.674206214686095</v>
      </c>
      <c r="T184">
        <f t="shared" ref="T184" si="899">S184/1000</f>
        <v>8.6674206214686092E-2</v>
      </c>
    </row>
    <row r="185" spans="1:20" x14ac:dyDescent="0.25">
      <c r="A185" s="5">
        <v>44408</v>
      </c>
      <c r="B185">
        <v>12.978</v>
      </c>
      <c r="C185">
        <v>13.63</v>
      </c>
      <c r="D185">
        <v>12.585000000000001</v>
      </c>
      <c r="E185">
        <v>13.525</v>
      </c>
      <c r="F185">
        <v>1248768.2209999999</v>
      </c>
      <c r="G185">
        <v>13.525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0.79904306220095611</v>
      </c>
      <c r="Q185">
        <f t="shared" ref="Q185" si="901">F185*P185</f>
        <v>997819.58328708028</v>
      </c>
      <c r="R185">
        <f t="shared" ref="R185" si="902">R186+Q185</f>
        <v>9926522.7041699812</v>
      </c>
      <c r="S185">
        <f t="shared" ref="S185" si="903">R185/100000</f>
        <v>99.265227041699816</v>
      </c>
      <c r="T185">
        <f t="shared" ref="T185" si="904">S185/1000</f>
        <v>9.9265227041699822E-2</v>
      </c>
    </row>
    <row r="186" spans="1:20" x14ac:dyDescent="0.25">
      <c r="A186" s="5">
        <v>44407</v>
      </c>
      <c r="B186">
        <v>12.433</v>
      </c>
      <c r="C186">
        <v>13</v>
      </c>
      <c r="D186">
        <v>11.93</v>
      </c>
      <c r="E186">
        <v>12.978</v>
      </c>
      <c r="F186">
        <v>1572248.7560000001</v>
      </c>
      <c r="G186">
        <v>12.978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0.9588785046728967</v>
      </c>
      <c r="Q186">
        <f t="shared" ref="Q186" si="906">F186*P186</f>
        <v>1507595.5361271021</v>
      </c>
      <c r="R186">
        <f t="shared" ref="R186" si="907">R187+Q186</f>
        <v>8928703.1208829004</v>
      </c>
      <c r="S186">
        <f t="shared" ref="S186" si="908">R186/100000</f>
        <v>89.287031208829006</v>
      </c>
      <c r="T186">
        <f t="shared" ref="T186" si="909">S186/1000</f>
        <v>8.9287031208829012E-2</v>
      </c>
    </row>
    <row r="187" spans="1:20" x14ac:dyDescent="0.25">
      <c r="A187" s="5">
        <v>44406</v>
      </c>
      <c r="B187">
        <v>12.331</v>
      </c>
      <c r="C187">
        <v>12.65</v>
      </c>
      <c r="D187">
        <v>11.98</v>
      </c>
      <c r="E187">
        <v>12.433</v>
      </c>
      <c r="F187">
        <v>1634174.61</v>
      </c>
      <c r="G187">
        <v>12.433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0.35223880597014762</v>
      </c>
      <c r="Q187">
        <f t="shared" ref="Q187" si="911">F187*P187</f>
        <v>575619.7133731317</v>
      </c>
      <c r="R187">
        <f t="shared" ref="R187" si="912">R188+Q187</f>
        <v>7421107.5847557979</v>
      </c>
      <c r="S187">
        <f t="shared" ref="S187" si="913">R187/100000</f>
        <v>74.211075847557979</v>
      </c>
      <c r="T187">
        <f t="shared" ref="T187" si="914">S187/1000</f>
        <v>7.4211075847557983E-2</v>
      </c>
    </row>
    <row r="188" spans="1:20" x14ac:dyDescent="0.25">
      <c r="A188" s="5">
        <v>44405</v>
      </c>
      <c r="B188">
        <v>11.920999999999999</v>
      </c>
      <c r="C188">
        <v>12.484999999999999</v>
      </c>
      <c r="D188">
        <v>11.691000000000001</v>
      </c>
      <c r="E188">
        <v>12.32</v>
      </c>
      <c r="F188">
        <v>1510307.3840000001</v>
      </c>
      <c r="G188">
        <v>12.32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0.58438287153652535</v>
      </c>
      <c r="Q188">
        <f t="shared" ref="Q188" si="916">F188*P188</f>
        <v>882597.76596473774</v>
      </c>
      <c r="R188">
        <f t="shared" ref="R188" si="917">R189+Q188</f>
        <v>6845487.8713826658</v>
      </c>
      <c r="S188">
        <f t="shared" ref="S188" si="918">R188/100000</f>
        <v>68.454878713826659</v>
      </c>
      <c r="T188">
        <f t="shared" ref="T188" si="919">S188/1000</f>
        <v>6.8454878713826661E-2</v>
      </c>
    </row>
    <row r="189" spans="1:20" x14ac:dyDescent="0.25">
      <c r="A189" s="5">
        <v>44404</v>
      </c>
      <c r="B189">
        <v>11.455</v>
      </c>
      <c r="C189">
        <v>12.352</v>
      </c>
      <c r="D189">
        <v>11.175000000000001</v>
      </c>
      <c r="E189">
        <v>11.917</v>
      </c>
      <c r="F189">
        <v>977794.90099999995</v>
      </c>
      <c r="G189">
        <v>11.917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0.26083262531860552</v>
      </c>
      <c r="Q189">
        <f t="shared" ref="Q189" si="921">F189*P189</f>
        <v>255040.81105097596</v>
      </c>
      <c r="R189">
        <f t="shared" ref="R189" si="922">R190+Q189</f>
        <v>5962890.1054179277</v>
      </c>
      <c r="S189">
        <f t="shared" ref="S189" si="923">R189/100000</f>
        <v>59.628901054179281</v>
      </c>
      <c r="T189">
        <f t="shared" ref="T189" si="924">S189/1000</f>
        <v>5.9628901054179277E-2</v>
      </c>
    </row>
    <row r="190" spans="1:20" x14ac:dyDescent="0.25">
      <c r="A190" s="5">
        <v>44403</v>
      </c>
      <c r="B190">
        <v>11.247</v>
      </c>
      <c r="C190">
        <v>12.7</v>
      </c>
      <c r="D190">
        <v>11.212999999999999</v>
      </c>
      <c r="E190">
        <v>11.46</v>
      </c>
      <c r="F190">
        <v>2057987.325</v>
      </c>
      <c r="G190">
        <v>11.46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-0.66778749159381079</v>
      </c>
      <c r="Q190">
        <f t="shared" ref="Q190" si="926">F190*P190</f>
        <v>-1374298.1934936065</v>
      </c>
      <c r="R190">
        <f t="shared" ref="R190" si="927">R191+Q190</f>
        <v>5707849.294366952</v>
      </c>
      <c r="S190">
        <f t="shared" ref="S190" si="928">R190/100000</f>
        <v>57.078492943669524</v>
      </c>
      <c r="T190">
        <f t="shared" ref="T190" si="929">S190/1000</f>
        <v>5.7078492943669526E-2</v>
      </c>
    </row>
    <row r="191" spans="1:20" x14ac:dyDescent="0.25">
      <c r="A191" s="5">
        <v>44402</v>
      </c>
      <c r="B191">
        <v>11.141999999999999</v>
      </c>
      <c r="C191">
        <v>11.339</v>
      </c>
      <c r="D191">
        <v>10.765000000000001</v>
      </c>
      <c r="E191">
        <v>11.247</v>
      </c>
      <c r="F191">
        <v>601383.14899999998</v>
      </c>
      <c r="G191">
        <v>11.247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0.67944250871079948</v>
      </c>
      <c r="Q191">
        <f t="shared" ref="Q191" si="931">F191*P191</f>
        <v>408605.27545296052</v>
      </c>
      <c r="R191">
        <f t="shared" ref="R191" si="932">R192+Q191</f>
        <v>7082147.4878605586</v>
      </c>
      <c r="S191">
        <f t="shared" ref="S191" si="933">R191/100000</f>
        <v>70.821474878605585</v>
      </c>
      <c r="T191">
        <f t="shared" ref="T191" si="934">S191/1000</f>
        <v>7.0821474878605586E-2</v>
      </c>
    </row>
    <row r="192" spans="1:20" x14ac:dyDescent="0.25">
      <c r="A192" s="5">
        <v>44401</v>
      </c>
      <c r="B192">
        <v>11.092000000000001</v>
      </c>
      <c r="C192">
        <v>11.446999999999999</v>
      </c>
      <c r="D192">
        <v>10.954000000000001</v>
      </c>
      <c r="E192">
        <v>11.141999999999999</v>
      </c>
      <c r="F192">
        <v>839109.69099999999</v>
      </c>
      <c r="G192">
        <v>11.141999999999999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-0.23732251521298423</v>
      </c>
      <c r="Q192">
        <f t="shared" ref="Q192" si="936">F192*P192</f>
        <v>-199139.62240770998</v>
      </c>
      <c r="R192">
        <f t="shared" ref="R192" si="937">R193+Q192</f>
        <v>6673542.2124075983</v>
      </c>
      <c r="S192">
        <f t="shared" ref="S192" si="938">R192/100000</f>
        <v>66.735422124075981</v>
      </c>
      <c r="T192">
        <f t="shared" ref="T192:T197" si="939">S192/1000</f>
        <v>6.6735422124075988E-2</v>
      </c>
    </row>
    <row r="193" spans="1:20" x14ac:dyDescent="0.25">
      <c r="A193" s="5">
        <v>44400</v>
      </c>
      <c r="B193">
        <v>10.84</v>
      </c>
      <c r="C193">
        <v>11.173999999999999</v>
      </c>
      <c r="D193">
        <v>10.53</v>
      </c>
      <c r="E193">
        <v>11.086</v>
      </c>
      <c r="F193">
        <v>695996.73199999996</v>
      </c>
      <c r="G193">
        <v>11.086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0.72670807453416408</v>
      </c>
      <c r="Q193">
        <f t="shared" ref="Q193" si="941">F193*P193</f>
        <v>505786.44499379059</v>
      </c>
      <c r="R193">
        <f t="shared" ref="R193" si="942">R194+Q193</f>
        <v>6872681.8348153085</v>
      </c>
      <c r="S193">
        <f t="shared" ref="S193" si="943">R193/100000</f>
        <v>68.726818348153088</v>
      </c>
      <c r="T193">
        <f t="shared" si="939"/>
        <v>6.8726818348153085E-2</v>
      </c>
    </row>
    <row r="194" spans="1:20" x14ac:dyDescent="0.25">
      <c r="A194" s="5">
        <v>44399</v>
      </c>
      <c r="B194">
        <v>10.44</v>
      </c>
      <c r="C194">
        <v>10.96</v>
      </c>
      <c r="D194">
        <v>10.238</v>
      </c>
      <c r="E194">
        <v>10.833</v>
      </c>
      <c r="F194">
        <v>879782.50300000003</v>
      </c>
      <c r="G194">
        <v>10.833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0.64819944598337831</v>
      </c>
      <c r="Q194">
        <f t="shared" ref="Q194" si="945">F194*P194</f>
        <v>570274.53103046992</v>
      </c>
      <c r="R194">
        <f t="shared" ref="R194" si="946">R195+Q194</f>
        <v>6366895.3898215182</v>
      </c>
      <c r="S194">
        <f t="shared" ref="S194" si="947">R194/100000</f>
        <v>63.668953898215179</v>
      </c>
      <c r="T194">
        <f t="shared" si="939"/>
        <v>6.3668953898215183E-2</v>
      </c>
    </row>
    <row r="195" spans="1:20" x14ac:dyDescent="0.25">
      <c r="A195" s="5">
        <v>44398</v>
      </c>
      <c r="B195">
        <v>9.6470000000000002</v>
      </c>
      <c r="C195">
        <v>10.752000000000001</v>
      </c>
      <c r="D195">
        <v>9.4730000000000008</v>
      </c>
      <c r="E195">
        <v>10.425000000000001</v>
      </c>
      <c r="F195">
        <v>994914.755</v>
      </c>
      <c r="G195">
        <v>10.425000000000001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0.4886630179827991</v>
      </c>
      <c r="Q195">
        <f t="shared" ref="Q195" si="949">F195*P195</f>
        <v>486178.04681391717</v>
      </c>
      <c r="R195">
        <f t="shared" ref="R195" si="950">R196+Q195</f>
        <v>5796620.8587910486</v>
      </c>
      <c r="S195">
        <f t="shared" ref="S195" si="951">R195/100000</f>
        <v>57.966208587910486</v>
      </c>
      <c r="T195">
        <f t="shared" si="939"/>
        <v>5.7966208587910489E-2</v>
      </c>
    </row>
    <row r="196" spans="1:20" x14ac:dyDescent="0.25">
      <c r="A196" s="5">
        <v>44397</v>
      </c>
      <c r="B196">
        <v>10.186</v>
      </c>
      <c r="C196">
        <v>10.366</v>
      </c>
      <c r="D196">
        <v>9.327</v>
      </c>
      <c r="E196">
        <v>9.6389999999999993</v>
      </c>
      <c r="F196">
        <v>784232.56599999999</v>
      </c>
      <c r="G196">
        <v>9.6389999999999993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-0.3994225216554389</v>
      </c>
      <c r="Q196">
        <f t="shared" ref="Q196" si="953">F196*P196</f>
        <v>-313240.14907603542</v>
      </c>
      <c r="R196">
        <f t="shared" ref="R196" si="954">R197+Q196</f>
        <v>5310442.8119771313</v>
      </c>
      <c r="S196">
        <f t="shared" ref="S196" si="955">R196/100000</f>
        <v>53.104428119771313</v>
      </c>
      <c r="T196">
        <f t="shared" si="939"/>
        <v>5.3104428119771313E-2</v>
      </c>
    </row>
    <row r="197" spans="1:20" x14ac:dyDescent="0.25">
      <c r="A197" s="5">
        <v>44396</v>
      </c>
      <c r="B197">
        <v>10.69</v>
      </c>
      <c r="C197">
        <v>10.757</v>
      </c>
      <c r="D197">
        <v>10.01</v>
      </c>
      <c r="E197">
        <v>10.183</v>
      </c>
      <c r="F197">
        <v>613091.68900000001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6">IF(C197=D197,0,((E197-D197)-(C197-E197))/(C197-D197))</f>
        <v>-0.53681392235609082</v>
      </c>
      <c r="Q197">
        <f t="shared" ref="Q197" si="957">F197*P197</f>
        <v>-329116.15433601057</v>
      </c>
      <c r="R197">
        <f t="shared" ref="R197" si="958">R198+Q197</f>
        <v>5623682.9610531665</v>
      </c>
      <c r="S197">
        <f t="shared" ref="S197" si="959">R197/100000</f>
        <v>56.236829610531665</v>
      </c>
      <c r="T197">
        <f t="shared" si="939"/>
        <v>5.6236829610531662E-2</v>
      </c>
    </row>
    <row r="198" spans="1:20" x14ac:dyDescent="0.25">
      <c r="A198" s="5">
        <v>44395</v>
      </c>
      <c r="B198">
        <v>10.956</v>
      </c>
      <c r="C198">
        <v>11.275</v>
      </c>
      <c r="D198">
        <v>10.65</v>
      </c>
      <c r="E198">
        <v>10.69</v>
      </c>
      <c r="F198">
        <v>669471.27800000005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60">IF(C198=D198,0,((E198-D198)-(C198-E198))/(C198-D198))</f>
        <v>-0.87200000000000277</v>
      </c>
      <c r="Q198">
        <f t="shared" ref="Q198:Q261" si="961">F198*P198</f>
        <v>-583778.95441600191</v>
      </c>
      <c r="R198">
        <f t="shared" ref="R198:R261" si="962">R199+Q198</f>
        <v>5952799.1153891776</v>
      </c>
      <c r="S198">
        <f t="shared" ref="S198:S261" si="963">R198/100000</f>
        <v>59.527991153891776</v>
      </c>
      <c r="T198">
        <f t="shared" ref="T198:T261" si="964">S198/1000</f>
        <v>5.9527991153891777E-2</v>
      </c>
    </row>
    <row r="199" spans="1:20" x14ac:dyDescent="0.25">
      <c r="A199" s="5">
        <v>44394</v>
      </c>
      <c r="B199">
        <v>10.816000000000001</v>
      </c>
      <c r="C199">
        <v>11.144</v>
      </c>
      <c r="D199">
        <v>10.715999999999999</v>
      </c>
      <c r="E199">
        <v>10.958</v>
      </c>
      <c r="F199">
        <v>588168.81000000006</v>
      </c>
      <c r="G199">
        <v>0</v>
      </c>
      <c r="L199" t="s">
        <v>7</v>
      </c>
      <c r="M199" t="s">
        <v>7</v>
      </c>
      <c r="N199" t="s">
        <v>8</v>
      </c>
      <c r="P199">
        <f t="shared" si="960"/>
        <v>0.13084112149532903</v>
      </c>
      <c r="Q199">
        <f t="shared" si="961"/>
        <v>76956.666728973098</v>
      </c>
      <c r="R199">
        <f t="shared" si="962"/>
        <v>6536578.0698051797</v>
      </c>
      <c r="S199">
        <f t="shared" si="963"/>
        <v>65.365780698051793</v>
      </c>
      <c r="T199">
        <f t="shared" si="964"/>
        <v>6.5365780698051795E-2</v>
      </c>
    </row>
    <row r="200" spans="1:20" x14ac:dyDescent="0.25">
      <c r="A200" s="5">
        <v>44393</v>
      </c>
      <c r="B200">
        <v>11.391</v>
      </c>
      <c r="C200">
        <v>11.82</v>
      </c>
      <c r="D200">
        <v>10.8</v>
      </c>
      <c r="E200">
        <v>10.814</v>
      </c>
      <c r="F200">
        <v>869808.84699999995</v>
      </c>
      <c r="G200">
        <v>0</v>
      </c>
      <c r="L200" t="s">
        <v>7</v>
      </c>
      <c r="M200" t="s">
        <v>7</v>
      </c>
      <c r="N200" t="s">
        <v>8</v>
      </c>
      <c r="P200">
        <f t="shared" si="960"/>
        <v>-0.97254901960784446</v>
      </c>
      <c r="Q200">
        <f t="shared" si="961"/>
        <v>-845931.74139607954</v>
      </c>
      <c r="R200">
        <f t="shared" si="962"/>
        <v>6459621.4030762063</v>
      </c>
      <c r="S200">
        <f t="shared" si="963"/>
        <v>64.59621403076207</v>
      </c>
      <c r="T200">
        <f t="shared" si="964"/>
        <v>6.4596214030762072E-2</v>
      </c>
    </row>
    <row r="201" spans="1:20" x14ac:dyDescent="0.25">
      <c r="A201" s="5">
        <v>44392</v>
      </c>
      <c r="B201">
        <v>11.791</v>
      </c>
      <c r="C201">
        <v>12.102</v>
      </c>
      <c r="D201">
        <v>11.128</v>
      </c>
      <c r="E201">
        <v>11.391</v>
      </c>
      <c r="F201">
        <v>799151.21699999995</v>
      </c>
      <c r="G201">
        <v>0</v>
      </c>
      <c r="L201" t="s">
        <v>8</v>
      </c>
      <c r="M201" t="s">
        <v>7</v>
      </c>
      <c r="N201" t="s">
        <v>8</v>
      </c>
      <c r="P201">
        <f t="shared" si="960"/>
        <v>-0.45995893223819334</v>
      </c>
      <c r="Q201">
        <f t="shared" si="961"/>
        <v>-367576.74046817271</v>
      </c>
      <c r="R201">
        <f t="shared" si="962"/>
        <v>7305553.1444722861</v>
      </c>
      <c r="S201">
        <f t="shared" si="963"/>
        <v>73.05553144472286</v>
      </c>
      <c r="T201">
        <f t="shared" si="964"/>
        <v>7.3055531444722863E-2</v>
      </c>
    </row>
    <row r="202" spans="1:20" x14ac:dyDescent="0.25">
      <c r="A202" s="5">
        <v>44391</v>
      </c>
      <c r="B202">
        <v>11.916</v>
      </c>
      <c r="C202">
        <v>12.11</v>
      </c>
      <c r="D202">
        <v>11.111000000000001</v>
      </c>
      <c r="E202">
        <v>11.792999999999999</v>
      </c>
      <c r="F202">
        <v>916149.50399999996</v>
      </c>
      <c r="G202">
        <v>0</v>
      </c>
      <c r="L202" t="s">
        <v>7</v>
      </c>
      <c r="M202" t="s">
        <v>7</v>
      </c>
      <c r="N202" t="s">
        <v>8</v>
      </c>
      <c r="P202">
        <f t="shared" si="960"/>
        <v>0.36536536536536424</v>
      </c>
      <c r="Q202">
        <f t="shared" si="961"/>
        <v>334729.29825825721</v>
      </c>
      <c r="R202">
        <f t="shared" si="962"/>
        <v>7673129.8849404585</v>
      </c>
      <c r="S202">
        <f t="shared" si="963"/>
        <v>76.731298849404581</v>
      </c>
      <c r="T202">
        <f t="shared" si="964"/>
        <v>7.6731298849404578E-2</v>
      </c>
    </row>
    <row r="203" spans="1:20" x14ac:dyDescent="0.25">
      <c r="A203" s="5">
        <v>44390</v>
      </c>
      <c r="B203">
        <v>12.162000000000001</v>
      </c>
      <c r="C203">
        <v>12.433999999999999</v>
      </c>
      <c r="D203">
        <v>11.744</v>
      </c>
      <c r="E203">
        <v>11.91</v>
      </c>
      <c r="F203">
        <v>937209.08100000001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-0.51884057971014352</v>
      </c>
      <c r="Q203">
        <f t="shared" si="961"/>
        <v>-486262.10289565084</v>
      </c>
      <c r="R203">
        <f t="shared" si="962"/>
        <v>7338400.5866822014</v>
      </c>
      <c r="S203">
        <f t="shared" si="963"/>
        <v>73.384005866822008</v>
      </c>
      <c r="T203">
        <f t="shared" si="964"/>
        <v>7.3384005866822005E-2</v>
      </c>
    </row>
    <row r="204" spans="1:20" x14ac:dyDescent="0.25">
      <c r="A204" s="5">
        <v>44389</v>
      </c>
      <c r="B204">
        <v>12.436999999999999</v>
      </c>
      <c r="C204">
        <v>12.840999999999999</v>
      </c>
      <c r="D204">
        <v>11.7</v>
      </c>
      <c r="E204">
        <v>12.157</v>
      </c>
      <c r="F204">
        <v>1105226.3119999999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-0.19894829097282957</v>
      </c>
      <c r="Q204">
        <f t="shared" si="961"/>
        <v>-219882.88591060331</v>
      </c>
      <c r="R204">
        <f t="shared" si="962"/>
        <v>7824662.6895778524</v>
      </c>
      <c r="S204">
        <f t="shared" si="963"/>
        <v>78.246626895778519</v>
      </c>
      <c r="T204">
        <f t="shared" si="964"/>
        <v>7.824662689577852E-2</v>
      </c>
    </row>
    <row r="205" spans="1:20" x14ac:dyDescent="0.25">
      <c r="A205" s="5">
        <v>44388</v>
      </c>
      <c r="B205">
        <v>12.023</v>
      </c>
      <c r="C205">
        <v>12.49</v>
      </c>
      <c r="D205">
        <v>11.912000000000001</v>
      </c>
      <c r="E205">
        <v>12.433</v>
      </c>
      <c r="F205">
        <v>574831.74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0.80276816608996382</v>
      </c>
      <c r="Q205">
        <f t="shared" si="961"/>
        <v>461456.62173010287</v>
      </c>
      <c r="R205">
        <f t="shared" si="962"/>
        <v>8044545.5754884556</v>
      </c>
      <c r="S205">
        <f t="shared" si="963"/>
        <v>80.445455754884563</v>
      </c>
      <c r="T205">
        <f t="shared" si="964"/>
        <v>8.0445455754884557E-2</v>
      </c>
    </row>
    <row r="206" spans="1:20" x14ac:dyDescent="0.25">
      <c r="A206" s="5">
        <v>44387</v>
      </c>
      <c r="B206">
        <v>12.558999999999999</v>
      </c>
      <c r="C206">
        <v>12.851000000000001</v>
      </c>
      <c r="D206">
        <v>11.837999999999999</v>
      </c>
      <c r="E206">
        <v>12.015000000000001</v>
      </c>
      <c r="F206">
        <v>729693.40300000005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-0.65054294175715477</v>
      </c>
      <c r="Q206">
        <f t="shared" si="961"/>
        <v>-474696.89296840911</v>
      </c>
      <c r="R206">
        <f t="shared" si="962"/>
        <v>7583088.9537583524</v>
      </c>
      <c r="S206">
        <f t="shared" si="963"/>
        <v>75.830889537583531</v>
      </c>
      <c r="T206">
        <f t="shared" si="964"/>
        <v>7.5830889537583532E-2</v>
      </c>
    </row>
    <row r="207" spans="1:20" x14ac:dyDescent="0.25">
      <c r="A207" s="5">
        <v>44386</v>
      </c>
      <c r="B207">
        <v>12.093</v>
      </c>
      <c r="C207">
        <v>12.88</v>
      </c>
      <c r="D207">
        <v>11.638999999999999</v>
      </c>
      <c r="E207">
        <v>12.552</v>
      </c>
      <c r="F207">
        <v>1365886.9129999999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0.47139403706688027</v>
      </c>
      <c r="Q207">
        <f t="shared" si="961"/>
        <v>643870.94609588862</v>
      </c>
      <c r="R207">
        <f t="shared" si="962"/>
        <v>8057785.8467267612</v>
      </c>
      <c r="S207">
        <f t="shared" si="963"/>
        <v>80.577858467267617</v>
      </c>
      <c r="T207">
        <f t="shared" si="964"/>
        <v>8.0577858467267616E-2</v>
      </c>
    </row>
    <row r="208" spans="1:20" x14ac:dyDescent="0.25">
      <c r="A208" s="5">
        <v>44385</v>
      </c>
      <c r="B208">
        <v>13.090999999999999</v>
      </c>
      <c r="C208">
        <v>13.118</v>
      </c>
      <c r="D208">
        <v>11.837999999999999</v>
      </c>
      <c r="E208">
        <v>12.098000000000001</v>
      </c>
      <c r="F208">
        <v>1467700.3219999999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-0.59374999999999789</v>
      </c>
      <c r="Q208">
        <f t="shared" si="961"/>
        <v>-871447.06618749688</v>
      </c>
      <c r="R208">
        <f t="shared" si="962"/>
        <v>7413914.9006308727</v>
      </c>
      <c r="S208">
        <f t="shared" si="963"/>
        <v>74.139149006308728</v>
      </c>
      <c r="T208">
        <f t="shared" si="964"/>
        <v>7.4139149006308733E-2</v>
      </c>
    </row>
    <row r="209" spans="1:20" x14ac:dyDescent="0.25">
      <c r="A209" s="5">
        <v>44384</v>
      </c>
      <c r="B209">
        <v>13.369</v>
      </c>
      <c r="C209">
        <v>14.2</v>
      </c>
      <c r="D209">
        <v>13.04</v>
      </c>
      <c r="E209">
        <v>13.105</v>
      </c>
      <c r="F209">
        <v>2048553.7879999999</v>
      </c>
      <c r="G209">
        <v>0</v>
      </c>
      <c r="L209" t="s">
        <v>7</v>
      </c>
      <c r="M209" t="s">
        <v>8</v>
      </c>
      <c r="N209" t="s">
        <v>8</v>
      </c>
      <c r="P209">
        <f t="shared" si="960"/>
        <v>-0.88793103448275645</v>
      </c>
      <c r="Q209">
        <f t="shared" si="961"/>
        <v>-1818974.4841724094</v>
      </c>
      <c r="R209">
        <f t="shared" si="962"/>
        <v>8285361.9668183699</v>
      </c>
      <c r="S209">
        <f t="shared" si="963"/>
        <v>82.853619668183697</v>
      </c>
      <c r="T209">
        <f t="shared" si="964"/>
        <v>8.2853619668183692E-2</v>
      </c>
    </row>
    <row r="210" spans="1:20" x14ac:dyDescent="0.25">
      <c r="A210" s="5">
        <v>44383</v>
      </c>
      <c r="B210">
        <v>12.041</v>
      </c>
      <c r="C210">
        <v>14.226000000000001</v>
      </c>
      <c r="D210">
        <v>12.026</v>
      </c>
      <c r="E210">
        <v>13.384</v>
      </c>
      <c r="F210">
        <v>2391422.1329999999</v>
      </c>
      <c r="G210">
        <v>0</v>
      </c>
      <c r="L210" t="s">
        <v>8</v>
      </c>
      <c r="M210" t="s">
        <v>8</v>
      </c>
      <c r="N210" t="s">
        <v>8</v>
      </c>
      <c r="P210">
        <f t="shared" si="960"/>
        <v>0.23454545454545445</v>
      </c>
      <c r="Q210">
        <f t="shared" si="961"/>
        <v>560897.19119454524</v>
      </c>
      <c r="R210">
        <f t="shared" si="962"/>
        <v>10104336.450990779</v>
      </c>
      <c r="S210">
        <f t="shared" si="963"/>
        <v>101.04336450990779</v>
      </c>
      <c r="T210">
        <f t="shared" si="964"/>
        <v>0.10104336450990779</v>
      </c>
    </row>
    <row r="211" spans="1:20" x14ac:dyDescent="0.25">
      <c r="A211" s="5">
        <v>44382</v>
      </c>
      <c r="B211">
        <v>12.342000000000001</v>
      </c>
      <c r="C211">
        <v>12.44</v>
      </c>
      <c r="D211">
        <v>11.519</v>
      </c>
      <c r="E211">
        <v>12.042</v>
      </c>
      <c r="F211">
        <v>1408712.7879999999</v>
      </c>
      <c r="G211">
        <v>0</v>
      </c>
      <c r="L211" t="s">
        <v>7</v>
      </c>
      <c r="M211" t="s">
        <v>8</v>
      </c>
      <c r="N211" t="s">
        <v>7</v>
      </c>
      <c r="P211">
        <f t="shared" si="960"/>
        <v>0.13572204125950063</v>
      </c>
      <c r="Q211">
        <f t="shared" si="961"/>
        <v>191193.37513572216</v>
      </c>
      <c r="R211">
        <f t="shared" si="962"/>
        <v>9543439.2597962338</v>
      </c>
      <c r="S211">
        <f t="shared" si="963"/>
        <v>95.434392597962344</v>
      </c>
      <c r="T211">
        <f t="shared" si="964"/>
        <v>9.5434392597962339E-2</v>
      </c>
    </row>
    <row r="212" spans="1:20" x14ac:dyDescent="0.25">
      <c r="A212" s="5">
        <v>44381</v>
      </c>
      <c r="B212">
        <v>11.499000000000001</v>
      </c>
      <c r="C212">
        <v>12.9</v>
      </c>
      <c r="D212">
        <v>11.21</v>
      </c>
      <c r="E212">
        <v>12.345000000000001</v>
      </c>
      <c r="F212">
        <v>1361790.0330000001</v>
      </c>
      <c r="G212">
        <v>0</v>
      </c>
      <c r="L212" t="s">
        <v>8</v>
      </c>
      <c r="M212" t="s">
        <v>8</v>
      </c>
      <c r="N212" t="s">
        <v>7</v>
      </c>
      <c r="P212">
        <f t="shared" si="960"/>
        <v>0.34319526627218949</v>
      </c>
      <c r="Q212">
        <f t="shared" si="961"/>
        <v>467359.89298224874</v>
      </c>
      <c r="R212">
        <f t="shared" si="962"/>
        <v>9352245.8846605122</v>
      </c>
      <c r="S212">
        <f t="shared" si="963"/>
        <v>93.522458846605119</v>
      </c>
      <c r="T212">
        <f t="shared" si="964"/>
        <v>9.3522458846605122E-2</v>
      </c>
    </row>
    <row r="213" spans="1:20" x14ac:dyDescent="0.25">
      <c r="A213" s="5">
        <v>44380</v>
      </c>
      <c r="B213">
        <v>11.117000000000001</v>
      </c>
      <c r="C213">
        <v>11.676</v>
      </c>
      <c r="D213">
        <v>10.878</v>
      </c>
      <c r="E213">
        <v>11.509</v>
      </c>
      <c r="F213">
        <v>737397.36800000002</v>
      </c>
      <c r="G213">
        <v>0</v>
      </c>
      <c r="L213" t="s">
        <v>8</v>
      </c>
      <c r="M213" t="s">
        <v>8</v>
      </c>
      <c r="N213" t="s">
        <v>7</v>
      </c>
      <c r="P213">
        <f t="shared" si="960"/>
        <v>0.58145363408521356</v>
      </c>
      <c r="Q213">
        <f t="shared" si="961"/>
        <v>428762.3793884716</v>
      </c>
      <c r="R213">
        <f t="shared" si="962"/>
        <v>8884885.991678264</v>
      </c>
      <c r="S213">
        <f t="shared" si="963"/>
        <v>88.848859916782644</v>
      </c>
      <c r="T213">
        <f t="shared" si="964"/>
        <v>8.8848859916782638E-2</v>
      </c>
    </row>
    <row r="214" spans="1:20" x14ac:dyDescent="0.25">
      <c r="A214" s="5">
        <v>44379</v>
      </c>
      <c r="B214">
        <v>11.19</v>
      </c>
      <c r="C214">
        <v>11.355</v>
      </c>
      <c r="D214">
        <v>10.571999999999999</v>
      </c>
      <c r="E214">
        <v>11.112</v>
      </c>
      <c r="F214">
        <v>979100.755</v>
      </c>
      <c r="G214">
        <v>0</v>
      </c>
      <c r="L214" t="s">
        <v>7</v>
      </c>
      <c r="M214" t="s">
        <v>8</v>
      </c>
      <c r="N214" t="s">
        <v>7</v>
      </c>
      <c r="P214">
        <f t="shared" si="960"/>
        <v>0.37931034482758635</v>
      </c>
      <c r="Q214">
        <f t="shared" si="961"/>
        <v>371383.04500000016</v>
      </c>
      <c r="R214">
        <f t="shared" si="962"/>
        <v>8456123.6122897919</v>
      </c>
      <c r="S214">
        <f t="shared" si="963"/>
        <v>84.561236122897924</v>
      </c>
      <c r="T214">
        <f t="shared" si="964"/>
        <v>8.4561236122897926E-2</v>
      </c>
    </row>
    <row r="215" spans="1:20" x14ac:dyDescent="0.25">
      <c r="A215" s="5">
        <v>44378</v>
      </c>
      <c r="B215">
        <v>11.94</v>
      </c>
      <c r="C215">
        <v>12.08</v>
      </c>
      <c r="D215">
        <v>11</v>
      </c>
      <c r="E215">
        <v>11.180999999999999</v>
      </c>
      <c r="F215">
        <v>717086.76699999999</v>
      </c>
      <c r="G215">
        <v>0</v>
      </c>
      <c r="L215" t="s">
        <v>8</v>
      </c>
      <c r="M215" t="s">
        <v>8</v>
      </c>
      <c r="N215" t="s">
        <v>7</v>
      </c>
      <c r="P215">
        <f t="shared" si="960"/>
        <v>-0.66481481481481641</v>
      </c>
      <c r="Q215">
        <f t="shared" si="961"/>
        <v>-476729.9062092604</v>
      </c>
      <c r="R215">
        <f t="shared" si="962"/>
        <v>8084740.567289792</v>
      </c>
      <c r="S215">
        <f t="shared" si="963"/>
        <v>80.847405672897921</v>
      </c>
      <c r="T215">
        <f t="shared" si="964"/>
        <v>8.0847405672897915E-2</v>
      </c>
    </row>
    <row r="216" spans="1:20" x14ac:dyDescent="0.25">
      <c r="A216" s="5">
        <v>44377</v>
      </c>
      <c r="B216">
        <v>11.920999999999999</v>
      </c>
      <c r="C216">
        <v>12.166</v>
      </c>
      <c r="D216">
        <v>11.035</v>
      </c>
      <c r="E216">
        <v>11.949</v>
      </c>
      <c r="F216">
        <v>1137246.7509999999</v>
      </c>
      <c r="G216">
        <v>0</v>
      </c>
      <c r="L216" t="s">
        <v>7</v>
      </c>
      <c r="M216" t="s">
        <v>8</v>
      </c>
      <c r="N216" t="s">
        <v>7</v>
      </c>
      <c r="P216">
        <f t="shared" si="960"/>
        <v>0.61626878868258095</v>
      </c>
      <c r="Q216">
        <f t="shared" si="961"/>
        <v>700849.67767197068</v>
      </c>
      <c r="R216">
        <f t="shared" si="962"/>
        <v>8561470.4734990522</v>
      </c>
      <c r="S216">
        <f t="shared" si="963"/>
        <v>85.614704734990525</v>
      </c>
      <c r="T216">
        <f t="shared" si="964"/>
        <v>8.5614704734990527E-2</v>
      </c>
    </row>
    <row r="217" spans="1:20" x14ac:dyDescent="0.25">
      <c r="A217" s="5">
        <v>44376</v>
      </c>
      <c r="B217">
        <v>11.333</v>
      </c>
      <c r="C217">
        <v>12.348000000000001</v>
      </c>
      <c r="D217">
        <v>11.077</v>
      </c>
      <c r="E217">
        <v>11.92</v>
      </c>
      <c r="F217">
        <v>1388415.1229999999</v>
      </c>
      <c r="G217">
        <v>0</v>
      </c>
      <c r="L217" t="s">
        <v>8</v>
      </c>
      <c r="M217" t="s">
        <v>8</v>
      </c>
      <c r="N217" t="s">
        <v>7</v>
      </c>
      <c r="P217">
        <f t="shared" si="960"/>
        <v>0.32651455546813446</v>
      </c>
      <c r="Q217">
        <f t="shared" si="961"/>
        <v>453337.74669158022</v>
      </c>
      <c r="R217">
        <f t="shared" si="962"/>
        <v>7860620.7958270814</v>
      </c>
      <c r="S217">
        <f t="shared" si="963"/>
        <v>78.606207958270815</v>
      </c>
      <c r="T217">
        <f t="shared" si="964"/>
        <v>7.8606207958270821E-2</v>
      </c>
    </row>
    <row r="218" spans="1:20" x14ac:dyDescent="0.25">
      <c r="A218" s="5">
        <v>44375</v>
      </c>
      <c r="B218">
        <v>10.952999999999999</v>
      </c>
      <c r="C218">
        <v>11.468999999999999</v>
      </c>
      <c r="D218">
        <v>10.694000000000001</v>
      </c>
      <c r="E218">
        <v>11.321999999999999</v>
      </c>
      <c r="F218">
        <v>1022964.874</v>
      </c>
      <c r="G218">
        <v>0</v>
      </c>
      <c r="L218" t="s">
        <v>8</v>
      </c>
      <c r="M218" t="s">
        <v>8</v>
      </c>
      <c r="N218" t="s">
        <v>7</v>
      </c>
      <c r="P218">
        <f t="shared" si="960"/>
        <v>0.62064516129032121</v>
      </c>
      <c r="Q218">
        <f t="shared" si="961"/>
        <v>634898.19921806303</v>
      </c>
      <c r="R218">
        <f t="shared" si="962"/>
        <v>7407283.0491355015</v>
      </c>
      <c r="S218">
        <f t="shared" si="963"/>
        <v>74.07283049135502</v>
      </c>
      <c r="T218">
        <f t="shared" si="964"/>
        <v>7.4072830491355018E-2</v>
      </c>
    </row>
    <row r="219" spans="1:20" x14ac:dyDescent="0.25">
      <c r="A219" s="5">
        <v>44374</v>
      </c>
      <c r="B219">
        <v>10.317</v>
      </c>
      <c r="C219">
        <v>10.98</v>
      </c>
      <c r="D219">
        <v>10.087</v>
      </c>
      <c r="E219">
        <v>10.941000000000001</v>
      </c>
      <c r="F219">
        <v>692604.82900000003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0.91265397536394255</v>
      </c>
      <c r="Q219">
        <f t="shared" si="961"/>
        <v>632108.55054311361</v>
      </c>
      <c r="R219">
        <f t="shared" si="962"/>
        <v>6772384.8499174388</v>
      </c>
      <c r="S219">
        <f t="shared" si="963"/>
        <v>67.723848499174395</v>
      </c>
      <c r="T219">
        <f t="shared" si="964"/>
        <v>6.7723848499174399E-2</v>
      </c>
    </row>
    <row r="220" spans="1:20" x14ac:dyDescent="0.25">
      <c r="A220" s="5">
        <v>44373</v>
      </c>
      <c r="B220">
        <v>10.238</v>
      </c>
      <c r="C220">
        <v>10.6</v>
      </c>
      <c r="D220">
        <v>9.7840000000000007</v>
      </c>
      <c r="E220">
        <v>10.318</v>
      </c>
      <c r="F220">
        <v>1136001.5789999999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0.30882352941176372</v>
      </c>
      <c r="Q220">
        <f t="shared" si="961"/>
        <v>350824.01704411651</v>
      </c>
      <c r="R220">
        <f t="shared" si="962"/>
        <v>6140276.2993743252</v>
      </c>
      <c r="S220">
        <f t="shared" si="963"/>
        <v>61.402762993743252</v>
      </c>
      <c r="T220">
        <f t="shared" si="964"/>
        <v>6.1402762993743254E-2</v>
      </c>
    </row>
    <row r="221" spans="1:20" x14ac:dyDescent="0.25">
      <c r="A221" s="5">
        <v>44372</v>
      </c>
      <c r="B221">
        <v>11.499000000000001</v>
      </c>
      <c r="C221">
        <v>11.756</v>
      </c>
      <c r="D221">
        <v>10.199999999999999</v>
      </c>
      <c r="E221">
        <v>10.234999999999999</v>
      </c>
      <c r="F221">
        <v>1369495.419</v>
      </c>
      <c r="G221">
        <v>0</v>
      </c>
      <c r="L221" t="s">
        <v>7</v>
      </c>
      <c r="M221" t="s">
        <v>8</v>
      </c>
      <c r="N221" t="s">
        <v>7</v>
      </c>
      <c r="P221">
        <f t="shared" si="960"/>
        <v>-0.95501285347043685</v>
      </c>
      <c r="Q221">
        <f t="shared" si="961"/>
        <v>-1307885.7279138814</v>
      </c>
      <c r="R221">
        <f t="shared" si="962"/>
        <v>5789452.2823302085</v>
      </c>
      <c r="S221">
        <f t="shared" si="963"/>
        <v>57.894522823302083</v>
      </c>
      <c r="T221">
        <f t="shared" si="964"/>
        <v>5.7894522823302083E-2</v>
      </c>
    </row>
    <row r="222" spans="1:20" x14ac:dyDescent="0.25">
      <c r="A222" s="5">
        <v>44371</v>
      </c>
      <c r="B222">
        <v>11.467000000000001</v>
      </c>
      <c r="C222">
        <v>11.757</v>
      </c>
      <c r="D222">
        <v>10.821999999999999</v>
      </c>
      <c r="E222">
        <v>11.493</v>
      </c>
      <c r="F222">
        <v>1288733.8959999999</v>
      </c>
      <c r="G222">
        <v>0</v>
      </c>
      <c r="L222" t="s">
        <v>7</v>
      </c>
      <c r="M222" t="s">
        <v>8</v>
      </c>
      <c r="N222" t="s">
        <v>7</v>
      </c>
      <c r="P222">
        <f t="shared" si="960"/>
        <v>0.4352941176470605</v>
      </c>
      <c r="Q222">
        <f t="shared" si="961"/>
        <v>560978.28414117859</v>
      </c>
      <c r="R222">
        <f t="shared" si="962"/>
        <v>7097338.0102440901</v>
      </c>
      <c r="S222">
        <f t="shared" si="963"/>
        <v>70.973380102440899</v>
      </c>
      <c r="T222">
        <f t="shared" si="964"/>
        <v>7.0973380102440906E-2</v>
      </c>
    </row>
    <row r="223" spans="1:20" x14ac:dyDescent="0.25">
      <c r="A223" s="5">
        <v>44370</v>
      </c>
      <c r="B223">
        <v>10.585000000000001</v>
      </c>
      <c r="C223">
        <v>11.898999999999999</v>
      </c>
      <c r="D223">
        <v>10.15</v>
      </c>
      <c r="E223">
        <v>11.456</v>
      </c>
      <c r="F223">
        <v>2090766.3330000001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0.49342481417953127</v>
      </c>
      <c r="Q223">
        <f t="shared" si="961"/>
        <v>1031635.989353345</v>
      </c>
      <c r="R223">
        <f t="shared" si="962"/>
        <v>6536359.7261029119</v>
      </c>
      <c r="S223">
        <f t="shared" si="963"/>
        <v>65.363597261029113</v>
      </c>
      <c r="T223">
        <f t="shared" si="964"/>
        <v>6.536359726102911E-2</v>
      </c>
    </row>
    <row r="224" spans="1:20" x14ac:dyDescent="0.25">
      <c r="A224" s="5">
        <v>44369</v>
      </c>
      <c r="B224">
        <v>11.19</v>
      </c>
      <c r="C224">
        <v>11.763999999999999</v>
      </c>
      <c r="D224">
        <v>9.3249999999999993</v>
      </c>
      <c r="E224">
        <v>10.577999999999999</v>
      </c>
      <c r="F224">
        <v>3283390.301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2.7470274702747096E-2</v>
      </c>
      <c r="Q224">
        <f t="shared" si="961"/>
        <v>90195.633524805467</v>
      </c>
      <c r="R224">
        <f t="shared" si="962"/>
        <v>5504723.7367495671</v>
      </c>
      <c r="S224">
        <f t="shared" si="963"/>
        <v>55.047237367495669</v>
      </c>
      <c r="T224">
        <f t="shared" si="964"/>
        <v>5.5047237367495672E-2</v>
      </c>
    </row>
    <row r="225" spans="1:20" x14ac:dyDescent="0.25">
      <c r="A225" s="5">
        <v>44368</v>
      </c>
      <c r="B225">
        <v>13.914</v>
      </c>
      <c r="C225">
        <v>14.069000000000001</v>
      </c>
      <c r="D225">
        <v>11.077</v>
      </c>
      <c r="E225">
        <v>11.2</v>
      </c>
      <c r="F225">
        <v>2203255.6269999999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-0.91778074866310211</v>
      </c>
      <c r="Q225">
        <f t="shared" si="961"/>
        <v>-2022105.5988442523</v>
      </c>
      <c r="R225">
        <f t="shared" si="962"/>
        <v>5414528.1032247618</v>
      </c>
      <c r="S225">
        <f t="shared" si="963"/>
        <v>54.145281032247617</v>
      </c>
      <c r="T225">
        <f t="shared" si="964"/>
        <v>5.4145281032247618E-2</v>
      </c>
    </row>
    <row r="226" spans="1:20" x14ac:dyDescent="0.25">
      <c r="A226" s="5">
        <v>44367</v>
      </c>
      <c r="B226">
        <v>13.374000000000001</v>
      </c>
      <c r="C226">
        <v>14.188000000000001</v>
      </c>
      <c r="D226">
        <v>12.782999999999999</v>
      </c>
      <c r="E226">
        <v>13.917</v>
      </c>
      <c r="F226">
        <v>1178226.514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0.61423487544483901</v>
      </c>
      <c r="Q226">
        <f t="shared" si="961"/>
        <v>723707.81607259682</v>
      </c>
      <c r="R226">
        <f t="shared" si="962"/>
        <v>7436633.7020690143</v>
      </c>
      <c r="S226">
        <f t="shared" si="963"/>
        <v>74.366337020690139</v>
      </c>
      <c r="T226">
        <f t="shared" si="964"/>
        <v>7.4366337020690135E-2</v>
      </c>
    </row>
    <row r="227" spans="1:20" x14ac:dyDescent="0.25">
      <c r="A227" s="5">
        <v>44366</v>
      </c>
      <c r="B227">
        <v>13.635</v>
      </c>
      <c r="C227">
        <v>14.04</v>
      </c>
      <c r="D227">
        <v>13.209</v>
      </c>
      <c r="E227">
        <v>13.382999999999999</v>
      </c>
      <c r="F227">
        <v>677502.97499999998</v>
      </c>
      <c r="G227">
        <v>0</v>
      </c>
      <c r="L227" t="s">
        <v>8</v>
      </c>
      <c r="M227" t="s">
        <v>7</v>
      </c>
      <c r="N227" t="s">
        <v>7</v>
      </c>
      <c r="P227">
        <f t="shared" si="960"/>
        <v>-0.58122743682310563</v>
      </c>
      <c r="Q227">
        <f t="shared" si="961"/>
        <v>-393783.31759927858</v>
      </c>
      <c r="R227">
        <f t="shared" si="962"/>
        <v>6712925.8859964171</v>
      </c>
      <c r="S227">
        <f t="shared" si="963"/>
        <v>67.129258859964168</v>
      </c>
      <c r="T227">
        <f t="shared" si="964"/>
        <v>6.7129258859964167E-2</v>
      </c>
    </row>
    <row r="228" spans="1:20" x14ac:dyDescent="0.25">
      <c r="A228" s="5">
        <v>44365</v>
      </c>
      <c r="B228">
        <v>14.858000000000001</v>
      </c>
      <c r="C228">
        <v>15.3</v>
      </c>
      <c r="D228">
        <v>13.1</v>
      </c>
      <c r="E228">
        <v>13.64</v>
      </c>
      <c r="F228">
        <v>1646645.548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-0.50909090909090848</v>
      </c>
      <c r="Q228">
        <f t="shared" si="961"/>
        <v>-838292.27898181719</v>
      </c>
      <c r="R228">
        <f t="shared" si="962"/>
        <v>7106709.203595696</v>
      </c>
      <c r="S228">
        <f t="shared" si="963"/>
        <v>71.067092035956961</v>
      </c>
      <c r="T228">
        <f t="shared" si="964"/>
        <v>7.1067092035956958E-2</v>
      </c>
    </row>
    <row r="229" spans="1:20" x14ac:dyDescent="0.25">
      <c r="A229" s="5">
        <v>44364</v>
      </c>
      <c r="B229">
        <v>14.081</v>
      </c>
      <c r="C229">
        <v>15.497999999999999</v>
      </c>
      <c r="D229">
        <v>14.02</v>
      </c>
      <c r="E229">
        <v>14.843999999999999</v>
      </c>
      <c r="F229">
        <v>2176578.341</v>
      </c>
      <c r="G229">
        <v>0</v>
      </c>
      <c r="L229" t="s">
        <v>8</v>
      </c>
      <c r="M229" t="s">
        <v>8</v>
      </c>
      <c r="N229" t="s">
        <v>7</v>
      </c>
      <c r="P229">
        <f t="shared" si="960"/>
        <v>0.11502029769959402</v>
      </c>
      <c r="Q229">
        <f t="shared" si="961"/>
        <v>250350.68874830846</v>
      </c>
      <c r="R229">
        <f t="shared" si="962"/>
        <v>7945001.482577513</v>
      </c>
      <c r="S229">
        <f t="shared" si="963"/>
        <v>79.450014825775128</v>
      </c>
      <c r="T229">
        <f t="shared" si="964"/>
        <v>7.9450014825775128E-2</v>
      </c>
    </row>
    <row r="230" spans="1:20" x14ac:dyDescent="0.25">
      <c r="A230" s="5">
        <v>44363</v>
      </c>
      <c r="B230">
        <v>14.715</v>
      </c>
      <c r="C230">
        <v>14.951000000000001</v>
      </c>
      <c r="D230">
        <v>13.913</v>
      </c>
      <c r="E230">
        <v>14.077999999999999</v>
      </c>
      <c r="F230">
        <v>1593156.605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-0.6820809248554931</v>
      </c>
      <c r="Q230">
        <f t="shared" si="961"/>
        <v>-1086661.7305780374</v>
      </c>
      <c r="R230">
        <f t="shared" si="962"/>
        <v>7694650.7938292045</v>
      </c>
      <c r="S230">
        <f t="shared" si="963"/>
        <v>76.946507938292044</v>
      </c>
      <c r="T230">
        <f t="shared" si="964"/>
        <v>7.6946507938292039E-2</v>
      </c>
    </row>
    <row r="231" spans="1:20" x14ac:dyDescent="0.25">
      <c r="A231" s="5">
        <v>44362</v>
      </c>
      <c r="B231">
        <v>15.111000000000001</v>
      </c>
      <c r="C231">
        <v>15.632</v>
      </c>
      <c r="D231">
        <v>14.581</v>
      </c>
      <c r="E231">
        <v>14.714</v>
      </c>
      <c r="F231">
        <v>1618961.4539999999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-0.74690770694576425</v>
      </c>
      <c r="Q231">
        <f t="shared" si="961"/>
        <v>-1209214.7872407204</v>
      </c>
      <c r="R231">
        <f t="shared" si="962"/>
        <v>8781312.5244072415</v>
      </c>
      <c r="S231">
        <f t="shared" si="963"/>
        <v>87.81312524407241</v>
      </c>
      <c r="T231">
        <f t="shared" si="964"/>
        <v>8.7813125244072407E-2</v>
      </c>
    </row>
    <row r="232" spans="1:20" x14ac:dyDescent="0.25">
      <c r="A232" s="5">
        <v>44361</v>
      </c>
      <c r="B232">
        <v>14.762</v>
      </c>
      <c r="C232">
        <v>15.419</v>
      </c>
      <c r="D232">
        <v>14.371</v>
      </c>
      <c r="E232">
        <v>15.113</v>
      </c>
      <c r="F232">
        <v>1753753.5789999999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0.41603053435114329</v>
      </c>
      <c r="Q232">
        <f t="shared" si="961"/>
        <v>729615.03859159991</v>
      </c>
      <c r="R232">
        <f t="shared" si="962"/>
        <v>9990527.3116479609</v>
      </c>
      <c r="S232">
        <f t="shared" si="963"/>
        <v>99.905273116479606</v>
      </c>
      <c r="T232">
        <f t="shared" si="964"/>
        <v>9.9905273116479607E-2</v>
      </c>
    </row>
    <row r="233" spans="1:20" x14ac:dyDescent="0.25">
      <c r="A233" s="5">
        <v>44360</v>
      </c>
      <c r="B233">
        <v>13.551</v>
      </c>
      <c r="C233">
        <v>14.999000000000001</v>
      </c>
      <c r="D233">
        <v>13.241</v>
      </c>
      <c r="E233">
        <v>14.760999999999999</v>
      </c>
      <c r="F233">
        <v>1905070.736</v>
      </c>
      <c r="G233">
        <v>0</v>
      </c>
      <c r="L233" t="s">
        <v>8</v>
      </c>
      <c r="M233" t="s">
        <v>8</v>
      </c>
      <c r="N233" t="s">
        <v>7</v>
      </c>
      <c r="P233">
        <f t="shared" si="960"/>
        <v>0.72923777019340019</v>
      </c>
      <c r="Q233">
        <f t="shared" si="961"/>
        <v>1389249.5355813398</v>
      </c>
      <c r="R233">
        <f t="shared" si="962"/>
        <v>9260912.2730563618</v>
      </c>
      <c r="S233">
        <f t="shared" si="963"/>
        <v>92.609122730563612</v>
      </c>
      <c r="T233">
        <f t="shared" si="964"/>
        <v>9.2609122730563612E-2</v>
      </c>
    </row>
    <row r="234" spans="1:20" x14ac:dyDescent="0.25">
      <c r="A234" s="5">
        <v>44359</v>
      </c>
      <c r="B234">
        <v>13.423</v>
      </c>
      <c r="C234">
        <v>14</v>
      </c>
      <c r="D234">
        <v>12.638</v>
      </c>
      <c r="E234">
        <v>13.545</v>
      </c>
      <c r="F234">
        <v>1721108.689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0.33186490455212919</v>
      </c>
      <c r="Q234">
        <f t="shared" si="961"/>
        <v>571175.57079882524</v>
      </c>
      <c r="R234">
        <f t="shared" si="962"/>
        <v>7871662.7374750227</v>
      </c>
      <c r="S234">
        <f t="shared" si="963"/>
        <v>78.716627374750232</v>
      </c>
      <c r="T234">
        <f t="shared" si="964"/>
        <v>7.8716627374750228E-2</v>
      </c>
    </row>
    <row r="235" spans="1:20" x14ac:dyDescent="0.25">
      <c r="A235" s="5">
        <v>44358</v>
      </c>
      <c r="B235">
        <v>14.193</v>
      </c>
      <c r="C235">
        <v>14.616</v>
      </c>
      <c r="D235">
        <v>13.14</v>
      </c>
      <c r="E235">
        <v>13.407999999999999</v>
      </c>
      <c r="F235">
        <v>1985298.581</v>
      </c>
      <c r="G235">
        <v>0</v>
      </c>
      <c r="L235" t="s">
        <v>7</v>
      </c>
      <c r="M235" t="s">
        <v>7</v>
      </c>
      <c r="N235" t="s">
        <v>7</v>
      </c>
      <c r="P235">
        <f t="shared" si="960"/>
        <v>-0.63685636856368688</v>
      </c>
      <c r="Q235">
        <f t="shared" si="961"/>
        <v>-1264350.0448103007</v>
      </c>
      <c r="R235">
        <f t="shared" si="962"/>
        <v>7300487.1666761972</v>
      </c>
      <c r="S235">
        <f t="shared" si="963"/>
        <v>73.004871666761971</v>
      </c>
      <c r="T235">
        <f t="shared" si="964"/>
        <v>7.3004871666761978E-2</v>
      </c>
    </row>
    <row r="236" spans="1:20" x14ac:dyDescent="0.25">
      <c r="A236" s="5">
        <v>44357</v>
      </c>
      <c r="B236">
        <v>15.403</v>
      </c>
      <c r="C236">
        <v>15.577999999999999</v>
      </c>
      <c r="D236">
        <v>13.73</v>
      </c>
      <c r="E236">
        <v>14.193</v>
      </c>
      <c r="F236">
        <v>2406206.41</v>
      </c>
      <c r="G236">
        <v>0</v>
      </c>
      <c r="L236" t="s">
        <v>7</v>
      </c>
      <c r="M236" t="s">
        <v>7</v>
      </c>
      <c r="N236" t="s">
        <v>7</v>
      </c>
      <c r="P236">
        <f t="shared" si="960"/>
        <v>-0.49891774891774954</v>
      </c>
      <c r="Q236">
        <f t="shared" si="961"/>
        <v>-1200499.0855086595</v>
      </c>
      <c r="R236">
        <f t="shared" si="962"/>
        <v>8564837.2114864979</v>
      </c>
      <c r="S236">
        <f t="shared" si="963"/>
        <v>85.648372114864983</v>
      </c>
      <c r="T236">
        <f t="shared" si="964"/>
        <v>8.5648372114864979E-2</v>
      </c>
    </row>
    <row r="237" spans="1:20" x14ac:dyDescent="0.25">
      <c r="A237" s="5">
        <v>44356</v>
      </c>
      <c r="B237">
        <v>14.803000000000001</v>
      </c>
      <c r="C237">
        <v>15.765000000000001</v>
      </c>
      <c r="D237">
        <v>13.65</v>
      </c>
      <c r="E237">
        <v>15.4</v>
      </c>
      <c r="F237">
        <v>2507532.9530000002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0.65484633569739936</v>
      </c>
      <c r="Q237">
        <f t="shared" si="961"/>
        <v>1642048.7659125293</v>
      </c>
      <c r="R237">
        <f t="shared" si="962"/>
        <v>9765336.2969951574</v>
      </c>
      <c r="S237">
        <f t="shared" si="963"/>
        <v>97.653362969951573</v>
      </c>
      <c r="T237">
        <f t="shared" si="964"/>
        <v>9.7653362969951571E-2</v>
      </c>
    </row>
    <row r="238" spans="1:20" x14ac:dyDescent="0.25">
      <c r="A238" s="5">
        <v>44355</v>
      </c>
      <c r="B238">
        <v>15.532999999999999</v>
      </c>
      <c r="C238">
        <v>16.047999999999998</v>
      </c>
      <c r="D238">
        <v>13.638999999999999</v>
      </c>
      <c r="E238">
        <v>14.792</v>
      </c>
      <c r="F238">
        <v>2622746.5809999998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-4.2756330427562488E-2</v>
      </c>
      <c r="Q238">
        <f t="shared" si="961"/>
        <v>-112139.01944499578</v>
      </c>
      <c r="R238">
        <f t="shared" si="962"/>
        <v>8123287.5310826274</v>
      </c>
      <c r="S238">
        <f t="shared" si="963"/>
        <v>81.232875310826273</v>
      </c>
      <c r="T238">
        <f t="shared" si="964"/>
        <v>8.1232875310826277E-2</v>
      </c>
    </row>
    <row r="239" spans="1:20" x14ac:dyDescent="0.25">
      <c r="A239" s="5">
        <v>44354</v>
      </c>
      <c r="B239">
        <v>17.38</v>
      </c>
      <c r="C239">
        <v>18.053000000000001</v>
      </c>
      <c r="D239">
        <v>15.304</v>
      </c>
      <c r="E239">
        <v>15.536</v>
      </c>
      <c r="F239">
        <v>2846106.8459999999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-0.83121134958166654</v>
      </c>
      <c r="Q239">
        <f t="shared" si="961"/>
        <v>-2365716.3125172802</v>
      </c>
      <c r="R239">
        <f t="shared" si="962"/>
        <v>8235426.5505276229</v>
      </c>
      <c r="S239">
        <f t="shared" si="963"/>
        <v>82.354265505276231</v>
      </c>
      <c r="T239">
        <f t="shared" si="964"/>
        <v>8.2354265505276233E-2</v>
      </c>
    </row>
    <row r="240" spans="1:20" x14ac:dyDescent="0.25">
      <c r="A240" s="5">
        <v>44353</v>
      </c>
      <c r="B240">
        <v>17.233000000000001</v>
      </c>
      <c r="C240">
        <v>18</v>
      </c>
      <c r="D240">
        <v>17.09</v>
      </c>
      <c r="E240">
        <v>17.382999999999999</v>
      </c>
      <c r="F240">
        <v>747036.54099999997</v>
      </c>
      <c r="G240">
        <v>0</v>
      </c>
      <c r="L240" t="s">
        <v>7</v>
      </c>
      <c r="M240" t="s">
        <v>7</v>
      </c>
      <c r="N240" t="s">
        <v>7</v>
      </c>
      <c r="P240">
        <f t="shared" si="960"/>
        <v>-0.35604395604395778</v>
      </c>
      <c r="Q240">
        <f t="shared" si="961"/>
        <v>-265977.84536703426</v>
      </c>
      <c r="R240">
        <f t="shared" si="962"/>
        <v>10601142.863044903</v>
      </c>
      <c r="S240">
        <f t="shared" si="963"/>
        <v>106.01142863044903</v>
      </c>
      <c r="T240">
        <f t="shared" si="964"/>
        <v>0.10601142863044903</v>
      </c>
    </row>
    <row r="241" spans="1:20" x14ac:dyDescent="0.25">
      <c r="A241" s="5">
        <v>44352</v>
      </c>
      <c r="B241">
        <v>18.236000000000001</v>
      </c>
      <c r="C241">
        <v>19.141999999999999</v>
      </c>
      <c r="D241">
        <v>16.86</v>
      </c>
      <c r="E241">
        <v>17.23</v>
      </c>
      <c r="F241">
        <v>1557214.89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-0.67572304995617793</v>
      </c>
      <c r="Q241">
        <f t="shared" si="961"/>
        <v>-1052245.994907974</v>
      </c>
      <c r="R241">
        <f t="shared" si="962"/>
        <v>10867120.708411938</v>
      </c>
      <c r="S241">
        <f t="shared" si="963"/>
        <v>108.67120708411937</v>
      </c>
      <c r="T241">
        <f t="shared" si="964"/>
        <v>0.10867120708411937</v>
      </c>
    </row>
    <row r="242" spans="1:20" x14ac:dyDescent="0.25">
      <c r="A242" s="5">
        <v>44351</v>
      </c>
      <c r="B242">
        <v>20.247</v>
      </c>
      <c r="C242">
        <v>20.55</v>
      </c>
      <c r="D242">
        <v>17.41</v>
      </c>
      <c r="E242">
        <v>18.242999999999999</v>
      </c>
      <c r="F242">
        <v>1844859.9410000001</v>
      </c>
      <c r="G242">
        <v>0</v>
      </c>
      <c r="L242" t="s">
        <v>7</v>
      </c>
      <c r="M242" t="s">
        <v>7</v>
      </c>
      <c r="N242" t="s">
        <v>7</v>
      </c>
      <c r="P242">
        <f t="shared" si="960"/>
        <v>-0.4694267515923578</v>
      </c>
      <c r="Q242">
        <f t="shared" si="961"/>
        <v>-866026.60924649891</v>
      </c>
      <c r="R242">
        <f t="shared" si="962"/>
        <v>11919366.703319911</v>
      </c>
      <c r="S242">
        <f t="shared" si="963"/>
        <v>119.19366703319911</v>
      </c>
      <c r="T242">
        <f t="shared" si="964"/>
        <v>0.1191936670331991</v>
      </c>
    </row>
    <row r="243" spans="1:20" x14ac:dyDescent="0.25">
      <c r="A243" s="5">
        <v>44350</v>
      </c>
      <c r="B243">
        <v>18.686</v>
      </c>
      <c r="C243">
        <v>20.7</v>
      </c>
      <c r="D243">
        <v>18.219000000000001</v>
      </c>
      <c r="E243">
        <v>20.268000000000001</v>
      </c>
      <c r="F243">
        <v>1754635.6710000001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0.65175332527206853</v>
      </c>
      <c r="Q243">
        <f t="shared" si="961"/>
        <v>1143589.6332152372</v>
      </c>
      <c r="R243">
        <f t="shared" si="962"/>
        <v>12785393.312566411</v>
      </c>
      <c r="S243">
        <f t="shared" si="963"/>
        <v>127.85393312566411</v>
      </c>
      <c r="T243">
        <f t="shared" si="964"/>
        <v>0.12785393312566412</v>
      </c>
    </row>
    <row r="244" spans="1:20" x14ac:dyDescent="0.25">
      <c r="A244" s="5">
        <v>44349</v>
      </c>
      <c r="B244">
        <v>17.748000000000001</v>
      </c>
      <c r="C244">
        <v>19.419</v>
      </c>
      <c r="D244">
        <v>17.145</v>
      </c>
      <c r="E244">
        <v>18.687000000000001</v>
      </c>
      <c r="F244">
        <v>1696639.301</v>
      </c>
      <c r="G244">
        <v>0</v>
      </c>
      <c r="L244" t="s">
        <v>8</v>
      </c>
      <c r="M244" t="s">
        <v>8</v>
      </c>
      <c r="N244" t="s">
        <v>7</v>
      </c>
      <c r="P244">
        <f t="shared" si="960"/>
        <v>0.35620052770448635</v>
      </c>
      <c r="Q244">
        <f t="shared" si="961"/>
        <v>604343.81434037082</v>
      </c>
      <c r="R244">
        <f t="shared" si="962"/>
        <v>11641803.679351173</v>
      </c>
      <c r="S244">
        <f t="shared" si="963"/>
        <v>116.41803679351173</v>
      </c>
      <c r="T244">
        <f t="shared" si="964"/>
        <v>0.11641803679351173</v>
      </c>
    </row>
    <row r="245" spans="1:20" x14ac:dyDescent="0.25">
      <c r="A245" s="5">
        <v>44348</v>
      </c>
      <c r="B245">
        <v>18.152999999999999</v>
      </c>
      <c r="C245">
        <v>18.582999999999998</v>
      </c>
      <c r="D245">
        <v>17.065999999999999</v>
      </c>
      <c r="E245">
        <v>17.748000000000001</v>
      </c>
      <c r="F245">
        <v>1195464.415</v>
      </c>
      <c r="G245">
        <v>0</v>
      </c>
      <c r="L245" t="s">
        <v>8</v>
      </c>
      <c r="M245" t="s">
        <v>8</v>
      </c>
      <c r="N245" t="s">
        <v>7</v>
      </c>
      <c r="P245">
        <f t="shared" si="960"/>
        <v>-0.10085695451548793</v>
      </c>
      <c r="Q245">
        <f t="shared" si="961"/>
        <v>-120570.90012853939</v>
      </c>
      <c r="R245">
        <f t="shared" si="962"/>
        <v>11037459.865010802</v>
      </c>
      <c r="S245">
        <f t="shared" si="963"/>
        <v>110.37459865010801</v>
      </c>
      <c r="T245">
        <f t="shared" si="964"/>
        <v>0.11037459865010801</v>
      </c>
    </row>
    <row r="246" spans="1:20" x14ac:dyDescent="0.25">
      <c r="A246" s="5">
        <v>44347</v>
      </c>
      <c r="B246">
        <v>16.504000000000001</v>
      </c>
      <c r="C246">
        <v>18.198</v>
      </c>
      <c r="D246">
        <v>15.670999999999999</v>
      </c>
      <c r="E246">
        <v>18.14</v>
      </c>
      <c r="F246">
        <v>1357131.0149999999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0.9540957657301149</v>
      </c>
      <c r="Q246">
        <f t="shared" si="961"/>
        <v>1294832.9549525129</v>
      </c>
      <c r="R246">
        <f t="shared" si="962"/>
        <v>11158030.765139341</v>
      </c>
      <c r="S246">
        <f t="shared" si="963"/>
        <v>111.58030765139341</v>
      </c>
      <c r="T246">
        <f t="shared" si="964"/>
        <v>0.11158030765139342</v>
      </c>
    </row>
    <row r="247" spans="1:20" x14ac:dyDescent="0.25">
      <c r="A247" s="5">
        <v>44346</v>
      </c>
      <c r="B247">
        <v>16.193999999999999</v>
      </c>
      <c r="C247">
        <v>17.468</v>
      </c>
      <c r="D247">
        <v>15.101000000000001</v>
      </c>
      <c r="E247">
        <v>16.518000000000001</v>
      </c>
      <c r="F247">
        <v>1133881.014</v>
      </c>
      <c r="G247">
        <v>0</v>
      </c>
      <c r="L247" t="s">
        <v>8</v>
      </c>
      <c r="M247" t="s">
        <v>7</v>
      </c>
      <c r="N247" t="s">
        <v>7</v>
      </c>
      <c r="P247">
        <f t="shared" si="960"/>
        <v>0.19729615547106072</v>
      </c>
      <c r="Q247">
        <f t="shared" si="961"/>
        <v>223710.36482382796</v>
      </c>
      <c r="R247">
        <f t="shared" si="962"/>
        <v>9863197.8101868276</v>
      </c>
      <c r="S247">
        <f t="shared" si="963"/>
        <v>98.63197810186827</v>
      </c>
      <c r="T247">
        <f t="shared" si="964"/>
        <v>9.8631978101868273E-2</v>
      </c>
    </row>
    <row r="248" spans="1:20" x14ac:dyDescent="0.25">
      <c r="A248" s="5">
        <v>44345</v>
      </c>
      <c r="B248">
        <v>16.727</v>
      </c>
      <c r="C248">
        <v>17.591999999999999</v>
      </c>
      <c r="D248">
        <v>15.169</v>
      </c>
      <c r="E248">
        <v>16.167999999999999</v>
      </c>
      <c r="F248">
        <v>1260980.209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-0.1754023937267854</v>
      </c>
      <c r="Q248">
        <f t="shared" si="961"/>
        <v>-221178.94710070215</v>
      </c>
      <c r="R248">
        <f t="shared" si="962"/>
        <v>9639487.445363</v>
      </c>
      <c r="S248">
        <f t="shared" si="963"/>
        <v>96.394874453629996</v>
      </c>
      <c r="T248">
        <f t="shared" si="964"/>
        <v>9.639487445363E-2</v>
      </c>
    </row>
    <row r="249" spans="1:20" x14ac:dyDescent="0.25">
      <c r="A249" s="5">
        <v>44344</v>
      </c>
      <c r="B249">
        <v>19.132999999999999</v>
      </c>
      <c r="C249">
        <v>19.568000000000001</v>
      </c>
      <c r="D249">
        <v>16.015000000000001</v>
      </c>
      <c r="E249">
        <v>16.727</v>
      </c>
      <c r="F249">
        <v>2318888.923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-0.59921193357725888</v>
      </c>
      <c r="Q249">
        <f t="shared" si="961"/>
        <v>-1389505.9153017174</v>
      </c>
      <c r="R249">
        <f t="shared" si="962"/>
        <v>9860666.3924637027</v>
      </c>
      <c r="S249">
        <f t="shared" si="963"/>
        <v>98.606663924637033</v>
      </c>
      <c r="T249">
        <f t="shared" si="964"/>
        <v>9.8606663924637031E-2</v>
      </c>
    </row>
    <row r="250" spans="1:20" x14ac:dyDescent="0.25">
      <c r="A250" s="5">
        <v>44343</v>
      </c>
      <c r="B250">
        <v>20.794</v>
      </c>
      <c r="C250">
        <v>21.198</v>
      </c>
      <c r="D250">
        <v>18.716999999999999</v>
      </c>
      <c r="E250">
        <v>19.117999999999999</v>
      </c>
      <c r="F250">
        <v>1878833.966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-0.67674324869004476</v>
      </c>
      <c r="Q250">
        <f t="shared" si="961"/>
        <v>-1271488.2019000412</v>
      </c>
      <c r="R250">
        <f t="shared" si="962"/>
        <v>11250172.307765421</v>
      </c>
      <c r="S250">
        <f t="shared" si="963"/>
        <v>112.5017230776542</v>
      </c>
      <c r="T250">
        <f t="shared" si="964"/>
        <v>0.1125017230776542</v>
      </c>
    </row>
    <row r="251" spans="1:20" x14ac:dyDescent="0.25">
      <c r="A251" s="5">
        <v>44342</v>
      </c>
      <c r="B251">
        <v>19.431000000000001</v>
      </c>
      <c r="C251">
        <v>21.452999999999999</v>
      </c>
      <c r="D251">
        <v>18.917999999999999</v>
      </c>
      <c r="E251">
        <v>20.797000000000001</v>
      </c>
      <c r="F251">
        <v>3101870.5210000002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0.48244575936883727</v>
      </c>
      <c r="Q251">
        <f t="shared" si="961"/>
        <v>1496484.278967656</v>
      </c>
      <c r="R251">
        <f t="shared" si="962"/>
        <v>12521660.509665461</v>
      </c>
      <c r="S251">
        <f t="shared" si="963"/>
        <v>125.21660509665462</v>
      </c>
      <c r="T251">
        <f t="shared" si="964"/>
        <v>0.12521660509665461</v>
      </c>
    </row>
    <row r="252" spans="1:20" x14ac:dyDescent="0.25">
      <c r="A252" s="5">
        <v>44341</v>
      </c>
      <c r="B252">
        <v>19.395</v>
      </c>
      <c r="C252">
        <v>20.242999999999999</v>
      </c>
      <c r="D252">
        <v>17.001000000000001</v>
      </c>
      <c r="E252">
        <v>19.446000000000002</v>
      </c>
      <c r="F252">
        <v>2878326.676</v>
      </c>
      <c r="G252">
        <v>0</v>
      </c>
      <c r="L252" t="s">
        <v>7</v>
      </c>
      <c r="M252" t="s">
        <v>8</v>
      </c>
      <c r="N252" t="s">
        <v>8</v>
      </c>
      <c r="P252">
        <f t="shared" si="960"/>
        <v>0.50832819247378302</v>
      </c>
      <c r="Q252">
        <f t="shared" si="961"/>
        <v>1463134.596560152</v>
      </c>
      <c r="R252">
        <f t="shared" si="962"/>
        <v>11025176.230697805</v>
      </c>
      <c r="S252">
        <f t="shared" si="963"/>
        <v>110.25176230697805</v>
      </c>
      <c r="T252">
        <f t="shared" si="964"/>
        <v>0.11025176230697806</v>
      </c>
    </row>
    <row r="253" spans="1:20" x14ac:dyDescent="0.25">
      <c r="A253" s="5">
        <v>44340</v>
      </c>
      <c r="B253">
        <v>15.603</v>
      </c>
      <c r="C253">
        <v>20.5</v>
      </c>
      <c r="D253">
        <v>15.034000000000001</v>
      </c>
      <c r="E253">
        <v>19.395</v>
      </c>
      <c r="F253">
        <v>4361327.4809999997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0.59568240029271846</v>
      </c>
      <c r="Q253">
        <f t="shared" si="961"/>
        <v>2597966.0223446754</v>
      </c>
      <c r="R253">
        <f t="shared" si="962"/>
        <v>9562041.6341376528</v>
      </c>
      <c r="S253">
        <f t="shared" si="963"/>
        <v>95.620416341376526</v>
      </c>
      <c r="T253">
        <f t="shared" si="964"/>
        <v>9.5620416341376524E-2</v>
      </c>
    </row>
    <row r="254" spans="1:20" x14ac:dyDescent="0.25">
      <c r="A254" s="5">
        <v>44339</v>
      </c>
      <c r="B254">
        <v>18.809000000000001</v>
      </c>
      <c r="C254">
        <v>19.667999999999999</v>
      </c>
      <c r="D254">
        <v>12.086</v>
      </c>
      <c r="E254">
        <v>15.606</v>
      </c>
      <c r="F254">
        <v>5463994.5140000004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-7.1485096280664712E-2</v>
      </c>
      <c r="Q254">
        <f t="shared" si="961"/>
        <v>-390594.17391031381</v>
      </c>
      <c r="R254">
        <f t="shared" si="962"/>
        <v>6964075.6117929779</v>
      </c>
      <c r="S254">
        <f t="shared" si="963"/>
        <v>69.640756117929783</v>
      </c>
      <c r="T254">
        <f t="shared" si="964"/>
        <v>6.9640756117929789E-2</v>
      </c>
    </row>
    <row r="255" spans="1:20" x14ac:dyDescent="0.25">
      <c r="A255" s="5">
        <v>44338</v>
      </c>
      <c r="B255">
        <v>21.824999999999999</v>
      </c>
      <c r="C255">
        <v>22.474</v>
      </c>
      <c r="D255">
        <v>18.3</v>
      </c>
      <c r="E255">
        <v>18.797000000000001</v>
      </c>
      <c r="F255">
        <v>2628918.3709999998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-0.76185912793483468</v>
      </c>
      <c r="Q255">
        <f t="shared" si="961"/>
        <v>-2002865.4575419261</v>
      </c>
      <c r="R255">
        <f t="shared" si="962"/>
        <v>7354669.7857032921</v>
      </c>
      <c r="S255">
        <f t="shared" si="963"/>
        <v>73.546697857032925</v>
      </c>
      <c r="T255">
        <f t="shared" si="964"/>
        <v>7.3546697857032925E-2</v>
      </c>
    </row>
    <row r="256" spans="1:20" x14ac:dyDescent="0.25">
      <c r="A256" s="5">
        <v>44337</v>
      </c>
      <c r="B256">
        <v>25.042000000000002</v>
      </c>
      <c r="C256">
        <v>26.712</v>
      </c>
      <c r="D256">
        <v>18.367999999999999</v>
      </c>
      <c r="E256">
        <v>21.827000000000002</v>
      </c>
      <c r="F256">
        <v>3781391.3339999998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-0.17090124640460147</v>
      </c>
      <c r="Q256">
        <f t="shared" si="961"/>
        <v>-646244.49212415866</v>
      </c>
      <c r="R256">
        <f t="shared" si="962"/>
        <v>9357535.2432452179</v>
      </c>
      <c r="S256">
        <f t="shared" si="963"/>
        <v>93.575352432452178</v>
      </c>
      <c r="T256">
        <f t="shared" si="964"/>
        <v>9.3575352432452172E-2</v>
      </c>
    </row>
    <row r="257" spans="1:20" x14ac:dyDescent="0.25">
      <c r="A257" s="5">
        <v>44336</v>
      </c>
      <c r="B257">
        <v>23.064</v>
      </c>
      <c r="C257">
        <v>28.2</v>
      </c>
      <c r="D257">
        <v>20.809000000000001</v>
      </c>
      <c r="E257">
        <v>25.085999999999999</v>
      </c>
      <c r="F257">
        <v>4667836.199</v>
      </c>
      <c r="G257">
        <v>0</v>
      </c>
      <c r="L257" t="s">
        <v>7</v>
      </c>
      <c r="M257" t="s">
        <v>8</v>
      </c>
      <c r="N257" t="s">
        <v>8</v>
      </c>
      <c r="P257">
        <f t="shared" si="960"/>
        <v>0.157353538086862</v>
      </c>
      <c r="Q257">
        <f t="shared" si="961"/>
        <v>734500.54112257971</v>
      </c>
      <c r="R257">
        <f t="shared" si="962"/>
        <v>10003779.735369377</v>
      </c>
      <c r="S257">
        <f t="shared" si="963"/>
        <v>100.03779735369376</v>
      </c>
      <c r="T257">
        <f t="shared" si="964"/>
        <v>0.10003779735369377</v>
      </c>
    </row>
    <row r="258" spans="1:20" x14ac:dyDescent="0.25">
      <c r="A258" s="5">
        <v>44335</v>
      </c>
      <c r="B258">
        <v>36.906999999999996</v>
      </c>
      <c r="C258">
        <v>38.534999999999997</v>
      </c>
      <c r="D258">
        <v>17.774999999999999</v>
      </c>
      <c r="E258">
        <v>23.052</v>
      </c>
      <c r="F258">
        <v>7854204.0120000001</v>
      </c>
      <c r="G258">
        <v>0</v>
      </c>
      <c r="L258" t="s">
        <v>8</v>
      </c>
      <c r="M258" t="s">
        <v>7</v>
      </c>
      <c r="N258" t="s">
        <v>7</v>
      </c>
      <c r="P258">
        <f t="shared" si="960"/>
        <v>-0.49161849710982647</v>
      </c>
      <c r="Q258">
        <f t="shared" si="961"/>
        <v>-3861271.9723734097</v>
      </c>
      <c r="R258">
        <f t="shared" si="962"/>
        <v>9269279.1942467969</v>
      </c>
      <c r="S258">
        <f t="shared" si="963"/>
        <v>92.692791942467963</v>
      </c>
      <c r="T258">
        <f t="shared" si="964"/>
        <v>9.2692791942467961E-2</v>
      </c>
    </row>
    <row r="259" spans="1:20" x14ac:dyDescent="0.25">
      <c r="A259" s="5">
        <v>44334</v>
      </c>
      <c r="B259">
        <v>33.683999999999997</v>
      </c>
      <c r="C259">
        <v>37.700000000000003</v>
      </c>
      <c r="D259">
        <v>33.268000000000001</v>
      </c>
      <c r="E259">
        <v>36.875</v>
      </c>
      <c r="F259">
        <v>3692884.156</v>
      </c>
      <c r="G259">
        <v>0</v>
      </c>
      <c r="L259" t="s">
        <v>8</v>
      </c>
      <c r="M259" t="s">
        <v>8</v>
      </c>
      <c r="N259" t="s">
        <v>7</v>
      </c>
      <c r="P259">
        <f t="shared" si="960"/>
        <v>0.62770758122743575</v>
      </c>
      <c r="Q259">
        <f t="shared" si="961"/>
        <v>2318051.3813158805</v>
      </c>
      <c r="R259">
        <f t="shared" si="962"/>
        <v>13130551.166620206</v>
      </c>
      <c r="S259">
        <f t="shared" si="963"/>
        <v>131.30551166620205</v>
      </c>
      <c r="T259">
        <f t="shared" si="964"/>
        <v>0.13130551166620205</v>
      </c>
    </row>
    <row r="260" spans="1:20" x14ac:dyDescent="0.25">
      <c r="A260" s="5">
        <v>44333</v>
      </c>
      <c r="B260">
        <v>36.597000000000001</v>
      </c>
      <c r="C260">
        <v>37.936</v>
      </c>
      <c r="D260">
        <v>31.75</v>
      </c>
      <c r="E260">
        <v>33.67</v>
      </c>
      <c r="F260">
        <v>4761781.5360000003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-0.37924345295829237</v>
      </c>
      <c r="Q260">
        <f t="shared" si="961"/>
        <v>-1805874.4719456814</v>
      </c>
      <c r="R260">
        <f t="shared" si="962"/>
        <v>10812499.785304325</v>
      </c>
      <c r="S260">
        <f t="shared" si="963"/>
        <v>108.12499785304324</v>
      </c>
      <c r="T260">
        <f t="shared" si="964"/>
        <v>0.10812499785304323</v>
      </c>
    </row>
    <row r="261" spans="1:20" x14ac:dyDescent="0.25">
      <c r="A261" s="5">
        <v>44332</v>
      </c>
      <c r="B261">
        <v>34.463999999999999</v>
      </c>
      <c r="C261">
        <v>39.700000000000003</v>
      </c>
      <c r="D261">
        <v>32.5</v>
      </c>
      <c r="E261">
        <v>36.6</v>
      </c>
      <c r="F261">
        <v>5278663.199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0.13888888888888884</v>
      </c>
      <c r="Q261">
        <f t="shared" si="961"/>
        <v>733147.66652777756</v>
      </c>
      <c r="R261">
        <f t="shared" si="962"/>
        <v>12618374.257250005</v>
      </c>
      <c r="S261">
        <f t="shared" si="963"/>
        <v>126.18374257250005</v>
      </c>
      <c r="T261">
        <f t="shared" si="964"/>
        <v>0.12618374257250006</v>
      </c>
    </row>
    <row r="262" spans="1:20" x14ac:dyDescent="0.25">
      <c r="A262" s="5">
        <v>44331</v>
      </c>
      <c r="B262">
        <v>36.993000000000002</v>
      </c>
      <c r="C262">
        <v>39.99</v>
      </c>
      <c r="D262">
        <v>34.030999999999999</v>
      </c>
      <c r="E262">
        <v>34.439</v>
      </c>
      <c r="F262">
        <v>4984162.8370000003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5">IF(C262=D262,0,((E262-D262)-(C262-E262))/(C262-D262))</f>
        <v>-0.86306427252894746</v>
      </c>
      <c r="Q262">
        <f t="shared" ref="Q262:Q325" si="966">F262*P262</f>
        <v>-4301652.8730812203</v>
      </c>
      <c r="R262">
        <f t="shared" ref="R262:R325" si="967">R263+Q262</f>
        <v>11885226.590722227</v>
      </c>
      <c r="S262">
        <f t="shared" ref="S262:S325" si="968">R262/100000</f>
        <v>118.85226590722228</v>
      </c>
      <c r="T262">
        <f t="shared" ref="T262:T325" si="969">S262/1000</f>
        <v>0.11885226590722228</v>
      </c>
    </row>
    <row r="263" spans="1:20" x14ac:dyDescent="0.25">
      <c r="A263" s="5">
        <v>44330</v>
      </c>
      <c r="B263">
        <v>35.036000000000001</v>
      </c>
      <c r="C263">
        <v>38</v>
      </c>
      <c r="D263">
        <v>33.276000000000003</v>
      </c>
      <c r="E263">
        <v>36.999000000000002</v>
      </c>
      <c r="F263">
        <v>2531482.4550000001</v>
      </c>
      <c r="G263">
        <v>0</v>
      </c>
      <c r="L263" t="s">
        <v>8</v>
      </c>
      <c r="M263" t="s">
        <v>8</v>
      </c>
      <c r="N263" t="s">
        <v>7</v>
      </c>
      <c r="P263">
        <f t="shared" si="965"/>
        <v>0.57620660457239692</v>
      </c>
      <c r="Q263">
        <f t="shared" si="966"/>
        <v>1458656.9099301456</v>
      </c>
      <c r="R263">
        <f t="shared" si="967"/>
        <v>16186879.463803448</v>
      </c>
      <c r="S263">
        <f t="shared" si="968"/>
        <v>161.86879463803447</v>
      </c>
      <c r="T263">
        <f t="shared" si="969"/>
        <v>0.16186879463803447</v>
      </c>
    </row>
    <row r="264" spans="1:20" x14ac:dyDescent="0.25">
      <c r="A264" s="5">
        <v>44329</v>
      </c>
      <c r="B264">
        <v>32.872</v>
      </c>
      <c r="C264">
        <v>37.17</v>
      </c>
      <c r="D264">
        <v>30.739000000000001</v>
      </c>
      <c r="E264">
        <v>35.075000000000003</v>
      </c>
      <c r="F264">
        <v>4599017.9780000001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0.34846835639869428</v>
      </c>
      <c r="Q264">
        <f t="shared" si="966"/>
        <v>1602612.2358417064</v>
      </c>
      <c r="R264">
        <f t="shared" si="967"/>
        <v>14728222.553873302</v>
      </c>
      <c r="S264">
        <f t="shared" si="968"/>
        <v>147.28222553873303</v>
      </c>
      <c r="T264">
        <f t="shared" si="969"/>
        <v>0.14728222553873302</v>
      </c>
    </row>
    <row r="265" spans="1:20" x14ac:dyDescent="0.25">
      <c r="A265" s="5">
        <v>44328</v>
      </c>
      <c r="B265">
        <v>36.768000000000001</v>
      </c>
      <c r="C265">
        <v>41.47</v>
      </c>
      <c r="D265">
        <v>32</v>
      </c>
      <c r="E265">
        <v>32.799999999999997</v>
      </c>
      <c r="F265">
        <v>5512564.2000000002</v>
      </c>
      <c r="G265">
        <v>0</v>
      </c>
      <c r="L265" t="s">
        <v>8</v>
      </c>
      <c r="M265" t="s">
        <v>8</v>
      </c>
      <c r="N265" t="s">
        <v>8</v>
      </c>
      <c r="P265">
        <f t="shared" si="965"/>
        <v>-0.83104540654699111</v>
      </c>
      <c r="Q265">
        <f t="shared" si="966"/>
        <v>-4581191.1567053888</v>
      </c>
      <c r="R265">
        <f t="shared" si="967"/>
        <v>13125610.318031596</v>
      </c>
      <c r="S265">
        <f t="shared" si="968"/>
        <v>131.25610318031596</v>
      </c>
      <c r="T265">
        <f t="shared" si="969"/>
        <v>0.13125610318031597</v>
      </c>
    </row>
    <row r="266" spans="1:20" x14ac:dyDescent="0.25">
      <c r="A266" s="5">
        <v>44327</v>
      </c>
      <c r="B266">
        <v>34.65</v>
      </c>
      <c r="C266">
        <v>37.299999999999997</v>
      </c>
      <c r="D266">
        <v>32.575000000000003</v>
      </c>
      <c r="E266">
        <v>36.799999999999997</v>
      </c>
      <c r="F266">
        <v>2729477.6039999998</v>
      </c>
      <c r="G266">
        <v>0</v>
      </c>
      <c r="L266" t="s">
        <v>8</v>
      </c>
      <c r="M266" t="s">
        <v>8</v>
      </c>
      <c r="N266" t="s">
        <v>7</v>
      </c>
      <c r="P266">
        <f t="shared" si="965"/>
        <v>0.78835978835978815</v>
      </c>
      <c r="Q266">
        <f t="shared" si="966"/>
        <v>2151810.3862222214</v>
      </c>
      <c r="R266">
        <f t="shared" si="967"/>
        <v>17706801.474736985</v>
      </c>
      <c r="S266">
        <f t="shared" si="968"/>
        <v>177.06801474736986</v>
      </c>
      <c r="T266">
        <f t="shared" si="969"/>
        <v>0.17706801474736986</v>
      </c>
    </row>
    <row r="267" spans="1:20" x14ac:dyDescent="0.25">
      <c r="A267" s="5">
        <v>44326</v>
      </c>
      <c r="B267">
        <v>38.988</v>
      </c>
      <c r="C267">
        <v>41.8</v>
      </c>
      <c r="D267">
        <v>29.69</v>
      </c>
      <c r="E267">
        <v>34.652000000000001</v>
      </c>
      <c r="F267">
        <v>4334618.0880000005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-0.18051197357555715</v>
      </c>
      <c r="Q267">
        <f t="shared" si="966"/>
        <v>-782450.46576118818</v>
      </c>
      <c r="R267">
        <f t="shared" si="967"/>
        <v>15554991.088514764</v>
      </c>
      <c r="S267">
        <f t="shared" si="968"/>
        <v>155.54991088514763</v>
      </c>
      <c r="T267">
        <f t="shared" si="969"/>
        <v>0.15554991088514764</v>
      </c>
    </row>
    <row r="268" spans="1:20" x14ac:dyDescent="0.25">
      <c r="A268" s="5">
        <v>44325</v>
      </c>
      <c r="B268">
        <v>38.399000000000001</v>
      </c>
      <c r="C268">
        <v>39.5</v>
      </c>
      <c r="D268">
        <v>35.017000000000003</v>
      </c>
      <c r="E268">
        <v>38.969000000000001</v>
      </c>
      <c r="F268">
        <v>2403153.534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0.76310506357350028</v>
      </c>
      <c r="Q268">
        <f t="shared" si="966"/>
        <v>1833858.630339952</v>
      </c>
      <c r="R268">
        <f t="shared" si="967"/>
        <v>16337441.554275952</v>
      </c>
      <c r="S268">
        <f t="shared" si="968"/>
        <v>163.37441554275952</v>
      </c>
      <c r="T268">
        <f t="shared" si="969"/>
        <v>0.16337441554275953</v>
      </c>
    </row>
    <row r="269" spans="1:20" x14ac:dyDescent="0.25">
      <c r="A269" s="5">
        <v>44324</v>
      </c>
      <c r="B269">
        <v>37.851999999999997</v>
      </c>
      <c r="C269">
        <v>39.844000000000001</v>
      </c>
      <c r="D269">
        <v>37.156999999999996</v>
      </c>
      <c r="E269">
        <v>38.399000000000001</v>
      </c>
      <c r="F269">
        <v>2493215.1970000002</v>
      </c>
      <c r="G269">
        <v>0</v>
      </c>
      <c r="L269" t="s">
        <v>7</v>
      </c>
      <c r="M269" t="s">
        <v>8</v>
      </c>
      <c r="N269" t="s">
        <v>8</v>
      </c>
      <c r="P269">
        <f t="shared" si="965"/>
        <v>-7.5548939337549498E-2</v>
      </c>
      <c r="Q269">
        <f t="shared" si="966"/>
        <v>-188359.76367360953</v>
      </c>
      <c r="R269">
        <f t="shared" si="967"/>
        <v>14503582.923936</v>
      </c>
      <c r="S269">
        <f t="shared" si="968"/>
        <v>145.03582923936</v>
      </c>
      <c r="T269">
        <f t="shared" si="969"/>
        <v>0.14503582923936001</v>
      </c>
    </row>
    <row r="270" spans="1:20" x14ac:dyDescent="0.25">
      <c r="A270" s="5">
        <v>44323</v>
      </c>
      <c r="B270">
        <v>38.002000000000002</v>
      </c>
      <c r="C270">
        <v>43.884999999999998</v>
      </c>
      <c r="D270">
        <v>35.969000000000001</v>
      </c>
      <c r="E270">
        <v>37.875</v>
      </c>
      <c r="F270">
        <v>6802609.557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-0.51844365841334017</v>
      </c>
      <c r="Q270">
        <f t="shared" si="966"/>
        <v>-3526769.7854886311</v>
      </c>
      <c r="R270">
        <f t="shared" si="967"/>
        <v>14691942.687609609</v>
      </c>
      <c r="S270">
        <f t="shared" si="968"/>
        <v>146.91942687609608</v>
      </c>
      <c r="T270">
        <f t="shared" si="969"/>
        <v>0.14691942687609608</v>
      </c>
    </row>
    <row r="271" spans="1:20" x14ac:dyDescent="0.25">
      <c r="A271" s="5">
        <v>44322</v>
      </c>
      <c r="B271">
        <v>35.225000000000001</v>
      </c>
      <c r="C271">
        <v>39.299999999999997</v>
      </c>
      <c r="D271">
        <v>34.659999999999997</v>
      </c>
      <c r="E271">
        <v>38.003</v>
      </c>
      <c r="F271">
        <v>6195375.7259999998</v>
      </c>
      <c r="G271">
        <v>0</v>
      </c>
      <c r="L271" t="s">
        <v>8</v>
      </c>
      <c r="M271" t="s">
        <v>8</v>
      </c>
      <c r="N271" t="s">
        <v>8</v>
      </c>
      <c r="P271">
        <f t="shared" si="965"/>
        <v>0.4409482758620703</v>
      </c>
      <c r="Q271">
        <f t="shared" si="966"/>
        <v>2731840.2446974218</v>
      </c>
      <c r="R271">
        <f t="shared" si="967"/>
        <v>18218712.473098241</v>
      </c>
      <c r="S271">
        <f t="shared" si="968"/>
        <v>182.18712473098242</v>
      </c>
      <c r="T271">
        <f t="shared" si="969"/>
        <v>0.18218712473098242</v>
      </c>
    </row>
    <row r="272" spans="1:20" x14ac:dyDescent="0.25">
      <c r="A272" s="5">
        <v>44321</v>
      </c>
      <c r="B272">
        <v>30.306999999999999</v>
      </c>
      <c r="C272">
        <v>35.616</v>
      </c>
      <c r="D272">
        <v>29.7</v>
      </c>
      <c r="E272">
        <v>35.258000000000003</v>
      </c>
      <c r="F272">
        <v>3289567.9440000001</v>
      </c>
      <c r="G272">
        <v>0</v>
      </c>
      <c r="L272" t="s">
        <v>8</v>
      </c>
      <c r="M272" t="s">
        <v>8</v>
      </c>
      <c r="N272" t="s">
        <v>8</v>
      </c>
      <c r="P272">
        <f t="shared" si="965"/>
        <v>0.8789722785666001</v>
      </c>
      <c r="Q272">
        <f t="shared" si="966"/>
        <v>2891439.0312373261</v>
      </c>
      <c r="R272">
        <f t="shared" si="967"/>
        <v>15486872.228400819</v>
      </c>
      <c r="S272">
        <f t="shared" si="968"/>
        <v>154.86872228400819</v>
      </c>
      <c r="T272">
        <f t="shared" si="969"/>
        <v>0.15486872228400819</v>
      </c>
    </row>
    <row r="273" spans="1:20" x14ac:dyDescent="0.25">
      <c r="A273" s="5">
        <v>44320</v>
      </c>
      <c r="B273">
        <v>35.884999999999998</v>
      </c>
      <c r="C273">
        <v>36.194000000000003</v>
      </c>
      <c r="D273">
        <v>29.501000000000001</v>
      </c>
      <c r="E273">
        <v>30.286999999999999</v>
      </c>
      <c r="F273">
        <v>4452223.2369999997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-0.76512774540564843</v>
      </c>
      <c r="Q273">
        <f t="shared" si="966"/>
        <v>-3406519.5273684477</v>
      </c>
      <c r="R273">
        <f t="shared" si="967"/>
        <v>12595433.197163492</v>
      </c>
      <c r="S273">
        <f t="shared" si="968"/>
        <v>125.95433197163493</v>
      </c>
      <c r="T273">
        <f t="shared" si="969"/>
        <v>0.12595433197163494</v>
      </c>
    </row>
    <row r="274" spans="1:20" x14ac:dyDescent="0.25">
      <c r="A274" s="5">
        <v>44319</v>
      </c>
      <c r="B274">
        <v>31.262</v>
      </c>
      <c r="C274">
        <v>37.36</v>
      </c>
      <c r="D274">
        <v>30.696999999999999</v>
      </c>
      <c r="E274">
        <v>35.871000000000002</v>
      </c>
      <c r="F274">
        <v>5397490.3830000004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0.55305417979889027</v>
      </c>
      <c r="Q274">
        <f t="shared" si="966"/>
        <v>2985104.6167424633</v>
      </c>
      <c r="R274">
        <f t="shared" si="967"/>
        <v>16001952.724531939</v>
      </c>
      <c r="S274">
        <f t="shared" si="968"/>
        <v>160.01952724531938</v>
      </c>
      <c r="T274">
        <f t="shared" si="969"/>
        <v>0.16001952724531937</v>
      </c>
    </row>
    <row r="275" spans="1:20" x14ac:dyDescent="0.25">
      <c r="A275" s="5">
        <v>44318</v>
      </c>
      <c r="B275">
        <v>31.815000000000001</v>
      </c>
      <c r="C275">
        <v>32.680999999999997</v>
      </c>
      <c r="D275">
        <v>30.382999999999999</v>
      </c>
      <c r="E275">
        <v>31.28</v>
      </c>
      <c r="F275">
        <v>2177846.5290000001</v>
      </c>
      <c r="G275">
        <v>0</v>
      </c>
      <c r="L275" t="s">
        <v>7</v>
      </c>
      <c r="M275" t="s">
        <v>7</v>
      </c>
      <c r="N275" t="s">
        <v>8</v>
      </c>
      <c r="P275">
        <f t="shared" si="965"/>
        <v>-0.21932114882506293</v>
      </c>
      <c r="Q275">
        <f t="shared" si="966"/>
        <v>-477647.80270495574</v>
      </c>
      <c r="R275">
        <f t="shared" si="967"/>
        <v>13016848.107789475</v>
      </c>
      <c r="S275">
        <f t="shared" si="968"/>
        <v>130.16848107789477</v>
      </c>
      <c r="T275">
        <f t="shared" si="969"/>
        <v>0.13016848107789478</v>
      </c>
    </row>
    <row r="276" spans="1:20" x14ac:dyDescent="0.25">
      <c r="A276" s="5">
        <v>44317</v>
      </c>
      <c r="B276">
        <v>32.819000000000003</v>
      </c>
      <c r="C276">
        <v>35.68</v>
      </c>
      <c r="D276">
        <v>31.722000000000001</v>
      </c>
      <c r="E276">
        <v>31.805</v>
      </c>
      <c r="F276">
        <v>3589503.0419999999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-0.95805962607377537</v>
      </c>
      <c r="Q276">
        <f t="shared" si="966"/>
        <v>-3438957.9422091991</v>
      </c>
      <c r="R276">
        <f t="shared" si="967"/>
        <v>13494495.910494432</v>
      </c>
      <c r="S276">
        <f t="shared" si="968"/>
        <v>134.94495910494433</v>
      </c>
      <c r="T276">
        <f t="shared" si="969"/>
        <v>0.13494495910494433</v>
      </c>
    </row>
    <row r="277" spans="1:20" x14ac:dyDescent="0.25">
      <c r="A277" s="5">
        <v>44316</v>
      </c>
      <c r="B277">
        <v>27.925999999999998</v>
      </c>
      <c r="C277">
        <v>33</v>
      </c>
      <c r="D277">
        <v>27.501000000000001</v>
      </c>
      <c r="E277">
        <v>32.799999999999997</v>
      </c>
      <c r="F277">
        <v>3368373.696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0.92725950172758576</v>
      </c>
      <c r="Q277">
        <f t="shared" si="966"/>
        <v>3123356.5149852666</v>
      </c>
      <c r="R277">
        <f t="shared" si="967"/>
        <v>16933453.852703631</v>
      </c>
      <c r="S277">
        <f t="shared" si="968"/>
        <v>169.3345385270363</v>
      </c>
      <c r="T277">
        <f t="shared" si="969"/>
        <v>0.16933453852703631</v>
      </c>
    </row>
    <row r="278" spans="1:20" x14ac:dyDescent="0.25">
      <c r="A278" s="5">
        <v>44315</v>
      </c>
      <c r="B278">
        <v>28.245999999999999</v>
      </c>
      <c r="C278">
        <v>29.765000000000001</v>
      </c>
      <c r="D278">
        <v>26.6</v>
      </c>
      <c r="E278">
        <v>27.911999999999999</v>
      </c>
      <c r="F278">
        <v>2274429.7239999999</v>
      </c>
      <c r="G278">
        <v>0</v>
      </c>
      <c r="L278" t="s">
        <v>8</v>
      </c>
      <c r="M278" t="s">
        <v>8</v>
      </c>
      <c r="N278" t="s">
        <v>8</v>
      </c>
      <c r="P278">
        <f t="shared" si="965"/>
        <v>-0.17093206951026985</v>
      </c>
      <c r="Q278">
        <f t="shared" si="966"/>
        <v>-388772.97967899183</v>
      </c>
      <c r="R278">
        <f t="shared" si="967"/>
        <v>13810097.337718364</v>
      </c>
      <c r="S278">
        <f t="shared" si="968"/>
        <v>138.10097337718364</v>
      </c>
      <c r="T278">
        <f t="shared" si="969"/>
        <v>0.13810097337718363</v>
      </c>
    </row>
    <row r="279" spans="1:20" x14ac:dyDescent="0.25">
      <c r="A279" s="5">
        <v>44314</v>
      </c>
      <c r="B279">
        <v>27.960999999999999</v>
      </c>
      <c r="C279">
        <v>29.077000000000002</v>
      </c>
      <c r="D279">
        <v>25.826000000000001</v>
      </c>
      <c r="E279">
        <v>28.233000000000001</v>
      </c>
      <c r="F279">
        <v>2546834.9440000001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0.48077514610888905</v>
      </c>
      <c r="Q279">
        <f t="shared" si="966"/>
        <v>1224454.9423168243</v>
      </c>
      <c r="R279">
        <f t="shared" si="967"/>
        <v>14198870.317397356</v>
      </c>
      <c r="S279">
        <f t="shared" si="968"/>
        <v>141.98870317397356</v>
      </c>
      <c r="T279">
        <f t="shared" si="969"/>
        <v>0.14198870317397355</v>
      </c>
    </row>
    <row r="280" spans="1:20" x14ac:dyDescent="0.25">
      <c r="A280" s="5">
        <v>44313</v>
      </c>
      <c r="B280">
        <v>26.440999999999999</v>
      </c>
      <c r="C280">
        <v>28</v>
      </c>
      <c r="D280">
        <v>25.7</v>
      </c>
      <c r="E280">
        <v>27.949000000000002</v>
      </c>
      <c r="F280">
        <v>2350750.048</v>
      </c>
      <c r="G280">
        <v>0</v>
      </c>
      <c r="L280" t="s">
        <v>8</v>
      </c>
      <c r="M280" t="s">
        <v>8</v>
      </c>
      <c r="N280" t="s">
        <v>7</v>
      </c>
      <c r="P280">
        <f t="shared" si="965"/>
        <v>0.95565217391304491</v>
      </c>
      <c r="Q280">
        <f t="shared" si="966"/>
        <v>2246499.3936973945</v>
      </c>
      <c r="R280">
        <f t="shared" si="967"/>
        <v>12974415.375080531</v>
      </c>
      <c r="S280">
        <f t="shared" si="968"/>
        <v>129.74415375080531</v>
      </c>
      <c r="T280">
        <f t="shared" si="969"/>
        <v>0.12974415375080531</v>
      </c>
    </row>
    <row r="281" spans="1:20" x14ac:dyDescent="0.25">
      <c r="A281" s="5">
        <v>44312</v>
      </c>
      <c r="B281">
        <v>21.628</v>
      </c>
      <c r="C281">
        <v>26.5</v>
      </c>
      <c r="D281">
        <v>21.39</v>
      </c>
      <c r="E281">
        <v>26.451000000000001</v>
      </c>
      <c r="F281">
        <v>3025256.65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0.98082191780821937</v>
      </c>
      <c r="Q281">
        <f t="shared" si="966"/>
        <v>2967238.0293150689</v>
      </c>
      <c r="R281">
        <f t="shared" si="967"/>
        <v>10727915.981383137</v>
      </c>
      <c r="S281">
        <f t="shared" si="968"/>
        <v>107.27915981383137</v>
      </c>
      <c r="T281">
        <f t="shared" si="969"/>
        <v>0.10727915981383138</v>
      </c>
    </row>
    <row r="282" spans="1:20" x14ac:dyDescent="0.25">
      <c r="A282" s="5">
        <v>44311</v>
      </c>
      <c r="B282">
        <v>21.8429</v>
      </c>
      <c r="C282">
        <v>23.75</v>
      </c>
      <c r="D282">
        <v>20.359000000000002</v>
      </c>
      <c r="E282">
        <v>21.623999999999999</v>
      </c>
      <c r="F282">
        <v>1711011.135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-0.25390740194632988</v>
      </c>
      <c r="Q282">
        <f t="shared" si="966"/>
        <v>-434438.39198909112</v>
      </c>
      <c r="R282">
        <f t="shared" si="967"/>
        <v>7760677.952068069</v>
      </c>
      <c r="S282">
        <f t="shared" si="968"/>
        <v>77.606779520680689</v>
      </c>
      <c r="T282">
        <f t="shared" si="969"/>
        <v>7.7606779520680694E-2</v>
      </c>
    </row>
    <row r="283" spans="1:20" x14ac:dyDescent="0.25">
      <c r="A283" s="5">
        <v>44310</v>
      </c>
      <c r="B283">
        <v>23.55</v>
      </c>
      <c r="C283">
        <v>23.938099999999999</v>
      </c>
      <c r="D283">
        <v>21.380099999999999</v>
      </c>
      <c r="E283">
        <v>21.8523</v>
      </c>
      <c r="F283">
        <v>2231443.96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-0.63080531665363493</v>
      </c>
      <c r="Q283">
        <f t="shared" si="966"/>
        <v>-1407606.7137826411</v>
      </c>
      <c r="R283">
        <f t="shared" si="967"/>
        <v>8195116.3440571604</v>
      </c>
      <c r="S283">
        <f t="shared" si="968"/>
        <v>81.951163440571605</v>
      </c>
      <c r="T283">
        <f t="shared" si="969"/>
        <v>8.1951163440571601E-2</v>
      </c>
    </row>
    <row r="284" spans="1:20" x14ac:dyDescent="0.25">
      <c r="A284" s="5">
        <v>44309</v>
      </c>
      <c r="B284">
        <v>23.969200000000001</v>
      </c>
      <c r="C284">
        <v>26.556999999999999</v>
      </c>
      <c r="D284">
        <v>19.8</v>
      </c>
      <c r="E284">
        <v>23.531700000000001</v>
      </c>
      <c r="F284">
        <v>4749135.1900000004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0.10454343643628865</v>
      </c>
      <c r="Q284">
        <f t="shared" si="966"/>
        <v>496490.91286310664</v>
      </c>
      <c r="R284">
        <f t="shared" si="967"/>
        <v>9602723.0578398015</v>
      </c>
      <c r="S284">
        <f t="shared" si="968"/>
        <v>96.027230578398019</v>
      </c>
      <c r="T284">
        <f t="shared" si="969"/>
        <v>9.6027230578398015E-2</v>
      </c>
    </row>
    <row r="285" spans="1:20" x14ac:dyDescent="0.25">
      <c r="A285" s="5">
        <v>44308</v>
      </c>
      <c r="B285">
        <v>25.813099999999999</v>
      </c>
      <c r="C285">
        <v>27.751899999999999</v>
      </c>
      <c r="D285">
        <v>22.87</v>
      </c>
      <c r="E285">
        <v>23.970300000000002</v>
      </c>
      <c r="F285">
        <v>3474222.21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-0.54923288064073372</v>
      </c>
      <c r="Q285">
        <f t="shared" si="966"/>
        <v>-1908157.072384316</v>
      </c>
      <c r="R285">
        <f t="shared" si="967"/>
        <v>9106232.1449766941</v>
      </c>
      <c r="S285">
        <f t="shared" si="968"/>
        <v>91.062321449766941</v>
      </c>
      <c r="T285">
        <f t="shared" si="969"/>
        <v>9.1062321449766948E-2</v>
      </c>
    </row>
    <row r="286" spans="1:20" x14ac:dyDescent="0.25">
      <c r="A286" s="5">
        <v>44307</v>
      </c>
      <c r="B286">
        <v>27.405899999999999</v>
      </c>
      <c r="C286">
        <v>28.489899999999999</v>
      </c>
      <c r="D286">
        <v>25.75</v>
      </c>
      <c r="E286">
        <v>25.813099999999999</v>
      </c>
      <c r="F286">
        <v>2761857.45</v>
      </c>
      <c r="G286">
        <v>0</v>
      </c>
      <c r="L286" t="s">
        <v>8</v>
      </c>
      <c r="M286" t="s">
        <v>7</v>
      </c>
      <c r="N286" t="s">
        <v>7</v>
      </c>
      <c r="P286">
        <f t="shared" si="965"/>
        <v>-0.9539399248147753</v>
      </c>
      <c r="Q286">
        <f t="shared" si="966"/>
        <v>-2634646.0882021273</v>
      </c>
      <c r="R286">
        <f t="shared" si="967"/>
        <v>11014389.217361011</v>
      </c>
      <c r="S286">
        <f t="shared" si="968"/>
        <v>110.14389217361011</v>
      </c>
      <c r="T286">
        <f t="shared" si="969"/>
        <v>0.11014389217361011</v>
      </c>
    </row>
    <row r="287" spans="1:20" x14ac:dyDescent="0.25">
      <c r="A287" s="5">
        <v>44306</v>
      </c>
      <c r="B287">
        <v>26.2029</v>
      </c>
      <c r="C287">
        <v>29.975200000000001</v>
      </c>
      <c r="D287">
        <v>23.8766</v>
      </c>
      <c r="E287">
        <v>27.405799999999999</v>
      </c>
      <c r="F287">
        <v>3447186.95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0.15738038238284158</v>
      </c>
      <c r="Q287">
        <f t="shared" si="966"/>
        <v>542519.60033614142</v>
      </c>
      <c r="R287">
        <f t="shared" si="967"/>
        <v>13649035.305563137</v>
      </c>
      <c r="S287">
        <f t="shared" si="968"/>
        <v>136.49035305563137</v>
      </c>
      <c r="T287">
        <f t="shared" si="969"/>
        <v>0.13649035305563137</v>
      </c>
    </row>
    <row r="288" spans="1:20" x14ac:dyDescent="0.25">
      <c r="A288" s="5">
        <v>44305</v>
      </c>
      <c r="B288">
        <v>29.323</v>
      </c>
      <c r="C288">
        <v>30.579599999999999</v>
      </c>
      <c r="D288">
        <v>25.5472</v>
      </c>
      <c r="E288">
        <v>26.182700000000001</v>
      </c>
      <c r="F288">
        <v>3255981.02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-0.74743661076226031</v>
      </c>
      <c r="Q288">
        <f t="shared" si="966"/>
        <v>-2433639.4182950472</v>
      </c>
      <c r="R288">
        <f t="shared" si="967"/>
        <v>13106515.705226995</v>
      </c>
      <c r="S288">
        <f t="shared" si="968"/>
        <v>131.06515705226994</v>
      </c>
      <c r="T288">
        <f t="shared" si="969"/>
        <v>0.13106515705226993</v>
      </c>
    </row>
    <row r="289" spans="1:20" x14ac:dyDescent="0.25">
      <c r="A289" s="5">
        <v>44304</v>
      </c>
      <c r="B289">
        <v>33.967300000000002</v>
      </c>
      <c r="C289">
        <v>34.299999999999997</v>
      </c>
      <c r="D289">
        <v>22.5473</v>
      </c>
      <c r="E289">
        <v>29.334800000000001</v>
      </c>
      <c r="F289">
        <v>5871628.96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0.1550537323338472</v>
      </c>
      <c r="Q289">
        <f t="shared" si="966"/>
        <v>910417.98512750561</v>
      </c>
      <c r="R289">
        <f t="shared" si="967"/>
        <v>15540155.123522041</v>
      </c>
      <c r="S289">
        <f t="shared" si="968"/>
        <v>155.40155123522041</v>
      </c>
      <c r="T289">
        <f t="shared" si="969"/>
        <v>0.1554015512352204</v>
      </c>
    </row>
    <row r="290" spans="1:20" x14ac:dyDescent="0.25">
      <c r="A290" s="5">
        <v>44303</v>
      </c>
      <c r="B290">
        <v>35.438299999999998</v>
      </c>
      <c r="C290">
        <v>36.906199999999998</v>
      </c>
      <c r="D290">
        <v>33.51</v>
      </c>
      <c r="E290">
        <v>33.934199999999997</v>
      </c>
      <c r="F290">
        <v>2447216.38</v>
      </c>
      <c r="G290">
        <v>0</v>
      </c>
      <c r="L290" t="s">
        <v>8</v>
      </c>
      <c r="M290" t="s">
        <v>7</v>
      </c>
      <c r="N290" t="s">
        <v>8</v>
      </c>
      <c r="P290">
        <f t="shared" si="965"/>
        <v>-0.75019139037748128</v>
      </c>
      <c r="Q290">
        <f t="shared" si="966"/>
        <v>-1835880.6586667465</v>
      </c>
      <c r="R290">
        <f t="shared" si="967"/>
        <v>14629737.138394536</v>
      </c>
      <c r="S290">
        <f t="shared" si="968"/>
        <v>146.29737138394538</v>
      </c>
      <c r="T290">
        <f t="shared" si="969"/>
        <v>0.14629737138394538</v>
      </c>
    </row>
    <row r="291" spans="1:20" x14ac:dyDescent="0.25">
      <c r="A291" s="5">
        <v>44302</v>
      </c>
      <c r="B291">
        <v>37.025599999999997</v>
      </c>
      <c r="C291">
        <v>37.541200000000003</v>
      </c>
      <c r="D291">
        <v>33.061799999999998</v>
      </c>
      <c r="E291">
        <v>35.450000000000003</v>
      </c>
      <c r="F291">
        <v>3675610.8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6.6303522793232081E-2</v>
      </c>
      <c r="Q291">
        <f t="shared" si="966"/>
        <v>243705.94445685</v>
      </c>
      <c r="R291">
        <f t="shared" si="967"/>
        <v>16465617.797061283</v>
      </c>
      <c r="S291">
        <f t="shared" si="968"/>
        <v>164.65617797061284</v>
      </c>
      <c r="T291">
        <f t="shared" si="969"/>
        <v>0.16465617797061285</v>
      </c>
    </row>
    <row r="292" spans="1:20" x14ac:dyDescent="0.25">
      <c r="A292" s="5">
        <v>44301</v>
      </c>
      <c r="B292">
        <v>38.389200000000002</v>
      </c>
      <c r="C292">
        <v>40.759</v>
      </c>
      <c r="D292">
        <v>36.21</v>
      </c>
      <c r="E292">
        <v>37.017400000000002</v>
      </c>
      <c r="F292">
        <v>4740728.24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-0.6450208837107051</v>
      </c>
      <c r="Q292">
        <f t="shared" si="966"/>
        <v>-3057868.7187970956</v>
      </c>
      <c r="R292">
        <f t="shared" si="967"/>
        <v>16221911.852604434</v>
      </c>
      <c r="S292">
        <f t="shared" si="968"/>
        <v>162.21911852604433</v>
      </c>
      <c r="T292">
        <f t="shared" si="969"/>
        <v>0.16221911852604431</v>
      </c>
    </row>
    <row r="293" spans="1:20" x14ac:dyDescent="0.25">
      <c r="A293" s="5">
        <v>44300</v>
      </c>
      <c r="B293">
        <v>33.642600000000002</v>
      </c>
      <c r="C293">
        <v>39.450000000000003</v>
      </c>
      <c r="D293">
        <v>32.890700000000002</v>
      </c>
      <c r="E293">
        <v>38.339100000000002</v>
      </c>
      <c r="F293">
        <v>7610260.0099999998</v>
      </c>
      <c r="G293">
        <v>0</v>
      </c>
      <c r="L293" t="s">
        <v>8</v>
      </c>
      <c r="M293" t="s">
        <v>8</v>
      </c>
      <c r="N293" t="s">
        <v>8</v>
      </c>
      <c r="P293">
        <f t="shared" si="965"/>
        <v>0.66127483115576335</v>
      </c>
      <c r="Q293">
        <f t="shared" si="966"/>
        <v>5032473.4031642079</v>
      </c>
      <c r="R293">
        <f t="shared" si="967"/>
        <v>19279780.571401529</v>
      </c>
      <c r="S293">
        <f t="shared" si="968"/>
        <v>192.79780571401528</v>
      </c>
      <c r="T293">
        <f t="shared" si="969"/>
        <v>0.19279780571401528</v>
      </c>
    </row>
    <row r="294" spans="1:20" x14ac:dyDescent="0.25">
      <c r="A294" s="5">
        <v>44299</v>
      </c>
      <c r="B294">
        <v>33.8125</v>
      </c>
      <c r="C294">
        <v>34.887999999999998</v>
      </c>
      <c r="D294">
        <v>31.7</v>
      </c>
      <c r="E294">
        <v>33.6462</v>
      </c>
      <c r="F294">
        <v>3077724.42</v>
      </c>
      <c r="G294">
        <v>0</v>
      </c>
      <c r="L294" t="s">
        <v>7</v>
      </c>
      <c r="M294" t="s">
        <v>8</v>
      </c>
      <c r="N294" t="s">
        <v>8</v>
      </c>
      <c r="P294">
        <f t="shared" si="965"/>
        <v>0.22095357590966233</v>
      </c>
      <c r="Q294">
        <f t="shared" si="966"/>
        <v>680034.21626349143</v>
      </c>
      <c r="R294">
        <f t="shared" si="967"/>
        <v>14247307.168237319</v>
      </c>
      <c r="S294">
        <f t="shared" si="968"/>
        <v>142.47307168237319</v>
      </c>
      <c r="T294">
        <f t="shared" si="969"/>
        <v>0.14247307168237319</v>
      </c>
    </row>
    <row r="295" spans="1:20" x14ac:dyDescent="0.25">
      <c r="A295" s="5">
        <v>44298</v>
      </c>
      <c r="B295">
        <v>31.5853</v>
      </c>
      <c r="C295">
        <v>35.641800000000003</v>
      </c>
      <c r="D295">
        <v>31.1</v>
      </c>
      <c r="E295">
        <v>33.805500000000002</v>
      </c>
      <c r="F295">
        <v>4048871.8</v>
      </c>
      <c r="G295">
        <v>0</v>
      </c>
      <c r="L295" t="s">
        <v>8</v>
      </c>
      <c r="M295" t="s">
        <v>8</v>
      </c>
      <c r="N295" t="s">
        <v>8</v>
      </c>
      <c r="P295">
        <f t="shared" si="965"/>
        <v>0.19137786780571556</v>
      </c>
      <c r="Q295">
        <f t="shared" si="966"/>
        <v>774864.45210268954</v>
      </c>
      <c r="R295">
        <f t="shared" si="967"/>
        <v>13567272.951973828</v>
      </c>
      <c r="S295">
        <f t="shared" si="968"/>
        <v>135.67272951973828</v>
      </c>
      <c r="T295">
        <f t="shared" si="969"/>
        <v>0.13567272951973827</v>
      </c>
    </row>
    <row r="296" spans="1:20" x14ac:dyDescent="0.25">
      <c r="A296" s="5">
        <v>44297</v>
      </c>
      <c r="B296">
        <v>31.762799999999999</v>
      </c>
      <c r="C296">
        <v>32.33</v>
      </c>
      <c r="D296">
        <v>30.892800000000001</v>
      </c>
      <c r="E296">
        <v>31.5976</v>
      </c>
      <c r="F296">
        <v>1817836.56</v>
      </c>
      <c r="G296">
        <v>0</v>
      </c>
      <c r="L296" t="s">
        <v>7</v>
      </c>
      <c r="M296" t="s">
        <v>8</v>
      </c>
      <c r="N296" t="s">
        <v>8</v>
      </c>
      <c r="P296">
        <f t="shared" si="965"/>
        <v>-1.9204007792930477E-2</v>
      </c>
      <c r="Q296">
        <f t="shared" si="966"/>
        <v>-34909.74746451393</v>
      </c>
      <c r="R296">
        <f t="shared" si="967"/>
        <v>12792408.499871138</v>
      </c>
      <c r="S296">
        <f t="shared" si="968"/>
        <v>127.92408499871138</v>
      </c>
      <c r="T296">
        <f t="shared" si="969"/>
        <v>0.12792408499871138</v>
      </c>
    </row>
    <row r="297" spans="1:20" x14ac:dyDescent="0.25">
      <c r="A297" s="5">
        <v>44296</v>
      </c>
      <c r="B297">
        <v>31.517800000000001</v>
      </c>
      <c r="C297">
        <v>33.97</v>
      </c>
      <c r="D297">
        <v>30.864999999999998</v>
      </c>
      <c r="E297">
        <v>31.776</v>
      </c>
      <c r="F297">
        <v>3316903.42</v>
      </c>
      <c r="G297">
        <v>0</v>
      </c>
      <c r="L297" t="s">
        <v>8</v>
      </c>
      <c r="M297" t="s">
        <v>8</v>
      </c>
      <c r="N297" t="s">
        <v>8</v>
      </c>
      <c r="P297">
        <f t="shared" si="965"/>
        <v>-0.41320450885668197</v>
      </c>
      <c r="Q297">
        <f t="shared" si="966"/>
        <v>-1370559.4485861487</v>
      </c>
      <c r="R297">
        <f t="shared" si="967"/>
        <v>12827318.247335652</v>
      </c>
      <c r="S297">
        <f t="shared" si="968"/>
        <v>128.27318247335651</v>
      </c>
      <c r="T297">
        <f t="shared" si="969"/>
        <v>0.12827318247335651</v>
      </c>
    </row>
    <row r="298" spans="1:20" x14ac:dyDescent="0.25">
      <c r="A298" s="5">
        <v>44295</v>
      </c>
      <c r="B298">
        <v>30.747499999999999</v>
      </c>
      <c r="C298">
        <v>32.481999999999999</v>
      </c>
      <c r="D298">
        <v>30.303100000000001</v>
      </c>
      <c r="E298">
        <v>31.517800000000001</v>
      </c>
      <c r="F298">
        <v>2411521.9300000002</v>
      </c>
      <c r="G298">
        <v>0</v>
      </c>
      <c r="L298" t="s">
        <v>8</v>
      </c>
      <c r="M298" t="s">
        <v>7</v>
      </c>
      <c r="N298" t="s">
        <v>8</v>
      </c>
      <c r="P298">
        <f t="shared" si="965"/>
        <v>0.11496626738262543</v>
      </c>
      <c r="Q298">
        <f t="shared" si="966"/>
        <v>277243.67500344495</v>
      </c>
      <c r="R298">
        <f t="shared" si="967"/>
        <v>14197877.695921801</v>
      </c>
      <c r="S298">
        <f t="shared" si="968"/>
        <v>141.97877695921801</v>
      </c>
      <c r="T298">
        <f t="shared" si="969"/>
        <v>0.14197877695921801</v>
      </c>
    </row>
    <row r="299" spans="1:20" x14ac:dyDescent="0.25">
      <c r="A299" s="5">
        <v>44294</v>
      </c>
      <c r="B299">
        <v>29.54</v>
      </c>
      <c r="C299">
        <v>31.613700000000001</v>
      </c>
      <c r="D299">
        <v>29.2287</v>
      </c>
      <c r="E299">
        <v>30.751000000000001</v>
      </c>
      <c r="F299">
        <v>1585910.41</v>
      </c>
      <c r="G299">
        <v>0</v>
      </c>
      <c r="L299" t="s">
        <v>8</v>
      </c>
      <c r="M299" t="s">
        <v>7</v>
      </c>
      <c r="N299" t="s">
        <v>8</v>
      </c>
      <c r="P299">
        <f t="shared" si="965"/>
        <v>0.27656184486373192</v>
      </c>
      <c r="Q299">
        <f t="shared" si="966"/>
        <v>438602.30877819745</v>
      </c>
      <c r="R299">
        <f t="shared" si="967"/>
        <v>13920634.020918356</v>
      </c>
      <c r="S299">
        <f t="shared" si="968"/>
        <v>139.20634020918357</v>
      </c>
      <c r="T299">
        <f t="shared" si="969"/>
        <v>0.13920634020918357</v>
      </c>
    </row>
    <row r="300" spans="1:20" x14ac:dyDescent="0.25">
      <c r="A300" s="5">
        <v>44293</v>
      </c>
      <c r="B300">
        <v>31.483799999999999</v>
      </c>
      <c r="C300">
        <v>34.15</v>
      </c>
      <c r="D300">
        <v>28.6023</v>
      </c>
      <c r="E300">
        <v>29.506799999999998</v>
      </c>
      <c r="F300">
        <v>3026403.42</v>
      </c>
      <c r="G300">
        <v>0</v>
      </c>
      <c r="L300" t="s">
        <v>7</v>
      </c>
      <c r="M300" t="s">
        <v>7</v>
      </c>
      <c r="N300" t="s">
        <v>8</v>
      </c>
      <c r="P300">
        <f t="shared" si="965"/>
        <v>-0.67391892135479603</v>
      </c>
      <c r="Q300">
        <f t="shared" si="966"/>
        <v>-2039550.5283908658</v>
      </c>
      <c r="R300">
        <f t="shared" si="967"/>
        <v>13482031.71214016</v>
      </c>
      <c r="S300">
        <f t="shared" si="968"/>
        <v>134.82031712140159</v>
      </c>
      <c r="T300">
        <f t="shared" si="969"/>
        <v>0.13482031712140158</v>
      </c>
    </row>
    <row r="301" spans="1:20" x14ac:dyDescent="0.25">
      <c r="A301" s="5">
        <v>44292</v>
      </c>
      <c r="B301">
        <v>31.2913</v>
      </c>
      <c r="C301">
        <v>34.5578</v>
      </c>
      <c r="D301">
        <v>30</v>
      </c>
      <c r="E301">
        <v>31.4635</v>
      </c>
      <c r="F301">
        <v>3854943.21</v>
      </c>
      <c r="G301">
        <v>0</v>
      </c>
      <c r="L301" t="s">
        <v>8</v>
      </c>
      <c r="M301" t="s">
        <v>8</v>
      </c>
      <c r="N301" t="s">
        <v>8</v>
      </c>
      <c r="P301">
        <f t="shared" si="965"/>
        <v>-0.35780420378252681</v>
      </c>
      <c r="Q301">
        <f t="shared" si="966"/>
        <v>-1379314.885880908</v>
      </c>
      <c r="R301">
        <f t="shared" si="967"/>
        <v>15521582.240531025</v>
      </c>
      <c r="S301">
        <f t="shared" si="968"/>
        <v>155.21582240531026</v>
      </c>
      <c r="T301">
        <f t="shared" si="969"/>
        <v>0.15521582240531026</v>
      </c>
    </row>
    <row r="302" spans="1:20" x14ac:dyDescent="0.25">
      <c r="A302" s="5">
        <v>44291</v>
      </c>
      <c r="B302">
        <v>29.173999999999999</v>
      </c>
      <c r="C302">
        <v>33</v>
      </c>
      <c r="D302">
        <v>28.545500000000001</v>
      </c>
      <c r="E302">
        <v>31.2559</v>
      </c>
      <c r="F302">
        <v>3914406.49</v>
      </c>
      <c r="G302">
        <v>0</v>
      </c>
      <c r="L302" t="s">
        <v>8</v>
      </c>
      <c r="M302" t="s">
        <v>8</v>
      </c>
      <c r="N302" t="s">
        <v>7</v>
      </c>
      <c r="P302">
        <f t="shared" si="965"/>
        <v>0.21692670333370759</v>
      </c>
      <c r="Q302">
        <f t="shared" si="966"/>
        <v>849139.29538376967</v>
      </c>
      <c r="R302">
        <f t="shared" si="967"/>
        <v>16900897.126411933</v>
      </c>
      <c r="S302">
        <f t="shared" si="968"/>
        <v>169.00897126411934</v>
      </c>
      <c r="T302">
        <f t="shared" si="969"/>
        <v>0.16900897126411935</v>
      </c>
    </row>
    <row r="303" spans="1:20" x14ac:dyDescent="0.25">
      <c r="A303" s="5">
        <v>44290</v>
      </c>
      <c r="B303">
        <v>28.1709</v>
      </c>
      <c r="C303">
        <v>29.917100000000001</v>
      </c>
      <c r="D303">
        <v>27.560700000000001</v>
      </c>
      <c r="E303">
        <v>29.157299999999999</v>
      </c>
      <c r="F303">
        <v>1645442.99</v>
      </c>
      <c r="G303">
        <v>0</v>
      </c>
      <c r="L303" t="s">
        <v>7</v>
      </c>
      <c r="M303" t="s">
        <v>7</v>
      </c>
      <c r="N303" t="s">
        <v>7</v>
      </c>
      <c r="P303">
        <f t="shared" si="965"/>
        <v>0.35511797657443406</v>
      </c>
      <c r="Q303">
        <f t="shared" si="966"/>
        <v>584326.38517738669</v>
      </c>
      <c r="R303">
        <f t="shared" si="967"/>
        <v>16051757.831028165</v>
      </c>
      <c r="S303">
        <f t="shared" si="968"/>
        <v>160.51757831028166</v>
      </c>
      <c r="T303">
        <f t="shared" si="969"/>
        <v>0.16051757831028166</v>
      </c>
    </row>
    <row r="304" spans="1:20" x14ac:dyDescent="0.25">
      <c r="A304" s="5">
        <v>44289</v>
      </c>
      <c r="B304">
        <v>29.0137</v>
      </c>
      <c r="C304">
        <v>32.872700000000002</v>
      </c>
      <c r="D304">
        <v>27.827400000000001</v>
      </c>
      <c r="E304">
        <v>28.178699999999999</v>
      </c>
      <c r="F304">
        <v>4011015.62</v>
      </c>
      <c r="G304">
        <v>0</v>
      </c>
      <c r="L304" t="s">
        <v>8</v>
      </c>
      <c r="M304" t="s">
        <v>8</v>
      </c>
      <c r="N304" t="s">
        <v>7</v>
      </c>
      <c r="P304">
        <f t="shared" si="965"/>
        <v>-0.86074168037579601</v>
      </c>
      <c r="Q304">
        <f t="shared" si="966"/>
        <v>-3452448.3247723654</v>
      </c>
      <c r="R304">
        <f t="shared" si="967"/>
        <v>15467431.445850778</v>
      </c>
      <c r="S304">
        <f t="shared" si="968"/>
        <v>154.67431445850778</v>
      </c>
      <c r="T304">
        <f t="shared" si="969"/>
        <v>0.15467431445850777</v>
      </c>
    </row>
    <row r="305" spans="1:20" x14ac:dyDescent="0.25">
      <c r="A305" s="5">
        <v>44288</v>
      </c>
      <c r="B305">
        <v>28.268599999999999</v>
      </c>
      <c r="C305">
        <v>29.580500000000001</v>
      </c>
      <c r="D305">
        <v>27.942900000000002</v>
      </c>
      <c r="E305">
        <v>29.035299999999999</v>
      </c>
      <c r="F305">
        <v>1502764.68</v>
      </c>
      <c r="G305">
        <v>0</v>
      </c>
      <c r="L305" t="s">
        <v>8</v>
      </c>
      <c r="M305" t="s">
        <v>7</v>
      </c>
      <c r="N305" t="s">
        <v>7</v>
      </c>
      <c r="P305">
        <f t="shared" si="965"/>
        <v>0.33414753297508359</v>
      </c>
      <c r="Q305">
        <f t="shared" si="966"/>
        <v>502145.11046409095</v>
      </c>
      <c r="R305">
        <f t="shared" si="967"/>
        <v>18919879.770623144</v>
      </c>
      <c r="S305">
        <f t="shared" si="968"/>
        <v>189.19879770623143</v>
      </c>
      <c r="T305">
        <f t="shared" si="969"/>
        <v>0.18919879770623144</v>
      </c>
    </row>
    <row r="306" spans="1:20" x14ac:dyDescent="0.25">
      <c r="A306" s="5">
        <v>44287</v>
      </c>
      <c r="B306">
        <v>28.721699999999998</v>
      </c>
      <c r="C306">
        <v>29.373000000000001</v>
      </c>
      <c r="D306">
        <v>27.6921</v>
      </c>
      <c r="E306">
        <v>28.2456</v>
      </c>
      <c r="F306">
        <v>1556653.75</v>
      </c>
      <c r="G306">
        <v>0</v>
      </c>
      <c r="L306" t="s">
        <v>8</v>
      </c>
      <c r="M306" t="s">
        <v>7</v>
      </c>
      <c r="N306" t="s">
        <v>7</v>
      </c>
      <c r="P306">
        <f t="shared" si="965"/>
        <v>-0.3414242370158852</v>
      </c>
      <c r="Q306">
        <f t="shared" si="966"/>
        <v>-531479.31889166648</v>
      </c>
      <c r="R306">
        <f t="shared" si="967"/>
        <v>18417734.660159051</v>
      </c>
      <c r="S306">
        <f t="shared" si="968"/>
        <v>184.1773466015905</v>
      </c>
      <c r="T306">
        <f t="shared" si="969"/>
        <v>0.18417734660159049</v>
      </c>
    </row>
    <row r="307" spans="1:20" x14ac:dyDescent="0.25">
      <c r="A307" s="5">
        <v>44286</v>
      </c>
      <c r="B307">
        <v>29.600899999999999</v>
      </c>
      <c r="C307">
        <v>29.964099999999998</v>
      </c>
      <c r="D307">
        <v>25.9</v>
      </c>
      <c r="E307">
        <v>28.721800000000002</v>
      </c>
      <c r="F307">
        <v>1991045.26</v>
      </c>
      <c r="G307">
        <v>0</v>
      </c>
      <c r="L307" t="s">
        <v>7</v>
      </c>
      <c r="M307" t="s">
        <v>7</v>
      </c>
      <c r="N307" t="s">
        <v>7</v>
      </c>
      <c r="P307">
        <f t="shared" si="965"/>
        <v>0.38864693290027474</v>
      </c>
      <c r="Q307">
        <f t="shared" si="966"/>
        <v>773813.63356463006</v>
      </c>
      <c r="R307">
        <f t="shared" si="967"/>
        <v>18949213.979050718</v>
      </c>
      <c r="S307">
        <f t="shared" si="968"/>
        <v>189.4921397905072</v>
      </c>
      <c r="T307">
        <f t="shared" si="969"/>
        <v>0.18949213979050719</v>
      </c>
    </row>
    <row r="308" spans="1:20" x14ac:dyDescent="0.25">
      <c r="A308" s="5">
        <v>44285</v>
      </c>
      <c r="B308">
        <v>29.5</v>
      </c>
      <c r="C308">
        <v>30.9802</v>
      </c>
      <c r="D308">
        <v>28.6023</v>
      </c>
      <c r="E308">
        <v>29.600899999999999</v>
      </c>
      <c r="F308">
        <v>1916568.91</v>
      </c>
      <c r="G308">
        <v>0</v>
      </c>
      <c r="L308" t="s">
        <v>8</v>
      </c>
      <c r="M308" t="s">
        <v>8</v>
      </c>
      <c r="N308" t="s">
        <v>7</v>
      </c>
      <c r="P308">
        <f t="shared" si="965"/>
        <v>-0.16009924723495558</v>
      </c>
      <c r="Q308">
        <f t="shared" si="966"/>
        <v>-306841.23976491933</v>
      </c>
      <c r="R308">
        <f t="shared" si="967"/>
        <v>18175400.34548609</v>
      </c>
      <c r="S308">
        <f t="shared" si="968"/>
        <v>181.75400345486091</v>
      </c>
      <c r="T308">
        <f t="shared" si="969"/>
        <v>0.1817540034548609</v>
      </c>
    </row>
    <row r="309" spans="1:20" x14ac:dyDescent="0.25">
      <c r="A309" s="5">
        <v>44284</v>
      </c>
      <c r="B309">
        <v>28.7392</v>
      </c>
      <c r="C309">
        <v>30.370200000000001</v>
      </c>
      <c r="D309">
        <v>28.2</v>
      </c>
      <c r="E309">
        <v>29.5</v>
      </c>
      <c r="F309">
        <v>1936628.46</v>
      </c>
      <c r="G309">
        <v>0</v>
      </c>
      <c r="L309" t="s">
        <v>8</v>
      </c>
      <c r="M309" t="s">
        <v>8</v>
      </c>
      <c r="N309" t="s">
        <v>7</v>
      </c>
      <c r="P309">
        <f t="shared" si="965"/>
        <v>0.19804626301723341</v>
      </c>
      <c r="Q309">
        <f t="shared" si="966"/>
        <v>383542.02935581969</v>
      </c>
      <c r="R309">
        <f t="shared" si="967"/>
        <v>18482241.585251007</v>
      </c>
      <c r="S309">
        <f t="shared" si="968"/>
        <v>184.82241585251006</v>
      </c>
      <c r="T309">
        <f t="shared" si="969"/>
        <v>0.18482241585251005</v>
      </c>
    </row>
    <row r="310" spans="1:20" x14ac:dyDescent="0.25">
      <c r="A310" s="5">
        <v>44283</v>
      </c>
      <c r="B310">
        <v>27.622599999999998</v>
      </c>
      <c r="C310">
        <v>29.5578</v>
      </c>
      <c r="D310">
        <v>27.22</v>
      </c>
      <c r="E310">
        <v>28.716699999999999</v>
      </c>
      <c r="F310">
        <v>2149098.9</v>
      </c>
      <c r="G310">
        <v>0</v>
      </c>
      <c r="L310" t="s">
        <v>8</v>
      </c>
      <c r="M310" t="s">
        <v>8</v>
      </c>
      <c r="N310" t="s">
        <v>7</v>
      </c>
      <c r="P310">
        <f t="shared" si="965"/>
        <v>0.28043459662930931</v>
      </c>
      <c r="Q310">
        <f t="shared" si="966"/>
        <v>602681.68313799228</v>
      </c>
      <c r="R310">
        <f t="shared" si="967"/>
        <v>18098699.555895187</v>
      </c>
      <c r="S310">
        <f t="shared" si="968"/>
        <v>180.98699555895186</v>
      </c>
      <c r="T310">
        <f t="shared" si="969"/>
        <v>0.18098699555895187</v>
      </c>
    </row>
    <row r="311" spans="1:20" x14ac:dyDescent="0.25">
      <c r="A311" s="5">
        <v>44282</v>
      </c>
      <c r="B311">
        <v>28.2744</v>
      </c>
      <c r="C311">
        <v>28.666699999999999</v>
      </c>
      <c r="D311">
        <v>26.789000000000001</v>
      </c>
      <c r="E311">
        <v>27.622499999999999</v>
      </c>
      <c r="F311">
        <v>1664560.96</v>
      </c>
      <c r="G311">
        <v>0</v>
      </c>
      <c r="L311" t="s">
        <v>8</v>
      </c>
      <c r="M311" t="s">
        <v>7</v>
      </c>
      <c r="N311" t="s">
        <v>7</v>
      </c>
      <c r="P311">
        <f t="shared" si="965"/>
        <v>-0.11221174841561649</v>
      </c>
      <c r="Q311">
        <f t="shared" si="966"/>
        <v>-186783.29566597706</v>
      </c>
      <c r="R311">
        <f t="shared" si="967"/>
        <v>17496017.872757196</v>
      </c>
      <c r="S311">
        <f t="shared" si="968"/>
        <v>174.96017872757196</v>
      </c>
      <c r="T311">
        <f t="shared" si="969"/>
        <v>0.17496017872757197</v>
      </c>
    </row>
    <row r="312" spans="1:20" x14ac:dyDescent="0.25">
      <c r="A312" s="5">
        <v>44281</v>
      </c>
      <c r="B312">
        <v>25.8109</v>
      </c>
      <c r="C312">
        <v>28.8782</v>
      </c>
      <c r="D312">
        <v>25.787299999999998</v>
      </c>
      <c r="E312">
        <v>28.252700000000001</v>
      </c>
      <c r="F312">
        <v>2119177.62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0.59526351548092882</v>
      </c>
      <c r="Q312">
        <f t="shared" si="966"/>
        <v>1261469.120009708</v>
      </c>
      <c r="R312">
        <f t="shared" si="967"/>
        <v>17682801.168423172</v>
      </c>
      <c r="S312">
        <f t="shared" si="968"/>
        <v>176.82801168423171</v>
      </c>
      <c r="T312">
        <f t="shared" si="969"/>
        <v>0.17682801168423171</v>
      </c>
    </row>
    <row r="313" spans="1:20" x14ac:dyDescent="0.25">
      <c r="A313" s="5">
        <v>44280</v>
      </c>
      <c r="B313">
        <v>25.8</v>
      </c>
      <c r="C313">
        <v>27.5152</v>
      </c>
      <c r="D313">
        <v>24.3291</v>
      </c>
      <c r="E313">
        <v>25.824999999999999</v>
      </c>
      <c r="F313">
        <v>2616910.89</v>
      </c>
      <c r="G313">
        <v>0</v>
      </c>
      <c r="L313" t="s">
        <v>8</v>
      </c>
      <c r="M313" t="s">
        <v>7</v>
      </c>
      <c r="N313" t="s">
        <v>7</v>
      </c>
      <c r="P313">
        <f t="shared" si="965"/>
        <v>-6.0983647719783415E-2</v>
      </c>
      <c r="Q313">
        <f t="shared" si="966"/>
        <v>-159588.77182982489</v>
      </c>
      <c r="R313">
        <f t="shared" si="967"/>
        <v>16421332.048413463</v>
      </c>
      <c r="S313">
        <f t="shared" si="968"/>
        <v>164.21332048413464</v>
      </c>
      <c r="T313">
        <f t="shared" si="969"/>
        <v>0.16421332048413464</v>
      </c>
    </row>
    <row r="314" spans="1:20" x14ac:dyDescent="0.25">
      <c r="A314" s="5">
        <v>44279</v>
      </c>
      <c r="B314">
        <v>28.4541</v>
      </c>
      <c r="C314">
        <v>30.491399999999999</v>
      </c>
      <c r="D314">
        <v>24.665199999999999</v>
      </c>
      <c r="E314">
        <v>25.838699999999999</v>
      </c>
      <c r="F314">
        <v>2924723.82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-0.59716453262847113</v>
      </c>
      <c r="Q314">
        <f t="shared" si="966"/>
        <v>-1746541.3330376567</v>
      </c>
      <c r="R314">
        <f t="shared" si="967"/>
        <v>16580920.820243288</v>
      </c>
      <c r="S314">
        <f t="shared" si="968"/>
        <v>165.80920820243287</v>
      </c>
      <c r="T314">
        <f t="shared" si="969"/>
        <v>0.16580920820243286</v>
      </c>
    </row>
    <row r="315" spans="1:20" x14ac:dyDescent="0.25">
      <c r="A315" s="5">
        <v>44278</v>
      </c>
      <c r="B315">
        <v>29.180499999999999</v>
      </c>
      <c r="C315">
        <v>30.889900000000001</v>
      </c>
      <c r="D315">
        <v>28.1111</v>
      </c>
      <c r="E315">
        <v>28.470400000000001</v>
      </c>
      <c r="F315">
        <v>2208298</v>
      </c>
      <c r="G315">
        <v>0</v>
      </c>
      <c r="L315" t="s">
        <v>7</v>
      </c>
      <c r="M315" t="s">
        <v>7</v>
      </c>
      <c r="N315" t="s">
        <v>8</v>
      </c>
      <c r="P315">
        <f t="shared" si="965"/>
        <v>-0.7413991651072398</v>
      </c>
      <c r="Q315">
        <f t="shared" si="966"/>
        <v>-1637230.2935079874</v>
      </c>
      <c r="R315">
        <f t="shared" si="967"/>
        <v>18327462.153280944</v>
      </c>
      <c r="S315">
        <f t="shared" si="968"/>
        <v>183.27462153280945</v>
      </c>
      <c r="T315">
        <f t="shared" si="969"/>
        <v>0.18327462153280943</v>
      </c>
    </row>
    <row r="316" spans="1:20" x14ac:dyDescent="0.25">
      <c r="A316" s="5">
        <v>44277</v>
      </c>
      <c r="B316">
        <v>32.810899999999997</v>
      </c>
      <c r="C316">
        <v>33.589199999999998</v>
      </c>
      <c r="D316">
        <v>28.620200000000001</v>
      </c>
      <c r="E316">
        <v>29.17</v>
      </c>
      <c r="F316">
        <v>2819087.11</v>
      </c>
      <c r="G316">
        <v>0</v>
      </c>
      <c r="L316" t="s">
        <v>7</v>
      </c>
      <c r="M316" t="s">
        <v>7</v>
      </c>
      <c r="N316" t="s">
        <v>8</v>
      </c>
      <c r="P316">
        <f t="shared" si="965"/>
        <v>-0.77870798953511711</v>
      </c>
      <c r="Q316">
        <f t="shared" si="966"/>
        <v>-2195245.6557524633</v>
      </c>
      <c r="R316">
        <f t="shared" si="967"/>
        <v>19964692.446788929</v>
      </c>
      <c r="S316">
        <f t="shared" si="968"/>
        <v>199.64692446788931</v>
      </c>
      <c r="T316">
        <f t="shared" si="969"/>
        <v>0.19964692446788931</v>
      </c>
    </row>
    <row r="317" spans="1:20" x14ac:dyDescent="0.25">
      <c r="A317" s="5">
        <v>44276</v>
      </c>
      <c r="B317">
        <v>34.1783</v>
      </c>
      <c r="C317">
        <v>35.451599999999999</v>
      </c>
      <c r="D317">
        <v>32.000100000000003</v>
      </c>
      <c r="E317">
        <v>32.811700000000002</v>
      </c>
      <c r="F317">
        <v>2817582.7</v>
      </c>
      <c r="G317">
        <v>0</v>
      </c>
      <c r="L317" t="s">
        <v>7</v>
      </c>
      <c r="M317" t="s">
        <v>7</v>
      </c>
      <c r="N317" t="s">
        <v>8</v>
      </c>
      <c r="P317">
        <f t="shared" si="965"/>
        <v>-0.52971171954222829</v>
      </c>
      <c r="Q317">
        <f t="shared" si="966"/>
        <v>-1492506.5769694345</v>
      </c>
      <c r="R317">
        <f t="shared" si="967"/>
        <v>22159938.102541391</v>
      </c>
      <c r="S317">
        <f t="shared" si="968"/>
        <v>221.59938102541392</v>
      </c>
      <c r="T317">
        <f t="shared" si="969"/>
        <v>0.22159938102541393</v>
      </c>
    </row>
    <row r="318" spans="1:20" x14ac:dyDescent="0.25">
      <c r="A318" s="5">
        <v>44275</v>
      </c>
      <c r="B318">
        <v>37.321899999999999</v>
      </c>
      <c r="C318">
        <v>39.299999999999997</v>
      </c>
      <c r="D318">
        <v>34.170099999999998</v>
      </c>
      <c r="E318">
        <v>34.202199999999998</v>
      </c>
      <c r="F318">
        <v>2545309.31</v>
      </c>
      <c r="G318">
        <v>0</v>
      </c>
      <c r="L318" t="s">
        <v>8</v>
      </c>
      <c r="M318" t="s">
        <v>8</v>
      </c>
      <c r="N318" t="s">
        <v>8</v>
      </c>
      <c r="P318">
        <f t="shared" si="965"/>
        <v>-0.98748513616249833</v>
      </c>
      <c r="Q318">
        <f t="shared" si="966"/>
        <v>-2513455.1105610249</v>
      </c>
      <c r="R318">
        <f t="shared" si="967"/>
        <v>23652444.679510824</v>
      </c>
      <c r="S318">
        <f t="shared" si="968"/>
        <v>236.52444679510825</v>
      </c>
      <c r="T318">
        <f t="shared" si="969"/>
        <v>0.23652444679510826</v>
      </c>
    </row>
    <row r="319" spans="1:20" x14ac:dyDescent="0.25">
      <c r="A319" s="5">
        <v>44274</v>
      </c>
      <c r="B319">
        <v>33.213099999999997</v>
      </c>
      <c r="C319">
        <v>38.486600000000003</v>
      </c>
      <c r="D319">
        <v>31.340900000000001</v>
      </c>
      <c r="E319">
        <v>37.316600000000001</v>
      </c>
      <c r="F319">
        <v>4561567.37</v>
      </c>
      <c r="G319">
        <v>0</v>
      </c>
      <c r="L319" t="s">
        <v>8</v>
      </c>
      <c r="M319" t="s">
        <v>8</v>
      </c>
      <c r="N319" t="s">
        <v>8</v>
      </c>
      <c r="P319">
        <f t="shared" si="965"/>
        <v>0.67253033292749442</v>
      </c>
      <c r="Q319">
        <f t="shared" si="966"/>
        <v>3067792.4220172954</v>
      </c>
      <c r="R319">
        <f t="shared" si="967"/>
        <v>26165899.790071849</v>
      </c>
      <c r="S319">
        <f t="shared" si="968"/>
        <v>261.65899790071848</v>
      </c>
      <c r="T319">
        <f t="shared" si="969"/>
        <v>0.26165899790071845</v>
      </c>
    </row>
    <row r="320" spans="1:20" x14ac:dyDescent="0.25">
      <c r="A320" s="5">
        <v>44273</v>
      </c>
      <c r="B320">
        <v>32.678899999999999</v>
      </c>
      <c r="C320">
        <v>35.607300000000002</v>
      </c>
      <c r="D320">
        <v>31.8187</v>
      </c>
      <c r="E320">
        <v>33.213200000000001</v>
      </c>
      <c r="F320">
        <v>3784343.49</v>
      </c>
      <c r="G320">
        <v>0</v>
      </c>
      <c r="L320" t="s">
        <v>8</v>
      </c>
      <c r="M320" t="s">
        <v>8</v>
      </c>
      <c r="N320" t="s">
        <v>8</v>
      </c>
      <c r="P320">
        <f t="shared" si="965"/>
        <v>-0.2638441640711609</v>
      </c>
      <c r="Q320">
        <f t="shared" si="966"/>
        <v>-998476.94467718969</v>
      </c>
      <c r="R320">
        <f t="shared" si="967"/>
        <v>23098107.368054554</v>
      </c>
      <c r="S320">
        <f t="shared" si="968"/>
        <v>230.98107368054553</v>
      </c>
      <c r="T320">
        <f t="shared" si="969"/>
        <v>0.23098107368054555</v>
      </c>
    </row>
    <row r="321" spans="1:20" x14ac:dyDescent="0.25">
      <c r="A321" s="5">
        <v>44272</v>
      </c>
      <c r="B321">
        <v>33.036000000000001</v>
      </c>
      <c r="C321">
        <v>33.989899999999999</v>
      </c>
      <c r="D321">
        <v>30.5307</v>
      </c>
      <c r="E321">
        <v>32.678899999999999</v>
      </c>
      <c r="F321">
        <v>3711302.21</v>
      </c>
      <c r="G321">
        <v>0</v>
      </c>
      <c r="L321" t="s">
        <v>8</v>
      </c>
      <c r="M321" t="s">
        <v>8</v>
      </c>
      <c r="N321" t="s">
        <v>8</v>
      </c>
      <c r="P321">
        <f t="shared" si="965"/>
        <v>0.24202127659574454</v>
      </c>
      <c r="Q321">
        <f t="shared" si="966"/>
        <v>898214.09869680798</v>
      </c>
      <c r="R321">
        <f t="shared" si="967"/>
        <v>24096584.312731743</v>
      </c>
      <c r="S321">
        <f t="shared" si="968"/>
        <v>240.96584312731744</v>
      </c>
      <c r="T321">
        <f t="shared" si="969"/>
        <v>0.24096584312731745</v>
      </c>
    </row>
    <row r="322" spans="1:20" x14ac:dyDescent="0.25">
      <c r="A322" s="5">
        <v>44271</v>
      </c>
      <c r="B322">
        <v>28.9221</v>
      </c>
      <c r="C322">
        <v>33.25</v>
      </c>
      <c r="D322">
        <v>27.518899999999999</v>
      </c>
      <c r="E322">
        <v>33.036000000000001</v>
      </c>
      <c r="F322">
        <v>3919260.34</v>
      </c>
      <c r="G322">
        <v>0</v>
      </c>
      <c r="L322" t="s">
        <v>8</v>
      </c>
      <c r="M322" t="s">
        <v>8</v>
      </c>
      <c r="N322" t="s">
        <v>8</v>
      </c>
      <c r="P322">
        <f t="shared" si="965"/>
        <v>0.9253197466454961</v>
      </c>
      <c r="Q322">
        <f t="shared" si="966"/>
        <v>3626568.9848465407</v>
      </c>
      <c r="R322">
        <f t="shared" si="967"/>
        <v>23198370.214034934</v>
      </c>
      <c r="S322">
        <f t="shared" si="968"/>
        <v>231.98370214034932</v>
      </c>
      <c r="T322">
        <f t="shared" si="969"/>
        <v>0.23198370214034933</v>
      </c>
    </row>
    <row r="323" spans="1:20" x14ac:dyDescent="0.25">
      <c r="A323" s="5">
        <v>44270</v>
      </c>
      <c r="B323">
        <v>28.8383</v>
      </c>
      <c r="C323">
        <v>30.647200000000002</v>
      </c>
      <c r="D323">
        <v>27</v>
      </c>
      <c r="E323">
        <v>28.947199999999999</v>
      </c>
      <c r="F323">
        <v>3223256.17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6.7778021495940935E-2</v>
      </c>
      <c r="Q323">
        <f t="shared" si="966"/>
        <v>218465.92597718423</v>
      </c>
      <c r="R323">
        <f t="shared" si="967"/>
        <v>19571801.229188394</v>
      </c>
      <c r="S323">
        <f t="shared" si="968"/>
        <v>195.71801229188395</v>
      </c>
      <c r="T323">
        <f t="shared" si="969"/>
        <v>0.19571801229188396</v>
      </c>
    </row>
    <row r="324" spans="1:20" x14ac:dyDescent="0.25">
      <c r="A324" s="5">
        <v>44269</v>
      </c>
      <c r="B324">
        <v>30.9086</v>
      </c>
      <c r="C324">
        <v>32.299999999999997</v>
      </c>
      <c r="D324">
        <v>28.8</v>
      </c>
      <c r="E324">
        <v>28.842300000000002</v>
      </c>
      <c r="F324">
        <v>2905962.81</v>
      </c>
      <c r="G324">
        <v>0</v>
      </c>
      <c r="L324" t="s">
        <v>7</v>
      </c>
      <c r="M324" t="s">
        <v>8</v>
      </c>
      <c r="N324" t="s">
        <v>8</v>
      </c>
      <c r="P324">
        <f t="shared" si="965"/>
        <v>-0.97582857142857093</v>
      </c>
      <c r="Q324">
        <f t="shared" si="966"/>
        <v>-2835721.5375068556</v>
      </c>
      <c r="R324">
        <f t="shared" si="967"/>
        <v>19353335.303211208</v>
      </c>
      <c r="S324">
        <f t="shared" si="968"/>
        <v>193.53335303211207</v>
      </c>
      <c r="T324">
        <f t="shared" si="969"/>
        <v>0.19353335303211208</v>
      </c>
    </row>
    <row r="325" spans="1:20" x14ac:dyDescent="0.25">
      <c r="A325" s="5">
        <v>44268</v>
      </c>
      <c r="B325">
        <v>27.946899999999999</v>
      </c>
      <c r="C325">
        <v>33.224899999999998</v>
      </c>
      <c r="D325">
        <v>26.8568</v>
      </c>
      <c r="E325">
        <v>30.879899999999999</v>
      </c>
      <c r="F325">
        <v>4641909.9800000004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0.26351659050580251</v>
      </c>
      <c r="Q325">
        <f t="shared" si="966"/>
        <v>1223220.2913644579</v>
      </c>
      <c r="R325">
        <f t="shared" si="967"/>
        <v>22189056.840718064</v>
      </c>
      <c r="S325">
        <f t="shared" si="968"/>
        <v>221.89056840718064</v>
      </c>
      <c r="T325">
        <f t="shared" si="969"/>
        <v>0.22189056840718063</v>
      </c>
    </row>
    <row r="326" spans="1:20" x14ac:dyDescent="0.25">
      <c r="A326" s="5">
        <v>44267</v>
      </c>
      <c r="B326">
        <v>30.797999999999998</v>
      </c>
      <c r="C326">
        <v>31.5823</v>
      </c>
      <c r="D326">
        <v>26.7837</v>
      </c>
      <c r="E326">
        <v>27.956099999999999</v>
      </c>
      <c r="F326">
        <v>4025302.52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70">IF(C326=D326,0,((E326-D326)-(C326-E326))/(C326-D326))</f>
        <v>-0.5113574792647857</v>
      </c>
      <c r="Q326">
        <f t="shared" ref="Q326:Q389" si="971">F326*P326</f>
        <v>-2058368.5499053895</v>
      </c>
      <c r="R326">
        <f t="shared" ref="R326:R389" si="972">R327+Q326</f>
        <v>20965836.549353607</v>
      </c>
      <c r="S326">
        <f t="shared" ref="S326:S389" si="973">R326/100000</f>
        <v>209.65836549353608</v>
      </c>
      <c r="T326">
        <f t="shared" ref="T326:T389" si="974">S326/1000</f>
        <v>0.20965836549353609</v>
      </c>
    </row>
    <row r="327" spans="1:20" x14ac:dyDescent="0.25">
      <c r="A327" s="5">
        <v>44266</v>
      </c>
      <c r="B327">
        <v>29.617100000000001</v>
      </c>
      <c r="C327">
        <v>32.833300000000001</v>
      </c>
      <c r="D327">
        <v>28.4</v>
      </c>
      <c r="E327">
        <v>30.8005</v>
      </c>
      <c r="F327">
        <v>5275313.55</v>
      </c>
      <c r="G327">
        <v>0</v>
      </c>
      <c r="L327" t="s">
        <v>7</v>
      </c>
      <c r="M327" t="s">
        <v>7</v>
      </c>
      <c r="N327" t="s">
        <v>8</v>
      </c>
      <c r="P327">
        <f t="shared" si="970"/>
        <v>8.2940473236640652E-2</v>
      </c>
      <c r="Q327">
        <f t="shared" si="971"/>
        <v>437537.00230866275</v>
      </c>
      <c r="R327">
        <f t="shared" si="972"/>
        <v>23024205.099258997</v>
      </c>
      <c r="S327">
        <f t="shared" si="973"/>
        <v>230.24205099258995</v>
      </c>
      <c r="T327">
        <f t="shared" si="974"/>
        <v>0.23024205099258996</v>
      </c>
    </row>
    <row r="328" spans="1:20" x14ac:dyDescent="0.25">
      <c r="A328" s="5">
        <v>44265</v>
      </c>
      <c r="B328">
        <v>34.300699999999999</v>
      </c>
      <c r="C328">
        <v>35.799999999999997</v>
      </c>
      <c r="D328">
        <v>28.690999999999999</v>
      </c>
      <c r="E328">
        <v>29.585799999999999</v>
      </c>
      <c r="F328">
        <v>8435059.8499999996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-0.74826276550851023</v>
      </c>
      <c r="Q328">
        <f t="shared" si="971"/>
        <v>-6311641.2105907993</v>
      </c>
      <c r="R328">
        <f t="shared" si="972"/>
        <v>22586668.096950334</v>
      </c>
      <c r="S328">
        <f t="shared" si="973"/>
        <v>225.86668096950334</v>
      </c>
      <c r="T328">
        <f t="shared" si="974"/>
        <v>0.22586668096950333</v>
      </c>
    </row>
    <row r="329" spans="1:20" x14ac:dyDescent="0.25">
      <c r="A329" s="5">
        <v>44264</v>
      </c>
      <c r="B329">
        <v>25.617799999999999</v>
      </c>
      <c r="C329">
        <v>34.785699999999999</v>
      </c>
      <c r="D329">
        <v>23.4102</v>
      </c>
      <c r="E329">
        <v>34.314</v>
      </c>
      <c r="F329">
        <v>10511803.75</v>
      </c>
      <c r="G329">
        <v>0</v>
      </c>
      <c r="L329" t="s">
        <v>7</v>
      </c>
      <c r="M329" t="s">
        <v>8</v>
      </c>
      <c r="N329" t="s">
        <v>8</v>
      </c>
      <c r="P329">
        <f t="shared" si="970"/>
        <v>0.91706738165355395</v>
      </c>
      <c r="Q329">
        <f t="shared" si="971"/>
        <v>9640032.3414685093</v>
      </c>
      <c r="R329">
        <f t="shared" si="972"/>
        <v>28898309.307541132</v>
      </c>
      <c r="S329">
        <f t="shared" si="973"/>
        <v>288.98309307541132</v>
      </c>
      <c r="T329">
        <f t="shared" si="974"/>
        <v>0.28898309307541131</v>
      </c>
    </row>
    <row r="330" spans="1:20" x14ac:dyDescent="0.25">
      <c r="A330" s="5">
        <v>44263</v>
      </c>
      <c r="B330">
        <v>26.688400000000001</v>
      </c>
      <c r="C330">
        <v>27.114699999999999</v>
      </c>
      <c r="D330">
        <v>24.892099999999999</v>
      </c>
      <c r="E330">
        <v>25.617899999999999</v>
      </c>
      <c r="F330">
        <v>2182937.86</v>
      </c>
      <c r="G330">
        <v>0</v>
      </c>
      <c r="L330" t="s">
        <v>7</v>
      </c>
      <c r="M330" t="s">
        <v>8</v>
      </c>
      <c r="N330" t="s">
        <v>8</v>
      </c>
      <c r="P330">
        <f t="shared" si="970"/>
        <v>-0.34689102852515108</v>
      </c>
      <c r="Q330">
        <f t="shared" si="971"/>
        <v>-757241.55946189223</v>
      </c>
      <c r="R330">
        <f t="shared" si="972"/>
        <v>19258276.966072623</v>
      </c>
      <c r="S330">
        <f t="shared" si="973"/>
        <v>192.58276966072623</v>
      </c>
      <c r="T330">
        <f t="shared" si="974"/>
        <v>0.19258276966072624</v>
      </c>
    </row>
    <row r="331" spans="1:20" x14ac:dyDescent="0.25">
      <c r="A331" s="5">
        <v>44262</v>
      </c>
      <c r="B331">
        <v>24.922499999999999</v>
      </c>
      <c r="C331">
        <v>27.95</v>
      </c>
      <c r="D331">
        <v>24.922499999999999</v>
      </c>
      <c r="E331">
        <v>26.686299999999999</v>
      </c>
      <c r="F331">
        <v>3010972.81</v>
      </c>
      <c r="G331">
        <v>0</v>
      </c>
      <c r="L331" t="s">
        <v>8</v>
      </c>
      <c r="M331" t="s">
        <v>8</v>
      </c>
      <c r="N331" t="s">
        <v>8</v>
      </c>
      <c r="P331">
        <f t="shared" si="970"/>
        <v>0.16518579686209736</v>
      </c>
      <c r="Q331">
        <f t="shared" si="971"/>
        <v>497369.94294995849</v>
      </c>
      <c r="R331">
        <f t="shared" si="972"/>
        <v>20015518.525534514</v>
      </c>
      <c r="S331">
        <f t="shared" si="973"/>
        <v>200.15518525534515</v>
      </c>
      <c r="T331">
        <f t="shared" si="974"/>
        <v>0.20015518525534515</v>
      </c>
    </row>
    <row r="332" spans="1:20" x14ac:dyDescent="0.25">
      <c r="A332" s="5">
        <v>44261</v>
      </c>
      <c r="B332">
        <v>24.270800000000001</v>
      </c>
      <c r="C332">
        <v>25.5</v>
      </c>
      <c r="D332">
        <v>23.826699999999999</v>
      </c>
      <c r="E332">
        <v>24.911000000000001</v>
      </c>
      <c r="F332">
        <v>1483862.28</v>
      </c>
      <c r="G332">
        <v>0</v>
      </c>
      <c r="L332" t="s">
        <v>8</v>
      </c>
      <c r="M332" t="s">
        <v>7</v>
      </c>
      <c r="N332" t="s">
        <v>8</v>
      </c>
      <c r="P332">
        <f t="shared" si="970"/>
        <v>0.29600191238869511</v>
      </c>
      <c r="Q332">
        <f t="shared" si="971"/>
        <v>439226.07260144938</v>
      </c>
      <c r="R332">
        <f t="shared" si="972"/>
        <v>19518148.582584556</v>
      </c>
      <c r="S332">
        <f t="shared" si="973"/>
        <v>195.18148582584556</v>
      </c>
      <c r="T332">
        <f t="shared" si="974"/>
        <v>0.19518148582584555</v>
      </c>
    </row>
    <row r="333" spans="1:20" x14ac:dyDescent="0.25">
      <c r="A333" s="5">
        <v>44260</v>
      </c>
      <c r="B333">
        <v>25.778099999999998</v>
      </c>
      <c r="C333">
        <v>25.778099999999998</v>
      </c>
      <c r="D333">
        <v>23.526900000000001</v>
      </c>
      <c r="E333">
        <v>24.241399999999999</v>
      </c>
      <c r="F333">
        <v>2367099.9</v>
      </c>
      <c r="G333">
        <v>0</v>
      </c>
      <c r="L333" t="s">
        <v>7</v>
      </c>
      <c r="M333" t="s">
        <v>7</v>
      </c>
      <c r="N333" t="s">
        <v>8</v>
      </c>
      <c r="P333">
        <f t="shared" si="970"/>
        <v>-0.36522743425728649</v>
      </c>
      <c r="Q333">
        <f t="shared" si="971"/>
        <v>-864529.82310767937</v>
      </c>
      <c r="R333">
        <f t="shared" si="972"/>
        <v>19078922.509983107</v>
      </c>
      <c r="S333">
        <f t="shared" si="973"/>
        <v>190.78922509983107</v>
      </c>
      <c r="T333">
        <f t="shared" si="974"/>
        <v>0.19078922509983107</v>
      </c>
    </row>
    <row r="334" spans="1:20" x14ac:dyDescent="0.25">
      <c r="A334" s="5">
        <v>44259</v>
      </c>
      <c r="B334">
        <v>27.212599999999998</v>
      </c>
      <c r="C334">
        <v>28.82</v>
      </c>
      <c r="D334">
        <v>24.222200000000001</v>
      </c>
      <c r="E334">
        <v>25.778099999999998</v>
      </c>
      <c r="F334">
        <v>3087747.13</v>
      </c>
      <c r="G334">
        <v>0</v>
      </c>
      <c r="L334" t="s">
        <v>7</v>
      </c>
      <c r="M334" t="s">
        <v>7</v>
      </c>
      <c r="N334" t="s">
        <v>8</v>
      </c>
      <c r="P334">
        <f t="shared" si="970"/>
        <v>-0.32319805124189926</v>
      </c>
      <c r="Q334">
        <f t="shared" si="971"/>
        <v>-997953.85514376732</v>
      </c>
      <c r="R334">
        <f t="shared" si="972"/>
        <v>19943452.333090786</v>
      </c>
      <c r="S334">
        <f t="shared" si="973"/>
        <v>199.43452333090787</v>
      </c>
      <c r="T334">
        <f t="shared" si="974"/>
        <v>0.19943452333090786</v>
      </c>
    </row>
    <row r="335" spans="1:20" x14ac:dyDescent="0.25">
      <c r="A335" s="5">
        <v>44258</v>
      </c>
      <c r="B335">
        <v>27.1144</v>
      </c>
      <c r="C335">
        <v>29.450299999999999</v>
      </c>
      <c r="D335">
        <v>26.520199999999999</v>
      </c>
      <c r="E335">
        <v>27.22</v>
      </c>
      <c r="F335">
        <v>2841940.87</v>
      </c>
      <c r="G335">
        <v>0</v>
      </c>
      <c r="L335" t="s">
        <v>7</v>
      </c>
      <c r="M335" t="s">
        <v>7</v>
      </c>
      <c r="N335" t="s">
        <v>8</v>
      </c>
      <c r="P335">
        <f t="shared" si="970"/>
        <v>-0.5223371215999455</v>
      </c>
      <c r="Q335">
        <f t="shared" si="971"/>
        <v>-1484451.2137930449</v>
      </c>
      <c r="R335">
        <f t="shared" si="972"/>
        <v>20941406.188234553</v>
      </c>
      <c r="S335">
        <f t="shared" si="973"/>
        <v>209.41406188234552</v>
      </c>
      <c r="T335">
        <f t="shared" si="974"/>
        <v>0.20941406188234551</v>
      </c>
    </row>
    <row r="336" spans="1:20" x14ac:dyDescent="0.25">
      <c r="A336" s="5">
        <v>44257</v>
      </c>
      <c r="B336">
        <v>27.518899999999999</v>
      </c>
      <c r="C336">
        <v>31.99</v>
      </c>
      <c r="D336">
        <v>25.860399999999998</v>
      </c>
      <c r="E336">
        <v>27.110099999999999</v>
      </c>
      <c r="F336">
        <v>5223868.87</v>
      </c>
      <c r="G336">
        <v>0</v>
      </c>
      <c r="L336" t="s">
        <v>8</v>
      </c>
      <c r="M336" t="s">
        <v>8</v>
      </c>
      <c r="N336" t="s">
        <v>8</v>
      </c>
      <c r="P336">
        <f t="shared" si="970"/>
        <v>-0.59224092926128924</v>
      </c>
      <c r="Q336">
        <f t="shared" si="971"/>
        <v>-3093788.953907921</v>
      </c>
      <c r="R336">
        <f t="shared" si="972"/>
        <v>22425857.4020276</v>
      </c>
      <c r="S336">
        <f t="shared" si="973"/>
        <v>224.258574020276</v>
      </c>
      <c r="T336">
        <f t="shared" si="974"/>
        <v>0.22425857402027599</v>
      </c>
    </row>
    <row r="337" spans="1:20" x14ac:dyDescent="0.25">
      <c r="A337" s="5">
        <v>44256</v>
      </c>
      <c r="B337">
        <v>23.969799999999999</v>
      </c>
      <c r="C337">
        <v>27.822700000000001</v>
      </c>
      <c r="D337">
        <v>23.607299999999999</v>
      </c>
      <c r="E337">
        <v>27.5107</v>
      </c>
      <c r="F337">
        <v>2250036.6800000002</v>
      </c>
      <c r="G337">
        <v>0</v>
      </c>
      <c r="L337" t="s">
        <v>8</v>
      </c>
      <c r="M337" t="s">
        <v>8</v>
      </c>
      <c r="N337" t="s">
        <v>7</v>
      </c>
      <c r="P337">
        <f t="shared" si="970"/>
        <v>0.85197134317027989</v>
      </c>
      <c r="Q337">
        <f t="shared" si="971"/>
        <v>1916966.7724419974</v>
      </c>
      <c r="R337">
        <f t="shared" si="972"/>
        <v>25519646.355935521</v>
      </c>
      <c r="S337">
        <f t="shared" si="973"/>
        <v>255.19646355935521</v>
      </c>
      <c r="T337">
        <f t="shared" si="974"/>
        <v>0.25519646355935521</v>
      </c>
    </row>
    <row r="338" spans="1:20" x14ac:dyDescent="0.25">
      <c r="A338" s="5">
        <v>44255</v>
      </c>
      <c r="B338">
        <v>25.7423</v>
      </c>
      <c r="C338">
        <v>25.9299</v>
      </c>
      <c r="D338">
        <v>22.123699999999999</v>
      </c>
      <c r="E338">
        <v>23.956600000000002</v>
      </c>
      <c r="F338">
        <v>1816997.15</v>
      </c>
      <c r="G338">
        <v>0</v>
      </c>
      <c r="L338" t="s">
        <v>7</v>
      </c>
      <c r="M338" t="s">
        <v>7</v>
      </c>
      <c r="N338" t="s">
        <v>7</v>
      </c>
      <c r="P338">
        <f t="shared" si="970"/>
        <v>-3.6887184068098385E-2</v>
      </c>
      <c r="Q338">
        <f t="shared" si="971"/>
        <v>-67023.90832326017</v>
      </c>
      <c r="R338">
        <f t="shared" si="972"/>
        <v>23602679.583493523</v>
      </c>
      <c r="S338">
        <f t="shared" si="973"/>
        <v>236.02679583493523</v>
      </c>
      <c r="T338">
        <f t="shared" si="974"/>
        <v>0.23602679583493522</v>
      </c>
    </row>
    <row r="339" spans="1:20" x14ac:dyDescent="0.25">
      <c r="A339" s="5">
        <v>44254</v>
      </c>
      <c r="B339">
        <v>25.9695</v>
      </c>
      <c r="C339">
        <v>27.4999</v>
      </c>
      <c r="D339">
        <v>25</v>
      </c>
      <c r="E339">
        <v>25.761600000000001</v>
      </c>
      <c r="F339">
        <v>1690910.72</v>
      </c>
      <c r="G339">
        <v>0</v>
      </c>
      <c r="L339" t="s">
        <v>8</v>
      </c>
      <c r="M339" t="s">
        <v>7</v>
      </c>
      <c r="N339" t="s">
        <v>8</v>
      </c>
      <c r="P339">
        <f t="shared" si="970"/>
        <v>-0.39069562782511197</v>
      </c>
      <c r="Q339">
        <f t="shared" si="971"/>
        <v>-660631.42534661212</v>
      </c>
      <c r="R339">
        <f t="shared" si="972"/>
        <v>23669703.491816785</v>
      </c>
      <c r="S339">
        <f t="shared" si="973"/>
        <v>236.69703491816784</v>
      </c>
      <c r="T339">
        <f t="shared" si="974"/>
        <v>0.23669703491816785</v>
      </c>
    </row>
    <row r="340" spans="1:20" x14ac:dyDescent="0.25">
      <c r="A340" s="5">
        <v>44253</v>
      </c>
      <c r="B340">
        <v>26.771799999999999</v>
      </c>
      <c r="C340">
        <v>28.0474</v>
      </c>
      <c r="D340">
        <v>24.770299999999999</v>
      </c>
      <c r="E340">
        <v>25.9695</v>
      </c>
      <c r="F340">
        <v>1804008.06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-0.26813341063745333</v>
      </c>
      <c r="Q340">
        <f t="shared" si="971"/>
        <v>-483714.83394525555</v>
      </c>
      <c r="R340">
        <f t="shared" si="972"/>
        <v>24330334.917163398</v>
      </c>
      <c r="S340">
        <f t="shared" si="973"/>
        <v>243.30334917163398</v>
      </c>
      <c r="T340">
        <f t="shared" si="974"/>
        <v>0.24330334917163399</v>
      </c>
    </row>
    <row r="341" spans="1:20" x14ac:dyDescent="0.25">
      <c r="A341" s="5">
        <v>44252</v>
      </c>
      <c r="B341">
        <v>29.731999999999999</v>
      </c>
      <c r="C341">
        <v>32.183599999999998</v>
      </c>
      <c r="D341">
        <v>26.443899999999999</v>
      </c>
      <c r="E341">
        <v>26.7</v>
      </c>
      <c r="F341">
        <v>2431285.39</v>
      </c>
      <c r="G341">
        <v>0</v>
      </c>
      <c r="L341" t="s">
        <v>7</v>
      </c>
      <c r="M341" t="s">
        <v>7</v>
      </c>
      <c r="N341" t="s">
        <v>8</v>
      </c>
      <c r="P341">
        <f t="shared" si="970"/>
        <v>-0.91076188650974788</v>
      </c>
      <c r="Q341">
        <f t="shared" si="971"/>
        <v>-2214322.0684399884</v>
      </c>
      <c r="R341">
        <f t="shared" si="972"/>
        <v>24814049.751108654</v>
      </c>
      <c r="S341">
        <f t="shared" si="973"/>
        <v>248.14049751108655</v>
      </c>
      <c r="T341">
        <f t="shared" si="974"/>
        <v>0.24814049751108655</v>
      </c>
    </row>
    <row r="342" spans="1:20" x14ac:dyDescent="0.25">
      <c r="A342" s="5">
        <v>44251</v>
      </c>
      <c r="B342">
        <v>27.596599999999999</v>
      </c>
      <c r="C342">
        <v>32.2699</v>
      </c>
      <c r="D342">
        <v>25.2501</v>
      </c>
      <c r="E342">
        <v>29.739599999999999</v>
      </c>
      <c r="F342">
        <v>3233830.55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0.27909627054901837</v>
      </c>
      <c r="Q342">
        <f t="shared" si="971"/>
        <v>902550.04609248077</v>
      </c>
      <c r="R342">
        <f t="shared" si="972"/>
        <v>27028371.819548644</v>
      </c>
      <c r="S342">
        <f t="shared" si="973"/>
        <v>270.28371819548641</v>
      </c>
      <c r="T342">
        <f t="shared" si="974"/>
        <v>0.27028371819548641</v>
      </c>
    </row>
    <row r="343" spans="1:20" x14ac:dyDescent="0.25">
      <c r="A343" s="5">
        <v>44250</v>
      </c>
      <c r="B343">
        <v>32.150399999999998</v>
      </c>
      <c r="C343">
        <v>32.410800000000002</v>
      </c>
      <c r="D343">
        <v>22.51</v>
      </c>
      <c r="E343">
        <v>27.592400000000001</v>
      </c>
      <c r="F343">
        <v>3657984.88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2.6664511958629539E-2</v>
      </c>
      <c r="Q343">
        <f t="shared" si="971"/>
        <v>97538.381577246037</v>
      </c>
      <c r="R343">
        <f t="shared" si="972"/>
        <v>26125821.773456164</v>
      </c>
      <c r="S343">
        <f t="shared" si="973"/>
        <v>261.25821773456164</v>
      </c>
      <c r="T343">
        <f t="shared" si="974"/>
        <v>0.26125821773456165</v>
      </c>
    </row>
    <row r="344" spans="1:20" x14ac:dyDescent="0.25">
      <c r="A344" s="5">
        <v>44249</v>
      </c>
      <c r="B344">
        <v>36.193199999999997</v>
      </c>
      <c r="C344">
        <v>36.2941</v>
      </c>
      <c r="D344">
        <v>25.47</v>
      </c>
      <c r="E344">
        <v>32.150199999999998</v>
      </c>
      <c r="F344">
        <v>2970210.71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0.23431971249341718</v>
      </c>
      <c r="Q344">
        <f t="shared" si="971"/>
        <v>695978.91961206857</v>
      </c>
      <c r="R344">
        <f t="shared" si="972"/>
        <v>26028283.391878918</v>
      </c>
      <c r="S344">
        <f t="shared" si="973"/>
        <v>260.28283391878915</v>
      </c>
      <c r="T344">
        <f t="shared" si="974"/>
        <v>0.26028283391878915</v>
      </c>
    </row>
    <row r="345" spans="1:20" x14ac:dyDescent="0.25">
      <c r="A345" s="5">
        <v>44248</v>
      </c>
      <c r="B345">
        <v>35.955300000000001</v>
      </c>
      <c r="C345">
        <v>38.003700000000002</v>
      </c>
      <c r="D345">
        <v>34.790599999999998</v>
      </c>
      <c r="E345">
        <v>36.185499999999998</v>
      </c>
      <c r="F345">
        <v>1516510.61</v>
      </c>
      <c r="G345">
        <v>0</v>
      </c>
      <c r="L345" t="s">
        <v>8</v>
      </c>
      <c r="M345" t="s">
        <v>8</v>
      </c>
      <c r="N345" t="s">
        <v>7</v>
      </c>
      <c r="P345">
        <f t="shared" si="970"/>
        <v>-0.13174193146805394</v>
      </c>
      <c r="Q345">
        <f t="shared" si="971"/>
        <v>-199788.03685319668</v>
      </c>
      <c r="R345">
        <f t="shared" si="972"/>
        <v>25332304.472266849</v>
      </c>
      <c r="S345">
        <f t="shared" si="973"/>
        <v>253.3230447226685</v>
      </c>
      <c r="T345">
        <f t="shared" si="974"/>
        <v>0.25332304472266848</v>
      </c>
    </row>
    <row r="346" spans="1:20" x14ac:dyDescent="0.25">
      <c r="A346" s="5">
        <v>44247</v>
      </c>
      <c r="B346">
        <v>38.726399999999998</v>
      </c>
      <c r="C346">
        <v>42.846299999999999</v>
      </c>
      <c r="D346">
        <v>31.9376</v>
      </c>
      <c r="E346">
        <v>35.9985</v>
      </c>
      <c r="F346">
        <v>3400687.05</v>
      </c>
      <c r="G346">
        <v>0</v>
      </c>
      <c r="L346" t="s">
        <v>7</v>
      </c>
      <c r="M346" t="s">
        <v>7</v>
      </c>
      <c r="N346" t="s">
        <v>7</v>
      </c>
      <c r="P346">
        <f t="shared" si="970"/>
        <v>-0.25547498785373135</v>
      </c>
      <c r="Q346">
        <f t="shared" si="971"/>
        <v>-868790.48279309145</v>
      </c>
      <c r="R346">
        <f t="shared" si="972"/>
        <v>25532092.509120047</v>
      </c>
      <c r="S346">
        <f t="shared" si="973"/>
        <v>255.32092509120048</v>
      </c>
      <c r="T346">
        <f t="shared" si="974"/>
        <v>0.25532092509120047</v>
      </c>
    </row>
    <row r="347" spans="1:20" x14ac:dyDescent="0.25">
      <c r="A347" s="5">
        <v>44246</v>
      </c>
      <c r="B347">
        <v>41.023000000000003</v>
      </c>
      <c r="C347">
        <v>41.275399999999998</v>
      </c>
      <c r="D347">
        <v>37.5</v>
      </c>
      <c r="E347">
        <v>38.727400000000003</v>
      </c>
      <c r="F347">
        <v>2047933.74</v>
      </c>
      <c r="G347">
        <v>0</v>
      </c>
      <c r="L347" t="s">
        <v>7</v>
      </c>
      <c r="M347" t="s">
        <v>8</v>
      </c>
      <c r="N347" t="s">
        <v>7</v>
      </c>
      <c r="P347">
        <f t="shared" si="970"/>
        <v>-0.34979075064893589</v>
      </c>
      <c r="Q347">
        <f t="shared" si="971"/>
        <v>-716348.28019388265</v>
      </c>
      <c r="R347">
        <f t="shared" si="972"/>
        <v>26400882.99191314</v>
      </c>
      <c r="S347">
        <f t="shared" si="973"/>
        <v>264.00882991913141</v>
      </c>
      <c r="T347">
        <f t="shared" si="974"/>
        <v>0.26400882991913144</v>
      </c>
    </row>
    <row r="348" spans="1:20" x14ac:dyDescent="0.25">
      <c r="A348" s="5">
        <v>44245</v>
      </c>
      <c r="B348">
        <v>37.304600000000001</v>
      </c>
      <c r="C348">
        <v>44.490699999999997</v>
      </c>
      <c r="D348">
        <v>36.19</v>
      </c>
      <c r="E348">
        <v>40.965600000000002</v>
      </c>
      <c r="F348">
        <v>3097214.68</v>
      </c>
      <c r="G348">
        <v>0</v>
      </c>
      <c r="L348" t="s">
        <v>8</v>
      </c>
      <c r="M348" t="s">
        <v>8</v>
      </c>
      <c r="N348" t="s">
        <v>7</v>
      </c>
      <c r="P348">
        <f t="shared" si="970"/>
        <v>0.15064994518534697</v>
      </c>
      <c r="Q348">
        <f t="shared" si="971"/>
        <v>466595.22176925198</v>
      </c>
      <c r="R348">
        <f t="shared" si="972"/>
        <v>27117231.272107024</v>
      </c>
      <c r="S348">
        <f t="shared" si="973"/>
        <v>271.17231272107023</v>
      </c>
      <c r="T348">
        <f t="shared" si="974"/>
        <v>0.27117231272107023</v>
      </c>
    </row>
    <row r="349" spans="1:20" x14ac:dyDescent="0.25">
      <c r="A349" s="5">
        <v>44244</v>
      </c>
      <c r="B349">
        <v>36.540199999999999</v>
      </c>
      <c r="C349">
        <v>42.129899999999999</v>
      </c>
      <c r="D349">
        <v>34.138599999999997</v>
      </c>
      <c r="E349">
        <v>37.3003</v>
      </c>
      <c r="F349">
        <v>3076680.22</v>
      </c>
      <c r="G349">
        <v>0</v>
      </c>
      <c r="L349" t="s">
        <v>8</v>
      </c>
      <c r="M349" t="s">
        <v>8</v>
      </c>
      <c r="N349" t="s">
        <v>7</v>
      </c>
      <c r="P349">
        <f t="shared" si="970"/>
        <v>-0.20871447699373011</v>
      </c>
      <c r="Q349">
        <f t="shared" si="971"/>
        <v>-642147.70299425453</v>
      </c>
      <c r="R349">
        <f t="shared" si="972"/>
        <v>26650636.050337773</v>
      </c>
      <c r="S349">
        <f t="shared" si="973"/>
        <v>266.50636050337772</v>
      </c>
      <c r="T349">
        <f t="shared" si="974"/>
        <v>0.26650636050337773</v>
      </c>
    </row>
    <row r="350" spans="1:20" x14ac:dyDescent="0.25">
      <c r="A350" s="5">
        <v>44243</v>
      </c>
      <c r="B350">
        <v>38.336199999999998</v>
      </c>
      <c r="C350">
        <v>40</v>
      </c>
      <c r="D350">
        <v>35.1417</v>
      </c>
      <c r="E350">
        <v>36.540199999999999</v>
      </c>
      <c r="F350">
        <v>2556745.8199999998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-0.42428421464298272</v>
      </c>
      <c r="Q350">
        <f t="shared" si="971"/>
        <v>-1084786.8922804287</v>
      </c>
      <c r="R350">
        <f t="shared" si="972"/>
        <v>27292783.753332026</v>
      </c>
      <c r="S350">
        <f t="shared" si="973"/>
        <v>272.92783753332026</v>
      </c>
      <c r="T350">
        <f t="shared" si="974"/>
        <v>0.27292783753332028</v>
      </c>
    </row>
    <row r="351" spans="1:20" x14ac:dyDescent="0.25">
      <c r="A351" s="5">
        <v>44242</v>
      </c>
      <c r="B351">
        <v>39.17</v>
      </c>
      <c r="C351">
        <v>44.98</v>
      </c>
      <c r="D351">
        <v>33.5</v>
      </c>
      <c r="E351">
        <v>38.308999999999997</v>
      </c>
      <c r="F351">
        <v>3933303.2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-0.16219512195121971</v>
      </c>
      <c r="Q351">
        <f t="shared" si="971"/>
        <v>-637962.59219512274</v>
      </c>
      <c r="R351">
        <f t="shared" si="972"/>
        <v>28377570.645612456</v>
      </c>
      <c r="S351">
        <f t="shared" si="973"/>
        <v>283.77570645612457</v>
      </c>
      <c r="T351">
        <f t="shared" si="974"/>
        <v>0.28377570645612454</v>
      </c>
    </row>
    <row r="352" spans="1:20" x14ac:dyDescent="0.25">
      <c r="A352" s="5">
        <v>44241</v>
      </c>
      <c r="B352">
        <v>44.069099999999999</v>
      </c>
      <c r="C352">
        <v>45.75</v>
      </c>
      <c r="D352">
        <v>38.372399999999999</v>
      </c>
      <c r="E352">
        <v>39.171100000000003</v>
      </c>
      <c r="F352">
        <v>2829524.14</v>
      </c>
      <c r="G352">
        <v>0</v>
      </c>
      <c r="L352" t="s">
        <v>7</v>
      </c>
      <c r="M352" t="s">
        <v>7</v>
      </c>
      <c r="N352" t="s">
        <v>7</v>
      </c>
      <c r="P352">
        <f t="shared" si="970"/>
        <v>-0.7834797224029485</v>
      </c>
      <c r="Q352">
        <f t="shared" si="971"/>
        <v>-2216874.7877396415</v>
      </c>
      <c r="R352">
        <f t="shared" si="972"/>
        <v>29015533.237807579</v>
      </c>
      <c r="S352">
        <f t="shared" si="973"/>
        <v>290.1553323780758</v>
      </c>
      <c r="T352">
        <f t="shared" si="974"/>
        <v>0.29015533237807578</v>
      </c>
    </row>
    <row r="353" spans="1:20" x14ac:dyDescent="0.25">
      <c r="A353" s="5">
        <v>44240</v>
      </c>
      <c r="B353">
        <v>48.296100000000003</v>
      </c>
      <c r="C353">
        <v>51.9</v>
      </c>
      <c r="D353">
        <v>43.401400000000002</v>
      </c>
      <c r="E353">
        <v>44.083199999999998</v>
      </c>
      <c r="F353">
        <v>1890974.72</v>
      </c>
      <c r="G353">
        <v>0</v>
      </c>
      <c r="L353" t="s">
        <v>7</v>
      </c>
      <c r="M353" t="s">
        <v>7</v>
      </c>
      <c r="N353" t="s">
        <v>7</v>
      </c>
      <c r="P353">
        <f t="shared" si="970"/>
        <v>-0.83955004353658347</v>
      </c>
      <c r="Q353">
        <f t="shared" si="971"/>
        <v>-1587567.9085025787</v>
      </c>
      <c r="R353">
        <f t="shared" si="972"/>
        <v>31232408.025547221</v>
      </c>
      <c r="S353">
        <f t="shared" si="973"/>
        <v>312.32408025547221</v>
      </c>
      <c r="T353">
        <f t="shared" si="974"/>
        <v>0.3123240802554722</v>
      </c>
    </row>
    <row r="354" spans="1:20" x14ac:dyDescent="0.25">
      <c r="A354" s="5">
        <v>44239</v>
      </c>
      <c r="B354">
        <v>46.9726</v>
      </c>
      <c r="C354">
        <v>54.477499999999999</v>
      </c>
      <c r="D354">
        <v>43.5</v>
      </c>
      <c r="E354">
        <v>48.297800000000002</v>
      </c>
      <c r="F354">
        <v>3209807.22</v>
      </c>
      <c r="G354">
        <v>0</v>
      </c>
      <c r="L354" t="s">
        <v>8</v>
      </c>
      <c r="M354" t="s">
        <v>8</v>
      </c>
      <c r="N354" t="s">
        <v>7</v>
      </c>
      <c r="P354">
        <f t="shared" si="970"/>
        <v>-0.12588476429059392</v>
      </c>
      <c r="Q354">
        <f t="shared" si="971"/>
        <v>-404065.82530794659</v>
      </c>
      <c r="R354">
        <f t="shared" si="972"/>
        <v>32819975.9340498</v>
      </c>
      <c r="S354">
        <f t="shared" si="973"/>
        <v>328.19975934049802</v>
      </c>
      <c r="T354">
        <f t="shared" si="974"/>
        <v>0.328199759340498</v>
      </c>
    </row>
    <row r="355" spans="1:20" x14ac:dyDescent="0.25">
      <c r="A355" s="5">
        <v>44238</v>
      </c>
      <c r="B355">
        <v>54.687199999999997</v>
      </c>
      <c r="C355">
        <v>56.4998</v>
      </c>
      <c r="D355">
        <v>41.672800000000002</v>
      </c>
      <c r="E355">
        <v>46.967300000000002</v>
      </c>
      <c r="F355">
        <v>4310924.37</v>
      </c>
      <c r="G355">
        <v>0</v>
      </c>
      <c r="L355" t="s">
        <v>7</v>
      </c>
      <c r="M355" t="s">
        <v>7</v>
      </c>
      <c r="N355" t="s">
        <v>7</v>
      </c>
      <c r="P355">
        <f t="shared" si="970"/>
        <v>-0.28582990490321714</v>
      </c>
      <c r="Q355">
        <f t="shared" si="971"/>
        <v>-1232191.1027220613</v>
      </c>
      <c r="R355">
        <f t="shared" si="972"/>
        <v>33224041.759357747</v>
      </c>
      <c r="S355">
        <f t="shared" si="973"/>
        <v>332.24041759357749</v>
      </c>
      <c r="T355">
        <f t="shared" si="974"/>
        <v>0.33224041759357748</v>
      </c>
    </row>
    <row r="356" spans="1:20" x14ac:dyDescent="0.25">
      <c r="A356" s="5">
        <v>44237</v>
      </c>
      <c r="B356">
        <v>31.848700000000001</v>
      </c>
      <c r="C356">
        <v>60.3035</v>
      </c>
      <c r="D356">
        <v>31.340800000000002</v>
      </c>
      <c r="E356">
        <v>54.686100000000003</v>
      </c>
      <c r="F356">
        <v>9715755.0099999998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0.61209417630262397</v>
      </c>
      <c r="Q356">
        <f t="shared" si="971"/>
        <v>5946957.0600040415</v>
      </c>
      <c r="R356">
        <f t="shared" si="972"/>
        <v>34456232.862079807</v>
      </c>
      <c r="S356">
        <f t="shared" si="973"/>
        <v>344.56232862079804</v>
      </c>
      <c r="T356">
        <f t="shared" si="974"/>
        <v>0.34456232862079805</v>
      </c>
    </row>
    <row r="357" spans="1:20" x14ac:dyDescent="0.25">
      <c r="A357" s="5">
        <v>44236</v>
      </c>
      <c r="B357">
        <v>30.0564</v>
      </c>
      <c r="C357">
        <v>33</v>
      </c>
      <c r="D357">
        <v>27.476900000000001</v>
      </c>
      <c r="E357">
        <v>31.9194</v>
      </c>
      <c r="F357">
        <v>2664482.65</v>
      </c>
      <c r="G357">
        <v>0</v>
      </c>
      <c r="L357" t="s">
        <v>7</v>
      </c>
      <c r="M357" t="s">
        <v>7</v>
      </c>
      <c r="N357" t="s">
        <v>8</v>
      </c>
      <c r="P357">
        <f t="shared" si="970"/>
        <v>0.60869801379659949</v>
      </c>
      <c r="Q357">
        <f t="shared" si="971"/>
        <v>1621865.2968504999</v>
      </c>
      <c r="R357">
        <f t="shared" si="972"/>
        <v>28509275.802075766</v>
      </c>
      <c r="S357">
        <f t="shared" si="973"/>
        <v>285.09275802075769</v>
      </c>
      <c r="T357">
        <f t="shared" si="974"/>
        <v>0.28509275802075768</v>
      </c>
    </row>
    <row r="358" spans="1:20" x14ac:dyDescent="0.25">
      <c r="A358" s="5">
        <v>44235</v>
      </c>
      <c r="B358">
        <v>23.737400000000001</v>
      </c>
      <c r="C358">
        <v>33.816699999999997</v>
      </c>
      <c r="D358">
        <v>23.55</v>
      </c>
      <c r="E358">
        <v>30.056000000000001</v>
      </c>
      <c r="F358">
        <v>5774862.0800000001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0.26739848247245995</v>
      </c>
      <c r="Q358">
        <f t="shared" si="971"/>
        <v>1544189.3566797536</v>
      </c>
      <c r="R358">
        <f t="shared" si="972"/>
        <v>26887410.505225267</v>
      </c>
      <c r="S358">
        <f t="shared" si="973"/>
        <v>268.87410505225267</v>
      </c>
      <c r="T358">
        <f t="shared" si="974"/>
        <v>0.26887410505225268</v>
      </c>
    </row>
    <row r="359" spans="1:20" x14ac:dyDescent="0.25">
      <c r="A359" s="5">
        <v>44234</v>
      </c>
      <c r="B359">
        <v>18.123200000000001</v>
      </c>
      <c r="C359">
        <v>24.4268</v>
      </c>
      <c r="D359">
        <v>17.880199999999999</v>
      </c>
      <c r="E359">
        <v>23.704999999999998</v>
      </c>
      <c r="F359">
        <v>4884650.6500000004</v>
      </c>
      <c r="G359">
        <v>0</v>
      </c>
      <c r="L359" t="s">
        <v>8</v>
      </c>
      <c r="M359" t="s">
        <v>8</v>
      </c>
      <c r="N359" t="s">
        <v>8</v>
      </c>
      <c r="P359">
        <f t="shared" si="970"/>
        <v>0.77948858949683753</v>
      </c>
      <c r="Q359">
        <f t="shared" si="971"/>
        <v>3807529.445353311</v>
      </c>
      <c r="R359">
        <f t="shared" si="972"/>
        <v>25343221.148545515</v>
      </c>
      <c r="S359">
        <f t="shared" si="973"/>
        <v>253.43221148545516</v>
      </c>
      <c r="T359">
        <f t="shared" si="974"/>
        <v>0.25343221148545514</v>
      </c>
    </row>
    <row r="360" spans="1:20" x14ac:dyDescent="0.25">
      <c r="A360" s="5">
        <v>44233</v>
      </c>
      <c r="B360">
        <v>17.897099999999998</v>
      </c>
      <c r="C360">
        <v>18.622800000000002</v>
      </c>
      <c r="D360">
        <v>15.8</v>
      </c>
      <c r="E360">
        <v>18.121600000000001</v>
      </c>
      <c r="F360">
        <v>1547693.33</v>
      </c>
      <c r="G360">
        <v>0</v>
      </c>
      <c r="L360" t="s">
        <v>8</v>
      </c>
      <c r="M360" t="s">
        <v>8</v>
      </c>
      <c r="N360" t="s">
        <v>8</v>
      </c>
      <c r="P360">
        <f t="shared" si="970"/>
        <v>0.64489159699589016</v>
      </c>
      <c r="Q360">
        <f t="shared" si="971"/>
        <v>998094.42324358725</v>
      </c>
      <c r="R360">
        <f t="shared" si="972"/>
        <v>21535691.703192204</v>
      </c>
      <c r="S360">
        <f t="shared" si="973"/>
        <v>215.35691703192205</v>
      </c>
      <c r="T360">
        <f t="shared" si="974"/>
        <v>0.21535691703192206</v>
      </c>
    </row>
    <row r="361" spans="1:20" x14ac:dyDescent="0.25">
      <c r="A361" s="5">
        <v>44232</v>
      </c>
      <c r="B361">
        <v>15.2738</v>
      </c>
      <c r="C361">
        <v>18.0321</v>
      </c>
      <c r="D361">
        <v>15.1206</v>
      </c>
      <c r="E361">
        <v>17.897300000000001</v>
      </c>
      <c r="F361">
        <v>1654441.43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0.90740168298128221</v>
      </c>
      <c r="Q361">
        <f t="shared" si="971"/>
        <v>1501242.9379759592</v>
      </c>
      <c r="R361">
        <f t="shared" si="972"/>
        <v>20537597.279948618</v>
      </c>
      <c r="S361">
        <f t="shared" si="973"/>
        <v>205.37597279948619</v>
      </c>
      <c r="T361">
        <f t="shared" si="974"/>
        <v>0.20537597279948619</v>
      </c>
    </row>
    <row r="362" spans="1:20" x14ac:dyDescent="0.25">
      <c r="A362" s="5">
        <v>44231</v>
      </c>
      <c r="B362">
        <v>14.84</v>
      </c>
      <c r="C362">
        <v>15.8795</v>
      </c>
      <c r="D362">
        <v>13.797800000000001</v>
      </c>
      <c r="E362">
        <v>15.2697</v>
      </c>
      <c r="F362">
        <v>1649348.48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0.41413268002113657</v>
      </c>
      <c r="Q362">
        <f t="shared" si="971"/>
        <v>683049.10631118796</v>
      </c>
      <c r="R362">
        <f t="shared" si="972"/>
        <v>19036354.34197266</v>
      </c>
      <c r="S362">
        <f t="shared" si="973"/>
        <v>190.3635434197266</v>
      </c>
      <c r="T362">
        <f t="shared" si="974"/>
        <v>0.19036354341972658</v>
      </c>
    </row>
    <row r="363" spans="1:20" x14ac:dyDescent="0.25">
      <c r="A363" s="5">
        <v>44230</v>
      </c>
      <c r="B363">
        <v>13.47</v>
      </c>
      <c r="C363">
        <v>14.940899999999999</v>
      </c>
      <c r="D363">
        <v>13.1814</v>
      </c>
      <c r="E363">
        <v>14.84</v>
      </c>
      <c r="F363">
        <v>1267446.1200000001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0.8853083262290431</v>
      </c>
      <c r="Q363">
        <f t="shared" si="971"/>
        <v>1122080.603082695</v>
      </c>
      <c r="R363">
        <f t="shared" si="972"/>
        <v>18353305.235661473</v>
      </c>
      <c r="S363">
        <f t="shared" si="973"/>
        <v>183.53305235661472</v>
      </c>
      <c r="T363">
        <f t="shared" si="974"/>
        <v>0.18353305235661471</v>
      </c>
    </row>
    <row r="364" spans="1:20" x14ac:dyDescent="0.25">
      <c r="A364" s="5">
        <v>44229</v>
      </c>
      <c r="B364">
        <v>13.2105</v>
      </c>
      <c r="C364">
        <v>13.725</v>
      </c>
      <c r="D364">
        <v>12.765000000000001</v>
      </c>
      <c r="E364">
        <v>13.4703</v>
      </c>
      <c r="F364">
        <v>748745.41</v>
      </c>
      <c r="G364">
        <v>0</v>
      </c>
      <c r="L364" t="s">
        <v>8</v>
      </c>
      <c r="M364" t="s">
        <v>7</v>
      </c>
      <c r="N364" t="s">
        <v>8</v>
      </c>
      <c r="P364">
        <f t="shared" si="970"/>
        <v>0.4693750000000001</v>
      </c>
      <c r="Q364">
        <f t="shared" si="971"/>
        <v>351442.37681875011</v>
      </c>
      <c r="R364">
        <f t="shared" si="972"/>
        <v>17231224.632578779</v>
      </c>
      <c r="S364">
        <f t="shared" si="973"/>
        <v>172.31224632578778</v>
      </c>
      <c r="T364">
        <f t="shared" si="974"/>
        <v>0.17231224632578779</v>
      </c>
    </row>
    <row r="365" spans="1:20" x14ac:dyDescent="0.25">
      <c r="A365" s="5">
        <v>44228</v>
      </c>
      <c r="B365">
        <v>13.4704</v>
      </c>
      <c r="C365">
        <v>13.6408</v>
      </c>
      <c r="D365">
        <v>12.5741</v>
      </c>
      <c r="E365">
        <v>13.215299999999999</v>
      </c>
      <c r="F365">
        <v>1820891.9</v>
      </c>
      <c r="G365">
        <v>0</v>
      </c>
      <c r="L365" t="s">
        <v>7</v>
      </c>
      <c r="M365" t="s">
        <v>7</v>
      </c>
      <c r="N365" t="s">
        <v>8</v>
      </c>
      <c r="P365">
        <f t="shared" si="970"/>
        <v>0.20221243086153376</v>
      </c>
      <c r="Q365">
        <f t="shared" si="971"/>
        <v>368206.97743507684</v>
      </c>
      <c r="R365">
        <f t="shared" si="972"/>
        <v>16879782.255760029</v>
      </c>
      <c r="S365">
        <f t="shared" si="973"/>
        <v>168.79782255760028</v>
      </c>
      <c r="T365">
        <f t="shared" si="974"/>
        <v>0.16879782255760029</v>
      </c>
    </row>
    <row r="366" spans="1:20" x14ac:dyDescent="0.25">
      <c r="A366" s="5">
        <v>44227</v>
      </c>
      <c r="B366">
        <v>12.012499999999999</v>
      </c>
      <c r="C366">
        <v>15.3728</v>
      </c>
      <c r="D366">
        <v>11.83</v>
      </c>
      <c r="E366">
        <v>13.4704</v>
      </c>
      <c r="F366">
        <v>5017946.71</v>
      </c>
      <c r="G366">
        <v>0</v>
      </c>
      <c r="L366" t="s">
        <v>8</v>
      </c>
      <c r="M366" t="s">
        <v>8</v>
      </c>
      <c r="N366" t="s">
        <v>8</v>
      </c>
      <c r="P366">
        <f t="shared" si="970"/>
        <v>-7.39528056904145E-2</v>
      </c>
      <c r="Q366">
        <f t="shared" si="971"/>
        <v>-371091.23800948472</v>
      </c>
      <c r="R366">
        <f t="shared" si="972"/>
        <v>16511575.278324952</v>
      </c>
      <c r="S366">
        <f t="shared" si="973"/>
        <v>165.11575278324952</v>
      </c>
      <c r="T366">
        <f t="shared" si="974"/>
        <v>0.16511575278324953</v>
      </c>
    </row>
    <row r="367" spans="1:20" x14ac:dyDescent="0.25">
      <c r="A367" s="5">
        <v>44226</v>
      </c>
      <c r="B367">
        <v>11.6158</v>
      </c>
      <c r="C367">
        <v>12.65</v>
      </c>
      <c r="D367">
        <v>11.292999999999999</v>
      </c>
      <c r="E367">
        <v>12.0433</v>
      </c>
      <c r="F367">
        <v>1122825.05</v>
      </c>
      <c r="G367">
        <v>0</v>
      </c>
      <c r="L367" t="s">
        <v>8</v>
      </c>
      <c r="M367" t="s">
        <v>8</v>
      </c>
      <c r="N367" t="s">
        <v>7</v>
      </c>
      <c r="P367">
        <f t="shared" si="970"/>
        <v>0.1058216654384679</v>
      </c>
      <c r="Q367">
        <f t="shared" si="971"/>
        <v>118819.21678703099</v>
      </c>
      <c r="R367">
        <f t="shared" si="972"/>
        <v>16882666.516334437</v>
      </c>
      <c r="S367">
        <f t="shared" si="973"/>
        <v>168.82666516334436</v>
      </c>
      <c r="T367">
        <f t="shared" si="974"/>
        <v>0.16882666516334435</v>
      </c>
    </row>
    <row r="368" spans="1:20" x14ac:dyDescent="0.25">
      <c r="A368" s="5">
        <v>44225</v>
      </c>
      <c r="B368">
        <v>11.9596</v>
      </c>
      <c r="C368">
        <v>12.675700000000001</v>
      </c>
      <c r="D368">
        <v>11.314500000000001</v>
      </c>
      <c r="E368">
        <v>11.6158</v>
      </c>
      <c r="F368">
        <v>1470197.45</v>
      </c>
      <c r="G368">
        <v>0</v>
      </c>
      <c r="L368" t="s">
        <v>7</v>
      </c>
      <c r="M368" t="s">
        <v>8</v>
      </c>
      <c r="N368" t="s">
        <v>7</v>
      </c>
      <c r="P368">
        <f t="shared" si="970"/>
        <v>-0.55730238025271905</v>
      </c>
      <c r="Q368">
        <f t="shared" si="971"/>
        <v>-819344.53832647786</v>
      </c>
      <c r="R368">
        <f t="shared" si="972"/>
        <v>16763847.299547406</v>
      </c>
      <c r="S368">
        <f t="shared" si="973"/>
        <v>167.63847299547405</v>
      </c>
      <c r="T368">
        <f t="shared" si="974"/>
        <v>0.16763847299547405</v>
      </c>
    </row>
    <row r="369" spans="1:20" x14ac:dyDescent="0.25">
      <c r="A369" s="5">
        <v>44224</v>
      </c>
      <c r="B369">
        <v>11.1379</v>
      </c>
      <c r="C369">
        <v>12.7524</v>
      </c>
      <c r="D369">
        <v>10.8</v>
      </c>
      <c r="E369">
        <v>11.961499999999999</v>
      </c>
      <c r="F369">
        <v>1091962.8400000001</v>
      </c>
      <c r="G369">
        <v>0</v>
      </c>
      <c r="L369" t="s">
        <v>8</v>
      </c>
      <c r="M369" t="s">
        <v>8</v>
      </c>
      <c r="N369" t="s">
        <v>7</v>
      </c>
      <c r="P369">
        <f t="shared" si="970"/>
        <v>0.18981766031550809</v>
      </c>
      <c r="Q369">
        <f t="shared" si="971"/>
        <v>207273.83144027751</v>
      </c>
      <c r="R369">
        <f t="shared" si="972"/>
        <v>17583191.837873884</v>
      </c>
      <c r="S369">
        <f t="shared" si="973"/>
        <v>175.83191837873883</v>
      </c>
      <c r="T369">
        <f t="shared" si="974"/>
        <v>0.17583191837873882</v>
      </c>
    </row>
    <row r="370" spans="1:20" x14ac:dyDescent="0.25">
      <c r="A370" s="5">
        <v>44223</v>
      </c>
      <c r="B370">
        <v>12.178000000000001</v>
      </c>
      <c r="C370">
        <v>12.215</v>
      </c>
      <c r="D370">
        <v>10.77</v>
      </c>
      <c r="E370">
        <v>11.157999999999999</v>
      </c>
      <c r="F370">
        <v>740335.46</v>
      </c>
      <c r="G370">
        <v>0</v>
      </c>
      <c r="L370" t="s">
        <v>7</v>
      </c>
      <c r="M370" t="s">
        <v>7</v>
      </c>
      <c r="N370" t="s">
        <v>7</v>
      </c>
      <c r="P370">
        <f t="shared" si="970"/>
        <v>-0.46297577854671307</v>
      </c>
      <c r="Q370">
        <f t="shared" si="971"/>
        <v>-342757.38597923896</v>
      </c>
      <c r="R370">
        <f t="shared" si="972"/>
        <v>17375918.006433606</v>
      </c>
      <c r="S370">
        <f t="shared" si="973"/>
        <v>173.75918006433605</v>
      </c>
      <c r="T370">
        <f t="shared" si="974"/>
        <v>0.17375918006433605</v>
      </c>
    </row>
    <row r="371" spans="1:20" x14ac:dyDescent="0.25">
      <c r="A371" s="5">
        <v>44222</v>
      </c>
      <c r="B371">
        <v>12.1816</v>
      </c>
      <c r="C371">
        <v>12.7333</v>
      </c>
      <c r="D371">
        <v>11.3804</v>
      </c>
      <c r="E371">
        <v>12.2088</v>
      </c>
      <c r="F371">
        <v>873414.18</v>
      </c>
      <c r="G371">
        <v>0</v>
      </c>
      <c r="L371" t="s">
        <v>7</v>
      </c>
      <c r="M371" t="s">
        <v>7</v>
      </c>
      <c r="N371" t="s">
        <v>7</v>
      </c>
      <c r="P371">
        <f t="shared" si="970"/>
        <v>0.22462857565230285</v>
      </c>
      <c r="Q371">
        <f t="shared" si="971"/>
        <v>196193.78320792408</v>
      </c>
      <c r="R371">
        <f t="shared" si="972"/>
        <v>17718675.392412845</v>
      </c>
      <c r="S371">
        <f t="shared" si="973"/>
        <v>177.18675392412845</v>
      </c>
      <c r="T371">
        <f t="shared" si="974"/>
        <v>0.17718675392412844</v>
      </c>
    </row>
    <row r="372" spans="1:20" x14ac:dyDescent="0.25">
      <c r="A372" s="5">
        <v>44221</v>
      </c>
      <c r="B372">
        <v>12.4801</v>
      </c>
      <c r="C372">
        <v>12.95</v>
      </c>
      <c r="D372">
        <v>12.059799999999999</v>
      </c>
      <c r="E372">
        <v>12.1816</v>
      </c>
      <c r="F372">
        <v>613873.67000000004</v>
      </c>
      <c r="G372">
        <v>0</v>
      </c>
      <c r="L372" t="s">
        <v>7</v>
      </c>
      <c r="M372" t="s">
        <v>8</v>
      </c>
      <c r="N372" t="s">
        <v>7</v>
      </c>
      <c r="P372">
        <f t="shared" si="970"/>
        <v>-0.72635362839811202</v>
      </c>
      <c r="Q372">
        <f t="shared" si="971"/>
        <v>-445889.36758256529</v>
      </c>
      <c r="R372">
        <f t="shared" si="972"/>
        <v>17522481.609204922</v>
      </c>
      <c r="S372">
        <f t="shared" si="973"/>
        <v>175.22481609204922</v>
      </c>
      <c r="T372">
        <f t="shared" si="974"/>
        <v>0.17522481609204923</v>
      </c>
    </row>
    <row r="373" spans="1:20" x14ac:dyDescent="0.25">
      <c r="A373" s="5">
        <v>44220</v>
      </c>
      <c r="B373">
        <v>12.891400000000001</v>
      </c>
      <c r="C373">
        <v>13.172499999999999</v>
      </c>
      <c r="D373">
        <v>12.2</v>
      </c>
      <c r="E373">
        <v>12.4801</v>
      </c>
      <c r="F373">
        <v>907179.12</v>
      </c>
      <c r="G373">
        <v>0</v>
      </c>
      <c r="L373" t="s">
        <v>7</v>
      </c>
      <c r="M373" t="s">
        <v>8</v>
      </c>
      <c r="N373" t="s">
        <v>7</v>
      </c>
      <c r="P373">
        <f t="shared" si="970"/>
        <v>-0.42395886889459977</v>
      </c>
      <c r="Q373">
        <f t="shared" si="971"/>
        <v>-384606.63359999837</v>
      </c>
      <c r="R373">
        <f t="shared" si="972"/>
        <v>17968370.976787489</v>
      </c>
      <c r="S373">
        <f t="shared" si="973"/>
        <v>179.68370976787489</v>
      </c>
      <c r="T373">
        <f t="shared" si="974"/>
        <v>0.1796837097678749</v>
      </c>
    </row>
    <row r="374" spans="1:20" x14ac:dyDescent="0.25">
      <c r="A374" s="5">
        <v>44219</v>
      </c>
      <c r="B374">
        <v>12.715299999999999</v>
      </c>
      <c r="C374">
        <v>13.48</v>
      </c>
      <c r="D374">
        <v>12.5059</v>
      </c>
      <c r="E374">
        <v>12.866899999999999</v>
      </c>
      <c r="F374">
        <v>1224349.08</v>
      </c>
      <c r="G374">
        <v>0</v>
      </c>
      <c r="L374" t="s">
        <v>7</v>
      </c>
      <c r="M374" t="s">
        <v>8</v>
      </c>
      <c r="N374" t="s">
        <v>7</v>
      </c>
      <c r="P374">
        <f t="shared" si="970"/>
        <v>-0.2588029976388484</v>
      </c>
      <c r="Q374">
        <f t="shared" si="971"/>
        <v>-316865.21206036623</v>
      </c>
      <c r="R374">
        <f t="shared" si="972"/>
        <v>18352977.610387485</v>
      </c>
      <c r="S374">
        <f t="shared" si="973"/>
        <v>183.52977610387487</v>
      </c>
      <c r="T374">
        <f t="shared" si="974"/>
        <v>0.18352977610387486</v>
      </c>
    </row>
    <row r="375" spans="1:20" x14ac:dyDescent="0.25">
      <c r="A375" s="5">
        <v>44218</v>
      </c>
      <c r="B375">
        <v>11.3329</v>
      </c>
      <c r="C375">
        <v>13.389900000000001</v>
      </c>
      <c r="D375">
        <v>10.673</v>
      </c>
      <c r="E375">
        <v>12.7097</v>
      </c>
      <c r="F375">
        <v>2250602.42</v>
      </c>
      <c r="G375">
        <v>0</v>
      </c>
      <c r="L375" t="s">
        <v>8</v>
      </c>
      <c r="M375" t="s">
        <v>7</v>
      </c>
      <c r="N375" t="s">
        <v>7</v>
      </c>
      <c r="P375">
        <f t="shared" si="970"/>
        <v>0.49928227023445776</v>
      </c>
      <c r="Q375">
        <f t="shared" si="971"/>
        <v>1123685.8856527645</v>
      </c>
      <c r="R375">
        <f t="shared" si="972"/>
        <v>18669842.822447851</v>
      </c>
      <c r="S375">
        <f t="shared" si="973"/>
        <v>186.6984282244785</v>
      </c>
      <c r="T375">
        <f t="shared" si="974"/>
        <v>0.18669842822447852</v>
      </c>
    </row>
    <row r="376" spans="1:20" x14ac:dyDescent="0.25">
      <c r="A376" s="5">
        <v>44217</v>
      </c>
      <c r="B376">
        <v>12.376799999999999</v>
      </c>
      <c r="C376">
        <v>13.014699999999999</v>
      </c>
      <c r="D376">
        <v>11.065899999999999</v>
      </c>
      <c r="E376">
        <v>11.3225</v>
      </c>
      <c r="F376">
        <v>1710782.31</v>
      </c>
      <c r="G376">
        <v>0</v>
      </c>
      <c r="L376" t="s">
        <v>8</v>
      </c>
      <c r="M376" t="s">
        <v>7</v>
      </c>
      <c r="N376" t="s">
        <v>8</v>
      </c>
      <c r="P376">
        <f t="shared" si="970"/>
        <v>-0.73665845648604211</v>
      </c>
      <c r="Q376">
        <f t="shared" si="971"/>
        <v>-1260262.2558682256</v>
      </c>
      <c r="R376">
        <f t="shared" si="972"/>
        <v>17546156.936795086</v>
      </c>
      <c r="S376">
        <f t="shared" si="973"/>
        <v>175.46156936795086</v>
      </c>
      <c r="T376">
        <f t="shared" si="974"/>
        <v>0.17546156936795085</v>
      </c>
    </row>
    <row r="377" spans="1:20" x14ac:dyDescent="0.25">
      <c r="A377" s="5">
        <v>44216</v>
      </c>
      <c r="B377">
        <v>11.7346</v>
      </c>
      <c r="C377">
        <v>13.076499999999999</v>
      </c>
      <c r="D377">
        <v>11.03</v>
      </c>
      <c r="E377">
        <v>12.376799999999999</v>
      </c>
      <c r="F377">
        <v>1515429.53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0.31619838749083801</v>
      </c>
      <c r="Q377">
        <f t="shared" si="971"/>
        <v>479176.37374199851</v>
      </c>
      <c r="R377">
        <f t="shared" si="972"/>
        <v>18806419.192663312</v>
      </c>
      <c r="S377">
        <f t="shared" si="973"/>
        <v>188.06419192663313</v>
      </c>
      <c r="T377">
        <f t="shared" si="974"/>
        <v>0.18806419192663312</v>
      </c>
    </row>
    <row r="378" spans="1:20" x14ac:dyDescent="0.25">
      <c r="A378" s="5">
        <v>44215</v>
      </c>
      <c r="B378">
        <v>12.682499999999999</v>
      </c>
      <c r="C378">
        <v>14</v>
      </c>
      <c r="D378">
        <v>11.343299999999999</v>
      </c>
      <c r="E378">
        <v>11.736700000000001</v>
      </c>
      <c r="F378">
        <v>1846921.9</v>
      </c>
      <c r="G378">
        <v>0</v>
      </c>
      <c r="L378" t="s">
        <v>7</v>
      </c>
      <c r="M378" t="s">
        <v>7</v>
      </c>
      <c r="N378" t="s">
        <v>8</v>
      </c>
      <c r="P378">
        <f t="shared" si="970"/>
        <v>-0.70384311363721808</v>
      </c>
      <c r="Q378">
        <f t="shared" si="971"/>
        <v>-1299943.2607407668</v>
      </c>
      <c r="R378">
        <f t="shared" si="972"/>
        <v>18327242.818921313</v>
      </c>
      <c r="S378">
        <f t="shared" si="973"/>
        <v>183.27242818921312</v>
      </c>
      <c r="T378">
        <f t="shared" si="974"/>
        <v>0.1832724281892131</v>
      </c>
    </row>
    <row r="379" spans="1:20" x14ac:dyDescent="0.25">
      <c r="A379" s="5">
        <v>44214</v>
      </c>
      <c r="B379">
        <v>13.174799999999999</v>
      </c>
      <c r="C379">
        <v>13.858000000000001</v>
      </c>
      <c r="D379">
        <v>12.573700000000001</v>
      </c>
      <c r="E379">
        <v>12.7035</v>
      </c>
      <c r="F379">
        <v>1317372.42</v>
      </c>
      <c r="G379">
        <v>0</v>
      </c>
      <c r="L379" t="s">
        <v>7</v>
      </c>
      <c r="M379" t="s">
        <v>7</v>
      </c>
      <c r="N379" t="s">
        <v>8</v>
      </c>
      <c r="P379">
        <f t="shared" si="970"/>
        <v>-0.79786654208518337</v>
      </c>
      <c r="Q379">
        <f t="shared" si="971"/>
        <v>-1051087.3773837897</v>
      </c>
      <c r="R379">
        <f t="shared" si="972"/>
        <v>19627186.079662081</v>
      </c>
      <c r="S379">
        <f t="shared" si="973"/>
        <v>196.27186079662081</v>
      </c>
      <c r="T379">
        <f t="shared" si="974"/>
        <v>0.19627186079662082</v>
      </c>
    </row>
    <row r="380" spans="1:20" x14ac:dyDescent="0.25">
      <c r="A380" s="5">
        <v>44213</v>
      </c>
      <c r="B380">
        <v>12.8222</v>
      </c>
      <c r="C380">
        <v>14.69</v>
      </c>
      <c r="D380">
        <v>12.3231</v>
      </c>
      <c r="E380">
        <v>13.1746</v>
      </c>
      <c r="F380">
        <v>3568856.68</v>
      </c>
      <c r="G380">
        <v>0</v>
      </c>
      <c r="L380" t="s">
        <v>8</v>
      </c>
      <c r="M380" t="s">
        <v>8</v>
      </c>
      <c r="N380" t="s">
        <v>8</v>
      </c>
      <c r="P380">
        <f t="shared" si="970"/>
        <v>-0.28049347247454481</v>
      </c>
      <c r="Q380">
        <f t="shared" si="971"/>
        <v>-1001041.0029371754</v>
      </c>
      <c r="R380">
        <f t="shared" si="972"/>
        <v>20678273.457045872</v>
      </c>
      <c r="S380">
        <f t="shared" si="973"/>
        <v>206.78273457045873</v>
      </c>
      <c r="T380">
        <f t="shared" si="974"/>
        <v>0.20678273457045873</v>
      </c>
    </row>
    <row r="381" spans="1:20" x14ac:dyDescent="0.25">
      <c r="A381" s="5">
        <v>44212</v>
      </c>
      <c r="B381">
        <v>9.3795000000000002</v>
      </c>
      <c r="C381">
        <v>13.4991</v>
      </c>
      <c r="D381">
        <v>9.1629000000000005</v>
      </c>
      <c r="E381">
        <v>12.8421</v>
      </c>
      <c r="F381">
        <v>3898717.61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0.69696969696969691</v>
      </c>
      <c r="Q381">
        <f t="shared" si="971"/>
        <v>2717288.0312121208</v>
      </c>
      <c r="R381">
        <f t="shared" si="972"/>
        <v>21679314.459983047</v>
      </c>
      <c r="S381">
        <f t="shared" si="973"/>
        <v>216.79314459983047</v>
      </c>
      <c r="T381">
        <f t="shared" si="974"/>
        <v>0.21679314459983046</v>
      </c>
    </row>
    <row r="382" spans="1:20" x14ac:dyDescent="0.25">
      <c r="A382" s="5">
        <v>44211</v>
      </c>
      <c r="B382">
        <v>9.3192000000000004</v>
      </c>
      <c r="C382">
        <v>9.89</v>
      </c>
      <c r="D382">
        <v>8.57</v>
      </c>
      <c r="E382">
        <v>9.3794000000000004</v>
      </c>
      <c r="F382">
        <v>1991192.96</v>
      </c>
      <c r="G382">
        <v>0</v>
      </c>
      <c r="L382" t="s">
        <v>8</v>
      </c>
      <c r="M382" t="s">
        <v>8</v>
      </c>
      <c r="N382" t="s">
        <v>8</v>
      </c>
      <c r="P382">
        <f t="shared" si="970"/>
        <v>0.22636363636363627</v>
      </c>
      <c r="Q382">
        <f t="shared" si="971"/>
        <v>450733.67912727251</v>
      </c>
      <c r="R382">
        <f t="shared" si="972"/>
        <v>18962026.428770926</v>
      </c>
      <c r="S382">
        <f t="shared" si="973"/>
        <v>189.62026428770926</v>
      </c>
      <c r="T382">
        <f t="shared" si="974"/>
        <v>0.18962026428770926</v>
      </c>
    </row>
    <row r="383" spans="1:20" x14ac:dyDescent="0.25">
      <c r="A383" s="5">
        <v>44210</v>
      </c>
      <c r="B383">
        <v>8.4693000000000005</v>
      </c>
      <c r="C383">
        <v>9.6004000000000005</v>
      </c>
      <c r="D383">
        <v>8.2100000000000009</v>
      </c>
      <c r="E383">
        <v>9.3177000000000003</v>
      </c>
      <c r="F383">
        <v>2550051.08</v>
      </c>
      <c r="G383">
        <v>0</v>
      </c>
      <c r="L383" t="s">
        <v>8</v>
      </c>
      <c r="M383" t="s">
        <v>8</v>
      </c>
      <c r="N383" t="s">
        <v>8</v>
      </c>
      <c r="P383">
        <f t="shared" si="970"/>
        <v>0.59335443037974644</v>
      </c>
      <c r="Q383">
        <f t="shared" si="971"/>
        <v>1513084.1060126573</v>
      </c>
      <c r="R383">
        <f t="shared" si="972"/>
        <v>18511292.749643654</v>
      </c>
      <c r="S383">
        <f t="shared" si="973"/>
        <v>185.11292749643653</v>
      </c>
      <c r="T383">
        <f t="shared" si="974"/>
        <v>0.18511292749643651</v>
      </c>
    </row>
    <row r="384" spans="1:20" x14ac:dyDescent="0.25">
      <c r="A384" s="5">
        <v>44209</v>
      </c>
      <c r="B384">
        <v>7.7253999999999996</v>
      </c>
      <c r="C384">
        <v>8.5</v>
      </c>
      <c r="D384">
        <v>7.1356000000000002</v>
      </c>
      <c r="E384">
        <v>8.4695</v>
      </c>
      <c r="F384">
        <v>1712008.71</v>
      </c>
      <c r="G384">
        <v>0</v>
      </c>
      <c r="L384" t="s">
        <v>8</v>
      </c>
      <c r="M384" t="s">
        <v>8</v>
      </c>
      <c r="N384" t="s">
        <v>8</v>
      </c>
      <c r="P384">
        <f t="shared" si="970"/>
        <v>0.95529170331281155</v>
      </c>
      <c r="Q384">
        <f t="shared" si="971"/>
        <v>1635467.7166622691</v>
      </c>
      <c r="R384">
        <f t="shared" si="972"/>
        <v>16998208.643630996</v>
      </c>
      <c r="S384">
        <f t="shared" si="973"/>
        <v>169.98208643630997</v>
      </c>
      <c r="T384">
        <f t="shared" si="974"/>
        <v>0.16998208643630996</v>
      </c>
    </row>
    <row r="385" spans="1:20" x14ac:dyDescent="0.25">
      <c r="A385" s="5">
        <v>44208</v>
      </c>
      <c r="B385">
        <v>6.4622999999999999</v>
      </c>
      <c r="C385">
        <v>8.2355999999999998</v>
      </c>
      <c r="D385">
        <v>6.4198000000000004</v>
      </c>
      <c r="E385">
        <v>7.72</v>
      </c>
      <c r="F385">
        <v>3138438.02</v>
      </c>
      <c r="G385">
        <v>0</v>
      </c>
      <c r="L385" t="s">
        <v>8</v>
      </c>
      <c r="M385" t="s">
        <v>8</v>
      </c>
      <c r="N385" t="s">
        <v>8</v>
      </c>
      <c r="P385">
        <f t="shared" si="970"/>
        <v>0.43209604582002398</v>
      </c>
      <c r="Q385">
        <f t="shared" si="971"/>
        <v>1356106.6584932252</v>
      </c>
      <c r="R385">
        <f t="shared" si="972"/>
        <v>15362740.926968729</v>
      </c>
      <c r="S385">
        <f t="shared" si="973"/>
        <v>153.62740926968729</v>
      </c>
      <c r="T385">
        <f t="shared" si="974"/>
        <v>0.15362740926968729</v>
      </c>
    </row>
    <row r="386" spans="1:20" x14ac:dyDescent="0.25">
      <c r="A386" s="5">
        <v>44207</v>
      </c>
      <c r="B386">
        <v>6.5410000000000004</v>
      </c>
      <c r="C386">
        <v>7</v>
      </c>
      <c r="D386">
        <v>5.72</v>
      </c>
      <c r="E386">
        <v>6.4713000000000003</v>
      </c>
      <c r="F386">
        <v>2065125.52</v>
      </c>
      <c r="G386">
        <v>0</v>
      </c>
      <c r="L386" t="s">
        <v>7</v>
      </c>
      <c r="M386" t="s">
        <v>7</v>
      </c>
      <c r="N386" t="s">
        <v>8</v>
      </c>
      <c r="P386">
        <f t="shared" si="970"/>
        <v>0.1739062500000006</v>
      </c>
      <c r="Q386">
        <f t="shared" si="971"/>
        <v>359138.23496250121</v>
      </c>
      <c r="R386">
        <f t="shared" si="972"/>
        <v>14006634.268475505</v>
      </c>
      <c r="S386">
        <f t="shared" si="973"/>
        <v>140.06634268475506</v>
      </c>
      <c r="T386">
        <f t="shared" si="974"/>
        <v>0.14006634268475507</v>
      </c>
    </row>
    <row r="387" spans="1:20" x14ac:dyDescent="0.25">
      <c r="A387" s="5">
        <v>44206</v>
      </c>
      <c r="B387">
        <v>7.2115</v>
      </c>
      <c r="C387">
        <v>7.4969000000000001</v>
      </c>
      <c r="D387">
        <v>6.15</v>
      </c>
      <c r="E387">
        <v>6.5415999999999999</v>
      </c>
      <c r="F387">
        <v>1865913.15</v>
      </c>
      <c r="G387">
        <v>0</v>
      </c>
      <c r="L387" t="s">
        <v>7</v>
      </c>
      <c r="M387" t="s">
        <v>7</v>
      </c>
      <c r="N387" t="s">
        <v>8</v>
      </c>
      <c r="P387">
        <f t="shared" si="970"/>
        <v>-0.4185165936595151</v>
      </c>
      <c r="Q387">
        <f t="shared" si="971"/>
        <v>-780915.61560249585</v>
      </c>
      <c r="R387">
        <f t="shared" si="972"/>
        <v>13647496.033513004</v>
      </c>
      <c r="S387">
        <f t="shared" si="973"/>
        <v>136.47496033513005</v>
      </c>
      <c r="T387">
        <f t="shared" si="974"/>
        <v>0.13647496033513004</v>
      </c>
    </row>
    <row r="388" spans="1:20" x14ac:dyDescent="0.25">
      <c r="A388" s="5">
        <v>44205</v>
      </c>
      <c r="B388">
        <v>5.6999000000000004</v>
      </c>
      <c r="C388">
        <v>7.4870000000000001</v>
      </c>
      <c r="D388">
        <v>5.5761000000000003</v>
      </c>
      <c r="E388">
        <v>7.1877000000000004</v>
      </c>
      <c r="F388">
        <v>4060100.24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0.68674446595844918</v>
      </c>
      <c r="Q388">
        <f t="shared" si="971"/>
        <v>2788251.3710565716</v>
      </c>
      <c r="R388">
        <f t="shared" si="972"/>
        <v>14428411.649115499</v>
      </c>
      <c r="S388">
        <f t="shared" si="973"/>
        <v>144.284116491155</v>
      </c>
      <c r="T388">
        <f t="shared" si="974"/>
        <v>0.144284116491155</v>
      </c>
    </row>
    <row r="389" spans="1:20" x14ac:dyDescent="0.25">
      <c r="A389" s="5">
        <v>44204</v>
      </c>
      <c r="B389">
        <v>4.4728000000000003</v>
      </c>
      <c r="C389">
        <v>5.9</v>
      </c>
      <c r="D389">
        <v>4</v>
      </c>
      <c r="E389">
        <v>5.7</v>
      </c>
      <c r="F389">
        <v>3037659.66</v>
      </c>
      <c r="G389">
        <v>0</v>
      </c>
      <c r="L389" t="s">
        <v>7</v>
      </c>
      <c r="M389" t="s">
        <v>8</v>
      </c>
      <c r="N389" t="s">
        <v>8</v>
      </c>
      <c r="P389">
        <f t="shared" si="970"/>
        <v>0.78947368421052622</v>
      </c>
      <c r="Q389">
        <f t="shared" si="971"/>
        <v>2398152.3631578945</v>
      </c>
      <c r="R389">
        <f t="shared" si="972"/>
        <v>11640160.278058928</v>
      </c>
      <c r="S389">
        <f t="shared" si="973"/>
        <v>116.40160278058927</v>
      </c>
      <c r="T389">
        <f t="shared" si="974"/>
        <v>0.11640160278058927</v>
      </c>
    </row>
    <row r="390" spans="1:20" x14ac:dyDescent="0.25">
      <c r="A390" s="5">
        <v>44203</v>
      </c>
      <c r="B390">
        <v>4.5803000000000003</v>
      </c>
      <c r="C390">
        <v>4.8205</v>
      </c>
      <c r="D390">
        <v>4.1826999999999996</v>
      </c>
      <c r="E390">
        <v>4.4706999999999999</v>
      </c>
      <c r="F390">
        <v>1471492.75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5">IF(C390=D390,0,((E390-D390)-(C390-E390))/(C390-D390))</f>
        <v>-9.6895578551269707E-2</v>
      </c>
      <c r="Q390">
        <f t="shared" ref="Q390:Q453" si="976">F390*P390</f>
        <v>-142581.14134524888</v>
      </c>
      <c r="R390">
        <f t="shared" ref="R390:R453" si="977">R391+Q390</f>
        <v>9242007.914901033</v>
      </c>
      <c r="S390">
        <f t="shared" ref="S390:S453" si="978">R390/100000</f>
        <v>92.420079149010334</v>
      </c>
      <c r="T390">
        <f t="shared" ref="T390:T453" si="979">S390/1000</f>
        <v>9.2420079149010334E-2</v>
      </c>
    </row>
    <row r="391" spans="1:20" x14ac:dyDescent="0.25">
      <c r="A391" s="5">
        <v>44202</v>
      </c>
      <c r="B391">
        <v>4.2502000000000004</v>
      </c>
      <c r="C391">
        <v>4.9772999999999996</v>
      </c>
      <c r="D391">
        <v>4.1360999999999999</v>
      </c>
      <c r="E391">
        <v>4.5788000000000002</v>
      </c>
      <c r="F391">
        <v>2925158.25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5.2543984783643506E-2</v>
      </c>
      <c r="Q391">
        <f t="shared" si="976"/>
        <v>153699.47057774928</v>
      </c>
      <c r="R391">
        <f t="shared" si="977"/>
        <v>9384589.0562462825</v>
      </c>
      <c r="S391">
        <f t="shared" si="978"/>
        <v>93.845890562462827</v>
      </c>
      <c r="T391">
        <f t="shared" si="979"/>
        <v>9.3845890562462828E-2</v>
      </c>
    </row>
    <row r="392" spans="1:20" x14ac:dyDescent="0.25">
      <c r="A392" s="5">
        <v>44201</v>
      </c>
      <c r="B392">
        <v>3.5998999999999999</v>
      </c>
      <c r="C392">
        <v>4.3555999999999999</v>
      </c>
      <c r="D392">
        <v>3.4702999999999999</v>
      </c>
      <c r="E392">
        <v>4.2500999999999998</v>
      </c>
      <c r="F392">
        <v>2403396.8199999998</v>
      </c>
      <c r="G392">
        <v>0</v>
      </c>
      <c r="L392" t="s">
        <v>8</v>
      </c>
      <c r="M392" t="s">
        <v>8</v>
      </c>
      <c r="N392" t="s">
        <v>8</v>
      </c>
      <c r="P392">
        <f t="shared" si="975"/>
        <v>0.76166271320456314</v>
      </c>
      <c r="Q392">
        <f t="shared" si="976"/>
        <v>1830577.742828419</v>
      </c>
      <c r="R392">
        <f t="shared" si="977"/>
        <v>9230889.585668534</v>
      </c>
      <c r="S392">
        <f t="shared" si="978"/>
        <v>92.308895856685339</v>
      </c>
      <c r="T392">
        <f t="shared" si="979"/>
        <v>9.2308895856685336E-2</v>
      </c>
    </row>
    <row r="393" spans="1:20" x14ac:dyDescent="0.25">
      <c r="A393" s="5">
        <v>44200</v>
      </c>
      <c r="B393">
        <v>3.4769999999999999</v>
      </c>
      <c r="C393">
        <v>3.83</v>
      </c>
      <c r="D393">
        <v>3.2282999999999999</v>
      </c>
      <c r="E393">
        <v>3.5998999999999999</v>
      </c>
      <c r="F393">
        <v>1242545.27</v>
      </c>
      <c r="G393">
        <v>0</v>
      </c>
      <c r="L393" t="s">
        <v>7</v>
      </c>
      <c r="M393" t="s">
        <v>7</v>
      </c>
      <c r="N393" t="s">
        <v>8</v>
      </c>
      <c r="P393">
        <f t="shared" si="975"/>
        <v>0.23516702675751988</v>
      </c>
      <c r="Q393">
        <f t="shared" si="976"/>
        <v>292205.67675751977</v>
      </c>
      <c r="R393">
        <f t="shared" si="977"/>
        <v>7400311.8428401146</v>
      </c>
      <c r="S393">
        <f t="shared" si="978"/>
        <v>74.003118428401152</v>
      </c>
      <c r="T393">
        <f t="shared" si="979"/>
        <v>7.4003118428401155E-2</v>
      </c>
    </row>
    <row r="394" spans="1:20" x14ac:dyDescent="0.25">
      <c r="A394" s="5">
        <v>44199</v>
      </c>
      <c r="B394">
        <v>3.5005000000000002</v>
      </c>
      <c r="C394">
        <v>3.83</v>
      </c>
      <c r="D394">
        <v>3.3915999999999999</v>
      </c>
      <c r="E394">
        <v>3.4691000000000001</v>
      </c>
      <c r="F394">
        <v>989465.26</v>
      </c>
      <c r="G394">
        <v>0</v>
      </c>
      <c r="L394" t="s">
        <v>7</v>
      </c>
      <c r="M394" t="s">
        <v>8</v>
      </c>
      <c r="N394" t="s">
        <v>8</v>
      </c>
      <c r="P394">
        <f t="shared" si="975"/>
        <v>-0.64644160583941557</v>
      </c>
      <c r="Q394">
        <f t="shared" si="976"/>
        <v>-639631.51159671484</v>
      </c>
      <c r="R394">
        <f t="shared" si="977"/>
        <v>7108106.1660825945</v>
      </c>
      <c r="S394">
        <f t="shared" si="978"/>
        <v>71.081061660825952</v>
      </c>
      <c r="T394">
        <f t="shared" si="979"/>
        <v>7.108106166082595E-2</v>
      </c>
    </row>
    <row r="395" spans="1:20" x14ac:dyDescent="0.25">
      <c r="A395" s="5">
        <v>44198</v>
      </c>
      <c r="B395">
        <v>3.6543999999999999</v>
      </c>
      <c r="C395">
        <v>3.9390000000000001</v>
      </c>
      <c r="D395">
        <v>3.2850999999999999</v>
      </c>
      <c r="E395">
        <v>3.4956</v>
      </c>
      <c r="F395">
        <v>1768205.15</v>
      </c>
      <c r="G395">
        <v>0</v>
      </c>
      <c r="L395" t="s">
        <v>8</v>
      </c>
      <c r="M395" t="s">
        <v>8</v>
      </c>
      <c r="N395" t="s">
        <v>8</v>
      </c>
      <c r="P395">
        <f t="shared" si="975"/>
        <v>-0.35617066829790461</v>
      </c>
      <c r="Q395">
        <f t="shared" si="976"/>
        <v>-629782.80996329663</v>
      </c>
      <c r="R395">
        <f t="shared" si="977"/>
        <v>7747737.6776793096</v>
      </c>
      <c r="S395">
        <f t="shared" si="978"/>
        <v>77.477376776793093</v>
      </c>
      <c r="T395">
        <f t="shared" si="979"/>
        <v>7.7477376776793089E-2</v>
      </c>
    </row>
    <row r="396" spans="1:20" x14ac:dyDescent="0.25">
      <c r="A396" s="5">
        <v>44197</v>
      </c>
      <c r="B396">
        <v>3.1859000000000002</v>
      </c>
      <c r="C396">
        <v>3.86</v>
      </c>
      <c r="D396">
        <v>3.0177999999999998</v>
      </c>
      <c r="E396">
        <v>3.6497000000000002</v>
      </c>
      <c r="F396">
        <v>3817118.74</v>
      </c>
      <c r="G396">
        <v>0</v>
      </c>
      <c r="L396" t="s">
        <v>8</v>
      </c>
      <c r="M396" t="s">
        <v>8</v>
      </c>
      <c r="N396" t="s">
        <v>8</v>
      </c>
      <c r="P396">
        <f t="shared" si="975"/>
        <v>0.50059368321063957</v>
      </c>
      <c r="Q396">
        <f t="shared" si="976"/>
        <v>1910825.5293089559</v>
      </c>
      <c r="R396">
        <f t="shared" si="977"/>
        <v>8377520.4876426067</v>
      </c>
      <c r="S396">
        <f t="shared" si="978"/>
        <v>83.775204876426073</v>
      </c>
      <c r="T396">
        <f t="shared" si="979"/>
        <v>8.3775204876426076E-2</v>
      </c>
    </row>
    <row r="397" spans="1:20" x14ac:dyDescent="0.25">
      <c r="A397" s="5">
        <v>44196</v>
      </c>
      <c r="B397">
        <v>2.9165999999999999</v>
      </c>
      <c r="C397">
        <v>3.2997000000000001</v>
      </c>
      <c r="D397">
        <v>2.78</v>
      </c>
      <c r="E397">
        <v>3.1859000000000002</v>
      </c>
      <c r="F397">
        <v>861034.14</v>
      </c>
      <c r="G397">
        <v>0</v>
      </c>
      <c r="L397" t="s">
        <v>7</v>
      </c>
      <c r="M397" t="s">
        <v>8</v>
      </c>
      <c r="N397" t="s">
        <v>7</v>
      </c>
      <c r="P397">
        <f t="shared" si="975"/>
        <v>0.56205503174908666</v>
      </c>
      <c r="Q397">
        <f t="shared" si="976"/>
        <v>483948.57089474757</v>
      </c>
      <c r="R397">
        <f t="shared" si="977"/>
        <v>6466694.9583336506</v>
      </c>
      <c r="S397">
        <f t="shared" si="978"/>
        <v>64.666949583336503</v>
      </c>
      <c r="T397">
        <f t="shared" si="979"/>
        <v>6.4666949583336505E-2</v>
      </c>
    </row>
    <row r="398" spans="1:20" x14ac:dyDescent="0.25">
      <c r="A398" s="5">
        <v>44195</v>
      </c>
      <c r="B398">
        <v>2.9249999999999998</v>
      </c>
      <c r="C398">
        <v>2.94</v>
      </c>
      <c r="D398">
        <v>2.8327</v>
      </c>
      <c r="E398">
        <v>2.9161999999999999</v>
      </c>
      <c r="F398">
        <v>443153.2</v>
      </c>
      <c r="G398">
        <v>0</v>
      </c>
      <c r="L398" t="s">
        <v>7</v>
      </c>
      <c r="M398" t="s">
        <v>7</v>
      </c>
      <c r="N398" t="s">
        <v>7</v>
      </c>
      <c r="P398">
        <f t="shared" si="975"/>
        <v>0.55638397017707264</v>
      </c>
      <c r="Q398">
        <f t="shared" si="976"/>
        <v>246563.3368126743</v>
      </c>
      <c r="R398">
        <f t="shared" si="977"/>
        <v>5982746.3874389026</v>
      </c>
      <c r="S398">
        <f t="shared" si="978"/>
        <v>59.827463874389025</v>
      </c>
      <c r="T398">
        <f t="shared" si="979"/>
        <v>5.9827463874389024E-2</v>
      </c>
    </row>
    <row r="399" spans="1:20" x14ac:dyDescent="0.25">
      <c r="A399" s="5">
        <v>44194</v>
      </c>
      <c r="B399">
        <v>2.9609000000000001</v>
      </c>
      <c r="C399">
        <v>3.01</v>
      </c>
      <c r="D399">
        <v>2.8321999999999998</v>
      </c>
      <c r="E399">
        <v>2.9247999999999998</v>
      </c>
      <c r="F399">
        <v>831346.83</v>
      </c>
      <c r="G399">
        <v>0</v>
      </c>
      <c r="L399" t="s">
        <v>7</v>
      </c>
      <c r="M399" t="s">
        <v>7</v>
      </c>
      <c r="N399" t="s">
        <v>7</v>
      </c>
      <c r="P399">
        <f t="shared" si="975"/>
        <v>4.1619797525309761E-2</v>
      </c>
      <c r="Q399">
        <f t="shared" si="976"/>
        <v>34600.486737908112</v>
      </c>
      <c r="R399">
        <f t="shared" si="977"/>
        <v>5736183.0506262286</v>
      </c>
      <c r="S399">
        <f t="shared" si="978"/>
        <v>57.361830506262287</v>
      </c>
      <c r="T399">
        <f t="shared" si="979"/>
        <v>5.7361830506262285E-2</v>
      </c>
    </row>
    <row r="400" spans="1:20" x14ac:dyDescent="0.25">
      <c r="A400" s="5">
        <v>44193</v>
      </c>
      <c r="B400">
        <v>2.9167999999999998</v>
      </c>
      <c r="C400">
        <v>3.0495999999999999</v>
      </c>
      <c r="D400">
        <v>2.8685</v>
      </c>
      <c r="E400">
        <v>2.9577</v>
      </c>
      <c r="F400">
        <v>932674.77</v>
      </c>
      <c r="G400">
        <v>0</v>
      </c>
      <c r="L400" t="s">
        <v>8</v>
      </c>
      <c r="M400" t="s">
        <v>7</v>
      </c>
      <c r="N400" t="s">
        <v>7</v>
      </c>
      <c r="P400">
        <f t="shared" si="975"/>
        <v>-1.4908890115957633E-2</v>
      </c>
      <c r="Q400">
        <f t="shared" si="976"/>
        <v>-13905.14565985606</v>
      </c>
      <c r="R400">
        <f t="shared" si="977"/>
        <v>5701582.5638883207</v>
      </c>
      <c r="S400">
        <f t="shared" si="978"/>
        <v>57.015825638883207</v>
      </c>
      <c r="T400">
        <f t="shared" si="979"/>
        <v>5.7015825638883209E-2</v>
      </c>
    </row>
    <row r="401" spans="1:20" x14ac:dyDescent="0.25">
      <c r="A401" s="5">
        <v>44192</v>
      </c>
      <c r="B401">
        <v>2.9222999999999999</v>
      </c>
      <c r="C401">
        <v>3.0758999999999999</v>
      </c>
      <c r="D401">
        <v>2.8401000000000001</v>
      </c>
      <c r="E401">
        <v>2.9026000000000001</v>
      </c>
      <c r="F401">
        <v>566733.02</v>
      </c>
      <c r="G401">
        <v>0</v>
      </c>
      <c r="L401" t="s">
        <v>8</v>
      </c>
      <c r="M401" t="s">
        <v>7</v>
      </c>
      <c r="N401" t="s">
        <v>7</v>
      </c>
      <c r="P401">
        <f t="shared" si="975"/>
        <v>-0.46988973706530912</v>
      </c>
      <c r="Q401">
        <f t="shared" si="976"/>
        <v>-266302.0297540286</v>
      </c>
      <c r="R401">
        <f t="shared" si="977"/>
        <v>5715487.7095481772</v>
      </c>
      <c r="S401">
        <f t="shared" si="978"/>
        <v>57.154877095481773</v>
      </c>
      <c r="T401">
        <f t="shared" si="979"/>
        <v>5.7154877095481775E-2</v>
      </c>
    </row>
    <row r="402" spans="1:20" x14ac:dyDescent="0.25">
      <c r="A402" s="5">
        <v>44191</v>
      </c>
      <c r="B402">
        <v>2.9497</v>
      </c>
      <c r="C402">
        <v>2.9975000000000001</v>
      </c>
      <c r="D402">
        <v>2.85</v>
      </c>
      <c r="E402">
        <v>2.9178000000000002</v>
      </c>
      <c r="F402">
        <v>475916.53</v>
      </c>
      <c r="G402">
        <v>0</v>
      </c>
      <c r="L402" t="s">
        <v>7</v>
      </c>
      <c r="M402" t="s">
        <v>7</v>
      </c>
      <c r="N402" t="s">
        <v>7</v>
      </c>
      <c r="P402">
        <f t="shared" si="975"/>
        <v>-8.0677966101693574E-2</v>
      </c>
      <c r="Q402">
        <f t="shared" si="976"/>
        <v>-38395.977674575632</v>
      </c>
      <c r="R402">
        <f t="shared" si="977"/>
        <v>5981789.7393022059</v>
      </c>
      <c r="S402">
        <f t="shared" si="978"/>
        <v>59.817897393022058</v>
      </c>
      <c r="T402">
        <f t="shared" si="979"/>
        <v>5.9817897393022061E-2</v>
      </c>
    </row>
    <row r="403" spans="1:20" x14ac:dyDescent="0.25">
      <c r="A403" s="5">
        <v>44190</v>
      </c>
      <c r="B403">
        <v>3.1171000000000002</v>
      </c>
      <c r="C403">
        <v>3.1301000000000001</v>
      </c>
      <c r="D403">
        <v>2.84</v>
      </c>
      <c r="E403">
        <v>2.9517000000000002</v>
      </c>
      <c r="F403">
        <v>870245.85</v>
      </c>
      <c r="G403">
        <v>0</v>
      </c>
      <c r="L403" t="s">
        <v>7</v>
      </c>
      <c r="M403" t="s">
        <v>7</v>
      </c>
      <c r="N403" t="s">
        <v>7</v>
      </c>
      <c r="P403">
        <f t="shared" si="975"/>
        <v>-0.22992071699413816</v>
      </c>
      <c r="Q403">
        <f t="shared" si="976"/>
        <v>-200087.54979317321</v>
      </c>
      <c r="R403">
        <f t="shared" si="977"/>
        <v>6020185.7169767814</v>
      </c>
      <c r="S403">
        <f t="shared" si="978"/>
        <v>60.201857169767813</v>
      </c>
      <c r="T403">
        <f t="shared" si="979"/>
        <v>6.0201857169767815E-2</v>
      </c>
    </row>
    <row r="404" spans="1:20" x14ac:dyDescent="0.25">
      <c r="A404" s="5">
        <v>44189</v>
      </c>
      <c r="B404">
        <v>2.9525000000000001</v>
      </c>
      <c r="C404">
        <v>3.1153</v>
      </c>
      <c r="D404">
        <v>2.7679</v>
      </c>
      <c r="E404">
        <v>3.1006</v>
      </c>
      <c r="F404">
        <v>910977.44</v>
      </c>
      <c r="G404">
        <v>0</v>
      </c>
      <c r="L404" t="s">
        <v>8</v>
      </c>
      <c r="M404" t="s">
        <v>7</v>
      </c>
      <c r="N404" t="s">
        <v>7</v>
      </c>
      <c r="P404">
        <f t="shared" si="975"/>
        <v>0.9153713298791023</v>
      </c>
      <c r="Q404">
        <f t="shared" si="976"/>
        <v>833882.63074266003</v>
      </c>
      <c r="R404">
        <f t="shared" si="977"/>
        <v>6220273.2667699549</v>
      </c>
      <c r="S404">
        <f t="shared" si="978"/>
        <v>62.20273266769955</v>
      </c>
      <c r="T404">
        <f t="shared" si="979"/>
        <v>6.2202732667699552E-2</v>
      </c>
    </row>
    <row r="405" spans="1:20" x14ac:dyDescent="0.25">
      <c r="A405" s="5">
        <v>44188</v>
      </c>
      <c r="B405">
        <v>3.0705</v>
      </c>
      <c r="C405">
        <v>3.6937000000000002</v>
      </c>
      <c r="D405">
        <v>2.7501000000000002</v>
      </c>
      <c r="E405">
        <v>2.9464999999999999</v>
      </c>
      <c r="F405">
        <v>2874448.39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-0.58372191606613033</v>
      </c>
      <c r="Q405">
        <f t="shared" si="976"/>
        <v>-1677878.5218440036</v>
      </c>
      <c r="R405">
        <f t="shared" si="977"/>
        <v>5386390.6360272951</v>
      </c>
      <c r="S405">
        <f t="shared" si="978"/>
        <v>53.863906360272949</v>
      </c>
      <c r="T405">
        <f t="shared" si="979"/>
        <v>5.3863906360272946E-2</v>
      </c>
    </row>
    <row r="406" spans="1:20" x14ac:dyDescent="0.25">
      <c r="A406" s="5">
        <v>44187</v>
      </c>
      <c r="B406">
        <v>3.0922000000000001</v>
      </c>
      <c r="C406">
        <v>3.1331000000000002</v>
      </c>
      <c r="D406">
        <v>2.9198</v>
      </c>
      <c r="E406">
        <v>3.0760999999999998</v>
      </c>
      <c r="F406">
        <v>488812.87</v>
      </c>
      <c r="G406">
        <v>0</v>
      </c>
      <c r="L406" t="s">
        <v>7</v>
      </c>
      <c r="M406" t="s">
        <v>7</v>
      </c>
      <c r="N406" t="s">
        <v>7</v>
      </c>
      <c r="P406">
        <f t="shared" si="975"/>
        <v>0.46554149085794361</v>
      </c>
      <c r="Q406">
        <f t="shared" si="976"/>
        <v>227562.67225035018</v>
      </c>
      <c r="R406">
        <f t="shared" si="977"/>
        <v>7064269.1578712985</v>
      </c>
      <c r="S406">
        <f t="shared" si="978"/>
        <v>70.642691578712984</v>
      </c>
      <c r="T406">
        <f t="shared" si="979"/>
        <v>7.0642691578712988E-2</v>
      </c>
    </row>
    <row r="407" spans="1:20" x14ac:dyDescent="0.25">
      <c r="A407" s="5">
        <v>44186</v>
      </c>
      <c r="B407">
        <v>3.3041</v>
      </c>
      <c r="C407">
        <v>3.3563999999999998</v>
      </c>
      <c r="D407">
        <v>2.9249999999999998</v>
      </c>
      <c r="E407">
        <v>3.0891999999999999</v>
      </c>
      <c r="F407">
        <v>827256.68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-0.23875753361149687</v>
      </c>
      <c r="Q407">
        <f t="shared" si="976"/>
        <v>-197513.76458043532</v>
      </c>
      <c r="R407">
        <f t="shared" si="977"/>
        <v>6836706.4856209485</v>
      </c>
      <c r="S407">
        <f t="shared" si="978"/>
        <v>68.367064856209481</v>
      </c>
      <c r="T407">
        <f t="shared" si="979"/>
        <v>6.8367064856209483E-2</v>
      </c>
    </row>
    <row r="408" spans="1:20" x14ac:dyDescent="0.25">
      <c r="A408" s="5">
        <v>44185</v>
      </c>
      <c r="B408">
        <v>3.4580000000000002</v>
      </c>
      <c r="C408">
        <v>3.4980000000000002</v>
      </c>
      <c r="D408">
        <v>3.2755000000000001</v>
      </c>
      <c r="E408">
        <v>3.3039999999999998</v>
      </c>
      <c r="F408">
        <v>415890.15</v>
      </c>
      <c r="G408">
        <v>0</v>
      </c>
      <c r="L408" t="s">
        <v>7</v>
      </c>
      <c r="M408" t="s">
        <v>8</v>
      </c>
      <c r="N408" t="s">
        <v>7</v>
      </c>
      <c r="P408">
        <f t="shared" si="975"/>
        <v>-0.74382022471910358</v>
      </c>
      <c r="Q408">
        <f t="shared" si="976"/>
        <v>-309347.5048314617</v>
      </c>
      <c r="R408">
        <f t="shared" si="977"/>
        <v>7034220.2502013836</v>
      </c>
      <c r="S408">
        <f t="shared" si="978"/>
        <v>70.342202502013834</v>
      </c>
      <c r="T408">
        <f t="shared" si="979"/>
        <v>7.034220250201384E-2</v>
      </c>
    </row>
    <row r="409" spans="1:20" x14ac:dyDescent="0.25">
      <c r="A409" s="5">
        <v>44184</v>
      </c>
      <c r="B409">
        <v>3.4081000000000001</v>
      </c>
      <c r="C409">
        <v>3.6076000000000001</v>
      </c>
      <c r="D409">
        <v>3.3782999999999999</v>
      </c>
      <c r="E409">
        <v>3.4651000000000001</v>
      </c>
      <c r="F409">
        <v>506114.81</v>
      </c>
      <c r="G409">
        <v>0</v>
      </c>
      <c r="L409" t="s">
        <v>8</v>
      </c>
      <c r="M409" t="s">
        <v>8</v>
      </c>
      <c r="N409" t="s">
        <v>7</v>
      </c>
      <c r="P409">
        <f t="shared" si="975"/>
        <v>-0.24291321412995984</v>
      </c>
      <c r="Q409">
        <f t="shared" si="976"/>
        <v>-122941.97521587394</v>
      </c>
      <c r="R409">
        <f t="shared" si="977"/>
        <v>7343567.7550328458</v>
      </c>
      <c r="S409">
        <f t="shared" si="978"/>
        <v>73.435677550328464</v>
      </c>
      <c r="T409">
        <f t="shared" si="979"/>
        <v>7.3435677550328468E-2</v>
      </c>
    </row>
    <row r="410" spans="1:20" x14ac:dyDescent="0.25">
      <c r="A410" s="5">
        <v>44183</v>
      </c>
      <c r="B410">
        <v>3.2067999999999999</v>
      </c>
      <c r="C410">
        <v>3.4737</v>
      </c>
      <c r="D410">
        <v>3.1423999999999999</v>
      </c>
      <c r="E410">
        <v>3.4081000000000001</v>
      </c>
      <c r="F410">
        <v>642895.11</v>
      </c>
      <c r="G410">
        <v>0</v>
      </c>
      <c r="L410" t="s">
        <v>8</v>
      </c>
      <c r="M410" t="s">
        <v>8</v>
      </c>
      <c r="N410" t="s">
        <v>7</v>
      </c>
      <c r="P410">
        <f t="shared" si="975"/>
        <v>0.60398430425596228</v>
      </c>
      <c r="Q410">
        <f t="shared" si="976"/>
        <v>388298.55572291033</v>
      </c>
      <c r="R410">
        <f t="shared" si="977"/>
        <v>7466509.7302487195</v>
      </c>
      <c r="S410">
        <f t="shared" si="978"/>
        <v>74.665097302487197</v>
      </c>
      <c r="T410">
        <f t="shared" si="979"/>
        <v>7.4665097302487202E-2</v>
      </c>
    </row>
    <row r="411" spans="1:20" x14ac:dyDescent="0.25">
      <c r="A411" s="5">
        <v>44182</v>
      </c>
      <c r="B411">
        <v>3.3443999999999998</v>
      </c>
      <c r="C411">
        <v>3.3822999999999999</v>
      </c>
      <c r="D411">
        <v>3.1760999999999999</v>
      </c>
      <c r="E411">
        <v>3.2079</v>
      </c>
      <c r="F411">
        <v>634136.04</v>
      </c>
      <c r="G411">
        <v>0</v>
      </c>
      <c r="L411" t="s">
        <v>8</v>
      </c>
      <c r="M411" t="s">
        <v>8</v>
      </c>
      <c r="N411" t="s">
        <v>7</v>
      </c>
      <c r="P411">
        <f t="shared" si="975"/>
        <v>-0.6915615906886512</v>
      </c>
      <c r="Q411">
        <f t="shared" si="976"/>
        <v>-438544.12853540218</v>
      </c>
      <c r="R411">
        <f t="shared" si="977"/>
        <v>7078211.1745258095</v>
      </c>
      <c r="S411">
        <f t="shared" si="978"/>
        <v>70.782111745258092</v>
      </c>
      <c r="T411">
        <f t="shared" si="979"/>
        <v>7.0782111745258086E-2</v>
      </c>
    </row>
    <row r="412" spans="1:20" x14ac:dyDescent="0.25">
      <c r="A412" s="5">
        <v>44181</v>
      </c>
      <c r="B412">
        <v>3.3012000000000001</v>
      </c>
      <c r="C412">
        <v>3.3843999999999999</v>
      </c>
      <c r="D412">
        <v>3.1450999999999998</v>
      </c>
      <c r="E412">
        <v>3.3409</v>
      </c>
      <c r="F412">
        <v>660892.42000000004</v>
      </c>
      <c r="G412">
        <v>0</v>
      </c>
      <c r="L412" t="s">
        <v>8</v>
      </c>
      <c r="M412" t="s">
        <v>8</v>
      </c>
      <c r="N412" t="s">
        <v>7</v>
      </c>
      <c r="P412">
        <f t="shared" si="975"/>
        <v>0.63643961554534179</v>
      </c>
      <c r="Q412">
        <f t="shared" si="976"/>
        <v>420618.11770163057</v>
      </c>
      <c r="R412">
        <f t="shared" si="977"/>
        <v>7516755.3030612115</v>
      </c>
      <c r="S412">
        <f t="shared" si="978"/>
        <v>75.167553030612112</v>
      </c>
      <c r="T412">
        <f t="shared" si="979"/>
        <v>7.5167553030612108E-2</v>
      </c>
    </row>
    <row r="413" spans="1:20" x14ac:dyDescent="0.25">
      <c r="A413" s="5">
        <v>44180</v>
      </c>
      <c r="B413">
        <v>3.1438999999999999</v>
      </c>
      <c r="C413">
        <v>3.5440999999999998</v>
      </c>
      <c r="D413">
        <v>3.06</v>
      </c>
      <c r="E413">
        <v>3.3014000000000001</v>
      </c>
      <c r="F413">
        <v>899508.23</v>
      </c>
      <c r="G413">
        <v>0</v>
      </c>
      <c r="L413" t="s">
        <v>7</v>
      </c>
      <c r="M413" t="s">
        <v>8</v>
      </c>
      <c r="N413" t="s">
        <v>7</v>
      </c>
      <c r="P413">
        <f t="shared" si="975"/>
        <v>-2.6853955794249856E-3</v>
      </c>
      <c r="Q413">
        <f t="shared" si="976"/>
        <v>-2415.5354244983932</v>
      </c>
      <c r="R413">
        <f t="shared" si="977"/>
        <v>7096137.1853595804</v>
      </c>
      <c r="S413">
        <f t="shared" si="978"/>
        <v>70.961371853595807</v>
      </c>
      <c r="T413">
        <f t="shared" si="979"/>
        <v>7.09613718535958E-2</v>
      </c>
    </row>
    <row r="414" spans="1:20" x14ac:dyDescent="0.25">
      <c r="A414" s="5">
        <v>44179</v>
      </c>
      <c r="B414">
        <v>3.3401000000000001</v>
      </c>
      <c r="C414">
        <v>3.3424</v>
      </c>
      <c r="D414">
        <v>3.1356999999999999</v>
      </c>
      <c r="E414">
        <v>3.1433</v>
      </c>
      <c r="F414">
        <v>1041542.84</v>
      </c>
      <c r="G414">
        <v>0</v>
      </c>
      <c r="L414" t="s">
        <v>7</v>
      </c>
      <c r="M414" t="s">
        <v>8</v>
      </c>
      <c r="N414" t="s">
        <v>7</v>
      </c>
      <c r="P414">
        <f t="shared" si="975"/>
        <v>-0.92646347363328452</v>
      </c>
      <c r="Q414">
        <f t="shared" si="976"/>
        <v>-964951.39748427621</v>
      </c>
      <c r="R414">
        <f t="shared" si="977"/>
        <v>7098552.7207840793</v>
      </c>
      <c r="S414">
        <f t="shared" si="978"/>
        <v>70.985527207840789</v>
      </c>
      <c r="T414">
        <f t="shared" si="979"/>
        <v>7.0985527207840793E-2</v>
      </c>
    </row>
    <row r="415" spans="1:20" x14ac:dyDescent="0.25">
      <c r="A415" s="5">
        <v>44178</v>
      </c>
      <c r="B415">
        <v>3.3409</v>
      </c>
      <c r="C415">
        <v>3.4173</v>
      </c>
      <c r="D415">
        <v>3.2806000000000002</v>
      </c>
      <c r="E415">
        <v>3.3405</v>
      </c>
      <c r="F415">
        <v>598125.27</v>
      </c>
      <c r="G415">
        <v>0</v>
      </c>
      <c r="L415" t="s">
        <v>8</v>
      </c>
      <c r="M415" t="s">
        <v>8</v>
      </c>
      <c r="N415" t="s">
        <v>7</v>
      </c>
      <c r="P415">
        <f t="shared" si="975"/>
        <v>-0.12362838332114234</v>
      </c>
      <c r="Q415">
        <f t="shared" si="976"/>
        <v>-73945.26015362177</v>
      </c>
      <c r="R415">
        <f t="shared" si="977"/>
        <v>8063504.1182683557</v>
      </c>
      <c r="S415">
        <f t="shared" si="978"/>
        <v>80.635041182683551</v>
      </c>
      <c r="T415">
        <f t="shared" si="979"/>
        <v>8.0635041182683553E-2</v>
      </c>
    </row>
    <row r="416" spans="1:20" x14ac:dyDescent="0.25">
      <c r="A416" s="5">
        <v>44177</v>
      </c>
      <c r="B416">
        <v>3.2320000000000002</v>
      </c>
      <c r="C416">
        <v>3.45</v>
      </c>
      <c r="D416">
        <v>3.2317999999999998</v>
      </c>
      <c r="E416">
        <v>3.3332000000000002</v>
      </c>
      <c r="F416">
        <v>695480.54</v>
      </c>
      <c r="G416">
        <v>0</v>
      </c>
      <c r="L416" t="s">
        <v>8</v>
      </c>
      <c r="M416" t="s">
        <v>8</v>
      </c>
      <c r="N416" t="s">
        <v>7</v>
      </c>
      <c r="P416">
        <f t="shared" si="975"/>
        <v>-7.0577451879008282E-2</v>
      </c>
      <c r="Q416">
        <f t="shared" si="976"/>
        <v>-49085.244344636696</v>
      </c>
      <c r="R416">
        <f t="shared" si="977"/>
        <v>8137449.3784219772</v>
      </c>
      <c r="S416">
        <f t="shared" si="978"/>
        <v>81.374493784219766</v>
      </c>
      <c r="T416">
        <f t="shared" si="979"/>
        <v>8.1374493784219765E-2</v>
      </c>
    </row>
    <row r="417" spans="1:20" x14ac:dyDescent="0.25">
      <c r="A417" s="5">
        <v>44176</v>
      </c>
      <c r="B417">
        <v>3.1482000000000001</v>
      </c>
      <c r="C417">
        <v>3.3069999999999999</v>
      </c>
      <c r="D417">
        <v>3.0131000000000001</v>
      </c>
      <c r="E417">
        <v>3.2374999999999998</v>
      </c>
      <c r="F417">
        <v>740274.35</v>
      </c>
      <c r="G417">
        <v>0</v>
      </c>
      <c r="L417" t="s">
        <v>7</v>
      </c>
      <c r="M417" t="s">
        <v>7</v>
      </c>
      <c r="N417" t="s">
        <v>7</v>
      </c>
      <c r="P417">
        <f t="shared" si="975"/>
        <v>0.52705001701258825</v>
      </c>
      <c r="Q417">
        <f t="shared" si="976"/>
        <v>390161.6087614827</v>
      </c>
      <c r="R417">
        <f t="shared" si="977"/>
        <v>8186534.622766614</v>
      </c>
      <c r="S417">
        <f t="shared" si="978"/>
        <v>81.865346227666137</v>
      </c>
      <c r="T417">
        <f t="shared" si="979"/>
        <v>8.1865346227666141E-2</v>
      </c>
    </row>
    <row r="418" spans="1:20" x14ac:dyDescent="0.25">
      <c r="A418" s="5">
        <v>44175</v>
      </c>
      <c r="B418">
        <v>3.2644000000000002</v>
      </c>
      <c r="C418">
        <v>3.3582999999999998</v>
      </c>
      <c r="D418">
        <v>3.0642999999999998</v>
      </c>
      <c r="E418">
        <v>3.1499000000000001</v>
      </c>
      <c r="F418">
        <v>1121704.58</v>
      </c>
      <c r="G418">
        <v>0</v>
      </c>
      <c r="L418" t="s">
        <v>8</v>
      </c>
      <c r="M418" t="s">
        <v>7</v>
      </c>
      <c r="N418" t="s">
        <v>7</v>
      </c>
      <c r="P418">
        <f t="shared" si="975"/>
        <v>-0.41768707482992973</v>
      </c>
      <c r="Q418">
        <f t="shared" si="976"/>
        <v>-468521.5048435349</v>
      </c>
      <c r="R418">
        <f t="shared" si="977"/>
        <v>7796373.0140051311</v>
      </c>
      <c r="S418">
        <f t="shared" si="978"/>
        <v>77.963730140051311</v>
      </c>
      <c r="T418">
        <f t="shared" si="979"/>
        <v>7.7963730140051313E-2</v>
      </c>
    </row>
    <row r="419" spans="1:20" x14ac:dyDescent="0.25">
      <c r="A419" s="5">
        <v>44174</v>
      </c>
      <c r="B419">
        <v>3.1185</v>
      </c>
      <c r="C419">
        <v>3.4411</v>
      </c>
      <c r="D419">
        <v>2.8001</v>
      </c>
      <c r="E419">
        <v>3.2652000000000001</v>
      </c>
      <c r="F419">
        <v>1491988.4</v>
      </c>
      <c r="G419">
        <v>0</v>
      </c>
      <c r="L419" t="s">
        <v>7</v>
      </c>
      <c r="M419" t="s">
        <v>7</v>
      </c>
      <c r="N419" t="s">
        <v>7</v>
      </c>
      <c r="P419">
        <f t="shared" si="975"/>
        <v>0.45117004680187228</v>
      </c>
      <c r="Q419">
        <f t="shared" si="976"/>
        <v>673140.47625585052</v>
      </c>
      <c r="R419">
        <f t="shared" si="977"/>
        <v>8264894.518848666</v>
      </c>
      <c r="S419">
        <f t="shared" si="978"/>
        <v>82.648945188486664</v>
      </c>
      <c r="T419">
        <f t="shared" si="979"/>
        <v>8.2648945188486658E-2</v>
      </c>
    </row>
    <row r="420" spans="1:20" x14ac:dyDescent="0.25">
      <c r="A420" s="5">
        <v>44173</v>
      </c>
      <c r="B420">
        <v>3.3896000000000002</v>
      </c>
      <c r="C420">
        <v>3.3948</v>
      </c>
      <c r="D420">
        <v>3.085</v>
      </c>
      <c r="E420">
        <v>3.1172</v>
      </c>
      <c r="F420">
        <v>947986.45</v>
      </c>
      <c r="G420">
        <v>0</v>
      </c>
      <c r="L420" t="s">
        <v>7</v>
      </c>
      <c r="M420" t="s">
        <v>7</v>
      </c>
      <c r="N420" t="s">
        <v>7</v>
      </c>
      <c r="P420">
        <f t="shared" si="975"/>
        <v>-0.79212395093608778</v>
      </c>
      <c r="Q420">
        <f t="shared" si="976"/>
        <v>-750922.77220787597</v>
      </c>
      <c r="R420">
        <f t="shared" si="977"/>
        <v>7591754.0425928151</v>
      </c>
      <c r="S420">
        <f t="shared" si="978"/>
        <v>75.917540425928152</v>
      </c>
      <c r="T420">
        <f t="shared" si="979"/>
        <v>7.5917540425928146E-2</v>
      </c>
    </row>
    <row r="421" spans="1:20" x14ac:dyDescent="0.25">
      <c r="A421" s="5">
        <v>44172</v>
      </c>
      <c r="B421">
        <v>3.6036000000000001</v>
      </c>
      <c r="C421">
        <v>3.6095999999999999</v>
      </c>
      <c r="D421">
        <v>3.3</v>
      </c>
      <c r="E421">
        <v>3.3895</v>
      </c>
      <c r="F421">
        <v>319608.12</v>
      </c>
      <c r="G421">
        <v>0</v>
      </c>
      <c r="L421" t="s">
        <v>7</v>
      </c>
      <c r="M421" t="s">
        <v>7</v>
      </c>
      <c r="N421" t="s">
        <v>8</v>
      </c>
      <c r="P421">
        <f t="shared" si="975"/>
        <v>-0.4218346253229967</v>
      </c>
      <c r="Q421">
        <f t="shared" si="976"/>
        <v>-134821.77155038738</v>
      </c>
      <c r="R421">
        <f t="shared" si="977"/>
        <v>8342676.8148006909</v>
      </c>
      <c r="S421">
        <f t="shared" si="978"/>
        <v>83.426768148006914</v>
      </c>
      <c r="T421">
        <f t="shared" si="979"/>
        <v>8.3426768148006911E-2</v>
      </c>
    </row>
    <row r="422" spans="1:20" x14ac:dyDescent="0.25">
      <c r="A422" s="5">
        <v>44171</v>
      </c>
      <c r="B422">
        <v>3.6383999999999999</v>
      </c>
      <c r="C422">
        <v>3.6732999999999998</v>
      </c>
      <c r="D422">
        <v>3.5076999999999998</v>
      </c>
      <c r="E422">
        <v>3.6055000000000001</v>
      </c>
      <c r="F422">
        <v>198916.73</v>
      </c>
      <c r="G422">
        <v>0</v>
      </c>
      <c r="L422" t="s">
        <v>7</v>
      </c>
      <c r="M422" t="s">
        <v>7</v>
      </c>
      <c r="N422" t="s">
        <v>8</v>
      </c>
      <c r="P422">
        <f t="shared" si="975"/>
        <v>0.18115942028985929</v>
      </c>
      <c r="Q422">
        <f t="shared" si="976"/>
        <v>36035.639492754461</v>
      </c>
      <c r="R422">
        <f t="shared" si="977"/>
        <v>8477498.586351078</v>
      </c>
      <c r="S422">
        <f t="shared" si="978"/>
        <v>84.774985863510778</v>
      </c>
      <c r="T422">
        <f t="shared" si="979"/>
        <v>8.4774985863510774E-2</v>
      </c>
    </row>
    <row r="423" spans="1:20" x14ac:dyDescent="0.25">
      <c r="A423" s="5">
        <v>44170</v>
      </c>
      <c r="B423">
        <v>3.5337000000000001</v>
      </c>
      <c r="C423">
        <v>3.7181999999999999</v>
      </c>
      <c r="D423">
        <v>3.5059</v>
      </c>
      <c r="E423">
        <v>3.6381999999999999</v>
      </c>
      <c r="F423">
        <v>176697.58</v>
      </c>
      <c r="G423">
        <v>0</v>
      </c>
      <c r="L423" t="s">
        <v>7</v>
      </c>
      <c r="M423" t="s">
        <v>7</v>
      </c>
      <c r="N423" t="s">
        <v>8</v>
      </c>
      <c r="P423">
        <f t="shared" si="975"/>
        <v>0.24634950541686201</v>
      </c>
      <c r="Q423">
        <f t="shared" si="976"/>
        <v>43529.361441356406</v>
      </c>
      <c r="R423">
        <f t="shared" si="977"/>
        <v>8441462.9468583241</v>
      </c>
      <c r="S423">
        <f t="shared" si="978"/>
        <v>84.414629468583243</v>
      </c>
      <c r="T423">
        <f t="shared" si="979"/>
        <v>8.4414629468583247E-2</v>
      </c>
    </row>
    <row r="424" spans="1:20" x14ac:dyDescent="0.25">
      <c r="A424" s="5">
        <v>44169</v>
      </c>
      <c r="B424">
        <v>3.8075999999999999</v>
      </c>
      <c r="C424">
        <v>3.86</v>
      </c>
      <c r="D424">
        <v>3.5091000000000001</v>
      </c>
      <c r="E424">
        <v>3.5348000000000002</v>
      </c>
      <c r="F424">
        <v>306354.06</v>
      </c>
      <c r="G424">
        <v>0</v>
      </c>
      <c r="L424" t="s">
        <v>7</v>
      </c>
      <c r="M424" t="s">
        <v>7</v>
      </c>
      <c r="N424" t="s">
        <v>8</v>
      </c>
      <c r="P424">
        <f t="shared" si="975"/>
        <v>-0.85351952123111952</v>
      </c>
      <c r="Q424">
        <f t="shared" si="976"/>
        <v>-261479.17061840967</v>
      </c>
      <c r="R424">
        <f t="shared" si="977"/>
        <v>8397933.585416967</v>
      </c>
      <c r="S424">
        <f t="shared" si="978"/>
        <v>83.979335854169676</v>
      </c>
      <c r="T424">
        <f t="shared" si="979"/>
        <v>8.3979335854169682E-2</v>
      </c>
    </row>
    <row r="425" spans="1:20" x14ac:dyDescent="0.25">
      <c r="A425" s="5">
        <v>44168</v>
      </c>
      <c r="B425">
        <v>3.7383999999999999</v>
      </c>
      <c r="C425">
        <v>3.8965999999999998</v>
      </c>
      <c r="D425">
        <v>3.7103000000000002</v>
      </c>
      <c r="E425">
        <v>3.8123</v>
      </c>
      <c r="F425">
        <v>217818.87</v>
      </c>
      <c r="G425">
        <v>0</v>
      </c>
      <c r="L425" t="s">
        <v>8</v>
      </c>
      <c r="M425" t="s">
        <v>7</v>
      </c>
      <c r="N425" t="s">
        <v>8</v>
      </c>
      <c r="P425">
        <f t="shared" si="975"/>
        <v>9.5008051529791082E-2</v>
      </c>
      <c r="Q425">
        <f t="shared" si="976"/>
        <v>20694.546425120865</v>
      </c>
      <c r="R425">
        <f t="shared" si="977"/>
        <v>8659412.7560353763</v>
      </c>
      <c r="S425">
        <f t="shared" si="978"/>
        <v>86.594127560353769</v>
      </c>
      <c r="T425">
        <f t="shared" si="979"/>
        <v>8.659412756035377E-2</v>
      </c>
    </row>
    <row r="426" spans="1:20" x14ac:dyDescent="0.25">
      <c r="A426" s="5">
        <v>44167</v>
      </c>
      <c r="B426">
        <v>3.55</v>
      </c>
      <c r="C426">
        <v>3.8458000000000001</v>
      </c>
      <c r="D426">
        <v>3.5059</v>
      </c>
      <c r="E426">
        <v>3.74</v>
      </c>
      <c r="F426">
        <v>255368.39</v>
      </c>
      <c r="G426">
        <v>0</v>
      </c>
      <c r="L426" t="s">
        <v>8</v>
      </c>
      <c r="M426" t="s">
        <v>7</v>
      </c>
      <c r="N426" t="s">
        <v>8</v>
      </c>
      <c r="P426">
        <f t="shared" si="975"/>
        <v>0.37746395998823262</v>
      </c>
      <c r="Q426">
        <f t="shared" si="976"/>
        <v>96392.363745219394</v>
      </c>
      <c r="R426">
        <f t="shared" si="977"/>
        <v>8638718.2096102554</v>
      </c>
      <c r="S426">
        <f t="shared" si="978"/>
        <v>86.387182096102549</v>
      </c>
      <c r="T426">
        <f t="shared" si="979"/>
        <v>8.6387182096102549E-2</v>
      </c>
    </row>
    <row r="427" spans="1:20" x14ac:dyDescent="0.25">
      <c r="A427" s="5">
        <v>44166</v>
      </c>
      <c r="B427">
        <v>3.7044000000000001</v>
      </c>
      <c r="C427">
        <v>3.8128000000000002</v>
      </c>
      <c r="D427">
        <v>3.4500999999999999</v>
      </c>
      <c r="E427">
        <v>3.5543</v>
      </c>
      <c r="F427">
        <v>453003.61</v>
      </c>
      <c r="G427">
        <v>0</v>
      </c>
      <c r="L427" t="s">
        <v>7</v>
      </c>
      <c r="M427" t="s">
        <v>7</v>
      </c>
      <c r="N427" t="s">
        <v>8</v>
      </c>
      <c r="P427">
        <f t="shared" si="975"/>
        <v>-0.42542045767852221</v>
      </c>
      <c r="Q427">
        <f t="shared" si="976"/>
        <v>-192717.00309622279</v>
      </c>
      <c r="R427">
        <f t="shared" si="977"/>
        <v>8542325.8458650354</v>
      </c>
      <c r="S427">
        <f t="shared" si="978"/>
        <v>85.423258458650352</v>
      </c>
      <c r="T427">
        <f t="shared" si="979"/>
        <v>8.5423258458650356E-2</v>
      </c>
    </row>
    <row r="428" spans="1:20" x14ac:dyDescent="0.25">
      <c r="A428" s="5">
        <v>44165</v>
      </c>
      <c r="B428">
        <v>3.7124000000000001</v>
      </c>
      <c r="C428">
        <v>3.82</v>
      </c>
      <c r="D428">
        <v>3.6417999999999999</v>
      </c>
      <c r="E428">
        <v>3.7023999999999999</v>
      </c>
      <c r="F428">
        <v>266744.59999999998</v>
      </c>
      <c r="G428">
        <v>0</v>
      </c>
      <c r="L428" t="s">
        <v>8</v>
      </c>
      <c r="M428" t="s">
        <v>7</v>
      </c>
      <c r="N428" t="s">
        <v>8</v>
      </c>
      <c r="P428">
        <f t="shared" si="975"/>
        <v>-0.31986531986531969</v>
      </c>
      <c r="Q428">
        <f t="shared" si="976"/>
        <v>-85322.34680134675</v>
      </c>
      <c r="R428">
        <f t="shared" si="977"/>
        <v>8735042.8489612583</v>
      </c>
      <c r="S428">
        <f t="shared" si="978"/>
        <v>87.350428489612582</v>
      </c>
      <c r="T428">
        <f t="shared" si="979"/>
        <v>8.735042848961258E-2</v>
      </c>
    </row>
    <row r="429" spans="1:20" x14ac:dyDescent="0.25">
      <c r="A429" s="5">
        <v>44164</v>
      </c>
      <c r="B429">
        <v>3.6299000000000001</v>
      </c>
      <c r="C429">
        <v>3.7662</v>
      </c>
      <c r="D429">
        <v>3.5310000000000001</v>
      </c>
      <c r="E429">
        <v>3.7012999999999998</v>
      </c>
      <c r="F429">
        <v>222772.03</v>
      </c>
      <c r="G429">
        <v>0</v>
      </c>
      <c r="L429" t="s">
        <v>8</v>
      </c>
      <c r="M429" t="s">
        <v>7</v>
      </c>
      <c r="N429" t="s">
        <v>8</v>
      </c>
      <c r="P429">
        <f t="shared" si="975"/>
        <v>0.44812925170067841</v>
      </c>
      <c r="Q429">
        <f t="shared" si="976"/>
        <v>99830.663103741084</v>
      </c>
      <c r="R429">
        <f t="shared" si="977"/>
        <v>8820365.1957626045</v>
      </c>
      <c r="S429">
        <f t="shared" si="978"/>
        <v>88.20365195762605</v>
      </c>
      <c r="T429">
        <f t="shared" si="979"/>
        <v>8.8203651957626056E-2</v>
      </c>
    </row>
    <row r="430" spans="1:20" x14ac:dyDescent="0.25">
      <c r="A430" s="5">
        <v>44163</v>
      </c>
      <c r="B430">
        <v>3.5903</v>
      </c>
      <c r="C430">
        <v>3.6998000000000002</v>
      </c>
      <c r="D430">
        <v>3.4752000000000001</v>
      </c>
      <c r="E430">
        <v>3.6271</v>
      </c>
      <c r="F430">
        <v>256600.45</v>
      </c>
      <c r="G430">
        <v>0</v>
      </c>
      <c r="L430" t="s">
        <v>7</v>
      </c>
      <c r="M430" t="s">
        <v>7</v>
      </c>
      <c r="N430" t="s">
        <v>8</v>
      </c>
      <c r="P430">
        <f t="shared" si="975"/>
        <v>0.35262689225289257</v>
      </c>
      <c r="Q430">
        <f t="shared" si="976"/>
        <v>90484.219234193748</v>
      </c>
      <c r="R430">
        <f t="shared" si="977"/>
        <v>8720534.5326588638</v>
      </c>
      <c r="S430">
        <f t="shared" si="978"/>
        <v>87.205345326588642</v>
      </c>
      <c r="T430">
        <f t="shared" si="979"/>
        <v>8.7205345326588649E-2</v>
      </c>
    </row>
    <row r="431" spans="1:20" x14ac:dyDescent="0.25">
      <c r="A431" s="5">
        <v>44162</v>
      </c>
      <c r="B431">
        <v>3.5398999999999998</v>
      </c>
      <c r="C431">
        <v>3.7581000000000002</v>
      </c>
      <c r="D431">
        <v>3.4178000000000002</v>
      </c>
      <c r="E431">
        <v>3.5941999999999998</v>
      </c>
      <c r="F431">
        <v>382067.49</v>
      </c>
      <c r="G431">
        <v>0</v>
      </c>
      <c r="L431" t="s">
        <v>8</v>
      </c>
      <c r="M431" t="s">
        <v>7</v>
      </c>
      <c r="N431" t="s">
        <v>8</v>
      </c>
      <c r="P431">
        <f t="shared" si="975"/>
        <v>3.673229503379162E-2</v>
      </c>
      <c r="Q431">
        <f t="shared" si="976"/>
        <v>14034.215765500228</v>
      </c>
      <c r="R431">
        <f t="shared" si="977"/>
        <v>8630050.3134246692</v>
      </c>
      <c r="S431">
        <f t="shared" si="978"/>
        <v>86.300503134246696</v>
      </c>
      <c r="T431">
        <f t="shared" si="979"/>
        <v>8.6300503134246698E-2</v>
      </c>
    </row>
    <row r="432" spans="1:20" x14ac:dyDescent="0.25">
      <c r="A432" s="5">
        <v>44161</v>
      </c>
      <c r="B432">
        <v>4.0362999999999998</v>
      </c>
      <c r="C432">
        <v>4.0890000000000004</v>
      </c>
      <c r="D432">
        <v>3.28</v>
      </c>
      <c r="E432">
        <v>3.5447000000000002</v>
      </c>
      <c r="F432">
        <v>1011308.69</v>
      </c>
      <c r="G432">
        <v>0</v>
      </c>
      <c r="L432" t="s">
        <v>7</v>
      </c>
      <c r="M432" t="s">
        <v>7</v>
      </c>
      <c r="N432" t="s">
        <v>8</v>
      </c>
      <c r="P432">
        <f t="shared" si="975"/>
        <v>-0.34561186650185372</v>
      </c>
      <c r="Q432">
        <f t="shared" si="976"/>
        <v>-349520.28396044456</v>
      </c>
      <c r="R432">
        <f t="shared" si="977"/>
        <v>8616016.0976591688</v>
      </c>
      <c r="S432">
        <f t="shared" si="978"/>
        <v>86.160160976591683</v>
      </c>
      <c r="T432">
        <f t="shared" si="979"/>
        <v>8.6160160976591682E-2</v>
      </c>
    </row>
    <row r="433" spans="1:20" x14ac:dyDescent="0.25">
      <c r="A433" s="5">
        <v>44160</v>
      </c>
      <c r="B433">
        <v>4.26</v>
      </c>
      <c r="C433">
        <v>4.3989000000000003</v>
      </c>
      <c r="D433">
        <v>3.9001000000000001</v>
      </c>
      <c r="E433">
        <v>4.0453000000000001</v>
      </c>
      <c r="F433">
        <v>763623.28</v>
      </c>
      <c r="G433">
        <v>0</v>
      </c>
      <c r="L433" t="s">
        <v>7</v>
      </c>
      <c r="M433" t="s">
        <v>8</v>
      </c>
      <c r="N433" t="s">
        <v>8</v>
      </c>
      <c r="P433">
        <f t="shared" si="975"/>
        <v>-0.41780272654370504</v>
      </c>
      <c r="Q433">
        <f t="shared" si="976"/>
        <v>-319043.88843624713</v>
      </c>
      <c r="R433">
        <f t="shared" si="977"/>
        <v>8965536.3816196136</v>
      </c>
      <c r="S433">
        <f t="shared" si="978"/>
        <v>89.655363816196143</v>
      </c>
      <c r="T433">
        <f t="shared" si="979"/>
        <v>8.965536381619614E-2</v>
      </c>
    </row>
    <row r="434" spans="1:20" x14ac:dyDescent="0.25">
      <c r="A434" s="5">
        <v>44159</v>
      </c>
      <c r="B434">
        <v>4.0747999999999998</v>
      </c>
      <c r="C434">
        <v>4.3334000000000001</v>
      </c>
      <c r="D434">
        <v>3.8650000000000002</v>
      </c>
      <c r="E434">
        <v>4.26</v>
      </c>
      <c r="F434">
        <v>855854.35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0.68659265584969953</v>
      </c>
      <c r="Q434">
        <f t="shared" si="976"/>
        <v>587623.31118701829</v>
      </c>
      <c r="R434">
        <f t="shared" si="977"/>
        <v>9284580.2700558603</v>
      </c>
      <c r="S434">
        <f t="shared" si="978"/>
        <v>92.845802700558608</v>
      </c>
      <c r="T434">
        <f t="shared" si="979"/>
        <v>9.2845802700558602E-2</v>
      </c>
    </row>
    <row r="435" spans="1:20" x14ac:dyDescent="0.25">
      <c r="A435" s="5">
        <v>44158</v>
      </c>
      <c r="B435">
        <v>3.9066000000000001</v>
      </c>
      <c r="C435">
        <v>4.2575000000000003</v>
      </c>
      <c r="D435">
        <v>3.8519000000000001</v>
      </c>
      <c r="E435">
        <v>4.0747</v>
      </c>
      <c r="F435">
        <v>611842.99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9.8619329388559107E-2</v>
      </c>
      <c r="Q435">
        <f t="shared" si="976"/>
        <v>60339.545364890873</v>
      </c>
      <c r="R435">
        <f t="shared" si="977"/>
        <v>8696956.9588688426</v>
      </c>
      <c r="S435">
        <f t="shared" si="978"/>
        <v>86.969569588688429</v>
      </c>
      <c r="T435">
        <f t="shared" si="979"/>
        <v>8.6969569588688428E-2</v>
      </c>
    </row>
    <row r="436" spans="1:20" x14ac:dyDescent="0.25">
      <c r="A436" s="5">
        <v>44157</v>
      </c>
      <c r="B436">
        <v>4.0290999999999997</v>
      </c>
      <c r="C436">
        <v>4.0602</v>
      </c>
      <c r="D436">
        <v>3.71</v>
      </c>
      <c r="E436">
        <v>3.8892000000000002</v>
      </c>
      <c r="F436">
        <v>562448.53</v>
      </c>
      <c r="G436">
        <v>0</v>
      </c>
      <c r="L436" t="s">
        <v>7</v>
      </c>
      <c r="M436" t="s">
        <v>8</v>
      </c>
      <c r="N436" t="s">
        <v>7</v>
      </c>
      <c r="P436">
        <f t="shared" si="975"/>
        <v>2.3415191319247367E-2</v>
      </c>
      <c r="Q436">
        <f t="shared" si="976"/>
        <v>13169.839937179442</v>
      </c>
      <c r="R436">
        <f t="shared" si="977"/>
        <v>8636617.4135039523</v>
      </c>
      <c r="S436">
        <f t="shared" si="978"/>
        <v>86.366174135039529</v>
      </c>
      <c r="T436">
        <f t="shared" si="979"/>
        <v>8.6366174135039525E-2</v>
      </c>
    </row>
    <row r="437" spans="1:20" x14ac:dyDescent="0.25">
      <c r="A437" s="5">
        <v>44156</v>
      </c>
      <c r="B437">
        <v>3.7124000000000001</v>
      </c>
      <c r="C437">
        <v>4.0983000000000001</v>
      </c>
      <c r="D437">
        <v>3.67</v>
      </c>
      <c r="E437">
        <v>4.0281000000000002</v>
      </c>
      <c r="F437">
        <v>557225</v>
      </c>
      <c r="G437">
        <v>0</v>
      </c>
      <c r="L437" t="s">
        <v>8</v>
      </c>
      <c r="M437" t="s">
        <v>8</v>
      </c>
      <c r="N437" t="s">
        <v>7</v>
      </c>
      <c r="P437">
        <f t="shared" si="975"/>
        <v>0.67219238851272567</v>
      </c>
      <c r="Q437">
        <f t="shared" si="976"/>
        <v>374562.40368900355</v>
      </c>
      <c r="R437">
        <f t="shared" si="977"/>
        <v>8623447.573566772</v>
      </c>
      <c r="S437">
        <f t="shared" si="978"/>
        <v>86.234475735667715</v>
      </c>
      <c r="T437">
        <f t="shared" si="979"/>
        <v>8.6234475735667712E-2</v>
      </c>
    </row>
    <row r="438" spans="1:20" x14ac:dyDescent="0.25">
      <c r="A438" s="5">
        <v>44155</v>
      </c>
      <c r="B438">
        <v>3.6432000000000002</v>
      </c>
      <c r="C438">
        <v>4.0110999999999999</v>
      </c>
      <c r="D438">
        <v>3.6223999999999998</v>
      </c>
      <c r="E438">
        <v>3.7149999999999999</v>
      </c>
      <c r="F438">
        <v>657029.12</v>
      </c>
      <c r="G438">
        <v>0</v>
      </c>
      <c r="L438" t="s">
        <v>8</v>
      </c>
      <c r="M438" t="s">
        <v>8</v>
      </c>
      <c r="N438" t="s">
        <v>7</v>
      </c>
      <c r="P438">
        <f t="shared" si="975"/>
        <v>-0.52354000514535626</v>
      </c>
      <c r="Q438">
        <f t="shared" si="976"/>
        <v>-343981.0288654489</v>
      </c>
      <c r="R438">
        <f t="shared" si="977"/>
        <v>8248885.1698777676</v>
      </c>
      <c r="S438">
        <f t="shared" si="978"/>
        <v>82.48885169877768</v>
      </c>
      <c r="T438">
        <f t="shared" si="979"/>
        <v>8.2488851698777677E-2</v>
      </c>
    </row>
    <row r="439" spans="1:20" x14ac:dyDescent="0.25">
      <c r="A439" s="5">
        <v>44154</v>
      </c>
      <c r="B439">
        <v>3.7498</v>
      </c>
      <c r="C439">
        <v>3.8271999999999999</v>
      </c>
      <c r="D439">
        <v>3.5562999999999998</v>
      </c>
      <c r="E439">
        <v>3.6398999999999999</v>
      </c>
      <c r="F439">
        <v>386309.17</v>
      </c>
      <c r="G439">
        <v>0</v>
      </c>
      <c r="L439" t="s">
        <v>8</v>
      </c>
      <c r="M439" t="s">
        <v>8</v>
      </c>
      <c r="N439" t="s">
        <v>7</v>
      </c>
      <c r="P439">
        <f t="shared" si="975"/>
        <v>-0.38279808047249853</v>
      </c>
      <c r="Q439">
        <f t="shared" si="976"/>
        <v>-147878.40874492412</v>
      </c>
      <c r="R439">
        <f t="shared" si="977"/>
        <v>8592866.1987432167</v>
      </c>
      <c r="S439">
        <f t="shared" si="978"/>
        <v>85.928661987432164</v>
      </c>
      <c r="T439">
        <f t="shared" si="979"/>
        <v>8.5928661987432167E-2</v>
      </c>
    </row>
    <row r="440" spans="1:20" x14ac:dyDescent="0.25">
      <c r="A440" s="5">
        <v>44153</v>
      </c>
      <c r="B440">
        <v>3.8475999999999999</v>
      </c>
      <c r="C440">
        <v>3.8738999999999999</v>
      </c>
      <c r="D440">
        <v>3.55</v>
      </c>
      <c r="E440">
        <v>3.7444999999999999</v>
      </c>
      <c r="F440">
        <v>531913.49</v>
      </c>
      <c r="G440">
        <v>0</v>
      </c>
      <c r="L440" t="s">
        <v>7</v>
      </c>
      <c r="M440" t="s">
        <v>8</v>
      </c>
      <c r="N440" t="s">
        <v>7</v>
      </c>
      <c r="P440">
        <f t="shared" si="975"/>
        <v>0.2009879592466815</v>
      </c>
      <c r="Q440">
        <f t="shared" si="976"/>
        <v>106908.20685088013</v>
      </c>
      <c r="R440">
        <f t="shared" si="977"/>
        <v>8740744.6074881405</v>
      </c>
      <c r="S440">
        <f t="shared" si="978"/>
        <v>87.407446074881406</v>
      </c>
      <c r="T440">
        <f t="shared" si="979"/>
        <v>8.7407446074881406E-2</v>
      </c>
    </row>
    <row r="441" spans="1:20" x14ac:dyDescent="0.25">
      <c r="A441" s="5">
        <v>44152</v>
      </c>
      <c r="B441">
        <v>3.7061999999999999</v>
      </c>
      <c r="C441">
        <v>3.9333</v>
      </c>
      <c r="D441">
        <v>3.6880999999999999</v>
      </c>
      <c r="E441">
        <v>3.8355000000000001</v>
      </c>
      <c r="F441">
        <v>490826.18</v>
      </c>
      <c r="G441">
        <v>0</v>
      </c>
      <c r="L441" t="s">
        <v>8</v>
      </c>
      <c r="M441" t="s">
        <v>8</v>
      </c>
      <c r="N441" t="s">
        <v>7</v>
      </c>
      <c r="P441">
        <f t="shared" si="975"/>
        <v>0.20228384991843512</v>
      </c>
      <c r="Q441">
        <f t="shared" si="976"/>
        <v>99286.209331158825</v>
      </c>
      <c r="R441">
        <f t="shared" si="977"/>
        <v>8633836.4006372597</v>
      </c>
      <c r="S441">
        <f t="shared" si="978"/>
        <v>86.338364006372601</v>
      </c>
      <c r="T441">
        <f t="shared" si="979"/>
        <v>8.6338364006372598E-2</v>
      </c>
    </row>
    <row r="442" spans="1:20" x14ac:dyDescent="0.25">
      <c r="A442" s="5">
        <v>44151</v>
      </c>
      <c r="B442">
        <v>3.5348000000000002</v>
      </c>
      <c r="C442">
        <v>3.82</v>
      </c>
      <c r="D442">
        <v>3.4550000000000001</v>
      </c>
      <c r="E442">
        <v>3.7</v>
      </c>
      <c r="F442">
        <v>658000.76</v>
      </c>
      <c r="G442">
        <v>0</v>
      </c>
      <c r="L442" t="s">
        <v>8</v>
      </c>
      <c r="M442" t="s">
        <v>8</v>
      </c>
      <c r="N442" t="s">
        <v>7</v>
      </c>
      <c r="P442">
        <f t="shared" si="975"/>
        <v>0.34246575342465896</v>
      </c>
      <c r="Q442">
        <f t="shared" si="976"/>
        <v>225342.7260273982</v>
      </c>
      <c r="R442">
        <f t="shared" si="977"/>
        <v>8534550.1913061012</v>
      </c>
      <c r="S442">
        <f t="shared" si="978"/>
        <v>85.345501913061014</v>
      </c>
      <c r="T442">
        <f t="shared" si="979"/>
        <v>8.534550191306102E-2</v>
      </c>
    </row>
    <row r="443" spans="1:20" x14ac:dyDescent="0.25">
      <c r="A443" s="5">
        <v>44150</v>
      </c>
      <c r="B443">
        <v>3.484</v>
      </c>
      <c r="C443">
        <v>3.6415000000000002</v>
      </c>
      <c r="D443">
        <v>3.4100999999999999</v>
      </c>
      <c r="E443">
        <v>3.5453000000000001</v>
      </c>
      <c r="F443">
        <v>438362.91</v>
      </c>
      <c r="G443">
        <v>0</v>
      </c>
      <c r="L443" t="s">
        <v>8</v>
      </c>
      <c r="M443" t="s">
        <v>8</v>
      </c>
      <c r="N443" t="s">
        <v>7</v>
      </c>
      <c r="P443">
        <f t="shared" si="975"/>
        <v>0.16853932584269707</v>
      </c>
      <c r="Q443">
        <f t="shared" si="976"/>
        <v>73881.389325842887</v>
      </c>
      <c r="R443">
        <f t="shared" si="977"/>
        <v>8309207.4652787037</v>
      </c>
      <c r="S443">
        <f t="shared" si="978"/>
        <v>83.092074652787034</v>
      </c>
      <c r="T443">
        <f t="shared" si="979"/>
        <v>8.3092074652787035E-2</v>
      </c>
    </row>
    <row r="444" spans="1:20" x14ac:dyDescent="0.25">
      <c r="A444" s="5">
        <v>44149</v>
      </c>
      <c r="B444">
        <v>3.6779000000000002</v>
      </c>
      <c r="C444">
        <v>3.7042000000000002</v>
      </c>
      <c r="D444">
        <v>3.3959999999999999</v>
      </c>
      <c r="E444">
        <v>3.4893999999999998</v>
      </c>
      <c r="F444">
        <v>443020.54</v>
      </c>
      <c r="G444">
        <v>0</v>
      </c>
      <c r="L444" t="s">
        <v>7</v>
      </c>
      <c r="M444" t="s">
        <v>8</v>
      </c>
      <c r="N444" t="s">
        <v>7</v>
      </c>
      <c r="P444">
        <f t="shared" si="975"/>
        <v>-0.39390006489292761</v>
      </c>
      <c r="Q444">
        <f t="shared" si="976"/>
        <v>-174505.81945489981</v>
      </c>
      <c r="R444">
        <f t="shared" si="977"/>
        <v>8235326.0759528605</v>
      </c>
      <c r="S444">
        <f t="shared" si="978"/>
        <v>82.353260759528609</v>
      </c>
      <c r="T444">
        <f t="shared" si="979"/>
        <v>8.2353260759528604E-2</v>
      </c>
    </row>
    <row r="445" spans="1:20" x14ac:dyDescent="0.25">
      <c r="A445" s="5">
        <v>44148</v>
      </c>
      <c r="B445">
        <v>3.4268000000000001</v>
      </c>
      <c r="C445">
        <v>3.7018</v>
      </c>
      <c r="D445">
        <v>3.3910999999999998</v>
      </c>
      <c r="E445">
        <v>3.6745000000000001</v>
      </c>
      <c r="F445">
        <v>585394.03</v>
      </c>
      <c r="G445">
        <v>0</v>
      </c>
      <c r="L445" t="s">
        <v>8</v>
      </c>
      <c r="M445" t="s">
        <v>8</v>
      </c>
      <c r="N445" t="s">
        <v>7</v>
      </c>
      <c r="P445">
        <f t="shared" si="975"/>
        <v>0.82426778242677912</v>
      </c>
      <c r="Q445">
        <f t="shared" si="976"/>
        <v>482521.43895397545</v>
      </c>
      <c r="R445">
        <f t="shared" si="977"/>
        <v>8409831.8954077605</v>
      </c>
      <c r="S445">
        <f t="shared" si="978"/>
        <v>84.098318954077598</v>
      </c>
      <c r="T445">
        <f t="shared" si="979"/>
        <v>8.40983189540776E-2</v>
      </c>
    </row>
    <row r="446" spans="1:20" x14ac:dyDescent="0.25">
      <c r="A446" s="5">
        <v>44147</v>
      </c>
      <c r="B446">
        <v>3.4918</v>
      </c>
      <c r="C446">
        <v>3.5691000000000002</v>
      </c>
      <c r="D446">
        <v>3.32</v>
      </c>
      <c r="E446">
        <v>3.4243000000000001</v>
      </c>
      <c r="F446">
        <v>314355.65000000002</v>
      </c>
      <c r="G446">
        <v>0</v>
      </c>
      <c r="L446" t="s">
        <v>7</v>
      </c>
      <c r="M446" t="s">
        <v>8</v>
      </c>
      <c r="N446" t="s">
        <v>7</v>
      </c>
      <c r="P446">
        <f t="shared" si="975"/>
        <v>-0.16258530710557892</v>
      </c>
      <c r="Q446">
        <f t="shared" si="976"/>
        <v>-51109.609895623886</v>
      </c>
      <c r="R446">
        <f t="shared" si="977"/>
        <v>7927310.4564537853</v>
      </c>
      <c r="S446">
        <f t="shared" si="978"/>
        <v>79.27310456453786</v>
      </c>
      <c r="T446">
        <f t="shared" si="979"/>
        <v>7.9273104564537858E-2</v>
      </c>
    </row>
    <row r="447" spans="1:20" x14ac:dyDescent="0.25">
      <c r="A447" s="5">
        <v>44146</v>
      </c>
      <c r="B447">
        <v>3.5775000000000001</v>
      </c>
      <c r="C447">
        <v>3.82</v>
      </c>
      <c r="D447">
        <v>3.46</v>
      </c>
      <c r="E447">
        <v>3.4842</v>
      </c>
      <c r="F447">
        <v>389355.68</v>
      </c>
      <c r="G447">
        <v>0</v>
      </c>
      <c r="L447" t="s">
        <v>8</v>
      </c>
      <c r="M447" t="s">
        <v>8</v>
      </c>
      <c r="N447" t="s">
        <v>7</v>
      </c>
      <c r="P447">
        <f t="shared" si="975"/>
        <v>-0.86555555555555552</v>
      </c>
      <c r="Q447">
        <f t="shared" si="976"/>
        <v>-337008.97191111109</v>
      </c>
      <c r="R447">
        <f t="shared" si="977"/>
        <v>7978420.0663494095</v>
      </c>
      <c r="S447">
        <f t="shared" si="978"/>
        <v>79.78420066349409</v>
      </c>
      <c r="T447">
        <f t="shared" si="979"/>
        <v>7.9784200663494093E-2</v>
      </c>
    </row>
    <row r="448" spans="1:20" x14ac:dyDescent="0.25">
      <c r="A448" s="5">
        <v>44145</v>
      </c>
      <c r="B448">
        <v>3.4209999999999998</v>
      </c>
      <c r="C448">
        <v>3.63</v>
      </c>
      <c r="D448">
        <v>3.3690000000000002</v>
      </c>
      <c r="E448">
        <v>3.5712999999999999</v>
      </c>
      <c r="F448">
        <v>482731.01</v>
      </c>
      <c r="G448">
        <v>0</v>
      </c>
      <c r="L448" t="s">
        <v>8</v>
      </c>
      <c r="M448" t="s">
        <v>8</v>
      </c>
      <c r="N448" t="s">
        <v>7</v>
      </c>
      <c r="P448">
        <f t="shared" si="975"/>
        <v>0.55019157088122572</v>
      </c>
      <c r="Q448">
        <f t="shared" si="976"/>
        <v>265594.53270498069</v>
      </c>
      <c r="R448">
        <f t="shared" si="977"/>
        <v>8315429.0382605204</v>
      </c>
      <c r="S448">
        <f t="shared" si="978"/>
        <v>83.154290382605211</v>
      </c>
      <c r="T448">
        <f t="shared" si="979"/>
        <v>8.3154290382605217E-2</v>
      </c>
    </row>
    <row r="449" spans="1:20" x14ac:dyDescent="0.25">
      <c r="A449" s="5">
        <v>44144</v>
      </c>
      <c r="B449">
        <v>3.4674</v>
      </c>
      <c r="C449">
        <v>3.5398999999999998</v>
      </c>
      <c r="D449">
        <v>3.2618999999999998</v>
      </c>
      <c r="E449">
        <v>3.4125000000000001</v>
      </c>
      <c r="F449">
        <v>534923.49</v>
      </c>
      <c r="G449">
        <v>0</v>
      </c>
      <c r="L449" t="s">
        <v>7</v>
      </c>
      <c r="M449" t="s">
        <v>8</v>
      </c>
      <c r="N449" t="s">
        <v>7</v>
      </c>
      <c r="P449">
        <f t="shared" si="975"/>
        <v>8.3453237410073933E-2</v>
      </c>
      <c r="Q449">
        <f t="shared" si="976"/>
        <v>44641.097007195305</v>
      </c>
      <c r="R449">
        <f t="shared" si="977"/>
        <v>8049834.5055555394</v>
      </c>
      <c r="S449">
        <f t="shared" si="978"/>
        <v>80.49834505555539</v>
      </c>
      <c r="T449">
        <f t="shared" si="979"/>
        <v>8.0498345055555393E-2</v>
      </c>
    </row>
    <row r="450" spans="1:20" x14ac:dyDescent="0.25">
      <c r="A450" s="5">
        <v>44143</v>
      </c>
      <c r="B450">
        <v>3.4093</v>
      </c>
      <c r="C450">
        <v>3.67</v>
      </c>
      <c r="D450">
        <v>3.3613</v>
      </c>
      <c r="E450">
        <v>3.4754</v>
      </c>
      <c r="F450">
        <v>543130.62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-0.26077097505668867</v>
      </c>
      <c r="Q450">
        <f t="shared" si="976"/>
        <v>-141632.70136054384</v>
      </c>
      <c r="R450">
        <f t="shared" si="977"/>
        <v>8005193.4085483439</v>
      </c>
      <c r="S450">
        <f t="shared" si="978"/>
        <v>80.051934085483438</v>
      </c>
      <c r="T450">
        <f t="shared" si="979"/>
        <v>8.0051934085483445E-2</v>
      </c>
    </row>
    <row r="451" spans="1:20" x14ac:dyDescent="0.25">
      <c r="A451" s="5">
        <v>44142</v>
      </c>
      <c r="B451">
        <v>3.5939999999999999</v>
      </c>
      <c r="C451">
        <v>3.9192999999999998</v>
      </c>
      <c r="D451">
        <v>3.37</v>
      </c>
      <c r="E451">
        <v>3.4125999999999999</v>
      </c>
      <c r="F451">
        <v>832528.78</v>
      </c>
      <c r="G451">
        <v>0</v>
      </c>
      <c r="L451" t="s">
        <v>8</v>
      </c>
      <c r="M451" t="s">
        <v>8</v>
      </c>
      <c r="N451" t="s">
        <v>7</v>
      </c>
      <c r="P451">
        <f t="shared" si="975"/>
        <v>-0.84489350081922532</v>
      </c>
      <c r="Q451">
        <f t="shared" si="976"/>
        <v>-703398.15546695865</v>
      </c>
      <c r="R451">
        <f t="shared" si="977"/>
        <v>8146826.1099088881</v>
      </c>
      <c r="S451">
        <f t="shared" si="978"/>
        <v>81.468261099088878</v>
      </c>
      <c r="T451">
        <f t="shared" si="979"/>
        <v>8.1468261099088876E-2</v>
      </c>
    </row>
    <row r="452" spans="1:20" x14ac:dyDescent="0.25">
      <c r="A452" s="5">
        <v>44141</v>
      </c>
      <c r="B452">
        <v>3.335</v>
      </c>
      <c r="C452">
        <v>3.6665999999999999</v>
      </c>
      <c r="D452">
        <v>3.3193999999999999</v>
      </c>
      <c r="E452">
        <v>3.5912999999999999</v>
      </c>
      <c r="F452">
        <v>910038.31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0.56624423963133674</v>
      </c>
      <c r="Q452">
        <f t="shared" si="976"/>
        <v>515303.95088133676</v>
      </c>
      <c r="R452">
        <f t="shared" si="977"/>
        <v>8850224.265375847</v>
      </c>
      <c r="S452">
        <f t="shared" si="978"/>
        <v>88.502242653758472</v>
      </c>
      <c r="T452">
        <f t="shared" si="979"/>
        <v>8.8502242653758473E-2</v>
      </c>
    </row>
    <row r="453" spans="1:20" x14ac:dyDescent="0.25">
      <c r="A453" s="5">
        <v>44140</v>
      </c>
      <c r="B453">
        <v>3.1736</v>
      </c>
      <c r="C453">
        <v>3.3841000000000001</v>
      </c>
      <c r="D453">
        <v>3.0211000000000001</v>
      </c>
      <c r="E453">
        <v>3.3348</v>
      </c>
      <c r="F453">
        <v>644688.78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0.72837465564738224</v>
      </c>
      <c r="Q453">
        <f t="shared" si="976"/>
        <v>469574.96813223098</v>
      </c>
      <c r="R453">
        <f t="shared" si="977"/>
        <v>8334920.3144945111</v>
      </c>
      <c r="S453">
        <f t="shared" si="978"/>
        <v>83.349203144945108</v>
      </c>
      <c r="T453">
        <f t="shared" si="979"/>
        <v>8.3349203144945108E-2</v>
      </c>
    </row>
    <row r="454" spans="1:20" x14ac:dyDescent="0.25">
      <c r="A454" s="5">
        <v>44139</v>
      </c>
      <c r="B454">
        <v>3.3298999999999999</v>
      </c>
      <c r="C454">
        <v>3.3759000000000001</v>
      </c>
      <c r="D454">
        <v>3</v>
      </c>
      <c r="E454">
        <v>3.1718000000000002</v>
      </c>
      <c r="F454">
        <v>466205.93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-8.5927108273476355E-2</v>
      </c>
      <c r="Q454">
        <f t="shared" ref="Q454:Q517" si="981">F454*P454</f>
        <v>-40059.727424846737</v>
      </c>
      <c r="R454">
        <f t="shared" ref="R454:R517" si="982">R455+Q454</f>
        <v>7865345.3463622797</v>
      </c>
      <c r="S454">
        <f t="shared" ref="S454:S517" si="983">R454/100000</f>
        <v>78.653453463622796</v>
      </c>
      <c r="T454">
        <f t="shared" ref="T454:T517" si="984">S454/1000</f>
        <v>7.8653453463622791E-2</v>
      </c>
    </row>
    <row r="455" spans="1:20" x14ac:dyDescent="0.25">
      <c r="A455" s="5">
        <v>44138</v>
      </c>
      <c r="B455">
        <v>3.6173999999999999</v>
      </c>
      <c r="C455">
        <v>3.6513</v>
      </c>
      <c r="D455">
        <v>3.2368000000000001</v>
      </c>
      <c r="E455">
        <v>3.323</v>
      </c>
      <c r="F455">
        <v>664899.75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-0.58407720144752784</v>
      </c>
      <c r="Q455">
        <f t="shared" si="981"/>
        <v>-388352.78522316087</v>
      </c>
      <c r="R455">
        <f t="shared" si="982"/>
        <v>7905405.0737871267</v>
      </c>
      <c r="S455">
        <f t="shared" si="983"/>
        <v>79.054050737871265</v>
      </c>
      <c r="T455">
        <f t="shared" si="984"/>
        <v>7.9054050737871265E-2</v>
      </c>
    </row>
    <row r="456" spans="1:20" x14ac:dyDescent="0.25">
      <c r="A456" s="5">
        <v>44137</v>
      </c>
      <c r="B456">
        <v>3.6850999999999998</v>
      </c>
      <c r="C456">
        <v>3.8774999999999999</v>
      </c>
      <c r="D456">
        <v>3.6145</v>
      </c>
      <c r="E456">
        <v>3.617</v>
      </c>
      <c r="F456">
        <v>322604.28000000003</v>
      </c>
      <c r="G456">
        <v>0</v>
      </c>
      <c r="L456" t="s">
        <v>8</v>
      </c>
      <c r="M456" t="s">
        <v>7</v>
      </c>
      <c r="N456" t="s">
        <v>8</v>
      </c>
      <c r="P456">
        <f t="shared" si="980"/>
        <v>-0.98098859315589393</v>
      </c>
      <c r="Q456">
        <f t="shared" si="981"/>
        <v>-316471.11878327013</v>
      </c>
      <c r="R456">
        <f t="shared" si="982"/>
        <v>8293757.8590102876</v>
      </c>
      <c r="S456">
        <f t="shared" si="983"/>
        <v>82.937578590102873</v>
      </c>
      <c r="T456">
        <f t="shared" si="984"/>
        <v>8.2937578590102867E-2</v>
      </c>
    </row>
    <row r="457" spans="1:20" x14ac:dyDescent="0.25">
      <c r="A457" s="5">
        <v>44136</v>
      </c>
      <c r="B457">
        <v>3.6355</v>
      </c>
      <c r="C457">
        <v>3.7141999999999999</v>
      </c>
      <c r="D457">
        <v>3.5520999999999998</v>
      </c>
      <c r="E457">
        <v>3.6814</v>
      </c>
      <c r="F457">
        <v>295468.18</v>
      </c>
      <c r="G457">
        <v>0</v>
      </c>
      <c r="L457" t="s">
        <v>7</v>
      </c>
      <c r="M457" t="s">
        <v>7</v>
      </c>
      <c r="N457" t="s">
        <v>8</v>
      </c>
      <c r="P457">
        <f t="shared" si="980"/>
        <v>0.59531153608883514</v>
      </c>
      <c r="Q457">
        <f t="shared" si="981"/>
        <v>175895.61610117243</v>
      </c>
      <c r="R457">
        <f t="shared" si="982"/>
        <v>8610228.9777935576</v>
      </c>
      <c r="S457">
        <f t="shared" si="983"/>
        <v>86.102289777935582</v>
      </c>
      <c r="T457">
        <f t="shared" si="984"/>
        <v>8.6102289777935576E-2</v>
      </c>
    </row>
    <row r="458" spans="1:20" x14ac:dyDescent="0.25">
      <c r="A458" s="5">
        <v>44135</v>
      </c>
      <c r="B458">
        <v>3.7115999999999998</v>
      </c>
      <c r="C458">
        <v>3.7612000000000001</v>
      </c>
      <c r="D458">
        <v>3.5876000000000001</v>
      </c>
      <c r="E458">
        <v>3.6456</v>
      </c>
      <c r="F458">
        <v>346114.94</v>
      </c>
      <c r="G458">
        <v>0</v>
      </c>
      <c r="L458" t="s">
        <v>7</v>
      </c>
      <c r="M458" t="s">
        <v>7</v>
      </c>
      <c r="N458" t="s">
        <v>8</v>
      </c>
      <c r="P458">
        <f t="shared" si="980"/>
        <v>-0.33179723502304337</v>
      </c>
      <c r="Q458">
        <f t="shared" si="981"/>
        <v>-114839.98009216656</v>
      </c>
      <c r="R458">
        <f t="shared" si="982"/>
        <v>8434333.3616923857</v>
      </c>
      <c r="S458">
        <f t="shared" si="983"/>
        <v>84.343333616923857</v>
      </c>
      <c r="T458">
        <f t="shared" si="984"/>
        <v>8.4343333616923852E-2</v>
      </c>
    </row>
    <row r="459" spans="1:20" x14ac:dyDescent="0.25">
      <c r="A459" s="5">
        <v>44134</v>
      </c>
      <c r="B459">
        <v>3.7744</v>
      </c>
      <c r="C459">
        <v>3.8226</v>
      </c>
      <c r="D459">
        <v>3.5781000000000001</v>
      </c>
      <c r="E459">
        <v>3.7223999999999999</v>
      </c>
      <c r="F459">
        <v>850092.33</v>
      </c>
      <c r="G459">
        <v>0</v>
      </c>
      <c r="L459" t="s">
        <v>7</v>
      </c>
      <c r="M459" t="s">
        <v>7</v>
      </c>
      <c r="N459" t="s">
        <v>8</v>
      </c>
      <c r="P459">
        <f t="shared" si="980"/>
        <v>0.18036809815950847</v>
      </c>
      <c r="Q459">
        <f t="shared" si="981"/>
        <v>153329.53682208527</v>
      </c>
      <c r="R459">
        <f t="shared" si="982"/>
        <v>8549173.3417845517</v>
      </c>
      <c r="S459">
        <f t="shared" si="983"/>
        <v>85.491733417845523</v>
      </c>
      <c r="T459">
        <f t="shared" si="984"/>
        <v>8.5491733417845522E-2</v>
      </c>
    </row>
    <row r="460" spans="1:20" x14ac:dyDescent="0.25">
      <c r="A460" s="5">
        <v>44133</v>
      </c>
      <c r="B460">
        <v>4.0606999999999998</v>
      </c>
      <c r="C460">
        <v>4.1051000000000002</v>
      </c>
      <c r="D460">
        <v>3.7296</v>
      </c>
      <c r="E460">
        <v>3.7757999999999998</v>
      </c>
      <c r="F460">
        <v>422589.86</v>
      </c>
      <c r="G460">
        <v>0</v>
      </c>
      <c r="L460" t="s">
        <v>7</v>
      </c>
      <c r="M460" t="s">
        <v>7</v>
      </c>
      <c r="N460" t="s">
        <v>8</v>
      </c>
      <c r="P460">
        <f t="shared" si="980"/>
        <v>-0.75392809587217158</v>
      </c>
      <c r="Q460">
        <f t="shared" si="981"/>
        <v>-318602.36848468753</v>
      </c>
      <c r="R460">
        <f t="shared" si="982"/>
        <v>8395843.8049624674</v>
      </c>
      <c r="S460">
        <f t="shared" si="983"/>
        <v>83.958438049624675</v>
      </c>
      <c r="T460">
        <f t="shared" si="984"/>
        <v>8.3958438049624676E-2</v>
      </c>
    </row>
    <row r="461" spans="1:20" x14ac:dyDescent="0.25">
      <c r="A461" s="5">
        <v>44132</v>
      </c>
      <c r="B461">
        <v>4.1214000000000004</v>
      </c>
      <c r="C461">
        <v>4.1791999999999998</v>
      </c>
      <c r="D461">
        <v>3.9308000000000001</v>
      </c>
      <c r="E461">
        <v>4.0595999999999997</v>
      </c>
      <c r="F461">
        <v>359147.72</v>
      </c>
      <c r="G461">
        <v>0</v>
      </c>
      <c r="L461" t="s">
        <v>7</v>
      </c>
      <c r="M461" t="s">
        <v>8</v>
      </c>
      <c r="N461" t="s">
        <v>8</v>
      </c>
      <c r="P461">
        <f t="shared" si="980"/>
        <v>3.7037037037034787E-2</v>
      </c>
      <c r="Q461">
        <f t="shared" si="981"/>
        <v>13301.767407406598</v>
      </c>
      <c r="R461">
        <f t="shared" si="982"/>
        <v>8714446.1734471545</v>
      </c>
      <c r="S461">
        <f t="shared" si="983"/>
        <v>87.144461734471548</v>
      </c>
      <c r="T461">
        <f t="shared" si="984"/>
        <v>8.7144461734471546E-2</v>
      </c>
    </row>
    <row r="462" spans="1:20" x14ac:dyDescent="0.25">
      <c r="A462" s="5">
        <v>44131</v>
      </c>
      <c r="B462">
        <v>4.1454000000000004</v>
      </c>
      <c r="C462">
        <v>4.3499999999999996</v>
      </c>
      <c r="D462">
        <v>4.0343</v>
      </c>
      <c r="E462">
        <v>4.1216999999999997</v>
      </c>
      <c r="F462">
        <v>292754.21000000002</v>
      </c>
      <c r="G462">
        <v>0</v>
      </c>
      <c r="L462" t="s">
        <v>8</v>
      </c>
      <c r="M462" t="s">
        <v>8</v>
      </c>
      <c r="N462" t="s">
        <v>8</v>
      </c>
      <c r="P462">
        <f t="shared" si="980"/>
        <v>-0.44630978777320368</v>
      </c>
      <c r="Q462">
        <f t="shared" si="981"/>
        <v>-130659.06933481191</v>
      </c>
      <c r="R462">
        <f t="shared" si="982"/>
        <v>8701144.4060397483</v>
      </c>
      <c r="S462">
        <f t="shared" si="983"/>
        <v>87.01144406039748</v>
      </c>
      <c r="T462">
        <f t="shared" si="984"/>
        <v>8.7011444060397486E-2</v>
      </c>
    </row>
    <row r="463" spans="1:20" x14ac:dyDescent="0.25">
      <c r="A463" s="5">
        <v>44130</v>
      </c>
      <c r="B463">
        <v>4.1409000000000002</v>
      </c>
      <c r="C463">
        <v>4.4897</v>
      </c>
      <c r="D463">
        <v>4.0141</v>
      </c>
      <c r="E463">
        <v>4.1479999999999997</v>
      </c>
      <c r="F463">
        <v>661155.32999999996</v>
      </c>
      <c r="G463">
        <v>0</v>
      </c>
      <c r="L463" t="s">
        <v>7</v>
      </c>
      <c r="M463" t="s">
        <v>8</v>
      </c>
      <c r="N463" t="s">
        <v>8</v>
      </c>
      <c r="P463">
        <f t="shared" si="980"/>
        <v>-0.43692178301093493</v>
      </c>
      <c r="Q463">
        <f t="shared" si="981"/>
        <v>-288873.16563078307</v>
      </c>
      <c r="R463">
        <f t="shared" si="982"/>
        <v>8831803.4753745608</v>
      </c>
      <c r="S463">
        <f t="shared" si="983"/>
        <v>88.318034753745607</v>
      </c>
      <c r="T463">
        <f t="shared" si="984"/>
        <v>8.8318034753745611E-2</v>
      </c>
    </row>
    <row r="464" spans="1:20" x14ac:dyDescent="0.25">
      <c r="A464" s="5">
        <v>44129</v>
      </c>
      <c r="B464">
        <v>4.1802999999999999</v>
      </c>
      <c r="C464">
        <v>4.2526000000000002</v>
      </c>
      <c r="D464">
        <v>4.0999999999999996</v>
      </c>
      <c r="E464">
        <v>4.1478999999999999</v>
      </c>
      <c r="F464">
        <v>209663.9</v>
      </c>
      <c r="G464">
        <v>0</v>
      </c>
      <c r="L464" t="s">
        <v>7</v>
      </c>
      <c r="M464" t="s">
        <v>8</v>
      </c>
      <c r="N464" t="s">
        <v>8</v>
      </c>
      <c r="P464">
        <f t="shared" si="980"/>
        <v>-0.37221494102227898</v>
      </c>
      <c r="Q464">
        <f t="shared" si="981"/>
        <v>-78040.03617300099</v>
      </c>
      <c r="R464">
        <f t="shared" si="982"/>
        <v>9120676.6410053447</v>
      </c>
      <c r="S464">
        <f t="shared" si="983"/>
        <v>91.206766410053447</v>
      </c>
      <c r="T464">
        <f t="shared" si="984"/>
        <v>9.1206766410053444E-2</v>
      </c>
    </row>
    <row r="465" spans="1:20" x14ac:dyDescent="0.25">
      <c r="A465" s="5">
        <v>44128</v>
      </c>
      <c r="B465">
        <v>4.2538999999999998</v>
      </c>
      <c r="C465">
        <v>4.3620000000000001</v>
      </c>
      <c r="D465">
        <v>4.1399999999999997</v>
      </c>
      <c r="E465">
        <v>4.1821000000000002</v>
      </c>
      <c r="F465">
        <v>218601.98</v>
      </c>
      <c r="G465">
        <v>0</v>
      </c>
      <c r="L465" t="s">
        <v>7</v>
      </c>
      <c r="M465" t="s">
        <v>8</v>
      </c>
      <c r="N465" t="s">
        <v>8</v>
      </c>
      <c r="P465">
        <f t="shared" si="980"/>
        <v>-0.62072072072071716</v>
      </c>
      <c r="Q465">
        <f t="shared" si="981"/>
        <v>-135690.7785765758</v>
      </c>
      <c r="R465">
        <f t="shared" si="982"/>
        <v>9198716.6771783456</v>
      </c>
      <c r="S465">
        <f t="shared" si="983"/>
        <v>91.98716677178345</v>
      </c>
      <c r="T465">
        <f t="shared" si="984"/>
        <v>9.1987166771783452E-2</v>
      </c>
    </row>
    <row r="466" spans="1:20" x14ac:dyDescent="0.25">
      <c r="A466" s="5">
        <v>44127</v>
      </c>
      <c r="B466">
        <v>4.3406000000000002</v>
      </c>
      <c r="C466">
        <v>4.4871999999999996</v>
      </c>
      <c r="D466">
        <v>4.1353999999999997</v>
      </c>
      <c r="E466">
        <v>4.2568000000000001</v>
      </c>
      <c r="F466">
        <v>324892.94</v>
      </c>
      <c r="G466">
        <v>0</v>
      </c>
      <c r="L466" t="s">
        <v>7</v>
      </c>
      <c r="M466" t="s">
        <v>8</v>
      </c>
      <c r="N466" t="s">
        <v>8</v>
      </c>
      <c r="P466">
        <f t="shared" si="980"/>
        <v>-0.30983513359863313</v>
      </c>
      <c r="Q466">
        <f t="shared" si="981"/>
        <v>-100663.2474701527</v>
      </c>
      <c r="R466">
        <f t="shared" si="982"/>
        <v>9334407.4557549208</v>
      </c>
      <c r="S466">
        <f t="shared" si="983"/>
        <v>93.344074557549206</v>
      </c>
      <c r="T466">
        <f t="shared" si="984"/>
        <v>9.33440745575492E-2</v>
      </c>
    </row>
    <row r="467" spans="1:20" x14ac:dyDescent="0.25">
      <c r="A467" s="5">
        <v>44126</v>
      </c>
      <c r="B467">
        <v>3.9573999999999998</v>
      </c>
      <c r="C467">
        <v>4.4904000000000002</v>
      </c>
      <c r="D467">
        <v>3.9510999999999998</v>
      </c>
      <c r="E467">
        <v>4.3384999999999998</v>
      </c>
      <c r="F467">
        <v>741499.28</v>
      </c>
      <c r="G467">
        <v>0</v>
      </c>
      <c r="L467" t="s">
        <v>8</v>
      </c>
      <c r="M467" t="s">
        <v>8</v>
      </c>
      <c r="N467" t="s">
        <v>8</v>
      </c>
      <c r="P467">
        <f t="shared" si="980"/>
        <v>0.43667717411459195</v>
      </c>
      <c r="Q467">
        <f t="shared" si="981"/>
        <v>323795.81019840459</v>
      </c>
      <c r="R467">
        <f t="shared" si="982"/>
        <v>9435070.7032250743</v>
      </c>
      <c r="S467">
        <f t="shared" si="983"/>
        <v>94.350707032250739</v>
      </c>
      <c r="T467">
        <f t="shared" si="984"/>
        <v>9.4350707032250736E-2</v>
      </c>
    </row>
    <row r="468" spans="1:20" x14ac:dyDescent="0.25">
      <c r="A468" s="5">
        <v>44125</v>
      </c>
      <c r="B468">
        <v>3.8007</v>
      </c>
      <c r="C468">
        <v>4.1029999999999998</v>
      </c>
      <c r="D468">
        <v>3.7917999999999998</v>
      </c>
      <c r="E468">
        <v>3.9584999999999999</v>
      </c>
      <c r="F468">
        <v>319446.86</v>
      </c>
      <c r="G468">
        <v>0</v>
      </c>
      <c r="L468" t="s">
        <v>8</v>
      </c>
      <c r="M468" t="s">
        <v>7</v>
      </c>
      <c r="N468" t="s">
        <v>8</v>
      </c>
      <c r="P468">
        <f t="shared" si="980"/>
        <v>7.133676092545059E-2</v>
      </c>
      <c r="Q468">
        <f t="shared" si="981"/>
        <v>22788.304280205884</v>
      </c>
      <c r="R468">
        <f t="shared" si="982"/>
        <v>9111274.8930266704</v>
      </c>
      <c r="S468">
        <f t="shared" si="983"/>
        <v>91.112748930266704</v>
      </c>
      <c r="T468">
        <f t="shared" si="984"/>
        <v>9.1112748930266704E-2</v>
      </c>
    </row>
    <row r="469" spans="1:20" x14ac:dyDescent="0.25">
      <c r="A469" s="5">
        <v>44124</v>
      </c>
      <c r="B469">
        <v>4.0568</v>
      </c>
      <c r="C469">
        <v>4.0907999999999998</v>
      </c>
      <c r="D469">
        <v>3.6924999999999999</v>
      </c>
      <c r="E469">
        <v>3.8039999999999998</v>
      </c>
      <c r="F469">
        <v>589447.62</v>
      </c>
      <c r="G469">
        <v>0</v>
      </c>
      <c r="L469" t="s">
        <v>7</v>
      </c>
      <c r="M469" t="s">
        <v>7</v>
      </c>
      <c r="N469" t="s">
        <v>8</v>
      </c>
      <c r="P469">
        <f t="shared" si="980"/>
        <v>-0.44012051217675136</v>
      </c>
      <c r="Q469">
        <f t="shared" si="981"/>
        <v>-259427.98841576709</v>
      </c>
      <c r="R469">
        <f t="shared" si="982"/>
        <v>9088486.5887464639</v>
      </c>
      <c r="S469">
        <f t="shared" si="983"/>
        <v>90.884865887464642</v>
      </c>
      <c r="T469">
        <f t="shared" si="984"/>
        <v>9.0884865887464639E-2</v>
      </c>
    </row>
    <row r="470" spans="1:20" x14ac:dyDescent="0.25">
      <c r="A470" s="5">
        <v>44123</v>
      </c>
      <c r="B470">
        <v>4.1371000000000002</v>
      </c>
      <c r="C470">
        <v>4.1748000000000003</v>
      </c>
      <c r="D470">
        <v>3.9925999999999999</v>
      </c>
      <c r="E470">
        <v>4.05</v>
      </c>
      <c r="F470">
        <v>274925.09000000003</v>
      </c>
      <c r="G470">
        <v>0</v>
      </c>
      <c r="L470" t="s">
        <v>7</v>
      </c>
      <c r="M470" t="s">
        <v>7</v>
      </c>
      <c r="N470" t="s">
        <v>8</v>
      </c>
      <c r="P470">
        <f t="shared" si="980"/>
        <v>-0.369923161361144</v>
      </c>
      <c r="Q470">
        <f t="shared" si="981"/>
        <v>-101701.15843029704</v>
      </c>
      <c r="R470">
        <f t="shared" si="982"/>
        <v>9347914.5771622304</v>
      </c>
      <c r="S470">
        <f t="shared" si="983"/>
        <v>93.479145771622299</v>
      </c>
      <c r="T470">
        <f t="shared" si="984"/>
        <v>9.3479145771622293E-2</v>
      </c>
    </row>
    <row r="471" spans="1:20" x14ac:dyDescent="0.25">
      <c r="A471" s="5">
        <v>44122</v>
      </c>
      <c r="B471">
        <v>4.1874000000000002</v>
      </c>
      <c r="C471">
        <v>4.2461000000000002</v>
      </c>
      <c r="D471">
        <v>4.0701000000000001</v>
      </c>
      <c r="E471">
        <v>4.1195000000000004</v>
      </c>
      <c r="F471">
        <v>138296.5</v>
      </c>
      <c r="G471">
        <v>0</v>
      </c>
      <c r="L471" t="s">
        <v>8</v>
      </c>
      <c r="M471" t="s">
        <v>7</v>
      </c>
      <c r="N471" t="s">
        <v>8</v>
      </c>
      <c r="P471">
        <f t="shared" si="980"/>
        <v>-0.43863636363636038</v>
      </c>
      <c r="Q471">
        <f t="shared" si="981"/>
        <v>-60661.873863635912</v>
      </c>
      <c r="R471">
        <f t="shared" si="982"/>
        <v>9449615.7355925273</v>
      </c>
      <c r="S471">
        <f t="shared" si="983"/>
        <v>94.496157355925277</v>
      </c>
      <c r="T471">
        <f t="shared" si="984"/>
        <v>9.4496157355925273E-2</v>
      </c>
    </row>
    <row r="472" spans="1:20" x14ac:dyDescent="0.25">
      <c r="A472" s="5">
        <v>44121</v>
      </c>
      <c r="B472">
        <v>4.0461999999999998</v>
      </c>
      <c r="C472">
        <v>4.21</v>
      </c>
      <c r="D472">
        <v>3.9672999999999998</v>
      </c>
      <c r="E472">
        <v>4.1946000000000003</v>
      </c>
      <c r="F472">
        <v>258634.77</v>
      </c>
      <c r="G472">
        <v>0</v>
      </c>
      <c r="L472" t="s">
        <v>8</v>
      </c>
      <c r="M472" t="s">
        <v>7</v>
      </c>
      <c r="N472" t="s">
        <v>8</v>
      </c>
      <c r="P472">
        <f t="shared" si="980"/>
        <v>0.87309435517099609</v>
      </c>
      <c r="Q472">
        <f t="shared" si="981"/>
        <v>225812.55773794887</v>
      </c>
      <c r="R472">
        <f t="shared" si="982"/>
        <v>9510277.6094561629</v>
      </c>
      <c r="S472">
        <f t="shared" si="983"/>
        <v>95.102776094561634</v>
      </c>
      <c r="T472">
        <f t="shared" si="984"/>
        <v>9.5102776094561636E-2</v>
      </c>
    </row>
    <row r="473" spans="1:20" x14ac:dyDescent="0.25">
      <c r="A473" s="5">
        <v>44120</v>
      </c>
      <c r="B473">
        <v>4.1265999999999998</v>
      </c>
      <c r="C473">
        <v>4.1581999999999999</v>
      </c>
      <c r="D473">
        <v>3.8755000000000002</v>
      </c>
      <c r="E473">
        <v>4.0433000000000003</v>
      </c>
      <c r="F473">
        <v>538055.06000000006</v>
      </c>
      <c r="G473">
        <v>0</v>
      </c>
      <c r="L473" t="s">
        <v>7</v>
      </c>
      <c r="M473" t="s">
        <v>7</v>
      </c>
      <c r="N473" t="s">
        <v>8</v>
      </c>
      <c r="P473">
        <f t="shared" si="980"/>
        <v>0.18712415988680814</v>
      </c>
      <c r="Q473">
        <f t="shared" si="981"/>
        <v>100683.10107534616</v>
      </c>
      <c r="R473">
        <f t="shared" si="982"/>
        <v>9284465.0517182145</v>
      </c>
      <c r="S473">
        <f t="shared" si="983"/>
        <v>92.844650517182146</v>
      </c>
      <c r="T473">
        <f t="shared" si="984"/>
        <v>9.2844650517182145E-2</v>
      </c>
    </row>
    <row r="474" spans="1:20" x14ac:dyDescent="0.25">
      <c r="A474" s="5">
        <v>44119</v>
      </c>
      <c r="B474">
        <v>4.1500000000000004</v>
      </c>
      <c r="C474">
        <v>4.2312000000000003</v>
      </c>
      <c r="D474">
        <v>3.9984999999999999</v>
      </c>
      <c r="E474">
        <v>4.1269</v>
      </c>
      <c r="F474">
        <v>306544.02</v>
      </c>
      <c r="G474">
        <v>0</v>
      </c>
      <c r="L474" t="s">
        <v>7</v>
      </c>
      <c r="M474" t="s">
        <v>8</v>
      </c>
      <c r="N474" t="s">
        <v>8</v>
      </c>
      <c r="P474">
        <f t="shared" si="980"/>
        <v>0.10356682423721424</v>
      </c>
      <c r="Q474">
        <f t="shared" si="981"/>
        <v>31747.790640309089</v>
      </c>
      <c r="R474">
        <f t="shared" si="982"/>
        <v>9183781.9506428689</v>
      </c>
      <c r="S474">
        <f t="shared" si="983"/>
        <v>91.837819506428687</v>
      </c>
      <c r="T474">
        <f t="shared" si="984"/>
        <v>9.1837819506428692E-2</v>
      </c>
    </row>
    <row r="475" spans="1:20" x14ac:dyDescent="0.25">
      <c r="A475" s="5">
        <v>44118</v>
      </c>
      <c r="B475">
        <v>4.4808000000000003</v>
      </c>
      <c r="C475">
        <v>4.4847999999999999</v>
      </c>
      <c r="D475">
        <v>4.0125000000000002</v>
      </c>
      <c r="E475">
        <v>4.1596000000000002</v>
      </c>
      <c r="F475">
        <v>512479.12</v>
      </c>
      <c r="G475">
        <v>0</v>
      </c>
      <c r="L475" t="s">
        <v>7</v>
      </c>
      <c r="M475" t="s">
        <v>8</v>
      </c>
      <c r="N475" t="s">
        <v>8</v>
      </c>
      <c r="P475">
        <f t="shared" si="980"/>
        <v>-0.37709083209824223</v>
      </c>
      <c r="Q475">
        <f t="shared" si="981"/>
        <v>-193251.17779377493</v>
      </c>
      <c r="R475">
        <f t="shared" si="982"/>
        <v>9152034.1600025594</v>
      </c>
      <c r="S475">
        <f t="shared" si="983"/>
        <v>91.520341600025588</v>
      </c>
      <c r="T475">
        <f t="shared" si="984"/>
        <v>9.152034160002559E-2</v>
      </c>
    </row>
    <row r="476" spans="1:20" x14ac:dyDescent="0.25">
      <c r="A476" s="5">
        <v>44117</v>
      </c>
      <c r="B476">
        <v>4.4099000000000004</v>
      </c>
      <c r="C476">
        <v>4.5636000000000001</v>
      </c>
      <c r="D476">
        <v>4.3202999999999996</v>
      </c>
      <c r="E476">
        <v>4.4805999999999999</v>
      </c>
      <c r="F476">
        <v>776819.51</v>
      </c>
      <c r="G476">
        <v>0</v>
      </c>
      <c r="L476" t="s">
        <v>7</v>
      </c>
      <c r="M476" t="s">
        <v>8</v>
      </c>
      <c r="N476" t="s">
        <v>8</v>
      </c>
      <c r="P476">
        <f t="shared" si="980"/>
        <v>0.3177147554459514</v>
      </c>
      <c r="Q476">
        <f t="shared" si="981"/>
        <v>246807.02064529381</v>
      </c>
      <c r="R476">
        <f t="shared" si="982"/>
        <v>9345285.3377963342</v>
      </c>
      <c r="S476">
        <f t="shared" si="983"/>
        <v>93.452853377963336</v>
      </c>
      <c r="T476">
        <f t="shared" si="984"/>
        <v>9.345285337796333E-2</v>
      </c>
    </row>
    <row r="477" spans="1:20" x14ac:dyDescent="0.25">
      <c r="A477" s="5">
        <v>44116</v>
      </c>
      <c r="B477">
        <v>4.0841000000000003</v>
      </c>
      <c r="C477">
        <v>4.71</v>
      </c>
      <c r="D477">
        <v>4.0540000000000003</v>
      </c>
      <c r="E477">
        <v>4.41</v>
      </c>
      <c r="F477">
        <v>851811.15</v>
      </c>
      <c r="G477">
        <v>0</v>
      </c>
      <c r="L477" t="s">
        <v>8</v>
      </c>
      <c r="M477" t="s">
        <v>8</v>
      </c>
      <c r="N477" t="s">
        <v>8</v>
      </c>
      <c r="P477">
        <f t="shared" si="980"/>
        <v>8.5365853658536703E-2</v>
      </c>
      <c r="Q477">
        <f t="shared" si="981"/>
        <v>72715.585975609865</v>
      </c>
      <c r="R477">
        <f t="shared" si="982"/>
        <v>9098478.3171510398</v>
      </c>
      <c r="S477">
        <f t="shared" si="983"/>
        <v>90.984783171510401</v>
      </c>
      <c r="T477">
        <f t="shared" si="984"/>
        <v>9.0984783171510403E-2</v>
      </c>
    </row>
    <row r="478" spans="1:20" x14ac:dyDescent="0.25">
      <c r="A478" s="5">
        <v>44115</v>
      </c>
      <c r="B478">
        <v>4.0205000000000002</v>
      </c>
      <c r="C478">
        <v>4.1761999999999997</v>
      </c>
      <c r="D478">
        <v>3.9333</v>
      </c>
      <c r="E478">
        <v>4.0960000000000001</v>
      </c>
      <c r="F478">
        <v>542437.49</v>
      </c>
      <c r="G478">
        <v>0</v>
      </c>
      <c r="L478" t="s">
        <v>7</v>
      </c>
      <c r="M478" t="s">
        <v>8</v>
      </c>
      <c r="N478" t="s">
        <v>7</v>
      </c>
      <c r="P478">
        <f t="shared" si="980"/>
        <v>0.3396459448332671</v>
      </c>
      <c r="Q478">
        <f t="shared" si="981"/>
        <v>184236.69380403587</v>
      </c>
      <c r="R478">
        <f t="shared" si="982"/>
        <v>9025762.7311754301</v>
      </c>
      <c r="S478">
        <f t="shared" si="983"/>
        <v>90.257627311754305</v>
      </c>
      <c r="T478">
        <f t="shared" si="984"/>
        <v>9.025762731175431E-2</v>
      </c>
    </row>
    <row r="479" spans="1:20" x14ac:dyDescent="0.25">
      <c r="A479" s="5">
        <v>44114</v>
      </c>
      <c r="B479">
        <v>4.2427000000000001</v>
      </c>
      <c r="C479">
        <v>4.2693000000000003</v>
      </c>
      <c r="D479">
        <v>4.0000999999999998</v>
      </c>
      <c r="E479">
        <v>4.0229999999999997</v>
      </c>
      <c r="F479">
        <v>821315.35</v>
      </c>
      <c r="G479">
        <v>0</v>
      </c>
      <c r="L479" t="s">
        <v>8</v>
      </c>
      <c r="M479" t="s">
        <v>8</v>
      </c>
      <c r="N479" t="s">
        <v>7</v>
      </c>
      <c r="P479">
        <f t="shared" si="980"/>
        <v>-0.82986627043090733</v>
      </c>
      <c r="Q479">
        <f t="shared" si="981"/>
        <v>-681581.90635215526</v>
      </c>
      <c r="R479">
        <f t="shared" si="982"/>
        <v>8841526.0373713952</v>
      </c>
      <c r="S479">
        <f t="shared" si="983"/>
        <v>88.415260373713949</v>
      </c>
      <c r="T479">
        <f t="shared" si="984"/>
        <v>8.8415260373713944E-2</v>
      </c>
    </row>
    <row r="480" spans="1:20" x14ac:dyDescent="0.25">
      <c r="A480" s="5">
        <v>44113</v>
      </c>
      <c r="B480">
        <v>3.9146999999999998</v>
      </c>
      <c r="C480">
        <v>4.3251999999999997</v>
      </c>
      <c r="D480">
        <v>3.8033999999999999</v>
      </c>
      <c r="E480">
        <v>4.2491000000000003</v>
      </c>
      <c r="F480">
        <v>573063.37</v>
      </c>
      <c r="G480">
        <v>0</v>
      </c>
      <c r="L480" t="s">
        <v>8</v>
      </c>
      <c r="M480" t="s">
        <v>8</v>
      </c>
      <c r="N480" t="s">
        <v>7</v>
      </c>
      <c r="P480">
        <f t="shared" si="980"/>
        <v>0.70831736297432191</v>
      </c>
      <c r="Q480">
        <f t="shared" si="981"/>
        <v>405910.73505557812</v>
      </c>
      <c r="R480">
        <f t="shared" si="982"/>
        <v>9523107.9437235501</v>
      </c>
      <c r="S480">
        <f t="shared" si="983"/>
        <v>95.231079437235508</v>
      </c>
      <c r="T480">
        <f t="shared" si="984"/>
        <v>9.5231079437235508E-2</v>
      </c>
    </row>
    <row r="481" spans="1:20" x14ac:dyDescent="0.25">
      <c r="A481" s="5">
        <v>44112</v>
      </c>
      <c r="B481">
        <v>3.4409000000000001</v>
      </c>
      <c r="C481">
        <v>3.9599000000000002</v>
      </c>
      <c r="D481">
        <v>3.3228</v>
      </c>
      <c r="E481">
        <v>3.9146999999999998</v>
      </c>
      <c r="F481">
        <v>900977.83</v>
      </c>
      <c r="G481">
        <v>0</v>
      </c>
      <c r="L481" t="s">
        <v>8</v>
      </c>
      <c r="M481" t="s">
        <v>8</v>
      </c>
      <c r="N481" t="s">
        <v>7</v>
      </c>
      <c r="P481">
        <f t="shared" si="980"/>
        <v>0.85810704755925182</v>
      </c>
      <c r="Q481">
        <f t="shared" si="981"/>
        <v>773135.42561764142</v>
      </c>
      <c r="R481">
        <f t="shared" si="982"/>
        <v>9117197.2086679712</v>
      </c>
      <c r="S481">
        <f t="shared" si="983"/>
        <v>91.171972086679716</v>
      </c>
      <c r="T481">
        <f t="shared" si="984"/>
        <v>9.1171972086679723E-2</v>
      </c>
    </row>
    <row r="482" spans="1:20" x14ac:dyDescent="0.25">
      <c r="A482" s="5">
        <v>44111</v>
      </c>
      <c r="B482">
        <v>3.5400999999999998</v>
      </c>
      <c r="C482">
        <v>3.5461999999999998</v>
      </c>
      <c r="D482">
        <v>3.2069999999999999</v>
      </c>
      <c r="E482">
        <v>3.4420000000000002</v>
      </c>
      <c r="F482">
        <v>988661.32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0.38561320754717193</v>
      </c>
      <c r="Q482">
        <f t="shared" si="981"/>
        <v>381240.86278302094</v>
      </c>
      <c r="R482">
        <f t="shared" si="982"/>
        <v>8344061.7830503304</v>
      </c>
      <c r="S482">
        <f t="shared" si="983"/>
        <v>83.4406178305033</v>
      </c>
      <c r="T482">
        <f t="shared" si="984"/>
        <v>8.34406178305033E-2</v>
      </c>
    </row>
    <row r="483" spans="1:20" x14ac:dyDescent="0.25">
      <c r="A483" s="5">
        <v>44110</v>
      </c>
      <c r="B483">
        <v>3.9948999999999999</v>
      </c>
      <c r="C483">
        <v>4</v>
      </c>
      <c r="D483">
        <v>3.5</v>
      </c>
      <c r="E483">
        <v>3.5424000000000002</v>
      </c>
      <c r="F483">
        <v>971155.87</v>
      </c>
      <c r="G483">
        <v>0</v>
      </c>
      <c r="L483" t="s">
        <v>7</v>
      </c>
      <c r="M483" t="s">
        <v>7</v>
      </c>
      <c r="N483" t="s">
        <v>8</v>
      </c>
      <c r="P483">
        <f t="shared" si="980"/>
        <v>-0.83039999999999914</v>
      </c>
      <c r="Q483">
        <f t="shared" si="981"/>
        <v>-806447.83444799914</v>
      </c>
      <c r="R483">
        <f t="shared" si="982"/>
        <v>7962820.9202673091</v>
      </c>
      <c r="S483">
        <f t="shared" si="983"/>
        <v>79.628209202673091</v>
      </c>
      <c r="T483">
        <f t="shared" si="984"/>
        <v>7.9628209202673092E-2</v>
      </c>
    </row>
    <row r="484" spans="1:20" x14ac:dyDescent="0.25">
      <c r="A484" s="5">
        <v>44109</v>
      </c>
      <c r="B484">
        <v>3.9582000000000002</v>
      </c>
      <c r="C484">
        <v>4.0456000000000003</v>
      </c>
      <c r="D484">
        <v>3.87</v>
      </c>
      <c r="E484">
        <v>3.9813000000000001</v>
      </c>
      <c r="F484">
        <v>475912.76</v>
      </c>
      <c r="G484">
        <v>0</v>
      </c>
      <c r="L484" t="s">
        <v>7</v>
      </c>
      <c r="M484" t="s">
        <v>7</v>
      </c>
      <c r="N484" t="s">
        <v>8</v>
      </c>
      <c r="P484">
        <f t="shared" si="980"/>
        <v>0.26765375854213924</v>
      </c>
      <c r="Q484">
        <f t="shared" si="981"/>
        <v>127379.83895216306</v>
      </c>
      <c r="R484">
        <f t="shared" si="982"/>
        <v>8769268.7547153085</v>
      </c>
      <c r="S484">
        <f t="shared" si="983"/>
        <v>87.692687547153085</v>
      </c>
      <c r="T484">
        <f t="shared" si="984"/>
        <v>8.7692687547153078E-2</v>
      </c>
    </row>
    <row r="485" spans="1:20" x14ac:dyDescent="0.25">
      <c r="A485" s="5">
        <v>44108</v>
      </c>
      <c r="B485">
        <v>4.0202</v>
      </c>
      <c r="C485">
        <v>4.0797999999999996</v>
      </c>
      <c r="D485">
        <v>3.8334000000000001</v>
      </c>
      <c r="E485">
        <v>3.964</v>
      </c>
      <c r="F485">
        <v>630849.97</v>
      </c>
      <c r="G485">
        <v>0</v>
      </c>
      <c r="L485" t="s">
        <v>7</v>
      </c>
      <c r="M485" t="s">
        <v>7</v>
      </c>
      <c r="N485" t="s">
        <v>8</v>
      </c>
      <c r="P485">
        <f t="shared" si="980"/>
        <v>6.0064935064935779E-2</v>
      </c>
      <c r="Q485">
        <f t="shared" si="981"/>
        <v>37891.962483766685</v>
      </c>
      <c r="R485">
        <f t="shared" si="982"/>
        <v>8641888.9157631453</v>
      </c>
      <c r="S485">
        <f t="shared" si="983"/>
        <v>86.418889157631455</v>
      </c>
      <c r="T485">
        <f t="shared" si="984"/>
        <v>8.6418889157631448E-2</v>
      </c>
    </row>
    <row r="486" spans="1:20" x14ac:dyDescent="0.25">
      <c r="A486" s="5">
        <v>44107</v>
      </c>
      <c r="B486">
        <v>3.9156</v>
      </c>
      <c r="C486">
        <v>4.1900000000000004</v>
      </c>
      <c r="D486">
        <v>3.8696000000000002</v>
      </c>
      <c r="E486">
        <v>4.0167999999999999</v>
      </c>
      <c r="F486">
        <v>679798.03</v>
      </c>
      <c r="G486">
        <v>0</v>
      </c>
      <c r="L486" t="s">
        <v>8</v>
      </c>
      <c r="M486" t="s">
        <v>7</v>
      </c>
      <c r="N486" t="s">
        <v>8</v>
      </c>
      <c r="P486">
        <f t="shared" si="980"/>
        <v>-8.1148564294633796E-2</v>
      </c>
      <c r="Q486">
        <f t="shared" si="981"/>
        <v>-55164.634144820397</v>
      </c>
      <c r="R486">
        <f t="shared" si="982"/>
        <v>8603996.9532793779</v>
      </c>
      <c r="S486">
        <f t="shared" si="983"/>
        <v>86.039969532793776</v>
      </c>
      <c r="T486">
        <f t="shared" si="984"/>
        <v>8.6039969532793775E-2</v>
      </c>
    </row>
    <row r="487" spans="1:20" x14ac:dyDescent="0.25">
      <c r="A487" s="5">
        <v>44106</v>
      </c>
      <c r="B487">
        <v>4.1421999999999999</v>
      </c>
      <c r="C487">
        <v>4.2198000000000002</v>
      </c>
      <c r="D487">
        <v>3.6332</v>
      </c>
      <c r="E487">
        <v>3.9115000000000002</v>
      </c>
      <c r="F487">
        <v>1847614.48</v>
      </c>
      <c r="G487">
        <v>0</v>
      </c>
      <c r="L487" t="s">
        <v>7</v>
      </c>
      <c r="M487" t="s">
        <v>7</v>
      </c>
      <c r="N487" t="s">
        <v>8</v>
      </c>
      <c r="P487">
        <f t="shared" si="980"/>
        <v>-5.1142175247186825E-2</v>
      </c>
      <c r="Q487">
        <f t="shared" si="981"/>
        <v>-94491.023525399956</v>
      </c>
      <c r="R487">
        <f t="shared" si="982"/>
        <v>8659161.5874241982</v>
      </c>
      <c r="S487">
        <f t="shared" si="983"/>
        <v>86.591615874241981</v>
      </c>
      <c r="T487">
        <f t="shared" si="984"/>
        <v>8.6591615874241981E-2</v>
      </c>
    </row>
    <row r="488" spans="1:20" x14ac:dyDescent="0.25">
      <c r="A488" s="5">
        <v>44105</v>
      </c>
      <c r="B488">
        <v>4.3292999999999999</v>
      </c>
      <c r="C488">
        <v>4.53</v>
      </c>
      <c r="D488">
        <v>4.0140000000000002</v>
      </c>
      <c r="E488">
        <v>4.1500000000000004</v>
      </c>
      <c r="F488">
        <v>1477288.72</v>
      </c>
      <c r="G488">
        <v>0</v>
      </c>
      <c r="L488" t="s">
        <v>8</v>
      </c>
      <c r="M488" t="s">
        <v>7</v>
      </c>
      <c r="N488" t="s">
        <v>8</v>
      </c>
      <c r="P488">
        <f t="shared" si="980"/>
        <v>-0.47286821705426313</v>
      </c>
      <c r="Q488">
        <f t="shared" si="981"/>
        <v>-698562.88310077449</v>
      </c>
      <c r="R488">
        <f t="shared" si="982"/>
        <v>8753652.6109495983</v>
      </c>
      <c r="S488">
        <f t="shared" si="983"/>
        <v>87.536526109495981</v>
      </c>
      <c r="T488">
        <f t="shared" si="984"/>
        <v>8.7536526109495985E-2</v>
      </c>
    </row>
    <row r="489" spans="1:20" x14ac:dyDescent="0.25">
      <c r="A489" s="5">
        <v>44104</v>
      </c>
      <c r="B489">
        <v>4.1429</v>
      </c>
      <c r="C489">
        <v>4.4109999999999996</v>
      </c>
      <c r="D489">
        <v>3.9958</v>
      </c>
      <c r="E489">
        <v>4.3292999999999999</v>
      </c>
      <c r="F489">
        <v>915518.31</v>
      </c>
      <c r="G489">
        <v>0</v>
      </c>
      <c r="L489" t="s">
        <v>8</v>
      </c>
      <c r="M489" t="s">
        <v>7</v>
      </c>
      <c r="N489" t="s">
        <v>8</v>
      </c>
      <c r="P489">
        <f t="shared" si="980"/>
        <v>0.60645472061657157</v>
      </c>
      <c r="Q489">
        <f t="shared" si="981"/>
        <v>555220.40091040579</v>
      </c>
      <c r="R489">
        <f t="shared" si="982"/>
        <v>9452215.4940503724</v>
      </c>
      <c r="S489">
        <f t="shared" si="983"/>
        <v>94.522154940503725</v>
      </c>
      <c r="T489">
        <f t="shared" si="984"/>
        <v>9.4522154940503728E-2</v>
      </c>
    </row>
    <row r="490" spans="1:20" x14ac:dyDescent="0.25">
      <c r="A490" s="5">
        <v>44103</v>
      </c>
      <c r="B490">
        <v>4.1999000000000004</v>
      </c>
      <c r="C490">
        <v>4.2899000000000003</v>
      </c>
      <c r="D490">
        <v>3.9607000000000001</v>
      </c>
      <c r="E490">
        <v>4.1394000000000002</v>
      </c>
      <c r="F490">
        <v>1057878.53</v>
      </c>
      <c r="G490">
        <v>0</v>
      </c>
      <c r="L490" t="s">
        <v>7</v>
      </c>
      <c r="M490" t="s">
        <v>7</v>
      </c>
      <c r="N490" t="s">
        <v>8</v>
      </c>
      <c r="P490">
        <f t="shared" si="980"/>
        <v>8.5662211421628151E-2</v>
      </c>
      <c r="Q490">
        <f t="shared" si="981"/>
        <v>90620.214295261205</v>
      </c>
      <c r="R490">
        <f t="shared" si="982"/>
        <v>8896995.0931399669</v>
      </c>
      <c r="S490">
        <f t="shared" si="983"/>
        <v>88.969950931399666</v>
      </c>
      <c r="T490">
        <f t="shared" si="984"/>
        <v>8.8969950931399672E-2</v>
      </c>
    </row>
    <row r="491" spans="1:20" x14ac:dyDescent="0.25">
      <c r="A491" s="5">
        <v>44102</v>
      </c>
      <c r="B491">
        <v>4.6485000000000003</v>
      </c>
      <c r="C491">
        <v>4.7050000000000001</v>
      </c>
      <c r="D491">
        <v>4.1666999999999996</v>
      </c>
      <c r="E491">
        <v>4.2020999999999997</v>
      </c>
      <c r="F491">
        <v>1210446.3799999999</v>
      </c>
      <c r="G491">
        <v>0</v>
      </c>
      <c r="L491" t="s">
        <v>8</v>
      </c>
      <c r="M491" t="s">
        <v>7</v>
      </c>
      <c r="N491" t="s">
        <v>8</v>
      </c>
      <c r="P491">
        <f t="shared" si="980"/>
        <v>-0.86847482816273425</v>
      </c>
      <c r="Q491">
        <f t="shared" si="981"/>
        <v>-1051242.2118707036</v>
      </c>
      <c r="R491">
        <f t="shared" si="982"/>
        <v>8806374.8788447063</v>
      </c>
      <c r="S491">
        <f t="shared" si="983"/>
        <v>88.063748788447057</v>
      </c>
      <c r="T491">
        <f t="shared" si="984"/>
        <v>8.8063748788447055E-2</v>
      </c>
    </row>
    <row r="492" spans="1:20" x14ac:dyDescent="0.25">
      <c r="A492" s="5">
        <v>44101</v>
      </c>
      <c r="B492">
        <v>4.5213999999999999</v>
      </c>
      <c r="C492">
        <v>4.7134</v>
      </c>
      <c r="D492">
        <v>4.1067999999999998</v>
      </c>
      <c r="E492">
        <v>4.6483999999999996</v>
      </c>
      <c r="F492">
        <v>1500134.56</v>
      </c>
      <c r="G492">
        <v>0</v>
      </c>
      <c r="L492" t="s">
        <v>7</v>
      </c>
      <c r="M492" t="s">
        <v>7</v>
      </c>
      <c r="N492" t="s">
        <v>8</v>
      </c>
      <c r="P492">
        <f t="shared" si="980"/>
        <v>0.78569073524563016</v>
      </c>
      <c r="Q492">
        <f t="shared" si="981"/>
        <v>1178641.8254137798</v>
      </c>
      <c r="R492">
        <f t="shared" si="982"/>
        <v>9857617.0907154102</v>
      </c>
      <c r="S492">
        <f t="shared" si="983"/>
        <v>98.576170907154108</v>
      </c>
      <c r="T492">
        <f t="shared" si="984"/>
        <v>9.8576170907154106E-2</v>
      </c>
    </row>
    <row r="493" spans="1:20" x14ac:dyDescent="0.25">
      <c r="A493" s="5">
        <v>44100</v>
      </c>
      <c r="B493">
        <v>4.7164000000000001</v>
      </c>
      <c r="C493">
        <v>4.82</v>
      </c>
      <c r="D493">
        <v>4.3293999999999997</v>
      </c>
      <c r="E493">
        <v>4.5199999999999996</v>
      </c>
      <c r="F493">
        <v>1814932.97</v>
      </c>
      <c r="G493">
        <v>0</v>
      </c>
      <c r="L493" t="s">
        <v>7</v>
      </c>
      <c r="M493" t="s">
        <v>8</v>
      </c>
      <c r="N493" t="s">
        <v>8</v>
      </c>
      <c r="P493">
        <f t="shared" si="980"/>
        <v>-0.22299225438239034</v>
      </c>
      <c r="Q493">
        <f t="shared" si="981"/>
        <v>-404715.99453322723</v>
      </c>
      <c r="R493">
        <f t="shared" si="982"/>
        <v>8678975.2653016299</v>
      </c>
      <c r="S493">
        <f t="shared" si="983"/>
        <v>86.789752653016293</v>
      </c>
      <c r="T493">
        <f t="shared" si="984"/>
        <v>8.6789752653016292E-2</v>
      </c>
    </row>
    <row r="494" spans="1:20" x14ac:dyDescent="0.25">
      <c r="A494" s="5">
        <v>44099</v>
      </c>
      <c r="B494">
        <v>4.6365999999999996</v>
      </c>
      <c r="C494">
        <v>5.0233999999999996</v>
      </c>
      <c r="D494">
        <v>4.2000999999999999</v>
      </c>
      <c r="E494">
        <v>4.7134</v>
      </c>
      <c r="F494">
        <v>3886096.71</v>
      </c>
      <c r="G494">
        <v>0</v>
      </c>
      <c r="L494" t="s">
        <v>8</v>
      </c>
      <c r="M494" t="s">
        <v>8</v>
      </c>
      <c r="N494" t="s">
        <v>8</v>
      </c>
      <c r="P494">
        <f t="shared" si="980"/>
        <v>0.24693307421353158</v>
      </c>
      <c r="Q494">
        <f t="shared" si="981"/>
        <v>959605.80729139096</v>
      </c>
      <c r="R494">
        <f t="shared" si="982"/>
        <v>9083691.2598348577</v>
      </c>
      <c r="S494">
        <f t="shared" si="983"/>
        <v>90.836912598348576</v>
      </c>
      <c r="T494">
        <f t="shared" si="984"/>
        <v>9.0836912598348571E-2</v>
      </c>
    </row>
    <row r="495" spans="1:20" x14ac:dyDescent="0.25">
      <c r="A495" s="5">
        <v>44098</v>
      </c>
      <c r="B495">
        <v>3.5305</v>
      </c>
      <c r="C495">
        <v>4.8872999999999998</v>
      </c>
      <c r="D495">
        <v>3.4033000000000002</v>
      </c>
      <c r="E495">
        <v>4.6410999999999998</v>
      </c>
      <c r="F495">
        <v>7107843.8600000003</v>
      </c>
      <c r="G495">
        <v>0</v>
      </c>
      <c r="L495" t="s">
        <v>7</v>
      </c>
      <c r="M495" t="s">
        <v>7</v>
      </c>
      <c r="N495" t="s">
        <v>7</v>
      </c>
      <c r="P495">
        <f t="shared" si="980"/>
        <v>0.66819407008086251</v>
      </c>
      <c r="Q495">
        <f t="shared" si="981"/>
        <v>4749419.118312669</v>
      </c>
      <c r="R495">
        <f t="shared" si="982"/>
        <v>8124085.4525434664</v>
      </c>
      <c r="S495">
        <f t="shared" si="983"/>
        <v>81.240854525434671</v>
      </c>
      <c r="T495">
        <f t="shared" si="984"/>
        <v>8.1240854525434669E-2</v>
      </c>
    </row>
    <row r="496" spans="1:20" x14ac:dyDescent="0.25">
      <c r="A496" s="5">
        <v>44097</v>
      </c>
      <c r="B496">
        <v>5.3278999999999996</v>
      </c>
      <c r="C496">
        <v>5.36</v>
      </c>
      <c r="D496">
        <v>3.4</v>
      </c>
      <c r="E496">
        <v>3.5350000000000001</v>
      </c>
      <c r="F496">
        <v>12620608.01</v>
      </c>
      <c r="G496">
        <v>0</v>
      </c>
      <c r="L496" t="s">
        <v>8</v>
      </c>
      <c r="M496" t="s">
        <v>8</v>
      </c>
      <c r="N496" t="s">
        <v>8</v>
      </c>
      <c r="P496">
        <f t="shared" si="980"/>
        <v>-0.86224489795918347</v>
      </c>
      <c r="Q496">
        <f t="shared" si="981"/>
        <v>-10882054.865765303</v>
      </c>
      <c r="R496">
        <f t="shared" si="982"/>
        <v>3374666.3342307974</v>
      </c>
      <c r="S496">
        <f t="shared" si="983"/>
        <v>33.746663342307976</v>
      </c>
      <c r="T496">
        <f t="shared" si="984"/>
        <v>3.3746663342307977E-2</v>
      </c>
    </row>
    <row r="497" spans="1:20" x14ac:dyDescent="0.25">
      <c r="A497" s="5">
        <v>44096</v>
      </c>
      <c r="B497">
        <v>0.85</v>
      </c>
      <c r="C497">
        <v>7</v>
      </c>
      <c r="D497">
        <v>0.85</v>
      </c>
      <c r="E497">
        <v>5.3193000000000001</v>
      </c>
      <c r="F497">
        <v>31441883.16</v>
      </c>
      <c r="G497">
        <v>0</v>
      </c>
      <c r="P497">
        <f t="shared" si="980"/>
        <v>0.45343089430894318</v>
      </c>
      <c r="Q497">
        <f t="shared" si="981"/>
        <v>14256721.199996101</v>
      </c>
      <c r="R497">
        <f t="shared" si="982"/>
        <v>14256721.199996101</v>
      </c>
      <c r="S497">
        <f t="shared" si="983"/>
        <v>142.56721199996102</v>
      </c>
      <c r="T497">
        <f t="shared" si="984"/>
        <v>0.14256721199996103</v>
      </c>
    </row>
    <row r="498" spans="1:20" x14ac:dyDescent="0.25">
      <c r="A498" s="5"/>
      <c r="C498"/>
      <c r="D498"/>
      <c r="P498">
        <f t="shared" si="980"/>
        <v>0</v>
      </c>
      <c r="Q498">
        <f t="shared" si="981"/>
        <v>0</v>
      </c>
      <c r="R498">
        <f t="shared" si="982"/>
        <v>0</v>
      </c>
      <c r="S498">
        <f t="shared" si="983"/>
        <v>0</v>
      </c>
      <c r="T498">
        <f t="shared" si="984"/>
        <v>0</v>
      </c>
    </row>
    <row r="499" spans="1:20" x14ac:dyDescent="0.25">
      <c r="A499" s="5"/>
      <c r="C499"/>
      <c r="D499"/>
      <c r="P499">
        <f t="shared" si="980"/>
        <v>0</v>
      </c>
      <c r="Q499">
        <f t="shared" si="981"/>
        <v>0</v>
      </c>
      <c r="R499">
        <f t="shared" si="982"/>
        <v>0</v>
      </c>
      <c r="S499">
        <f t="shared" si="983"/>
        <v>0</v>
      </c>
      <c r="T499">
        <f t="shared" si="984"/>
        <v>0</v>
      </c>
    </row>
    <row r="500" spans="1:20" x14ac:dyDescent="0.25">
      <c r="A500" s="5"/>
      <c r="C500"/>
      <c r="D500"/>
      <c r="P500">
        <f t="shared" si="980"/>
        <v>0</v>
      </c>
      <c r="Q500">
        <f t="shared" si="981"/>
        <v>0</v>
      </c>
      <c r="R500">
        <f t="shared" si="982"/>
        <v>0</v>
      </c>
      <c r="S500">
        <f t="shared" si="983"/>
        <v>0</v>
      </c>
      <c r="T500">
        <f t="shared" si="984"/>
        <v>0</v>
      </c>
    </row>
    <row r="501" spans="1:20" x14ac:dyDescent="0.25">
      <c r="A501" s="5"/>
      <c r="C501"/>
      <c r="D501"/>
      <c r="P501">
        <f t="shared" si="980"/>
        <v>0</v>
      </c>
      <c r="Q501">
        <f t="shared" si="981"/>
        <v>0</v>
      </c>
      <c r="R501">
        <f t="shared" si="982"/>
        <v>0</v>
      </c>
      <c r="S501">
        <f t="shared" si="983"/>
        <v>0</v>
      </c>
      <c r="T501">
        <f t="shared" si="984"/>
        <v>0</v>
      </c>
    </row>
    <row r="502" spans="1:20" x14ac:dyDescent="0.25">
      <c r="A502" s="5"/>
      <c r="C502"/>
      <c r="D502"/>
      <c r="P502">
        <f t="shared" si="980"/>
        <v>0</v>
      </c>
      <c r="Q502">
        <f t="shared" si="981"/>
        <v>0</v>
      </c>
      <c r="R502">
        <f t="shared" si="982"/>
        <v>0</v>
      </c>
      <c r="S502">
        <f t="shared" si="983"/>
        <v>0</v>
      </c>
      <c r="T502">
        <f t="shared" si="984"/>
        <v>0</v>
      </c>
    </row>
    <row r="503" spans="1:20" x14ac:dyDescent="0.25">
      <c r="A503" s="5"/>
      <c r="C503"/>
      <c r="D503"/>
      <c r="P503">
        <f t="shared" si="980"/>
        <v>0</v>
      </c>
      <c r="Q503">
        <f t="shared" si="981"/>
        <v>0</v>
      </c>
      <c r="R503">
        <f t="shared" si="982"/>
        <v>0</v>
      </c>
      <c r="S503">
        <f t="shared" si="983"/>
        <v>0</v>
      </c>
      <c r="T503">
        <f t="shared" si="984"/>
        <v>0</v>
      </c>
    </row>
    <row r="504" spans="1:20" x14ac:dyDescent="0.25">
      <c r="A504" s="5"/>
      <c r="C504"/>
      <c r="D504"/>
      <c r="P504">
        <f t="shared" si="980"/>
        <v>0</v>
      </c>
      <c r="Q504">
        <f t="shared" si="981"/>
        <v>0</v>
      </c>
      <c r="R504">
        <f t="shared" si="982"/>
        <v>0</v>
      </c>
      <c r="S504">
        <f t="shared" si="983"/>
        <v>0</v>
      </c>
      <c r="T504">
        <f t="shared" si="984"/>
        <v>0</v>
      </c>
    </row>
    <row r="505" spans="1:20" x14ac:dyDescent="0.25">
      <c r="A505" s="5"/>
      <c r="C505"/>
      <c r="D505"/>
      <c r="P505">
        <f t="shared" si="980"/>
        <v>0</v>
      </c>
      <c r="Q505">
        <f t="shared" si="981"/>
        <v>0</v>
      </c>
      <c r="R505">
        <f t="shared" si="982"/>
        <v>0</v>
      </c>
      <c r="S505">
        <f t="shared" si="983"/>
        <v>0</v>
      </c>
      <c r="T505">
        <f t="shared" si="984"/>
        <v>0</v>
      </c>
    </row>
    <row r="506" spans="1:20" x14ac:dyDescent="0.25">
      <c r="A506" s="5"/>
      <c r="C506"/>
      <c r="D506"/>
      <c r="P506">
        <f t="shared" si="980"/>
        <v>0</v>
      </c>
      <c r="Q506">
        <f t="shared" si="981"/>
        <v>0</v>
      </c>
      <c r="R506">
        <f t="shared" si="982"/>
        <v>0</v>
      </c>
      <c r="S506">
        <f t="shared" si="983"/>
        <v>0</v>
      </c>
      <c r="T506">
        <f t="shared" si="984"/>
        <v>0</v>
      </c>
    </row>
    <row r="507" spans="1:20" x14ac:dyDescent="0.25">
      <c r="A507" s="5"/>
      <c r="C507"/>
      <c r="D507"/>
      <c r="P507">
        <f t="shared" si="980"/>
        <v>0</v>
      </c>
      <c r="Q507">
        <f t="shared" si="981"/>
        <v>0</v>
      </c>
      <c r="R507">
        <f t="shared" si="982"/>
        <v>0</v>
      </c>
      <c r="S507">
        <f t="shared" si="983"/>
        <v>0</v>
      </c>
      <c r="T507">
        <f t="shared" si="984"/>
        <v>0</v>
      </c>
    </row>
    <row r="508" spans="1:20" x14ac:dyDescent="0.25">
      <c r="A508" s="5"/>
      <c r="C508"/>
      <c r="D508"/>
      <c r="P508">
        <f t="shared" si="980"/>
        <v>0</v>
      </c>
      <c r="Q508">
        <f t="shared" si="981"/>
        <v>0</v>
      </c>
      <c r="R508">
        <f t="shared" si="982"/>
        <v>0</v>
      </c>
      <c r="S508">
        <f t="shared" si="983"/>
        <v>0</v>
      </c>
      <c r="T508">
        <f t="shared" si="984"/>
        <v>0</v>
      </c>
    </row>
    <row r="509" spans="1:20" x14ac:dyDescent="0.25">
      <c r="A509" s="5"/>
      <c r="C509"/>
      <c r="D509"/>
      <c r="P509">
        <f t="shared" si="980"/>
        <v>0</v>
      </c>
      <c r="Q509">
        <f t="shared" si="981"/>
        <v>0</v>
      </c>
      <c r="R509">
        <f t="shared" si="982"/>
        <v>0</v>
      </c>
      <c r="S509">
        <f t="shared" si="983"/>
        <v>0</v>
      </c>
      <c r="T509">
        <f t="shared" si="984"/>
        <v>0</v>
      </c>
    </row>
    <row r="510" spans="1:20" x14ac:dyDescent="0.25">
      <c r="A510" s="5"/>
      <c r="C510"/>
      <c r="D510"/>
      <c r="P510">
        <f t="shared" si="980"/>
        <v>0</v>
      </c>
      <c r="Q510">
        <f t="shared" si="981"/>
        <v>0</v>
      </c>
      <c r="R510">
        <f t="shared" si="982"/>
        <v>0</v>
      </c>
      <c r="S510">
        <f t="shared" si="983"/>
        <v>0</v>
      </c>
      <c r="T510">
        <f t="shared" si="984"/>
        <v>0</v>
      </c>
    </row>
    <row r="511" spans="1:20" x14ac:dyDescent="0.25">
      <c r="A511" s="5"/>
      <c r="C511"/>
      <c r="D511"/>
      <c r="P511">
        <f t="shared" si="980"/>
        <v>0</v>
      </c>
      <c r="Q511">
        <f t="shared" si="981"/>
        <v>0</v>
      </c>
      <c r="R511">
        <f t="shared" si="982"/>
        <v>0</v>
      </c>
      <c r="S511">
        <f t="shared" si="983"/>
        <v>0</v>
      </c>
      <c r="T511">
        <f t="shared" si="984"/>
        <v>0</v>
      </c>
    </row>
    <row r="512" spans="1:20" x14ac:dyDescent="0.25">
      <c r="A512" s="5"/>
      <c r="C512"/>
      <c r="D512"/>
      <c r="P512">
        <f t="shared" si="980"/>
        <v>0</v>
      </c>
      <c r="Q512">
        <f t="shared" si="981"/>
        <v>0</v>
      </c>
      <c r="R512">
        <f t="shared" si="982"/>
        <v>0</v>
      </c>
      <c r="S512">
        <f t="shared" si="983"/>
        <v>0</v>
      </c>
      <c r="T512">
        <f t="shared" si="984"/>
        <v>0</v>
      </c>
    </row>
    <row r="513" spans="1:20" x14ac:dyDescent="0.25">
      <c r="A513" s="5"/>
      <c r="C513"/>
      <c r="D513"/>
      <c r="P513">
        <f t="shared" si="980"/>
        <v>0</v>
      </c>
      <c r="Q513">
        <f t="shared" si="981"/>
        <v>0</v>
      </c>
      <c r="R513">
        <f t="shared" si="982"/>
        <v>0</v>
      </c>
      <c r="S513">
        <f t="shared" si="983"/>
        <v>0</v>
      </c>
      <c r="T513">
        <f t="shared" si="984"/>
        <v>0</v>
      </c>
    </row>
    <row r="514" spans="1:20" x14ac:dyDescent="0.25">
      <c r="A514" s="5"/>
      <c r="C514"/>
      <c r="D514"/>
      <c r="P514">
        <f t="shared" si="980"/>
        <v>0</v>
      </c>
      <c r="Q514">
        <f t="shared" si="981"/>
        <v>0</v>
      </c>
      <c r="R514">
        <f t="shared" si="982"/>
        <v>0</v>
      </c>
      <c r="S514">
        <f t="shared" si="983"/>
        <v>0</v>
      </c>
      <c r="T514">
        <f t="shared" si="984"/>
        <v>0</v>
      </c>
    </row>
    <row r="515" spans="1:20" x14ac:dyDescent="0.25">
      <c r="A515" s="5"/>
      <c r="C515"/>
      <c r="D515"/>
      <c r="P515">
        <f t="shared" si="980"/>
        <v>0</v>
      </c>
      <c r="Q515">
        <f t="shared" si="981"/>
        <v>0</v>
      </c>
      <c r="R515">
        <f t="shared" si="982"/>
        <v>0</v>
      </c>
      <c r="S515">
        <f t="shared" si="983"/>
        <v>0</v>
      </c>
      <c r="T515">
        <f t="shared" si="984"/>
        <v>0</v>
      </c>
    </row>
    <row r="516" spans="1:20" x14ac:dyDescent="0.25">
      <c r="A516" s="5"/>
      <c r="C516"/>
      <c r="D516"/>
      <c r="P516">
        <f t="shared" si="980"/>
        <v>0</v>
      </c>
      <c r="Q516">
        <f t="shared" si="981"/>
        <v>0</v>
      </c>
      <c r="R516">
        <f t="shared" si="982"/>
        <v>0</v>
      </c>
      <c r="S516">
        <f t="shared" si="983"/>
        <v>0</v>
      </c>
      <c r="T516">
        <f t="shared" si="984"/>
        <v>0</v>
      </c>
    </row>
    <row r="517" spans="1:20" x14ac:dyDescent="0.25">
      <c r="A517" s="5"/>
      <c r="C517"/>
      <c r="D517"/>
      <c r="P517">
        <f t="shared" si="980"/>
        <v>0</v>
      </c>
      <c r="Q517">
        <f t="shared" si="981"/>
        <v>0</v>
      </c>
      <c r="R517">
        <f t="shared" si="982"/>
        <v>0</v>
      </c>
      <c r="S517">
        <f t="shared" si="983"/>
        <v>0</v>
      </c>
      <c r="T517">
        <f t="shared" si="984"/>
        <v>0</v>
      </c>
    </row>
    <row r="518" spans="1:20" x14ac:dyDescent="0.25">
      <c r="A518" s="5"/>
      <c r="C518"/>
      <c r="D518"/>
      <c r="P518">
        <f t="shared" ref="P518:P581" si="985">IF(C518=D518,0,((E518-D518)-(C518-E518))/(C518-D518))</f>
        <v>0</v>
      </c>
      <c r="Q518">
        <f t="shared" ref="Q518:Q581" si="986">F518*P518</f>
        <v>0</v>
      </c>
      <c r="R518">
        <f t="shared" ref="R518:R581" si="987">R519+Q518</f>
        <v>0</v>
      </c>
      <c r="S518">
        <f t="shared" ref="S518:S581" si="988">R518/100000</f>
        <v>0</v>
      </c>
      <c r="T518">
        <f t="shared" ref="T518:T581" si="989">S518/1000</f>
        <v>0</v>
      </c>
    </row>
    <row r="519" spans="1:20" x14ac:dyDescent="0.25">
      <c r="A519" s="5"/>
      <c r="C519"/>
      <c r="D519"/>
      <c r="P519">
        <f t="shared" si="985"/>
        <v>0</v>
      </c>
      <c r="Q519">
        <f t="shared" si="986"/>
        <v>0</v>
      </c>
      <c r="R519">
        <f t="shared" si="987"/>
        <v>0</v>
      </c>
      <c r="S519">
        <f t="shared" si="988"/>
        <v>0</v>
      </c>
      <c r="T519">
        <f t="shared" si="989"/>
        <v>0</v>
      </c>
    </row>
    <row r="520" spans="1:20" x14ac:dyDescent="0.25">
      <c r="A520" s="5"/>
      <c r="C520"/>
      <c r="D520"/>
      <c r="P520">
        <f t="shared" si="985"/>
        <v>0</v>
      </c>
      <c r="Q520">
        <f t="shared" si="986"/>
        <v>0</v>
      </c>
      <c r="R520">
        <f t="shared" si="987"/>
        <v>0</v>
      </c>
      <c r="S520">
        <f t="shared" si="988"/>
        <v>0</v>
      </c>
      <c r="T520">
        <f t="shared" si="989"/>
        <v>0</v>
      </c>
    </row>
    <row r="521" spans="1:20" x14ac:dyDescent="0.25">
      <c r="A521" s="5"/>
      <c r="C521"/>
      <c r="D521"/>
      <c r="P521">
        <f t="shared" si="985"/>
        <v>0</v>
      </c>
      <c r="Q521">
        <f t="shared" si="986"/>
        <v>0</v>
      </c>
      <c r="R521">
        <f t="shared" si="987"/>
        <v>0</v>
      </c>
      <c r="S521">
        <f t="shared" si="988"/>
        <v>0</v>
      </c>
      <c r="T521">
        <f t="shared" si="989"/>
        <v>0</v>
      </c>
    </row>
    <row r="522" spans="1:20" x14ac:dyDescent="0.25">
      <c r="A522" s="5"/>
      <c r="C522"/>
      <c r="D522"/>
      <c r="P522">
        <f t="shared" si="985"/>
        <v>0</v>
      </c>
      <c r="Q522">
        <f t="shared" si="986"/>
        <v>0</v>
      </c>
      <c r="R522">
        <f t="shared" si="987"/>
        <v>0</v>
      </c>
      <c r="S522">
        <f t="shared" si="988"/>
        <v>0</v>
      </c>
      <c r="T522">
        <f t="shared" si="989"/>
        <v>0</v>
      </c>
    </row>
    <row r="523" spans="1:20" x14ac:dyDescent="0.25">
      <c r="A523" s="5"/>
      <c r="C523"/>
      <c r="D523"/>
      <c r="P523">
        <f t="shared" si="985"/>
        <v>0</v>
      </c>
      <c r="Q523">
        <f t="shared" si="986"/>
        <v>0</v>
      </c>
      <c r="R523">
        <f t="shared" si="987"/>
        <v>0</v>
      </c>
      <c r="S523">
        <f t="shared" si="988"/>
        <v>0</v>
      </c>
      <c r="T523">
        <f t="shared" si="989"/>
        <v>0</v>
      </c>
    </row>
    <row r="524" spans="1:20" x14ac:dyDescent="0.25">
      <c r="A524" s="5"/>
      <c r="C524"/>
      <c r="D524"/>
      <c r="P524">
        <f t="shared" si="985"/>
        <v>0</v>
      </c>
      <c r="Q524">
        <f t="shared" si="986"/>
        <v>0</v>
      </c>
      <c r="R524">
        <f t="shared" si="987"/>
        <v>0</v>
      </c>
      <c r="S524">
        <f t="shared" si="988"/>
        <v>0</v>
      </c>
      <c r="T524">
        <f t="shared" si="989"/>
        <v>0</v>
      </c>
    </row>
    <row r="525" spans="1:20" x14ac:dyDescent="0.25">
      <c r="A525" s="5"/>
      <c r="C525"/>
      <c r="D525"/>
      <c r="P525">
        <f t="shared" si="985"/>
        <v>0</v>
      </c>
      <c r="Q525">
        <f t="shared" si="986"/>
        <v>0</v>
      </c>
      <c r="R525">
        <f t="shared" si="987"/>
        <v>0</v>
      </c>
      <c r="S525">
        <f t="shared" si="988"/>
        <v>0</v>
      </c>
      <c r="T525">
        <f t="shared" si="989"/>
        <v>0</v>
      </c>
    </row>
    <row r="526" spans="1:20" x14ac:dyDescent="0.25">
      <c r="A526" s="5"/>
      <c r="C526"/>
      <c r="D526"/>
      <c r="P526">
        <f t="shared" si="985"/>
        <v>0</v>
      </c>
      <c r="Q526">
        <f t="shared" si="986"/>
        <v>0</v>
      </c>
      <c r="R526">
        <f t="shared" si="987"/>
        <v>0</v>
      </c>
      <c r="S526">
        <f t="shared" si="988"/>
        <v>0</v>
      </c>
      <c r="T526">
        <f t="shared" si="989"/>
        <v>0</v>
      </c>
    </row>
    <row r="527" spans="1:20" x14ac:dyDescent="0.25">
      <c r="A527" s="5"/>
      <c r="C527"/>
      <c r="D527"/>
      <c r="P527">
        <f t="shared" si="985"/>
        <v>0</v>
      </c>
      <c r="Q527">
        <f t="shared" si="986"/>
        <v>0</v>
      </c>
      <c r="R527">
        <f t="shared" si="987"/>
        <v>0</v>
      </c>
      <c r="S527">
        <f t="shared" si="988"/>
        <v>0</v>
      </c>
      <c r="T527">
        <f t="shared" si="989"/>
        <v>0</v>
      </c>
    </row>
    <row r="528" spans="1:20" x14ac:dyDescent="0.25">
      <c r="A528" s="5"/>
      <c r="C528"/>
      <c r="D528"/>
      <c r="P528">
        <f t="shared" si="985"/>
        <v>0</v>
      </c>
      <c r="Q528">
        <f t="shared" si="986"/>
        <v>0</v>
      </c>
      <c r="R528">
        <f t="shared" si="987"/>
        <v>0</v>
      </c>
      <c r="S528">
        <f t="shared" si="988"/>
        <v>0</v>
      </c>
      <c r="T528">
        <f t="shared" si="989"/>
        <v>0</v>
      </c>
    </row>
    <row r="529" spans="1:20" x14ac:dyDescent="0.25">
      <c r="A529" s="5"/>
      <c r="C529"/>
      <c r="D529"/>
      <c r="P529">
        <f t="shared" si="985"/>
        <v>0</v>
      </c>
      <c r="Q529">
        <f t="shared" si="986"/>
        <v>0</v>
      </c>
      <c r="R529">
        <f t="shared" si="987"/>
        <v>0</v>
      </c>
      <c r="S529">
        <f t="shared" si="988"/>
        <v>0</v>
      </c>
      <c r="T529">
        <f t="shared" si="989"/>
        <v>0</v>
      </c>
    </row>
    <row r="530" spans="1:20" x14ac:dyDescent="0.25">
      <c r="A530" s="5"/>
      <c r="C530"/>
      <c r="D530"/>
      <c r="P530">
        <f t="shared" si="985"/>
        <v>0</v>
      </c>
      <c r="Q530">
        <f t="shared" si="986"/>
        <v>0</v>
      </c>
      <c r="R530">
        <f t="shared" si="987"/>
        <v>0</v>
      </c>
      <c r="S530">
        <f t="shared" si="988"/>
        <v>0</v>
      </c>
      <c r="T530">
        <f t="shared" si="989"/>
        <v>0</v>
      </c>
    </row>
    <row r="531" spans="1:20" x14ac:dyDescent="0.25">
      <c r="A531" s="5"/>
      <c r="C531"/>
      <c r="D531"/>
      <c r="P531">
        <f t="shared" si="985"/>
        <v>0</v>
      </c>
      <c r="Q531">
        <f t="shared" si="986"/>
        <v>0</v>
      </c>
      <c r="R531">
        <f t="shared" si="987"/>
        <v>0</v>
      </c>
      <c r="S531">
        <f t="shared" si="988"/>
        <v>0</v>
      </c>
      <c r="T531">
        <f t="shared" si="989"/>
        <v>0</v>
      </c>
    </row>
    <row r="532" spans="1:20" x14ac:dyDescent="0.25">
      <c r="A532" s="5"/>
      <c r="C532"/>
      <c r="D532"/>
      <c r="P532">
        <f t="shared" si="985"/>
        <v>0</v>
      </c>
      <c r="Q532">
        <f t="shared" si="986"/>
        <v>0</v>
      </c>
      <c r="R532">
        <f t="shared" si="987"/>
        <v>0</v>
      </c>
      <c r="S532">
        <f t="shared" si="988"/>
        <v>0</v>
      </c>
      <c r="T532">
        <f t="shared" si="989"/>
        <v>0</v>
      </c>
    </row>
    <row r="533" spans="1:20" x14ac:dyDescent="0.25">
      <c r="A533" s="5"/>
      <c r="C533"/>
      <c r="D533"/>
      <c r="P533">
        <f t="shared" si="985"/>
        <v>0</v>
      </c>
      <c r="Q533">
        <f t="shared" si="986"/>
        <v>0</v>
      </c>
      <c r="R533">
        <f t="shared" si="987"/>
        <v>0</v>
      </c>
      <c r="S533">
        <f t="shared" si="988"/>
        <v>0</v>
      </c>
      <c r="T533">
        <f t="shared" si="989"/>
        <v>0</v>
      </c>
    </row>
    <row r="534" spans="1:20" x14ac:dyDescent="0.25">
      <c r="A534" s="5"/>
      <c r="C534"/>
      <c r="D534"/>
      <c r="P534">
        <f t="shared" si="985"/>
        <v>0</v>
      </c>
      <c r="Q534">
        <f t="shared" si="986"/>
        <v>0</v>
      </c>
      <c r="R534">
        <f t="shared" si="987"/>
        <v>0</v>
      </c>
      <c r="S534">
        <f t="shared" si="988"/>
        <v>0</v>
      </c>
      <c r="T534">
        <f t="shared" si="989"/>
        <v>0</v>
      </c>
    </row>
    <row r="535" spans="1:20" x14ac:dyDescent="0.25">
      <c r="A535" s="5"/>
      <c r="C535"/>
      <c r="D535"/>
      <c r="P535">
        <f t="shared" si="985"/>
        <v>0</v>
      </c>
      <c r="Q535">
        <f t="shared" si="986"/>
        <v>0</v>
      </c>
      <c r="R535">
        <f t="shared" si="987"/>
        <v>0</v>
      </c>
      <c r="S535">
        <f t="shared" si="988"/>
        <v>0</v>
      </c>
      <c r="T535">
        <f t="shared" si="989"/>
        <v>0</v>
      </c>
    </row>
    <row r="536" spans="1:20" x14ac:dyDescent="0.25">
      <c r="A536" s="5"/>
      <c r="C536"/>
      <c r="D536"/>
      <c r="P536">
        <f t="shared" si="985"/>
        <v>0</v>
      </c>
      <c r="Q536">
        <f t="shared" si="986"/>
        <v>0</v>
      </c>
      <c r="R536">
        <f t="shared" si="987"/>
        <v>0</v>
      </c>
      <c r="S536">
        <f t="shared" si="988"/>
        <v>0</v>
      </c>
      <c r="T536">
        <f t="shared" si="989"/>
        <v>0</v>
      </c>
    </row>
    <row r="537" spans="1:20" x14ac:dyDescent="0.25">
      <c r="A537" s="5"/>
      <c r="C537"/>
      <c r="D537"/>
      <c r="P537">
        <f t="shared" si="985"/>
        <v>0</v>
      </c>
      <c r="Q537">
        <f t="shared" si="986"/>
        <v>0</v>
      </c>
      <c r="R537">
        <f t="shared" si="987"/>
        <v>0</v>
      </c>
      <c r="S537">
        <f t="shared" si="988"/>
        <v>0</v>
      </c>
      <c r="T537">
        <f t="shared" si="989"/>
        <v>0</v>
      </c>
    </row>
    <row r="538" spans="1:20" x14ac:dyDescent="0.25">
      <c r="A538" s="5"/>
      <c r="C538"/>
      <c r="D538"/>
      <c r="P538">
        <f t="shared" si="985"/>
        <v>0</v>
      </c>
      <c r="Q538">
        <f t="shared" si="986"/>
        <v>0</v>
      </c>
      <c r="R538">
        <f t="shared" si="987"/>
        <v>0</v>
      </c>
      <c r="S538">
        <f t="shared" si="988"/>
        <v>0</v>
      </c>
      <c r="T538">
        <f t="shared" si="989"/>
        <v>0</v>
      </c>
    </row>
    <row r="539" spans="1:20" x14ac:dyDescent="0.25">
      <c r="A539" s="5"/>
      <c r="C539"/>
      <c r="D539"/>
      <c r="P539">
        <f t="shared" si="985"/>
        <v>0</v>
      </c>
      <c r="Q539">
        <f t="shared" si="986"/>
        <v>0</v>
      </c>
      <c r="R539">
        <f t="shared" si="987"/>
        <v>0</v>
      </c>
      <c r="S539">
        <f t="shared" si="988"/>
        <v>0</v>
      </c>
      <c r="T539">
        <f t="shared" si="989"/>
        <v>0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F377" sqref="IF37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$A$376</v>
      </c>
      <c r="D111" s="1" t="str">
        <f>ADDRESS(C121-1,D121,1,1)</f>
        <v>$IF$376</v>
      </c>
      <c r="E111"/>
    </row>
    <row r="112" spans="1:5" x14ac:dyDescent="0.25">
      <c r="A112" s="7">
        <v>12164.144957890772</v>
      </c>
      <c r="C112" s="1" t="str">
        <f>ADDRESS(C121,1,1,1)</f>
        <v>$A$377</v>
      </c>
      <c r="D112" s="1" t="str">
        <f>ADDRESS(C121,D121-1,1,1)</f>
        <v>$IE$377</v>
      </c>
      <c r="E112"/>
    </row>
    <row r="113" spans="1:5" x14ac:dyDescent="0.25">
      <c r="A113" s="7">
        <v>11925.63231165762</v>
      </c>
      <c r="C113" s="1" t="str">
        <f>ADDRESS(C121+1,1,1,1)</f>
        <v>$A$378</v>
      </c>
      <c r="D113" s="1" t="str">
        <f>ADDRESS(C121-1,D121+1,1,1)</f>
        <v>$IG$376</v>
      </c>
    </row>
    <row r="114" spans="1:5" x14ac:dyDescent="0.25">
      <c r="A114" s="7">
        <v>11691.796383978059</v>
      </c>
      <c r="C114" s="1" t="str">
        <f>ADDRESS(C121,D121,1,1)</f>
        <v>$IF$377</v>
      </c>
      <c r="D114" s="1" t="str">
        <f>ADDRESS(C121+1,D121+1,1,1)</f>
        <v>$IG$378</v>
      </c>
    </row>
    <row r="115" spans="1:5" x14ac:dyDescent="0.25">
      <c r="A115" s="7">
        <v>11462.545474488292</v>
      </c>
      <c r="C115" s="1" t="str">
        <f>ADDRESS(C121+1,D121,1,1)</f>
        <v>$IF$378</v>
      </c>
    </row>
    <row r="116" spans="1:5" x14ac:dyDescent="0.25">
      <c r="A116" s="7">
        <v>11237.789680870874</v>
      </c>
      <c r="C116" s="1">
        <f>C117-1</f>
        <v>376</v>
      </c>
    </row>
    <row r="117" spans="1:5" x14ac:dyDescent="0.25">
      <c r="A117" s="7">
        <v>11017.440863598895</v>
      </c>
      <c r="C117" s="1">
        <f>C121</f>
        <v>377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378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377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R377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63.978797038643471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208" x14ac:dyDescent="0.25">
      <c r="A321" s="7">
        <v>193.93030865451311</v>
      </c>
      <c r="B321"/>
      <c r="C321"/>
      <c r="D321"/>
      <c r="E321"/>
    </row>
    <row r="322" spans="1:208" x14ac:dyDescent="0.25">
      <c r="A322" s="7">
        <v>190.127753582856</v>
      </c>
      <c r="B322"/>
      <c r="C322"/>
      <c r="D322"/>
      <c r="E322"/>
    </row>
    <row r="323" spans="1:208" x14ac:dyDescent="0.25">
      <c r="A323" s="7">
        <v>186.3997584145647</v>
      </c>
      <c r="B323"/>
      <c r="C323"/>
      <c r="D323"/>
      <c r="E323"/>
    </row>
    <row r="324" spans="1:208" x14ac:dyDescent="0.25">
      <c r="A324" s="7">
        <v>182.7448611907497</v>
      </c>
      <c r="B324"/>
      <c r="C324"/>
      <c r="D324"/>
      <c r="E324"/>
    </row>
    <row r="325" spans="1:208" x14ac:dyDescent="0.25">
      <c r="A325" s="7">
        <v>179.16162861838205</v>
      </c>
      <c r="B325"/>
      <c r="C325"/>
      <c r="D325"/>
      <c r="E325"/>
    </row>
    <row r="326" spans="1:208" x14ac:dyDescent="0.25">
      <c r="A326" s="7">
        <v>175.6486555082177</v>
      </c>
      <c r="B326"/>
      <c r="C326"/>
      <c r="D326"/>
      <c r="E326"/>
    </row>
    <row r="327" spans="1:208" x14ac:dyDescent="0.25">
      <c r="A327" s="7">
        <v>172.20456422374284</v>
      </c>
      <c r="B327"/>
      <c r="C327"/>
      <c r="D327"/>
      <c r="E327"/>
    </row>
    <row r="328" spans="1:208" x14ac:dyDescent="0.25">
      <c r="A328" s="7">
        <v>168.82800414092435</v>
      </c>
      <c r="B328"/>
      <c r="C328"/>
      <c r="D328"/>
      <c r="E328"/>
    </row>
    <row r="329" spans="1:208" x14ac:dyDescent="0.25">
      <c r="A329" s="7">
        <v>165.51765111855329</v>
      </c>
      <c r="B329"/>
      <c r="C329"/>
      <c r="D329"/>
      <c r="E329"/>
    </row>
    <row r="330" spans="1:208" x14ac:dyDescent="0.25">
      <c r="A330" s="7">
        <v>162.2722069789738</v>
      </c>
      <c r="B330"/>
      <c r="C330"/>
      <c r="D330"/>
      <c r="E330"/>
    </row>
    <row r="331" spans="1:208" x14ac:dyDescent="0.25">
      <c r="A331" s="7">
        <v>159.09039899899392</v>
      </c>
      <c r="B331"/>
      <c r="C331"/>
      <c r="D331"/>
      <c r="E331"/>
    </row>
    <row r="332" spans="1:208" x14ac:dyDescent="0.25">
      <c r="A332" s="7">
        <v>155.97097941077834</v>
      </c>
      <c r="B332"/>
      <c r="C332"/>
      <c r="D332"/>
      <c r="E332"/>
    </row>
    <row r="333" spans="1:208" x14ac:dyDescent="0.25">
      <c r="A333" s="7">
        <v>152.91272491252778</v>
      </c>
      <c r="B333"/>
      <c r="C333"/>
      <c r="D333"/>
      <c r="E333"/>
    </row>
    <row r="334" spans="1:208" x14ac:dyDescent="0.25">
      <c r="A334" s="7">
        <v>149.91443618875272</v>
      </c>
      <c r="B334"/>
      <c r="C334"/>
      <c r="D334"/>
      <c r="E334"/>
    </row>
    <row r="335" spans="1:208" x14ac:dyDescent="0.25">
      <c r="A335" s="7">
        <v>146.97493743995364</v>
      </c>
      <c r="B335"/>
      <c r="C335"/>
      <c r="D335"/>
      <c r="E335"/>
      <c r="GY335" s="27" t="s">
        <v>8</v>
      </c>
    </row>
    <row r="336" spans="1:208" x14ac:dyDescent="0.25">
      <c r="A336" s="7">
        <v>144.09307592152317</v>
      </c>
      <c r="B336"/>
      <c r="C336"/>
      <c r="D336"/>
      <c r="E336"/>
      <c r="GY336" s="27" t="s">
        <v>8</v>
      </c>
      <c r="GZ336" s="27" t="s">
        <v>7</v>
      </c>
    </row>
    <row r="337" spans="1:228" x14ac:dyDescent="0.25">
      <c r="A337" s="7">
        <v>141.26772149168937</v>
      </c>
      <c r="B337"/>
      <c r="C337"/>
      <c r="D337"/>
      <c r="E337"/>
      <c r="GY337" s="27" t="s">
        <v>8</v>
      </c>
      <c r="GZ337" s="27" t="s">
        <v>7</v>
      </c>
    </row>
    <row r="338" spans="1:228" x14ac:dyDescent="0.25">
      <c r="A338" s="7">
        <v>138.4977661683229</v>
      </c>
      <c r="B338"/>
      <c r="C338"/>
      <c r="D338"/>
      <c r="E338"/>
      <c r="GY338" s="27" t="s">
        <v>8</v>
      </c>
      <c r="GZ338" s="27" t="s">
        <v>7</v>
      </c>
    </row>
    <row r="339" spans="1:228" x14ac:dyDescent="0.25">
      <c r="A339" s="7">
        <v>135.7821236944342</v>
      </c>
      <c r="B339"/>
      <c r="C339"/>
      <c r="D339"/>
      <c r="E339"/>
      <c r="GY339" s="27" t="s">
        <v>8</v>
      </c>
      <c r="GZ339" s="27" t="s">
        <v>7</v>
      </c>
    </row>
    <row r="340" spans="1:228" x14ac:dyDescent="0.25">
      <c r="A340" s="7">
        <v>133.11972911219038</v>
      </c>
      <c r="B340"/>
      <c r="C340"/>
      <c r="D340"/>
      <c r="E340"/>
      <c r="GY340" s="27" t="s">
        <v>8</v>
      </c>
      <c r="GZ340" s="27" t="s">
        <v>7</v>
      </c>
    </row>
    <row r="341" spans="1:228" x14ac:dyDescent="0.25">
      <c r="A341" s="7">
        <v>130.50953834528468</v>
      </c>
      <c r="B341"/>
      <c r="C341"/>
      <c r="D341"/>
      <c r="E341"/>
      <c r="GY341" s="27" t="s">
        <v>8</v>
      </c>
      <c r="GZ341" s="27" t="s">
        <v>7</v>
      </c>
    </row>
    <row r="342" spans="1:228" x14ac:dyDescent="0.25">
      <c r="A342" s="7">
        <v>127.95052778949477</v>
      </c>
      <c r="B342"/>
      <c r="C342"/>
      <c r="D342"/>
      <c r="E342"/>
      <c r="GY342" s="27" t="s">
        <v>8</v>
      </c>
      <c r="GZ342" s="27" t="s">
        <v>7</v>
      </c>
    </row>
    <row r="343" spans="1:228" x14ac:dyDescent="0.25">
      <c r="A343" s="7">
        <v>125.44169391126938</v>
      </c>
      <c r="B343"/>
      <c r="C343"/>
      <c r="D343"/>
      <c r="E343"/>
      <c r="GY343" s="27" t="s">
        <v>8</v>
      </c>
      <c r="GZ343" s="27" t="s">
        <v>7</v>
      </c>
      <c r="HC343" s="27" t="s">
        <v>8</v>
      </c>
      <c r="HO343" s="27" t="s">
        <v>8</v>
      </c>
    </row>
    <row r="344" spans="1:228" x14ac:dyDescent="0.25">
      <c r="A344" s="7">
        <v>122.98205285418567</v>
      </c>
      <c r="B344"/>
      <c r="C344"/>
      <c r="D344"/>
      <c r="E344"/>
      <c r="GY344" s="27" t="s">
        <v>8</v>
      </c>
      <c r="GZ344" s="27" t="s">
        <v>7</v>
      </c>
      <c r="HC344" s="27" t="s">
        <v>8</v>
      </c>
      <c r="HD344" s="27" t="s">
        <v>7</v>
      </c>
      <c r="HO344" s="27" t="s">
        <v>8</v>
      </c>
      <c r="HP344" s="27" t="s">
        <v>7</v>
      </c>
    </row>
    <row r="345" spans="1:228" x14ac:dyDescent="0.25">
      <c r="A345" s="7">
        <v>120.5706400531232</v>
      </c>
      <c r="B345"/>
      <c r="C345"/>
      <c r="D345"/>
      <c r="E345"/>
      <c r="GY345" s="27" t="s">
        <v>8</v>
      </c>
      <c r="GZ345" s="27" t="s">
        <v>7</v>
      </c>
      <c r="HC345" s="27" t="s">
        <v>8</v>
      </c>
      <c r="HD345" s="27" t="s">
        <v>7</v>
      </c>
      <c r="HO345" s="27" t="s">
        <v>8</v>
      </c>
      <c r="HP345" s="27" t="s">
        <v>7</v>
      </c>
      <c r="HQ345" s="27" t="s">
        <v>8</v>
      </c>
    </row>
    <row r="346" spans="1:228" x14ac:dyDescent="0.25">
      <c r="A346" s="7">
        <v>118.20650985600314</v>
      </c>
      <c r="B346"/>
      <c r="C346"/>
      <c r="D346"/>
      <c r="E346"/>
      <c r="GY346" s="27" t="s">
        <v>8</v>
      </c>
      <c r="GZ346" s="27" t="s">
        <v>7</v>
      </c>
      <c r="HC346" s="27" t="s">
        <v>8</v>
      </c>
      <c r="HD346" s="27" t="s">
        <v>7</v>
      </c>
      <c r="HO346" s="27" t="s">
        <v>8</v>
      </c>
      <c r="HP346" s="27" t="s">
        <v>7</v>
      </c>
      <c r="HQ346" s="27" t="s">
        <v>8</v>
      </c>
      <c r="HR346" s="27" t="s">
        <v>7</v>
      </c>
    </row>
    <row r="347" spans="1:228" x14ac:dyDescent="0.25">
      <c r="A347" s="7">
        <v>115.88873515294425</v>
      </c>
      <c r="B347"/>
      <c r="C347"/>
      <c r="D347"/>
      <c r="E347"/>
      <c r="GY347" s="27" t="s">
        <v>8</v>
      </c>
      <c r="GZ347" s="27" t="s">
        <v>7</v>
      </c>
      <c r="HA347" s="27" t="s">
        <v>8</v>
      </c>
      <c r="HC347" s="27" t="s">
        <v>8</v>
      </c>
      <c r="HD347" s="27" t="s">
        <v>7</v>
      </c>
      <c r="HK347" s="27" t="s">
        <v>8</v>
      </c>
      <c r="HM347" s="27" t="s">
        <v>8</v>
      </c>
      <c r="HO347" s="27" t="s">
        <v>8</v>
      </c>
      <c r="HP347" s="27" t="s">
        <v>7</v>
      </c>
      <c r="HQ347" s="27" t="s">
        <v>8</v>
      </c>
      <c r="HR347" s="27" t="s">
        <v>7</v>
      </c>
      <c r="HS347" s="27" t="s">
        <v>8</v>
      </c>
    </row>
    <row r="348" spans="1:228" x14ac:dyDescent="0.25">
      <c r="A348" s="7">
        <v>113.61640701269044</v>
      </c>
      <c r="B348"/>
      <c r="C348"/>
      <c r="D348"/>
      <c r="E348"/>
      <c r="GY348" s="27" t="s">
        <v>8</v>
      </c>
      <c r="GZ348" s="27" t="s">
        <v>7</v>
      </c>
      <c r="HA348" s="27" t="s">
        <v>8</v>
      </c>
      <c r="HB348" s="27" t="s">
        <v>7</v>
      </c>
      <c r="HC348" s="27" t="s">
        <v>8</v>
      </c>
      <c r="HD348" s="27" t="s">
        <v>7</v>
      </c>
      <c r="HK348" s="27" t="s">
        <v>8</v>
      </c>
      <c r="HL348" s="27" t="s">
        <v>7</v>
      </c>
      <c r="HM348" s="27" t="s">
        <v>8</v>
      </c>
      <c r="HN348" s="27" t="s">
        <v>7</v>
      </c>
      <c r="HO348" s="27" t="s">
        <v>8</v>
      </c>
      <c r="HP348" s="27" t="s">
        <v>7</v>
      </c>
      <c r="HQ348" s="27" t="s">
        <v>8</v>
      </c>
      <c r="HR348" s="27" t="s">
        <v>7</v>
      </c>
      <c r="HS348" s="27" t="s">
        <v>8</v>
      </c>
      <c r="HT348" s="27" t="s">
        <v>7</v>
      </c>
    </row>
    <row r="349" spans="1:228" x14ac:dyDescent="0.25">
      <c r="A349" s="7">
        <v>111.38863432616711</v>
      </c>
      <c r="B349"/>
      <c r="C349"/>
      <c r="D349"/>
      <c r="E349"/>
      <c r="GY349" s="27" t="s">
        <v>8</v>
      </c>
      <c r="GZ349" s="27" t="s">
        <v>7</v>
      </c>
      <c r="HA349" s="27" t="s">
        <v>8</v>
      </c>
      <c r="HB349" s="27" t="s">
        <v>7</v>
      </c>
      <c r="HC349" s="27" t="s">
        <v>8</v>
      </c>
      <c r="HD349" s="27" t="s">
        <v>7</v>
      </c>
      <c r="HK349" s="27" t="s">
        <v>8</v>
      </c>
      <c r="HL349" s="27" t="s">
        <v>7</v>
      </c>
      <c r="HM349" s="27" t="s">
        <v>8</v>
      </c>
      <c r="HN349" s="27" t="s">
        <v>7</v>
      </c>
      <c r="HO349" s="27" t="s">
        <v>8</v>
      </c>
      <c r="HP349" s="27" t="s">
        <v>7</v>
      </c>
      <c r="HR349" s="27" t="s">
        <v>7</v>
      </c>
      <c r="HS349" s="27" t="s">
        <v>8</v>
      </c>
      <c r="HT349" s="27" t="s">
        <v>7</v>
      </c>
    </row>
    <row r="350" spans="1:228" x14ac:dyDescent="0.25">
      <c r="A350" s="7">
        <v>109.20454345702657</v>
      </c>
      <c r="B350"/>
      <c r="C350"/>
      <c r="D350"/>
      <c r="E350"/>
      <c r="GW350" s="27" t="s">
        <v>8</v>
      </c>
      <c r="GY350" s="27" t="s">
        <v>8</v>
      </c>
      <c r="GZ350" s="27" t="s">
        <v>7</v>
      </c>
      <c r="HA350" s="27" t="s">
        <v>8</v>
      </c>
      <c r="HB350" s="27" t="s">
        <v>7</v>
      </c>
      <c r="HC350" s="27" t="s">
        <v>8</v>
      </c>
      <c r="HD350" s="27" t="s">
        <v>7</v>
      </c>
      <c r="HK350" s="27" t="s">
        <v>8</v>
      </c>
      <c r="HL350" s="27" t="s">
        <v>7</v>
      </c>
      <c r="HM350" s="27" t="s">
        <v>8</v>
      </c>
      <c r="HN350" s="27" t="s">
        <v>7</v>
      </c>
      <c r="HO350" s="27" t="s">
        <v>8</v>
      </c>
      <c r="HR350" s="27" t="s">
        <v>7</v>
      </c>
      <c r="HS350" s="27" t="s">
        <v>8</v>
      </c>
      <c r="HT350" s="27" t="s">
        <v>7</v>
      </c>
    </row>
    <row r="351" spans="1:228" x14ac:dyDescent="0.25">
      <c r="A351" s="7">
        <v>107.06327789904566</v>
      </c>
      <c r="B351"/>
      <c r="C351"/>
      <c r="D351"/>
      <c r="E351"/>
      <c r="GW351" s="27" t="s">
        <v>8</v>
      </c>
      <c r="GX351" s="27" t="s">
        <v>7</v>
      </c>
      <c r="GY351" s="27" t="s">
        <v>8</v>
      </c>
      <c r="GZ351" s="27" t="s">
        <v>7</v>
      </c>
      <c r="HA351" s="27" t="s">
        <v>8</v>
      </c>
      <c r="HB351" s="27" t="s">
        <v>7</v>
      </c>
      <c r="HC351" s="27" t="s">
        <v>8</v>
      </c>
      <c r="HD351" s="27" t="s">
        <v>7</v>
      </c>
      <c r="HK351" s="27" t="s">
        <v>8</v>
      </c>
      <c r="HL351" s="27" t="s">
        <v>7</v>
      </c>
      <c r="HN351" s="27" t="s">
        <v>7</v>
      </c>
      <c r="HO351" s="27" t="s">
        <v>8</v>
      </c>
      <c r="HR351" s="27" t="s">
        <v>7</v>
      </c>
      <c r="HS351" s="27" t="s">
        <v>8</v>
      </c>
      <c r="HT351" s="27" t="s">
        <v>7</v>
      </c>
    </row>
    <row r="352" spans="1:228" x14ac:dyDescent="0.25">
      <c r="A352" s="7">
        <v>104.96399794024084</v>
      </c>
      <c r="B352"/>
      <c r="C352"/>
      <c r="D352"/>
      <c r="E352"/>
      <c r="GW352" s="27" t="s">
        <v>8</v>
      </c>
      <c r="GX352" s="27" t="s">
        <v>7</v>
      </c>
      <c r="GY352" s="27" t="s">
        <v>8</v>
      </c>
      <c r="GZ352" s="27" t="s">
        <v>7</v>
      </c>
      <c r="HA352" s="27" t="s">
        <v>8</v>
      </c>
      <c r="HB352" s="27" t="s">
        <v>7</v>
      </c>
      <c r="HC352" s="27" t="s">
        <v>8</v>
      </c>
      <c r="HD352" s="27" t="s">
        <v>7</v>
      </c>
      <c r="HK352" s="27" t="s">
        <v>8</v>
      </c>
      <c r="HN352" s="27" t="s">
        <v>7</v>
      </c>
      <c r="HO352" s="27" t="s">
        <v>8</v>
      </c>
      <c r="HR352" s="27" t="s">
        <v>7</v>
      </c>
      <c r="HS352" s="27" t="s">
        <v>8</v>
      </c>
      <c r="HT352" s="27" t="s">
        <v>7</v>
      </c>
    </row>
    <row r="353" spans="1:236" x14ac:dyDescent="0.25">
      <c r="A353" s="7">
        <v>102.90588033356946</v>
      </c>
      <c r="B353"/>
      <c r="C353"/>
      <c r="D353"/>
      <c r="E353"/>
      <c r="GW353" s="27" t="s">
        <v>8</v>
      </c>
      <c r="GX353" s="27" t="s">
        <v>7</v>
      </c>
      <c r="GY353" s="27" t="s">
        <v>8</v>
      </c>
      <c r="GZ353" s="27" t="s">
        <v>7</v>
      </c>
      <c r="HB353" s="27" t="s">
        <v>7</v>
      </c>
      <c r="HC353" s="27" t="s">
        <v>8</v>
      </c>
      <c r="HD353" s="27" t="s">
        <v>7</v>
      </c>
      <c r="HK353" s="27" t="s">
        <v>8</v>
      </c>
      <c r="HN353" s="27" t="s">
        <v>7</v>
      </c>
      <c r="HR353" s="27" t="s">
        <v>7</v>
      </c>
      <c r="HS353" s="27" t="s">
        <v>8</v>
      </c>
      <c r="HT353" s="27" t="s">
        <v>7</v>
      </c>
    </row>
    <row r="354" spans="1:236" x14ac:dyDescent="0.25">
      <c r="A354" s="7">
        <v>100.88811797408771</v>
      </c>
      <c r="B354"/>
      <c r="C354"/>
      <c r="D354"/>
      <c r="E354"/>
      <c r="GU354" s="27" t="s">
        <v>8</v>
      </c>
      <c r="GW354" s="27" t="s">
        <v>8</v>
      </c>
      <c r="GX354" s="27" t="s">
        <v>7</v>
      </c>
      <c r="GY354" s="27" t="s">
        <v>8</v>
      </c>
      <c r="HB354" s="27" t="s">
        <v>7</v>
      </c>
      <c r="HD354" s="27" t="s">
        <v>7</v>
      </c>
      <c r="HK354" s="27" t="s">
        <v>8</v>
      </c>
      <c r="HR354" s="27" t="s">
        <v>7</v>
      </c>
      <c r="HS354" s="27" t="s">
        <v>8</v>
      </c>
      <c r="HT354" s="27" t="s">
        <v>7</v>
      </c>
    </row>
    <row r="355" spans="1:236" x14ac:dyDescent="0.25">
      <c r="A355" s="7">
        <v>98.909919582438931</v>
      </c>
      <c r="B355"/>
      <c r="C355"/>
      <c r="D355"/>
      <c r="E355"/>
      <c r="GU355" s="27" t="s">
        <v>8</v>
      </c>
      <c r="GV355" s="27" t="s">
        <v>7</v>
      </c>
      <c r="GW355" s="27" t="s">
        <v>8</v>
      </c>
      <c r="GX355" s="27" t="s">
        <v>7</v>
      </c>
      <c r="GY355" s="27" t="s">
        <v>8</v>
      </c>
      <c r="HD355" s="27" t="s">
        <v>7</v>
      </c>
      <c r="HK355" s="27" t="s">
        <v>8</v>
      </c>
      <c r="HR355" s="27" t="s">
        <v>7</v>
      </c>
      <c r="HT355" s="27" t="s">
        <v>7</v>
      </c>
    </row>
    <row r="356" spans="1:236" x14ac:dyDescent="0.25">
      <c r="A356" s="7">
        <v>96.970509394547975</v>
      </c>
      <c r="B356"/>
      <c r="C356"/>
      <c r="D356"/>
      <c r="E356"/>
      <c r="GU356" s="27" t="s">
        <v>8</v>
      </c>
      <c r="GV356" s="27" t="s">
        <v>7</v>
      </c>
      <c r="GW356" s="27" t="s">
        <v>8</v>
      </c>
      <c r="GX356" s="27" t="s">
        <v>7</v>
      </c>
      <c r="GY356" s="27" t="s">
        <v>8</v>
      </c>
      <c r="HD356" s="27" t="s">
        <v>7</v>
      </c>
      <c r="HK356" s="27" t="s">
        <v>8</v>
      </c>
      <c r="HT356" s="27" t="s">
        <v>7</v>
      </c>
      <c r="HU356" s="27" t="s">
        <v>8</v>
      </c>
      <c r="HY356" s="27" t="s">
        <v>8</v>
      </c>
    </row>
    <row r="357" spans="1:236" x14ac:dyDescent="0.25">
      <c r="A357" s="7">
        <v>95.069126857399979</v>
      </c>
      <c r="B357"/>
      <c r="C357"/>
      <c r="D357"/>
      <c r="E357"/>
      <c r="GS357" s="27" t="s">
        <v>8</v>
      </c>
      <c r="GU357" s="27" t="s">
        <v>8</v>
      </c>
      <c r="GV357" s="27" t="s">
        <v>7</v>
      </c>
      <c r="GW357" s="27" t="s">
        <v>8</v>
      </c>
      <c r="GX357" s="27" t="s">
        <v>7</v>
      </c>
      <c r="GY357" s="27" t="s">
        <v>8</v>
      </c>
      <c r="HD357" s="27" t="s">
        <v>7</v>
      </c>
      <c r="HE357" s="27" t="s">
        <v>8</v>
      </c>
      <c r="HG357" s="27" t="s">
        <v>8</v>
      </c>
      <c r="HK357" s="27" t="s">
        <v>8</v>
      </c>
      <c r="HT357" s="27" t="s">
        <v>7</v>
      </c>
      <c r="HU357" s="27" t="s">
        <v>8</v>
      </c>
      <c r="HV357" s="27" t="s">
        <v>7</v>
      </c>
      <c r="HY357" s="27" t="s">
        <v>8</v>
      </c>
      <c r="HZ357" s="27" t="s">
        <v>7</v>
      </c>
    </row>
    <row r="358" spans="1:236" x14ac:dyDescent="0.25">
      <c r="A358" s="7">
        <v>93.205026330784293</v>
      </c>
      <c r="B358"/>
      <c r="C358"/>
      <c r="D358"/>
      <c r="E358"/>
      <c r="GS358" s="27" t="s">
        <v>8</v>
      </c>
      <c r="GT358" s="27" t="s">
        <v>7</v>
      </c>
      <c r="GU358" s="27" t="s">
        <v>8</v>
      </c>
      <c r="GV358" s="27" t="s">
        <v>7</v>
      </c>
      <c r="GW358" s="27" t="s">
        <v>8</v>
      </c>
      <c r="GX358" s="27" t="s">
        <v>7</v>
      </c>
      <c r="HD358" s="27" t="s">
        <v>7</v>
      </c>
      <c r="HE358" s="27" t="s">
        <v>8</v>
      </c>
      <c r="HF358" s="27" t="s">
        <v>7</v>
      </c>
      <c r="HG358" s="27" t="s">
        <v>8</v>
      </c>
      <c r="HH358" s="27" t="s">
        <v>7</v>
      </c>
      <c r="HK358" s="27" t="s">
        <v>8</v>
      </c>
      <c r="HT358" s="27" t="s">
        <v>7</v>
      </c>
      <c r="HU358" s="27" t="s">
        <v>8</v>
      </c>
      <c r="HV358" s="27" t="s">
        <v>7</v>
      </c>
      <c r="HY358" s="27" t="s">
        <v>8</v>
      </c>
      <c r="HZ358" s="27" t="s">
        <v>7</v>
      </c>
      <c r="IA358" s="27" t="s">
        <v>8</v>
      </c>
    </row>
    <row r="359" spans="1:236" x14ac:dyDescent="0.25">
      <c r="A359" s="7">
        <v>91.377476794886562</v>
      </c>
      <c r="B359"/>
      <c r="C359"/>
      <c r="D359"/>
      <c r="E359"/>
      <c r="GS359" s="27" t="s">
        <v>8</v>
      </c>
      <c r="GT359" s="27" t="s">
        <v>7</v>
      </c>
      <c r="GU359" s="27" t="s">
        <v>8</v>
      </c>
      <c r="GV359" s="27" t="s">
        <v>7</v>
      </c>
      <c r="GW359" s="27" t="s">
        <v>8</v>
      </c>
      <c r="HD359" s="27" t="s">
        <v>7</v>
      </c>
      <c r="HE359" s="27" t="s">
        <v>8</v>
      </c>
      <c r="HF359" s="27" t="s">
        <v>7</v>
      </c>
      <c r="HG359" s="27" t="s">
        <v>8</v>
      </c>
      <c r="HH359" s="27" t="s">
        <v>7</v>
      </c>
      <c r="HK359" s="27" t="s">
        <v>8</v>
      </c>
      <c r="HT359" s="27" t="s">
        <v>7</v>
      </c>
      <c r="HV359" s="27" t="s">
        <v>7</v>
      </c>
      <c r="HW359" s="27" t="s">
        <v>8</v>
      </c>
      <c r="HY359" s="27" t="s">
        <v>8</v>
      </c>
      <c r="HZ359" s="27" t="s">
        <v>7</v>
      </c>
      <c r="IA359" s="27" t="s">
        <v>8</v>
      </c>
      <c r="IB359" s="27" t="s">
        <v>7</v>
      </c>
    </row>
    <row r="360" spans="1:236" x14ac:dyDescent="0.25">
      <c r="A360" s="7">
        <v>89.58576156361427</v>
      </c>
      <c r="B360"/>
      <c r="C360"/>
      <c r="D360"/>
      <c r="E360"/>
      <c r="GS360" s="27" t="s">
        <v>8</v>
      </c>
      <c r="GT360" s="27" t="s">
        <v>7</v>
      </c>
      <c r="GU360" s="27" t="s">
        <v>8</v>
      </c>
      <c r="GV360" s="27" t="s">
        <v>7</v>
      </c>
      <c r="GW360" s="27" t="s">
        <v>8</v>
      </c>
      <c r="HD360" s="27" t="s">
        <v>7</v>
      </c>
      <c r="HE360" s="27" t="s">
        <v>8</v>
      </c>
      <c r="HF360" s="27" t="s">
        <v>7</v>
      </c>
      <c r="HG360" s="27" t="s">
        <v>8</v>
      </c>
      <c r="HH360" s="27" t="s">
        <v>7</v>
      </c>
      <c r="HI360" s="27" t="s">
        <v>8</v>
      </c>
      <c r="HK360" s="27" t="s">
        <v>8</v>
      </c>
      <c r="HV360" s="27" t="s">
        <v>7</v>
      </c>
      <c r="HW360" s="27" t="s">
        <v>8</v>
      </c>
      <c r="HX360" s="27" t="s">
        <v>7</v>
      </c>
      <c r="HY360" s="27" t="s">
        <v>8</v>
      </c>
      <c r="HZ360" s="27" t="s">
        <v>7</v>
      </c>
      <c r="IA360" s="27" t="s">
        <v>8</v>
      </c>
      <c r="IB360" s="27" t="s">
        <v>7</v>
      </c>
    </row>
    <row r="361" spans="1:236" x14ac:dyDescent="0.25">
      <c r="A361" s="7">
        <v>87.829178003543404</v>
      </c>
      <c r="B361"/>
      <c r="C361"/>
      <c r="D361"/>
      <c r="E361"/>
      <c r="GS361" s="27" t="s">
        <v>8</v>
      </c>
      <c r="GT361" s="27" t="s">
        <v>7</v>
      </c>
      <c r="GU361" s="27" t="s">
        <v>8</v>
      </c>
      <c r="GV361" s="27" t="s">
        <v>7</v>
      </c>
      <c r="GW361" s="27" t="s">
        <v>8</v>
      </c>
      <c r="HD361" s="27" t="s">
        <v>7</v>
      </c>
      <c r="HE361" s="27" t="s">
        <v>8</v>
      </c>
      <c r="HF361" s="27" t="s">
        <v>7</v>
      </c>
      <c r="HG361" s="27" t="s">
        <v>8</v>
      </c>
      <c r="HH361" s="27" t="s">
        <v>7</v>
      </c>
      <c r="HI361" s="27" t="s">
        <v>8</v>
      </c>
      <c r="HJ361" s="27" t="s">
        <v>7</v>
      </c>
      <c r="HK361" s="27" t="s">
        <v>8</v>
      </c>
      <c r="HV361" s="27" t="s">
        <v>7</v>
      </c>
      <c r="HW361" s="27" t="s">
        <v>8</v>
      </c>
      <c r="HX361" s="27" t="s">
        <v>7</v>
      </c>
      <c r="HY361" s="27" t="s">
        <v>8</v>
      </c>
      <c r="HZ361" s="27" t="s">
        <v>7</v>
      </c>
      <c r="IB361" s="27" t="s">
        <v>7</v>
      </c>
    </row>
    <row r="362" spans="1:236" x14ac:dyDescent="0.25">
      <c r="A362" s="7">
        <v>86.107037258375883</v>
      </c>
      <c r="B362"/>
      <c r="C362"/>
      <c r="D362"/>
      <c r="E362"/>
      <c r="GS362" s="27" t="s">
        <v>8</v>
      </c>
      <c r="GT362" s="27" t="s">
        <v>7</v>
      </c>
      <c r="GU362" s="27" t="s">
        <v>8</v>
      </c>
      <c r="GV362" s="27" t="s">
        <v>7</v>
      </c>
      <c r="GW362" s="27" t="s">
        <v>8</v>
      </c>
      <c r="HD362" s="27" t="s">
        <v>7</v>
      </c>
      <c r="HE362" s="27" t="s">
        <v>8</v>
      </c>
      <c r="HF362" s="27" t="s">
        <v>7</v>
      </c>
      <c r="HG362" s="27" t="s">
        <v>8</v>
      </c>
      <c r="HH362" s="27" t="s">
        <v>7</v>
      </c>
      <c r="HI362" s="27" t="s">
        <v>8</v>
      </c>
      <c r="HJ362" s="27" t="s">
        <v>7</v>
      </c>
      <c r="HK362" s="27" t="s">
        <v>8</v>
      </c>
      <c r="HV362" s="27" t="s">
        <v>7</v>
      </c>
      <c r="HW362" s="27" t="s">
        <v>8</v>
      </c>
      <c r="HX362" s="27" t="s">
        <v>7</v>
      </c>
      <c r="HY362" s="27" t="s">
        <v>8</v>
      </c>
      <c r="IB362" s="27" t="s">
        <v>7</v>
      </c>
    </row>
    <row r="363" spans="1:236" x14ac:dyDescent="0.25">
      <c r="A363" s="7">
        <v>84.418663978799884</v>
      </c>
      <c r="B363"/>
      <c r="C363"/>
      <c r="D363"/>
      <c r="E363"/>
      <c r="GS363" s="27" t="s">
        <v>8</v>
      </c>
      <c r="GT363" s="27" t="s">
        <v>7</v>
      </c>
      <c r="GU363" s="27" t="s">
        <v>8</v>
      </c>
      <c r="GV363" s="27" t="s">
        <v>7</v>
      </c>
      <c r="HD363" s="27" t="s">
        <v>7</v>
      </c>
      <c r="HE363" s="27" t="s">
        <v>8</v>
      </c>
      <c r="HF363" s="27" t="s">
        <v>7</v>
      </c>
      <c r="HG363" s="27" t="s">
        <v>8</v>
      </c>
      <c r="HH363" s="27" t="s">
        <v>7</v>
      </c>
      <c r="HI363" s="27" t="s">
        <v>8</v>
      </c>
      <c r="HJ363" s="27" t="s">
        <v>7</v>
      </c>
      <c r="HK363" s="27" t="s">
        <v>8</v>
      </c>
      <c r="HV363" s="27" t="s">
        <v>7</v>
      </c>
      <c r="HW363" s="27" t="s">
        <v>8</v>
      </c>
      <c r="HX363" s="27" t="s">
        <v>7</v>
      </c>
      <c r="HY363" s="27" t="s">
        <v>8</v>
      </c>
      <c r="IB363" s="27" t="s">
        <v>7</v>
      </c>
    </row>
    <row r="364" spans="1:236" x14ac:dyDescent="0.25">
      <c r="A364" s="7">
        <v>82.763396057646943</v>
      </c>
      <c r="B364"/>
      <c r="C364"/>
      <c r="D364"/>
      <c r="E364"/>
      <c r="GS364" s="27" t="s">
        <v>8</v>
      </c>
      <c r="GT364" s="27" t="s">
        <v>7</v>
      </c>
      <c r="GU364" s="27" t="s">
        <v>8</v>
      </c>
      <c r="HD364" s="27" t="s">
        <v>7</v>
      </c>
      <c r="HE364" s="27" t="s">
        <v>8</v>
      </c>
      <c r="HF364" s="27" t="s">
        <v>7</v>
      </c>
      <c r="HG364" s="27" t="s">
        <v>8</v>
      </c>
      <c r="HH364" s="27" t="s">
        <v>7</v>
      </c>
      <c r="HI364" s="27" t="s">
        <v>8</v>
      </c>
      <c r="HJ364" s="27" t="s">
        <v>7</v>
      </c>
      <c r="HK364" s="27" t="s">
        <v>8</v>
      </c>
      <c r="HV364" s="27" t="s">
        <v>7</v>
      </c>
      <c r="HW364" s="27" t="s">
        <v>8</v>
      </c>
      <c r="HX364" s="27" t="s">
        <v>7</v>
      </c>
      <c r="HY364" s="27" t="s">
        <v>8</v>
      </c>
      <c r="IB364" s="27" t="s">
        <v>7</v>
      </c>
    </row>
    <row r="365" spans="1:236" x14ac:dyDescent="0.25">
      <c r="A365" s="7">
        <v>81.140584370242095</v>
      </c>
      <c r="B365"/>
      <c r="C365"/>
      <c r="D365"/>
      <c r="E365"/>
      <c r="GS365" s="27" t="s">
        <v>8</v>
      </c>
      <c r="GT365" s="27" t="s">
        <v>7</v>
      </c>
      <c r="GU365" s="27" t="s">
        <v>8</v>
      </c>
      <c r="HD365" s="27" t="s">
        <v>7</v>
      </c>
      <c r="HE365" s="27" t="s">
        <v>8</v>
      </c>
      <c r="HF365" s="27" t="s">
        <v>7</v>
      </c>
      <c r="HG365" s="27" t="s">
        <v>8</v>
      </c>
      <c r="HH365" s="27" t="s">
        <v>7</v>
      </c>
      <c r="HI365" s="27" t="s">
        <v>8</v>
      </c>
      <c r="HJ365" s="27" t="s">
        <v>7</v>
      </c>
      <c r="HK365" s="27" t="s">
        <v>8</v>
      </c>
      <c r="HV365" s="27" t="s">
        <v>7</v>
      </c>
      <c r="HW365" s="27" t="s">
        <v>8</v>
      </c>
      <c r="HX365" s="27" t="s">
        <v>7</v>
      </c>
      <c r="IB365" s="27" t="s">
        <v>7</v>
      </c>
    </row>
    <row r="366" spans="1:236" x14ac:dyDescent="0.25">
      <c r="A366" s="7">
        <v>79.549592519845191</v>
      </c>
      <c r="B366"/>
      <c r="C366"/>
      <c r="D366"/>
      <c r="E366"/>
      <c r="FU366" s="27" t="s">
        <v>8</v>
      </c>
      <c r="GQ366" s="27" t="s">
        <v>8</v>
      </c>
      <c r="GS366" s="27" t="s">
        <v>8</v>
      </c>
      <c r="GT366" s="27" t="s">
        <v>7</v>
      </c>
      <c r="HD366" s="27" t="s">
        <v>7</v>
      </c>
      <c r="HE366" s="27" t="s">
        <v>8</v>
      </c>
      <c r="HF366" s="27" t="s">
        <v>7</v>
      </c>
      <c r="HG366" s="27" t="s">
        <v>8</v>
      </c>
      <c r="HH366" s="27" t="s">
        <v>7</v>
      </c>
      <c r="HJ366" s="27" t="s">
        <v>7</v>
      </c>
      <c r="HK366" s="27" t="s">
        <v>8</v>
      </c>
      <c r="HV366" s="27" t="s">
        <v>7</v>
      </c>
      <c r="IB366" s="27" t="s">
        <v>7</v>
      </c>
    </row>
    <row r="367" spans="1:236" x14ac:dyDescent="0.25">
      <c r="A367" s="7">
        <v>77.989796588083522</v>
      </c>
      <c r="B367"/>
      <c r="C367"/>
      <c r="D367"/>
      <c r="E367"/>
      <c r="FU367" s="27" t="s">
        <v>8</v>
      </c>
      <c r="FV367" s="27" t="s">
        <v>7</v>
      </c>
      <c r="GQ367" s="27" t="s">
        <v>8</v>
      </c>
      <c r="GR367" s="27" t="s">
        <v>7</v>
      </c>
      <c r="GS367" s="27" t="s">
        <v>8</v>
      </c>
      <c r="HD367" s="27" t="s">
        <v>7</v>
      </c>
      <c r="HF367" s="27" t="s">
        <v>7</v>
      </c>
      <c r="HJ367" s="27" t="s">
        <v>7</v>
      </c>
      <c r="HK367" s="27" t="s">
        <v>8</v>
      </c>
      <c r="IB367" s="27" t="s">
        <v>7</v>
      </c>
    </row>
    <row r="368" spans="1:236" x14ac:dyDescent="0.25">
      <c r="A368" s="7">
        <v>76.460584890277957</v>
      </c>
      <c r="B368"/>
      <c r="C368"/>
      <c r="D368"/>
      <c r="E368"/>
      <c r="FU368" s="27" t="s">
        <v>8</v>
      </c>
      <c r="FV368" s="27" t="s">
        <v>7</v>
      </c>
      <c r="GQ368" s="27" t="s">
        <v>8</v>
      </c>
      <c r="GR368" s="27" t="s">
        <v>7</v>
      </c>
      <c r="GS368" s="27" t="s">
        <v>8</v>
      </c>
      <c r="HJ368" s="27" t="s">
        <v>7</v>
      </c>
      <c r="IB368" s="27" t="s">
        <v>7</v>
      </c>
    </row>
    <row r="369" spans="1:240" x14ac:dyDescent="0.25">
      <c r="A369" s="7">
        <v>74.961357735566622</v>
      </c>
      <c r="B369"/>
      <c r="C369"/>
      <c r="D369"/>
      <c r="E369"/>
      <c r="FS369" s="27" t="s">
        <v>8</v>
      </c>
      <c r="FU369" s="27" t="s">
        <v>8</v>
      </c>
      <c r="FV369" s="27" t="s">
        <v>7</v>
      </c>
      <c r="GQ369" s="27" t="s">
        <v>8</v>
      </c>
      <c r="GR369" s="27" t="s">
        <v>7</v>
      </c>
      <c r="GS369" s="27" t="s">
        <v>8</v>
      </c>
      <c r="IB369" s="27" t="s">
        <v>7</v>
      </c>
    </row>
    <row r="370" spans="1:240" x14ac:dyDescent="0.25">
      <c r="A370" s="7">
        <v>73.491527191731976</v>
      </c>
      <c r="B370"/>
      <c r="C370"/>
      <c r="D370"/>
      <c r="E370"/>
      <c r="FS370" s="27" t="s">
        <v>8</v>
      </c>
      <c r="FT370" s="27" t="s">
        <v>7</v>
      </c>
      <c r="FU370" s="27" t="s">
        <v>8</v>
      </c>
      <c r="FV370" s="27" t="s">
        <v>7</v>
      </c>
      <c r="GQ370" s="27" t="s">
        <v>8</v>
      </c>
      <c r="GR370" s="27" t="s">
        <v>7</v>
      </c>
      <c r="IB370" s="27" t="s">
        <v>7</v>
      </c>
      <c r="IE370" s="27" t="s">
        <v>8</v>
      </c>
    </row>
    <row r="371" spans="1:240" x14ac:dyDescent="0.25">
      <c r="A371" s="7">
        <v>72.050516854639184</v>
      </c>
      <c r="B371"/>
      <c r="C371"/>
      <c r="D371"/>
      <c r="E371"/>
      <c r="FS371" s="27" t="s">
        <v>8</v>
      </c>
      <c r="FT371" s="27" t="s">
        <v>7</v>
      </c>
      <c r="FU371" s="27" t="s">
        <v>8</v>
      </c>
      <c r="FV371" s="27" t="s">
        <v>7</v>
      </c>
      <c r="FW371" s="27" t="s">
        <v>8</v>
      </c>
      <c r="FY371" s="27" t="s">
        <v>8</v>
      </c>
      <c r="GC371" s="27" t="s">
        <v>8</v>
      </c>
      <c r="GM371" s="27" t="s">
        <v>8</v>
      </c>
      <c r="GQ371" s="27" t="s">
        <v>8</v>
      </c>
      <c r="IB371" s="27" t="s">
        <v>7</v>
      </c>
      <c r="IE371" s="27" t="s">
        <v>8</v>
      </c>
      <c r="IF371" s="27" t="s">
        <v>7</v>
      </c>
    </row>
    <row r="372" spans="1:240" x14ac:dyDescent="0.25">
      <c r="A372" s="7">
        <v>70.637761622195271</v>
      </c>
      <c r="B372"/>
      <c r="C372"/>
      <c r="D372"/>
      <c r="E372"/>
      <c r="FS372" s="27" t="s">
        <v>8</v>
      </c>
      <c r="FT372" s="27" t="s">
        <v>7</v>
      </c>
      <c r="FU372" s="27" t="s">
        <v>8</v>
      </c>
      <c r="FV372" s="27" t="s">
        <v>7</v>
      </c>
      <c r="FW372" s="27" t="s">
        <v>8</v>
      </c>
      <c r="FX372" s="27" t="s">
        <v>7</v>
      </c>
      <c r="FY372" s="27" t="s">
        <v>8</v>
      </c>
      <c r="FZ372" s="27" t="s">
        <v>7</v>
      </c>
      <c r="GC372" s="27" t="s">
        <v>8</v>
      </c>
      <c r="GD372" s="27" t="s">
        <v>7</v>
      </c>
      <c r="GM372" s="27" t="s">
        <v>8</v>
      </c>
      <c r="GN372" s="27" t="s">
        <v>7</v>
      </c>
      <c r="GQ372" s="27" t="s">
        <v>8</v>
      </c>
      <c r="IB372" s="27" t="s">
        <v>7</v>
      </c>
      <c r="IE372" s="27" t="s">
        <v>8</v>
      </c>
      <c r="IF372" s="27" t="s">
        <v>7</v>
      </c>
    </row>
    <row r="373" spans="1:240" x14ac:dyDescent="0.25">
      <c r="A373" s="7">
        <v>69.252707472740454</v>
      </c>
      <c r="B373"/>
      <c r="C373"/>
      <c r="D373"/>
      <c r="E373"/>
      <c r="FS373" s="27" t="s">
        <v>8</v>
      </c>
      <c r="FT373" s="27" t="s">
        <v>7</v>
      </c>
      <c r="FU373" s="27" t="s">
        <v>8</v>
      </c>
      <c r="FV373" s="27" t="s">
        <v>7</v>
      </c>
      <c r="FW373" s="27" t="s">
        <v>8</v>
      </c>
      <c r="FX373" s="27" t="s">
        <v>7</v>
      </c>
      <c r="FY373" s="27" t="s">
        <v>8</v>
      </c>
      <c r="FZ373" s="27" t="s">
        <v>7</v>
      </c>
      <c r="GA373" s="27" t="s">
        <v>8</v>
      </c>
      <c r="GC373" s="27" t="s">
        <v>8</v>
      </c>
      <c r="GD373" s="27" t="s">
        <v>7</v>
      </c>
      <c r="GM373" s="27" t="s">
        <v>8</v>
      </c>
      <c r="GN373" s="27" t="s">
        <v>7</v>
      </c>
      <c r="GQ373" s="27" t="s">
        <v>8</v>
      </c>
      <c r="IB373" s="27" t="s">
        <v>7</v>
      </c>
      <c r="IE373" s="27" t="s">
        <v>8</v>
      </c>
      <c r="IF373" s="27" t="s">
        <v>7</v>
      </c>
    </row>
    <row r="374" spans="1:240" x14ac:dyDescent="0.25">
      <c r="A374" s="7">
        <v>67.894811247784759</v>
      </c>
      <c r="B374"/>
      <c r="C374"/>
      <c r="D374"/>
      <c r="E374"/>
      <c r="FS374" s="27" t="s">
        <v>8</v>
      </c>
      <c r="FT374" s="27" t="s">
        <v>7</v>
      </c>
      <c r="FU374" s="27" t="s">
        <v>8</v>
      </c>
      <c r="FV374" s="27" t="s">
        <v>7</v>
      </c>
      <c r="FX374" s="27" t="s">
        <v>7</v>
      </c>
      <c r="FY374" s="27" t="s">
        <v>8</v>
      </c>
      <c r="FZ374" s="27" t="s">
        <v>7</v>
      </c>
      <c r="GA374" s="27" t="s">
        <v>8</v>
      </c>
      <c r="GB374" s="27" t="s">
        <v>7</v>
      </c>
      <c r="GC374" s="27" t="s">
        <v>8</v>
      </c>
      <c r="GD374" s="27" t="s">
        <v>7</v>
      </c>
      <c r="GK374" s="27" t="s">
        <v>8</v>
      </c>
      <c r="GM374" s="27" t="s">
        <v>8</v>
      </c>
      <c r="GN374" s="27" t="s">
        <v>7</v>
      </c>
      <c r="GQ374" s="27" t="s">
        <v>8</v>
      </c>
      <c r="IB374" s="27" t="s">
        <v>7</v>
      </c>
      <c r="IE374" s="27" t="s">
        <v>8</v>
      </c>
      <c r="IF374" s="27" t="s">
        <v>7</v>
      </c>
    </row>
    <row r="375" spans="1:240" x14ac:dyDescent="0.25">
      <c r="A375" s="7">
        <v>66.563540439004669</v>
      </c>
      <c r="B375"/>
      <c r="C375"/>
      <c r="D375"/>
      <c r="E375"/>
      <c r="FS375" s="27" t="s">
        <v>8</v>
      </c>
      <c r="FT375" s="27" t="s">
        <v>7</v>
      </c>
      <c r="FU375" s="27" t="s">
        <v>8</v>
      </c>
      <c r="FX375" s="27" t="s">
        <v>7</v>
      </c>
      <c r="FY375" s="27" t="s">
        <v>8</v>
      </c>
      <c r="FZ375" s="27" t="s">
        <v>7</v>
      </c>
      <c r="GA375" s="27" t="s">
        <v>8</v>
      </c>
      <c r="GB375" s="27" t="s">
        <v>7</v>
      </c>
      <c r="GC375" s="27" t="s">
        <v>8</v>
      </c>
      <c r="GD375" s="27" t="s">
        <v>7</v>
      </c>
      <c r="GK375" s="27" t="s">
        <v>8</v>
      </c>
      <c r="GL375" s="27" t="s">
        <v>7</v>
      </c>
      <c r="GM375" s="27" t="s">
        <v>8</v>
      </c>
      <c r="GN375" s="27" t="s">
        <v>7</v>
      </c>
      <c r="GQ375" s="27" t="s">
        <v>8</v>
      </c>
      <c r="IB375" s="27" t="s">
        <v>7</v>
      </c>
      <c r="IC375" s="27" t="s">
        <v>8</v>
      </c>
      <c r="IE375" s="27" t="s">
        <v>8</v>
      </c>
      <c r="IF375" s="27" t="s">
        <v>7</v>
      </c>
    </row>
    <row r="376" spans="1:240" x14ac:dyDescent="0.25">
      <c r="A376" s="7">
        <v>65.258372979416336</v>
      </c>
      <c r="B376"/>
      <c r="C376"/>
      <c r="D376"/>
      <c r="E376"/>
      <c r="FS376" s="27" t="s">
        <v>8</v>
      </c>
      <c r="FT376" s="27" t="s">
        <v>7</v>
      </c>
      <c r="FU376" s="27" t="s">
        <v>8</v>
      </c>
      <c r="FX376" s="27" t="s">
        <v>7</v>
      </c>
      <c r="FY376" s="27" t="s">
        <v>8</v>
      </c>
      <c r="FZ376" s="27" t="s">
        <v>7</v>
      </c>
      <c r="GA376" s="27" t="s">
        <v>8</v>
      </c>
      <c r="GB376" s="27" t="s">
        <v>7</v>
      </c>
      <c r="GC376" s="27" t="s">
        <v>8</v>
      </c>
      <c r="GD376" s="27" t="s">
        <v>7</v>
      </c>
      <c r="GK376" s="27" t="s">
        <v>8</v>
      </c>
      <c r="GL376" s="27" t="s">
        <v>7</v>
      </c>
      <c r="GM376" s="27" t="s">
        <v>8</v>
      </c>
      <c r="GN376" s="27" t="s">
        <v>7</v>
      </c>
      <c r="GO376" s="27" t="s">
        <v>8</v>
      </c>
      <c r="GQ376" s="27" t="s">
        <v>8</v>
      </c>
      <c r="IB376" s="27" t="s">
        <v>7</v>
      </c>
      <c r="IC376" s="27" t="s">
        <v>8</v>
      </c>
      <c r="ID376" s="27" t="s">
        <v>7</v>
      </c>
      <c r="IE376" s="27" t="s">
        <v>8</v>
      </c>
      <c r="IF376" s="27" t="s">
        <v>7</v>
      </c>
    </row>
    <row r="377" spans="1:240" x14ac:dyDescent="0.25">
      <c r="A377" s="7">
        <v>63.978797038643471</v>
      </c>
      <c r="B377"/>
      <c r="C377"/>
      <c r="D377"/>
      <c r="E377"/>
      <c r="FQ377" s="27" t="s">
        <v>8</v>
      </c>
      <c r="FS377" s="27" t="s">
        <v>8</v>
      </c>
      <c r="FT377" s="27" t="s">
        <v>7</v>
      </c>
      <c r="FU377" s="27" t="s">
        <v>8</v>
      </c>
      <c r="FX377" s="27" t="s">
        <v>7</v>
      </c>
      <c r="FY377" s="27" t="s">
        <v>8</v>
      </c>
      <c r="FZ377" s="27" t="s">
        <v>7</v>
      </c>
      <c r="GA377" s="27" t="s">
        <v>8</v>
      </c>
      <c r="GB377" s="27" t="s">
        <v>7</v>
      </c>
      <c r="GD377" s="27" t="s">
        <v>7</v>
      </c>
      <c r="GE377" s="27" t="s">
        <v>8</v>
      </c>
      <c r="GK377" s="27" t="s">
        <v>8</v>
      </c>
      <c r="GL377" s="27" t="s">
        <v>7</v>
      </c>
      <c r="GM377" s="27" t="s">
        <v>8</v>
      </c>
      <c r="GN377" s="27" t="s">
        <v>7</v>
      </c>
      <c r="GO377" s="27" t="s">
        <v>8</v>
      </c>
      <c r="GP377" s="27" t="s">
        <v>7</v>
      </c>
      <c r="GQ377" s="27" t="s">
        <v>8</v>
      </c>
      <c r="IB377" s="27" t="s">
        <v>7</v>
      </c>
      <c r="IC377" s="27" t="s">
        <v>8</v>
      </c>
      <c r="ID377" s="27" t="s">
        <v>7</v>
      </c>
      <c r="IE377" s="27" t="s">
        <v>8</v>
      </c>
      <c r="IF377" s="27" t="s">
        <v>7</v>
      </c>
    </row>
    <row r="378" spans="1:240" x14ac:dyDescent="0.25">
      <c r="A378" s="7">
        <v>62.724310822199477</v>
      </c>
      <c r="B378"/>
      <c r="C378"/>
      <c r="D378"/>
      <c r="E378"/>
      <c r="FQ378" s="27" t="s">
        <v>8</v>
      </c>
      <c r="FR378" s="27" t="s">
        <v>7</v>
      </c>
      <c r="FS378" s="27" t="s">
        <v>8</v>
      </c>
      <c r="FT378" s="27" t="s">
        <v>7</v>
      </c>
      <c r="FU378" s="27" t="s">
        <v>8</v>
      </c>
      <c r="FX378" s="27" t="s">
        <v>7</v>
      </c>
      <c r="FZ378" s="27" t="s">
        <v>7</v>
      </c>
      <c r="GA378" s="27" t="s">
        <v>8</v>
      </c>
      <c r="GD378" s="27" t="s">
        <v>7</v>
      </c>
      <c r="GE378" s="27" t="s">
        <v>8</v>
      </c>
      <c r="GF378" s="27" t="s">
        <v>7</v>
      </c>
      <c r="GK378" s="27" t="s">
        <v>8</v>
      </c>
      <c r="GL378" s="27" t="s">
        <v>7</v>
      </c>
      <c r="GN378" s="27" t="s">
        <v>7</v>
      </c>
      <c r="GO378" s="27" t="s">
        <v>8</v>
      </c>
      <c r="GP378" s="27" t="s">
        <v>7</v>
      </c>
      <c r="GQ378" s="27" t="s">
        <v>8</v>
      </c>
      <c r="IB378" s="27" t="s">
        <v>7</v>
      </c>
      <c r="IC378" s="27" t="s">
        <v>8</v>
      </c>
      <c r="ID378" s="27" t="s">
        <v>7</v>
      </c>
      <c r="IE378" s="27" t="s">
        <v>8</v>
      </c>
    </row>
    <row r="379" spans="1:240" x14ac:dyDescent="0.25">
      <c r="A379" s="7">
        <v>61.494422374705366</v>
      </c>
      <c r="B379"/>
      <c r="C379"/>
      <c r="D379"/>
      <c r="E379"/>
      <c r="FQ379" s="27" t="s">
        <v>8</v>
      </c>
      <c r="FR379" s="27" t="s">
        <v>7</v>
      </c>
      <c r="FS379" s="27" t="s">
        <v>8</v>
      </c>
      <c r="FT379" s="27" t="s">
        <v>7</v>
      </c>
      <c r="FU379" s="27" t="s">
        <v>8</v>
      </c>
      <c r="FZ379" s="27" t="s">
        <v>7</v>
      </c>
      <c r="GD379" s="27" t="s">
        <v>7</v>
      </c>
      <c r="GE379" s="27" t="s">
        <v>8</v>
      </c>
      <c r="GF379" s="27" t="s">
        <v>7</v>
      </c>
      <c r="GI379" s="27" t="s">
        <v>8</v>
      </c>
      <c r="GK379" s="27" t="s">
        <v>8</v>
      </c>
      <c r="GN379" s="27" t="s">
        <v>7</v>
      </c>
      <c r="GO379" s="27" t="s">
        <v>8</v>
      </c>
      <c r="GP379" s="27" t="s">
        <v>7</v>
      </c>
      <c r="GQ379" s="27" t="s">
        <v>8</v>
      </c>
      <c r="IB379" s="27" t="s">
        <v>7</v>
      </c>
      <c r="IC379" s="27" t="s">
        <v>8</v>
      </c>
      <c r="ID379" s="27" t="s">
        <v>7</v>
      </c>
      <c r="IE379" s="27" t="s">
        <v>8</v>
      </c>
    </row>
    <row r="380" spans="1:240" x14ac:dyDescent="0.25">
      <c r="A380" s="7">
        <v>60.288649386966043</v>
      </c>
      <c r="B380"/>
      <c r="C380"/>
      <c r="D380"/>
      <c r="E380"/>
      <c r="BS380" s="27" t="s">
        <v>8</v>
      </c>
      <c r="FQ380" s="27" t="s">
        <v>8</v>
      </c>
      <c r="FR380" s="27" t="s">
        <v>7</v>
      </c>
      <c r="FS380" s="27" t="s">
        <v>8</v>
      </c>
      <c r="FT380" s="27" t="s">
        <v>7</v>
      </c>
      <c r="FU380" s="27" t="s">
        <v>8</v>
      </c>
      <c r="GD380" s="27" t="s">
        <v>7</v>
      </c>
      <c r="GE380" s="27" t="s">
        <v>8</v>
      </c>
      <c r="GF380" s="27" t="s">
        <v>7</v>
      </c>
      <c r="GI380" s="27" t="s">
        <v>8</v>
      </c>
      <c r="GJ380" s="27" t="s">
        <v>7</v>
      </c>
      <c r="GK380" s="27" t="s">
        <v>8</v>
      </c>
      <c r="GN380" s="27" t="s">
        <v>7</v>
      </c>
      <c r="GO380" s="27" t="s">
        <v>8</v>
      </c>
      <c r="GP380" s="27" t="s">
        <v>7</v>
      </c>
      <c r="IB380" s="27" t="s">
        <v>7</v>
      </c>
      <c r="IC380" s="27" t="s">
        <v>8</v>
      </c>
      <c r="ID380" s="27" t="s">
        <v>7</v>
      </c>
      <c r="IE380" s="27" t="s">
        <v>8</v>
      </c>
    </row>
    <row r="381" spans="1:240" x14ac:dyDescent="0.25">
      <c r="A381" s="7">
        <v>59.106519006829451</v>
      </c>
      <c r="B381"/>
      <c r="C381"/>
      <c r="D381"/>
      <c r="E381"/>
      <c r="BS381" s="27" t="s">
        <v>8</v>
      </c>
      <c r="BT381" s="27" t="s">
        <v>7</v>
      </c>
      <c r="FQ381" s="27" t="s">
        <v>8</v>
      </c>
      <c r="FR381" s="27" t="s">
        <v>7</v>
      </c>
      <c r="FS381" s="27" t="s">
        <v>8</v>
      </c>
      <c r="FT381" s="27" t="s">
        <v>7</v>
      </c>
      <c r="FU381" s="27" t="s">
        <v>8</v>
      </c>
      <c r="GD381" s="27" t="s">
        <v>7</v>
      </c>
      <c r="GE381" s="27" t="s">
        <v>8</v>
      </c>
      <c r="GF381" s="27" t="s">
        <v>7</v>
      </c>
      <c r="GI381" s="27" t="s">
        <v>8</v>
      </c>
      <c r="GJ381" s="27" t="s">
        <v>7</v>
      </c>
      <c r="GK381" s="27" t="s">
        <v>8</v>
      </c>
      <c r="GN381" s="27" t="s">
        <v>7</v>
      </c>
      <c r="GO381" s="27" t="s">
        <v>8</v>
      </c>
      <c r="IB381" s="27" t="s">
        <v>7</v>
      </c>
      <c r="IC381" s="27" t="s">
        <v>8</v>
      </c>
      <c r="ID381" s="27" t="s">
        <v>7</v>
      </c>
      <c r="IE381" s="27" t="s">
        <v>8</v>
      </c>
    </row>
    <row r="382" spans="1:240" x14ac:dyDescent="0.25">
      <c r="A382" s="7">
        <v>57.947567653754362</v>
      </c>
      <c r="B382"/>
      <c r="C382"/>
      <c r="D382"/>
      <c r="E382"/>
      <c r="BS382" s="27" t="s">
        <v>8</v>
      </c>
      <c r="BT382" s="27" t="s">
        <v>7</v>
      </c>
      <c r="FI382" s="27" t="s">
        <v>8</v>
      </c>
      <c r="FQ382" s="27" t="s">
        <v>8</v>
      </c>
      <c r="FR382" s="27" t="s">
        <v>7</v>
      </c>
      <c r="FS382" s="27" t="s">
        <v>8</v>
      </c>
      <c r="FT382" s="27" t="s">
        <v>7</v>
      </c>
      <c r="FU382" s="27" t="s">
        <v>8</v>
      </c>
      <c r="GD382" s="27" t="s">
        <v>7</v>
      </c>
      <c r="GF382" s="27" t="s">
        <v>7</v>
      </c>
      <c r="GG382" s="27" t="s">
        <v>8</v>
      </c>
      <c r="GI382" s="27" t="s">
        <v>8</v>
      </c>
      <c r="GJ382" s="27" t="s">
        <v>7</v>
      </c>
      <c r="GK382" s="27" t="s">
        <v>8</v>
      </c>
      <c r="GN382" s="27" t="s">
        <v>7</v>
      </c>
      <c r="IB382" s="27" t="s">
        <v>7</v>
      </c>
      <c r="IC382" s="27" t="s">
        <v>8</v>
      </c>
      <c r="ID382" s="27" t="s">
        <v>7</v>
      </c>
      <c r="IE382" s="27" t="s">
        <v>8</v>
      </c>
    </row>
    <row r="383" spans="1:240" x14ac:dyDescent="0.25">
      <c r="A383" s="7">
        <v>56.811340837014079</v>
      </c>
      <c r="B383"/>
      <c r="C383"/>
      <c r="D383"/>
      <c r="E383"/>
      <c r="BS383" s="27" t="s">
        <v>8</v>
      </c>
      <c r="BT383" s="27" t="s">
        <v>7</v>
      </c>
      <c r="FI383" s="27" t="s">
        <v>8</v>
      </c>
      <c r="FJ383" s="27" t="s">
        <v>7</v>
      </c>
      <c r="FQ383" s="27" t="s">
        <v>8</v>
      </c>
      <c r="FR383" s="27" t="s">
        <v>7</v>
      </c>
      <c r="FS383" s="27" t="s">
        <v>8</v>
      </c>
      <c r="FT383" s="27" t="s">
        <v>7</v>
      </c>
      <c r="FU383" s="27" t="s">
        <v>8</v>
      </c>
      <c r="GF383" s="27" t="s">
        <v>7</v>
      </c>
      <c r="GG383" s="27" t="s">
        <v>8</v>
      </c>
      <c r="GH383" s="27" t="s">
        <v>7</v>
      </c>
      <c r="GI383" s="27" t="s">
        <v>8</v>
      </c>
      <c r="GJ383" s="27" t="s">
        <v>7</v>
      </c>
      <c r="GK383" s="27" t="s">
        <v>8</v>
      </c>
      <c r="IB383" s="27" t="s">
        <v>7</v>
      </c>
      <c r="IC383" s="27" t="s">
        <v>8</v>
      </c>
      <c r="ID383" s="27" t="s">
        <v>7</v>
      </c>
      <c r="IE383" s="27" t="s">
        <v>8</v>
      </c>
    </row>
    <row r="384" spans="1:240" x14ac:dyDescent="0.25">
      <c r="A384" s="7">
        <v>55.69739297746478</v>
      </c>
      <c r="B384"/>
      <c r="C384"/>
      <c r="D384"/>
      <c r="E384"/>
      <c r="BS384" s="27" t="s">
        <v>8</v>
      </c>
      <c r="BT384" s="27" t="s">
        <v>7</v>
      </c>
      <c r="FI384" s="27" t="s">
        <v>8</v>
      </c>
      <c r="FJ384" s="27" t="s">
        <v>7</v>
      </c>
      <c r="FQ384" s="27" t="s">
        <v>8</v>
      </c>
      <c r="FR384" s="27" t="s">
        <v>7</v>
      </c>
      <c r="FS384" s="27" t="s">
        <v>8</v>
      </c>
      <c r="FT384" s="27" t="s">
        <v>7</v>
      </c>
      <c r="FU384" s="27" t="s">
        <v>8</v>
      </c>
      <c r="GF384" s="27" t="s">
        <v>7</v>
      </c>
      <c r="GG384" s="27" t="s">
        <v>8</v>
      </c>
      <c r="GH384" s="27" t="s">
        <v>7</v>
      </c>
      <c r="GI384" s="27" t="s">
        <v>8</v>
      </c>
      <c r="GJ384" s="27" t="s">
        <v>7</v>
      </c>
      <c r="GK384" s="27" t="s">
        <v>8</v>
      </c>
      <c r="IB384" s="27" t="s">
        <v>7</v>
      </c>
      <c r="IC384" s="27" t="s">
        <v>8</v>
      </c>
      <c r="ID384" s="27" t="s">
        <v>7</v>
      </c>
    </row>
    <row r="385" spans="1:237" x14ac:dyDescent="0.25">
      <c r="A385" s="7">
        <v>54.605287232808607</v>
      </c>
      <c r="B385"/>
      <c r="C385"/>
      <c r="D385"/>
      <c r="E385"/>
      <c r="BS385" s="27" t="s">
        <v>8</v>
      </c>
      <c r="BT385" s="27" t="s">
        <v>7</v>
      </c>
      <c r="FI385" s="27" t="s">
        <v>8</v>
      </c>
      <c r="FJ385" s="27" t="s">
        <v>7</v>
      </c>
      <c r="FQ385" s="27" t="s">
        <v>8</v>
      </c>
      <c r="FR385" s="27" t="s">
        <v>7</v>
      </c>
      <c r="FS385" s="27" t="s">
        <v>8</v>
      </c>
      <c r="FT385" s="27" t="s">
        <v>7</v>
      </c>
      <c r="FU385" s="27" t="s">
        <v>8</v>
      </c>
      <c r="GF385" s="27" t="s">
        <v>7</v>
      </c>
      <c r="GG385" s="27" t="s">
        <v>8</v>
      </c>
      <c r="GH385" s="27" t="s">
        <v>7</v>
      </c>
      <c r="GJ385" s="27" t="s">
        <v>7</v>
      </c>
      <c r="GK385" s="27" t="s">
        <v>8</v>
      </c>
      <c r="IB385" s="27" t="s">
        <v>7</v>
      </c>
      <c r="IC385" s="27" t="s">
        <v>8</v>
      </c>
    </row>
    <row r="386" spans="1:237" x14ac:dyDescent="0.25">
      <c r="A386" s="7">
        <v>53.534595326282947</v>
      </c>
      <c r="B386"/>
      <c r="C386"/>
      <c r="D386"/>
      <c r="E386"/>
      <c r="BS386" s="27" t="s">
        <v>8</v>
      </c>
      <c r="BT386" s="27" t="s">
        <v>7</v>
      </c>
      <c r="BU386" s="27" t="s">
        <v>8</v>
      </c>
      <c r="FI386" s="27" t="s">
        <v>8</v>
      </c>
      <c r="FJ386" s="27" t="s">
        <v>7</v>
      </c>
      <c r="FQ386" s="27" t="s">
        <v>8</v>
      </c>
      <c r="FR386" s="27" t="s">
        <v>7</v>
      </c>
      <c r="FS386" s="27" t="s">
        <v>8</v>
      </c>
      <c r="FT386" s="27" t="s">
        <v>7</v>
      </c>
      <c r="GF386" s="27" t="s">
        <v>7</v>
      </c>
      <c r="GG386" s="27" t="s">
        <v>8</v>
      </c>
      <c r="GJ386" s="27" t="s">
        <v>7</v>
      </c>
      <c r="IB386" s="27" t="s">
        <v>7</v>
      </c>
    </row>
    <row r="387" spans="1:237" x14ac:dyDescent="0.25">
      <c r="A387" s="7">
        <v>52.484897378708773</v>
      </c>
      <c r="B387"/>
      <c r="C387"/>
      <c r="D387"/>
      <c r="E387"/>
      <c r="BS387" s="27" t="s">
        <v>8</v>
      </c>
      <c r="BT387" s="27" t="s">
        <v>7</v>
      </c>
      <c r="BU387" s="27" t="s">
        <v>8</v>
      </c>
      <c r="BV387" s="27" t="s">
        <v>7</v>
      </c>
      <c r="FI387" s="27" t="s">
        <v>8</v>
      </c>
      <c r="FJ387" s="27" t="s">
        <v>7</v>
      </c>
      <c r="FQ387" s="27" t="s">
        <v>8</v>
      </c>
      <c r="FR387" s="27" t="s">
        <v>7</v>
      </c>
      <c r="FS387" s="27" t="s">
        <v>8</v>
      </c>
      <c r="GF387" s="27" t="s">
        <v>7</v>
      </c>
      <c r="GG387" s="27" t="s">
        <v>8</v>
      </c>
    </row>
    <row r="388" spans="1:237" x14ac:dyDescent="0.25">
      <c r="A388" s="7">
        <v>51.455781743832127</v>
      </c>
      <c r="B388"/>
      <c r="C388"/>
      <c r="D388"/>
      <c r="E388"/>
      <c r="BS388" s="27" t="s">
        <v>8</v>
      </c>
      <c r="BT388" s="27" t="s">
        <v>7</v>
      </c>
      <c r="BU388" s="27" t="s">
        <v>8</v>
      </c>
      <c r="BV388" s="27" t="s">
        <v>7</v>
      </c>
      <c r="FI388" s="27" t="s">
        <v>8</v>
      </c>
      <c r="FJ388" s="27" t="s">
        <v>7</v>
      </c>
      <c r="FK388" s="27" t="s">
        <v>8</v>
      </c>
      <c r="FM388" s="27" t="s">
        <v>8</v>
      </c>
      <c r="FQ388" s="27" t="s">
        <v>8</v>
      </c>
      <c r="FR388" s="27" t="s">
        <v>7</v>
      </c>
      <c r="FS388" s="27" t="s">
        <v>8</v>
      </c>
      <c r="GF388" s="27" t="s">
        <v>7</v>
      </c>
    </row>
    <row r="389" spans="1:237" x14ac:dyDescent="0.25">
      <c r="A389" s="7">
        <v>50.446844846894244</v>
      </c>
      <c r="B389"/>
      <c r="C389"/>
      <c r="D389"/>
      <c r="E389"/>
      <c r="BS389" s="27" t="s">
        <v>8</v>
      </c>
      <c r="BT389" s="27" t="s">
        <v>7</v>
      </c>
      <c r="BU389" s="27" t="s">
        <v>8</v>
      </c>
      <c r="BV389" s="27" t="s">
        <v>7</v>
      </c>
      <c r="FI389" s="27" t="s">
        <v>8</v>
      </c>
      <c r="FJ389" s="27" t="s">
        <v>7</v>
      </c>
      <c r="FK389" s="27" t="s">
        <v>8</v>
      </c>
      <c r="FL389" s="27" t="s">
        <v>7</v>
      </c>
      <c r="FM389" s="27" t="s">
        <v>8</v>
      </c>
      <c r="FN389" s="27" t="s">
        <v>7</v>
      </c>
      <c r="FO389" s="27" t="s">
        <v>8</v>
      </c>
      <c r="FQ389" s="27" t="s">
        <v>8</v>
      </c>
      <c r="FR389" s="27" t="s">
        <v>7</v>
      </c>
      <c r="FS389" s="27" t="s">
        <v>8</v>
      </c>
    </row>
    <row r="390" spans="1:237" x14ac:dyDescent="0.25">
      <c r="A390" s="7">
        <v>49.457691026366902</v>
      </c>
      <c r="B390"/>
      <c r="C390"/>
      <c r="D390"/>
      <c r="E390"/>
      <c r="BS390" s="27" t="s">
        <v>8</v>
      </c>
      <c r="BT390" s="27" t="s">
        <v>7</v>
      </c>
      <c r="BU390" s="27" t="s">
        <v>8</v>
      </c>
      <c r="BV390" s="27" t="s">
        <v>7</v>
      </c>
      <c r="FG390" s="27" t="s">
        <v>8</v>
      </c>
      <c r="FI390" s="27" t="s">
        <v>8</v>
      </c>
      <c r="FJ390" s="27" t="s">
        <v>7</v>
      </c>
      <c r="FK390" s="27" t="s">
        <v>8</v>
      </c>
      <c r="FL390" s="27" t="s">
        <v>7</v>
      </c>
      <c r="FM390" s="27" t="s">
        <v>8</v>
      </c>
      <c r="FN390" s="27" t="s">
        <v>7</v>
      </c>
      <c r="FO390" s="27" t="s">
        <v>8</v>
      </c>
      <c r="FP390" s="27" t="s">
        <v>7</v>
      </c>
      <c r="FQ390" s="27" t="s">
        <v>8</v>
      </c>
      <c r="FR390" s="27" t="s">
        <v>7</v>
      </c>
      <c r="FS390" s="27" t="s">
        <v>8</v>
      </c>
    </row>
    <row r="391" spans="1:237" x14ac:dyDescent="0.25">
      <c r="A391" s="7">
        <v>48.487932378791079</v>
      </c>
      <c r="B391"/>
      <c r="C391"/>
      <c r="D391"/>
      <c r="E391"/>
      <c r="BS391" s="27" t="s">
        <v>8</v>
      </c>
      <c r="BT391" s="27" t="s">
        <v>7</v>
      </c>
      <c r="BU391" s="27" t="s">
        <v>8</v>
      </c>
      <c r="BV391" s="27" t="s">
        <v>7</v>
      </c>
      <c r="FG391" s="27" t="s">
        <v>8</v>
      </c>
      <c r="FH391" s="27" t="s">
        <v>7</v>
      </c>
      <c r="FI391" s="27" t="s">
        <v>8</v>
      </c>
      <c r="FJ391" s="27" t="s">
        <v>7</v>
      </c>
      <c r="FK391" s="27" t="s">
        <v>8</v>
      </c>
      <c r="FL391" s="27" t="s">
        <v>7</v>
      </c>
      <c r="FM391" s="27" t="s">
        <v>8</v>
      </c>
      <c r="FN391" s="27" t="s">
        <v>7</v>
      </c>
      <c r="FO391" s="27" t="s">
        <v>8</v>
      </c>
      <c r="FP391" s="27" t="s">
        <v>7</v>
      </c>
      <c r="FQ391" s="27" t="s">
        <v>8</v>
      </c>
      <c r="FR391" s="27" t="s">
        <v>7</v>
      </c>
    </row>
    <row r="392" spans="1:237" x14ac:dyDescent="0.25">
      <c r="A392" s="7">
        <v>47.537188606657921</v>
      </c>
      <c r="B392"/>
      <c r="C392"/>
      <c r="D392"/>
      <c r="E392"/>
      <c r="BS392" s="27" t="s">
        <v>8</v>
      </c>
      <c r="BT392" s="27" t="s">
        <v>7</v>
      </c>
      <c r="BU392" s="27" t="s">
        <v>8</v>
      </c>
      <c r="BV392" s="27" t="s">
        <v>7</v>
      </c>
      <c r="FG392" s="27" t="s">
        <v>8</v>
      </c>
      <c r="FH392" s="27" t="s">
        <v>7</v>
      </c>
      <c r="FI392" s="27" t="s">
        <v>8</v>
      </c>
      <c r="FJ392" s="27" t="s">
        <v>7</v>
      </c>
      <c r="FK392" s="27" t="s">
        <v>8</v>
      </c>
      <c r="FL392" s="27" t="s">
        <v>7</v>
      </c>
      <c r="FM392" s="27" t="s">
        <v>8</v>
      </c>
      <c r="FN392" s="27" t="s">
        <v>7</v>
      </c>
      <c r="FO392" s="27" t="s">
        <v>8</v>
      </c>
      <c r="FP392" s="27" t="s">
        <v>7</v>
      </c>
      <c r="FQ392" s="27" t="s">
        <v>8</v>
      </c>
    </row>
    <row r="393" spans="1:237" x14ac:dyDescent="0.25">
      <c r="A393" s="7">
        <v>46.605086869272469</v>
      </c>
      <c r="B393"/>
      <c r="C393"/>
      <c r="D393"/>
      <c r="E393"/>
      <c r="BS393" s="27" t="s">
        <v>8</v>
      </c>
      <c r="BT393" s="27" t="s">
        <v>7</v>
      </c>
      <c r="BU393" s="27" t="s">
        <v>8</v>
      </c>
      <c r="BV393" s="27" t="s">
        <v>7</v>
      </c>
      <c r="FG393" s="27" t="s">
        <v>8</v>
      </c>
      <c r="FH393" s="27" t="s">
        <v>7</v>
      </c>
      <c r="FI393" s="27" t="s">
        <v>8</v>
      </c>
      <c r="FJ393" s="27" t="s">
        <v>7</v>
      </c>
      <c r="FK393" s="27" t="s">
        <v>8</v>
      </c>
      <c r="FL393" s="27" t="s">
        <v>7</v>
      </c>
      <c r="FM393" s="27" t="s">
        <v>8</v>
      </c>
      <c r="FN393" s="27" t="s">
        <v>7</v>
      </c>
      <c r="FO393" s="27" t="s">
        <v>8</v>
      </c>
      <c r="FP393" s="27" t="s">
        <v>7</v>
      </c>
      <c r="FQ393" s="27" t="s">
        <v>8</v>
      </c>
    </row>
    <row r="394" spans="1:237" x14ac:dyDescent="0.25">
      <c r="A394" s="7">
        <v>45.691261636541633</v>
      </c>
      <c r="B394"/>
      <c r="C394"/>
      <c r="D394"/>
      <c r="E394"/>
      <c r="BS394" s="27" t="s">
        <v>8</v>
      </c>
      <c r="BT394" s="27" t="s">
        <v>7</v>
      </c>
      <c r="BU394" s="27" t="s">
        <v>8</v>
      </c>
      <c r="BV394" s="27" t="s">
        <v>7</v>
      </c>
      <c r="FG394" s="27" t="s">
        <v>8</v>
      </c>
      <c r="FH394" s="27" t="s">
        <v>7</v>
      </c>
      <c r="FI394" s="27" t="s">
        <v>8</v>
      </c>
      <c r="FJ394" s="27" t="s">
        <v>7</v>
      </c>
      <c r="FK394" s="27" t="s">
        <v>8</v>
      </c>
      <c r="FL394" s="27" t="s">
        <v>7</v>
      </c>
      <c r="FM394" s="27" t="s">
        <v>8</v>
      </c>
      <c r="FN394" s="27" t="s">
        <v>7</v>
      </c>
      <c r="FO394" s="27" t="s">
        <v>8</v>
      </c>
      <c r="FP394" s="27" t="s">
        <v>7</v>
      </c>
      <c r="FQ394" s="27" t="s">
        <v>8</v>
      </c>
    </row>
    <row r="395" spans="1:237" x14ac:dyDescent="0.25">
      <c r="A395" s="7">
        <v>44.795354545629053</v>
      </c>
      <c r="B395"/>
      <c r="C395"/>
      <c r="D395"/>
      <c r="E395"/>
      <c r="BS395" s="27" t="s">
        <v>8</v>
      </c>
      <c r="BT395" s="27" t="s">
        <v>7</v>
      </c>
      <c r="BU395" s="27" t="s">
        <v>8</v>
      </c>
      <c r="BV395" s="27" t="s">
        <v>7</v>
      </c>
      <c r="FG395" s="27" t="s">
        <v>8</v>
      </c>
      <c r="FH395" s="27" t="s">
        <v>7</v>
      </c>
      <c r="FI395" s="27" t="s">
        <v>8</v>
      </c>
      <c r="FJ395" s="27" t="s">
        <v>7</v>
      </c>
      <c r="FK395" s="27" t="s">
        <v>8</v>
      </c>
      <c r="FL395" s="27" t="s">
        <v>7</v>
      </c>
      <c r="FM395" s="27" t="s">
        <v>8</v>
      </c>
      <c r="FN395" s="27" t="s">
        <v>7</v>
      </c>
      <c r="FP395" s="27" t="s">
        <v>7</v>
      </c>
      <c r="FQ395" s="27" t="s">
        <v>8</v>
      </c>
    </row>
    <row r="396" spans="1:237" x14ac:dyDescent="0.25">
      <c r="A396" s="7">
        <v>43.917014260420636</v>
      </c>
      <c r="B396"/>
      <c r="C396"/>
      <c r="D396"/>
      <c r="E396"/>
      <c r="BS396" s="27" t="s">
        <v>8</v>
      </c>
      <c r="BT396" s="27" t="s">
        <v>7</v>
      </c>
      <c r="BU396" s="27" t="s">
        <v>8</v>
      </c>
      <c r="BV396" s="27" t="s">
        <v>7</v>
      </c>
      <c r="BW396" s="27" t="s">
        <v>8</v>
      </c>
      <c r="FG396" s="27" t="s">
        <v>8</v>
      </c>
      <c r="FH396" s="27" t="s">
        <v>7</v>
      </c>
      <c r="FI396" s="27" t="s">
        <v>8</v>
      </c>
      <c r="FJ396" s="27" t="s">
        <v>7</v>
      </c>
      <c r="FK396" s="27" t="s">
        <v>8</v>
      </c>
      <c r="FL396" s="27" t="s">
        <v>7</v>
      </c>
      <c r="FM396" s="27" t="s">
        <v>8</v>
      </c>
      <c r="FP396" s="27" t="s">
        <v>7</v>
      </c>
      <c r="FQ396" s="27" t="s">
        <v>8</v>
      </c>
    </row>
    <row r="397" spans="1:237" x14ac:dyDescent="0.25">
      <c r="A397" s="7">
        <v>43.055896333745721</v>
      </c>
      <c r="B397"/>
      <c r="C397"/>
      <c r="D397"/>
      <c r="E397"/>
      <c r="BS397" s="27" t="s">
        <v>8</v>
      </c>
      <c r="BT397" s="27" t="s">
        <v>7</v>
      </c>
      <c r="BU397" s="27" t="s">
        <v>8</v>
      </c>
      <c r="BV397" s="27" t="s">
        <v>7</v>
      </c>
      <c r="BW397" s="27" t="s">
        <v>8</v>
      </c>
      <c r="BX397" s="27" t="s">
        <v>7</v>
      </c>
      <c r="DM397" s="27" t="s">
        <v>8</v>
      </c>
      <c r="FG397" s="27" t="s">
        <v>8</v>
      </c>
      <c r="FH397" s="27" t="s">
        <v>7</v>
      </c>
      <c r="FI397" s="27" t="s">
        <v>8</v>
      </c>
      <c r="FJ397" s="27" t="s">
        <v>7</v>
      </c>
      <c r="FK397" s="27" t="s">
        <v>8</v>
      </c>
      <c r="FL397" s="27" t="s">
        <v>7</v>
      </c>
      <c r="FM397" s="27" t="s">
        <v>8</v>
      </c>
      <c r="FP397" s="27" t="s">
        <v>7</v>
      </c>
      <c r="FQ397" s="27" t="s">
        <v>8</v>
      </c>
    </row>
    <row r="398" spans="1:237" x14ac:dyDescent="0.25">
      <c r="A398" s="7">
        <v>42.211663072299729</v>
      </c>
      <c r="B398"/>
      <c r="C398"/>
      <c r="D398"/>
      <c r="E398"/>
      <c r="BS398" s="27" t="s">
        <v>8</v>
      </c>
      <c r="BT398" s="27" t="s">
        <v>7</v>
      </c>
      <c r="BV398" s="27" t="s">
        <v>7</v>
      </c>
      <c r="BW398" s="27" t="s">
        <v>8</v>
      </c>
      <c r="BX398" s="27" t="s">
        <v>7</v>
      </c>
      <c r="DM398" s="27" t="s">
        <v>8</v>
      </c>
      <c r="DN398" s="27" t="s">
        <v>7</v>
      </c>
      <c r="FG398" s="27" t="s">
        <v>8</v>
      </c>
      <c r="FH398" s="27" t="s">
        <v>7</v>
      </c>
      <c r="FI398" s="27" t="s">
        <v>8</v>
      </c>
      <c r="FJ398" s="27" t="s">
        <v>7</v>
      </c>
      <c r="FK398" s="27" t="s">
        <v>8</v>
      </c>
      <c r="FL398" s="27" t="s">
        <v>7</v>
      </c>
      <c r="FM398" s="27" t="s">
        <v>8</v>
      </c>
      <c r="FP398" s="27" t="s">
        <v>7</v>
      </c>
      <c r="FQ398" s="27" t="s">
        <v>8</v>
      </c>
    </row>
    <row r="399" spans="1:237" x14ac:dyDescent="0.25">
      <c r="A399" s="7">
        <v>41.383983404215421</v>
      </c>
      <c r="B399"/>
      <c r="C399"/>
      <c r="D399"/>
      <c r="E399"/>
      <c r="BS399" s="27" t="s">
        <v>8</v>
      </c>
      <c r="BV399" s="27" t="s">
        <v>7</v>
      </c>
      <c r="BW399" s="27" t="s">
        <v>8</v>
      </c>
      <c r="BX399" s="27" t="s">
        <v>7</v>
      </c>
      <c r="DM399" s="27" t="s">
        <v>8</v>
      </c>
      <c r="DN399" s="27" t="s">
        <v>7</v>
      </c>
      <c r="DO399" s="27" t="s">
        <v>8</v>
      </c>
      <c r="FG399" s="27" t="s">
        <v>8</v>
      </c>
      <c r="FH399" s="27" t="s">
        <v>7</v>
      </c>
      <c r="FJ399" s="27" t="s">
        <v>7</v>
      </c>
      <c r="FK399" s="27" t="s">
        <v>8</v>
      </c>
      <c r="FL399" s="27" t="s">
        <v>7</v>
      </c>
      <c r="FM399" s="27" t="s">
        <v>8</v>
      </c>
      <c r="FP399" s="27" t="s">
        <v>7</v>
      </c>
      <c r="FQ399" s="27" t="s">
        <v>8</v>
      </c>
    </row>
    <row r="400" spans="1:237" x14ac:dyDescent="0.25">
      <c r="A400" s="7">
        <v>40.572532749230803</v>
      </c>
      <c r="B400"/>
      <c r="C400"/>
      <c r="D400"/>
      <c r="E400"/>
      <c r="BS400" s="27" t="s">
        <v>8</v>
      </c>
      <c r="BV400" s="27" t="s">
        <v>7</v>
      </c>
      <c r="BW400" s="27" t="s">
        <v>8</v>
      </c>
      <c r="BX400" s="27" t="s">
        <v>7</v>
      </c>
      <c r="CY400" s="27" t="s">
        <v>8</v>
      </c>
      <c r="DM400" s="27" t="s">
        <v>8</v>
      </c>
      <c r="DN400" s="27" t="s">
        <v>7</v>
      </c>
      <c r="DO400" s="27" t="s">
        <v>8</v>
      </c>
      <c r="DP400" s="27" t="s">
        <v>7</v>
      </c>
      <c r="FG400" s="27" t="s">
        <v>8</v>
      </c>
      <c r="FJ400" s="27" t="s">
        <v>7</v>
      </c>
      <c r="FL400" s="27" t="s">
        <v>7</v>
      </c>
      <c r="FM400" s="27" t="s">
        <v>8</v>
      </c>
      <c r="FP400" s="27" t="s">
        <v>7</v>
      </c>
      <c r="FQ400" s="27" t="s">
        <v>8</v>
      </c>
    </row>
    <row r="401" spans="1:173" x14ac:dyDescent="0.25">
      <c r="A401" s="7">
        <v>39.776992891402749</v>
      </c>
      <c r="B401"/>
      <c r="C401"/>
      <c r="D401"/>
      <c r="E401"/>
      <c r="BS401" s="27" t="s">
        <v>8</v>
      </c>
      <c r="BV401" s="27" t="s">
        <v>7</v>
      </c>
      <c r="BW401" s="27" t="s">
        <v>8</v>
      </c>
      <c r="BX401" s="27" t="s">
        <v>7</v>
      </c>
      <c r="CY401" s="27" t="s">
        <v>8</v>
      </c>
      <c r="CZ401" s="27" t="s">
        <v>7</v>
      </c>
      <c r="DM401" s="27" t="s">
        <v>8</v>
      </c>
      <c r="DN401" s="27" t="s">
        <v>7</v>
      </c>
      <c r="DO401" s="27" t="s">
        <v>8</v>
      </c>
      <c r="DP401" s="27" t="s">
        <v>7</v>
      </c>
      <c r="DQ401" s="27" t="s">
        <v>8</v>
      </c>
      <c r="FG401" s="27" t="s">
        <v>8</v>
      </c>
      <c r="FL401" s="27" t="s">
        <v>7</v>
      </c>
      <c r="FM401" s="27" t="s">
        <v>8</v>
      </c>
      <c r="FP401" s="27" t="s">
        <v>7</v>
      </c>
      <c r="FQ401" s="27" t="s">
        <v>8</v>
      </c>
    </row>
    <row r="402" spans="1:173" x14ac:dyDescent="0.25">
      <c r="A402" s="7">
        <v>38.997051854316418</v>
      </c>
      <c r="B402"/>
      <c r="C402"/>
      <c r="D402"/>
      <c r="E402"/>
      <c r="BS402" s="27" t="s">
        <v>8</v>
      </c>
      <c r="BV402" s="27" t="s">
        <v>7</v>
      </c>
      <c r="BW402" s="27" t="s">
        <v>8</v>
      </c>
      <c r="BX402" s="27" t="s">
        <v>7</v>
      </c>
      <c r="CM402" s="27" t="s">
        <v>8</v>
      </c>
      <c r="CY402" s="27" t="s">
        <v>8</v>
      </c>
      <c r="CZ402" s="27" t="s">
        <v>7</v>
      </c>
      <c r="DM402" s="27" t="s">
        <v>8</v>
      </c>
      <c r="DN402" s="27" t="s">
        <v>7</v>
      </c>
      <c r="DO402" s="27" t="s">
        <v>8</v>
      </c>
      <c r="DP402" s="27" t="s">
        <v>7</v>
      </c>
      <c r="DQ402" s="27" t="s">
        <v>8</v>
      </c>
      <c r="DR402" s="27" t="s">
        <v>7</v>
      </c>
      <c r="FG402" s="27" t="s">
        <v>8</v>
      </c>
      <c r="FL402" s="27" t="s">
        <v>7</v>
      </c>
      <c r="FM402" s="27" t="s">
        <v>8</v>
      </c>
      <c r="FP402" s="27" t="s">
        <v>7</v>
      </c>
      <c r="FQ402" s="27" t="s">
        <v>8</v>
      </c>
    </row>
    <row r="403" spans="1:173" x14ac:dyDescent="0.25">
      <c r="A403" s="7">
        <v>38.232403778741585</v>
      </c>
      <c r="B403"/>
      <c r="C403"/>
      <c r="D403"/>
      <c r="E403"/>
      <c r="BS403" s="27" t="s">
        <v>8</v>
      </c>
      <c r="BV403" s="27" t="s">
        <v>7</v>
      </c>
      <c r="BW403" s="27" t="s">
        <v>8</v>
      </c>
      <c r="BX403" s="27" t="s">
        <v>7</v>
      </c>
      <c r="CM403" s="27" t="s">
        <v>8</v>
      </c>
      <c r="CN403" s="27" t="s">
        <v>7</v>
      </c>
      <c r="CY403" s="27" t="s">
        <v>8</v>
      </c>
      <c r="CZ403" s="27" t="s">
        <v>7</v>
      </c>
      <c r="DM403" s="27" t="s">
        <v>8</v>
      </c>
      <c r="DN403" s="27" t="s">
        <v>7</v>
      </c>
      <c r="DO403" s="27" t="s">
        <v>8</v>
      </c>
      <c r="DP403" s="27" t="s">
        <v>7</v>
      </c>
      <c r="DQ403" s="27" t="s">
        <v>8</v>
      </c>
      <c r="DR403" s="27" t="s">
        <v>7</v>
      </c>
      <c r="DS403" s="27" t="s">
        <v>8</v>
      </c>
      <c r="FG403" s="27" t="s">
        <v>8</v>
      </c>
      <c r="FL403" s="27" t="s">
        <v>7</v>
      </c>
      <c r="FP403" s="27" t="s">
        <v>7</v>
      </c>
      <c r="FQ403" s="27" t="s">
        <v>8</v>
      </c>
    </row>
    <row r="404" spans="1:173" x14ac:dyDescent="0.25">
      <c r="A404" s="7">
        <v>37.48274880268783</v>
      </c>
      <c r="B404"/>
      <c r="C404"/>
      <c r="D404"/>
      <c r="E404"/>
      <c r="BS404" s="27" t="s">
        <v>8</v>
      </c>
      <c r="BV404" s="27" t="s">
        <v>7</v>
      </c>
      <c r="BW404" s="27" t="s">
        <v>8</v>
      </c>
      <c r="BX404" s="27" t="s">
        <v>7</v>
      </c>
      <c r="BY404" s="27" t="s">
        <v>8</v>
      </c>
      <c r="CM404" s="27" t="s">
        <v>8</v>
      </c>
      <c r="CN404" s="27" t="s">
        <v>7</v>
      </c>
      <c r="CY404" s="27" t="s">
        <v>8</v>
      </c>
      <c r="CZ404" s="27" t="s">
        <v>7</v>
      </c>
      <c r="DM404" s="27" t="s">
        <v>8</v>
      </c>
      <c r="DN404" s="27" t="s">
        <v>7</v>
      </c>
      <c r="DO404" s="27" t="s">
        <v>8</v>
      </c>
      <c r="DP404" s="27" t="s">
        <v>7</v>
      </c>
      <c r="DQ404" s="27" t="s">
        <v>8</v>
      </c>
      <c r="DR404" s="27" t="s">
        <v>7</v>
      </c>
      <c r="DS404" s="27" t="s">
        <v>8</v>
      </c>
      <c r="DT404" s="27" t="s">
        <v>7</v>
      </c>
      <c r="FG404" s="27" t="s">
        <v>8</v>
      </c>
      <c r="FP404" s="27" t="s">
        <v>7</v>
      </c>
      <c r="FQ404" s="27" t="s">
        <v>8</v>
      </c>
    </row>
    <row r="405" spans="1:173" x14ac:dyDescent="0.25">
      <c r="A405" s="7">
        <v>36.747792943811596</v>
      </c>
      <c r="B405"/>
      <c r="C405"/>
      <c r="D405"/>
      <c r="E405"/>
      <c r="BS405" s="27" t="s">
        <v>8</v>
      </c>
      <c r="BV405" s="27" t="s">
        <v>7</v>
      </c>
      <c r="BW405" s="27" t="s">
        <v>8</v>
      </c>
      <c r="BX405" s="27" t="s">
        <v>7</v>
      </c>
      <c r="BY405" s="27" t="s">
        <v>8</v>
      </c>
      <c r="BZ405" s="27" t="s">
        <v>7</v>
      </c>
      <c r="CM405" s="27" t="s">
        <v>8</v>
      </c>
      <c r="CN405" s="27" t="s">
        <v>7</v>
      </c>
      <c r="CY405" s="27" t="s">
        <v>8</v>
      </c>
      <c r="CZ405" s="27" t="s">
        <v>7</v>
      </c>
      <c r="DA405" s="27" t="s">
        <v>8</v>
      </c>
      <c r="DK405" s="27" t="s">
        <v>8</v>
      </c>
      <c r="DM405" s="27" t="s">
        <v>8</v>
      </c>
      <c r="DN405" s="27" t="s">
        <v>7</v>
      </c>
      <c r="DO405" s="27" t="s">
        <v>8</v>
      </c>
      <c r="DP405" s="27" t="s">
        <v>7</v>
      </c>
      <c r="DQ405" s="27" t="s">
        <v>8</v>
      </c>
      <c r="DR405" s="27" t="s">
        <v>7</v>
      </c>
      <c r="DS405" s="27" t="s">
        <v>8</v>
      </c>
      <c r="DT405" s="27" t="s">
        <v>7</v>
      </c>
      <c r="FG405" s="27" t="s">
        <v>8</v>
      </c>
      <c r="FP405" s="27" t="s">
        <v>7</v>
      </c>
      <c r="FQ405" s="27" t="s">
        <v>8</v>
      </c>
    </row>
    <row r="406" spans="1:173" x14ac:dyDescent="0.25">
      <c r="A406" s="7">
        <v>36.027247984129012</v>
      </c>
      <c r="B406"/>
      <c r="C406"/>
      <c r="D406"/>
      <c r="E406"/>
      <c r="BS406" s="27" t="s">
        <v>8</v>
      </c>
      <c r="BV406" s="27" t="s">
        <v>7</v>
      </c>
      <c r="BW406" s="27" t="s">
        <v>8</v>
      </c>
      <c r="BX406" s="27" t="s">
        <v>7</v>
      </c>
      <c r="BY406" s="27" t="s">
        <v>8</v>
      </c>
      <c r="BZ406" s="27" t="s">
        <v>7</v>
      </c>
      <c r="CM406" s="27" t="s">
        <v>8</v>
      </c>
      <c r="CN406" s="27" t="s">
        <v>7</v>
      </c>
      <c r="CY406" s="27" t="s">
        <v>8</v>
      </c>
      <c r="CZ406" s="27" t="s">
        <v>7</v>
      </c>
      <c r="DA406" s="27" t="s">
        <v>8</v>
      </c>
      <c r="DB406" s="27" t="s">
        <v>7</v>
      </c>
      <c r="DK406" s="27" t="s">
        <v>8</v>
      </c>
      <c r="DL406" s="27" t="s">
        <v>7</v>
      </c>
      <c r="DM406" s="27" t="s">
        <v>8</v>
      </c>
      <c r="DN406" s="27" t="s">
        <v>7</v>
      </c>
      <c r="DO406" s="27" t="s">
        <v>8</v>
      </c>
      <c r="DP406" s="27" t="s">
        <v>7</v>
      </c>
      <c r="DQ406" s="27" t="s">
        <v>8</v>
      </c>
      <c r="DR406" s="27" t="s">
        <v>7</v>
      </c>
      <c r="DS406" s="27" t="s">
        <v>8</v>
      </c>
      <c r="DT406" s="27" t="s">
        <v>7</v>
      </c>
      <c r="FG406" s="27" t="s">
        <v>8</v>
      </c>
      <c r="FP406" s="27" t="s">
        <v>7</v>
      </c>
      <c r="FQ406" s="27" t="s">
        <v>8</v>
      </c>
    </row>
    <row r="407" spans="1:173" x14ac:dyDescent="0.25">
      <c r="A407" s="7">
        <v>35.320831356989224</v>
      </c>
      <c r="B407"/>
      <c r="C407"/>
      <c r="D407"/>
      <c r="E407"/>
      <c r="BS407" s="27" t="s">
        <v>8</v>
      </c>
      <c r="BV407" s="27" t="s">
        <v>7</v>
      </c>
      <c r="BW407" s="27" t="s">
        <v>8</v>
      </c>
      <c r="BX407" s="27" t="s">
        <v>7</v>
      </c>
      <c r="BY407" s="27" t="s">
        <v>8</v>
      </c>
      <c r="BZ407" s="27" t="s">
        <v>7</v>
      </c>
      <c r="CI407" s="27" t="s">
        <v>8</v>
      </c>
      <c r="CM407" s="27" t="s">
        <v>8</v>
      </c>
      <c r="CN407" s="27" t="s">
        <v>7</v>
      </c>
      <c r="CW407" s="27" t="s">
        <v>8</v>
      </c>
      <c r="CY407" s="27" t="s">
        <v>8</v>
      </c>
      <c r="CZ407" s="27" t="s">
        <v>7</v>
      </c>
      <c r="DA407" s="27" t="s">
        <v>8</v>
      </c>
      <c r="DB407" s="27" t="s">
        <v>7</v>
      </c>
      <c r="DI407" s="27" t="s">
        <v>8</v>
      </c>
      <c r="DK407" s="27" t="s">
        <v>8</v>
      </c>
      <c r="DL407" s="27" t="s">
        <v>7</v>
      </c>
      <c r="DM407" s="27" t="s">
        <v>8</v>
      </c>
      <c r="DN407" s="27" t="s">
        <v>7</v>
      </c>
      <c r="DO407" s="27" t="s">
        <v>8</v>
      </c>
      <c r="DP407" s="27" t="s">
        <v>7</v>
      </c>
      <c r="DQ407" s="27" t="s">
        <v>8</v>
      </c>
      <c r="DR407" s="27" t="s">
        <v>7</v>
      </c>
      <c r="DS407" s="27" t="s">
        <v>8</v>
      </c>
      <c r="DT407" s="27" t="s">
        <v>7</v>
      </c>
      <c r="FG407" s="27" t="s">
        <v>8</v>
      </c>
      <c r="FP407" s="27" t="s">
        <v>7</v>
      </c>
      <c r="FQ407" s="27" t="s">
        <v>8</v>
      </c>
    </row>
    <row r="408" spans="1:173" x14ac:dyDescent="0.25">
      <c r="A408" s="7">
        <v>34.628266036263945</v>
      </c>
      <c r="B408"/>
      <c r="C408"/>
      <c r="D408"/>
      <c r="E408"/>
      <c r="BS408" s="27" t="s">
        <v>8</v>
      </c>
      <c r="BV408" s="27" t="s">
        <v>7</v>
      </c>
      <c r="BW408" s="27" t="s">
        <v>8</v>
      </c>
      <c r="BX408" s="27" t="s">
        <v>7</v>
      </c>
      <c r="BY408" s="27" t="s">
        <v>8</v>
      </c>
      <c r="BZ408" s="27" t="s">
        <v>7</v>
      </c>
      <c r="CI408" s="27" t="s">
        <v>8</v>
      </c>
      <c r="CJ408" s="27" t="s">
        <v>7</v>
      </c>
      <c r="CM408" s="27" t="s">
        <v>8</v>
      </c>
      <c r="CN408" s="27" t="s">
        <v>7</v>
      </c>
      <c r="CW408" s="27" t="s">
        <v>8</v>
      </c>
      <c r="CX408" s="27" t="s">
        <v>7</v>
      </c>
      <c r="CY408" s="27" t="s">
        <v>8</v>
      </c>
      <c r="CZ408" s="27" t="s">
        <v>7</v>
      </c>
      <c r="DA408" s="27" t="s">
        <v>8</v>
      </c>
      <c r="DB408" s="27" t="s">
        <v>7</v>
      </c>
      <c r="DI408" s="27" t="s">
        <v>8</v>
      </c>
      <c r="DJ408" s="27" t="s">
        <v>7</v>
      </c>
      <c r="DK408" s="27" t="s">
        <v>8</v>
      </c>
      <c r="DL408" s="27" t="s">
        <v>7</v>
      </c>
      <c r="DM408" s="27" t="s">
        <v>8</v>
      </c>
      <c r="DN408" s="27" t="s">
        <v>7</v>
      </c>
      <c r="DO408" s="27" t="s">
        <v>8</v>
      </c>
      <c r="DP408" s="27" t="s">
        <v>7</v>
      </c>
      <c r="DQ408" s="27" t="s">
        <v>8</v>
      </c>
      <c r="DR408" s="27" t="s">
        <v>7</v>
      </c>
      <c r="DS408" s="27" t="s">
        <v>8</v>
      </c>
      <c r="DT408" s="27" t="s">
        <v>7</v>
      </c>
      <c r="FG408" s="27" t="s">
        <v>8</v>
      </c>
      <c r="FP408" s="27" t="s">
        <v>7</v>
      </c>
      <c r="FQ408" s="27" t="s">
        <v>8</v>
      </c>
    </row>
    <row r="409" spans="1:173" x14ac:dyDescent="0.25">
      <c r="A409" s="7">
        <v>33.949280427709752</v>
      </c>
      <c r="B409"/>
      <c r="C409"/>
      <c r="D409"/>
      <c r="E409"/>
      <c r="BS409" s="27" t="s">
        <v>8</v>
      </c>
      <c r="BV409" s="27" t="s">
        <v>7</v>
      </c>
      <c r="BX409" s="27" t="s">
        <v>7</v>
      </c>
      <c r="BY409" s="27" t="s">
        <v>8</v>
      </c>
      <c r="BZ409" s="27" t="s">
        <v>7</v>
      </c>
      <c r="CI409" s="27" t="s">
        <v>8</v>
      </c>
      <c r="CJ409" s="27" t="s">
        <v>7</v>
      </c>
      <c r="CM409" s="27" t="s">
        <v>8</v>
      </c>
      <c r="CN409" s="27" t="s">
        <v>7</v>
      </c>
      <c r="CS409" s="27" t="s">
        <v>8</v>
      </c>
      <c r="CU409" s="27" t="s">
        <v>8</v>
      </c>
      <c r="CW409" s="27" t="s">
        <v>8</v>
      </c>
      <c r="CX409" s="27" t="s">
        <v>7</v>
      </c>
      <c r="CY409" s="27" t="s">
        <v>8</v>
      </c>
      <c r="CZ409" s="27" t="s">
        <v>7</v>
      </c>
      <c r="DA409" s="27" t="s">
        <v>8</v>
      </c>
      <c r="DB409" s="27" t="s">
        <v>7</v>
      </c>
      <c r="DI409" s="27" t="s">
        <v>8</v>
      </c>
      <c r="DJ409" s="27" t="s">
        <v>7</v>
      </c>
      <c r="DK409" s="27" t="s">
        <v>8</v>
      </c>
      <c r="DL409" s="27" t="s">
        <v>7</v>
      </c>
      <c r="DM409" s="27" t="s">
        <v>8</v>
      </c>
      <c r="DN409" s="27" t="s">
        <v>7</v>
      </c>
      <c r="DO409" s="27" t="s">
        <v>8</v>
      </c>
      <c r="DP409" s="27" t="s">
        <v>7</v>
      </c>
      <c r="DQ409" s="27" t="s">
        <v>8</v>
      </c>
      <c r="DR409" s="27" t="s">
        <v>7</v>
      </c>
      <c r="DS409" s="27" t="s">
        <v>8</v>
      </c>
      <c r="DT409" s="27" t="s">
        <v>7</v>
      </c>
      <c r="FG409" s="27" t="s">
        <v>8</v>
      </c>
      <c r="FP409" s="27" t="s">
        <v>7</v>
      </c>
      <c r="FQ409" s="27" t="s">
        <v>8</v>
      </c>
    </row>
    <row r="410" spans="1:173" x14ac:dyDescent="0.25">
      <c r="A410" s="7">
        <v>33.28360826246054</v>
      </c>
      <c r="B410"/>
      <c r="C410"/>
      <c r="D410"/>
      <c r="E410"/>
      <c r="BQ410" s="27" t="s">
        <v>8</v>
      </c>
      <c r="BS410" s="27" t="s">
        <v>8</v>
      </c>
      <c r="BX410" s="27" t="s">
        <v>7</v>
      </c>
      <c r="BY410" s="27" t="s">
        <v>8</v>
      </c>
      <c r="BZ410" s="27" t="s">
        <v>7</v>
      </c>
      <c r="CI410" s="27" t="s">
        <v>8</v>
      </c>
      <c r="CJ410" s="27" t="s">
        <v>7</v>
      </c>
      <c r="CM410" s="27" t="s">
        <v>8</v>
      </c>
      <c r="CN410" s="27" t="s">
        <v>7</v>
      </c>
      <c r="CS410" s="27" t="s">
        <v>8</v>
      </c>
      <c r="CT410" s="27" t="s">
        <v>7</v>
      </c>
      <c r="CU410" s="27" t="s">
        <v>8</v>
      </c>
      <c r="CV410" s="27" t="s">
        <v>7</v>
      </c>
      <c r="CW410" s="27" t="s">
        <v>8</v>
      </c>
      <c r="CX410" s="27" t="s">
        <v>7</v>
      </c>
      <c r="CY410" s="27" t="s">
        <v>8</v>
      </c>
      <c r="CZ410" s="27" t="s">
        <v>7</v>
      </c>
      <c r="DB410" s="27" t="s">
        <v>7</v>
      </c>
      <c r="DI410" s="27" t="s">
        <v>8</v>
      </c>
      <c r="DJ410" s="27" t="s">
        <v>7</v>
      </c>
      <c r="DK410" s="27" t="s">
        <v>8</v>
      </c>
      <c r="DL410" s="27" t="s">
        <v>7</v>
      </c>
      <c r="DM410" s="27" t="s">
        <v>8</v>
      </c>
      <c r="DN410" s="27" t="s">
        <v>7</v>
      </c>
      <c r="DO410" s="27" t="s">
        <v>8</v>
      </c>
      <c r="DP410" s="27" t="s">
        <v>7</v>
      </c>
      <c r="DQ410" s="27" t="s">
        <v>8</v>
      </c>
      <c r="DR410" s="27" t="s">
        <v>7</v>
      </c>
      <c r="DS410" s="27" t="s">
        <v>8</v>
      </c>
      <c r="DT410" s="27" t="s">
        <v>7</v>
      </c>
      <c r="FG410" s="27" t="s">
        <v>8</v>
      </c>
      <c r="FP410" s="27" t="s">
        <v>7</v>
      </c>
      <c r="FQ410" s="27" t="s">
        <v>8</v>
      </c>
    </row>
    <row r="411" spans="1:173" x14ac:dyDescent="0.25">
      <c r="A411" s="7">
        <v>32.630988492608374</v>
      </c>
      <c r="B411"/>
      <c r="C411"/>
      <c r="D411"/>
      <c r="E411"/>
      <c r="BQ411" s="27" t="s">
        <v>8</v>
      </c>
      <c r="BR411" s="27" t="s">
        <v>7</v>
      </c>
      <c r="BS411" s="27" t="s">
        <v>8</v>
      </c>
      <c r="BX411" s="27" t="s">
        <v>7</v>
      </c>
      <c r="BY411" s="27" t="s">
        <v>8</v>
      </c>
      <c r="BZ411" s="27" t="s">
        <v>7</v>
      </c>
      <c r="CI411" s="27" t="s">
        <v>8</v>
      </c>
      <c r="CJ411" s="27" t="s">
        <v>7</v>
      </c>
      <c r="CK411" s="27" t="s">
        <v>8</v>
      </c>
      <c r="CM411" s="27" t="s">
        <v>8</v>
      </c>
      <c r="CN411" s="27" t="s">
        <v>7</v>
      </c>
      <c r="CQ411" s="27" t="s">
        <v>8</v>
      </c>
      <c r="CS411" s="27" t="s">
        <v>8</v>
      </c>
      <c r="CT411" s="27" t="s">
        <v>7</v>
      </c>
      <c r="CU411" s="27" t="s">
        <v>8</v>
      </c>
      <c r="CV411" s="27" t="s">
        <v>7</v>
      </c>
      <c r="CW411" s="27" t="s">
        <v>8</v>
      </c>
      <c r="CX411" s="27" t="s">
        <v>7</v>
      </c>
      <c r="CY411" s="27" t="s">
        <v>8</v>
      </c>
      <c r="DB411" s="27" t="s">
        <v>7</v>
      </c>
      <c r="DI411" s="27" t="s">
        <v>8</v>
      </c>
      <c r="DJ411" s="27" t="s">
        <v>7</v>
      </c>
      <c r="DK411" s="27" t="s">
        <v>8</v>
      </c>
      <c r="DL411" s="27" t="s">
        <v>7</v>
      </c>
      <c r="DM411" s="27" t="s">
        <v>8</v>
      </c>
      <c r="DN411" s="27" t="s">
        <v>7</v>
      </c>
      <c r="DO411" s="27" t="s">
        <v>8</v>
      </c>
      <c r="DP411" s="27" t="s">
        <v>7</v>
      </c>
      <c r="DQ411" s="27" t="s">
        <v>8</v>
      </c>
      <c r="DR411" s="27" t="s">
        <v>7</v>
      </c>
      <c r="DS411" s="27" t="s">
        <v>8</v>
      </c>
      <c r="DT411" s="27" t="s">
        <v>7</v>
      </c>
      <c r="FG411" s="27" t="s">
        <v>8</v>
      </c>
      <c r="FP411" s="27" t="s">
        <v>7</v>
      </c>
    </row>
    <row r="412" spans="1:173" x14ac:dyDescent="0.25">
      <c r="A412" s="7">
        <v>31.99116518883174</v>
      </c>
      <c r="B412"/>
      <c r="C412"/>
      <c r="D412"/>
      <c r="E412"/>
      <c r="BQ412" s="27" t="s">
        <v>8</v>
      </c>
      <c r="BR412" s="27" t="s">
        <v>7</v>
      </c>
      <c r="BS412" s="27" t="s">
        <v>8</v>
      </c>
      <c r="BX412" s="27" t="s">
        <v>7</v>
      </c>
      <c r="BZ412" s="27" t="s">
        <v>7</v>
      </c>
      <c r="CA412" s="27" t="s">
        <v>8</v>
      </c>
      <c r="CI412" s="27" t="s">
        <v>8</v>
      </c>
      <c r="CJ412" s="27" t="s">
        <v>7</v>
      </c>
      <c r="CK412" s="27" t="s">
        <v>8</v>
      </c>
      <c r="CL412" s="27" t="s">
        <v>7</v>
      </c>
      <c r="CM412" s="27" t="s">
        <v>8</v>
      </c>
      <c r="CN412" s="27" t="s">
        <v>7</v>
      </c>
      <c r="CQ412" s="27" t="s">
        <v>8</v>
      </c>
      <c r="CR412" s="27" t="s">
        <v>7</v>
      </c>
      <c r="CS412" s="27" t="s">
        <v>8</v>
      </c>
      <c r="CT412" s="27" t="s">
        <v>7</v>
      </c>
      <c r="CU412" s="27" t="s">
        <v>8</v>
      </c>
      <c r="CV412" s="27" t="s">
        <v>7</v>
      </c>
      <c r="CW412" s="27" t="s">
        <v>8</v>
      </c>
      <c r="CX412" s="27" t="s">
        <v>7</v>
      </c>
      <c r="DB412" s="27" t="s">
        <v>7</v>
      </c>
      <c r="DI412" s="27" t="s">
        <v>8</v>
      </c>
      <c r="DJ412" s="27" t="s">
        <v>7</v>
      </c>
      <c r="DK412" s="27" t="s">
        <v>8</v>
      </c>
      <c r="DL412" s="27" t="s">
        <v>7</v>
      </c>
      <c r="DM412" s="27" t="s">
        <v>8</v>
      </c>
      <c r="DN412" s="27" t="s">
        <v>7</v>
      </c>
      <c r="DO412" s="27" t="s">
        <v>8</v>
      </c>
      <c r="DP412" s="27" t="s">
        <v>7</v>
      </c>
      <c r="DQ412" s="27" t="s">
        <v>8</v>
      </c>
      <c r="DR412" s="27" t="s">
        <v>7</v>
      </c>
      <c r="DT412" s="27" t="s">
        <v>7</v>
      </c>
      <c r="FG412" s="27" t="s">
        <v>8</v>
      </c>
    </row>
    <row r="413" spans="1:173" x14ac:dyDescent="0.25">
      <c r="A413" s="7">
        <v>31.363887440031117</v>
      </c>
      <c r="B413"/>
      <c r="C413"/>
      <c r="D413"/>
      <c r="E413"/>
      <c r="BQ413" s="27" t="s">
        <v>8</v>
      </c>
      <c r="BR413" s="27" t="s">
        <v>7</v>
      </c>
      <c r="BS413" s="27" t="s">
        <v>8</v>
      </c>
      <c r="BZ413" s="27" t="s">
        <v>7</v>
      </c>
      <c r="CA413" s="27" t="s">
        <v>8</v>
      </c>
      <c r="CB413" s="27" t="s">
        <v>7</v>
      </c>
      <c r="CE413" s="27" t="s">
        <v>8</v>
      </c>
      <c r="CI413" s="27" t="s">
        <v>8</v>
      </c>
      <c r="CJ413" s="27" t="s">
        <v>7</v>
      </c>
      <c r="CK413" s="27" t="s">
        <v>8</v>
      </c>
      <c r="CL413" s="27" t="s">
        <v>7</v>
      </c>
      <c r="CM413" s="27" t="s">
        <v>8</v>
      </c>
      <c r="CN413" s="27" t="s">
        <v>7</v>
      </c>
      <c r="CQ413" s="27" t="s">
        <v>8</v>
      </c>
      <c r="CR413" s="27" t="s">
        <v>7</v>
      </c>
      <c r="CS413" s="27" t="s">
        <v>8</v>
      </c>
      <c r="CT413" s="27" t="s">
        <v>7</v>
      </c>
      <c r="CU413" s="27" t="s">
        <v>8</v>
      </c>
      <c r="CV413" s="27" t="s">
        <v>7</v>
      </c>
      <c r="DB413" s="27" t="s">
        <v>7</v>
      </c>
      <c r="DI413" s="27" t="s">
        <v>8</v>
      </c>
      <c r="DJ413" s="27" t="s">
        <v>7</v>
      </c>
      <c r="DK413" s="27" t="s">
        <v>8</v>
      </c>
      <c r="DL413" s="27" t="s">
        <v>7</v>
      </c>
      <c r="DM413" s="27" t="s">
        <v>8</v>
      </c>
      <c r="DN413" s="27" t="s">
        <v>7</v>
      </c>
      <c r="DO413" s="27" t="s">
        <v>8</v>
      </c>
      <c r="DP413" s="27" t="s">
        <v>7</v>
      </c>
      <c r="DQ413" s="27" t="s">
        <v>8</v>
      </c>
      <c r="DT413" s="27" t="s">
        <v>7</v>
      </c>
      <c r="FG413" s="27" t="s">
        <v>8</v>
      </c>
    </row>
    <row r="414" spans="1:173" x14ac:dyDescent="0.25">
      <c r="A414" s="7">
        <v>30.748909254932467</v>
      </c>
      <c r="B414"/>
      <c r="C414"/>
      <c r="D414"/>
      <c r="E414"/>
      <c r="BQ414" s="27" t="s">
        <v>8</v>
      </c>
      <c r="BR414" s="27" t="s">
        <v>7</v>
      </c>
      <c r="BS414" s="27" t="s">
        <v>8</v>
      </c>
      <c r="BZ414" s="27" t="s">
        <v>7</v>
      </c>
      <c r="CA414" s="27" t="s">
        <v>8</v>
      </c>
      <c r="CB414" s="27" t="s">
        <v>7</v>
      </c>
      <c r="CE414" s="27" t="s">
        <v>8</v>
      </c>
      <c r="CF414" s="27" t="s">
        <v>7</v>
      </c>
      <c r="CI414" s="27" t="s">
        <v>8</v>
      </c>
      <c r="CJ414" s="27" t="s">
        <v>7</v>
      </c>
      <c r="CK414" s="27" t="s">
        <v>8</v>
      </c>
      <c r="CL414" s="27" t="s">
        <v>7</v>
      </c>
      <c r="CM414" s="27" t="s">
        <v>8</v>
      </c>
      <c r="CN414" s="27" t="s">
        <v>7</v>
      </c>
      <c r="CO414" s="27" t="s">
        <v>8</v>
      </c>
      <c r="CQ414" s="27" t="s">
        <v>8</v>
      </c>
      <c r="CR414" s="27" t="s">
        <v>7</v>
      </c>
      <c r="CS414" s="27" t="s">
        <v>8</v>
      </c>
      <c r="CT414" s="27" t="s">
        <v>7</v>
      </c>
      <c r="CU414" s="27" t="s">
        <v>8</v>
      </c>
      <c r="DB414" s="27" t="s">
        <v>7</v>
      </c>
      <c r="DI414" s="27" t="s">
        <v>8</v>
      </c>
      <c r="DJ414" s="27" t="s">
        <v>7</v>
      </c>
      <c r="DL414" s="27" t="s">
        <v>7</v>
      </c>
      <c r="DM414" s="27" t="s">
        <v>8</v>
      </c>
      <c r="DN414" s="27" t="s">
        <v>7</v>
      </c>
      <c r="DO414" s="27" t="s">
        <v>8</v>
      </c>
      <c r="DP414" s="27" t="s">
        <v>7</v>
      </c>
      <c r="DT414" s="27" t="s">
        <v>7</v>
      </c>
      <c r="FG414" s="27" t="s">
        <v>8</v>
      </c>
    </row>
    <row r="415" spans="1:173" x14ac:dyDescent="0.25">
      <c r="A415" s="7">
        <v>30.145989465620065</v>
      </c>
      <c r="B415"/>
      <c r="C415"/>
      <c r="D415"/>
      <c r="E415"/>
      <c r="BQ415" s="27" t="s">
        <v>8</v>
      </c>
      <c r="BR415" s="27" t="s">
        <v>7</v>
      </c>
      <c r="BS415" s="27" t="s">
        <v>8</v>
      </c>
      <c r="BZ415" s="27" t="s">
        <v>7</v>
      </c>
      <c r="CA415" s="27" t="s">
        <v>8</v>
      </c>
      <c r="CB415" s="27" t="s">
        <v>7</v>
      </c>
      <c r="CE415" s="27" t="s">
        <v>8</v>
      </c>
      <c r="CF415" s="27" t="s">
        <v>7</v>
      </c>
      <c r="CI415" s="27" t="s">
        <v>8</v>
      </c>
      <c r="CJ415" s="27" t="s">
        <v>7</v>
      </c>
      <c r="CK415" s="27" t="s">
        <v>8</v>
      </c>
      <c r="CL415" s="27" t="s">
        <v>7</v>
      </c>
      <c r="CM415" s="27" t="s">
        <v>8</v>
      </c>
      <c r="CN415" s="27" t="s">
        <v>7</v>
      </c>
      <c r="CO415" s="27" t="s">
        <v>8</v>
      </c>
      <c r="CP415" s="27" t="s">
        <v>7</v>
      </c>
      <c r="CQ415" s="27" t="s">
        <v>8</v>
      </c>
      <c r="CR415" s="27" t="s">
        <v>7</v>
      </c>
      <c r="CS415" s="27" t="s">
        <v>8</v>
      </c>
      <c r="CT415" s="27" t="s">
        <v>7</v>
      </c>
      <c r="CU415" s="27" t="s">
        <v>8</v>
      </c>
      <c r="DB415" s="27" t="s">
        <v>7</v>
      </c>
      <c r="DC415" s="27" t="s">
        <v>8</v>
      </c>
      <c r="DI415" s="27" t="s">
        <v>8</v>
      </c>
      <c r="DL415" s="27" t="s">
        <v>7</v>
      </c>
      <c r="DM415" s="27" t="s">
        <v>8</v>
      </c>
      <c r="DN415" s="27" t="s">
        <v>7</v>
      </c>
      <c r="DT415" s="27" t="s">
        <v>7</v>
      </c>
      <c r="FG415" s="27" t="s">
        <v>8</v>
      </c>
    </row>
    <row r="416" spans="1:173" x14ac:dyDescent="0.25">
      <c r="A416" s="7">
        <v>29.55489163296085</v>
      </c>
      <c r="B416"/>
      <c r="C416"/>
      <c r="D416"/>
      <c r="E416"/>
      <c r="BQ416" s="27" t="s">
        <v>8</v>
      </c>
      <c r="BR416" s="27" t="s">
        <v>7</v>
      </c>
      <c r="BS416" s="27" t="s">
        <v>8</v>
      </c>
      <c r="BZ416" s="27" t="s">
        <v>7</v>
      </c>
      <c r="CA416" s="27" t="s">
        <v>8</v>
      </c>
      <c r="CB416" s="27" t="s">
        <v>7</v>
      </c>
      <c r="CE416" s="27" t="s">
        <v>8</v>
      </c>
      <c r="CF416" s="27" t="s">
        <v>7</v>
      </c>
      <c r="CI416" s="27" t="s">
        <v>8</v>
      </c>
      <c r="CJ416" s="27" t="s">
        <v>7</v>
      </c>
      <c r="CK416" s="27" t="s">
        <v>8</v>
      </c>
      <c r="CL416" s="27" t="s">
        <v>7</v>
      </c>
      <c r="CM416" s="27" t="s">
        <v>8</v>
      </c>
      <c r="CN416" s="27" t="s">
        <v>7</v>
      </c>
      <c r="CO416" s="27" t="s">
        <v>8</v>
      </c>
      <c r="CP416" s="27" t="s">
        <v>7</v>
      </c>
      <c r="CQ416" s="27" t="s">
        <v>8</v>
      </c>
      <c r="CR416" s="27" t="s">
        <v>7</v>
      </c>
      <c r="CS416" s="27" t="s">
        <v>8</v>
      </c>
      <c r="CT416" s="27" t="s">
        <v>7</v>
      </c>
      <c r="CU416" s="27" t="s">
        <v>8</v>
      </c>
      <c r="DB416" s="27" t="s">
        <v>7</v>
      </c>
      <c r="DC416" s="27" t="s">
        <v>8</v>
      </c>
      <c r="DD416" s="27" t="s">
        <v>7</v>
      </c>
      <c r="DI416" s="27" t="s">
        <v>8</v>
      </c>
      <c r="DL416" s="27" t="s">
        <v>7</v>
      </c>
      <c r="DT416" s="27" t="s">
        <v>7</v>
      </c>
      <c r="FG416" s="27" t="s">
        <v>8</v>
      </c>
    </row>
    <row r="417" spans="1:163" x14ac:dyDescent="0.25">
      <c r="A417" s="7">
        <v>28.975383953883185</v>
      </c>
      <c r="B417"/>
      <c r="C417"/>
      <c r="D417"/>
      <c r="E417"/>
      <c r="BQ417" s="27" t="s">
        <v>8</v>
      </c>
      <c r="BR417" s="27" t="s">
        <v>7</v>
      </c>
      <c r="BS417" s="27" t="s">
        <v>8</v>
      </c>
      <c r="BZ417" s="27" t="s">
        <v>7</v>
      </c>
      <c r="CA417" s="27" t="s">
        <v>8</v>
      </c>
      <c r="CB417" s="27" t="s">
        <v>7</v>
      </c>
      <c r="CE417" s="27" t="s">
        <v>8</v>
      </c>
      <c r="CF417" s="27" t="s">
        <v>7</v>
      </c>
      <c r="CI417" s="27" t="s">
        <v>8</v>
      </c>
      <c r="CJ417" s="27" t="s">
        <v>7</v>
      </c>
      <c r="CK417" s="27" t="s">
        <v>8</v>
      </c>
      <c r="CL417" s="27" t="s">
        <v>7</v>
      </c>
      <c r="CM417" s="27" t="s">
        <v>8</v>
      </c>
      <c r="CN417" s="27" t="s">
        <v>7</v>
      </c>
      <c r="CO417" s="27" t="s">
        <v>8</v>
      </c>
      <c r="CP417" s="27" t="s">
        <v>7</v>
      </c>
      <c r="CQ417" s="27" t="s">
        <v>8</v>
      </c>
      <c r="CR417" s="27" t="s">
        <v>7</v>
      </c>
      <c r="CS417" s="27" t="s">
        <v>8</v>
      </c>
      <c r="CT417" s="27" t="s">
        <v>7</v>
      </c>
      <c r="DB417" s="27" t="s">
        <v>7</v>
      </c>
      <c r="DC417" s="27" t="s">
        <v>8</v>
      </c>
      <c r="DD417" s="27" t="s">
        <v>7</v>
      </c>
      <c r="DI417" s="27" t="s">
        <v>8</v>
      </c>
      <c r="DT417" s="27" t="s">
        <v>7</v>
      </c>
      <c r="FG417" s="27" t="s">
        <v>8</v>
      </c>
    </row>
    <row r="418" spans="1:163" x14ac:dyDescent="0.25">
      <c r="A418" s="7">
        <v>28.407239170473709</v>
      </c>
      <c r="B418"/>
      <c r="C418"/>
      <c r="D418"/>
      <c r="E418"/>
      <c r="BQ418" s="27" t="s">
        <v>8</v>
      </c>
      <c r="BR418" s="27" t="s">
        <v>7</v>
      </c>
      <c r="BS418" s="27" t="s">
        <v>8</v>
      </c>
      <c r="BZ418" s="27" t="s">
        <v>7</v>
      </c>
      <c r="CA418" s="27" t="s">
        <v>8</v>
      </c>
      <c r="CB418" s="27" t="s">
        <v>7</v>
      </c>
      <c r="CE418" s="27" t="s">
        <v>8</v>
      </c>
      <c r="CF418" s="27" t="s">
        <v>7</v>
      </c>
      <c r="CI418" s="27" t="s">
        <v>8</v>
      </c>
      <c r="CJ418" s="27" t="s">
        <v>7</v>
      </c>
      <c r="CK418" s="27" t="s">
        <v>8</v>
      </c>
      <c r="CL418" s="27" t="s">
        <v>7</v>
      </c>
      <c r="CM418" s="27" t="s">
        <v>8</v>
      </c>
      <c r="CN418" s="27" t="s">
        <v>7</v>
      </c>
      <c r="CO418" s="27" t="s">
        <v>8</v>
      </c>
      <c r="CP418" s="27" t="s">
        <v>7</v>
      </c>
      <c r="CQ418" s="27" t="s">
        <v>8</v>
      </c>
      <c r="CR418" s="27" t="s">
        <v>7</v>
      </c>
      <c r="CS418" s="27" t="s">
        <v>8</v>
      </c>
      <c r="DB418" s="27" t="s">
        <v>7</v>
      </c>
      <c r="DC418" s="27" t="s">
        <v>8</v>
      </c>
      <c r="DD418" s="27" t="s">
        <v>7</v>
      </c>
      <c r="DE418" s="27" t="s">
        <v>8</v>
      </c>
      <c r="DI418" s="27" t="s">
        <v>8</v>
      </c>
      <c r="DT418" s="27" t="s">
        <v>7</v>
      </c>
      <c r="FG418" s="27" t="s">
        <v>8</v>
      </c>
    </row>
    <row r="419" spans="1:163" x14ac:dyDescent="0.25">
      <c r="A419" s="7">
        <v>27.850234480856578</v>
      </c>
      <c r="B419"/>
      <c r="C419"/>
      <c r="D419"/>
      <c r="E419"/>
      <c r="BQ419" s="27" t="s">
        <v>8</v>
      </c>
      <c r="BR419" s="27" t="s">
        <v>7</v>
      </c>
      <c r="BZ419" s="27" t="s">
        <v>7</v>
      </c>
      <c r="CA419" s="27" t="s">
        <v>8</v>
      </c>
      <c r="CB419" s="27" t="s">
        <v>7</v>
      </c>
      <c r="CE419" s="27" t="s">
        <v>8</v>
      </c>
      <c r="CF419" s="27" t="s">
        <v>7</v>
      </c>
      <c r="CG419" s="27" t="s">
        <v>8</v>
      </c>
      <c r="CI419" s="27" t="s">
        <v>8</v>
      </c>
      <c r="CJ419" s="27" t="s">
        <v>7</v>
      </c>
      <c r="CK419" s="27" t="s">
        <v>8</v>
      </c>
      <c r="CL419" s="27" t="s">
        <v>7</v>
      </c>
      <c r="CM419" s="27" t="s">
        <v>8</v>
      </c>
      <c r="CN419" s="27" t="s">
        <v>7</v>
      </c>
      <c r="CO419" s="27" t="s">
        <v>8</v>
      </c>
      <c r="CP419" s="27" t="s">
        <v>7</v>
      </c>
      <c r="CQ419" s="27" t="s">
        <v>8</v>
      </c>
      <c r="CR419" s="27" t="s">
        <v>7</v>
      </c>
      <c r="DB419" s="27" t="s">
        <v>7</v>
      </c>
      <c r="DC419" s="27" t="s">
        <v>8</v>
      </c>
      <c r="DD419" s="27" t="s">
        <v>7</v>
      </c>
      <c r="DE419" s="27" t="s">
        <v>8</v>
      </c>
      <c r="DF419" s="27" t="s">
        <v>7</v>
      </c>
      <c r="DI419" s="27" t="s">
        <v>8</v>
      </c>
      <c r="DT419" s="27" t="s">
        <v>7</v>
      </c>
      <c r="FG419" s="27" t="s">
        <v>8</v>
      </c>
    </row>
    <row r="420" spans="1:163" x14ac:dyDescent="0.25">
      <c r="A420" s="7">
        <v>27.304151451820175</v>
      </c>
      <c r="B420"/>
      <c r="C420"/>
      <c r="D420"/>
      <c r="E420"/>
      <c r="BQ420" s="27" t="s">
        <v>8</v>
      </c>
      <c r="BZ420" s="27" t="s">
        <v>7</v>
      </c>
      <c r="CA420" s="27" t="s">
        <v>8</v>
      </c>
      <c r="CB420" s="27" t="s">
        <v>7</v>
      </c>
      <c r="CC420" s="27" t="s">
        <v>8</v>
      </c>
      <c r="CE420" s="27" t="s">
        <v>8</v>
      </c>
      <c r="CF420" s="27" t="s">
        <v>7</v>
      </c>
      <c r="CG420" s="27" t="s">
        <v>8</v>
      </c>
      <c r="CH420" s="27" t="s">
        <v>7</v>
      </c>
      <c r="CI420" s="27" t="s">
        <v>8</v>
      </c>
      <c r="CJ420" s="27" t="s">
        <v>7</v>
      </c>
      <c r="CL420" s="27" t="s">
        <v>7</v>
      </c>
      <c r="CN420" s="27" t="s">
        <v>7</v>
      </c>
      <c r="CO420" s="27" t="s">
        <v>8</v>
      </c>
      <c r="CP420" s="27" t="s">
        <v>7</v>
      </c>
      <c r="CQ420" s="27" t="s">
        <v>8</v>
      </c>
      <c r="DB420" s="27" t="s">
        <v>7</v>
      </c>
      <c r="DC420" s="27" t="s">
        <v>8</v>
      </c>
      <c r="DD420" s="27" t="s">
        <v>7</v>
      </c>
      <c r="DE420" s="27" t="s">
        <v>8</v>
      </c>
      <c r="DF420" s="27" t="s">
        <v>7</v>
      </c>
      <c r="DI420" s="27" t="s">
        <v>8</v>
      </c>
      <c r="DT420" s="27" t="s">
        <v>7</v>
      </c>
      <c r="FG420" s="27" t="s">
        <v>8</v>
      </c>
    </row>
    <row r="421" spans="1:163" x14ac:dyDescent="0.25">
      <c r="A421" s="7">
        <v>26.768775933157034</v>
      </c>
      <c r="B421"/>
      <c r="C421"/>
      <c r="D421"/>
      <c r="E421"/>
      <c r="BQ421" s="27" t="s">
        <v>8</v>
      </c>
      <c r="BZ421" s="27" t="s">
        <v>7</v>
      </c>
      <c r="CA421" s="27" t="s">
        <v>8</v>
      </c>
      <c r="CB421" s="27" t="s">
        <v>7</v>
      </c>
      <c r="CC421" s="27" t="s">
        <v>8</v>
      </c>
      <c r="CD421" s="27" t="s">
        <v>7</v>
      </c>
      <c r="CE421" s="27" t="s">
        <v>8</v>
      </c>
      <c r="CF421" s="27" t="s">
        <v>7</v>
      </c>
      <c r="CG421" s="27" t="s">
        <v>8</v>
      </c>
      <c r="CH421" s="27" t="s">
        <v>7</v>
      </c>
      <c r="CI421" s="27" t="s">
        <v>8</v>
      </c>
      <c r="CN421" s="27" t="s">
        <v>7</v>
      </c>
      <c r="CO421" s="27" t="s">
        <v>8</v>
      </c>
      <c r="CP421" s="27" t="s">
        <v>7</v>
      </c>
      <c r="CQ421" s="27" t="s">
        <v>8</v>
      </c>
      <c r="DB421" s="27" t="s">
        <v>7</v>
      </c>
      <c r="DC421" s="27" t="s">
        <v>8</v>
      </c>
      <c r="DD421" s="27" t="s">
        <v>7</v>
      </c>
      <c r="DE421" s="27" t="s">
        <v>8</v>
      </c>
      <c r="DF421" s="27" t="s">
        <v>7</v>
      </c>
      <c r="DI421" s="27" t="s">
        <v>8</v>
      </c>
      <c r="DT421" s="27" t="s">
        <v>7</v>
      </c>
      <c r="FG421" s="27" t="s">
        <v>8</v>
      </c>
    </row>
    <row r="422" spans="1:163" x14ac:dyDescent="0.25">
      <c r="A422" s="7">
        <v>26.243897973683367</v>
      </c>
      <c r="B422"/>
      <c r="C422"/>
      <c r="D422"/>
      <c r="E422"/>
      <c r="BQ422" s="27" t="s">
        <v>8</v>
      </c>
      <c r="BZ422" s="27" t="s">
        <v>7</v>
      </c>
      <c r="CA422" s="27" t="s">
        <v>8</v>
      </c>
      <c r="CB422" s="27" t="s">
        <v>7</v>
      </c>
      <c r="CC422" s="27" t="s">
        <v>8</v>
      </c>
      <c r="CD422" s="27" t="s">
        <v>7</v>
      </c>
      <c r="CE422" s="27" t="s">
        <v>8</v>
      </c>
      <c r="CF422" s="27" t="s">
        <v>7</v>
      </c>
      <c r="CG422" s="27" t="s">
        <v>8</v>
      </c>
      <c r="CH422" s="27" t="s">
        <v>7</v>
      </c>
      <c r="CI422" s="27" t="s">
        <v>8</v>
      </c>
      <c r="CN422" s="27" t="s">
        <v>7</v>
      </c>
      <c r="CO422" s="27" t="s">
        <v>8</v>
      </c>
      <c r="CP422" s="27" t="s">
        <v>7</v>
      </c>
      <c r="DB422" s="27" t="s">
        <v>7</v>
      </c>
      <c r="DC422" s="27" t="s">
        <v>8</v>
      </c>
      <c r="DD422" s="27" t="s">
        <v>7</v>
      </c>
      <c r="DE422" s="27" t="s">
        <v>8</v>
      </c>
      <c r="DF422" s="27" t="s">
        <v>7</v>
      </c>
      <c r="DI422" s="27" t="s">
        <v>8</v>
      </c>
      <c r="DT422" s="27" t="s">
        <v>7</v>
      </c>
      <c r="FG422" s="27" t="s">
        <v>8</v>
      </c>
    </row>
    <row r="423" spans="1:163" x14ac:dyDescent="0.25">
      <c r="A423" s="7">
        <v>25.729311738905263</v>
      </c>
      <c r="B423"/>
      <c r="C423"/>
      <c r="D423"/>
      <c r="E423"/>
      <c r="BQ423" s="27" t="s">
        <v>8</v>
      </c>
      <c r="BZ423" s="27" t="s">
        <v>7</v>
      </c>
      <c r="CA423" s="27" t="s">
        <v>8</v>
      </c>
      <c r="CB423" s="27" t="s">
        <v>7</v>
      </c>
      <c r="CC423" s="27" t="s">
        <v>8</v>
      </c>
      <c r="CD423" s="27" t="s">
        <v>7</v>
      </c>
      <c r="CE423" s="27" t="s">
        <v>8</v>
      </c>
      <c r="CF423" s="27" t="s">
        <v>7</v>
      </c>
      <c r="CG423" s="27" t="s">
        <v>8</v>
      </c>
      <c r="CH423" s="27" t="s">
        <v>7</v>
      </c>
      <c r="CI423" s="27" t="s">
        <v>8</v>
      </c>
      <c r="CN423" s="27" t="s">
        <v>7</v>
      </c>
      <c r="CO423" s="27" t="s">
        <v>8</v>
      </c>
      <c r="DB423" s="27" t="s">
        <v>7</v>
      </c>
      <c r="DC423" s="27" t="s">
        <v>8</v>
      </c>
      <c r="DD423" s="27" t="s">
        <v>7</v>
      </c>
      <c r="DE423" s="27" t="s">
        <v>8</v>
      </c>
      <c r="DF423" s="27" t="s">
        <v>7</v>
      </c>
      <c r="DI423" s="27" t="s">
        <v>8</v>
      </c>
      <c r="DT423" s="27" t="s">
        <v>7</v>
      </c>
      <c r="FG423" s="27" t="s">
        <v>8</v>
      </c>
    </row>
    <row r="424" spans="1:163" x14ac:dyDescent="0.25">
      <c r="A424" s="7">
        <v>25.224815430299277</v>
      </c>
      <c r="B424"/>
      <c r="C424"/>
      <c r="D424"/>
      <c r="E424"/>
      <c r="BQ424" s="27" t="s">
        <v>8</v>
      </c>
      <c r="BZ424" s="27" t="s">
        <v>7</v>
      </c>
      <c r="CA424" s="27" t="s">
        <v>8</v>
      </c>
      <c r="CB424" s="27" t="s">
        <v>7</v>
      </c>
      <c r="CD424" s="27" t="s">
        <v>7</v>
      </c>
      <c r="CE424" s="27" t="s">
        <v>8</v>
      </c>
      <c r="CF424" s="27" t="s">
        <v>7</v>
      </c>
      <c r="CG424" s="27" t="s">
        <v>8</v>
      </c>
      <c r="CH424" s="27" t="s">
        <v>7</v>
      </c>
      <c r="CI424" s="27" t="s">
        <v>8</v>
      </c>
      <c r="CN424" s="27" t="s">
        <v>7</v>
      </c>
      <c r="CO424" s="27" t="s">
        <v>8</v>
      </c>
      <c r="DB424" s="27" t="s">
        <v>7</v>
      </c>
      <c r="DC424" s="27" t="s">
        <v>8</v>
      </c>
      <c r="DD424" s="27" t="s">
        <v>7</v>
      </c>
      <c r="DE424" s="27" t="s">
        <v>8</v>
      </c>
      <c r="DF424" s="27" t="s">
        <v>7</v>
      </c>
      <c r="DI424" s="27" t="s">
        <v>8</v>
      </c>
      <c r="DT424" s="27" t="s">
        <v>7</v>
      </c>
      <c r="FG424" s="27" t="s">
        <v>8</v>
      </c>
    </row>
    <row r="425" spans="1:163" x14ac:dyDescent="0.25">
      <c r="A425" s="7">
        <v>24.73021120617576</v>
      </c>
      <c r="B425"/>
      <c r="C425"/>
      <c r="D425"/>
      <c r="E425"/>
      <c r="BQ425" s="27" t="s">
        <v>8</v>
      </c>
      <c r="BZ425" s="27" t="s">
        <v>7</v>
      </c>
      <c r="CA425" s="27" t="s">
        <v>8</v>
      </c>
      <c r="CD425" s="27" t="s">
        <v>7</v>
      </c>
      <c r="CE425" s="27" t="s">
        <v>8</v>
      </c>
      <c r="CF425" s="27" t="s">
        <v>7</v>
      </c>
      <c r="CG425" s="27" t="s">
        <v>8</v>
      </c>
      <c r="CH425" s="27" t="s">
        <v>7</v>
      </c>
      <c r="CI425" s="27" t="s">
        <v>8</v>
      </c>
      <c r="CN425" s="27" t="s">
        <v>7</v>
      </c>
      <c r="DB425" s="27" t="s">
        <v>7</v>
      </c>
      <c r="DC425" s="27" t="s">
        <v>8</v>
      </c>
      <c r="DD425" s="27" t="s">
        <v>7</v>
      </c>
      <c r="DE425" s="27" t="s">
        <v>8</v>
      </c>
      <c r="DF425" s="27" t="s">
        <v>7</v>
      </c>
      <c r="DI425" s="27" t="s">
        <v>8</v>
      </c>
      <c r="DT425" s="27" t="s">
        <v>7</v>
      </c>
      <c r="FG425" s="27" t="s">
        <v>8</v>
      </c>
    </row>
    <row r="426" spans="1:163" x14ac:dyDescent="0.25">
      <c r="A426" s="7">
        <v>24.24530510409388</v>
      </c>
      <c r="B426"/>
      <c r="C426"/>
      <c r="D426"/>
      <c r="E426"/>
      <c r="BQ426" s="27" t="s">
        <v>8</v>
      </c>
      <c r="BZ426" s="27" t="s">
        <v>7</v>
      </c>
      <c r="CA426" s="27" t="s">
        <v>8</v>
      </c>
      <c r="CD426" s="27" t="s">
        <v>7</v>
      </c>
      <c r="CE426" s="27" t="s">
        <v>8</v>
      </c>
      <c r="CF426" s="27" t="s">
        <v>7</v>
      </c>
      <c r="CG426" s="27" t="s">
        <v>8</v>
      </c>
      <c r="CH426" s="27" t="s">
        <v>7</v>
      </c>
      <c r="CI426" s="27" t="s">
        <v>8</v>
      </c>
      <c r="DB426" s="27" t="s">
        <v>7</v>
      </c>
      <c r="DC426" s="27" t="s">
        <v>8</v>
      </c>
      <c r="DD426" s="27" t="s">
        <v>7</v>
      </c>
      <c r="DF426" s="27" t="s">
        <v>7</v>
      </c>
      <c r="DI426" s="27" t="s">
        <v>8</v>
      </c>
      <c r="DT426" s="27" t="s">
        <v>7</v>
      </c>
      <c r="FG426" s="27" t="s">
        <v>8</v>
      </c>
    </row>
    <row r="427" spans="1:163" x14ac:dyDescent="0.25">
      <c r="A427" s="7">
        <v>23.769906964797922</v>
      </c>
      <c r="B427"/>
      <c r="C427"/>
      <c r="D427"/>
      <c r="E427"/>
      <c r="BQ427" s="27" t="s">
        <v>8</v>
      </c>
      <c r="BZ427" s="27" t="s">
        <v>7</v>
      </c>
      <c r="CA427" s="27" t="s">
        <v>8</v>
      </c>
      <c r="CD427" s="27" t="s">
        <v>7</v>
      </c>
      <c r="CE427" s="27" t="s">
        <v>8</v>
      </c>
      <c r="CF427" s="27" t="s">
        <v>7</v>
      </c>
      <c r="CH427" s="27" t="s">
        <v>7</v>
      </c>
      <c r="DB427" s="27" t="s">
        <v>7</v>
      </c>
      <c r="DC427" s="27" t="s">
        <v>8</v>
      </c>
      <c r="DF427" s="27" t="s">
        <v>7</v>
      </c>
      <c r="DG427" s="27" t="s">
        <v>8</v>
      </c>
      <c r="DI427" s="27" t="s">
        <v>8</v>
      </c>
      <c r="DT427" s="27" t="s">
        <v>7</v>
      </c>
      <c r="FG427" s="27" t="s">
        <v>8</v>
      </c>
    </row>
    <row r="428" spans="1:163" x14ac:dyDescent="0.25">
      <c r="A428" s="7">
        <v>23.303830357645023</v>
      </c>
      <c r="B428"/>
      <c r="C428"/>
      <c r="D428"/>
      <c r="E428"/>
      <c r="BQ428" s="27" t="s">
        <v>8</v>
      </c>
      <c r="BZ428" s="27" t="s">
        <v>7</v>
      </c>
      <c r="CA428" s="27" t="s">
        <v>8</v>
      </c>
      <c r="CD428" s="27" t="s">
        <v>7</v>
      </c>
      <c r="CE428" s="27" t="s">
        <v>8</v>
      </c>
      <c r="DB428" s="27" t="s">
        <v>7</v>
      </c>
      <c r="DC428" s="27" t="s">
        <v>8</v>
      </c>
      <c r="DF428" s="27" t="s">
        <v>7</v>
      </c>
      <c r="DG428" s="27" t="s">
        <v>8</v>
      </c>
      <c r="DH428" s="27" t="s">
        <v>7</v>
      </c>
      <c r="DI428" s="27" t="s">
        <v>8</v>
      </c>
      <c r="DT428" s="27" t="s">
        <v>7</v>
      </c>
      <c r="FG428" s="27" t="s">
        <v>8</v>
      </c>
    </row>
    <row r="429" spans="1:163" x14ac:dyDescent="0.25">
      <c r="A429" s="7">
        <v>22.84689250749512</v>
      </c>
      <c r="B429"/>
      <c r="C429"/>
      <c r="D429"/>
      <c r="E429"/>
      <c r="BQ429" s="27" t="s">
        <v>8</v>
      </c>
      <c r="BZ429" s="27" t="s">
        <v>7</v>
      </c>
      <c r="CD429" s="27" t="s">
        <v>7</v>
      </c>
      <c r="CE429" s="27" t="s">
        <v>8</v>
      </c>
      <c r="DB429" s="27" t="s">
        <v>7</v>
      </c>
      <c r="DF429" s="27" t="s">
        <v>7</v>
      </c>
      <c r="DG429" s="27" t="s">
        <v>8</v>
      </c>
      <c r="DH429" s="27" t="s">
        <v>7</v>
      </c>
      <c r="DI429" s="27" t="s">
        <v>8</v>
      </c>
      <c r="DT429" s="27" t="s">
        <v>7</v>
      </c>
      <c r="FG429" s="27" t="s">
        <v>8</v>
      </c>
    </row>
    <row r="430" spans="1:163" x14ac:dyDescent="0.25">
      <c r="A430" s="7">
        <v>22.398914223034431</v>
      </c>
      <c r="B430"/>
      <c r="C430"/>
      <c r="D430"/>
      <c r="E430"/>
      <c r="BQ430" s="27" t="s">
        <v>8</v>
      </c>
      <c r="CD430" s="27" t="s">
        <v>7</v>
      </c>
      <c r="DF430" s="27" t="s">
        <v>7</v>
      </c>
      <c r="DG430" s="27" t="s">
        <v>8</v>
      </c>
      <c r="DH430" s="27" t="s">
        <v>7</v>
      </c>
      <c r="DI430" s="27" t="s">
        <v>8</v>
      </c>
      <c r="DT430" s="27" t="s">
        <v>7</v>
      </c>
      <c r="DU430" s="27" t="s">
        <v>8</v>
      </c>
      <c r="FG430" s="27" t="s">
        <v>8</v>
      </c>
    </row>
    <row r="431" spans="1:163" x14ac:dyDescent="0.25">
      <c r="A431" s="7">
        <v>21.959719826504344</v>
      </c>
      <c r="B431"/>
      <c r="C431"/>
      <c r="D431"/>
      <c r="E431"/>
      <c r="BQ431" s="27" t="s">
        <v>8</v>
      </c>
      <c r="DF431" s="27" t="s">
        <v>7</v>
      </c>
      <c r="DG431" s="27" t="s">
        <v>8</v>
      </c>
      <c r="DH431" s="27" t="s">
        <v>7</v>
      </c>
      <c r="DI431" s="27" t="s">
        <v>8</v>
      </c>
      <c r="DT431" s="27" t="s">
        <v>7</v>
      </c>
      <c r="DU431" s="27" t="s">
        <v>8</v>
      </c>
      <c r="DV431" s="27" t="s">
        <v>7</v>
      </c>
      <c r="FG431" s="27" t="s">
        <v>8</v>
      </c>
    </row>
    <row r="432" spans="1:163" x14ac:dyDescent="0.25">
      <c r="A432" s="7">
        <v>21.52913708480818</v>
      </c>
      <c r="B432"/>
      <c r="C432"/>
      <c r="D432"/>
      <c r="E432"/>
      <c r="BQ432" s="27" t="s">
        <v>8</v>
      </c>
      <c r="DF432" s="27" t="s">
        <v>7</v>
      </c>
      <c r="DG432" s="27" t="s">
        <v>8</v>
      </c>
      <c r="DH432" s="27" t="s">
        <v>7</v>
      </c>
      <c r="DI432" s="27" t="s">
        <v>8</v>
      </c>
      <c r="DT432" s="27" t="s">
        <v>7</v>
      </c>
      <c r="DU432" s="27" t="s">
        <v>8</v>
      </c>
      <c r="DV432" s="27" t="s">
        <v>7</v>
      </c>
      <c r="FG432" s="27" t="s">
        <v>8</v>
      </c>
    </row>
    <row r="433" spans="1:163" x14ac:dyDescent="0.25">
      <c r="A433" s="7">
        <v>21.106997141968804</v>
      </c>
      <c r="B433"/>
      <c r="C433"/>
      <c r="D433"/>
      <c r="E433"/>
      <c r="BQ433" s="27" t="s">
        <v>8</v>
      </c>
      <c r="DF433" s="27" t="s">
        <v>7</v>
      </c>
      <c r="DG433" s="27" t="s">
        <v>8</v>
      </c>
      <c r="DH433" s="27" t="s">
        <v>7</v>
      </c>
      <c r="DI433" s="27" t="s">
        <v>8</v>
      </c>
      <c r="DT433" s="27" t="s">
        <v>7</v>
      </c>
      <c r="DU433" s="27" t="s">
        <v>8</v>
      </c>
      <c r="DV433" s="27" t="s">
        <v>7</v>
      </c>
      <c r="DY433" s="27" t="s">
        <v>8</v>
      </c>
      <c r="FG433" s="27" t="s">
        <v>8</v>
      </c>
    </row>
    <row r="434" spans="1:163" x14ac:dyDescent="0.25">
      <c r="A434" s="7">
        <v>20.693134452910591</v>
      </c>
      <c r="B434"/>
      <c r="C434"/>
      <c r="D434"/>
      <c r="E434"/>
      <c r="BQ434" s="27" t="s">
        <v>8</v>
      </c>
      <c r="DF434" s="27" t="s">
        <v>7</v>
      </c>
      <c r="DG434" s="27" t="s">
        <v>8</v>
      </c>
      <c r="DH434" s="27" t="s">
        <v>7</v>
      </c>
      <c r="DT434" s="27" t="s">
        <v>7</v>
      </c>
      <c r="DU434" s="27" t="s">
        <v>8</v>
      </c>
      <c r="DV434" s="27" t="s">
        <v>7</v>
      </c>
      <c r="DY434" s="27" t="s">
        <v>8</v>
      </c>
      <c r="DZ434" s="27" t="s">
        <v>7</v>
      </c>
      <c r="EA434" s="27" t="s">
        <v>8</v>
      </c>
      <c r="FG434" s="27" t="s">
        <v>8</v>
      </c>
    </row>
    <row r="435" spans="1:163" x14ac:dyDescent="0.25">
      <c r="A435" s="7">
        <v>20.287386718539796</v>
      </c>
      <c r="B435"/>
      <c r="C435"/>
      <c r="D435"/>
      <c r="E435"/>
      <c r="BQ435" s="27" t="s">
        <v>8</v>
      </c>
      <c r="DF435" s="27" t="s">
        <v>7</v>
      </c>
      <c r="DG435" s="27" t="s">
        <v>8</v>
      </c>
      <c r="DT435" s="27" t="s">
        <v>7</v>
      </c>
      <c r="DU435" s="27" t="s">
        <v>8</v>
      </c>
      <c r="DV435" s="27" t="s">
        <v>7</v>
      </c>
      <c r="DW435" s="27" t="s">
        <v>8</v>
      </c>
      <c r="DY435" s="27" t="s">
        <v>8</v>
      </c>
      <c r="DZ435" s="27" t="s">
        <v>7</v>
      </c>
      <c r="EA435" s="27" t="s">
        <v>8</v>
      </c>
      <c r="EB435" s="27" t="s">
        <v>7</v>
      </c>
      <c r="FG435" s="27" t="s">
        <v>8</v>
      </c>
    </row>
    <row r="436" spans="1:163" x14ac:dyDescent="0.25">
      <c r="A436" s="7">
        <v>19.889594822097838</v>
      </c>
      <c r="B436"/>
      <c r="C436"/>
      <c r="D436"/>
      <c r="E436"/>
      <c r="BQ436" s="27" t="s">
        <v>8</v>
      </c>
      <c r="DF436" s="27" t="s">
        <v>7</v>
      </c>
      <c r="DT436" s="27" t="s">
        <v>7</v>
      </c>
      <c r="DU436" s="27" t="s">
        <v>8</v>
      </c>
      <c r="DV436" s="27" t="s">
        <v>7</v>
      </c>
      <c r="DW436" s="27" t="s">
        <v>8</v>
      </c>
      <c r="DX436" s="27" t="s">
        <v>7</v>
      </c>
      <c r="DY436" s="27" t="s">
        <v>8</v>
      </c>
      <c r="DZ436" s="27" t="s">
        <v>7</v>
      </c>
      <c r="EA436" s="27" t="s">
        <v>8</v>
      </c>
      <c r="EB436" s="27" t="s">
        <v>7</v>
      </c>
      <c r="FG436" s="27" t="s">
        <v>8</v>
      </c>
    </row>
    <row r="437" spans="1:163" x14ac:dyDescent="0.25">
      <c r="A437" s="7">
        <v>19.499602766762585</v>
      </c>
      <c r="B437"/>
      <c r="C437"/>
      <c r="D437"/>
      <c r="E437"/>
      <c r="BQ437" s="27" t="s">
        <v>8</v>
      </c>
      <c r="DT437" s="27" t="s">
        <v>7</v>
      </c>
      <c r="DU437" s="27" t="s">
        <v>8</v>
      </c>
      <c r="DV437" s="27" t="s">
        <v>7</v>
      </c>
      <c r="DW437" s="27" t="s">
        <v>8</v>
      </c>
      <c r="DX437" s="27" t="s">
        <v>7</v>
      </c>
      <c r="DY437" s="27" t="s">
        <v>8</v>
      </c>
      <c r="DZ437" s="27" t="s">
        <v>7</v>
      </c>
      <c r="EA437" s="27" t="s">
        <v>8</v>
      </c>
      <c r="EB437" s="27" t="s">
        <v>7</v>
      </c>
      <c r="FG437" s="27" t="s">
        <v>8</v>
      </c>
    </row>
    <row r="438" spans="1:163" x14ac:dyDescent="0.25">
      <c r="A438" s="7">
        <v>19.117257614473122</v>
      </c>
      <c r="B438"/>
      <c r="C438"/>
      <c r="D438"/>
      <c r="E438"/>
      <c r="BQ438" s="27" t="s">
        <v>8</v>
      </c>
      <c r="DT438" s="27" t="s">
        <v>7</v>
      </c>
      <c r="DU438" s="27" t="s">
        <v>8</v>
      </c>
      <c r="DV438" s="27" t="s">
        <v>7</v>
      </c>
      <c r="DW438" s="27" t="s">
        <v>8</v>
      </c>
      <c r="DX438" s="27" t="s">
        <v>7</v>
      </c>
      <c r="DY438" s="27" t="s">
        <v>8</v>
      </c>
      <c r="DZ438" s="27" t="s">
        <v>7</v>
      </c>
      <c r="EA438" s="27" t="s">
        <v>8</v>
      </c>
      <c r="EB438" s="27" t="s">
        <v>7</v>
      </c>
      <c r="FG438" s="27" t="s">
        <v>8</v>
      </c>
    </row>
    <row r="439" spans="1:163" x14ac:dyDescent="0.25">
      <c r="A439" s="7">
        <v>18.74240942595404</v>
      </c>
      <c r="B439"/>
      <c r="C439"/>
      <c r="D439"/>
      <c r="E439"/>
      <c r="BQ439" s="27" t="s">
        <v>8</v>
      </c>
      <c r="DT439" s="27" t="s">
        <v>7</v>
      </c>
      <c r="DU439" s="27" t="s">
        <v>8</v>
      </c>
      <c r="DV439" s="27" t="s">
        <v>7</v>
      </c>
      <c r="DW439" s="27" t="s">
        <v>8</v>
      </c>
      <c r="DX439" s="27" t="s">
        <v>7</v>
      </c>
      <c r="DY439" s="27" t="s">
        <v>8</v>
      </c>
      <c r="DZ439" s="27" t="s">
        <v>7</v>
      </c>
      <c r="EA439" s="27" t="s">
        <v>8</v>
      </c>
      <c r="EB439" s="27" t="s">
        <v>7</v>
      </c>
      <c r="FG439" s="27" t="s">
        <v>8</v>
      </c>
    </row>
    <row r="440" spans="1:163" x14ac:dyDescent="0.25">
      <c r="A440" s="7">
        <v>18.374911201915726</v>
      </c>
      <c r="B440"/>
      <c r="C440"/>
      <c r="D440"/>
      <c r="E440"/>
      <c r="BQ440" s="27" t="s">
        <v>8</v>
      </c>
      <c r="DT440" s="27" t="s">
        <v>7</v>
      </c>
      <c r="DV440" s="27" t="s">
        <v>7</v>
      </c>
      <c r="DW440" s="27" t="s">
        <v>8</v>
      </c>
      <c r="DX440" s="27" t="s">
        <v>7</v>
      </c>
      <c r="DY440" s="27" t="s">
        <v>8</v>
      </c>
      <c r="DZ440" s="27" t="s">
        <v>7</v>
      </c>
      <c r="EA440" s="27" t="s">
        <v>8</v>
      </c>
      <c r="EB440" s="27" t="s">
        <v>7</v>
      </c>
      <c r="FG440" s="27" t="s">
        <v>8</v>
      </c>
    </row>
    <row r="441" spans="1:163" x14ac:dyDescent="0.25">
      <c r="A441" s="7">
        <v>18.014618825407574</v>
      </c>
      <c r="B441"/>
      <c r="C441"/>
      <c r="D441"/>
      <c r="E441"/>
      <c r="BQ441" s="27" t="s">
        <v>8</v>
      </c>
      <c r="DV441" s="27" t="s">
        <v>7</v>
      </c>
      <c r="DW441" s="27" t="s">
        <v>8</v>
      </c>
      <c r="DX441" s="27" t="s">
        <v>7</v>
      </c>
      <c r="DY441" s="27" t="s">
        <v>8</v>
      </c>
      <c r="DZ441" s="27" t="s">
        <v>7</v>
      </c>
      <c r="EA441" s="27" t="s">
        <v>8</v>
      </c>
      <c r="EB441" s="27" t="s">
        <v>7</v>
      </c>
      <c r="FG441" s="27" t="s">
        <v>8</v>
      </c>
    </row>
    <row r="442" spans="1:163" x14ac:dyDescent="0.25">
      <c r="A442" s="7">
        <v>17.661391005301542</v>
      </c>
      <c r="B442"/>
      <c r="C442"/>
      <c r="D442"/>
      <c r="E442"/>
      <c r="BQ442" s="27" t="s">
        <v>8</v>
      </c>
      <c r="DV442" s="27" t="s">
        <v>7</v>
      </c>
      <c r="DW442" s="27" t="s">
        <v>8</v>
      </c>
      <c r="DX442" s="27" t="s">
        <v>7</v>
      </c>
      <c r="DY442" s="27" t="s">
        <v>8</v>
      </c>
      <c r="DZ442" s="27" t="s">
        <v>7</v>
      </c>
      <c r="EA442" s="27" t="s">
        <v>8</v>
      </c>
      <c r="EB442" s="27" t="s">
        <v>7</v>
      </c>
      <c r="FG442" s="27" t="s">
        <v>8</v>
      </c>
    </row>
    <row r="443" spans="1:163" x14ac:dyDescent="0.25">
      <c r="A443" s="7">
        <v>17.315089220883866</v>
      </c>
      <c r="B443"/>
      <c r="C443"/>
      <c r="D443"/>
      <c r="E443"/>
      <c r="BQ443" s="27" t="s">
        <v>8</v>
      </c>
      <c r="DV443" s="27" t="s">
        <v>7</v>
      </c>
      <c r="DW443" s="27" t="s">
        <v>8</v>
      </c>
      <c r="DX443" s="27" t="s">
        <v>7</v>
      </c>
      <c r="DZ443" s="27" t="s">
        <v>7</v>
      </c>
      <c r="EA443" s="27" t="s">
        <v>8</v>
      </c>
      <c r="EB443" s="27" t="s">
        <v>7</v>
      </c>
      <c r="FE443" s="27" t="s">
        <v>8</v>
      </c>
      <c r="FG443" s="27" t="s">
        <v>8</v>
      </c>
    </row>
    <row r="444" spans="1:163" x14ac:dyDescent="0.25">
      <c r="A444" s="7">
        <v>16.975577667533202</v>
      </c>
      <c r="B444"/>
      <c r="C444"/>
      <c r="D444"/>
      <c r="E444"/>
      <c r="BQ444" s="27" t="s">
        <v>8</v>
      </c>
      <c r="DV444" s="27" t="s">
        <v>7</v>
      </c>
      <c r="DW444" s="27" t="s">
        <v>8</v>
      </c>
      <c r="DZ444" s="27" t="s">
        <v>7</v>
      </c>
      <c r="EA444" s="27" t="s">
        <v>8</v>
      </c>
      <c r="EB444" s="27" t="s">
        <v>7</v>
      </c>
      <c r="FE444" s="27" t="s">
        <v>8</v>
      </c>
      <c r="FF444" s="27" t="s">
        <v>7</v>
      </c>
      <c r="FG444" s="27" t="s">
        <v>8</v>
      </c>
    </row>
    <row r="445" spans="1:163" x14ac:dyDescent="0.25">
      <c r="A445" s="7">
        <v>16.642723203463923</v>
      </c>
      <c r="B445"/>
      <c r="C445"/>
      <c r="D445"/>
      <c r="E445"/>
      <c r="BQ445" s="27" t="s">
        <v>8</v>
      </c>
      <c r="DV445" s="27" t="s">
        <v>7</v>
      </c>
      <c r="DW445" s="27" t="s">
        <v>8</v>
      </c>
      <c r="DZ445" s="27" t="s">
        <v>7</v>
      </c>
      <c r="EA445" s="27" t="s">
        <v>8</v>
      </c>
      <c r="EB445" s="27" t="s">
        <v>7</v>
      </c>
      <c r="FE445" s="27" t="s">
        <v>8</v>
      </c>
      <c r="FF445" s="27" t="s">
        <v>7</v>
      </c>
      <c r="FG445" s="27" t="s">
        <v>8</v>
      </c>
    </row>
    <row r="446" spans="1:163" x14ac:dyDescent="0.25">
      <c r="A446" s="7">
        <v>16.316395297513651</v>
      </c>
      <c r="B446"/>
      <c r="C446"/>
      <c r="D446"/>
      <c r="E446"/>
      <c r="BQ446" s="27" t="s">
        <v>8</v>
      </c>
      <c r="DV446" s="27" t="s">
        <v>7</v>
      </c>
      <c r="DW446" s="27" t="s">
        <v>8</v>
      </c>
      <c r="DZ446" s="27" t="s">
        <v>7</v>
      </c>
      <c r="EA446" s="27" t="s">
        <v>8</v>
      </c>
      <c r="EB446" s="27" t="s">
        <v>7</v>
      </c>
      <c r="FE446" s="27" t="s">
        <v>8</v>
      </c>
      <c r="FF446" s="27" t="s">
        <v>7</v>
      </c>
      <c r="FG446" s="27" t="s">
        <v>8</v>
      </c>
    </row>
    <row r="447" spans="1:163" x14ac:dyDescent="0.25">
      <c r="A447" s="7">
        <v>15.996465977954561</v>
      </c>
      <c r="B447"/>
      <c r="C447"/>
      <c r="D447"/>
      <c r="E447"/>
      <c r="BQ447" s="27" t="s">
        <v>8</v>
      </c>
      <c r="DV447" s="27" t="s">
        <v>7</v>
      </c>
      <c r="DW447" s="27" t="s">
        <v>8</v>
      </c>
      <c r="DZ447" s="27" t="s">
        <v>7</v>
      </c>
      <c r="EA447" s="27" t="s">
        <v>8</v>
      </c>
      <c r="EB447" s="27" t="s">
        <v>7</v>
      </c>
      <c r="FE447" s="27" t="s">
        <v>8</v>
      </c>
      <c r="FF447" s="27" t="s">
        <v>7</v>
      </c>
      <c r="FG447" s="27" t="s">
        <v>8</v>
      </c>
    </row>
    <row r="448" spans="1:163" x14ac:dyDescent="0.25">
      <c r="A448" s="7">
        <v>15.682809782308393</v>
      </c>
      <c r="B448"/>
      <c r="C448"/>
      <c r="D448"/>
      <c r="E448"/>
      <c r="BQ448" s="27" t="s">
        <v>8</v>
      </c>
      <c r="DV448" s="27" t="s">
        <v>7</v>
      </c>
      <c r="DW448" s="27" t="s">
        <v>8</v>
      </c>
      <c r="DZ448" s="27" t="s">
        <v>7</v>
      </c>
      <c r="EA448" s="27" t="s">
        <v>8</v>
      </c>
      <c r="EB448" s="27" t="s">
        <v>7</v>
      </c>
      <c r="EC448" s="27" t="s">
        <v>8</v>
      </c>
      <c r="FE448" s="27" t="s">
        <v>8</v>
      </c>
      <c r="FF448" s="27" t="s">
        <v>7</v>
      </c>
    </row>
    <row r="449" spans="1:161" x14ac:dyDescent="0.25">
      <c r="A449" s="7">
        <v>15.375303708145482</v>
      </c>
      <c r="B449"/>
      <c r="C449"/>
      <c r="D449"/>
      <c r="E449"/>
      <c r="BQ449" s="27" t="s">
        <v>8</v>
      </c>
      <c r="DV449" s="27" t="s">
        <v>7</v>
      </c>
      <c r="DW449" s="27" t="s">
        <v>8</v>
      </c>
      <c r="DZ449" s="27" t="s">
        <v>7</v>
      </c>
      <c r="EB449" s="27" t="s">
        <v>7</v>
      </c>
      <c r="EC449" s="27" t="s">
        <v>8</v>
      </c>
      <c r="ED449" s="27" t="s">
        <v>7</v>
      </c>
      <c r="EE449" s="27" t="s">
        <v>8</v>
      </c>
      <c r="EG449" s="27" t="s">
        <v>8</v>
      </c>
      <c r="FE449" s="27" t="s">
        <v>8</v>
      </c>
    </row>
    <row r="450" spans="1:161" x14ac:dyDescent="0.25">
      <c r="A450" s="7">
        <v>15.073827164848511</v>
      </c>
      <c r="B450"/>
      <c r="C450"/>
      <c r="D450"/>
      <c r="E450"/>
      <c r="BO450" s="27" t="s">
        <v>8</v>
      </c>
      <c r="BQ450" s="27" t="s">
        <v>8</v>
      </c>
      <c r="DV450" s="27" t="s">
        <v>7</v>
      </c>
      <c r="DW450" s="27" t="s">
        <v>8</v>
      </c>
      <c r="EB450" s="27" t="s">
        <v>7</v>
      </c>
      <c r="EC450" s="27" t="s">
        <v>8</v>
      </c>
      <c r="ED450" s="27" t="s">
        <v>7</v>
      </c>
      <c r="EE450" s="27" t="s">
        <v>8</v>
      </c>
      <c r="EF450" s="27" t="s">
        <v>7</v>
      </c>
      <c r="EG450" s="27" t="s">
        <v>8</v>
      </c>
      <c r="EH450" s="27" t="s">
        <v>7</v>
      </c>
      <c r="FE450" s="27" t="s">
        <v>8</v>
      </c>
    </row>
    <row r="451" spans="1:161" x14ac:dyDescent="0.25">
      <c r="A451" s="7">
        <v>14.77826192632207</v>
      </c>
      <c r="B451"/>
      <c r="C451"/>
      <c r="D451"/>
      <c r="E451"/>
      <c r="BO451" s="27" t="s">
        <v>8</v>
      </c>
      <c r="BP451" s="27" t="s">
        <v>7</v>
      </c>
      <c r="BQ451" s="27" t="s">
        <v>8</v>
      </c>
      <c r="DV451" s="27" t="s">
        <v>7</v>
      </c>
      <c r="DW451" s="27" t="s">
        <v>8</v>
      </c>
      <c r="EB451" s="27" t="s">
        <v>7</v>
      </c>
      <c r="EC451" s="27" t="s">
        <v>8</v>
      </c>
      <c r="ED451" s="27" t="s">
        <v>7</v>
      </c>
      <c r="EE451" s="27" t="s">
        <v>8</v>
      </c>
      <c r="EF451" s="27" t="s">
        <v>7</v>
      </c>
      <c r="EG451" s="27" t="s">
        <v>8</v>
      </c>
      <c r="EH451" s="27" t="s">
        <v>7</v>
      </c>
      <c r="FE451" s="27" t="s">
        <v>8</v>
      </c>
    </row>
    <row r="452" spans="1:161" x14ac:dyDescent="0.25">
      <c r="A452" s="7">
        <v>14.488492084629481</v>
      </c>
      <c r="B452"/>
      <c r="C452"/>
      <c r="D452"/>
      <c r="E452"/>
      <c r="BI452" s="27" t="s">
        <v>8</v>
      </c>
      <c r="BO452" s="27" t="s">
        <v>8</v>
      </c>
      <c r="BP452" s="27" t="s">
        <v>7</v>
      </c>
      <c r="BQ452" s="27" t="s">
        <v>8</v>
      </c>
      <c r="DV452" s="27" t="s">
        <v>7</v>
      </c>
      <c r="DW452" s="27" t="s">
        <v>8</v>
      </c>
      <c r="EB452" s="27" t="s">
        <v>7</v>
      </c>
      <c r="EC452" s="27" t="s">
        <v>8</v>
      </c>
      <c r="ED452" s="27" t="s">
        <v>7</v>
      </c>
      <c r="EE452" s="27" t="s">
        <v>8</v>
      </c>
      <c r="EF452" s="27" t="s">
        <v>7</v>
      </c>
      <c r="EG452" s="27" t="s">
        <v>8</v>
      </c>
      <c r="EH452" s="27" t="s">
        <v>7</v>
      </c>
      <c r="FE452" s="27" t="s">
        <v>8</v>
      </c>
    </row>
    <row r="453" spans="1:161" x14ac:dyDescent="0.25">
      <c r="A453" s="7">
        <v>14.204404004538707</v>
      </c>
      <c r="B453"/>
      <c r="C453"/>
      <c r="D453"/>
      <c r="E453"/>
      <c r="BI453" s="27" t="s">
        <v>8</v>
      </c>
      <c r="BJ453" s="27" t="s">
        <v>7</v>
      </c>
      <c r="BO453" s="27" t="s">
        <v>8</v>
      </c>
      <c r="BP453" s="27" t="s">
        <v>7</v>
      </c>
      <c r="BQ453" s="27" t="s">
        <v>8</v>
      </c>
      <c r="DV453" s="27" t="s">
        <v>7</v>
      </c>
      <c r="DW453" s="27" t="s">
        <v>8</v>
      </c>
      <c r="EB453" s="27" t="s">
        <v>7</v>
      </c>
      <c r="EC453" s="27" t="s">
        <v>8</v>
      </c>
      <c r="ED453" s="27" t="s">
        <v>7</v>
      </c>
      <c r="EE453" s="27" t="s">
        <v>8</v>
      </c>
      <c r="EF453" s="27" t="s">
        <v>7</v>
      </c>
      <c r="EG453" s="27" t="s">
        <v>8</v>
      </c>
      <c r="EH453" s="27" t="s">
        <v>7</v>
      </c>
      <c r="ES453" s="27" t="s">
        <v>8</v>
      </c>
      <c r="FE453" s="27" t="s">
        <v>8</v>
      </c>
    </row>
    <row r="454" spans="1:161" x14ac:dyDescent="0.25">
      <c r="A454" s="7">
        <v>13.925886278959517</v>
      </c>
      <c r="B454"/>
      <c r="C454"/>
      <c r="D454"/>
      <c r="E454"/>
      <c r="BI454" s="27" t="s">
        <v>8</v>
      </c>
      <c r="BJ454" s="27" t="s">
        <v>7</v>
      </c>
      <c r="BO454" s="27" t="s">
        <v>8</v>
      </c>
      <c r="BP454" s="27" t="s">
        <v>7</v>
      </c>
      <c r="BQ454" s="27" t="s">
        <v>8</v>
      </c>
      <c r="DV454" s="27" t="s">
        <v>7</v>
      </c>
      <c r="DW454" s="27" t="s">
        <v>8</v>
      </c>
      <c r="EB454" s="27" t="s">
        <v>7</v>
      </c>
      <c r="EC454" s="27" t="s">
        <v>8</v>
      </c>
      <c r="ED454" s="27" t="s">
        <v>7</v>
      </c>
      <c r="EE454" s="27" t="s">
        <v>8</v>
      </c>
      <c r="EF454" s="27" t="s">
        <v>7</v>
      </c>
      <c r="EH454" s="27" t="s">
        <v>7</v>
      </c>
      <c r="EI454" s="27" t="s">
        <v>8</v>
      </c>
      <c r="ES454" s="27" t="s">
        <v>8</v>
      </c>
      <c r="ET454" s="27" t="s">
        <v>7</v>
      </c>
      <c r="FC454" s="27" t="s">
        <v>8</v>
      </c>
      <c r="FE454" s="27" t="s">
        <v>8</v>
      </c>
    </row>
    <row r="455" spans="1:161" x14ac:dyDescent="0.25">
      <c r="A455" s="7">
        <v>13.652829685254428</v>
      </c>
      <c r="B455"/>
      <c r="C455"/>
      <c r="D455"/>
      <c r="E455"/>
      <c r="BI455" s="27" t="s">
        <v>8</v>
      </c>
      <c r="BJ455" s="27" t="s">
        <v>7</v>
      </c>
      <c r="BO455" s="27" t="s">
        <v>8</v>
      </c>
      <c r="BP455" s="27" t="s">
        <v>7</v>
      </c>
      <c r="BQ455" s="27" t="s">
        <v>8</v>
      </c>
      <c r="DV455" s="27" t="s">
        <v>7</v>
      </c>
      <c r="DW455" s="27" t="s">
        <v>8</v>
      </c>
      <c r="EB455" s="27" t="s">
        <v>7</v>
      </c>
      <c r="ED455" s="27" t="s">
        <v>7</v>
      </c>
      <c r="EE455" s="27" t="s">
        <v>8</v>
      </c>
      <c r="EH455" s="27" t="s">
        <v>7</v>
      </c>
      <c r="EI455" s="27" t="s">
        <v>8</v>
      </c>
      <c r="EJ455" s="27" t="s">
        <v>7</v>
      </c>
      <c r="ES455" s="27" t="s">
        <v>8</v>
      </c>
      <c r="ET455" s="27" t="s">
        <v>7</v>
      </c>
      <c r="FC455" s="27" t="s">
        <v>8</v>
      </c>
      <c r="FD455" s="27" t="s">
        <v>7</v>
      </c>
      <c r="FE455" s="27" t="s">
        <v>8</v>
      </c>
    </row>
    <row r="456" spans="1:161" x14ac:dyDescent="0.25">
      <c r="A456" s="7">
        <v>13.385127142406303</v>
      </c>
      <c r="B456"/>
      <c r="C456"/>
      <c r="D456"/>
      <c r="E456"/>
      <c r="BI456" s="27" t="s">
        <v>8</v>
      </c>
      <c r="BJ456" s="27" t="s">
        <v>7</v>
      </c>
      <c r="BK456" s="27" t="s">
        <v>8</v>
      </c>
      <c r="BO456" s="27" t="s">
        <v>8</v>
      </c>
      <c r="BP456" s="27" t="s">
        <v>7</v>
      </c>
      <c r="BQ456" s="27" t="s">
        <v>8</v>
      </c>
      <c r="DV456" s="27" t="s">
        <v>7</v>
      </c>
      <c r="DW456" s="27" t="s">
        <v>8</v>
      </c>
      <c r="ED456" s="27" t="s">
        <v>7</v>
      </c>
      <c r="EE456" s="27" t="s">
        <v>8</v>
      </c>
      <c r="EH456" s="27" t="s">
        <v>7</v>
      </c>
      <c r="EI456" s="27" t="s">
        <v>8</v>
      </c>
      <c r="EJ456" s="27" t="s">
        <v>7</v>
      </c>
      <c r="ES456" s="27" t="s">
        <v>8</v>
      </c>
      <c r="ET456" s="27" t="s">
        <v>7</v>
      </c>
      <c r="FC456" s="27" t="s">
        <v>8</v>
      </c>
      <c r="FD456" s="27" t="s">
        <v>7</v>
      </c>
      <c r="FE456" s="27" t="s">
        <v>8</v>
      </c>
    </row>
    <row r="457" spans="1:161" x14ac:dyDescent="0.25">
      <c r="A457" s="7">
        <v>13.122673669025787</v>
      </c>
      <c r="B457"/>
      <c r="C457"/>
      <c r="D457"/>
      <c r="E457"/>
      <c r="BI457" s="27" t="s">
        <v>8</v>
      </c>
      <c r="BJ457" s="27" t="s">
        <v>7</v>
      </c>
      <c r="BK457" s="27" t="s">
        <v>8</v>
      </c>
      <c r="BL457" s="27" t="s">
        <v>7</v>
      </c>
      <c r="BO457" s="27" t="s">
        <v>8</v>
      </c>
      <c r="BP457" s="27" t="s">
        <v>7</v>
      </c>
      <c r="BQ457" s="27" t="s">
        <v>8</v>
      </c>
      <c r="DV457" s="27" t="s">
        <v>7</v>
      </c>
      <c r="DW457" s="27" t="s">
        <v>8</v>
      </c>
      <c r="ED457" s="27" t="s">
        <v>7</v>
      </c>
      <c r="EE457" s="27" t="s">
        <v>8</v>
      </c>
      <c r="EH457" s="27" t="s">
        <v>7</v>
      </c>
      <c r="EJ457" s="27" t="s">
        <v>7</v>
      </c>
      <c r="ES457" s="27" t="s">
        <v>8</v>
      </c>
      <c r="ET457" s="27" t="s">
        <v>7</v>
      </c>
      <c r="FC457" s="27" t="s">
        <v>8</v>
      </c>
      <c r="FD457" s="27" t="s">
        <v>7</v>
      </c>
      <c r="FE457" s="27" t="s">
        <v>8</v>
      </c>
    </row>
    <row r="458" spans="1:161" x14ac:dyDescent="0.25">
      <c r="A458" s="7">
        <v>12.865366342182144</v>
      </c>
      <c r="B458"/>
      <c r="C458"/>
      <c r="D458"/>
      <c r="E458"/>
      <c r="BI458" s="27" t="s">
        <v>8</v>
      </c>
      <c r="BJ458" s="27" t="s">
        <v>7</v>
      </c>
      <c r="BK458" s="27" t="s">
        <v>8</v>
      </c>
      <c r="BL458" s="27" t="s">
        <v>7</v>
      </c>
      <c r="BO458" s="27" t="s">
        <v>8</v>
      </c>
      <c r="BP458" s="27" t="s">
        <v>7</v>
      </c>
      <c r="BQ458" s="27" t="s">
        <v>8</v>
      </c>
      <c r="DV458" s="27" t="s">
        <v>7</v>
      </c>
      <c r="DW458" s="27" t="s">
        <v>8</v>
      </c>
      <c r="ED458" s="27" t="s">
        <v>7</v>
      </c>
      <c r="EJ458" s="27" t="s">
        <v>7</v>
      </c>
      <c r="EQ458" s="27" t="s">
        <v>8</v>
      </c>
      <c r="ES458" s="27" t="s">
        <v>8</v>
      </c>
      <c r="ET458" s="27" t="s">
        <v>7</v>
      </c>
      <c r="FC458" s="27" t="s">
        <v>8</v>
      </c>
      <c r="FD458" s="27" t="s">
        <v>7</v>
      </c>
      <c r="FE458" s="27" t="s">
        <v>8</v>
      </c>
    </row>
    <row r="459" spans="1:161" x14ac:dyDescent="0.25">
      <c r="A459" s="7">
        <v>12.613104257041318</v>
      </c>
      <c r="B459"/>
      <c r="C459"/>
      <c r="D459"/>
      <c r="E459"/>
      <c r="BI459" s="27" t="s">
        <v>8</v>
      </c>
      <c r="BJ459" s="27" t="s">
        <v>7</v>
      </c>
      <c r="BK459" s="27" t="s">
        <v>8</v>
      </c>
      <c r="BL459" s="27" t="s">
        <v>7</v>
      </c>
      <c r="BM459" s="27" t="s">
        <v>8</v>
      </c>
      <c r="BO459" s="27" t="s">
        <v>8</v>
      </c>
      <c r="BP459" s="27" t="s">
        <v>7</v>
      </c>
      <c r="DV459" s="27" t="s">
        <v>7</v>
      </c>
      <c r="DW459" s="27" t="s">
        <v>8</v>
      </c>
      <c r="EJ459" s="27" t="s">
        <v>7</v>
      </c>
      <c r="EQ459" s="27" t="s">
        <v>8</v>
      </c>
      <c r="ER459" s="27" t="s">
        <v>7</v>
      </c>
      <c r="ES459" s="27" t="s">
        <v>8</v>
      </c>
      <c r="ET459" s="27" t="s">
        <v>7</v>
      </c>
      <c r="EU459" s="27" t="s">
        <v>8</v>
      </c>
      <c r="FA459" s="27" t="s">
        <v>8</v>
      </c>
      <c r="FC459" s="27" t="s">
        <v>8</v>
      </c>
      <c r="FD459" s="27" t="s">
        <v>7</v>
      </c>
      <c r="FE459" s="27" t="s">
        <v>8</v>
      </c>
    </row>
    <row r="460" spans="1:161" x14ac:dyDescent="0.25">
      <c r="A460" s="7">
        <v>12.36578848729541</v>
      </c>
      <c r="B460"/>
      <c r="C460"/>
      <c r="D460"/>
      <c r="E460"/>
      <c r="BI460" s="27" t="s">
        <v>8</v>
      </c>
      <c r="BJ460" s="27" t="s">
        <v>7</v>
      </c>
      <c r="BK460" s="27" t="s">
        <v>8</v>
      </c>
      <c r="BL460" s="27" t="s">
        <v>7</v>
      </c>
      <c r="BM460" s="27" t="s">
        <v>8</v>
      </c>
      <c r="BN460" s="27" t="s">
        <v>7</v>
      </c>
      <c r="BO460" s="27" t="s">
        <v>8</v>
      </c>
      <c r="DV460" s="27" t="s">
        <v>7</v>
      </c>
      <c r="DW460" s="27" t="s">
        <v>8</v>
      </c>
      <c r="EJ460" s="27" t="s">
        <v>7</v>
      </c>
      <c r="EQ460" s="27" t="s">
        <v>8</v>
      </c>
      <c r="ER460" s="27" t="s">
        <v>7</v>
      </c>
      <c r="ES460" s="27" t="s">
        <v>8</v>
      </c>
      <c r="ET460" s="27" t="s">
        <v>7</v>
      </c>
      <c r="EU460" s="27" t="s">
        <v>8</v>
      </c>
      <c r="EV460" s="27" t="s">
        <v>7</v>
      </c>
      <c r="FA460" s="27" t="s">
        <v>8</v>
      </c>
      <c r="FB460" s="27" t="s">
        <v>7</v>
      </c>
      <c r="FC460" s="27" t="s">
        <v>8</v>
      </c>
      <c r="FD460" s="27" t="s">
        <v>7</v>
      </c>
    </row>
    <row r="461" spans="1:161" x14ac:dyDescent="0.25">
      <c r="A461" s="7">
        <v>12.123322046368049</v>
      </c>
      <c r="B461"/>
      <c r="C461"/>
      <c r="D461"/>
      <c r="E461"/>
      <c r="BI461" s="27" t="s">
        <v>8</v>
      </c>
      <c r="BJ461" s="27" t="s">
        <v>7</v>
      </c>
      <c r="BK461" s="27" t="s">
        <v>8</v>
      </c>
      <c r="BL461" s="27" t="s">
        <v>7</v>
      </c>
      <c r="BM461" s="27" t="s">
        <v>8</v>
      </c>
      <c r="BN461" s="27" t="s">
        <v>7</v>
      </c>
      <c r="BO461" s="27" t="s">
        <v>8</v>
      </c>
      <c r="DV461" s="27" t="s">
        <v>7</v>
      </c>
      <c r="EJ461" s="27" t="s">
        <v>7</v>
      </c>
      <c r="EM461" s="27" t="s">
        <v>8</v>
      </c>
      <c r="EQ461" s="27" t="s">
        <v>8</v>
      </c>
      <c r="ER461" s="27" t="s">
        <v>7</v>
      </c>
      <c r="ES461" s="27" t="s">
        <v>8</v>
      </c>
      <c r="ET461" s="27" t="s">
        <v>7</v>
      </c>
      <c r="EU461" s="27" t="s">
        <v>8</v>
      </c>
      <c r="EV461" s="27" t="s">
        <v>7</v>
      </c>
      <c r="FA461" s="27" t="s">
        <v>8</v>
      </c>
      <c r="FB461" s="27" t="s">
        <v>7</v>
      </c>
      <c r="FC461" s="27" t="s">
        <v>8</v>
      </c>
    </row>
    <row r="462" spans="1:161" x14ac:dyDescent="0.25">
      <c r="A462" s="7">
        <v>11.88560984938044</v>
      </c>
      <c r="B462"/>
      <c r="C462"/>
      <c r="D462"/>
      <c r="E462"/>
      <c r="BI462" s="27" t="s">
        <v>8</v>
      </c>
      <c r="BJ462" s="27" t="s">
        <v>7</v>
      </c>
      <c r="BK462" s="27" t="s">
        <v>8</v>
      </c>
      <c r="BL462" s="27" t="s">
        <v>7</v>
      </c>
      <c r="BM462" s="27" t="s">
        <v>8</v>
      </c>
      <c r="BN462" s="27" t="s">
        <v>7</v>
      </c>
      <c r="BO462" s="27" t="s">
        <v>8</v>
      </c>
      <c r="EJ462" s="27" t="s">
        <v>7</v>
      </c>
      <c r="EK462" s="27" t="s">
        <v>8</v>
      </c>
      <c r="EM462" s="27" t="s">
        <v>8</v>
      </c>
      <c r="EN462" s="27" t="s">
        <v>7</v>
      </c>
      <c r="EO462" s="27" t="s">
        <v>8</v>
      </c>
      <c r="EQ462" s="27" t="s">
        <v>8</v>
      </c>
      <c r="ER462" s="27" t="s">
        <v>7</v>
      </c>
      <c r="ES462" s="27" t="s">
        <v>8</v>
      </c>
      <c r="ET462" s="27" t="s">
        <v>7</v>
      </c>
      <c r="EU462" s="27" t="s">
        <v>8</v>
      </c>
      <c r="EV462" s="27" t="s">
        <v>7</v>
      </c>
      <c r="EW462" s="27" t="s">
        <v>8</v>
      </c>
      <c r="FA462" s="27" t="s">
        <v>8</v>
      </c>
      <c r="FB462" s="27" t="s">
        <v>7</v>
      </c>
      <c r="FC462" s="27" t="s">
        <v>8</v>
      </c>
    </row>
    <row r="463" spans="1:161" x14ac:dyDescent="0.25">
      <c r="A463" s="7">
        <v>11.652558675863176</v>
      </c>
      <c r="B463"/>
      <c r="C463"/>
      <c r="D463"/>
      <c r="E463"/>
      <c r="BI463" s="27" t="s">
        <v>8</v>
      </c>
      <c r="BJ463" s="27" t="s">
        <v>7</v>
      </c>
      <c r="BK463" s="27" t="s">
        <v>8</v>
      </c>
      <c r="BL463" s="27" t="s">
        <v>7</v>
      </c>
      <c r="BM463" s="27" t="s">
        <v>8</v>
      </c>
      <c r="BN463" s="27" t="s">
        <v>7</v>
      </c>
      <c r="BO463" s="27" t="s">
        <v>8</v>
      </c>
      <c r="EJ463" s="27" t="s">
        <v>7</v>
      </c>
      <c r="EK463" s="27" t="s">
        <v>8</v>
      </c>
      <c r="EL463" s="27" t="s">
        <v>7</v>
      </c>
      <c r="EM463" s="27" t="s">
        <v>8</v>
      </c>
      <c r="EN463" s="27" t="s">
        <v>7</v>
      </c>
      <c r="EO463" s="27" t="s">
        <v>8</v>
      </c>
      <c r="EP463" s="27" t="s">
        <v>7</v>
      </c>
      <c r="EQ463" s="27" t="s">
        <v>8</v>
      </c>
      <c r="ER463" s="27" t="s">
        <v>7</v>
      </c>
      <c r="ET463" s="27" t="s">
        <v>7</v>
      </c>
      <c r="EV463" s="27" t="s">
        <v>7</v>
      </c>
      <c r="EW463" s="27" t="s">
        <v>8</v>
      </c>
      <c r="EX463" s="27" t="s">
        <v>7</v>
      </c>
      <c r="FA463" s="27" t="s">
        <v>8</v>
      </c>
      <c r="FB463" s="27" t="s">
        <v>7</v>
      </c>
      <c r="FC463" s="27" t="s">
        <v>8</v>
      </c>
    </row>
    <row r="464" spans="1:161" x14ac:dyDescent="0.25">
      <c r="A464" s="7">
        <v>11.424077133199193</v>
      </c>
      <c r="B464"/>
      <c r="C464"/>
      <c r="D464"/>
      <c r="E464"/>
      <c r="BI464" s="27" t="s">
        <v>8</v>
      </c>
      <c r="BJ464" s="27" t="s">
        <v>7</v>
      </c>
      <c r="BK464" s="27" t="s">
        <v>8</v>
      </c>
      <c r="BL464" s="27" t="s">
        <v>7</v>
      </c>
      <c r="BM464" s="27" t="s">
        <v>8</v>
      </c>
      <c r="BN464" s="27" t="s">
        <v>7</v>
      </c>
      <c r="EJ464" s="27" t="s">
        <v>7</v>
      </c>
      <c r="EK464" s="27" t="s">
        <v>8</v>
      </c>
      <c r="EL464" s="27" t="s">
        <v>7</v>
      </c>
      <c r="EM464" s="27" t="s">
        <v>8</v>
      </c>
      <c r="EN464" s="27" t="s">
        <v>7</v>
      </c>
      <c r="EO464" s="27" t="s">
        <v>8</v>
      </c>
      <c r="EP464" s="27" t="s">
        <v>7</v>
      </c>
      <c r="EQ464" s="27" t="s">
        <v>8</v>
      </c>
      <c r="EV464" s="27" t="s">
        <v>7</v>
      </c>
      <c r="EW464" s="27" t="s">
        <v>8</v>
      </c>
      <c r="EX464" s="27" t="s">
        <v>7</v>
      </c>
      <c r="EY464" s="27" t="s">
        <v>8</v>
      </c>
      <c r="FA464" s="27" t="s">
        <v>8</v>
      </c>
      <c r="FB464" s="27" t="s">
        <v>7</v>
      </c>
      <c r="FC464" s="27" t="s">
        <v>8</v>
      </c>
    </row>
    <row r="465" spans="1:158" x14ac:dyDescent="0.25">
      <c r="A465" s="7">
        <v>11.200075620783522</v>
      </c>
      <c r="B465"/>
      <c r="C465"/>
      <c r="D465"/>
      <c r="E465"/>
      <c r="BI465" s="27" t="s">
        <v>8</v>
      </c>
      <c r="BJ465" s="27" t="s">
        <v>7</v>
      </c>
      <c r="BL465" s="27" t="s">
        <v>7</v>
      </c>
      <c r="BM465" s="27" t="s">
        <v>8</v>
      </c>
      <c r="EJ465" s="27" t="s">
        <v>7</v>
      </c>
      <c r="EK465" s="27" t="s">
        <v>8</v>
      </c>
      <c r="EL465" s="27" t="s">
        <v>7</v>
      </c>
      <c r="EM465" s="27" t="s">
        <v>8</v>
      </c>
      <c r="EN465" s="27" t="s">
        <v>7</v>
      </c>
      <c r="EP465" s="27" t="s">
        <v>7</v>
      </c>
      <c r="EQ465" s="27" t="s">
        <v>8</v>
      </c>
      <c r="EV465" s="27" t="s">
        <v>7</v>
      </c>
      <c r="EX465" s="27" t="s">
        <v>7</v>
      </c>
      <c r="EY465" s="27" t="s">
        <v>8</v>
      </c>
      <c r="EZ465" s="27" t="s">
        <v>7</v>
      </c>
      <c r="FA465" s="27" t="s">
        <v>8</v>
      </c>
      <c r="FB465" s="27" t="s">
        <v>7</v>
      </c>
    </row>
    <row r="466" spans="1:158" x14ac:dyDescent="0.25">
      <c r="A466" s="7">
        <v>10.980466294885806</v>
      </c>
      <c r="B466"/>
      <c r="C466"/>
      <c r="D466"/>
      <c r="E466"/>
      <c r="BI466" s="27" t="s">
        <v>8</v>
      </c>
      <c r="BL466" s="27" t="s">
        <v>7</v>
      </c>
      <c r="EJ466" s="27" t="s">
        <v>7</v>
      </c>
      <c r="EK466" s="27" t="s">
        <v>8</v>
      </c>
      <c r="EL466" s="27" t="s">
        <v>7</v>
      </c>
      <c r="EM466" s="27" t="s">
        <v>8</v>
      </c>
      <c r="EP466" s="27" t="s">
        <v>7</v>
      </c>
      <c r="EQ466" s="27" t="s">
        <v>8</v>
      </c>
      <c r="EX466" s="27" t="s">
        <v>7</v>
      </c>
      <c r="EY466" s="27" t="s">
        <v>8</v>
      </c>
      <c r="EZ466" s="27" t="s">
        <v>7</v>
      </c>
      <c r="FA466" s="27" t="s">
        <v>8</v>
      </c>
    </row>
    <row r="467" spans="1:158" x14ac:dyDescent="0.25">
      <c r="A467" s="7">
        <v>10.765163034201771</v>
      </c>
      <c r="B467"/>
      <c r="C467"/>
      <c r="D467"/>
      <c r="E467"/>
      <c r="BI467" s="27" t="s">
        <v>8</v>
      </c>
      <c r="EJ467" s="27" t="s">
        <v>7</v>
      </c>
      <c r="EK467" s="27" t="s">
        <v>8</v>
      </c>
      <c r="EL467" s="27" t="s">
        <v>7</v>
      </c>
      <c r="EM467" s="27" t="s">
        <v>8</v>
      </c>
      <c r="EP467" s="27" t="s">
        <v>7</v>
      </c>
      <c r="EX467" s="27" t="s">
        <v>7</v>
      </c>
      <c r="EY467" s="27" t="s">
        <v>8</v>
      </c>
      <c r="EZ467" s="27" t="s">
        <v>7</v>
      </c>
    </row>
    <row r="468" spans="1:158" x14ac:dyDescent="0.25">
      <c r="A468" s="7">
        <v>10.554081406080169</v>
      </c>
      <c r="B468"/>
      <c r="C468"/>
      <c r="D468"/>
      <c r="E468"/>
      <c r="BI468" s="27" t="s">
        <v>8</v>
      </c>
      <c r="EJ468" s="27" t="s">
        <v>7</v>
      </c>
      <c r="EK468" s="27" t="s">
        <v>8</v>
      </c>
      <c r="EL468" s="27" t="s">
        <v>7</v>
      </c>
      <c r="EM468" s="27" t="s">
        <v>8</v>
      </c>
      <c r="EX468" s="27" t="s">
        <v>7</v>
      </c>
      <c r="EY468" s="27" t="s">
        <v>8</v>
      </c>
    </row>
    <row r="469" spans="1:158" x14ac:dyDescent="0.25">
      <c r="A469" s="7">
        <v>10.34713863341193</v>
      </c>
      <c r="B469"/>
      <c r="C469"/>
      <c r="D469"/>
      <c r="E469"/>
      <c r="BI469" s="27" t="s">
        <v>8</v>
      </c>
      <c r="EJ469" s="27" t="s">
        <v>7</v>
      </c>
      <c r="EK469" s="27" t="s">
        <v>8</v>
      </c>
      <c r="EL469" s="27" t="s">
        <v>7</v>
      </c>
      <c r="EM469" s="27" t="s">
        <v>8</v>
      </c>
      <c r="EX469" s="27" t="s">
        <v>7</v>
      </c>
      <c r="EY469" s="27" t="s">
        <v>8</v>
      </c>
    </row>
    <row r="470" spans="1:158" x14ac:dyDescent="0.25">
      <c r="A470" s="7">
        <v>10.14425356216856</v>
      </c>
      <c r="B470"/>
      <c r="C470"/>
      <c r="D470"/>
      <c r="E470"/>
      <c r="BI470" s="27" t="s">
        <v>8</v>
      </c>
      <c r="EJ470" s="27" t="s">
        <v>7</v>
      </c>
      <c r="EK470" s="27" t="s">
        <v>8</v>
      </c>
      <c r="EL470" s="27" t="s">
        <v>7</v>
      </c>
      <c r="EM470" s="27" t="s">
        <v>8</v>
      </c>
      <c r="EX470" s="18" t="s">
        <v>7</v>
      </c>
      <c r="EY470" s="27" t="s">
        <v>8</v>
      </c>
    </row>
    <row r="471" spans="1:158" x14ac:dyDescent="0.25">
      <c r="A471" s="7">
        <v>9.9453466295770188</v>
      </c>
      <c r="B471"/>
      <c r="C471"/>
      <c r="D471"/>
      <c r="E471"/>
      <c r="BI471" s="27" t="s">
        <v>8</v>
      </c>
      <c r="EJ471" s="27" t="s">
        <v>7</v>
      </c>
      <c r="EK471" s="27" t="s">
        <v>8</v>
      </c>
      <c r="EL471" s="27" t="s">
        <v>7</v>
      </c>
      <c r="EX471" s="27" t="s">
        <v>7</v>
      </c>
      <c r="EY471" s="27" t="s">
        <v>8</v>
      </c>
    </row>
    <row r="472" spans="1:158" x14ac:dyDescent="0.25">
      <c r="A472" s="7">
        <v>9.7503398329186464</v>
      </c>
      <c r="B472"/>
      <c r="C472"/>
      <c r="D472"/>
      <c r="E472"/>
      <c r="BI472" s="27" t="s">
        <v>8</v>
      </c>
      <c r="EJ472" s="27" t="s">
        <v>7</v>
      </c>
      <c r="EK472" s="27" t="s">
        <v>8</v>
      </c>
      <c r="EX472" s="27" t="s">
        <v>7</v>
      </c>
      <c r="EY472" s="27" t="s">
        <v>8</v>
      </c>
    </row>
    <row r="473" spans="1:158" x14ac:dyDescent="0.25">
      <c r="A473" s="7">
        <v>9.5591566989398498</v>
      </c>
      <c r="B473"/>
      <c r="C473"/>
      <c r="D473"/>
      <c r="E473"/>
      <c r="BI473" s="27" t="s">
        <v>8</v>
      </c>
      <c r="EJ473" s="27" t="s">
        <v>7</v>
      </c>
      <c r="EK473" s="27" t="s">
        <v>8</v>
      </c>
      <c r="EX473" s="27" t="s">
        <v>7</v>
      </c>
      <c r="EY473" s="27" t="s">
        <v>8</v>
      </c>
    </row>
    <row r="474" spans="1:158" x14ac:dyDescent="0.25">
      <c r="A474" s="7">
        <v>9.3717222538625968</v>
      </c>
      <c r="B474"/>
      <c r="C474"/>
      <c r="D474"/>
      <c r="E474"/>
      <c r="BI474" s="27" t="s">
        <v>8</v>
      </c>
      <c r="EJ474" s="27" t="s">
        <v>7</v>
      </c>
      <c r="EX474" s="27" t="s">
        <v>7</v>
      </c>
    </row>
    <row r="475" spans="1:158" x14ac:dyDescent="0.25">
      <c r="A475" s="7">
        <v>9.1879629939829375</v>
      </c>
      <c r="B475"/>
      <c r="C475"/>
      <c r="D475"/>
      <c r="E475"/>
      <c r="BI475" s="27" t="s">
        <v>8</v>
      </c>
    </row>
    <row r="476" spans="1:158" x14ac:dyDescent="0.25">
      <c r="A476" s="7">
        <v>9.0078068568460168</v>
      </c>
      <c r="B476"/>
      <c r="C476"/>
      <c r="D476"/>
      <c r="E476"/>
      <c r="BI476" s="27" t="s">
        <v>8</v>
      </c>
    </row>
    <row r="477" spans="1:158" x14ac:dyDescent="0.25">
      <c r="A477" s="7">
        <v>8.8311831929862912</v>
      </c>
      <c r="B477"/>
      <c r="C477"/>
      <c r="D477"/>
      <c r="E477"/>
      <c r="BI477" s="27" t="s">
        <v>8</v>
      </c>
    </row>
    <row r="478" spans="1:158" x14ac:dyDescent="0.25">
      <c r="A478" s="7">
        <v>8.6580227382218542</v>
      </c>
      <c r="B478"/>
      <c r="C478"/>
      <c r="D478"/>
      <c r="E478"/>
      <c r="BI478" s="27" t="s">
        <v>8</v>
      </c>
    </row>
    <row r="479" spans="1:158" x14ac:dyDescent="0.25">
      <c r="A479" s="7">
        <v>8.4882575864920131</v>
      </c>
      <c r="B479"/>
      <c r="C479"/>
      <c r="D479"/>
      <c r="E479"/>
      <c r="BI479" s="27" t="s">
        <v>8</v>
      </c>
    </row>
    <row r="480" spans="1:158" x14ac:dyDescent="0.25">
      <c r="A480" s="7">
        <v>8.3218211632274635</v>
      </c>
      <c r="B480"/>
      <c r="C480"/>
      <c r="D480"/>
      <c r="E480"/>
      <c r="BI480" s="27" t="s">
        <v>8</v>
      </c>
    </row>
    <row r="481" spans="1:61" x14ac:dyDescent="0.25">
      <c r="A481" s="7">
        <v>8.1586481992426112</v>
      </c>
      <c r="B481"/>
      <c r="C481"/>
      <c r="D481"/>
      <c r="E481"/>
      <c r="BI481" s="27" t="s">
        <v>8</v>
      </c>
    </row>
    <row r="482" spans="1:61" x14ac:dyDescent="0.25">
      <c r="A482" s="7">
        <v>7.9986747051398144</v>
      </c>
      <c r="B482"/>
      <c r="C482"/>
      <c r="D482"/>
      <c r="E482"/>
      <c r="BI482" s="27" t="s">
        <v>8</v>
      </c>
    </row>
    <row r="483" spans="1:61" x14ac:dyDescent="0.25">
      <c r="A483" s="7">
        <v>7.8418379462155041</v>
      </c>
      <c r="B483"/>
      <c r="C483"/>
      <c r="D483"/>
      <c r="E483"/>
      <c r="BI483" s="27" t="s">
        <v>8</v>
      </c>
    </row>
    <row r="484" spans="1:61" x14ac:dyDescent="0.25">
      <c r="A484" s="7">
        <v>7.688076417858337</v>
      </c>
      <c r="B484"/>
      <c r="C484"/>
      <c r="D484"/>
      <c r="E484"/>
      <c r="BI484" s="27" t="s">
        <v>8</v>
      </c>
    </row>
    <row r="485" spans="1:61" x14ac:dyDescent="0.25">
      <c r="A485" s="7">
        <v>7.5373298214297417</v>
      </c>
      <c r="B485"/>
      <c r="C485"/>
      <c r="D485"/>
      <c r="E485"/>
      <c r="BI485" s="27" t="s">
        <v>8</v>
      </c>
    </row>
    <row r="486" spans="1:61" x14ac:dyDescent="0.25">
      <c r="A486" s="7">
        <v>7.389539040617394</v>
      </c>
      <c r="B486"/>
      <c r="C486"/>
      <c r="D486"/>
      <c r="E486"/>
      <c r="BG486" s="27" t="s">
        <v>8</v>
      </c>
      <c r="BI486" s="27" t="s">
        <v>8</v>
      </c>
    </row>
    <row r="487" spans="1:61" x14ac:dyDescent="0.25">
      <c r="A487" s="7">
        <v>7.2446461182523469</v>
      </c>
      <c r="B487"/>
      <c r="C487"/>
      <c r="D487"/>
      <c r="E487"/>
      <c r="BG487" s="27" t="s">
        <v>8</v>
      </c>
      <c r="BH487" s="27" t="s">
        <v>7</v>
      </c>
      <c r="BI487" s="27" t="s">
        <v>8</v>
      </c>
    </row>
    <row r="488" spans="1:61" x14ac:dyDescent="0.25">
      <c r="A488" s="7">
        <v>7.1025942335807324</v>
      </c>
      <c r="B488"/>
      <c r="C488"/>
      <c r="D488"/>
      <c r="E488"/>
      <c r="BG488" s="27" t="s">
        <v>8</v>
      </c>
      <c r="BH488" s="27" t="s">
        <v>7</v>
      </c>
      <c r="BI488" s="27" t="s">
        <v>8</v>
      </c>
    </row>
    <row r="489" spans="1:61" x14ac:dyDescent="0.25">
      <c r="A489" s="7">
        <v>6.9633276799811101</v>
      </c>
      <c r="B489"/>
      <c r="C489"/>
      <c r="D489"/>
      <c r="E489"/>
      <c r="BG489" s="27" t="s">
        <v>8</v>
      </c>
      <c r="BH489" s="27" t="s">
        <v>7</v>
      </c>
      <c r="BI489" s="27" t="s">
        <v>8</v>
      </c>
    </row>
    <row r="490" spans="1:61" x14ac:dyDescent="0.25">
      <c r="A490" s="7">
        <v>6.8267918431187349</v>
      </c>
      <c r="B490"/>
      <c r="C490"/>
      <c r="D490"/>
      <c r="E490"/>
      <c r="BG490" s="27" t="s">
        <v>8</v>
      </c>
      <c r="BH490" s="27" t="s">
        <v>7</v>
      </c>
      <c r="BI490" s="27" t="s">
        <v>8</v>
      </c>
    </row>
    <row r="491" spans="1:61" x14ac:dyDescent="0.25">
      <c r="A491" s="7">
        <v>6.692933179528171</v>
      </c>
      <c r="B491"/>
      <c r="C491"/>
      <c r="D491"/>
      <c r="E491"/>
      <c r="BG491" s="27" t="s">
        <v>8</v>
      </c>
      <c r="BH491" s="27" t="s">
        <v>7</v>
      </c>
      <c r="BI491" s="27" t="s">
        <v>8</v>
      </c>
    </row>
    <row r="492" spans="1:61" x14ac:dyDescent="0.25">
      <c r="A492" s="7">
        <v>6.5616991956158541</v>
      </c>
      <c r="B492"/>
      <c r="C492"/>
      <c r="D492"/>
      <c r="E492"/>
      <c r="BG492" s="27" t="s">
        <v>8</v>
      </c>
      <c r="BH492" s="27" t="s">
        <v>7</v>
      </c>
      <c r="BI492" s="27" t="s">
        <v>8</v>
      </c>
    </row>
    <row r="493" spans="1:61" x14ac:dyDescent="0.25">
      <c r="A493" s="7">
        <v>6.4330384270743668</v>
      </c>
      <c r="B493"/>
      <c r="C493"/>
      <c r="D493"/>
      <c r="E493"/>
      <c r="BG493" s="27" t="s">
        <v>8</v>
      </c>
      <c r="BH493" s="27" t="s">
        <v>7</v>
      </c>
      <c r="BI493" s="27" t="s">
        <v>8</v>
      </c>
    </row>
    <row r="494" spans="1:61" x14ac:dyDescent="0.25">
      <c r="A494" s="7">
        <v>6.3069004187003594</v>
      </c>
      <c r="B494"/>
      <c r="C494"/>
      <c r="D494"/>
      <c r="E494"/>
      <c r="BG494" s="27" t="s">
        <v>8</v>
      </c>
      <c r="BH494" s="27" t="s">
        <v>7</v>
      </c>
      <c r="BI494" s="27" t="s">
        <v>8</v>
      </c>
    </row>
    <row r="495" spans="1:61" x14ac:dyDescent="0.25">
      <c r="A495" s="7">
        <v>6.1832357046081956</v>
      </c>
      <c r="B495"/>
      <c r="C495"/>
      <c r="D495"/>
      <c r="E495"/>
      <c r="BG495" s="27" t="s">
        <v>8</v>
      </c>
      <c r="BH495" s="27" t="s">
        <v>7</v>
      </c>
      <c r="BI495" s="27" t="s">
        <v>8</v>
      </c>
    </row>
    <row r="496" spans="1:61" x14ac:dyDescent="0.25">
      <c r="A496" s="7">
        <v>6.0619957888315641</v>
      </c>
      <c r="B496"/>
      <c r="C496"/>
      <c r="D496"/>
      <c r="E496"/>
      <c r="BG496" s="27" t="s">
        <v>8</v>
      </c>
      <c r="BH496" s="27" t="s">
        <v>7</v>
      </c>
      <c r="BI496" s="27" t="s">
        <v>8</v>
      </c>
    </row>
    <row r="497" spans="1:61" x14ac:dyDescent="0.25">
      <c r="A497" s="7">
        <v>5.9431331263054545</v>
      </c>
      <c r="B497"/>
      <c r="C497"/>
      <c r="D497"/>
      <c r="E497"/>
      <c r="BG497" s="27" t="s">
        <v>8</v>
      </c>
      <c r="BH497" s="27" t="s">
        <v>7</v>
      </c>
      <c r="BI497" s="27" t="s">
        <v>8</v>
      </c>
    </row>
    <row r="498" spans="1:61" x14ac:dyDescent="0.25">
      <c r="A498" s="7">
        <v>5.8266011042210337</v>
      </c>
      <c r="B498"/>
      <c r="C498"/>
      <c r="D498"/>
      <c r="E498"/>
      <c r="BG498" s="27" t="s">
        <v>8</v>
      </c>
      <c r="BH498" s="27" t="s">
        <v>7</v>
      </c>
    </row>
    <row r="499" spans="1:61" x14ac:dyDescent="0.25">
      <c r="A499" s="7">
        <v>5.7123540237461112</v>
      </c>
      <c r="B499"/>
      <c r="C499"/>
      <c r="D499"/>
      <c r="E499"/>
      <c r="BG499" s="27" t="s">
        <v>8</v>
      </c>
    </row>
    <row r="500" spans="1:61" x14ac:dyDescent="0.25">
      <c r="A500" s="7">
        <v>5.6003470821040304</v>
      </c>
      <c r="B500"/>
      <c r="C500"/>
      <c r="D500"/>
      <c r="E500"/>
      <c r="BG500" s="27" t="s">
        <v>8</v>
      </c>
    </row>
    <row r="501" spans="1:61" x14ac:dyDescent="0.25">
      <c r="A501" s="7">
        <v>5.4905363550039512</v>
      </c>
      <c r="B501"/>
      <c r="C501"/>
      <c r="D501"/>
      <c r="E501"/>
      <c r="BG501" s="27" t="s">
        <v>8</v>
      </c>
    </row>
    <row r="502" spans="1:61" x14ac:dyDescent="0.25">
      <c r="A502" s="7">
        <v>5.3828787794156385</v>
      </c>
      <c r="B502"/>
      <c r="C502"/>
      <c r="D502"/>
      <c r="E502"/>
      <c r="BG502" s="27" t="s">
        <v>8</v>
      </c>
    </row>
    <row r="503" spans="1:61" x14ac:dyDescent="0.25">
      <c r="A503" s="7">
        <v>5.2773321366819985</v>
      </c>
      <c r="B503"/>
      <c r="C503"/>
      <c r="D503"/>
      <c r="E503" t="s">
        <v>8</v>
      </c>
      <c r="BG503" s="27" t="s">
        <v>8</v>
      </c>
    </row>
    <row r="504" spans="1:61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BG504" s="27" t="s">
        <v>8</v>
      </c>
    </row>
    <row r="505" spans="1:61" x14ac:dyDescent="0.25">
      <c r="A505" s="7">
        <v>5.07240689800269</v>
      </c>
      <c r="B505"/>
      <c r="C505"/>
      <c r="D505"/>
      <c r="E505" t="s">
        <v>8</v>
      </c>
      <c r="F505" s="27" t="s">
        <v>7</v>
      </c>
      <c r="BG505" s="27" t="s">
        <v>8</v>
      </c>
    </row>
    <row r="506" spans="1:61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BE506" s="27" t="s">
        <v>8</v>
      </c>
      <c r="BG506" s="27" t="s">
        <v>8</v>
      </c>
    </row>
    <row r="507" spans="1:61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  <c r="BE507" s="27" t="s">
        <v>8</v>
      </c>
      <c r="BF507" s="27" t="s">
        <v>7</v>
      </c>
      <c r="BG507" s="27" t="s">
        <v>8</v>
      </c>
    </row>
    <row r="508" spans="1:61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  <c r="BE508" s="27" t="s">
        <v>8</v>
      </c>
      <c r="BF508" s="27" t="s">
        <v>7</v>
      </c>
      <c r="BG508" s="27" t="s">
        <v>8</v>
      </c>
    </row>
    <row r="509" spans="1:61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  <c r="I509" s="27" t="s">
        <v>8</v>
      </c>
      <c r="Q509" s="27" t="s">
        <v>8</v>
      </c>
      <c r="BE509" s="27" t="s">
        <v>8</v>
      </c>
      <c r="BF509" s="27" t="s">
        <v>7</v>
      </c>
      <c r="BG509" s="27" t="s">
        <v>8</v>
      </c>
    </row>
    <row r="510" spans="1:61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I510" s="27" t="s">
        <v>8</v>
      </c>
      <c r="J510" s="27" t="s">
        <v>7</v>
      </c>
      <c r="Q510" s="27" t="s">
        <v>8</v>
      </c>
      <c r="R510" s="27" t="s">
        <v>7</v>
      </c>
      <c r="BE510" s="27" t="s">
        <v>8</v>
      </c>
      <c r="BF510" s="27" t="s">
        <v>7</v>
      </c>
      <c r="BG510" s="27" t="s">
        <v>8</v>
      </c>
    </row>
    <row r="511" spans="1:61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I511" s="27" t="s">
        <v>8</v>
      </c>
      <c r="J511" s="27" t="s">
        <v>7</v>
      </c>
      <c r="K511" s="27" t="s">
        <v>8</v>
      </c>
      <c r="Q511" s="27" t="s">
        <v>8</v>
      </c>
      <c r="R511" s="27" t="s">
        <v>7</v>
      </c>
      <c r="BE511" s="27" t="s">
        <v>8</v>
      </c>
      <c r="BF511" s="27" t="s">
        <v>7</v>
      </c>
      <c r="BG511" s="27" t="s">
        <v>8</v>
      </c>
    </row>
    <row r="512" spans="1:61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I512" s="27" t="s">
        <v>8</v>
      </c>
      <c r="J512" s="27" t="s">
        <v>7</v>
      </c>
      <c r="K512" s="27" t="s">
        <v>8</v>
      </c>
      <c r="L512" s="27" t="s">
        <v>7</v>
      </c>
      <c r="Q512" s="27" t="s">
        <v>8</v>
      </c>
      <c r="R512" s="27" t="s">
        <v>7</v>
      </c>
      <c r="U512" s="27" t="s">
        <v>8</v>
      </c>
      <c r="BE512" s="27" t="s">
        <v>8</v>
      </c>
      <c r="BF512" s="27" t="s">
        <v>7</v>
      </c>
      <c r="BG512" s="27" t="s">
        <v>8</v>
      </c>
    </row>
    <row r="513" spans="1:59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I513" s="27" t="s">
        <v>8</v>
      </c>
      <c r="J513" s="27" t="s">
        <v>7</v>
      </c>
      <c r="K513" s="27" t="s">
        <v>8</v>
      </c>
      <c r="L513" s="27" t="s">
        <v>7</v>
      </c>
      <c r="Q513" s="27" t="s">
        <v>8</v>
      </c>
      <c r="R513" s="27" t="s">
        <v>7</v>
      </c>
      <c r="U513" s="27" t="s">
        <v>8</v>
      </c>
      <c r="V513" s="27" t="s">
        <v>7</v>
      </c>
      <c r="W513" s="27" t="s">
        <v>8</v>
      </c>
      <c r="AK513" s="27" t="s">
        <v>8</v>
      </c>
      <c r="BE513" s="27" t="s">
        <v>8</v>
      </c>
      <c r="BF513" s="27" t="s">
        <v>7</v>
      </c>
      <c r="BG513" s="27" t="s">
        <v>8</v>
      </c>
    </row>
    <row r="514" spans="1:59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I514" s="27" t="s">
        <v>8</v>
      </c>
      <c r="J514" s="27" t="s">
        <v>7</v>
      </c>
      <c r="K514" s="27" t="s">
        <v>8</v>
      </c>
      <c r="L514" s="27" t="s">
        <v>7</v>
      </c>
      <c r="O514" s="27" t="s">
        <v>8</v>
      </c>
      <c r="Q514" s="27" t="s">
        <v>8</v>
      </c>
      <c r="R514" s="27" t="s">
        <v>7</v>
      </c>
      <c r="S514" s="27" t="s">
        <v>8</v>
      </c>
      <c r="U514" s="27" t="s">
        <v>8</v>
      </c>
      <c r="V514" s="27" t="s">
        <v>7</v>
      </c>
      <c r="W514" s="27" t="s">
        <v>8</v>
      </c>
      <c r="X514" s="27" t="s">
        <v>7</v>
      </c>
      <c r="AK514" s="27" t="s">
        <v>8</v>
      </c>
      <c r="AL514" s="27" t="s">
        <v>7</v>
      </c>
      <c r="BE514" s="27" t="s">
        <v>8</v>
      </c>
      <c r="BF514" s="27" t="s">
        <v>7</v>
      </c>
      <c r="BG514" s="27" t="s">
        <v>8</v>
      </c>
    </row>
    <row r="515" spans="1:59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J515" s="27" t="s">
        <v>7</v>
      </c>
      <c r="K515" s="27" t="s">
        <v>8</v>
      </c>
      <c r="L515" s="27" t="s">
        <v>7</v>
      </c>
      <c r="M515" s="27" t="s">
        <v>8</v>
      </c>
      <c r="O515" s="27" t="s">
        <v>8</v>
      </c>
      <c r="P515" s="27" t="s">
        <v>7</v>
      </c>
      <c r="Q515" s="27" t="s">
        <v>8</v>
      </c>
      <c r="R515" s="27" t="s">
        <v>7</v>
      </c>
      <c r="S515" s="27" t="s">
        <v>8</v>
      </c>
      <c r="T515" s="27" t="s">
        <v>7</v>
      </c>
      <c r="U515" s="27" t="s">
        <v>8</v>
      </c>
      <c r="V515" s="27" t="s">
        <v>7</v>
      </c>
      <c r="W515" s="27" t="s">
        <v>8</v>
      </c>
      <c r="X515" s="27" t="s">
        <v>7</v>
      </c>
      <c r="AK515" s="27" t="s">
        <v>8</v>
      </c>
      <c r="AL515" s="27" t="s">
        <v>7</v>
      </c>
      <c r="BE515" s="27" t="s">
        <v>8</v>
      </c>
      <c r="BF515" s="27" t="s">
        <v>7</v>
      </c>
      <c r="BG515" s="27" t="s">
        <v>8</v>
      </c>
    </row>
    <row r="516" spans="1:59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J516" s="27" t="s">
        <v>7</v>
      </c>
      <c r="K516" s="27" t="s">
        <v>8</v>
      </c>
      <c r="L516" s="27" t="s">
        <v>7</v>
      </c>
      <c r="M516" s="27" t="s">
        <v>8</v>
      </c>
      <c r="N516" s="27" t="s">
        <v>7</v>
      </c>
      <c r="O516" s="27" t="s">
        <v>8</v>
      </c>
      <c r="P516" s="27" t="s">
        <v>7</v>
      </c>
      <c r="Q516" s="27" t="s">
        <v>8</v>
      </c>
      <c r="R516" s="27" t="s">
        <v>7</v>
      </c>
      <c r="S516" s="27" t="s">
        <v>8</v>
      </c>
      <c r="T516" s="27" t="s">
        <v>7</v>
      </c>
      <c r="U516" s="27" t="s">
        <v>8</v>
      </c>
      <c r="V516" s="27" t="s">
        <v>7</v>
      </c>
      <c r="X516" s="27" t="s">
        <v>7</v>
      </c>
      <c r="AI516" s="27" t="s">
        <v>8</v>
      </c>
      <c r="AK516" s="27" t="s">
        <v>8</v>
      </c>
      <c r="AL516" s="27" t="s">
        <v>7</v>
      </c>
      <c r="BE516" s="27" t="s">
        <v>8</v>
      </c>
      <c r="BF516" s="27" t="s">
        <v>7</v>
      </c>
    </row>
    <row r="517" spans="1:59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J517" s="27" t="s">
        <v>7</v>
      </c>
      <c r="L517" s="27" t="s">
        <v>7</v>
      </c>
      <c r="M517" s="27" t="s">
        <v>8</v>
      </c>
      <c r="N517" s="27" t="s">
        <v>7</v>
      </c>
      <c r="O517" s="27" t="s">
        <v>8</v>
      </c>
      <c r="P517" s="27" t="s">
        <v>7</v>
      </c>
      <c r="R517" s="27" t="s">
        <v>7</v>
      </c>
      <c r="S517" s="27" t="s">
        <v>8</v>
      </c>
      <c r="T517" s="27" t="s">
        <v>7</v>
      </c>
      <c r="U517" s="27" t="s">
        <v>8</v>
      </c>
      <c r="X517" s="27" t="s">
        <v>7</v>
      </c>
      <c r="AI517" s="27" t="s">
        <v>8</v>
      </c>
      <c r="AJ517" s="27" t="s">
        <v>7</v>
      </c>
      <c r="AK517" s="27" t="s">
        <v>8</v>
      </c>
      <c r="AL517" s="27" t="s">
        <v>7</v>
      </c>
      <c r="BE517" s="27" t="s">
        <v>8</v>
      </c>
    </row>
    <row r="518" spans="1:59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L518" s="27" t="s">
        <v>7</v>
      </c>
      <c r="M518" s="27" t="s">
        <v>8</v>
      </c>
      <c r="N518" s="27" t="s">
        <v>7</v>
      </c>
      <c r="O518" s="27" t="s">
        <v>8</v>
      </c>
      <c r="R518" s="27" t="s">
        <v>7</v>
      </c>
      <c r="T518" s="27" t="s">
        <v>7</v>
      </c>
      <c r="U518" s="27" t="s">
        <v>8</v>
      </c>
      <c r="X518" s="27" t="s">
        <v>7</v>
      </c>
      <c r="AG518" s="27" t="s">
        <v>8</v>
      </c>
      <c r="AI518" s="27" t="s">
        <v>8</v>
      </c>
      <c r="AJ518" s="27" t="s">
        <v>7</v>
      </c>
      <c r="AK518" s="27" t="s">
        <v>8</v>
      </c>
      <c r="AL518" s="27" t="s">
        <v>7</v>
      </c>
      <c r="BC518" s="27" t="s">
        <v>8</v>
      </c>
      <c r="BE518" s="27" t="s">
        <v>8</v>
      </c>
    </row>
    <row r="519" spans="1:59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L519" s="27" t="s">
        <v>7</v>
      </c>
      <c r="M519" s="27" t="s">
        <v>8</v>
      </c>
      <c r="N519" s="27" t="s">
        <v>7</v>
      </c>
      <c r="O519" s="27" t="s">
        <v>8</v>
      </c>
      <c r="T519" s="27" t="s">
        <v>7</v>
      </c>
      <c r="U519" s="27" t="s">
        <v>8</v>
      </c>
      <c r="X519" s="27" t="s">
        <v>7</v>
      </c>
      <c r="Y519" s="27" t="s">
        <v>8</v>
      </c>
      <c r="AA519" s="27" t="s">
        <v>8</v>
      </c>
      <c r="AG519" s="27" t="s">
        <v>8</v>
      </c>
      <c r="AH519" s="27" t="s">
        <v>7</v>
      </c>
      <c r="AI519" s="27" t="s">
        <v>8</v>
      </c>
      <c r="AJ519" s="27" t="s">
        <v>7</v>
      </c>
      <c r="AK519" s="27" t="s">
        <v>8</v>
      </c>
      <c r="AL519" s="27" t="s">
        <v>7</v>
      </c>
      <c r="AQ519" s="27" t="s">
        <v>8</v>
      </c>
      <c r="BC519" s="27" t="s">
        <v>8</v>
      </c>
      <c r="BD519" s="27" t="s">
        <v>7</v>
      </c>
      <c r="BE519" s="27" t="s">
        <v>8</v>
      </c>
    </row>
    <row r="520" spans="1:59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L520" s="27" t="s">
        <v>7</v>
      </c>
      <c r="M520" s="27" t="s">
        <v>8</v>
      </c>
      <c r="N520" s="27" t="s">
        <v>7</v>
      </c>
      <c r="O520" s="27" t="s">
        <v>8</v>
      </c>
      <c r="T520" s="27" t="s">
        <v>7</v>
      </c>
      <c r="U520" s="27" t="s">
        <v>8</v>
      </c>
      <c r="X520" s="27" t="s">
        <v>7</v>
      </c>
      <c r="Y520" s="27" t="s">
        <v>8</v>
      </c>
      <c r="Z520" s="27" t="s">
        <v>7</v>
      </c>
      <c r="AA520" s="27" t="s">
        <v>8</v>
      </c>
      <c r="AB520" s="27" t="s">
        <v>7</v>
      </c>
      <c r="AC520" s="27" t="s">
        <v>8</v>
      </c>
      <c r="AG520" s="27" t="s">
        <v>8</v>
      </c>
      <c r="AH520" s="27" t="s">
        <v>7</v>
      </c>
      <c r="AI520" s="27" t="s">
        <v>8</v>
      </c>
      <c r="AJ520" s="27" t="s">
        <v>7</v>
      </c>
      <c r="AL520" s="27" t="s">
        <v>7</v>
      </c>
      <c r="AO520" s="27" t="s">
        <v>8</v>
      </c>
      <c r="AQ520" s="27" t="s">
        <v>8</v>
      </c>
      <c r="AR520" s="27" t="s">
        <v>7</v>
      </c>
      <c r="BC520" s="27" t="s">
        <v>8</v>
      </c>
      <c r="BD520" s="27" t="s">
        <v>7</v>
      </c>
      <c r="BE520" s="27" t="s">
        <v>8</v>
      </c>
    </row>
    <row r="521" spans="1:59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L521" s="27" t="s">
        <v>7</v>
      </c>
      <c r="N521" s="27" t="s">
        <v>7</v>
      </c>
      <c r="O521" s="27" t="s">
        <v>8</v>
      </c>
      <c r="T521" s="27" t="s">
        <v>7</v>
      </c>
      <c r="X521" s="27" t="s">
        <v>7</v>
      </c>
      <c r="Y521" s="27" t="s">
        <v>8</v>
      </c>
      <c r="Z521" s="27" t="s">
        <v>7</v>
      </c>
      <c r="AA521" s="27" t="s">
        <v>8</v>
      </c>
      <c r="AB521" s="27" t="s">
        <v>7</v>
      </c>
      <c r="AC521" s="27" t="s">
        <v>8</v>
      </c>
      <c r="AD521" s="27" t="s">
        <v>7</v>
      </c>
      <c r="AE521" s="27" t="s">
        <v>8</v>
      </c>
      <c r="AG521" s="27" t="s">
        <v>8</v>
      </c>
      <c r="AH521" s="27" t="s">
        <v>7</v>
      </c>
      <c r="AI521" s="27" t="s">
        <v>8</v>
      </c>
      <c r="AL521" s="27" t="s">
        <v>7</v>
      </c>
      <c r="AM521" s="27" t="s">
        <v>8</v>
      </c>
      <c r="AO521" s="27" t="s">
        <v>8</v>
      </c>
      <c r="AP521" s="27" t="s">
        <v>7</v>
      </c>
      <c r="AQ521" s="27" t="s">
        <v>8</v>
      </c>
      <c r="AR521" s="27" t="s">
        <v>7</v>
      </c>
      <c r="BC521" s="27" t="s">
        <v>8</v>
      </c>
      <c r="BD521" s="27" t="s">
        <v>7</v>
      </c>
      <c r="BE521" s="27" t="s">
        <v>8</v>
      </c>
    </row>
    <row r="522" spans="1:59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N522" s="27" t="s">
        <v>7</v>
      </c>
      <c r="O522" s="27" t="s">
        <v>8</v>
      </c>
      <c r="X522" s="27" t="s">
        <v>7</v>
      </c>
      <c r="Z522" s="27" t="s">
        <v>7</v>
      </c>
      <c r="AA522" s="27" t="s">
        <v>8</v>
      </c>
      <c r="AB522" s="27" t="s">
        <v>7</v>
      </c>
      <c r="AC522" s="27" t="s">
        <v>8</v>
      </c>
      <c r="AD522" s="27" t="s">
        <v>7</v>
      </c>
      <c r="AE522" s="27" t="s">
        <v>8</v>
      </c>
      <c r="AF522" s="27" t="s">
        <v>7</v>
      </c>
      <c r="AG522" s="27" t="s">
        <v>8</v>
      </c>
      <c r="AH522" s="27" t="s">
        <v>7</v>
      </c>
      <c r="AI522" s="27" t="s">
        <v>8</v>
      </c>
      <c r="AL522" s="27" t="s">
        <v>7</v>
      </c>
      <c r="AM522" s="27" t="s">
        <v>8</v>
      </c>
      <c r="AN522" s="27" t="s">
        <v>7</v>
      </c>
      <c r="AO522" s="27" t="s">
        <v>8</v>
      </c>
      <c r="AP522" s="27" t="s">
        <v>7</v>
      </c>
      <c r="AQ522" s="27" t="s">
        <v>8</v>
      </c>
      <c r="AR522" s="27" t="s">
        <v>7</v>
      </c>
      <c r="BC522" s="27" t="s">
        <v>8</v>
      </c>
      <c r="BD522" s="27" t="s">
        <v>7</v>
      </c>
      <c r="BE522" s="27" t="s">
        <v>8</v>
      </c>
    </row>
    <row r="523" spans="1:59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N523" s="27" t="s">
        <v>7</v>
      </c>
      <c r="O523" s="27" t="s">
        <v>8</v>
      </c>
      <c r="Z523" s="27" t="s">
        <v>7</v>
      </c>
      <c r="AA523" s="27" t="s">
        <v>8</v>
      </c>
      <c r="AB523" s="27" t="s">
        <v>7</v>
      </c>
      <c r="AC523" s="27" t="s">
        <v>8</v>
      </c>
      <c r="AD523" s="27" t="s">
        <v>7</v>
      </c>
      <c r="AE523" s="27" t="s">
        <v>8</v>
      </c>
      <c r="AF523" s="27" t="s">
        <v>7</v>
      </c>
      <c r="AG523" s="27" t="s">
        <v>8</v>
      </c>
      <c r="AH523" s="27" t="s">
        <v>7</v>
      </c>
      <c r="AL523" s="27" t="s">
        <v>7</v>
      </c>
      <c r="AM523" s="27" t="s">
        <v>8</v>
      </c>
      <c r="AN523" s="27" t="s">
        <v>7</v>
      </c>
      <c r="AO523" s="27" t="s">
        <v>8</v>
      </c>
      <c r="AP523" s="27" t="s">
        <v>7</v>
      </c>
      <c r="AQ523" s="27" t="s">
        <v>8</v>
      </c>
      <c r="AR523" s="27" t="s">
        <v>7</v>
      </c>
      <c r="AW523" s="27" t="s">
        <v>8</v>
      </c>
      <c r="BC523" s="27" t="s">
        <v>8</v>
      </c>
      <c r="BD523" s="27" t="s">
        <v>7</v>
      </c>
      <c r="BE523" s="27" t="s">
        <v>8</v>
      </c>
    </row>
    <row r="524" spans="1:59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N524" s="27" t="s">
        <v>7</v>
      </c>
      <c r="O524" s="27" t="s">
        <v>8</v>
      </c>
      <c r="Z524" s="27" t="s">
        <v>7</v>
      </c>
      <c r="AA524" s="27" t="s">
        <v>8</v>
      </c>
      <c r="AB524" s="27" t="s">
        <v>7</v>
      </c>
      <c r="AC524" s="27" t="s">
        <v>8</v>
      </c>
      <c r="AD524" s="27" t="s">
        <v>7</v>
      </c>
      <c r="AE524" s="27" t="s">
        <v>8</v>
      </c>
      <c r="AF524" s="27" t="s">
        <v>7</v>
      </c>
      <c r="AG524" s="27" t="s">
        <v>8</v>
      </c>
      <c r="AL524" s="27" t="s">
        <v>7</v>
      </c>
      <c r="AM524" s="27" t="s">
        <v>8</v>
      </c>
      <c r="AN524" s="27" t="s">
        <v>7</v>
      </c>
      <c r="AP524" s="27" t="s">
        <v>7</v>
      </c>
      <c r="AR524" s="27" t="s">
        <v>7</v>
      </c>
      <c r="AW524" s="27" t="s">
        <v>8</v>
      </c>
      <c r="AX524" s="27" t="s">
        <v>7</v>
      </c>
      <c r="BC524" s="27" t="s">
        <v>8</v>
      </c>
      <c r="BD524" s="27" t="s">
        <v>7</v>
      </c>
      <c r="BE524" s="27" t="s">
        <v>8</v>
      </c>
    </row>
    <row r="525" spans="1:59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N525" s="27" t="s">
        <v>7</v>
      </c>
      <c r="O525" s="27" t="s">
        <v>8</v>
      </c>
      <c r="Z525" s="27" t="s">
        <v>7</v>
      </c>
      <c r="AA525" s="27" t="s">
        <v>8</v>
      </c>
      <c r="AB525" s="27" t="s">
        <v>7</v>
      </c>
      <c r="AC525" s="27" t="s">
        <v>8</v>
      </c>
      <c r="AD525" s="27" t="s">
        <v>7</v>
      </c>
      <c r="AE525" s="27" t="s">
        <v>8</v>
      </c>
      <c r="AF525" s="27" t="s">
        <v>7</v>
      </c>
      <c r="AL525" s="27" t="s">
        <v>7</v>
      </c>
      <c r="AM525" s="27" t="s">
        <v>8</v>
      </c>
      <c r="AR525" s="27" t="s">
        <v>7</v>
      </c>
      <c r="AU525" s="27" t="s">
        <v>8</v>
      </c>
      <c r="AW525" s="27" t="s">
        <v>8</v>
      </c>
      <c r="AX525" s="27" t="s">
        <v>7</v>
      </c>
      <c r="BC525" s="27" t="s">
        <v>8</v>
      </c>
      <c r="BD525" s="27" t="s">
        <v>7</v>
      </c>
      <c r="BE525" s="27" t="s">
        <v>8</v>
      </c>
    </row>
    <row r="526" spans="1:59" x14ac:dyDescent="0.25">
      <c r="A526" s="7">
        <v>3.3466514041327216</v>
      </c>
      <c r="B526"/>
      <c r="C526"/>
      <c r="D526"/>
      <c r="E526" t="s">
        <v>8</v>
      </c>
      <c r="N526" s="27" t="s">
        <v>7</v>
      </c>
      <c r="O526" s="27" t="s">
        <v>8</v>
      </c>
      <c r="Z526" s="27" t="s">
        <v>7</v>
      </c>
      <c r="AA526" s="27" t="s">
        <v>8</v>
      </c>
      <c r="AB526" s="27" t="s">
        <v>7</v>
      </c>
      <c r="AC526" s="27" t="s">
        <v>8</v>
      </c>
      <c r="AD526" s="27" t="s">
        <v>7</v>
      </c>
      <c r="AL526" s="27" t="s">
        <v>7</v>
      </c>
      <c r="AM526" s="27" t="s">
        <v>8</v>
      </c>
      <c r="AR526" s="27" t="s">
        <v>7</v>
      </c>
      <c r="AS526" s="27" t="s">
        <v>8</v>
      </c>
      <c r="AU526" s="27" t="s">
        <v>8</v>
      </c>
      <c r="AV526" s="27" t="s">
        <v>7</v>
      </c>
      <c r="AW526" s="27" t="s">
        <v>8</v>
      </c>
      <c r="AX526" s="27" t="s">
        <v>7</v>
      </c>
      <c r="BC526" s="27" t="s">
        <v>8</v>
      </c>
      <c r="BD526" s="27" t="s">
        <v>7</v>
      </c>
      <c r="BE526" s="27" t="s">
        <v>8</v>
      </c>
    </row>
    <row r="527" spans="1:59" x14ac:dyDescent="0.25">
      <c r="A527" s="7">
        <v>3.2810307883654133</v>
      </c>
      <c r="B527"/>
      <c r="C527"/>
      <c r="D527"/>
      <c r="E527" t="s">
        <v>8</v>
      </c>
      <c r="N527" s="27" t="s">
        <v>7</v>
      </c>
      <c r="O527" s="27" t="s">
        <v>8</v>
      </c>
      <c r="Z527" s="27" t="s">
        <v>7</v>
      </c>
      <c r="AA527" s="27" t="s">
        <v>8</v>
      </c>
      <c r="AB527" s="27" t="s">
        <v>7</v>
      </c>
      <c r="AL527" s="27" t="s">
        <v>7</v>
      </c>
      <c r="AR527" s="27" t="s">
        <v>7</v>
      </c>
      <c r="AS527" s="27" t="s">
        <v>8</v>
      </c>
      <c r="AT527" s="27" t="s">
        <v>7</v>
      </c>
      <c r="AU527" s="27" t="s">
        <v>8</v>
      </c>
      <c r="AV527" s="27" t="s">
        <v>7</v>
      </c>
      <c r="AW527" s="27" t="s">
        <v>8</v>
      </c>
      <c r="AX527" s="27" t="s">
        <v>7</v>
      </c>
      <c r="BC527" s="27" t="s">
        <v>8</v>
      </c>
      <c r="BD527" s="27" t="s">
        <v>7</v>
      </c>
    </row>
    <row r="528" spans="1:59" x14ac:dyDescent="0.25">
      <c r="A528" s="7">
        <v>3.2166968513386403</v>
      </c>
      <c r="B528"/>
      <c r="C528"/>
      <c r="D528"/>
      <c r="E528" t="s">
        <v>8</v>
      </c>
      <c r="N528" s="27" t="s">
        <v>7</v>
      </c>
      <c r="Z528" s="27" t="s">
        <v>7</v>
      </c>
      <c r="AA528" s="27" t="s">
        <v>8</v>
      </c>
      <c r="AR528" s="27" t="s">
        <v>7</v>
      </c>
      <c r="AS528" s="27" t="s">
        <v>8</v>
      </c>
      <c r="AT528" s="27" t="s">
        <v>7</v>
      </c>
      <c r="AU528" s="27" t="s">
        <v>8</v>
      </c>
      <c r="AV528" s="27" t="s">
        <v>7</v>
      </c>
      <c r="AW528" s="27" t="s">
        <v>8</v>
      </c>
      <c r="AX528" s="27" t="s">
        <v>7</v>
      </c>
      <c r="BC528" s="27" t="s">
        <v>8</v>
      </c>
    </row>
    <row r="529" spans="1:55" x14ac:dyDescent="0.25">
      <c r="A529" s="7">
        <v>3.1536243640574906</v>
      </c>
      <c r="B529"/>
      <c r="C529"/>
      <c r="D529"/>
      <c r="E529" t="s">
        <v>8</v>
      </c>
      <c r="Z529" s="27" t="s">
        <v>7</v>
      </c>
      <c r="AA529" s="27" t="s">
        <v>8</v>
      </c>
      <c r="AR529" s="27" t="s">
        <v>7</v>
      </c>
      <c r="AS529" s="27" t="s">
        <v>8</v>
      </c>
      <c r="AT529" s="27" t="s">
        <v>7</v>
      </c>
      <c r="AU529" s="27" t="s">
        <v>8</v>
      </c>
      <c r="AV529" s="27" t="s">
        <v>7</v>
      </c>
      <c r="AW529" s="27" t="s">
        <v>8</v>
      </c>
      <c r="AX529" s="27" t="s">
        <v>7</v>
      </c>
      <c r="BC529" s="27" t="s">
        <v>8</v>
      </c>
    </row>
    <row r="530" spans="1:55" x14ac:dyDescent="0.25">
      <c r="A530" s="7">
        <v>3.0917885922132262</v>
      </c>
      <c r="B530"/>
      <c r="C530"/>
      <c r="D530"/>
      <c r="E530" t="s">
        <v>8</v>
      </c>
      <c r="Z530" s="27" t="s">
        <v>7</v>
      </c>
      <c r="AA530" s="27" t="s">
        <v>8</v>
      </c>
      <c r="AR530" s="27" t="s">
        <v>7</v>
      </c>
      <c r="AS530" s="27" t="s">
        <v>8</v>
      </c>
      <c r="AT530" s="27" t="s">
        <v>7</v>
      </c>
      <c r="AU530" s="27" t="s">
        <v>8</v>
      </c>
      <c r="AV530" s="27" t="s">
        <v>7</v>
      </c>
      <c r="AX530" s="27" t="s">
        <v>7</v>
      </c>
      <c r="AY530" s="27" t="s">
        <v>8</v>
      </c>
      <c r="BC530" s="27" t="s">
        <v>8</v>
      </c>
    </row>
    <row r="531" spans="1:55" x14ac:dyDescent="0.25">
      <c r="A531" s="7">
        <v>3.0311652864835552</v>
      </c>
      <c r="B531"/>
      <c r="C531"/>
      <c r="D531"/>
      <c r="E531" t="s">
        <v>8</v>
      </c>
      <c r="Z531" s="27" t="s">
        <v>7</v>
      </c>
      <c r="AR531" s="27" t="s">
        <v>7</v>
      </c>
      <c r="AS531" s="27" t="s">
        <v>8</v>
      </c>
      <c r="AT531" s="27" t="s">
        <v>7</v>
      </c>
      <c r="AX531" s="27" t="s">
        <v>7</v>
      </c>
      <c r="AY531" s="27" t="s">
        <v>8</v>
      </c>
      <c r="AZ531" s="27" t="s">
        <v>7</v>
      </c>
      <c r="BA531" s="27" t="s">
        <v>8</v>
      </c>
      <c r="BC531" s="27" t="s">
        <v>8</v>
      </c>
    </row>
    <row r="532" spans="1:55" x14ac:dyDescent="0.25">
      <c r="A532" s="7">
        <v>2.9717306730230932</v>
      </c>
      <c r="B532"/>
      <c r="C532"/>
      <c r="D532"/>
      <c r="E532" t="s">
        <v>8</v>
      </c>
      <c r="AR532" s="27" t="s">
        <v>7</v>
      </c>
      <c r="AS532" s="27" t="s">
        <v>8</v>
      </c>
      <c r="AX532" s="27" t="s">
        <v>7</v>
      </c>
      <c r="AY532" s="27" t="s">
        <v>8</v>
      </c>
      <c r="AZ532" s="27" t="s">
        <v>7</v>
      </c>
      <c r="BA532" s="27" t="s">
        <v>8</v>
      </c>
      <c r="BB532" s="27" t="s">
        <v>7</v>
      </c>
      <c r="BC532" s="27" t="s">
        <v>8</v>
      </c>
    </row>
    <row r="533" spans="1:55" x14ac:dyDescent="0.25">
      <c r="A533" s="7">
        <v>2.9134614441402875</v>
      </c>
      <c r="B533"/>
      <c r="C533"/>
      <c r="D533"/>
      <c r="E533" t="s">
        <v>8</v>
      </c>
      <c r="AR533" s="27" t="s">
        <v>7</v>
      </c>
      <c r="AS533" s="27" t="s">
        <v>8</v>
      </c>
      <c r="AX533" s="27" t="s">
        <v>7</v>
      </c>
      <c r="AY533" s="27" t="s">
        <v>8</v>
      </c>
      <c r="AZ533" s="27" t="s">
        <v>7</v>
      </c>
      <c r="BA533" s="27" t="s">
        <v>8</v>
      </c>
      <c r="BB533" s="27" t="s">
        <v>7</v>
      </c>
      <c r="BC533" s="27" t="s">
        <v>8</v>
      </c>
    </row>
    <row r="534" spans="1:55" x14ac:dyDescent="0.25">
      <c r="A534" s="7">
        <v>2.8563347491571447</v>
      </c>
      <c r="B534"/>
      <c r="C534"/>
      <c r="D534"/>
      <c r="E534" t="s">
        <v>8</v>
      </c>
      <c r="AR534" s="27" t="s">
        <v>7</v>
      </c>
      <c r="AS534" s="27" t="s">
        <v>8</v>
      </c>
      <c r="AX534" s="27" t="s">
        <v>7</v>
      </c>
      <c r="AY534" s="27" t="s">
        <v>8</v>
      </c>
      <c r="AZ534" s="27" t="s">
        <v>7</v>
      </c>
      <c r="BB534" s="27" t="s">
        <v>7</v>
      </c>
      <c r="BC534" s="27" t="s">
        <v>8</v>
      </c>
    </row>
    <row r="535" spans="1:55" x14ac:dyDescent="0.25">
      <c r="A535" s="7">
        <v>2.8003281854481812</v>
      </c>
      <c r="B535"/>
      <c r="C535"/>
      <c r="D535"/>
      <c r="E535" t="s">
        <v>8</v>
      </c>
      <c r="AR535" s="27" t="s">
        <v>7</v>
      </c>
      <c r="AX535" s="27" t="s">
        <v>7</v>
      </c>
      <c r="BB535" s="27" t="s">
        <v>7</v>
      </c>
    </row>
    <row r="536" spans="1:55" x14ac:dyDescent="0.25">
      <c r="A536" s="7">
        <v>2.7454197896550796</v>
      </c>
      <c r="B536"/>
      <c r="C536"/>
      <c r="D536"/>
      <c r="E536" t="s">
        <v>8</v>
      </c>
    </row>
    <row r="537" spans="1:55" x14ac:dyDescent="0.25">
      <c r="A537" s="7">
        <v>2.6915880290736074</v>
      </c>
      <c r="B537"/>
      <c r="C537"/>
      <c r="D537"/>
      <c r="E537" t="s">
        <v>8</v>
      </c>
    </row>
    <row r="538" spans="1:55" x14ac:dyDescent="0.25">
      <c r="A538" s="7">
        <v>2.6388117932094191</v>
      </c>
      <c r="B538"/>
      <c r="C538"/>
      <c r="D538"/>
      <c r="E538" t="s">
        <v>8</v>
      </c>
    </row>
    <row r="539" spans="1:55" x14ac:dyDescent="0.25">
      <c r="A539" s="7">
        <v>2.5870703854994304</v>
      </c>
      <c r="B539"/>
      <c r="C539"/>
      <c r="D539"/>
      <c r="E539" t="s">
        <v>8</v>
      </c>
    </row>
    <row r="540" spans="1:55" x14ac:dyDescent="0.25">
      <c r="A540" s="7">
        <v>2.53634351519552</v>
      </c>
      <c r="B540"/>
      <c r="C540"/>
      <c r="D540"/>
      <c r="E540" t="s">
        <v>8</v>
      </c>
    </row>
    <row r="541" spans="1:55" x14ac:dyDescent="0.25">
      <c r="A541" s="7">
        <v>2.4866112894073726</v>
      </c>
      <c r="B541"/>
      <c r="C541"/>
      <c r="D541"/>
      <c r="E541" t="s">
        <v>8</v>
      </c>
    </row>
    <row r="542" spans="1:55" x14ac:dyDescent="0.25">
      <c r="A542" s="7">
        <v>2.4378542053013459</v>
      </c>
      <c r="B542"/>
      <c r="C542"/>
      <c r="D542"/>
      <c r="E542" t="s">
        <v>8</v>
      </c>
    </row>
    <row r="543" spans="1:55" x14ac:dyDescent="0.25">
      <c r="A543" s="7">
        <v>2.3900531424522997</v>
      </c>
      <c r="B543"/>
      <c r="C543"/>
      <c r="D543"/>
      <c r="E543" t="s">
        <v>8</v>
      </c>
    </row>
    <row r="544" spans="1:5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8" operator="equal">
      <formula>$U$1</formula>
    </cfRule>
    <cfRule type="cellIs" dxfId="89" priority="899" operator="equal">
      <formula>$S$1</formula>
    </cfRule>
  </conditionalFormatting>
  <conditionalFormatting sqref="D27">
    <cfRule type="cellIs" dxfId="88" priority="896" operator="equal">
      <formula>$S$1</formula>
    </cfRule>
    <cfRule type="cellIs" dxfId="87" priority="897" operator="equal">
      <formula>$U$1</formula>
    </cfRule>
  </conditionalFormatting>
  <conditionalFormatting sqref="C164">
    <cfRule type="cellIs" dxfId="86" priority="894" operator="equal">
      <formula>$U$1</formula>
    </cfRule>
    <cfRule type="cellIs" dxfId="85" priority="895" operator="equal">
      <formula>$S$1</formula>
    </cfRule>
  </conditionalFormatting>
  <conditionalFormatting sqref="D164">
    <cfRule type="cellIs" dxfId="84" priority="892" operator="equal">
      <formula>$S$1</formula>
    </cfRule>
    <cfRule type="cellIs" dxfId="83" priority="893" operator="equal">
      <formula>$U$1</formula>
    </cfRule>
  </conditionalFormatting>
  <conditionalFormatting sqref="C55">
    <cfRule type="cellIs" dxfId="82" priority="890" operator="equal">
      <formula>$U$1</formula>
    </cfRule>
    <cfRule type="cellIs" dxfId="81" priority="891" operator="equal">
      <formula>$S$1</formula>
    </cfRule>
  </conditionalFormatting>
  <conditionalFormatting sqref="D55">
    <cfRule type="cellIs" dxfId="80" priority="888" operator="equal">
      <formula>$S$1</formula>
    </cfRule>
    <cfRule type="cellIs" dxfId="79" priority="889" operator="equal">
      <formula>$U$1</formula>
    </cfRule>
  </conditionalFormatting>
  <conditionalFormatting sqref="C89">
    <cfRule type="cellIs" dxfId="78" priority="886" operator="equal">
      <formula>$U$1</formula>
    </cfRule>
    <cfRule type="cellIs" dxfId="77" priority="887" operator="equal">
      <formula>$S$1</formula>
    </cfRule>
  </conditionalFormatting>
  <conditionalFormatting sqref="D89">
    <cfRule type="cellIs" dxfId="76" priority="884" operator="equal">
      <formula>$S$1</formula>
    </cfRule>
    <cfRule type="cellIs" dxfId="75" priority="885" operator="equal">
      <formula>$U$1</formula>
    </cfRule>
  </conditionalFormatting>
  <conditionalFormatting sqref="C136">
    <cfRule type="cellIs" dxfId="74" priority="882" operator="equal">
      <formula>$U$1</formula>
    </cfRule>
    <cfRule type="cellIs" dxfId="73" priority="883" operator="equal">
      <formula>$S$1</formula>
    </cfRule>
  </conditionalFormatting>
  <conditionalFormatting sqref="D136">
    <cfRule type="cellIs" dxfId="72" priority="880" operator="equal">
      <formula>$S$1</formula>
    </cfRule>
    <cfRule type="cellIs" dxfId="71" priority="881" operator="equal">
      <formula>$U$1</formula>
    </cfRule>
  </conditionalFormatting>
  <conditionalFormatting sqref="C1">
    <cfRule type="cellIs" dxfId="70" priority="87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34" zoomScale="90" zoomScaleNormal="90" workbookViewId="0">
      <pane xSplit="4" topLeftCell="BI1" activePane="topRight" state="frozen"/>
      <selection activeCell="A109" sqref="A109"/>
      <selection pane="topRight" activeCell="DS152" sqref="DS1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$A$151</v>
      </c>
      <c r="D111" s="1" t="str">
        <f>ADDRESS(C121-1,D121,1,1)</f>
        <v>$DS$151</v>
      </c>
      <c r="E111"/>
    </row>
    <row r="112" spans="1:5" x14ac:dyDescent="0.25">
      <c r="A112" s="30">
        <v>515.50191262726139</v>
      </c>
      <c r="C112" s="1" t="str">
        <f>ADDRESS(C121,1,1,1)</f>
        <v>$A$152</v>
      </c>
      <c r="D112" s="1" t="str">
        <f>ADDRESS(C121,D121-1,1,1)</f>
        <v>$DR$152</v>
      </c>
      <c r="E112"/>
    </row>
    <row r="113" spans="1:5" x14ac:dyDescent="0.25">
      <c r="A113" s="30">
        <v>490.95420250215363</v>
      </c>
      <c r="C113" s="1" t="str">
        <f>ADDRESS(C121+1,1,1,1)</f>
        <v>$A$153</v>
      </c>
      <c r="D113" s="1" t="str">
        <f>ADDRESS(C121-1,D121+1,1,1)</f>
        <v>$DT$151</v>
      </c>
    </row>
    <row r="114" spans="1:5" x14ac:dyDescent="0.25">
      <c r="A114" s="30">
        <v>467.57543095443202</v>
      </c>
      <c r="C114" s="1" t="str">
        <f>ADDRESS(C121,D121,1,1)</f>
        <v>$DS$152</v>
      </c>
      <c r="D114" s="1" t="str">
        <f>ADDRESS(C121+1,D121+1,1,1)</f>
        <v>$DT$153</v>
      </c>
    </row>
    <row r="115" spans="1:5" x14ac:dyDescent="0.25">
      <c r="A115" s="30">
        <v>445.30993424231622</v>
      </c>
      <c r="C115" s="1" t="str">
        <f>ADDRESS(C121+1,D121,1,1)</f>
        <v>$DS$153</v>
      </c>
    </row>
    <row r="116" spans="1:5" x14ac:dyDescent="0.25">
      <c r="A116" s="30">
        <v>424.10469927839637</v>
      </c>
      <c r="C116" s="1">
        <f>C117-1</f>
        <v>151</v>
      </c>
    </row>
    <row r="117" spans="1:5" x14ac:dyDescent="0.25">
      <c r="A117" s="30">
        <v>403.9092374079965</v>
      </c>
      <c r="C117" s="1">
        <f>C121</f>
        <v>152</v>
      </c>
      <c r="D117" s="1">
        <f>D121</f>
        <v>123</v>
      </c>
    </row>
    <row r="118" spans="1:5" x14ac:dyDescent="0.25">
      <c r="A118" s="30">
        <v>384.6754641980919</v>
      </c>
      <c r="C118" s="1">
        <f>C117+1</f>
        <v>153</v>
      </c>
      <c r="D118" s="1">
        <f>D117+1</f>
        <v>124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152</v>
      </c>
      <c r="D121" s="19">
        <v>123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R152</v>
      </c>
      <c r="D123" s="1" t="str">
        <f>"C"&amp;D121</f>
        <v>C123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73.22482090623744</v>
      </c>
      <c r="D127"/>
    </row>
    <row r="128" spans="1:5" x14ac:dyDescent="0.25">
      <c r="A128" s="30">
        <v>236.15736578315241</v>
      </c>
    </row>
    <row r="129" spans="1:118" x14ac:dyDescent="0.25">
      <c r="A129" s="30">
        <v>224.91177693633563</v>
      </c>
      <c r="C129" s="1" t="s">
        <v>11</v>
      </c>
      <c r="D129" s="1" t="s">
        <v>12</v>
      </c>
      <c r="E129"/>
    </row>
    <row r="130" spans="1:118" x14ac:dyDescent="0.25">
      <c r="A130" s="30">
        <v>214.20169232031964</v>
      </c>
      <c r="C130" s="6"/>
      <c r="D130" s="6"/>
      <c r="E130"/>
    </row>
    <row r="131" spans="1:118" x14ac:dyDescent="0.25">
      <c r="A131" s="30">
        <v>204.00161173363773</v>
      </c>
      <c r="E131"/>
    </row>
    <row r="132" spans="1:118" x14ac:dyDescent="0.25">
      <c r="A132" s="30">
        <v>194.28724927013116</v>
      </c>
      <c r="C132" s="1" t="s">
        <v>13</v>
      </c>
      <c r="E132"/>
    </row>
    <row r="133" spans="1:118" x14ac:dyDescent="0.25">
      <c r="A133" s="30">
        <v>185.03547549536299</v>
      </c>
      <c r="C133" s="1" t="str">
        <f>C122</f>
        <v>X</v>
      </c>
      <c r="E133"/>
    </row>
    <row r="134" spans="1:118" x14ac:dyDescent="0.25">
      <c r="A134" s="30">
        <v>176.22426237653616</v>
      </c>
      <c r="C134"/>
      <c r="E134"/>
    </row>
    <row r="135" spans="1:118" x14ac:dyDescent="0.25">
      <c r="A135" s="30">
        <v>167.83263083479633</v>
      </c>
      <c r="C135" s="1" t="s">
        <v>14</v>
      </c>
      <c r="E135"/>
    </row>
    <row r="136" spans="1:118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118" x14ac:dyDescent="0.25">
      <c r="A137" s="30">
        <v>152.22914361432771</v>
      </c>
      <c r="E137"/>
    </row>
    <row r="138" spans="1:118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DE138" s="27" t="s">
        <v>8</v>
      </c>
    </row>
    <row r="139" spans="1:118" x14ac:dyDescent="0.25">
      <c r="A139" s="30">
        <v>138.07632073861922</v>
      </c>
      <c r="E139"/>
      <c r="DE139" s="27" t="s">
        <v>8</v>
      </c>
      <c r="DF139" s="27" t="s">
        <v>7</v>
      </c>
    </row>
    <row r="140" spans="1:118" x14ac:dyDescent="0.25">
      <c r="A140" s="30">
        <v>131.50125784630401</v>
      </c>
      <c r="C140" s="1">
        <v>0</v>
      </c>
      <c r="E140"/>
      <c r="DE140" s="27" t="s">
        <v>8</v>
      </c>
      <c r="DF140" s="27" t="s">
        <v>7</v>
      </c>
    </row>
    <row r="141" spans="1:118" x14ac:dyDescent="0.25">
      <c r="A141" s="30">
        <v>125.23929318695619</v>
      </c>
      <c r="C141" s="1">
        <v>1</v>
      </c>
      <c r="E141"/>
      <c r="DE141" s="27" t="s">
        <v>8</v>
      </c>
      <c r="DF141" s="27" t="s">
        <v>7</v>
      </c>
      <c r="DG141" s="27" t="s">
        <v>8</v>
      </c>
      <c r="DM141" s="27" t="s">
        <v>8</v>
      </c>
    </row>
    <row r="142" spans="1:118" x14ac:dyDescent="0.25">
      <c r="A142" s="30">
        <v>119.27551732091065</v>
      </c>
      <c r="C142" s="1">
        <v>2</v>
      </c>
      <c r="E142"/>
      <c r="DE142" s="27" t="s">
        <v>8</v>
      </c>
      <c r="DF142" s="27" t="s">
        <v>7</v>
      </c>
      <c r="DG142" s="27" t="s">
        <v>8</v>
      </c>
      <c r="DH142" s="27" t="s">
        <v>7</v>
      </c>
      <c r="DM142" s="27" t="s">
        <v>8</v>
      </c>
      <c r="DN142" s="27" t="s">
        <v>7</v>
      </c>
    </row>
    <row r="143" spans="1:118" x14ac:dyDescent="0.25">
      <c r="A143" s="30">
        <v>113.59573078181967</v>
      </c>
      <c r="C143" s="1">
        <v>3</v>
      </c>
      <c r="E143"/>
      <c r="DE143" s="27" t="s">
        <v>8</v>
      </c>
      <c r="DF143" s="27" t="s">
        <v>7</v>
      </c>
      <c r="DG143" s="27" t="s">
        <v>8</v>
      </c>
      <c r="DH143" s="27" t="s">
        <v>7</v>
      </c>
      <c r="DM143" s="27" t="s">
        <v>8</v>
      </c>
      <c r="DN143" s="27" t="s">
        <v>7</v>
      </c>
    </row>
    <row r="144" spans="1:118" x14ac:dyDescent="0.25">
      <c r="A144" s="30">
        <v>108.18641026839968</v>
      </c>
      <c r="C144" s="1">
        <v>4</v>
      </c>
      <c r="E144"/>
      <c r="DC144" s="27" t="s">
        <v>8</v>
      </c>
      <c r="DE144" s="27" t="s">
        <v>8</v>
      </c>
      <c r="DF144" s="27" t="s">
        <v>7</v>
      </c>
      <c r="DG144" s="27" t="s">
        <v>8</v>
      </c>
      <c r="DH144" s="27" t="s">
        <v>7</v>
      </c>
      <c r="DM144" s="27" t="s">
        <v>8</v>
      </c>
      <c r="DN144" s="27" t="s">
        <v>7</v>
      </c>
    </row>
    <row r="145" spans="1:127" x14ac:dyDescent="0.25">
      <c r="A145" s="30">
        <v>103.03467644609493</v>
      </c>
      <c r="E145"/>
      <c r="DC145" s="27" t="s">
        <v>8</v>
      </c>
      <c r="DD145" s="27" t="s">
        <v>7</v>
      </c>
      <c r="DE145" s="27" t="s">
        <v>8</v>
      </c>
      <c r="DF145" s="27" t="s">
        <v>7</v>
      </c>
      <c r="DH145" s="27" t="s">
        <v>7</v>
      </c>
      <c r="DM145" s="27" t="s">
        <v>8</v>
      </c>
      <c r="DN145" s="27" t="s">
        <v>7</v>
      </c>
    </row>
    <row r="146" spans="1:127" x14ac:dyDescent="0.25">
      <c r="A146" s="30">
        <v>98.128263281995174</v>
      </c>
      <c r="E146"/>
      <c r="DA146" s="27" t="s">
        <v>8</v>
      </c>
      <c r="DC146" s="27" t="s">
        <v>8</v>
      </c>
      <c r="DD146" s="27" t="s">
        <v>7</v>
      </c>
      <c r="DE146" s="27" t="s">
        <v>8</v>
      </c>
      <c r="DH146" s="27" t="s">
        <v>7</v>
      </c>
      <c r="DM146" s="27" t="s">
        <v>8</v>
      </c>
      <c r="DN146" s="27" t="s">
        <v>7</v>
      </c>
    </row>
    <row r="147" spans="1:127" x14ac:dyDescent="0.25">
      <c r="A147" s="30">
        <v>93.455488839995397</v>
      </c>
      <c r="E147"/>
      <c r="CY147" s="27" t="s">
        <v>8</v>
      </c>
      <c r="DA147" s="27" t="s">
        <v>8</v>
      </c>
      <c r="DB147" s="27" t="s">
        <v>7</v>
      </c>
      <c r="DC147" s="27" t="s">
        <v>8</v>
      </c>
      <c r="DD147" s="27" t="s">
        <v>7</v>
      </c>
      <c r="DH147" s="27" t="s">
        <v>7</v>
      </c>
      <c r="DI147" s="27" t="s">
        <v>8</v>
      </c>
      <c r="DK147" s="27" t="s">
        <v>8</v>
      </c>
      <c r="DM147" s="27" t="s">
        <v>8</v>
      </c>
      <c r="DN147" s="27" t="s">
        <v>7</v>
      </c>
      <c r="DO147" s="27" t="s">
        <v>8</v>
      </c>
    </row>
    <row r="148" spans="1:127" x14ac:dyDescent="0.25">
      <c r="A148" s="30">
        <v>89.005227466662276</v>
      </c>
      <c r="E148"/>
      <c r="CY148" s="27" t="s">
        <v>8</v>
      </c>
      <c r="CZ148" s="27" t="s">
        <v>7</v>
      </c>
      <c r="DA148" s="27" t="s">
        <v>8</v>
      </c>
      <c r="DB148" s="27" t="s">
        <v>7</v>
      </c>
      <c r="DC148" s="27" t="s">
        <v>8</v>
      </c>
      <c r="DH148" s="31" t="s">
        <v>7</v>
      </c>
      <c r="DI148" s="27" t="s">
        <v>8</v>
      </c>
      <c r="DJ148" s="27" t="s">
        <v>7</v>
      </c>
      <c r="DK148" s="27" t="s">
        <v>8</v>
      </c>
      <c r="DL148" s="27" t="s">
        <v>7</v>
      </c>
      <c r="DM148" s="27" t="s">
        <v>8</v>
      </c>
      <c r="DN148" s="27" t="s">
        <v>7</v>
      </c>
      <c r="DO148" s="27" t="s">
        <v>8</v>
      </c>
      <c r="DP148" s="27" t="s">
        <v>7</v>
      </c>
    </row>
    <row r="149" spans="1:127" x14ac:dyDescent="0.25">
      <c r="A149" s="30">
        <v>84.766883301583121</v>
      </c>
      <c r="E149"/>
      <c r="CY149" s="27" t="s">
        <v>8</v>
      </c>
      <c r="CZ149" s="27" t="s">
        <v>7</v>
      </c>
      <c r="DA149" s="27" t="s">
        <v>8</v>
      </c>
      <c r="DB149" s="27" t="s">
        <v>7</v>
      </c>
      <c r="DG149" s="31"/>
      <c r="DH149" s="27" t="s">
        <v>7</v>
      </c>
      <c r="DI149" s="27" t="s">
        <v>8</v>
      </c>
      <c r="DJ149" s="27" t="s">
        <v>7</v>
      </c>
      <c r="DK149" s="27" t="s">
        <v>8</v>
      </c>
      <c r="DL149" s="27" t="s">
        <v>7</v>
      </c>
      <c r="DM149" s="27" t="s">
        <v>8</v>
      </c>
      <c r="DN149" s="27" t="s">
        <v>7</v>
      </c>
      <c r="DO149" s="27" t="s">
        <v>8</v>
      </c>
      <c r="DP149" s="27" t="s">
        <v>7</v>
      </c>
    </row>
    <row r="150" spans="1:127" x14ac:dyDescent="0.25">
      <c r="A150" s="30">
        <v>80.730365049126775</v>
      </c>
      <c r="E150"/>
      <c r="CY150" s="27" t="s">
        <v>8</v>
      </c>
      <c r="CZ150" s="27" t="s">
        <v>7</v>
      </c>
      <c r="DF150" s="31"/>
      <c r="DH150" s="27" t="s">
        <v>7</v>
      </c>
      <c r="DI150" s="27" t="s">
        <v>8</v>
      </c>
      <c r="DJ150" s="27" t="s">
        <v>7</v>
      </c>
      <c r="DL150" s="27" t="s">
        <v>7</v>
      </c>
      <c r="DM150" s="27" t="s">
        <v>8</v>
      </c>
      <c r="DN150" s="27" t="s">
        <v>7</v>
      </c>
      <c r="DP150" s="27" t="s">
        <v>7</v>
      </c>
    </row>
    <row r="151" spans="1:127" x14ac:dyDescent="0.25">
      <c r="A151" s="30">
        <v>76.886061951549308</v>
      </c>
      <c r="E151"/>
      <c r="CS151" s="27" t="s">
        <v>8</v>
      </c>
      <c r="CY151" s="27" t="s">
        <v>8</v>
      </c>
      <c r="DE151" s="31"/>
      <c r="DH151" s="27" t="s">
        <v>7</v>
      </c>
      <c r="DL151" s="27" t="s">
        <v>7</v>
      </c>
      <c r="DP151" s="27" t="s">
        <v>7</v>
      </c>
      <c r="DW151" s="31"/>
    </row>
    <row r="152" spans="1:127" x14ac:dyDescent="0.25">
      <c r="A152" s="30">
        <v>73.22482090623744</v>
      </c>
      <c r="E152"/>
      <c r="CQ152" s="27" t="s">
        <v>8</v>
      </c>
      <c r="CS152" s="27" t="s">
        <v>8</v>
      </c>
      <c r="CT152" s="27" t="s">
        <v>7</v>
      </c>
      <c r="CU152" s="31" t="s">
        <v>8</v>
      </c>
      <c r="CY152" s="27" t="s">
        <v>8</v>
      </c>
      <c r="DD152" s="31"/>
      <c r="DP152" s="27" t="s">
        <v>7</v>
      </c>
      <c r="DS152" s="27" t="s">
        <v>8</v>
      </c>
      <c r="DV152" s="31"/>
    </row>
    <row r="153" spans="1:127" x14ac:dyDescent="0.25">
      <c r="A153" s="30">
        <v>69.737924672607079</v>
      </c>
      <c r="C153" s="7"/>
      <c r="D153"/>
      <c r="E153"/>
      <c r="CQ153" s="27" t="s">
        <v>8</v>
      </c>
      <c r="CR153" s="27" t="s">
        <v>7</v>
      </c>
      <c r="CS153" s="27" t="s">
        <v>8</v>
      </c>
      <c r="CT153" s="27" t="s">
        <v>7</v>
      </c>
      <c r="CU153" s="27" t="s">
        <v>8</v>
      </c>
      <c r="CV153" s="31" t="s">
        <v>7</v>
      </c>
      <c r="CW153" s="27" t="s">
        <v>8</v>
      </c>
      <c r="CY153" s="27" t="s">
        <v>8</v>
      </c>
      <c r="DC153" s="31"/>
      <c r="DP153" s="27" t="s">
        <v>7</v>
      </c>
      <c r="DS153" s="27" t="s">
        <v>8</v>
      </c>
      <c r="DU153" s="31"/>
    </row>
    <row r="154" spans="1:127" x14ac:dyDescent="0.25">
      <c r="A154" s="30">
        <v>66.417071116768639</v>
      </c>
      <c r="E154"/>
      <c r="CQ154" s="27" t="s">
        <v>8</v>
      </c>
      <c r="CR154" s="27" t="s">
        <v>7</v>
      </c>
      <c r="CS154" s="27" t="s">
        <v>8</v>
      </c>
      <c r="CT154" s="27" t="s">
        <v>7</v>
      </c>
      <c r="CU154" s="27" t="s">
        <v>8</v>
      </c>
      <c r="CV154" s="27" t="s">
        <v>7</v>
      </c>
      <c r="CW154" s="31" t="s">
        <v>8</v>
      </c>
      <c r="CX154" s="27" t="s">
        <v>7</v>
      </c>
      <c r="CY154" s="27" t="s">
        <v>8</v>
      </c>
      <c r="DB154" s="31"/>
      <c r="DP154" s="27" t="s">
        <v>7</v>
      </c>
      <c r="DQ154" s="27" t="s">
        <v>8</v>
      </c>
      <c r="DS154" s="27" t="s">
        <v>8</v>
      </c>
      <c r="DT154" s="31"/>
    </row>
    <row r="155" spans="1:127" x14ac:dyDescent="0.25">
      <c r="A155" s="30">
        <v>63.254353444541557</v>
      </c>
      <c r="E155"/>
      <c r="CO155" s="27" t="s">
        <v>8</v>
      </c>
      <c r="CQ155" s="27" t="s">
        <v>8</v>
      </c>
      <c r="CR155" s="27" t="s">
        <v>7</v>
      </c>
      <c r="CS155" s="27" t="s">
        <v>8</v>
      </c>
      <c r="CT155" s="27" t="s">
        <v>7</v>
      </c>
      <c r="CV155" s="27" t="s">
        <v>7</v>
      </c>
      <c r="CW155" s="27" t="s">
        <v>8</v>
      </c>
      <c r="CX155" s="31" t="s">
        <v>7</v>
      </c>
      <c r="CY155" s="27" t="s">
        <v>8</v>
      </c>
      <c r="DA155" s="31"/>
      <c r="DP155" s="27" t="s">
        <v>7</v>
      </c>
      <c r="DQ155" s="27" t="s">
        <v>8</v>
      </c>
      <c r="DR155" s="27" t="s">
        <v>7</v>
      </c>
      <c r="DS155" s="31" t="s">
        <v>8</v>
      </c>
    </row>
    <row r="156" spans="1:127" x14ac:dyDescent="0.25">
      <c r="A156" s="30">
        <v>60.242241375753864</v>
      </c>
      <c r="C156"/>
      <c r="D156"/>
      <c r="E156"/>
      <c r="AC156" s="27" t="s">
        <v>8</v>
      </c>
      <c r="CO156" s="27" t="s">
        <v>8</v>
      </c>
      <c r="CP156" s="27" t="s">
        <v>7</v>
      </c>
      <c r="CQ156" s="27" t="s">
        <v>8</v>
      </c>
      <c r="CR156" s="27" t="s">
        <v>7</v>
      </c>
      <c r="CS156" s="27" t="s">
        <v>8</v>
      </c>
      <c r="CV156" s="27" t="s">
        <v>7</v>
      </c>
      <c r="CW156" s="27" t="s">
        <v>8</v>
      </c>
      <c r="CX156" s="27" t="s">
        <v>7</v>
      </c>
      <c r="CY156" s="31" t="s">
        <v>8</v>
      </c>
      <c r="CZ156" s="31"/>
      <c r="DP156" s="27" t="s">
        <v>7</v>
      </c>
      <c r="DQ156" s="27" t="s">
        <v>8</v>
      </c>
      <c r="DR156" s="31" t="s">
        <v>7</v>
      </c>
      <c r="DS156" s="27" t="s">
        <v>8</v>
      </c>
    </row>
    <row r="157" spans="1:127" x14ac:dyDescent="0.25">
      <c r="A157" s="30">
        <v>57.373563215003678</v>
      </c>
      <c r="E157"/>
      <c r="AC157" s="27" t="s">
        <v>8</v>
      </c>
      <c r="AD157" s="27" t="s">
        <v>7</v>
      </c>
      <c r="CI157" s="27" t="s">
        <v>8</v>
      </c>
      <c r="CO157" s="27" t="s">
        <v>8</v>
      </c>
      <c r="CP157" s="27" t="s">
        <v>7</v>
      </c>
      <c r="CQ157" s="27" t="s">
        <v>8</v>
      </c>
      <c r="CR157" s="27" t="s">
        <v>7</v>
      </c>
      <c r="CS157" s="27" t="s">
        <v>8</v>
      </c>
      <c r="CV157" s="27" t="s">
        <v>7</v>
      </c>
      <c r="CW157" s="27" t="s">
        <v>8</v>
      </c>
      <c r="CX157" s="27" t="s">
        <v>7</v>
      </c>
      <c r="CY157" s="31"/>
      <c r="DP157" s="27" t="s">
        <v>7</v>
      </c>
      <c r="DQ157" s="31" t="s">
        <v>8</v>
      </c>
      <c r="DR157" s="27" t="s">
        <v>7</v>
      </c>
    </row>
    <row r="158" spans="1:127" x14ac:dyDescent="0.25">
      <c r="A158" s="30">
        <v>54.641488776193974</v>
      </c>
      <c r="E158"/>
      <c r="AC158" s="27" t="s">
        <v>8</v>
      </c>
      <c r="AD158" s="27" t="s">
        <v>7</v>
      </c>
      <c r="CI158" s="27" t="s">
        <v>8</v>
      </c>
      <c r="CJ158" s="27" t="s">
        <v>7</v>
      </c>
      <c r="CO158" s="27" t="s">
        <v>8</v>
      </c>
      <c r="CP158" s="27" t="s">
        <v>7</v>
      </c>
      <c r="CQ158" s="27" t="s">
        <v>8</v>
      </c>
      <c r="CR158" s="27" t="s">
        <v>7</v>
      </c>
      <c r="CV158" s="27" t="s">
        <v>7</v>
      </c>
      <c r="CW158" s="27" t="s">
        <v>8</v>
      </c>
      <c r="CX158" s="31"/>
      <c r="DP158" s="31" t="s">
        <v>7</v>
      </c>
    </row>
    <row r="159" spans="1:127" x14ac:dyDescent="0.25">
      <c r="A159" s="30">
        <v>52.039513120184736</v>
      </c>
      <c r="E159"/>
      <c r="AC159" s="27" t="s">
        <v>8</v>
      </c>
      <c r="AD159" s="27" t="s">
        <v>7</v>
      </c>
      <c r="AE159" s="27" t="s">
        <v>8</v>
      </c>
      <c r="CI159" s="27" t="s">
        <v>8</v>
      </c>
      <c r="CJ159" s="27" t="s">
        <v>7</v>
      </c>
      <c r="CK159" s="27" t="s">
        <v>8</v>
      </c>
      <c r="CO159" s="27" t="s">
        <v>8</v>
      </c>
      <c r="CP159" s="27" t="s">
        <v>7</v>
      </c>
      <c r="CQ159" s="27" t="s">
        <v>8</v>
      </c>
      <c r="CV159" s="27" t="s">
        <v>7</v>
      </c>
      <c r="CW159" s="31"/>
      <c r="DO159" s="31"/>
    </row>
    <row r="160" spans="1:127" x14ac:dyDescent="0.25">
      <c r="A160" s="30">
        <v>49.561441066842605</v>
      </c>
      <c r="C160"/>
      <c r="E160"/>
      <c r="AC160" s="27" t="s">
        <v>8</v>
      </c>
      <c r="AD160" s="27" t="s">
        <v>7</v>
      </c>
      <c r="AE160" s="27" t="s">
        <v>8</v>
      </c>
      <c r="AF160" s="27" t="s">
        <v>7</v>
      </c>
      <c r="CG160" s="27" t="s">
        <v>8</v>
      </c>
      <c r="CI160" s="27" t="s">
        <v>8</v>
      </c>
      <c r="CJ160" s="27" t="s">
        <v>7</v>
      </c>
      <c r="CK160" s="27" t="s">
        <v>8</v>
      </c>
      <c r="CL160" s="27" t="s">
        <v>7</v>
      </c>
      <c r="CM160" s="27" t="s">
        <v>8</v>
      </c>
      <c r="CO160" s="27" t="s">
        <v>8</v>
      </c>
      <c r="CP160" s="27" t="s">
        <v>7</v>
      </c>
      <c r="CV160" s="31"/>
      <c r="DN160" s="31"/>
    </row>
    <row r="161" spans="1:117" x14ac:dyDescent="0.25">
      <c r="A161" s="30">
        <v>47.201372444612005</v>
      </c>
      <c r="E161"/>
      <c r="AC161" s="27" t="s">
        <v>8</v>
      </c>
      <c r="AD161" s="27" t="s">
        <v>7</v>
      </c>
      <c r="AE161" s="27" t="s">
        <v>8</v>
      </c>
      <c r="AF161" s="27" t="s">
        <v>7</v>
      </c>
      <c r="CG161" s="27" t="s">
        <v>8</v>
      </c>
      <c r="CH161" s="27" t="s">
        <v>7</v>
      </c>
      <c r="CI161" s="27" t="s">
        <v>8</v>
      </c>
      <c r="CJ161" s="27" t="s">
        <v>7</v>
      </c>
      <c r="CK161" s="27" t="s">
        <v>8</v>
      </c>
      <c r="CL161" s="27" t="s">
        <v>7</v>
      </c>
      <c r="CM161" s="27" t="s">
        <v>8</v>
      </c>
      <c r="CN161" s="27" t="s">
        <v>7</v>
      </c>
      <c r="CO161" s="27" t="s">
        <v>8</v>
      </c>
      <c r="CU161" s="31"/>
      <c r="DM161" s="31"/>
    </row>
    <row r="162" spans="1:117" x14ac:dyDescent="0.25">
      <c r="A162" s="30">
        <v>44.95368804248762</v>
      </c>
      <c r="E162"/>
      <c r="AC162" s="27" t="s">
        <v>8</v>
      </c>
      <c r="AD162" s="27" t="s">
        <v>7</v>
      </c>
      <c r="AE162" s="27" t="s">
        <v>8</v>
      </c>
      <c r="AF162" s="27" t="s">
        <v>7</v>
      </c>
      <c r="CG162" s="27" t="s">
        <v>8</v>
      </c>
      <c r="CH162" s="27" t="s">
        <v>7</v>
      </c>
      <c r="CI162" s="27" t="s">
        <v>8</v>
      </c>
      <c r="CJ162" s="27" t="s">
        <v>7</v>
      </c>
      <c r="CK162" s="27" t="s">
        <v>8</v>
      </c>
      <c r="CL162" s="27" t="s">
        <v>7</v>
      </c>
      <c r="CM162" s="27" t="s">
        <v>8</v>
      </c>
      <c r="CN162" s="27" t="s">
        <v>7</v>
      </c>
      <c r="CO162" s="27" t="s">
        <v>8</v>
      </c>
      <c r="CT162" s="31"/>
      <c r="DL162" s="31"/>
    </row>
    <row r="163" spans="1:117" x14ac:dyDescent="0.25">
      <c r="A163" s="30">
        <v>42.81303623094059</v>
      </c>
      <c r="E163"/>
      <c r="AC163" s="27" t="s">
        <v>8</v>
      </c>
      <c r="AD163" s="27" t="s">
        <v>7</v>
      </c>
      <c r="AF163" s="27" t="s">
        <v>7</v>
      </c>
      <c r="AG163" s="27" t="s">
        <v>8</v>
      </c>
      <c r="BK163" s="27" t="s">
        <v>8</v>
      </c>
      <c r="CG163" s="27" t="s">
        <v>8</v>
      </c>
      <c r="CH163" s="27" t="s">
        <v>7</v>
      </c>
      <c r="CJ163" s="27" t="s">
        <v>7</v>
      </c>
      <c r="CK163" s="27" t="s">
        <v>8</v>
      </c>
      <c r="CL163" s="27" t="s">
        <v>7</v>
      </c>
      <c r="CM163" s="27" t="s">
        <v>8</v>
      </c>
      <c r="CN163" s="27" t="s">
        <v>7</v>
      </c>
      <c r="CO163" s="27" t="s">
        <v>8</v>
      </c>
      <c r="CS163" s="31"/>
      <c r="DK163" s="31"/>
    </row>
    <row r="164" spans="1:117" x14ac:dyDescent="0.25">
      <c r="A164" s="30">
        <v>40.774320219943419</v>
      </c>
      <c r="E164"/>
      <c r="AC164" s="27" t="s">
        <v>8</v>
      </c>
      <c r="AF164" s="27" t="s">
        <v>7</v>
      </c>
      <c r="AG164" s="27" t="s">
        <v>8</v>
      </c>
      <c r="AH164" s="27" t="s">
        <v>7</v>
      </c>
      <c r="BK164" s="27" t="s">
        <v>8</v>
      </c>
      <c r="BL164" s="27" t="s">
        <v>7</v>
      </c>
      <c r="BM164" s="27" t="s">
        <v>8</v>
      </c>
      <c r="CG164" s="27" t="s">
        <v>8</v>
      </c>
      <c r="CJ164" s="27" t="s">
        <v>7</v>
      </c>
      <c r="CL164" s="27" t="s">
        <v>7</v>
      </c>
      <c r="CM164" s="27" t="s">
        <v>8</v>
      </c>
      <c r="CN164" s="27" t="s">
        <v>7</v>
      </c>
      <c r="CO164" s="27" t="s">
        <v>8</v>
      </c>
      <c r="CR164" s="31"/>
      <c r="DJ164" s="31"/>
    </row>
    <row r="165" spans="1:117" x14ac:dyDescent="0.25">
      <c r="A165" s="30">
        <v>38.832685923755633</v>
      </c>
      <c r="E165"/>
      <c r="AC165" s="27" t="s">
        <v>8</v>
      </c>
      <c r="AF165" s="27" t="s">
        <v>7</v>
      </c>
      <c r="AG165" s="27" t="s">
        <v>8</v>
      </c>
      <c r="AH165" s="27" t="s">
        <v>7</v>
      </c>
      <c r="AS165" s="27" t="s">
        <v>8</v>
      </c>
      <c r="BA165" s="27" t="s">
        <v>8</v>
      </c>
      <c r="BK165" s="27" t="s">
        <v>8</v>
      </c>
      <c r="BL165" s="27" t="s">
        <v>7</v>
      </c>
      <c r="BM165" s="27" t="s">
        <v>8</v>
      </c>
      <c r="BN165" s="27" t="s">
        <v>7</v>
      </c>
      <c r="BO165" s="27" t="s">
        <v>8</v>
      </c>
      <c r="CG165" s="27" t="s">
        <v>8</v>
      </c>
      <c r="CL165" s="27" t="s">
        <v>7</v>
      </c>
      <c r="CN165" s="27" t="s">
        <v>7</v>
      </c>
      <c r="CO165" s="27" t="s">
        <v>8</v>
      </c>
      <c r="CQ165" s="31"/>
      <c r="DI165" s="31"/>
    </row>
    <row r="166" spans="1:117" x14ac:dyDescent="0.25">
      <c r="A166" s="30">
        <v>36.983510403576794</v>
      </c>
      <c r="E166"/>
      <c r="AC166" s="27" t="s">
        <v>8</v>
      </c>
      <c r="AF166" s="27" t="s">
        <v>7</v>
      </c>
      <c r="AG166" s="27" t="s">
        <v>8</v>
      </c>
      <c r="AH166" s="27" t="s">
        <v>7</v>
      </c>
      <c r="AI166" s="27" t="s">
        <v>8</v>
      </c>
      <c r="AS166" s="27" t="s">
        <v>8</v>
      </c>
      <c r="AT166" s="27" t="s">
        <v>7</v>
      </c>
      <c r="BA166" s="27" t="s">
        <v>8</v>
      </c>
      <c r="BB166" s="27" t="s">
        <v>7</v>
      </c>
      <c r="BI166" s="27" t="s">
        <v>8</v>
      </c>
      <c r="BK166" s="27" t="s">
        <v>8</v>
      </c>
      <c r="BL166" s="27" t="s">
        <v>7</v>
      </c>
      <c r="BM166" s="27" t="s">
        <v>8</v>
      </c>
      <c r="BN166" s="27" t="s">
        <v>7</v>
      </c>
      <c r="BO166" s="27" t="s">
        <v>8</v>
      </c>
      <c r="BP166" s="27" t="s">
        <v>7</v>
      </c>
      <c r="BQ166" s="31" t="s">
        <v>8</v>
      </c>
      <c r="CG166" s="27" t="s">
        <v>8</v>
      </c>
      <c r="CN166" s="27" t="s">
        <v>7</v>
      </c>
      <c r="CO166" s="27" t="s">
        <v>8</v>
      </c>
      <c r="CP166" s="31"/>
      <c r="DH166" s="31"/>
    </row>
    <row r="167" spans="1:117" x14ac:dyDescent="0.25">
      <c r="A167" s="30">
        <v>35.222390860549325</v>
      </c>
      <c r="E167"/>
      <c r="AC167" s="27" t="s">
        <v>8</v>
      </c>
      <c r="AF167" s="27" t="s">
        <v>7</v>
      </c>
      <c r="AG167" s="27" t="s">
        <v>8</v>
      </c>
      <c r="AH167" s="27" t="s">
        <v>7</v>
      </c>
      <c r="AI167" s="27" t="s">
        <v>8</v>
      </c>
      <c r="AJ167" s="27" t="s">
        <v>7</v>
      </c>
      <c r="AO167" s="27" t="s">
        <v>8</v>
      </c>
      <c r="AS167" s="27" t="s">
        <v>8</v>
      </c>
      <c r="AT167" s="27" t="s">
        <v>7</v>
      </c>
      <c r="BA167" s="27" t="s">
        <v>8</v>
      </c>
      <c r="BB167" s="27" t="s">
        <v>7</v>
      </c>
      <c r="BG167" s="27" t="s">
        <v>8</v>
      </c>
      <c r="BI167" s="27" t="s">
        <v>8</v>
      </c>
      <c r="BJ167" s="27" t="s">
        <v>7</v>
      </c>
      <c r="BK167" s="27" t="s">
        <v>8</v>
      </c>
      <c r="BL167" s="27" t="s">
        <v>7</v>
      </c>
      <c r="BM167" s="27" t="s">
        <v>8</v>
      </c>
      <c r="BN167" s="27" t="s">
        <v>7</v>
      </c>
      <c r="BO167" s="27" t="s">
        <v>8</v>
      </c>
      <c r="BP167" s="27" t="s">
        <v>7</v>
      </c>
      <c r="BQ167" s="27" t="s">
        <v>8</v>
      </c>
      <c r="BR167" s="31" t="s">
        <v>7</v>
      </c>
      <c r="CG167" s="27" t="s">
        <v>8</v>
      </c>
      <c r="CN167" s="27" t="s">
        <v>7</v>
      </c>
      <c r="CO167" s="31" t="s">
        <v>8</v>
      </c>
      <c r="DG167" s="31"/>
    </row>
    <row r="168" spans="1:117" x14ac:dyDescent="0.25">
      <c r="A168" s="30">
        <v>33.545134152904119</v>
      </c>
      <c r="E168"/>
      <c r="AA168" s="27" t="s">
        <v>8</v>
      </c>
      <c r="AC168" s="27" t="s">
        <v>8</v>
      </c>
      <c r="AF168" s="27" t="s">
        <v>7</v>
      </c>
      <c r="AH168" s="27" t="s">
        <v>7</v>
      </c>
      <c r="AI168" s="27" t="s">
        <v>8</v>
      </c>
      <c r="AJ168" s="27" t="s">
        <v>7</v>
      </c>
      <c r="AO168" s="27" t="s">
        <v>8</v>
      </c>
      <c r="AP168" s="27" t="s">
        <v>7</v>
      </c>
      <c r="AS168" s="27" t="s">
        <v>8</v>
      </c>
      <c r="AT168" s="27" t="s">
        <v>7</v>
      </c>
      <c r="AY168" s="27" t="s">
        <v>8</v>
      </c>
      <c r="BA168" s="27" t="s">
        <v>8</v>
      </c>
      <c r="BB168" s="27" t="s">
        <v>7</v>
      </c>
      <c r="BG168" s="27" t="s">
        <v>8</v>
      </c>
      <c r="BH168" s="27" t="s">
        <v>7</v>
      </c>
      <c r="BI168" s="27" t="s">
        <v>8</v>
      </c>
      <c r="BJ168" s="27" t="s">
        <v>7</v>
      </c>
      <c r="BK168" s="27" t="s">
        <v>8</v>
      </c>
      <c r="BL168" s="27" t="s">
        <v>7</v>
      </c>
      <c r="BM168" s="27" t="s">
        <v>8</v>
      </c>
      <c r="BN168" s="27" t="s">
        <v>7</v>
      </c>
      <c r="BO168" s="27" t="s">
        <v>8</v>
      </c>
      <c r="BP168" s="31" t="s">
        <v>7</v>
      </c>
      <c r="BQ168" s="27" t="s">
        <v>8</v>
      </c>
      <c r="BR168" s="27" t="s">
        <v>7</v>
      </c>
      <c r="BS168" s="31"/>
      <c r="CG168" s="27" t="s">
        <v>8</v>
      </c>
      <c r="CN168" s="31" t="s">
        <v>7</v>
      </c>
      <c r="DF168" s="31"/>
    </row>
    <row r="169" spans="1:117" x14ac:dyDescent="0.25">
      <c r="A169" s="30">
        <v>31.947746812289637</v>
      </c>
      <c r="E169"/>
      <c r="AA169" s="27" t="s">
        <v>8</v>
      </c>
      <c r="AB169" s="27" t="s">
        <v>7</v>
      </c>
      <c r="AC169" s="27" t="s">
        <v>8</v>
      </c>
      <c r="AH169" s="27" t="s">
        <v>7</v>
      </c>
      <c r="AJ169" s="27" t="s">
        <v>7</v>
      </c>
      <c r="AK169" s="27" t="s">
        <v>8</v>
      </c>
      <c r="AM169" s="27" t="s">
        <v>8</v>
      </c>
      <c r="AO169" s="27" t="s">
        <v>8</v>
      </c>
      <c r="AP169" s="27" t="s">
        <v>7</v>
      </c>
      <c r="AQ169" s="27" t="s">
        <v>8</v>
      </c>
      <c r="AS169" s="27" t="s">
        <v>8</v>
      </c>
      <c r="AT169" s="27" t="s">
        <v>7</v>
      </c>
      <c r="AW169" s="27" t="s">
        <v>8</v>
      </c>
      <c r="AY169" s="27" t="s">
        <v>8</v>
      </c>
      <c r="AZ169" s="27" t="s">
        <v>7</v>
      </c>
      <c r="BA169" s="27" t="s">
        <v>8</v>
      </c>
      <c r="BB169" s="27" t="s">
        <v>7</v>
      </c>
      <c r="BG169" s="27" t="s">
        <v>8</v>
      </c>
      <c r="BH169" s="27" t="s">
        <v>7</v>
      </c>
      <c r="BI169" s="27" t="s">
        <v>8</v>
      </c>
      <c r="BJ169" s="27" t="s">
        <v>7</v>
      </c>
      <c r="BK169" s="27" t="s">
        <v>8</v>
      </c>
      <c r="BL169" s="27" t="s">
        <v>7</v>
      </c>
      <c r="BM169" s="27" t="s">
        <v>8</v>
      </c>
      <c r="BN169" s="32" t="s">
        <v>7</v>
      </c>
      <c r="BO169" s="31"/>
      <c r="BP169" s="32" t="s">
        <v>7</v>
      </c>
      <c r="BR169" s="27" t="s">
        <v>7</v>
      </c>
      <c r="BT169" s="31"/>
      <c r="CG169" s="27" t="s">
        <v>8</v>
      </c>
      <c r="DE169" s="31"/>
    </row>
    <row r="170" spans="1:117" x14ac:dyDescent="0.25">
      <c r="A170" s="30">
        <v>30.426425535513939</v>
      </c>
      <c r="E170"/>
      <c r="AA170" s="27" t="s">
        <v>8</v>
      </c>
      <c r="AB170" s="27" t="s">
        <v>7</v>
      </c>
      <c r="AC170" s="27" t="s">
        <v>8</v>
      </c>
      <c r="AJ170" s="27" t="s">
        <v>7</v>
      </c>
      <c r="AK170" s="27" t="s">
        <v>8</v>
      </c>
      <c r="AL170" s="27" t="s">
        <v>7</v>
      </c>
      <c r="AM170" s="27" t="s">
        <v>8</v>
      </c>
      <c r="AN170" s="27" t="s">
        <v>7</v>
      </c>
      <c r="AO170" s="27" t="s">
        <v>8</v>
      </c>
      <c r="AP170" s="27" t="s">
        <v>7</v>
      </c>
      <c r="AQ170" s="27" t="s">
        <v>8</v>
      </c>
      <c r="AR170" s="27" t="s">
        <v>7</v>
      </c>
      <c r="AS170" s="27" t="s">
        <v>8</v>
      </c>
      <c r="AT170" s="27" t="s">
        <v>7</v>
      </c>
      <c r="AU170" s="27" t="s">
        <v>8</v>
      </c>
      <c r="AW170" s="27" t="s">
        <v>8</v>
      </c>
      <c r="AX170" s="27" t="s">
        <v>7</v>
      </c>
      <c r="AY170" s="27" t="s">
        <v>8</v>
      </c>
      <c r="AZ170" s="27" t="s">
        <v>7</v>
      </c>
      <c r="BA170" s="27" t="s">
        <v>8</v>
      </c>
      <c r="BB170" s="27" t="s">
        <v>7</v>
      </c>
      <c r="BC170" s="27" t="s">
        <v>8</v>
      </c>
      <c r="BG170" s="27" t="s">
        <v>8</v>
      </c>
      <c r="BH170" s="32" t="s">
        <v>7</v>
      </c>
      <c r="BJ170" s="32" t="s">
        <v>7</v>
      </c>
      <c r="BL170" s="32" t="s">
        <v>7</v>
      </c>
      <c r="BN170" s="31"/>
      <c r="BR170" s="33" t="s">
        <v>7</v>
      </c>
      <c r="BU170" s="31"/>
      <c r="CG170" s="27" t="s">
        <v>8</v>
      </c>
      <c r="DD170" s="31"/>
    </row>
    <row r="171" spans="1:117" x14ac:dyDescent="0.25">
      <c r="A171" s="30">
        <v>28.977548129060892</v>
      </c>
      <c r="E171"/>
      <c r="AA171" s="27" t="s">
        <v>8</v>
      </c>
      <c r="AB171" s="27" t="s">
        <v>7</v>
      </c>
      <c r="AC171" s="27" t="s">
        <v>8</v>
      </c>
      <c r="AJ171" s="27" t="s">
        <v>7</v>
      </c>
      <c r="AK171" s="27" t="s">
        <v>8</v>
      </c>
      <c r="AL171" s="27" t="s">
        <v>7</v>
      </c>
      <c r="AM171" s="27" t="s">
        <v>8</v>
      </c>
      <c r="AN171" s="27" t="s">
        <v>7</v>
      </c>
      <c r="AO171" s="27" t="s">
        <v>8</v>
      </c>
      <c r="AP171" s="27" t="s">
        <v>7</v>
      </c>
      <c r="AQ171" s="27" t="s">
        <v>8</v>
      </c>
      <c r="AR171" s="27" t="s">
        <v>7</v>
      </c>
      <c r="AS171" s="27" t="s">
        <v>8</v>
      </c>
      <c r="AT171" s="27" t="s">
        <v>7</v>
      </c>
      <c r="AU171" s="27" t="s">
        <v>8</v>
      </c>
      <c r="AV171" s="27" t="s">
        <v>7</v>
      </c>
      <c r="AW171" s="27" t="s">
        <v>8</v>
      </c>
      <c r="AX171" s="27" t="s">
        <v>7</v>
      </c>
      <c r="AY171" s="27" t="s">
        <v>8</v>
      </c>
      <c r="AZ171" s="27" t="s">
        <v>7</v>
      </c>
      <c r="BB171" s="27" t="s">
        <v>7</v>
      </c>
      <c r="BC171" s="27" t="s">
        <v>8</v>
      </c>
      <c r="BD171" s="27" t="s">
        <v>7</v>
      </c>
      <c r="BG171" s="27" t="s">
        <v>8</v>
      </c>
      <c r="BM171" s="31"/>
      <c r="BR171" s="27" t="s">
        <v>7</v>
      </c>
      <c r="BV171" s="31"/>
      <c r="CG171" s="27" t="s">
        <v>8</v>
      </c>
      <c r="DC171" s="31"/>
    </row>
    <row r="172" spans="1:117" x14ac:dyDescent="0.25">
      <c r="A172" s="30">
        <v>27.597664884819896</v>
      </c>
      <c r="E172"/>
      <c r="AA172" s="27" t="s">
        <v>8</v>
      </c>
      <c r="AB172" s="27" t="s">
        <v>7</v>
      </c>
      <c r="AJ172" s="27" t="s">
        <v>7</v>
      </c>
      <c r="AK172" s="27" t="s">
        <v>8</v>
      </c>
      <c r="AL172" s="27" t="s">
        <v>7</v>
      </c>
      <c r="AM172" s="27" t="s">
        <v>8</v>
      </c>
      <c r="AN172" s="27" t="s">
        <v>7</v>
      </c>
      <c r="AO172" s="27" t="s">
        <v>8</v>
      </c>
      <c r="AP172" s="27" t="s">
        <v>7</v>
      </c>
      <c r="AR172" s="27" t="s">
        <v>7</v>
      </c>
      <c r="AT172" s="27" t="s">
        <v>7</v>
      </c>
      <c r="AU172" s="27" t="s">
        <v>8</v>
      </c>
      <c r="AV172" s="27" t="s">
        <v>7</v>
      </c>
      <c r="AW172" s="27" t="s">
        <v>8</v>
      </c>
      <c r="AX172" s="27" t="s">
        <v>7</v>
      </c>
      <c r="BB172" s="27" t="s">
        <v>7</v>
      </c>
      <c r="BC172" s="27" t="s">
        <v>8</v>
      </c>
      <c r="BD172" s="27" t="s">
        <v>7</v>
      </c>
      <c r="BG172" s="27" t="s">
        <v>8</v>
      </c>
      <c r="BL172" s="31"/>
      <c r="BR172" s="27" t="s">
        <v>7</v>
      </c>
      <c r="BS172" s="27" t="s">
        <v>8</v>
      </c>
      <c r="BW172" s="31"/>
      <c r="CG172" s="27" t="s">
        <v>8</v>
      </c>
      <c r="DB172" s="31"/>
    </row>
    <row r="173" spans="1:117" x14ac:dyDescent="0.25">
      <c r="A173" s="30">
        <v>26.283490366495137</v>
      </c>
      <c r="E173"/>
      <c r="AA173" s="27" t="s">
        <v>8</v>
      </c>
      <c r="AJ173" s="27" t="s">
        <v>7</v>
      </c>
      <c r="AK173" s="27" t="s">
        <v>8</v>
      </c>
      <c r="AL173" s="27" t="s">
        <v>7</v>
      </c>
      <c r="AM173" s="27" t="s">
        <v>8</v>
      </c>
      <c r="AN173" s="27" t="s">
        <v>7</v>
      </c>
      <c r="AO173" s="27" t="s">
        <v>8</v>
      </c>
      <c r="AT173" s="27" t="s">
        <v>7</v>
      </c>
      <c r="AU173" s="27" t="s">
        <v>8</v>
      </c>
      <c r="AV173" s="27" t="s">
        <v>7</v>
      </c>
      <c r="BB173" s="27" t="s">
        <v>7</v>
      </c>
      <c r="BC173" s="27" t="s">
        <v>8</v>
      </c>
      <c r="BD173" s="27" t="s">
        <v>7</v>
      </c>
      <c r="BG173" s="27" t="s">
        <v>8</v>
      </c>
      <c r="BK173" s="31"/>
      <c r="BR173" s="27" t="s">
        <v>7</v>
      </c>
      <c r="BS173" s="27" t="s">
        <v>8</v>
      </c>
      <c r="BT173" s="27" t="s">
        <v>7</v>
      </c>
      <c r="BX173" s="31"/>
      <c r="CG173" s="27" t="s">
        <v>8</v>
      </c>
      <c r="DA173" s="31"/>
    </row>
    <row r="174" spans="1:117" x14ac:dyDescent="0.25">
      <c r="A174" s="30">
        <v>25.031895587138223</v>
      </c>
      <c r="E174"/>
      <c r="AA174" s="27" t="s">
        <v>8</v>
      </c>
      <c r="AJ174" s="27" t="s">
        <v>7</v>
      </c>
      <c r="AK174" s="27" t="s">
        <v>8</v>
      </c>
      <c r="AL174" s="27" t="s">
        <v>7</v>
      </c>
      <c r="AM174" s="27" t="s">
        <v>8</v>
      </c>
      <c r="AN174" s="27" t="s">
        <v>7</v>
      </c>
      <c r="AO174" s="27" t="s">
        <v>8</v>
      </c>
      <c r="AT174" s="27" t="s">
        <v>7</v>
      </c>
      <c r="BB174" s="27" t="s">
        <v>7</v>
      </c>
      <c r="BC174" s="27" t="s">
        <v>8</v>
      </c>
      <c r="BD174" s="27" t="s">
        <v>7</v>
      </c>
      <c r="BG174" s="27" t="s">
        <v>8</v>
      </c>
      <c r="BJ174" s="31"/>
      <c r="BR174" s="27" t="s">
        <v>7</v>
      </c>
      <c r="BS174" s="27" t="s">
        <v>8</v>
      </c>
      <c r="BT174" s="27" t="s">
        <v>7</v>
      </c>
      <c r="BY174" s="31"/>
      <c r="CG174" s="27" t="s">
        <v>8</v>
      </c>
      <c r="CZ174" s="31"/>
    </row>
    <row r="175" spans="1:117" x14ac:dyDescent="0.25">
      <c r="A175" s="30">
        <v>23.839900559179259</v>
      </c>
      <c r="E175"/>
      <c r="AA175" s="27" t="s">
        <v>8</v>
      </c>
      <c r="AJ175" s="27" t="s">
        <v>7</v>
      </c>
      <c r="AK175" s="27" t="s">
        <v>8</v>
      </c>
      <c r="AL175" s="27" t="s">
        <v>7</v>
      </c>
      <c r="AM175" s="27" t="s">
        <v>8</v>
      </c>
      <c r="AN175" s="27" t="s">
        <v>7</v>
      </c>
      <c r="BB175" s="27" t="s">
        <v>7</v>
      </c>
      <c r="BC175" s="27" t="s">
        <v>8</v>
      </c>
      <c r="BD175" s="27" t="s">
        <v>7</v>
      </c>
      <c r="BE175" s="27" t="s">
        <v>8</v>
      </c>
      <c r="BG175" s="27" t="s">
        <v>8</v>
      </c>
      <c r="BI175" s="31"/>
      <c r="BR175" s="27" t="s">
        <v>7</v>
      </c>
      <c r="BS175" s="27" t="s">
        <v>8</v>
      </c>
      <c r="BT175" s="27" t="s">
        <v>7</v>
      </c>
      <c r="BZ175" s="31"/>
      <c r="CG175" s="27" t="s">
        <v>8</v>
      </c>
      <c r="CY175" s="31"/>
    </row>
    <row r="176" spans="1:117" x14ac:dyDescent="0.25">
      <c r="A176" s="30">
        <v>22.704667199218342</v>
      </c>
      <c r="E176"/>
      <c r="AA176" s="27" t="s">
        <v>8</v>
      </c>
      <c r="AJ176" s="32" t="s">
        <v>7</v>
      </c>
      <c r="AL176" s="32" t="s">
        <v>7</v>
      </c>
      <c r="BB176" s="27" t="s">
        <v>7</v>
      </c>
      <c r="BD176" s="27" t="s">
        <v>7</v>
      </c>
      <c r="BE176" s="27" t="s">
        <v>8</v>
      </c>
      <c r="BF176" s="27" t="s">
        <v>7</v>
      </c>
      <c r="BG176" s="27" t="s">
        <v>8</v>
      </c>
      <c r="BH176" s="31"/>
      <c r="BR176" s="27" t="s">
        <v>7</v>
      </c>
      <c r="BS176" s="27" t="s">
        <v>8</v>
      </c>
      <c r="BT176" s="27" t="s">
        <v>7</v>
      </c>
      <c r="CA176" s="31"/>
      <c r="CG176" s="27" t="s">
        <v>8</v>
      </c>
      <c r="CX176" s="31"/>
    </row>
    <row r="177" spans="1:101" x14ac:dyDescent="0.25">
      <c r="A177" s="30">
        <v>21.623492570684135</v>
      </c>
      <c r="E177"/>
      <c r="AA177" s="27" t="s">
        <v>8</v>
      </c>
      <c r="BD177" s="27" t="s">
        <v>7</v>
      </c>
      <c r="BE177" s="27" t="s">
        <v>8</v>
      </c>
      <c r="BF177" s="31" t="s">
        <v>7</v>
      </c>
      <c r="BG177" s="31" t="s">
        <v>8</v>
      </c>
      <c r="BR177" s="27" t="s">
        <v>7</v>
      </c>
      <c r="BS177" s="27" t="s">
        <v>8</v>
      </c>
      <c r="BT177" s="27" t="s">
        <v>7</v>
      </c>
      <c r="BU177" s="27" t="s">
        <v>8</v>
      </c>
      <c r="CB177" s="31"/>
      <c r="CG177" s="27" t="s">
        <v>8</v>
      </c>
      <c r="CW177" s="31"/>
    </row>
    <row r="178" spans="1:101" x14ac:dyDescent="0.25">
      <c r="A178" s="30">
        <v>20.593802448270605</v>
      </c>
      <c r="C178" s="7"/>
      <c r="D178"/>
      <c r="E178"/>
      <c r="AA178" s="27" t="s">
        <v>8</v>
      </c>
      <c r="BD178" s="32" t="s">
        <v>7</v>
      </c>
      <c r="BE178" s="31"/>
      <c r="BF178" s="32" t="s">
        <v>7</v>
      </c>
      <c r="BR178" s="27" t="s">
        <v>7</v>
      </c>
      <c r="BS178" s="27" t="s">
        <v>8</v>
      </c>
      <c r="BT178" s="27" t="s">
        <v>7</v>
      </c>
      <c r="BU178" s="27" t="s">
        <v>8</v>
      </c>
      <c r="BV178" s="27" t="s">
        <v>7</v>
      </c>
      <c r="BW178" s="32" t="s">
        <v>8</v>
      </c>
      <c r="BY178" s="32" t="s">
        <v>8</v>
      </c>
      <c r="CC178" s="31"/>
      <c r="CG178" s="27" t="s">
        <v>8</v>
      </c>
      <c r="CV178" s="31"/>
    </row>
    <row r="179" spans="1:101" x14ac:dyDescent="0.25">
      <c r="A179" s="30">
        <v>19.613145188829147</v>
      </c>
      <c r="E179"/>
      <c r="AA179" s="27" t="s">
        <v>8</v>
      </c>
      <c r="BD179" s="31"/>
      <c r="BR179" s="27" t="s">
        <v>7</v>
      </c>
      <c r="BS179" s="27" t="s">
        <v>8</v>
      </c>
      <c r="BT179" s="27" t="s">
        <v>7</v>
      </c>
      <c r="BU179" s="27" t="s">
        <v>8</v>
      </c>
      <c r="BV179" s="27" t="s">
        <v>7</v>
      </c>
      <c r="BW179" s="27" t="s">
        <v>8</v>
      </c>
      <c r="BX179" s="27" t="s">
        <v>7</v>
      </c>
      <c r="BY179" s="27" t="s">
        <v>8</v>
      </c>
      <c r="BZ179" s="27" t="s">
        <v>7</v>
      </c>
      <c r="CD179" s="31"/>
      <c r="CG179" s="27" t="s">
        <v>8</v>
      </c>
      <c r="CU179" s="31"/>
    </row>
    <row r="180" spans="1:101" x14ac:dyDescent="0.25">
      <c r="A180" s="30">
        <v>18.679185894122998</v>
      </c>
      <c r="E180"/>
      <c r="AA180" s="27" t="s">
        <v>8</v>
      </c>
      <c r="BR180" s="27" t="s">
        <v>7</v>
      </c>
      <c r="BS180" s="27" t="s">
        <v>8</v>
      </c>
      <c r="BT180" s="27" t="s">
        <v>7</v>
      </c>
      <c r="BV180" s="27" t="s">
        <v>7</v>
      </c>
      <c r="BW180" s="27" t="s">
        <v>8</v>
      </c>
      <c r="BX180" s="27" t="s">
        <v>7</v>
      </c>
      <c r="BY180" s="27" t="s">
        <v>8</v>
      </c>
      <c r="BZ180" s="27" t="s">
        <v>7</v>
      </c>
      <c r="CE180" s="31"/>
      <c r="CG180" s="27" t="s">
        <v>8</v>
      </c>
      <c r="CT180" s="31"/>
    </row>
    <row r="181" spans="1:101" x14ac:dyDescent="0.25">
      <c r="A181" s="30">
        <v>17.78970085154571</v>
      </c>
      <c r="C181"/>
      <c r="D181"/>
      <c r="E181"/>
      <c r="AA181" s="27" t="s">
        <v>8</v>
      </c>
      <c r="BR181" s="27" t="s">
        <v>7</v>
      </c>
      <c r="BV181" s="27" t="s">
        <v>7</v>
      </c>
      <c r="BW181" s="27" t="s">
        <v>8</v>
      </c>
      <c r="BX181" s="27" t="s">
        <v>7</v>
      </c>
      <c r="BY181" s="27" t="s">
        <v>8</v>
      </c>
      <c r="BZ181" s="27" t="s">
        <v>7</v>
      </c>
      <c r="CF181" s="31"/>
      <c r="CG181" s="27" t="s">
        <v>8</v>
      </c>
      <c r="CS181" s="31"/>
    </row>
    <row r="182" spans="1:101" x14ac:dyDescent="0.25">
      <c r="A182" s="30">
        <v>16.942572239567344</v>
      </c>
      <c r="E182"/>
      <c r="AA182" s="27" t="s">
        <v>8</v>
      </c>
      <c r="BV182" s="27" t="s">
        <v>7</v>
      </c>
      <c r="BW182" s="27" t="s">
        <v>8</v>
      </c>
      <c r="BX182" s="27" t="s">
        <v>7</v>
      </c>
      <c r="BY182" s="27" t="s">
        <v>8</v>
      </c>
      <c r="BZ182" s="27" t="s">
        <v>7</v>
      </c>
      <c r="CG182" s="31" t="s">
        <v>8</v>
      </c>
      <c r="CR182" s="31"/>
    </row>
    <row r="183" spans="1:101" x14ac:dyDescent="0.25">
      <c r="A183" s="30">
        <v>16.135783085302233</v>
      </c>
      <c r="E183"/>
      <c r="AA183" s="27" t="s">
        <v>8</v>
      </c>
      <c r="BV183" s="27" t="s">
        <v>7</v>
      </c>
      <c r="BW183" s="27" t="s">
        <v>8</v>
      </c>
      <c r="BX183" s="27" t="s">
        <v>7</v>
      </c>
      <c r="BY183" s="27" t="s">
        <v>8</v>
      </c>
      <c r="BZ183" s="27" t="s">
        <v>7</v>
      </c>
      <c r="CG183" s="27" t="s">
        <v>8</v>
      </c>
      <c r="CH183" s="31"/>
      <c r="CQ183" s="31"/>
    </row>
    <row r="184" spans="1:101" x14ac:dyDescent="0.25">
      <c r="A184" s="30">
        <v>15.367412462192602</v>
      </c>
      <c r="E184"/>
      <c r="Y184" s="27" t="s">
        <v>8</v>
      </c>
      <c r="AA184" s="27" t="s">
        <v>8</v>
      </c>
      <c r="BV184" s="27" t="s">
        <v>7</v>
      </c>
      <c r="BW184" s="27" t="s">
        <v>8</v>
      </c>
      <c r="BX184" s="27" t="s">
        <v>7</v>
      </c>
      <c r="BZ184" s="27" t="s">
        <v>7</v>
      </c>
      <c r="CA184" s="27" t="s">
        <v>8</v>
      </c>
      <c r="CG184" s="27" t="s">
        <v>8</v>
      </c>
      <c r="CP184" s="31"/>
    </row>
    <row r="185" spans="1:101" x14ac:dyDescent="0.25">
      <c r="A185" s="30">
        <v>14.635630916373906</v>
      </c>
      <c r="C185"/>
      <c r="E185"/>
      <c r="U185" s="27" t="s">
        <v>8</v>
      </c>
      <c r="Y185" s="27" t="s">
        <v>8</v>
      </c>
      <c r="Z185" s="27" t="s">
        <v>7</v>
      </c>
      <c r="AA185" s="27" t="s">
        <v>8</v>
      </c>
      <c r="AX185" s="31"/>
      <c r="BV185" s="27" t="s">
        <v>7</v>
      </c>
      <c r="BW185" s="27" t="s">
        <v>8</v>
      </c>
      <c r="BZ185" s="27" t="s">
        <v>7</v>
      </c>
      <c r="CA185" s="27" t="s">
        <v>8</v>
      </c>
      <c r="CB185" s="27" t="s">
        <v>7</v>
      </c>
      <c r="CG185" s="34" t="s">
        <v>8</v>
      </c>
      <c r="CO185" s="31"/>
    </row>
    <row r="186" spans="1:101" x14ac:dyDescent="0.25">
      <c r="A186" s="30">
        <v>13.938696110832291</v>
      </c>
      <c r="E186"/>
      <c r="U186" s="27" t="s">
        <v>8</v>
      </c>
      <c r="V186" s="27" t="s">
        <v>7</v>
      </c>
      <c r="Y186" s="27" t="s">
        <v>8</v>
      </c>
      <c r="Z186" s="27" t="s">
        <v>7</v>
      </c>
      <c r="AA186" s="27" t="s">
        <v>8</v>
      </c>
      <c r="BV186" s="27" t="s">
        <v>7</v>
      </c>
      <c r="BW186" s="27" t="s">
        <v>8</v>
      </c>
      <c r="BZ186" s="27" t="s">
        <v>7</v>
      </c>
      <c r="CA186" s="27" t="s">
        <v>8</v>
      </c>
      <c r="CB186" s="27" t="s">
        <v>7</v>
      </c>
      <c r="CE186" s="27" t="s">
        <v>8</v>
      </c>
      <c r="CG186" s="27" t="s">
        <v>8</v>
      </c>
      <c r="CN186" s="31"/>
    </row>
    <row r="187" spans="1:10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U187" s="27" t="s">
        <v>8</v>
      </c>
      <c r="V187" s="27" t="s">
        <v>7</v>
      </c>
      <c r="W187" s="27" t="s">
        <v>8</v>
      </c>
      <c r="Y187" s="27" t="s">
        <v>8</v>
      </c>
      <c r="Z187" s="27" t="s">
        <v>7</v>
      </c>
      <c r="AA187" s="27" t="s">
        <v>8</v>
      </c>
      <c r="BV187" s="27" t="s">
        <v>7</v>
      </c>
      <c r="BW187" s="27" t="s">
        <v>8</v>
      </c>
      <c r="BZ187" s="27" t="s">
        <v>7</v>
      </c>
      <c r="CA187" s="27" t="s">
        <v>8</v>
      </c>
      <c r="CB187" s="27" t="s">
        <v>7</v>
      </c>
      <c r="CE187" s="27" t="s">
        <v>8</v>
      </c>
      <c r="CF187" s="27" t="s">
        <v>7</v>
      </c>
      <c r="CG187" s="27" t="s">
        <v>8</v>
      </c>
      <c r="CM187" s="31"/>
    </row>
    <row r="188" spans="1:101" x14ac:dyDescent="0.25">
      <c r="A188" s="30">
        <v>12.64280826379346</v>
      </c>
      <c r="E188"/>
      <c r="U188" s="27" t="s">
        <v>8</v>
      </c>
      <c r="V188" s="27" t="s">
        <v>7</v>
      </c>
      <c r="W188" s="27" t="s">
        <v>8</v>
      </c>
      <c r="X188" s="27" t="s">
        <v>7</v>
      </c>
      <c r="Y188" s="27" t="s">
        <v>8</v>
      </c>
      <c r="Z188" s="27" t="s">
        <v>7</v>
      </c>
      <c r="BV188" s="27" t="s">
        <v>7</v>
      </c>
      <c r="BZ188" s="27" t="s">
        <v>7</v>
      </c>
      <c r="CB188" s="27" t="s">
        <v>7</v>
      </c>
      <c r="CE188" s="27" t="s">
        <v>8</v>
      </c>
      <c r="CF188" s="27" t="s">
        <v>7</v>
      </c>
      <c r="CG188" s="27" t="s">
        <v>8</v>
      </c>
      <c r="CL188" s="31"/>
    </row>
    <row r="189" spans="1:101" x14ac:dyDescent="0.25">
      <c r="A189" s="30">
        <v>12.04076977504139</v>
      </c>
      <c r="E189"/>
      <c r="U189" s="27" t="s">
        <v>8</v>
      </c>
      <c r="V189" s="27" t="s">
        <v>7</v>
      </c>
      <c r="W189" s="27" t="s">
        <v>8</v>
      </c>
      <c r="X189" s="27" t="s">
        <v>7</v>
      </c>
      <c r="Y189" s="27" t="s">
        <v>8</v>
      </c>
      <c r="CB189" s="27" t="s">
        <v>7</v>
      </c>
      <c r="CE189" s="34" t="s">
        <v>8</v>
      </c>
      <c r="CF189" s="27" t="s">
        <v>7</v>
      </c>
      <c r="CG189" s="27" t="s">
        <v>8</v>
      </c>
      <c r="CK189" s="31"/>
    </row>
    <row r="190" spans="1:101" x14ac:dyDescent="0.25">
      <c r="A190" s="30">
        <v>11.467399785753704</v>
      </c>
      <c r="E190"/>
      <c r="U190" s="27" t="s">
        <v>8</v>
      </c>
      <c r="V190" s="27" t="s">
        <v>7</v>
      </c>
      <c r="W190" s="27" t="s">
        <v>8</v>
      </c>
      <c r="X190" s="27" t="s">
        <v>7</v>
      </c>
      <c r="Y190" s="27" t="s">
        <v>8</v>
      </c>
      <c r="CB190" s="27" t="s">
        <v>7</v>
      </c>
      <c r="CC190" s="27" t="s">
        <v>8</v>
      </c>
      <c r="CE190" s="27" t="s">
        <v>8</v>
      </c>
      <c r="CF190" s="27" t="s">
        <v>7</v>
      </c>
      <c r="CG190" s="27" t="s">
        <v>8</v>
      </c>
      <c r="CJ190" s="31"/>
    </row>
    <row r="191" spans="1:101" x14ac:dyDescent="0.25">
      <c r="A191" s="30">
        <v>10.921333129289241</v>
      </c>
      <c r="E191"/>
      <c r="U191" s="27" t="s">
        <v>8</v>
      </c>
      <c r="V191" s="27" t="s">
        <v>7</v>
      </c>
      <c r="X191" s="27" t="s">
        <v>7</v>
      </c>
      <c r="CB191" s="27" t="s">
        <v>7</v>
      </c>
      <c r="CC191" s="27" t="s">
        <v>8</v>
      </c>
      <c r="CD191" s="27" t="s">
        <v>7</v>
      </c>
      <c r="CE191" s="27" t="s">
        <v>8</v>
      </c>
      <c r="CF191" s="27" t="s">
        <v>7</v>
      </c>
      <c r="CG191" s="27" t="s">
        <v>8</v>
      </c>
      <c r="CI191" s="31"/>
    </row>
    <row r="192" spans="1:101" x14ac:dyDescent="0.25">
      <c r="A192" s="30">
        <v>10.401269646942135</v>
      </c>
      <c r="E192"/>
      <c r="U192" s="27" t="s">
        <v>8</v>
      </c>
      <c r="AQ192" s="31"/>
      <c r="CB192" s="27" t="s">
        <v>7</v>
      </c>
      <c r="CC192" s="27" t="s">
        <v>8</v>
      </c>
      <c r="CD192" s="27" t="s">
        <v>7</v>
      </c>
      <c r="CE192" s="27" t="s">
        <v>8</v>
      </c>
      <c r="CF192" s="18" t="s">
        <v>7</v>
      </c>
      <c r="CG192" s="27" t="s">
        <v>8</v>
      </c>
      <c r="CH192" s="31"/>
    </row>
    <row r="193" spans="1:85" x14ac:dyDescent="0.25">
      <c r="A193" s="30">
        <v>9.9059710923258422</v>
      </c>
      <c r="E193"/>
      <c r="U193" s="27" t="s">
        <v>8</v>
      </c>
      <c r="CB193" s="27" t="s">
        <v>7</v>
      </c>
      <c r="CC193" s="27" t="s">
        <v>8</v>
      </c>
      <c r="CD193" s="27" t="s">
        <v>7</v>
      </c>
      <c r="CF193" s="27" t="s">
        <v>7</v>
      </c>
      <c r="CG193" s="31" t="s">
        <v>8</v>
      </c>
    </row>
    <row r="194" spans="1:85" x14ac:dyDescent="0.25">
      <c r="A194" s="30">
        <v>9.4342581831674686</v>
      </c>
      <c r="E194"/>
      <c r="U194" s="27" t="s">
        <v>8</v>
      </c>
      <c r="CB194" s="27" t="s">
        <v>7</v>
      </c>
      <c r="CF194" s="33" t="s">
        <v>7</v>
      </c>
    </row>
    <row r="195" spans="1:85" x14ac:dyDescent="0.25">
      <c r="A195" s="30">
        <v>8.9850077934928265</v>
      </c>
      <c r="E195"/>
      <c r="U195" s="27" t="s">
        <v>8</v>
      </c>
    </row>
    <row r="196" spans="1:85" x14ac:dyDescent="0.25">
      <c r="A196" s="30">
        <v>8.5571502795169767</v>
      </c>
      <c r="E196"/>
      <c r="U196" s="27" t="s">
        <v>8</v>
      </c>
    </row>
    <row r="197" spans="1:85" x14ac:dyDescent="0.25">
      <c r="A197" s="30">
        <v>8.1496669328733109</v>
      </c>
      <c r="E197"/>
      <c r="U197" s="27" t="s">
        <v>8</v>
      </c>
      <c r="AL197" s="31"/>
    </row>
    <row r="198" spans="1:85" x14ac:dyDescent="0.25">
      <c r="A198" s="30">
        <v>7.7615875551174378</v>
      </c>
      <c r="E198"/>
      <c r="U198" s="27" t="s">
        <v>8</v>
      </c>
    </row>
    <row r="199" spans="1:85" x14ac:dyDescent="0.25">
      <c r="A199" s="30">
        <v>7.3919881477308929</v>
      </c>
      <c r="E199"/>
      <c r="S199" s="27" t="s">
        <v>8</v>
      </c>
      <c r="U199" s="27" t="s">
        <v>8</v>
      </c>
    </row>
    <row r="200" spans="1:85" x14ac:dyDescent="0.25">
      <c r="A200" s="30">
        <v>7.0399887121246598</v>
      </c>
      <c r="E200"/>
      <c r="S200" s="27" t="s">
        <v>8</v>
      </c>
      <c r="T200" s="27" t="s">
        <v>7</v>
      </c>
      <c r="U200" s="27" t="s">
        <v>8</v>
      </c>
    </row>
    <row r="201" spans="1:85" x14ac:dyDescent="0.25">
      <c r="A201" s="30">
        <v>6.7047511544044376</v>
      </c>
      <c r="E201"/>
      <c r="S201" s="27" t="s">
        <v>8</v>
      </c>
      <c r="T201" s="27" t="s">
        <v>7</v>
      </c>
      <c r="U201" s="27" t="s">
        <v>8</v>
      </c>
    </row>
    <row r="202" spans="1:85" x14ac:dyDescent="0.25">
      <c r="A202" s="30">
        <v>6.3854772899089882</v>
      </c>
      <c r="E202"/>
      <c r="S202" s="27" t="s">
        <v>8</v>
      </c>
      <c r="T202" s="27" t="s">
        <v>7</v>
      </c>
      <c r="U202" s="27" t="s">
        <v>8</v>
      </c>
    </row>
    <row r="203" spans="1:85" x14ac:dyDescent="0.25">
      <c r="A203" s="30">
        <v>6.0814069427704647</v>
      </c>
      <c r="C203" s="7"/>
      <c r="D203"/>
      <c r="E203"/>
      <c r="S203" s="27" t="s">
        <v>8</v>
      </c>
      <c r="T203" s="27" t="s">
        <v>7</v>
      </c>
      <c r="U203" s="27" t="s">
        <v>8</v>
      </c>
      <c r="AF203" s="31"/>
    </row>
    <row r="204" spans="1:85" x14ac:dyDescent="0.25">
      <c r="A204" s="30">
        <v>5.7918161359718709</v>
      </c>
      <c r="E204"/>
      <c r="S204" s="27" t="s">
        <v>8</v>
      </c>
      <c r="T204" s="27" t="s">
        <v>7</v>
      </c>
    </row>
    <row r="205" spans="1:85" x14ac:dyDescent="0.25">
      <c r="A205" s="30">
        <v>5.5160153675922574</v>
      </c>
      <c r="E205"/>
      <c r="S205" s="27" t="s">
        <v>8</v>
      </c>
    </row>
    <row r="206" spans="1:85" x14ac:dyDescent="0.25">
      <c r="A206" s="30">
        <v>5.2533479691354827</v>
      </c>
      <c r="C206"/>
      <c r="D206"/>
      <c r="E206" t="s">
        <v>8</v>
      </c>
      <c r="S206" s="27" t="s">
        <v>8</v>
      </c>
    </row>
    <row r="207" spans="1:85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S207" s="27" t="s">
        <v>8</v>
      </c>
    </row>
    <row r="208" spans="1:85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S208" s="27" t="s">
        <v>8</v>
      </c>
      <c r="AA208" s="31"/>
    </row>
    <row r="209" spans="1:23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S209" s="27" t="s">
        <v>8</v>
      </c>
    </row>
    <row r="210" spans="1:23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  <c r="M210" s="27" t="s">
        <v>8</v>
      </c>
      <c r="S210" s="27" t="s">
        <v>8</v>
      </c>
    </row>
    <row r="211" spans="1:23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I211" s="27" t="s">
        <v>8</v>
      </c>
      <c r="J211" s="27" t="s">
        <v>7</v>
      </c>
      <c r="K211" s="27" t="s">
        <v>8</v>
      </c>
      <c r="L211" s="27" t="s">
        <v>7</v>
      </c>
      <c r="M211" s="27" t="s">
        <v>8</v>
      </c>
      <c r="N211" s="27" t="s">
        <v>7</v>
      </c>
      <c r="S211" s="27" t="s">
        <v>8</v>
      </c>
    </row>
    <row r="212" spans="1:23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  <c r="I212" s="27" t="s">
        <v>8</v>
      </c>
      <c r="J212" s="27" t="s">
        <v>7</v>
      </c>
      <c r="K212" s="27" t="s">
        <v>8</v>
      </c>
      <c r="L212" s="27" t="s">
        <v>7</v>
      </c>
      <c r="M212" s="27" t="s">
        <v>8</v>
      </c>
      <c r="N212" s="27" t="s">
        <v>7</v>
      </c>
      <c r="Q212" s="27" t="s">
        <v>8</v>
      </c>
      <c r="S212" s="27" t="s">
        <v>8</v>
      </c>
      <c r="W212" s="31"/>
    </row>
    <row r="213" spans="1:23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I213" s="27" t="s">
        <v>8</v>
      </c>
      <c r="J213" s="27" t="s">
        <v>7</v>
      </c>
      <c r="L213" s="27" t="s">
        <v>7</v>
      </c>
      <c r="M213" s="27" t="s">
        <v>8</v>
      </c>
      <c r="N213" s="27" t="s">
        <v>7</v>
      </c>
      <c r="Q213" s="27" t="s">
        <v>8</v>
      </c>
      <c r="R213" s="27" t="s">
        <v>7</v>
      </c>
      <c r="S213" s="27" t="s">
        <v>8</v>
      </c>
    </row>
    <row r="214" spans="1:23" x14ac:dyDescent="0.25">
      <c r="A214" s="30">
        <v>3.5556726879443583</v>
      </c>
      <c r="E214" t="s">
        <v>8</v>
      </c>
      <c r="F214" s="27" t="s">
        <v>7</v>
      </c>
      <c r="H214" s="27" t="s">
        <v>7</v>
      </c>
      <c r="I214" s="27" t="s">
        <v>8</v>
      </c>
      <c r="L214" s="27" t="s">
        <v>7</v>
      </c>
      <c r="M214" s="27" t="s">
        <v>8</v>
      </c>
      <c r="N214" s="27" t="s">
        <v>7</v>
      </c>
      <c r="O214" s="27" t="s">
        <v>8</v>
      </c>
      <c r="Q214" s="27" t="s">
        <v>8</v>
      </c>
      <c r="R214" s="27" t="s">
        <v>7</v>
      </c>
      <c r="S214" s="27" t="s">
        <v>8</v>
      </c>
      <c r="U214" s="31"/>
    </row>
    <row r="215" spans="1:23" x14ac:dyDescent="0.25">
      <c r="A215" s="30">
        <v>3.3863549408993889</v>
      </c>
      <c r="E215" t="s">
        <v>8</v>
      </c>
      <c r="H215" s="27" t="s">
        <v>7</v>
      </c>
      <c r="I215" s="27" t="s">
        <v>8</v>
      </c>
      <c r="L215" s="27" t="s">
        <v>7</v>
      </c>
      <c r="M215" s="27" t="s">
        <v>8</v>
      </c>
      <c r="N215" s="27" t="s">
        <v>7</v>
      </c>
      <c r="O215" s="27" t="s">
        <v>8</v>
      </c>
      <c r="P215" s="27" t="s">
        <v>7</v>
      </c>
      <c r="Q215" s="27" t="s">
        <v>8</v>
      </c>
      <c r="R215" s="27" t="s">
        <v>7</v>
      </c>
      <c r="T215" s="31"/>
    </row>
    <row r="216" spans="1:23" x14ac:dyDescent="0.25">
      <c r="A216" s="30">
        <v>3.2250999437137038</v>
      </c>
      <c r="E216" t="s">
        <v>8</v>
      </c>
      <c r="H216" s="27" t="s">
        <v>7</v>
      </c>
      <c r="L216" s="27" t="s">
        <v>7</v>
      </c>
      <c r="M216" s="27" t="s">
        <v>8</v>
      </c>
      <c r="N216" s="27" t="s">
        <v>7</v>
      </c>
      <c r="O216" s="27" t="s">
        <v>8</v>
      </c>
      <c r="P216" s="27" t="s">
        <v>7</v>
      </c>
      <c r="Q216" s="27" t="s">
        <v>8</v>
      </c>
      <c r="S216" s="31"/>
    </row>
    <row r="217" spans="1:23" x14ac:dyDescent="0.25">
      <c r="A217" s="30">
        <v>3.0715237559178128</v>
      </c>
      <c r="E217" t="s">
        <v>8</v>
      </c>
      <c r="L217" s="27" t="s">
        <v>7</v>
      </c>
      <c r="N217" s="27" t="s">
        <v>7</v>
      </c>
      <c r="O217" s="27" t="s">
        <v>8</v>
      </c>
      <c r="P217" s="27" t="s">
        <v>7</v>
      </c>
      <c r="Q217" s="27" t="s">
        <v>8</v>
      </c>
      <c r="R217" s="31"/>
    </row>
    <row r="218" spans="1:23" x14ac:dyDescent="0.25">
      <c r="A218" s="30">
        <v>2.9252607199217264</v>
      </c>
      <c r="E218" t="s">
        <v>8</v>
      </c>
      <c r="N218" s="27" t="s">
        <v>7</v>
      </c>
      <c r="P218" s="27" t="s">
        <v>7</v>
      </c>
      <c r="Q218" s="31" t="s">
        <v>8</v>
      </c>
    </row>
    <row r="219" spans="1:23" x14ac:dyDescent="0.25">
      <c r="A219" s="30">
        <v>2.7859625904016441</v>
      </c>
      <c r="E219" t="s">
        <v>8</v>
      </c>
      <c r="P219" s="31" t="s">
        <v>7</v>
      </c>
    </row>
    <row r="220" spans="1:23" x14ac:dyDescent="0.25">
      <c r="A220" s="30">
        <v>2.6532977051444226</v>
      </c>
      <c r="E220" t="s">
        <v>8</v>
      </c>
    </row>
    <row r="221" spans="1:23" x14ac:dyDescent="0.25">
      <c r="A221" s="30">
        <v>2.5269501953756404</v>
      </c>
      <c r="E221" t="s">
        <v>8</v>
      </c>
    </row>
    <row r="222" spans="1:23" x14ac:dyDescent="0.25">
      <c r="A222" s="30">
        <v>2.4066192336910861</v>
      </c>
      <c r="E222" t="s">
        <v>8</v>
      </c>
    </row>
    <row r="223" spans="1:23" x14ac:dyDescent="0.25">
      <c r="A223" s="30">
        <v>2.2920183178010345</v>
      </c>
      <c r="E223" t="s">
        <v>8</v>
      </c>
    </row>
    <row r="224" spans="1:23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3" operator="equal">
      <formula>$U$1</formula>
    </cfRule>
    <cfRule type="cellIs" dxfId="67" priority="914" operator="equal">
      <formula>$S$1</formula>
    </cfRule>
  </conditionalFormatting>
  <conditionalFormatting sqref="D136">
    <cfRule type="cellIs" dxfId="66" priority="911" operator="equal">
      <formula>$S$1</formula>
    </cfRule>
    <cfRule type="cellIs" dxfId="65" priority="912" operator="equal">
      <formula>$U$1</formula>
    </cfRule>
  </conditionalFormatting>
  <conditionalFormatting sqref="C162">
    <cfRule type="cellIs" dxfId="64" priority="909" operator="equal">
      <formula>$U$1</formula>
    </cfRule>
    <cfRule type="cellIs" dxfId="63" priority="910" operator="equal">
      <formula>$S$1</formula>
    </cfRule>
  </conditionalFormatting>
  <conditionalFormatting sqref="D162">
    <cfRule type="cellIs" dxfId="62" priority="907" operator="equal">
      <formula>$S$1</formula>
    </cfRule>
    <cfRule type="cellIs" dxfId="61" priority="908" operator="equal">
      <formula>$U$1</formula>
    </cfRule>
  </conditionalFormatting>
  <conditionalFormatting sqref="C187">
    <cfRule type="cellIs" dxfId="60" priority="905" operator="equal">
      <formula>$U$1</formula>
    </cfRule>
    <cfRule type="cellIs" dxfId="59" priority="906" operator="equal">
      <formula>$S$1</formula>
    </cfRule>
  </conditionalFormatting>
  <conditionalFormatting sqref="D187">
    <cfRule type="cellIs" dxfId="58" priority="903" operator="equal">
      <formula>$S$1</formula>
    </cfRule>
    <cfRule type="cellIs" dxfId="57" priority="904" operator="equal">
      <formula>$U$1</formula>
    </cfRule>
  </conditionalFormatting>
  <conditionalFormatting sqref="C212">
    <cfRule type="cellIs" dxfId="56" priority="901" operator="equal">
      <formula>$U$1</formula>
    </cfRule>
    <cfRule type="cellIs" dxfId="55" priority="902" operator="equal">
      <formula>$S$1</formula>
    </cfRule>
  </conditionalFormatting>
  <conditionalFormatting sqref="D212">
    <cfRule type="cellIs" dxfId="54" priority="899" operator="equal">
      <formula>$S$1</formula>
    </cfRule>
    <cfRule type="cellIs" dxfId="53" priority="900" operator="equal">
      <formula>$U$1</formula>
    </cfRule>
  </conditionalFormatting>
  <conditionalFormatting sqref="C237">
    <cfRule type="cellIs" dxfId="52" priority="897" operator="equal">
      <formula>$U$1</formula>
    </cfRule>
    <cfRule type="cellIs" dxfId="51" priority="898" operator="equal">
      <formula>$S$1</formula>
    </cfRule>
  </conditionalFormatting>
  <conditionalFormatting sqref="D237">
    <cfRule type="cellIs" dxfId="50" priority="895" operator="equal">
      <formula>$S$1</formula>
    </cfRule>
    <cfRule type="cellIs" dxfId="49" priority="896" operator="equal">
      <formula>$U$1</formula>
    </cfRule>
  </conditionalFormatting>
  <conditionalFormatting sqref="C106">
    <cfRule type="cellIs" dxfId="48" priority="893" operator="equal">
      <formula>$U$1</formula>
    </cfRule>
    <cfRule type="cellIs" dxfId="47" priority="894" operator="equal">
      <formula>$S$1</formula>
    </cfRule>
  </conditionalFormatting>
  <conditionalFormatting sqref="D106">
    <cfRule type="cellIs" dxfId="46" priority="891" operator="equal">
      <formula>$S$1</formula>
    </cfRule>
    <cfRule type="cellIs" dxfId="45" priority="892" operator="equal">
      <formula>$U$1</formula>
    </cfRule>
  </conditionalFormatting>
  <conditionalFormatting sqref="C81">
    <cfRule type="cellIs" dxfId="44" priority="889" operator="equal">
      <formula>$U$1</formula>
    </cfRule>
    <cfRule type="cellIs" dxfId="43" priority="890" operator="equal">
      <formula>$S$1</formula>
    </cfRule>
  </conditionalFormatting>
  <conditionalFormatting sqref="D81">
    <cfRule type="cellIs" dxfId="42" priority="887" operator="equal">
      <formula>$S$1</formula>
    </cfRule>
    <cfRule type="cellIs" dxfId="41" priority="888" operator="equal">
      <formula>$U$1</formula>
    </cfRule>
  </conditionalFormatting>
  <conditionalFormatting sqref="C56">
    <cfRule type="cellIs" dxfId="40" priority="885" operator="equal">
      <formula>$U$1</formula>
    </cfRule>
    <cfRule type="cellIs" dxfId="39" priority="886" operator="equal">
      <formula>$S$1</formula>
    </cfRule>
  </conditionalFormatting>
  <conditionalFormatting sqref="D56">
    <cfRule type="cellIs" dxfId="38" priority="883" operator="equal">
      <formula>$S$1</formula>
    </cfRule>
    <cfRule type="cellIs" dxfId="37" priority="884" operator="equal">
      <formula>$U$1</formula>
    </cfRule>
  </conditionalFormatting>
  <conditionalFormatting sqref="C31">
    <cfRule type="cellIs" dxfId="36" priority="881" operator="equal">
      <formula>$U$1</formula>
    </cfRule>
    <cfRule type="cellIs" dxfId="35" priority="882" operator="equal">
      <formula>$S$1</formula>
    </cfRule>
  </conditionalFormatting>
  <conditionalFormatting sqref="D31">
    <cfRule type="cellIs" dxfId="34" priority="879" operator="equal">
      <formula>$S$1</formula>
    </cfRule>
    <cfRule type="cellIs" dxfId="33" priority="88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5" zoomScale="90" zoomScaleNormal="90" workbookViewId="0">
      <pane xSplit="4" topLeftCell="G1" activePane="topRight" state="frozen"/>
      <selection activeCell="A109" sqref="A109"/>
      <selection pane="topRight" activeCell="AQ76" sqref="AQ7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3" x14ac:dyDescent="0.25">
      <c r="A65" s="30">
        <v>207.96505671840671</v>
      </c>
      <c r="E65"/>
    </row>
    <row r="66" spans="1:43" x14ac:dyDescent="0.25">
      <c r="A66" s="30">
        <v>189.05914247127882</v>
      </c>
      <c r="E66"/>
    </row>
    <row r="67" spans="1:43" x14ac:dyDescent="0.25">
      <c r="A67" s="30">
        <v>171.87194770116255</v>
      </c>
      <c r="C67" s="1" t="s">
        <v>15</v>
      </c>
      <c r="E67"/>
    </row>
    <row r="68" spans="1:43" x14ac:dyDescent="0.25">
      <c r="A68" s="30">
        <v>156.24722518287504</v>
      </c>
      <c r="C68" s="7">
        <v>0.11167815779424731</v>
      </c>
      <c r="D68"/>
      <c r="E68"/>
    </row>
    <row r="69" spans="1:43" x14ac:dyDescent="0.25">
      <c r="A69" s="30">
        <v>142.04293198443185</v>
      </c>
      <c r="E69"/>
      <c r="AM69" s="27" t="s">
        <v>8</v>
      </c>
    </row>
    <row r="70" spans="1:43" x14ac:dyDescent="0.25">
      <c r="A70" s="30">
        <v>129.1299381676653</v>
      </c>
      <c r="C70" s="1" t="s">
        <v>11</v>
      </c>
      <c r="D70" s="1" t="s">
        <v>12</v>
      </c>
      <c r="E70"/>
      <c r="AM70" s="27" t="s">
        <v>8</v>
      </c>
      <c r="AN70" s="27" t="s">
        <v>7</v>
      </c>
    </row>
    <row r="71" spans="1:43" x14ac:dyDescent="0.25">
      <c r="A71" s="30">
        <v>117.39085287969573</v>
      </c>
      <c r="C71"/>
      <c r="D71"/>
      <c r="E71"/>
      <c r="AM71" s="27" t="s">
        <v>8</v>
      </c>
      <c r="AN71" s="27" t="s">
        <v>7</v>
      </c>
      <c r="AO71" s="27" t="s">
        <v>8</v>
      </c>
    </row>
    <row r="72" spans="1:43" x14ac:dyDescent="0.25">
      <c r="A72" s="30">
        <v>106.71895716335975</v>
      </c>
      <c r="E72"/>
      <c r="AM72" s="27" t="s">
        <v>8</v>
      </c>
      <c r="AN72" s="27" t="s">
        <v>7</v>
      </c>
      <c r="AO72" s="27" t="s">
        <v>8</v>
      </c>
      <c r="AP72" s="27" t="s">
        <v>7</v>
      </c>
    </row>
    <row r="73" spans="1:43" x14ac:dyDescent="0.25">
      <c r="A73" s="30">
        <v>97.017233784872488</v>
      </c>
      <c r="C73" s="1" t="s">
        <v>13</v>
      </c>
      <c r="E73"/>
      <c r="AM73" s="27" t="s">
        <v>8</v>
      </c>
      <c r="AN73" s="27" t="s">
        <v>7</v>
      </c>
      <c r="AO73" s="27" t="s">
        <v>8</v>
      </c>
      <c r="AP73" s="27" t="s">
        <v>7</v>
      </c>
    </row>
    <row r="74" spans="1:43" x14ac:dyDescent="0.25">
      <c r="A74" s="30">
        <v>88.197485258974979</v>
      </c>
      <c r="C74" s="1">
        <f>C63</f>
        <v>0</v>
      </c>
      <c r="E74"/>
      <c r="AM74" s="27" t="s">
        <v>8</v>
      </c>
      <c r="AN74" s="27" t="s">
        <v>7</v>
      </c>
      <c r="AO74" s="27" t="s">
        <v>8</v>
      </c>
      <c r="AP74" s="27" t="s">
        <v>7</v>
      </c>
    </row>
    <row r="75" spans="1:43" x14ac:dyDescent="0.25">
      <c r="A75" s="30">
        <v>80.179532053613613</v>
      </c>
      <c r="C75"/>
      <c r="D75"/>
      <c r="E75"/>
      <c r="AM75" s="27" t="s">
        <v>8</v>
      </c>
      <c r="AN75" s="27" t="s">
        <v>7</v>
      </c>
      <c r="AP75" s="27" t="s">
        <v>7</v>
      </c>
    </row>
    <row r="76" spans="1:43" x14ac:dyDescent="0.25">
      <c r="A76" s="30">
        <v>72.890483685103277</v>
      </c>
      <c r="C76" s="1" t="s">
        <v>14</v>
      </c>
      <c r="E76"/>
      <c r="AI76" s="32" t="s">
        <v>8</v>
      </c>
      <c r="AK76" s="32" t="s">
        <v>8</v>
      </c>
      <c r="AM76" s="27" t="s">
        <v>8</v>
      </c>
      <c r="AP76" s="27" t="s">
        <v>7</v>
      </c>
      <c r="AQ76" s="27" t="s">
        <v>8</v>
      </c>
    </row>
    <row r="77" spans="1:43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I77" s="27" t="s">
        <v>8</v>
      </c>
      <c r="AJ77" s="27" t="s">
        <v>7</v>
      </c>
      <c r="AK77" s="27" t="s">
        <v>8</v>
      </c>
      <c r="AL77" s="27" t="s">
        <v>7</v>
      </c>
      <c r="AM77" s="27" t="s">
        <v>8</v>
      </c>
      <c r="AP77" s="27" t="s">
        <v>7</v>
      </c>
      <c r="AQ77" s="27" t="s">
        <v>8</v>
      </c>
    </row>
    <row r="78" spans="1:43" x14ac:dyDescent="0.25">
      <c r="A78" s="30">
        <v>60.240069161242367</v>
      </c>
      <c r="E78"/>
      <c r="O78" s="27" t="s">
        <v>8</v>
      </c>
      <c r="AI78" s="27" t="s">
        <v>8</v>
      </c>
      <c r="AJ78" s="27" t="s">
        <v>7</v>
      </c>
      <c r="AK78" s="27" t="s">
        <v>8</v>
      </c>
      <c r="AL78" s="27" t="s">
        <v>7</v>
      </c>
      <c r="AM78" s="27" t="s">
        <v>8</v>
      </c>
      <c r="AP78" s="27" t="s">
        <v>7</v>
      </c>
      <c r="AQ78" s="27" t="s">
        <v>8</v>
      </c>
    </row>
    <row r="79" spans="1:43" x14ac:dyDescent="0.25">
      <c r="A79" s="30">
        <v>54.763699237493057</v>
      </c>
      <c r="E79"/>
      <c r="O79" s="27" t="s">
        <v>8</v>
      </c>
      <c r="P79" s="27" t="s">
        <v>7</v>
      </c>
      <c r="AG79" s="27" t="s">
        <v>8</v>
      </c>
      <c r="AI79" s="27" t="s">
        <v>8</v>
      </c>
      <c r="AJ79" s="27" t="s">
        <v>7</v>
      </c>
      <c r="AL79" s="27" t="s">
        <v>7</v>
      </c>
      <c r="AP79" s="27" t="s">
        <v>7</v>
      </c>
    </row>
    <row r="80" spans="1:43" x14ac:dyDescent="0.25">
      <c r="A80" s="30">
        <v>49.785181124993684</v>
      </c>
      <c r="E80"/>
      <c r="O80" s="27" t="s">
        <v>8</v>
      </c>
      <c r="P80" s="27" t="s">
        <v>7</v>
      </c>
      <c r="AG80" s="27" t="s">
        <v>8</v>
      </c>
      <c r="AH80" s="27" t="s">
        <v>7</v>
      </c>
      <c r="AI80" s="27" t="s">
        <v>8</v>
      </c>
    </row>
    <row r="81" spans="1:35" x14ac:dyDescent="0.25">
      <c r="A81" s="30">
        <v>45.259255568176073</v>
      </c>
      <c r="E81"/>
      <c r="O81" s="27" t="s">
        <v>8</v>
      </c>
      <c r="P81" s="27" t="s">
        <v>7</v>
      </c>
      <c r="AG81" s="27" t="s">
        <v>8</v>
      </c>
      <c r="AH81" s="27" t="s">
        <v>7</v>
      </c>
      <c r="AI81" s="27" t="s">
        <v>8</v>
      </c>
    </row>
    <row r="82" spans="1:35" x14ac:dyDescent="0.25">
      <c r="A82" s="30">
        <v>41.144777789250973</v>
      </c>
      <c r="E82"/>
      <c r="O82" s="27" t="s">
        <v>8</v>
      </c>
      <c r="P82" s="27" t="s">
        <v>7</v>
      </c>
      <c r="W82" s="32" t="s">
        <v>8</v>
      </c>
      <c r="Y82" s="32" t="s">
        <v>8</v>
      </c>
      <c r="AG82" s="27" t="s">
        <v>8</v>
      </c>
      <c r="AH82" s="27" t="s">
        <v>7</v>
      </c>
      <c r="AI82" s="27" t="s">
        <v>8</v>
      </c>
    </row>
    <row r="83" spans="1:35" x14ac:dyDescent="0.25">
      <c r="A83" s="30">
        <v>37.404343444773609</v>
      </c>
      <c r="E83"/>
      <c r="O83" s="27" t="s">
        <v>8</v>
      </c>
      <c r="P83" s="27" t="s">
        <v>7</v>
      </c>
      <c r="S83" s="32" t="s">
        <v>8</v>
      </c>
      <c r="U83" s="32" t="s">
        <v>8</v>
      </c>
      <c r="W83" s="27" t="s">
        <v>8</v>
      </c>
      <c r="X83" s="27" t="s">
        <v>7</v>
      </c>
      <c r="Y83" s="27" t="s">
        <v>8</v>
      </c>
      <c r="Z83" s="31" t="s">
        <v>7</v>
      </c>
      <c r="AG83" s="27" t="s">
        <v>8</v>
      </c>
      <c r="AH83" s="27" t="s">
        <v>7</v>
      </c>
      <c r="AI83" s="27" t="s">
        <v>8</v>
      </c>
    </row>
    <row r="84" spans="1:35" x14ac:dyDescent="0.25">
      <c r="A84" s="30">
        <v>34.003948586157826</v>
      </c>
      <c r="E84"/>
      <c r="O84" s="27" t="s">
        <v>8</v>
      </c>
      <c r="P84" s="27" t="s">
        <v>7</v>
      </c>
      <c r="S84" s="27" t="s">
        <v>8</v>
      </c>
      <c r="T84" s="27" t="s">
        <v>7</v>
      </c>
      <c r="U84" s="27" t="s">
        <v>8</v>
      </c>
      <c r="V84" s="27" t="s">
        <v>7</v>
      </c>
      <c r="W84" s="27" t="s">
        <v>8</v>
      </c>
      <c r="X84" s="27" t="s">
        <v>7</v>
      </c>
      <c r="Y84" s="27" t="s">
        <v>8</v>
      </c>
      <c r="Z84" s="27" t="s">
        <v>7</v>
      </c>
      <c r="AA84" s="31"/>
      <c r="AG84" s="27" t="s">
        <v>8</v>
      </c>
      <c r="AH84" s="27" t="s">
        <v>7</v>
      </c>
    </row>
    <row r="85" spans="1:35" x14ac:dyDescent="0.25">
      <c r="A85" s="30">
        <v>30.912680532870748</v>
      </c>
      <c r="E85"/>
      <c r="O85" s="27" t="s">
        <v>8</v>
      </c>
      <c r="P85" s="27" t="s">
        <v>7</v>
      </c>
      <c r="Q85" s="27" t="s">
        <v>8</v>
      </c>
      <c r="S85" s="27" t="s">
        <v>8</v>
      </c>
      <c r="T85" s="27" t="s">
        <v>7</v>
      </c>
      <c r="U85" s="27" t="s">
        <v>8</v>
      </c>
      <c r="V85" s="27" t="s">
        <v>7</v>
      </c>
      <c r="W85" s="27" t="s">
        <v>8</v>
      </c>
      <c r="X85" s="27" t="s">
        <v>7</v>
      </c>
      <c r="Z85" s="27" t="s">
        <v>7</v>
      </c>
      <c r="AB85" s="31"/>
      <c r="AG85" s="27" t="s">
        <v>8</v>
      </c>
    </row>
    <row r="86" spans="1:35" x14ac:dyDescent="0.25">
      <c r="A86" s="30">
        <v>28.102436848064315</v>
      </c>
      <c r="E86"/>
      <c r="O86" s="27" t="s">
        <v>8</v>
      </c>
      <c r="P86" s="27" t="s">
        <v>7</v>
      </c>
      <c r="Q86" s="27" t="s">
        <v>8</v>
      </c>
      <c r="R86" s="27" t="s">
        <v>7</v>
      </c>
      <c r="S86" s="27" t="s">
        <v>8</v>
      </c>
      <c r="T86" s="27" t="s">
        <v>7</v>
      </c>
      <c r="U86" s="27" t="s">
        <v>8</v>
      </c>
      <c r="V86" s="27" t="s">
        <v>7</v>
      </c>
      <c r="W86" s="27" t="s">
        <v>8</v>
      </c>
      <c r="Z86" s="27" t="s">
        <v>7</v>
      </c>
      <c r="AA86" s="27" t="s">
        <v>8</v>
      </c>
      <c r="AC86" s="31"/>
      <c r="AG86" s="27" t="s">
        <v>8</v>
      </c>
    </row>
    <row r="87" spans="1:35" x14ac:dyDescent="0.25">
      <c r="A87" s="30">
        <v>25.547669861876649</v>
      </c>
      <c r="E87"/>
      <c r="O87" s="27" t="s">
        <v>8</v>
      </c>
      <c r="P87" s="27" t="s">
        <v>7</v>
      </c>
      <c r="Q87" s="27" t="s">
        <v>8</v>
      </c>
      <c r="R87" s="27" t="s">
        <v>7</v>
      </c>
      <c r="S87" s="27" t="s">
        <v>8</v>
      </c>
      <c r="T87" s="27" t="s">
        <v>7</v>
      </c>
      <c r="V87" s="27" t="s">
        <v>7</v>
      </c>
      <c r="W87" s="27" t="s">
        <v>8</v>
      </c>
      <c r="Z87" s="27" t="s">
        <v>7</v>
      </c>
      <c r="AA87" s="27" t="s">
        <v>8</v>
      </c>
      <c r="AB87" s="27" t="s">
        <v>7</v>
      </c>
      <c r="AD87" s="31"/>
      <c r="AG87" s="27" t="s">
        <v>8</v>
      </c>
    </row>
    <row r="88" spans="1:35" x14ac:dyDescent="0.25">
      <c r="A88" s="30">
        <v>23.225154419887861</v>
      </c>
      <c r="E88"/>
      <c r="O88" s="27" t="s">
        <v>8</v>
      </c>
      <c r="P88" s="32" t="s">
        <v>7</v>
      </c>
      <c r="R88" s="32" t="s">
        <v>7</v>
      </c>
      <c r="V88" s="33" t="s">
        <v>7</v>
      </c>
      <c r="W88" s="27" t="s">
        <v>8</v>
      </c>
      <c r="Z88" s="27" t="s">
        <v>7</v>
      </c>
      <c r="AA88" s="27" t="s">
        <v>8</v>
      </c>
      <c r="AB88" s="27" t="s">
        <v>7</v>
      </c>
      <c r="AE88" s="31"/>
      <c r="AG88" s="27" t="s">
        <v>8</v>
      </c>
    </row>
    <row r="89" spans="1:35" x14ac:dyDescent="0.25">
      <c r="A89" s="30">
        <v>21.113776745352599</v>
      </c>
      <c r="E89"/>
      <c r="O89" s="27" t="s">
        <v>8</v>
      </c>
      <c r="V89" s="27" t="s">
        <v>7</v>
      </c>
      <c r="Z89" s="27" t="s">
        <v>7</v>
      </c>
      <c r="AA89" s="27" t="s">
        <v>8</v>
      </c>
      <c r="AB89" s="27" t="s">
        <v>7</v>
      </c>
      <c r="AC89" s="27" t="s">
        <v>8</v>
      </c>
      <c r="AF89" s="31"/>
      <c r="AG89" s="27" t="s">
        <v>8</v>
      </c>
    </row>
    <row r="90" spans="1:35" x14ac:dyDescent="0.25">
      <c r="A90" s="30">
        <v>19.194342495775089</v>
      </c>
      <c r="E90"/>
      <c r="O90" s="27" t="s">
        <v>8</v>
      </c>
      <c r="Z90" s="27" t="s">
        <v>7</v>
      </c>
      <c r="AB90" s="27" t="s">
        <v>7</v>
      </c>
      <c r="AC90" s="27" t="s">
        <v>8</v>
      </c>
      <c r="AD90" s="27" t="s">
        <v>7</v>
      </c>
      <c r="AG90" s="31" t="s">
        <v>8</v>
      </c>
    </row>
    <row r="91" spans="1:35" x14ac:dyDescent="0.25">
      <c r="A91" s="30">
        <v>17.449402268886445</v>
      </c>
      <c r="E91"/>
      <c r="O91" s="27" t="s">
        <v>8</v>
      </c>
      <c r="AB91" s="27" t="s">
        <v>7</v>
      </c>
      <c r="AC91" s="27" t="s">
        <v>8</v>
      </c>
      <c r="AD91" s="27" t="s">
        <v>7</v>
      </c>
      <c r="AG91" s="27" t="s">
        <v>8</v>
      </c>
      <c r="AH91" s="31"/>
    </row>
    <row r="92" spans="1:35" x14ac:dyDescent="0.25">
      <c r="A92" s="30">
        <v>15.863092971714948</v>
      </c>
      <c r="C92" s="1" t="s">
        <v>15</v>
      </c>
      <c r="E92"/>
      <c r="O92" s="27" t="s">
        <v>8</v>
      </c>
      <c r="AB92" s="27" t="s">
        <v>7</v>
      </c>
      <c r="AC92" s="27" t="s">
        <v>8</v>
      </c>
      <c r="AD92" s="27" t="s">
        <v>7</v>
      </c>
      <c r="AG92" s="27" t="s">
        <v>8</v>
      </c>
    </row>
    <row r="93" spans="1:35" x14ac:dyDescent="0.25">
      <c r="A93" s="30">
        <v>14.420993610649951</v>
      </c>
      <c r="C93" s="7">
        <v>0.11167815779424731</v>
      </c>
      <c r="D93"/>
      <c r="E93"/>
      <c r="M93" s="27" t="s">
        <v>8</v>
      </c>
      <c r="O93" s="27" t="s">
        <v>8</v>
      </c>
      <c r="AB93" s="27" t="s">
        <v>7</v>
      </c>
      <c r="AC93" s="31" t="s">
        <v>8</v>
      </c>
      <c r="AD93" s="27" t="s">
        <v>7</v>
      </c>
      <c r="AG93" s="27" t="s">
        <v>8</v>
      </c>
    </row>
    <row r="94" spans="1:35" x14ac:dyDescent="0.25">
      <c r="A94" s="30">
        <v>13.109994191499954</v>
      </c>
      <c r="E94"/>
      <c r="M94" s="27" t="s">
        <v>8</v>
      </c>
      <c r="N94" s="27" t="s">
        <v>7</v>
      </c>
      <c r="O94" s="27" t="s">
        <v>8</v>
      </c>
      <c r="AB94" s="31" t="s">
        <v>7</v>
      </c>
      <c r="AD94" s="27" t="s">
        <v>7</v>
      </c>
      <c r="AE94" s="18" t="s">
        <v>8</v>
      </c>
      <c r="AG94" s="27" t="s">
        <v>8</v>
      </c>
    </row>
    <row r="95" spans="1:35" x14ac:dyDescent="0.25">
      <c r="A95" s="30">
        <v>11.918176537727231</v>
      </c>
      <c r="C95" s="1" t="s">
        <v>11</v>
      </c>
      <c r="D95" s="1" t="s">
        <v>12</v>
      </c>
      <c r="E95"/>
      <c r="M95" s="27" t="s">
        <v>8</v>
      </c>
      <c r="N95" s="27" t="s">
        <v>7</v>
      </c>
      <c r="O95" s="27" t="s">
        <v>8</v>
      </c>
      <c r="AA95" s="31"/>
      <c r="AD95" s="27" t="s">
        <v>7</v>
      </c>
      <c r="AE95" s="27" t="s">
        <v>8</v>
      </c>
      <c r="AF95" s="27" t="s">
        <v>7</v>
      </c>
      <c r="AG95" s="27" t="s">
        <v>8</v>
      </c>
    </row>
    <row r="96" spans="1:35" x14ac:dyDescent="0.25">
      <c r="A96" s="30">
        <v>10.834705943388391</v>
      </c>
      <c r="C96"/>
      <c r="D96"/>
      <c r="E96"/>
      <c r="M96" s="27" t="s">
        <v>8</v>
      </c>
      <c r="N96" s="27" t="s">
        <v>7</v>
      </c>
      <c r="Z96" s="31"/>
      <c r="AD96" s="27" t="s">
        <v>7</v>
      </c>
      <c r="AE96" s="27" t="s">
        <v>8</v>
      </c>
      <c r="AF96" s="27" t="s">
        <v>7</v>
      </c>
      <c r="AG96" s="27" t="s">
        <v>8</v>
      </c>
    </row>
    <row r="97" spans="1:32" x14ac:dyDescent="0.25">
      <c r="A97" s="30">
        <v>9.849732675807628</v>
      </c>
      <c r="E97"/>
      <c r="M97" s="27" t="s">
        <v>8</v>
      </c>
      <c r="Y97" s="31"/>
      <c r="AD97" s="32" t="s">
        <v>7</v>
      </c>
      <c r="AF97" s="32" t="s">
        <v>7</v>
      </c>
    </row>
    <row r="98" spans="1:32" x14ac:dyDescent="0.25">
      <c r="A98" s="30">
        <v>8.9543024325523888</v>
      </c>
      <c r="C98" s="1" t="s">
        <v>13</v>
      </c>
      <c r="E98"/>
      <c r="M98" s="27" t="s">
        <v>8</v>
      </c>
      <c r="X98" s="31"/>
    </row>
    <row r="99" spans="1:32" x14ac:dyDescent="0.25">
      <c r="A99" s="30">
        <v>8.140274938683989</v>
      </c>
      <c r="C99" s="1">
        <f>C88</f>
        <v>0</v>
      </c>
      <c r="E99"/>
      <c r="M99" s="27" t="s">
        <v>8</v>
      </c>
      <c r="W99" s="31"/>
    </row>
    <row r="100" spans="1:32" x14ac:dyDescent="0.25">
      <c r="A100" s="30">
        <v>7.4002499442581717</v>
      </c>
      <c r="C100"/>
      <c r="D100"/>
      <c r="E100"/>
      <c r="M100" s="27" t="s">
        <v>8</v>
      </c>
      <c r="V100" s="31"/>
    </row>
    <row r="101" spans="1:32" x14ac:dyDescent="0.25">
      <c r="A101" s="30">
        <v>6.72749994932561</v>
      </c>
      <c r="C101" s="1" t="s">
        <v>14</v>
      </c>
      <c r="E101"/>
      <c r="M101" s="27" t="s">
        <v>8</v>
      </c>
      <c r="U101" s="31"/>
    </row>
    <row r="102" spans="1:3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M102" s="27" t="s">
        <v>8</v>
      </c>
      <c r="T102" s="31"/>
    </row>
    <row r="103" spans="1:32" x14ac:dyDescent="0.25">
      <c r="A103" s="30">
        <v>5.5599173134922388</v>
      </c>
      <c r="E103"/>
      <c r="M103" s="27" t="s">
        <v>8</v>
      </c>
      <c r="S103" s="31"/>
    </row>
    <row r="104" spans="1:32" x14ac:dyDescent="0.25">
      <c r="A104" s="30">
        <v>5.0544702849929442</v>
      </c>
      <c r="E104" t="s">
        <v>8</v>
      </c>
      <c r="M104" s="27" t="s">
        <v>8</v>
      </c>
      <c r="R104" s="31"/>
    </row>
    <row r="105" spans="1:32" x14ac:dyDescent="0.25">
      <c r="A105" s="30">
        <v>4.594972986357222</v>
      </c>
      <c r="E105" t="s">
        <v>8</v>
      </c>
      <c r="F105" s="27" t="s">
        <v>7</v>
      </c>
      <c r="G105" s="32" t="s">
        <v>8</v>
      </c>
      <c r="I105" s="32" t="s">
        <v>8</v>
      </c>
      <c r="M105" s="34" t="s">
        <v>8</v>
      </c>
      <c r="Q105" s="31"/>
    </row>
    <row r="106" spans="1:32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M106" s="27" t="s">
        <v>8</v>
      </c>
      <c r="P106" s="31"/>
    </row>
    <row r="107" spans="1:32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I107" s="27" t="s">
        <v>8</v>
      </c>
      <c r="J107" s="27" t="s">
        <v>7</v>
      </c>
      <c r="K107" s="27" t="s">
        <v>8</v>
      </c>
      <c r="L107" s="27" t="s">
        <v>7</v>
      </c>
      <c r="M107" s="27" t="s">
        <v>8</v>
      </c>
      <c r="O107" s="31"/>
    </row>
    <row r="108" spans="1:32" x14ac:dyDescent="0.25">
      <c r="A108" s="30">
        <v>3.4522712143931042</v>
      </c>
      <c r="E108" t="s">
        <v>8</v>
      </c>
      <c r="F108" s="27" t="s">
        <v>7</v>
      </c>
      <c r="H108" s="27" t="s">
        <v>7</v>
      </c>
      <c r="J108" s="27" t="s">
        <v>7</v>
      </c>
      <c r="K108" s="27" t="s">
        <v>8</v>
      </c>
      <c r="L108" s="27" t="s">
        <v>7</v>
      </c>
      <c r="M108" s="27" t="s">
        <v>8</v>
      </c>
      <c r="N108" s="31"/>
    </row>
    <row r="109" spans="1:32" x14ac:dyDescent="0.25">
      <c r="A109" s="30">
        <v>3.1384283767210035</v>
      </c>
      <c r="E109" t="s">
        <v>8</v>
      </c>
      <c r="J109" s="27" t="s">
        <v>7</v>
      </c>
      <c r="L109" s="27" t="s">
        <v>7</v>
      </c>
      <c r="M109" s="31" t="s">
        <v>8</v>
      </c>
    </row>
    <row r="110" spans="1:32" x14ac:dyDescent="0.25">
      <c r="A110" s="30">
        <v>2.8531167061100029</v>
      </c>
      <c r="E110" t="s">
        <v>8</v>
      </c>
      <c r="L110" s="31" t="s">
        <v>7</v>
      </c>
    </row>
    <row r="111" spans="1:32" x14ac:dyDescent="0.25">
      <c r="A111" s="30">
        <v>2.5937424601000023</v>
      </c>
      <c r="C111" s="1" t="str">
        <f>ADDRESS(C121-1,1,1,1)</f>
        <v>$A$75</v>
      </c>
      <c r="D111" s="1" t="str">
        <f>ADDRESS(C121-1,D121,1,1)</f>
        <v>$AQ$75</v>
      </c>
      <c r="E111" t="s">
        <v>8</v>
      </c>
    </row>
    <row r="112" spans="1:32" x14ac:dyDescent="0.25">
      <c r="A112" s="30">
        <v>2.3579476910000019</v>
      </c>
      <c r="C112" s="1" t="str">
        <f>ADDRESS(C121,1,1,1)</f>
        <v>$A$76</v>
      </c>
      <c r="D112" s="1" t="str">
        <f>ADDRESS(C121,D121-1,1,1)</f>
        <v>$AP$76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$A$77</v>
      </c>
      <c r="D113" s="1" t="str">
        <f>ADDRESS(C121-1,D121+1,1,1)</f>
        <v>$AR$75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$AQ$76</v>
      </c>
      <c r="D114" s="1" t="str">
        <f>ADDRESS(C121+1,D121+1,1,1)</f>
        <v>$AR$77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$AQ$77</v>
      </c>
      <c r="E115" s="1" t="s">
        <v>8</v>
      </c>
    </row>
    <row r="116" spans="1:5" x14ac:dyDescent="0.25">
      <c r="A116" s="30">
        <v>1.6105100000000008</v>
      </c>
      <c r="C116" s="1">
        <f>C117-1</f>
        <v>75</v>
      </c>
      <c r="E116" s="1" t="s">
        <v>8</v>
      </c>
    </row>
    <row r="117" spans="1:5" x14ac:dyDescent="0.25">
      <c r="A117" s="30">
        <v>1.4641000000000006</v>
      </c>
      <c r="C117" s="1">
        <f>C121</f>
        <v>76</v>
      </c>
      <c r="D117" s="1">
        <f>D121</f>
        <v>43</v>
      </c>
      <c r="E117" s="1" t="s">
        <v>8</v>
      </c>
    </row>
    <row r="118" spans="1:5" x14ac:dyDescent="0.25">
      <c r="A118" s="30">
        <v>1.3310000000000004</v>
      </c>
      <c r="C118" s="1">
        <f>C117+1</f>
        <v>77</v>
      </c>
      <c r="D118" s="1">
        <f>D117+1</f>
        <v>44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76</v>
      </c>
      <c r="D121" s="19">
        <v>43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R76</v>
      </c>
      <c r="D123" s="1" t="str">
        <f>"C"&amp;D121</f>
        <v>C43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72.890483685103277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7" operator="equal">
      <formula>$U$1</formula>
    </cfRule>
    <cfRule type="cellIs" dxfId="30" priority="898" operator="equal">
      <formula>$S$1</formula>
    </cfRule>
  </conditionalFormatting>
  <conditionalFormatting sqref="D136">
    <cfRule type="cellIs" dxfId="29" priority="895" operator="equal">
      <formula>$S$1</formula>
    </cfRule>
    <cfRule type="cellIs" dxfId="28" priority="896" operator="equal">
      <formula>$U$1</formula>
    </cfRule>
  </conditionalFormatting>
  <conditionalFormatting sqref="C102">
    <cfRule type="cellIs" dxfId="27" priority="893" operator="equal">
      <formula>$U$1</formula>
    </cfRule>
    <cfRule type="cellIs" dxfId="26" priority="894" operator="equal">
      <formula>$S$1</formula>
    </cfRule>
  </conditionalFormatting>
  <conditionalFormatting sqref="D102">
    <cfRule type="cellIs" dxfId="25" priority="891" operator="equal">
      <formula>$S$1</formula>
    </cfRule>
    <cfRule type="cellIs" dxfId="24" priority="892" operator="equal">
      <formula>$U$1</formula>
    </cfRule>
  </conditionalFormatting>
  <conditionalFormatting sqref="C77">
    <cfRule type="cellIs" dxfId="23" priority="889" operator="equal">
      <formula>$U$1</formula>
    </cfRule>
    <cfRule type="cellIs" dxfId="22" priority="890" operator="equal">
      <formula>$S$1</formula>
    </cfRule>
  </conditionalFormatting>
  <conditionalFormatting sqref="D77">
    <cfRule type="cellIs" dxfId="21" priority="887" operator="equal">
      <formula>$S$1</formula>
    </cfRule>
    <cfRule type="cellIs" dxfId="20" priority="888" operator="equal">
      <formula>$U$1</formula>
    </cfRule>
  </conditionalFormatting>
  <conditionalFormatting sqref="C52">
    <cfRule type="cellIs" dxfId="19" priority="885" operator="equal">
      <formula>$U$1</formula>
    </cfRule>
    <cfRule type="cellIs" dxfId="18" priority="886" operator="equal">
      <formula>$S$1</formula>
    </cfRule>
  </conditionalFormatting>
  <conditionalFormatting sqref="D52">
    <cfRule type="cellIs" dxfId="17" priority="883" operator="equal">
      <formula>$S$1</formula>
    </cfRule>
    <cfRule type="cellIs" dxfId="16" priority="884" operator="equal">
      <formula>$U$1</formula>
    </cfRule>
  </conditionalFormatting>
  <conditionalFormatting sqref="C26">
    <cfRule type="cellIs" dxfId="15" priority="881" operator="equal">
      <formula>$U$1</formula>
    </cfRule>
    <cfRule type="cellIs" dxfId="14" priority="882" operator="equal">
      <formula>$S$1</formula>
    </cfRule>
  </conditionalFormatting>
  <conditionalFormatting sqref="D26">
    <cfRule type="cellIs" dxfId="13" priority="879" operator="equal">
      <formula>$S$1</formula>
    </cfRule>
    <cfRule type="cellIs" dxfId="12" priority="88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I13" sqref="I1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9.4342581831674686</v>
      </c>
      <c r="F3" s="30">
        <v>9.9059710923258422</v>
      </c>
      <c r="G3" s="30">
        <v>49.561441066842605</v>
      </c>
      <c r="H3" s="25">
        <f>IF(G3="","",(3*(G3-F3))+E3)</f>
        <v>128.40066810671775</v>
      </c>
      <c r="I3" s="7"/>
      <c r="J3" s="7">
        <f>(E3+G3)/2</f>
        <v>29.497849625005038</v>
      </c>
      <c r="K3" s="7">
        <f>H3/2</f>
        <v>64.200334053358873</v>
      </c>
      <c r="M3" s="26">
        <f>IF(OR(J3="",H3=""),"",H3/J3)</f>
        <v>4.3528823198648947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9.4342581831674686</v>
      </c>
      <c r="F4" s="30">
        <v>10.401269646942135</v>
      </c>
      <c r="G4" s="30">
        <v>13.938696110832291</v>
      </c>
      <c r="H4" s="25">
        <f t="shared" ref="H4:H25" si="0">IF(G4="","",(3*(G4-F4))+E4)</f>
        <v>20.046537574837938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2022-01-28T01:14:00Z</dcterms:modified>
</cp:coreProperties>
</file>