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E56AF7C4-0335-44E8-BD0C-D3DDD92071DE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766" i="1"/>
  <c r="T766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6" i="5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8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8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22" i="5"/>
  <c r="C133" i="5" s="1"/>
  <c r="D136" i="5" s="1"/>
  <c r="R765" i="1"/>
  <c r="C122" i="4"/>
  <c r="C133" i="4" s="1"/>
  <c r="C136" i="4" s="1"/>
  <c r="C116" i="4"/>
  <c r="C116" i="3"/>
  <c r="C122" i="3"/>
  <c r="C133" i="3" s="1"/>
  <c r="C136" i="3" s="1"/>
  <c r="C136" i="5" l="1"/>
  <c r="C138" i="5" s="1"/>
  <c r="R764" i="1"/>
  <c r="S765" i="1"/>
  <c r="T765" i="1" s="1"/>
  <c r="D136" i="4"/>
  <c r="C138" i="4" s="1"/>
  <c r="D136" i="3"/>
  <c r="C138" i="3" s="1"/>
  <c r="S764" i="1" l="1"/>
  <c r="T764" i="1" s="1"/>
  <c r="R763" i="1"/>
  <c r="R762" i="1" l="1"/>
  <c r="S763" i="1"/>
  <c r="T763" i="1" s="1"/>
  <c r="S762" i="1" l="1"/>
  <c r="T762" i="1" s="1"/>
  <c r="R761" i="1"/>
  <c r="R760" i="1" l="1"/>
  <c r="S761" i="1"/>
  <c r="T761" i="1" s="1"/>
  <c r="R759" i="1" l="1"/>
  <c r="S760" i="1"/>
  <c r="T760" i="1" s="1"/>
  <c r="S759" i="1" l="1"/>
  <c r="T759" i="1" s="1"/>
  <c r="R758" i="1"/>
  <c r="S758" i="1" l="1"/>
  <c r="T758" i="1" s="1"/>
  <c r="R757" i="1"/>
  <c r="R756" i="1" l="1"/>
  <c r="S757" i="1"/>
  <c r="T757" i="1" s="1"/>
  <c r="R755" i="1" l="1"/>
  <c r="S756" i="1"/>
  <c r="T756" i="1" s="1"/>
  <c r="S755" i="1" l="1"/>
  <c r="T755" i="1" s="1"/>
  <c r="R754" i="1"/>
  <c r="S754" i="1" l="1"/>
  <c r="T754" i="1" s="1"/>
  <c r="R753" i="1"/>
  <c r="R752" i="1" l="1"/>
  <c r="S753" i="1"/>
  <c r="T753" i="1" s="1"/>
  <c r="R751" i="1" l="1"/>
  <c r="S752" i="1"/>
  <c r="T752" i="1" s="1"/>
  <c r="S751" i="1" l="1"/>
  <c r="T751" i="1" s="1"/>
  <c r="R750" i="1"/>
  <c r="S750" i="1" l="1"/>
  <c r="T750" i="1" s="1"/>
  <c r="R749" i="1"/>
  <c r="R748" i="1" l="1"/>
  <c r="S749" i="1"/>
  <c r="T749" i="1" s="1"/>
  <c r="R747" i="1" l="1"/>
  <c r="S748" i="1"/>
  <c r="T748" i="1" s="1"/>
  <c r="R746" i="1" l="1"/>
  <c r="S747" i="1"/>
  <c r="T747" i="1" s="1"/>
  <c r="S746" i="1" l="1"/>
  <c r="T746" i="1" s="1"/>
  <c r="R745" i="1"/>
  <c r="S745" i="1" l="1"/>
  <c r="T745" i="1" s="1"/>
  <c r="R744" i="1"/>
  <c r="R743" i="1" l="1"/>
  <c r="S744" i="1"/>
  <c r="T744" i="1" s="1"/>
  <c r="R742" i="1" l="1"/>
  <c r="S743" i="1"/>
  <c r="T743" i="1" s="1"/>
  <c r="S742" i="1" l="1"/>
  <c r="T742" i="1" s="1"/>
  <c r="R741" i="1"/>
  <c r="S741" i="1" l="1"/>
  <c r="T741" i="1" s="1"/>
  <c r="R740" i="1"/>
  <c r="R739" i="1" l="1"/>
  <c r="S740" i="1"/>
  <c r="T740" i="1" s="1"/>
  <c r="S739" i="1" l="1"/>
  <c r="T739" i="1" s="1"/>
  <c r="R738" i="1"/>
  <c r="S738" i="1" l="1"/>
  <c r="T738" i="1" s="1"/>
  <c r="R737" i="1"/>
  <c r="R736" i="1" l="1"/>
  <c r="S737" i="1"/>
  <c r="T737" i="1" s="1"/>
  <c r="R735" i="1" l="1"/>
  <c r="S736" i="1"/>
  <c r="T736" i="1" s="1"/>
  <c r="S735" i="1" l="1"/>
  <c r="T735" i="1" s="1"/>
  <c r="R734" i="1"/>
  <c r="S734" i="1" l="1"/>
  <c r="T734" i="1" s="1"/>
  <c r="R733" i="1"/>
  <c r="R732" i="1" l="1"/>
  <c r="S733" i="1"/>
  <c r="T733" i="1" s="1"/>
  <c r="R731" i="1" l="1"/>
  <c r="S732" i="1"/>
  <c r="T732" i="1" s="1"/>
  <c r="S731" i="1" l="1"/>
  <c r="T731" i="1" s="1"/>
  <c r="R730" i="1"/>
  <c r="S730" i="1" l="1"/>
  <c r="T730" i="1" s="1"/>
  <c r="R729" i="1"/>
  <c r="R728" i="1" l="1"/>
  <c r="S729" i="1"/>
  <c r="T729" i="1" s="1"/>
  <c r="R727" i="1" l="1"/>
  <c r="S728" i="1"/>
  <c r="T728" i="1" s="1"/>
  <c r="S727" i="1" l="1"/>
  <c r="T727" i="1" s="1"/>
  <c r="R726" i="1"/>
  <c r="S726" i="1" l="1"/>
  <c r="T726" i="1" s="1"/>
  <c r="R725" i="1"/>
  <c r="R724" i="1" l="1"/>
  <c r="S725" i="1"/>
  <c r="T725" i="1" s="1"/>
  <c r="R723" i="1" l="1"/>
  <c r="S724" i="1"/>
  <c r="T724" i="1" s="1"/>
  <c r="S723" i="1" l="1"/>
  <c r="T723" i="1" s="1"/>
  <c r="R722" i="1"/>
  <c r="S722" i="1" l="1"/>
  <c r="T722" i="1" s="1"/>
  <c r="R721" i="1"/>
  <c r="R720" i="1" l="1"/>
  <c r="S721" i="1"/>
  <c r="T721" i="1" s="1"/>
  <c r="R719" i="1" l="1"/>
  <c r="S720" i="1"/>
  <c r="T720" i="1" s="1"/>
  <c r="S719" i="1" l="1"/>
  <c r="T719" i="1" s="1"/>
  <c r="R718" i="1"/>
  <c r="S718" i="1" l="1"/>
  <c r="T718" i="1" s="1"/>
  <c r="R717" i="1"/>
  <c r="R716" i="1" l="1"/>
  <c r="S717" i="1"/>
  <c r="T717" i="1" s="1"/>
  <c r="R715" i="1" l="1"/>
  <c r="S716" i="1"/>
  <c r="T716" i="1" s="1"/>
  <c r="S715" i="1" l="1"/>
  <c r="T715" i="1" s="1"/>
  <c r="R714" i="1"/>
  <c r="S714" i="1" l="1"/>
  <c r="T714" i="1" s="1"/>
  <c r="R713" i="1"/>
  <c r="R712" i="1" l="1"/>
  <c r="S713" i="1"/>
  <c r="T713" i="1" s="1"/>
  <c r="R711" i="1" l="1"/>
  <c r="S712" i="1"/>
  <c r="T712" i="1" s="1"/>
  <c r="S711" i="1" l="1"/>
  <c r="T711" i="1" s="1"/>
  <c r="R710" i="1"/>
  <c r="S710" i="1" l="1"/>
  <c r="T710" i="1" s="1"/>
  <c r="R709" i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S703" i="1" l="1"/>
  <c r="T703" i="1" s="1"/>
  <c r="R702" i="1"/>
  <c r="S702" i="1" l="1"/>
  <c r="T702" i="1" s="1"/>
  <c r="R701" i="1"/>
  <c r="R700" i="1" l="1"/>
  <c r="S701" i="1"/>
  <c r="T701" i="1" s="1"/>
  <c r="R699" i="1" l="1"/>
  <c r="S700" i="1"/>
  <c r="T700" i="1" s="1"/>
  <c r="R698" i="1" l="1"/>
  <c r="S699" i="1"/>
  <c r="T699" i="1" s="1"/>
  <c r="S698" i="1" l="1"/>
  <c r="T698" i="1" s="1"/>
  <c r="R697" i="1"/>
  <c r="S697" i="1" l="1"/>
  <c r="T697" i="1" s="1"/>
  <c r="R696" i="1"/>
  <c r="R695" i="1" l="1"/>
  <c r="S696" i="1"/>
  <c r="T696" i="1" s="1"/>
  <c r="R694" i="1" l="1"/>
  <c r="S695" i="1"/>
  <c r="T695" i="1" s="1"/>
  <c r="S694" i="1" l="1"/>
  <c r="T694" i="1" s="1"/>
  <c r="R693" i="1"/>
  <c r="S693" i="1" l="1"/>
  <c r="T693" i="1" s="1"/>
  <c r="R692" i="1"/>
  <c r="R691" i="1" l="1"/>
  <c r="S692" i="1"/>
  <c r="T692" i="1" s="1"/>
  <c r="R690" i="1" l="1"/>
  <c r="S691" i="1"/>
  <c r="T691" i="1" s="1"/>
  <c r="R689" i="1" l="1"/>
  <c r="S690" i="1"/>
  <c r="T690" i="1" s="1"/>
  <c r="S689" i="1" l="1"/>
  <c r="T689" i="1" s="1"/>
  <c r="R688" i="1"/>
  <c r="S688" i="1" l="1"/>
  <c r="T688" i="1" s="1"/>
  <c r="R687" i="1"/>
  <c r="R686" i="1" l="1"/>
  <c r="S687" i="1"/>
  <c r="T687" i="1" s="1"/>
  <c r="R685" i="1" l="1"/>
  <c r="S686" i="1"/>
  <c r="T686" i="1" s="1"/>
  <c r="S685" i="1" l="1"/>
  <c r="T685" i="1" s="1"/>
  <c r="R684" i="1"/>
  <c r="S684" i="1" l="1"/>
  <c r="T684" i="1" s="1"/>
  <c r="R683" i="1"/>
  <c r="S683" i="1" l="1"/>
  <c r="T683" i="1" s="1"/>
  <c r="R682" i="1"/>
  <c r="R681" i="1" l="1"/>
  <c r="S682" i="1"/>
  <c r="T682" i="1" s="1"/>
  <c r="R680" i="1" l="1"/>
  <c r="S681" i="1"/>
  <c r="T681" i="1" s="1"/>
  <c r="S680" i="1" l="1"/>
  <c r="T680" i="1" s="1"/>
  <c r="R679" i="1"/>
  <c r="S679" i="1" l="1"/>
  <c r="T679" i="1" s="1"/>
  <c r="R678" i="1"/>
  <c r="R677" i="1" l="1"/>
  <c r="S678" i="1"/>
  <c r="T678" i="1" s="1"/>
  <c r="R676" i="1" l="1"/>
  <c r="S677" i="1"/>
  <c r="T677" i="1" s="1"/>
  <c r="S676" i="1" l="1"/>
  <c r="T676" i="1" s="1"/>
  <c r="R675" i="1"/>
  <c r="S675" i="1" l="1"/>
  <c r="T675" i="1" s="1"/>
  <c r="R674" i="1"/>
  <c r="R673" i="1" l="1"/>
  <c r="S674" i="1"/>
  <c r="T674" i="1" s="1"/>
  <c r="R672" i="1" l="1"/>
  <c r="S673" i="1"/>
  <c r="T673" i="1" s="1"/>
  <c r="S672" i="1" l="1"/>
  <c r="T672" i="1" s="1"/>
  <c r="R671" i="1"/>
  <c r="R670" i="1" l="1"/>
  <c r="S671" i="1"/>
  <c r="T671" i="1" s="1"/>
  <c r="R669" i="1" l="1"/>
  <c r="S670" i="1"/>
  <c r="T670" i="1" s="1"/>
  <c r="S669" i="1" l="1"/>
  <c r="T669" i="1" s="1"/>
  <c r="R668" i="1"/>
  <c r="S668" i="1" l="1"/>
  <c r="T668" i="1" s="1"/>
  <c r="R667" i="1"/>
  <c r="S667" i="1" l="1"/>
  <c r="T667" i="1" s="1"/>
  <c r="R666" i="1"/>
  <c r="R665" i="1" l="1"/>
  <c r="S666" i="1"/>
  <c r="T666" i="1" s="1"/>
  <c r="S665" i="1" l="1"/>
  <c r="T665" i="1" s="1"/>
  <c r="R664" i="1"/>
  <c r="S664" i="1" l="1"/>
  <c r="T664" i="1" s="1"/>
  <c r="R663" i="1"/>
  <c r="R662" i="1" l="1"/>
  <c r="S663" i="1"/>
  <c r="T663" i="1" s="1"/>
  <c r="R661" i="1" l="1"/>
  <c r="S662" i="1"/>
  <c r="T662" i="1" s="1"/>
  <c r="S661" i="1" l="1"/>
  <c r="T661" i="1" s="1"/>
  <c r="R660" i="1"/>
  <c r="S660" i="1" l="1"/>
  <c r="T660" i="1" s="1"/>
  <c r="R659" i="1"/>
  <c r="S659" i="1" l="1"/>
  <c r="T659" i="1" s="1"/>
  <c r="R658" i="1"/>
  <c r="R657" i="1" l="1"/>
  <c r="S658" i="1"/>
  <c r="T658" i="1" s="1"/>
  <c r="R656" i="1" l="1"/>
  <c r="S657" i="1"/>
  <c r="T657" i="1" s="1"/>
  <c r="S656" i="1" l="1"/>
  <c r="T656" i="1" s="1"/>
  <c r="R655" i="1"/>
  <c r="S655" i="1" l="1"/>
  <c r="T655" i="1" s="1"/>
  <c r="R654" i="1"/>
  <c r="R653" i="1" l="1"/>
  <c r="S654" i="1"/>
  <c r="T654" i="1" s="1"/>
  <c r="R652" i="1" l="1"/>
  <c r="S653" i="1"/>
  <c r="T653" i="1" s="1"/>
  <c r="S652" i="1" l="1"/>
  <c r="T652" i="1" s="1"/>
  <c r="R651" i="1"/>
  <c r="R650" i="1" l="1"/>
  <c r="S651" i="1"/>
  <c r="T651" i="1" s="1"/>
  <c r="R649" i="1" l="1"/>
  <c r="S650" i="1"/>
  <c r="T650" i="1" s="1"/>
  <c r="S649" i="1" l="1"/>
  <c r="T649" i="1" s="1"/>
  <c r="R648" i="1"/>
  <c r="S648" i="1" l="1"/>
  <c r="T648" i="1" s="1"/>
  <c r="R647" i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S643" i="1" l="1"/>
  <c r="T643" i="1" s="1"/>
  <c r="R642" i="1"/>
  <c r="S642" i="1" l="1"/>
  <c r="T642" i="1" s="1"/>
  <c r="R641" i="1"/>
  <c r="R640" i="1" l="1"/>
  <c r="S641" i="1"/>
  <c r="T641" i="1" s="1"/>
  <c r="S640" i="1" l="1"/>
  <c r="T640" i="1" s="1"/>
  <c r="R639" i="1"/>
  <c r="S639" i="1" l="1"/>
  <c r="T639" i="1" s="1"/>
  <c r="R638" i="1"/>
  <c r="R637" i="1" l="1"/>
  <c r="S638" i="1"/>
  <c r="T638" i="1" s="1"/>
  <c r="S637" i="1" l="1"/>
  <c r="T637" i="1" s="1"/>
  <c r="R636" i="1"/>
  <c r="S636" i="1" l="1"/>
  <c r="T636" i="1" s="1"/>
  <c r="R635" i="1"/>
  <c r="R634" i="1" l="1"/>
  <c r="S635" i="1"/>
  <c r="T635" i="1" s="1"/>
  <c r="S634" i="1" l="1"/>
  <c r="T634" i="1" s="1"/>
  <c r="R633" i="1"/>
  <c r="R632" i="1" l="1"/>
  <c r="S633" i="1"/>
  <c r="T633" i="1" s="1"/>
  <c r="R631" i="1" l="1"/>
  <c r="S632" i="1"/>
  <c r="T632" i="1" s="1"/>
  <c r="S631" i="1" l="1"/>
  <c r="T631" i="1" s="1"/>
  <c r="R630" i="1"/>
  <c r="R629" i="1" l="1"/>
  <c r="S630" i="1"/>
  <c r="T630" i="1" s="1"/>
  <c r="R628" i="1" l="1"/>
  <c r="S629" i="1"/>
  <c r="T629" i="1" s="1"/>
  <c r="S628" i="1" l="1"/>
  <c r="T628" i="1" s="1"/>
  <c r="R627" i="1"/>
  <c r="S627" i="1" l="1"/>
  <c r="T627" i="1" s="1"/>
  <c r="R626" i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S622" i="1" l="1"/>
  <c r="T622" i="1" s="1"/>
  <c r="R621" i="1"/>
  <c r="R620" i="1" l="1"/>
  <c r="S621" i="1"/>
  <c r="T621" i="1" s="1"/>
  <c r="R619" i="1" l="1"/>
  <c r="S620" i="1"/>
  <c r="T620" i="1" s="1"/>
  <c r="R618" i="1" l="1"/>
  <c r="S619" i="1"/>
  <c r="T619" i="1" s="1"/>
  <c r="S618" i="1" l="1"/>
  <c r="T618" i="1" s="1"/>
  <c r="R617" i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S613" i="1" l="1"/>
  <c r="T613" i="1" s="1"/>
  <c r="R612" i="1"/>
  <c r="S612" i="1" l="1"/>
  <c r="T612" i="1" s="1"/>
  <c r="R611" i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S607" i="1" l="1"/>
  <c r="T607" i="1" s="1"/>
  <c r="R606" i="1"/>
  <c r="S606" i="1" l="1"/>
  <c r="T606" i="1" s="1"/>
  <c r="R605" i="1"/>
  <c r="R604" i="1" l="1"/>
  <c r="S605" i="1"/>
  <c r="T605" i="1" s="1"/>
  <c r="R603" i="1" l="1"/>
  <c r="S604" i="1"/>
  <c r="T604" i="1" s="1"/>
  <c r="S603" i="1" l="1"/>
  <c r="T603" i="1" s="1"/>
  <c r="R602" i="1"/>
  <c r="S602" i="1" l="1"/>
  <c r="T602" i="1" s="1"/>
  <c r="R601" i="1"/>
  <c r="R600" i="1" l="1"/>
  <c r="S601" i="1"/>
  <c r="T601" i="1" s="1"/>
  <c r="R599" i="1" l="1"/>
  <c r="S600" i="1"/>
  <c r="T600" i="1" s="1"/>
  <c r="S599" i="1" l="1"/>
  <c r="T599" i="1" s="1"/>
  <c r="R598" i="1"/>
  <c r="S598" i="1" l="1"/>
  <c r="T598" i="1" s="1"/>
  <c r="R597" i="1"/>
  <c r="R596" i="1" l="1"/>
  <c r="S597" i="1"/>
  <c r="T597" i="1" s="1"/>
  <c r="R595" i="1" l="1"/>
  <c r="S596" i="1"/>
  <c r="T596" i="1" s="1"/>
  <c r="S595" i="1" l="1"/>
  <c r="T595" i="1" s="1"/>
  <c r="R594" i="1"/>
  <c r="S594" i="1" l="1"/>
  <c r="T594" i="1" s="1"/>
  <c r="R593" i="1"/>
  <c r="S593" i="1" l="1"/>
  <c r="T593" i="1" s="1"/>
  <c r="R592" i="1"/>
  <c r="R591" i="1" l="1"/>
  <c r="S592" i="1"/>
  <c r="T592" i="1" s="1"/>
  <c r="R590" i="1" l="1"/>
  <c r="S591" i="1"/>
  <c r="T591" i="1" s="1"/>
  <c r="S590" i="1" l="1"/>
  <c r="T590" i="1" s="1"/>
  <c r="R589" i="1"/>
  <c r="S589" i="1" l="1"/>
  <c r="T589" i="1" s="1"/>
  <c r="R588" i="1"/>
  <c r="R587" i="1" l="1"/>
  <c r="S588" i="1"/>
  <c r="T588" i="1" s="1"/>
  <c r="R586" i="1" l="1"/>
  <c r="S587" i="1"/>
  <c r="T587" i="1" s="1"/>
  <c r="S586" i="1" l="1"/>
  <c r="T586" i="1" s="1"/>
  <c r="R585" i="1"/>
  <c r="S585" i="1" l="1"/>
  <c r="T585" i="1" s="1"/>
  <c r="R584" i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S579" i="1" l="1"/>
  <c r="T579" i="1" s="1"/>
  <c r="R578" i="1"/>
  <c r="S578" i="1" l="1"/>
  <c r="T578" i="1" s="1"/>
  <c r="R577" i="1"/>
  <c r="R576" i="1" l="1"/>
  <c r="S577" i="1"/>
  <c r="T577" i="1" s="1"/>
  <c r="R575" i="1" l="1"/>
  <c r="S576" i="1"/>
  <c r="T576" i="1" s="1"/>
  <c r="S575" i="1" l="1"/>
  <c r="T575" i="1" s="1"/>
  <c r="R574" i="1"/>
  <c r="S574" i="1" l="1"/>
  <c r="T574" i="1" s="1"/>
  <c r="R573" i="1"/>
  <c r="R572" i="1" l="1"/>
  <c r="S573" i="1"/>
  <c r="T573" i="1" s="1"/>
  <c r="R571" i="1" l="1"/>
  <c r="S572" i="1"/>
  <c r="T572" i="1" s="1"/>
  <c r="S571" i="1" l="1"/>
  <c r="T571" i="1" s="1"/>
  <c r="R570" i="1"/>
  <c r="S570" i="1" l="1"/>
  <c r="T570" i="1" s="1"/>
  <c r="R569" i="1"/>
  <c r="R568" i="1" l="1"/>
  <c r="S569" i="1"/>
  <c r="T569" i="1" s="1"/>
  <c r="R567" i="1" l="1"/>
  <c r="S568" i="1"/>
  <c r="T568" i="1" s="1"/>
  <c r="S567" i="1" l="1"/>
  <c r="T567" i="1" s="1"/>
  <c r="R566" i="1"/>
  <c r="S566" i="1" l="1"/>
  <c r="T566" i="1" s="1"/>
  <c r="R565" i="1"/>
  <c r="S565" i="1" l="1"/>
  <c r="T565" i="1" s="1"/>
  <c r="R564" i="1"/>
  <c r="R563" i="1" l="1"/>
  <c r="S564" i="1"/>
  <c r="T564" i="1" s="1"/>
  <c r="R562" i="1" l="1"/>
  <c r="S563" i="1"/>
  <c r="T563" i="1" s="1"/>
  <c r="S562" i="1" l="1"/>
  <c r="T562" i="1" s="1"/>
  <c r="R561" i="1"/>
  <c r="S561" i="1" l="1"/>
  <c r="T561" i="1" s="1"/>
  <c r="R560" i="1"/>
  <c r="R559" i="1" l="1"/>
  <c r="S560" i="1"/>
  <c r="T560" i="1" s="1"/>
  <c r="R558" i="1" l="1"/>
  <c r="S559" i="1"/>
  <c r="T559" i="1" s="1"/>
  <c r="S558" i="1" l="1"/>
  <c r="T558" i="1" s="1"/>
  <c r="R557" i="1"/>
  <c r="S557" i="1" l="1"/>
  <c r="T557" i="1" s="1"/>
  <c r="R556" i="1"/>
  <c r="R555" i="1" l="1"/>
  <c r="S556" i="1"/>
  <c r="T556" i="1" s="1"/>
  <c r="R554" i="1" l="1"/>
  <c r="S555" i="1"/>
  <c r="T555" i="1" s="1"/>
  <c r="S554" i="1" l="1"/>
  <c r="T554" i="1" s="1"/>
  <c r="R553" i="1"/>
  <c r="R552" i="1" l="1"/>
  <c r="S553" i="1"/>
  <c r="T553" i="1" s="1"/>
  <c r="R551" i="1" l="1"/>
  <c r="S552" i="1"/>
  <c r="T552" i="1" s="1"/>
  <c r="S551" i="1" l="1"/>
  <c r="T551" i="1" s="1"/>
  <c r="R550" i="1"/>
  <c r="S550" i="1" l="1"/>
  <c r="T550" i="1" s="1"/>
  <c r="R549" i="1"/>
  <c r="R548" i="1" l="1"/>
  <c r="S549" i="1"/>
  <c r="T549" i="1" s="1"/>
  <c r="R547" i="1" l="1"/>
  <c r="S548" i="1"/>
  <c r="T548" i="1" s="1"/>
  <c r="S547" i="1" l="1"/>
  <c r="T547" i="1" s="1"/>
  <c r="R546" i="1"/>
  <c r="S546" i="1" l="1"/>
  <c r="T546" i="1" s="1"/>
  <c r="R545" i="1"/>
  <c r="R544" i="1" l="1"/>
  <c r="S545" i="1"/>
  <c r="T545" i="1" s="1"/>
  <c r="R543" i="1" l="1"/>
  <c r="S544" i="1"/>
  <c r="T544" i="1" s="1"/>
  <c r="S543" i="1" l="1"/>
  <c r="T543" i="1" s="1"/>
  <c r="R542" i="1"/>
  <c r="R541" i="1" l="1"/>
  <c r="S542" i="1"/>
  <c r="T542" i="1" s="1"/>
  <c r="R540" i="1" l="1"/>
  <c r="S541" i="1"/>
  <c r="T541" i="1" s="1"/>
  <c r="S540" i="1" l="1"/>
  <c r="T540" i="1" s="1"/>
  <c r="R539" i="1"/>
  <c r="S539" i="1" l="1"/>
  <c r="T539" i="1" s="1"/>
  <c r="R538" i="1"/>
  <c r="R537" i="1" l="1"/>
  <c r="S538" i="1"/>
  <c r="T538" i="1" s="1"/>
  <c r="R536" i="1" l="1"/>
  <c r="S537" i="1"/>
  <c r="T537" i="1" s="1"/>
  <c r="S536" i="1" l="1"/>
  <c r="T536" i="1" s="1"/>
  <c r="R535" i="1"/>
  <c r="R534" i="1" l="1"/>
  <c r="S535" i="1"/>
  <c r="T535" i="1" s="1"/>
  <c r="R533" i="1" l="1"/>
  <c r="S534" i="1"/>
  <c r="T534" i="1" s="1"/>
  <c r="S533" i="1" l="1"/>
  <c r="T533" i="1" s="1"/>
  <c r="R532" i="1"/>
  <c r="S532" i="1" l="1"/>
  <c r="T532" i="1" s="1"/>
  <c r="R531" i="1"/>
  <c r="R530" i="1" l="1"/>
  <c r="S531" i="1"/>
  <c r="T531" i="1" s="1"/>
  <c r="R529" i="1" l="1"/>
  <c r="S530" i="1"/>
  <c r="T530" i="1" s="1"/>
  <c r="S529" i="1" l="1"/>
  <c r="T529" i="1" s="1"/>
  <c r="R528" i="1"/>
  <c r="R527" i="1" l="1"/>
  <c r="S528" i="1"/>
  <c r="T528" i="1" s="1"/>
  <c r="S527" i="1" l="1"/>
  <c r="T527" i="1" s="1"/>
  <c r="R526" i="1"/>
  <c r="S526" i="1" l="1"/>
  <c r="T526" i="1" s="1"/>
  <c r="R525" i="1"/>
  <c r="S525" i="1" l="1"/>
  <c r="T525" i="1" s="1"/>
  <c r="R524" i="1"/>
  <c r="R523" i="1" l="1"/>
  <c r="S524" i="1"/>
  <c r="T524" i="1" s="1"/>
  <c r="R522" i="1" l="1"/>
  <c r="S523" i="1"/>
  <c r="T523" i="1" s="1"/>
  <c r="S522" i="1" l="1"/>
  <c r="T522" i="1" s="1"/>
  <c r="R521" i="1"/>
  <c r="R520" i="1" l="1"/>
  <c r="S521" i="1"/>
  <c r="T521" i="1" s="1"/>
  <c r="R519" i="1" l="1"/>
  <c r="S520" i="1"/>
  <c r="T520" i="1" s="1"/>
  <c r="S519" i="1" l="1"/>
  <c r="T519" i="1" s="1"/>
  <c r="R518" i="1"/>
  <c r="S518" i="1" l="1"/>
  <c r="T518" i="1" s="1"/>
  <c r="R517" i="1"/>
  <c r="S517" i="1" l="1"/>
  <c r="T517" i="1" s="1"/>
  <c r="R516" i="1"/>
  <c r="R515" i="1" l="1"/>
  <c r="S516" i="1"/>
  <c r="T516" i="1" s="1"/>
  <c r="R514" i="1" l="1"/>
  <c r="S515" i="1"/>
  <c r="T515" i="1" s="1"/>
  <c r="S514" i="1" l="1"/>
  <c r="T514" i="1" s="1"/>
  <c r="R513" i="1"/>
  <c r="S513" i="1" l="1"/>
  <c r="T513" i="1" s="1"/>
  <c r="R512" i="1"/>
  <c r="R511" i="1" l="1"/>
  <c r="S512" i="1"/>
  <c r="T512" i="1" s="1"/>
  <c r="S511" i="1" l="1"/>
  <c r="T511" i="1" s="1"/>
  <c r="R510" i="1"/>
  <c r="S510" i="1" l="1"/>
  <c r="T510" i="1" s="1"/>
  <c r="R509" i="1"/>
  <c r="R508" i="1" l="1"/>
  <c r="S509" i="1"/>
  <c r="T509" i="1" s="1"/>
  <c r="R507" i="1" l="1"/>
  <c r="S508" i="1"/>
  <c r="T508" i="1" s="1"/>
  <c r="S507" i="1" l="1"/>
  <c r="T507" i="1" s="1"/>
  <c r="R506" i="1"/>
  <c r="S506" i="1" l="1"/>
  <c r="T506" i="1" s="1"/>
  <c r="R505" i="1"/>
  <c r="S505" i="1" l="1"/>
  <c r="T505" i="1" s="1"/>
  <c r="R504" i="1"/>
  <c r="R503" i="1" l="1"/>
  <c r="S504" i="1"/>
  <c r="T504" i="1" s="1"/>
  <c r="S503" i="1" l="1"/>
  <c r="T503" i="1" s="1"/>
  <c r="R502" i="1"/>
  <c r="S502" i="1" l="1"/>
  <c r="T502" i="1" s="1"/>
  <c r="R501" i="1"/>
  <c r="S501" i="1" l="1"/>
  <c r="T501" i="1" s="1"/>
  <c r="R500" i="1"/>
  <c r="R499" i="1" l="1"/>
  <c r="S500" i="1"/>
  <c r="T500" i="1" s="1"/>
  <c r="R498" i="1" l="1"/>
  <c r="S499" i="1"/>
  <c r="T499" i="1" s="1"/>
  <c r="S498" i="1" l="1"/>
  <c r="T498" i="1" s="1"/>
  <c r="R497" i="1"/>
  <c r="S497" i="1" l="1"/>
  <c r="T497" i="1" s="1"/>
  <c r="R496" i="1"/>
  <c r="R495" i="1" l="1"/>
  <c r="S496" i="1"/>
  <c r="T496" i="1" s="1"/>
  <c r="R494" i="1" l="1"/>
  <c r="S495" i="1"/>
  <c r="T495" i="1" s="1"/>
  <c r="S494" i="1" l="1"/>
  <c r="T494" i="1" s="1"/>
  <c r="R493" i="1"/>
  <c r="R492" i="1" l="1"/>
  <c r="S493" i="1"/>
  <c r="T493" i="1" s="1"/>
  <c r="S492" i="1" l="1"/>
  <c r="T492" i="1" s="1"/>
  <c r="R491" i="1"/>
  <c r="S491" i="1" l="1"/>
  <c r="T491" i="1" s="1"/>
  <c r="R490" i="1"/>
  <c r="S490" i="1" l="1"/>
  <c r="T490" i="1" s="1"/>
  <c r="R489" i="1"/>
  <c r="S489" i="1" l="1"/>
  <c r="T489" i="1" s="1"/>
  <c r="R488" i="1"/>
  <c r="R487" i="1" l="1"/>
  <c r="S488" i="1"/>
  <c r="T488" i="1" s="1"/>
  <c r="S487" i="1" l="1"/>
  <c r="T487" i="1" s="1"/>
  <c r="R486" i="1"/>
  <c r="S486" i="1" l="1"/>
  <c r="T486" i="1" s="1"/>
  <c r="R485" i="1"/>
  <c r="S485" i="1" l="1"/>
  <c r="T485" i="1" s="1"/>
  <c r="R484" i="1"/>
  <c r="R483" i="1" l="1"/>
  <c r="S484" i="1"/>
  <c r="T484" i="1" s="1"/>
  <c r="S483" i="1" l="1"/>
  <c r="T483" i="1" s="1"/>
  <c r="R482" i="1"/>
  <c r="S482" i="1" l="1"/>
  <c r="T482" i="1" s="1"/>
  <c r="R481" i="1"/>
  <c r="R480" i="1" l="1"/>
  <c r="S481" i="1"/>
  <c r="T481" i="1" s="1"/>
  <c r="R479" i="1" l="1"/>
  <c r="S480" i="1"/>
  <c r="T480" i="1" s="1"/>
  <c r="S479" i="1" l="1"/>
  <c r="T479" i="1" s="1"/>
  <c r="R478" i="1"/>
  <c r="S478" i="1" l="1"/>
  <c r="T478" i="1" s="1"/>
  <c r="R477" i="1"/>
  <c r="R476" i="1" l="1"/>
  <c r="S477" i="1"/>
  <c r="T477" i="1" s="1"/>
  <c r="R475" i="1" l="1"/>
  <c r="S476" i="1"/>
  <c r="T476" i="1" s="1"/>
  <c r="S475" i="1" l="1"/>
  <c r="T475" i="1" s="1"/>
  <c r="R474" i="1"/>
  <c r="S474" i="1" l="1"/>
  <c r="T474" i="1" s="1"/>
  <c r="R473" i="1"/>
  <c r="R472" i="1" l="1"/>
  <c r="S473" i="1"/>
  <c r="T473" i="1" s="1"/>
  <c r="R471" i="1" l="1"/>
  <c r="S472" i="1"/>
  <c r="T472" i="1" s="1"/>
  <c r="S471" i="1" l="1"/>
  <c r="T471" i="1" s="1"/>
  <c r="R470" i="1"/>
  <c r="S470" i="1" l="1"/>
  <c r="T470" i="1" s="1"/>
  <c r="R469" i="1"/>
  <c r="R468" i="1" l="1"/>
  <c r="S469" i="1"/>
  <c r="T469" i="1" s="1"/>
  <c r="R467" i="1" l="1"/>
  <c r="S468" i="1"/>
  <c r="T468" i="1" s="1"/>
  <c r="S467" i="1" l="1"/>
  <c r="T467" i="1" s="1"/>
  <c r="R466" i="1"/>
  <c r="S466" i="1" l="1"/>
  <c r="T466" i="1" s="1"/>
  <c r="R465" i="1"/>
  <c r="S465" i="1" l="1"/>
  <c r="T465" i="1" s="1"/>
  <c r="R464" i="1"/>
  <c r="R463" i="1" l="1"/>
  <c r="S464" i="1"/>
  <c r="T464" i="1" s="1"/>
  <c r="R462" i="1" l="1"/>
  <c r="S463" i="1"/>
  <c r="T463" i="1" s="1"/>
  <c r="S462" i="1" l="1"/>
  <c r="T462" i="1" s="1"/>
  <c r="R461" i="1"/>
  <c r="S461" i="1" l="1"/>
  <c r="T461" i="1" s="1"/>
  <c r="R460" i="1"/>
  <c r="R459" i="1" l="1"/>
  <c r="S460" i="1"/>
  <c r="T460" i="1" s="1"/>
  <c r="R458" i="1" l="1"/>
  <c r="S459" i="1"/>
  <c r="T459" i="1" s="1"/>
  <c r="S458" i="1" l="1"/>
  <c r="T458" i="1" s="1"/>
  <c r="R457" i="1"/>
  <c r="R456" i="1" l="1"/>
  <c r="S457" i="1"/>
  <c r="T457" i="1" s="1"/>
  <c r="R455" i="1" l="1"/>
  <c r="S456" i="1"/>
  <c r="T456" i="1" s="1"/>
  <c r="S455" i="1" l="1"/>
  <c r="T455" i="1" s="1"/>
  <c r="R454" i="1"/>
  <c r="S454" i="1" l="1"/>
  <c r="T454" i="1" s="1"/>
  <c r="R453" i="1"/>
  <c r="R452" i="1" l="1"/>
  <c r="S453" i="1"/>
  <c r="T453" i="1" s="1"/>
  <c r="S452" i="1" l="1"/>
  <c r="T452" i="1" s="1"/>
  <c r="R451" i="1"/>
  <c r="R450" i="1" l="1"/>
  <c r="S451" i="1"/>
  <c r="T451" i="1" s="1"/>
  <c r="S450" i="1" l="1"/>
  <c r="T450" i="1" s="1"/>
  <c r="R449" i="1"/>
  <c r="S449" i="1" l="1"/>
  <c r="T449" i="1" s="1"/>
  <c r="R448" i="1"/>
  <c r="R447" i="1" l="1"/>
  <c r="S448" i="1"/>
  <c r="T448" i="1" s="1"/>
  <c r="R446" i="1" l="1"/>
  <c r="S447" i="1"/>
  <c r="T447" i="1" s="1"/>
  <c r="S446" i="1" l="1"/>
  <c r="T446" i="1" s="1"/>
  <c r="R445" i="1"/>
  <c r="S445" i="1" l="1"/>
  <c r="T445" i="1" s="1"/>
  <c r="R444" i="1"/>
  <c r="S444" i="1" l="1"/>
  <c r="T444" i="1" s="1"/>
  <c r="R443" i="1"/>
  <c r="R442" i="1" l="1"/>
  <c r="S443" i="1"/>
  <c r="T443" i="1" s="1"/>
  <c r="R441" i="1" l="1"/>
  <c r="S442" i="1"/>
  <c r="T442" i="1" s="1"/>
  <c r="S441" i="1" l="1"/>
  <c r="T441" i="1" s="1"/>
  <c r="R440" i="1"/>
  <c r="R439" i="1" l="1"/>
  <c r="S440" i="1"/>
  <c r="T440" i="1" s="1"/>
  <c r="R438" i="1" l="1"/>
  <c r="S439" i="1"/>
  <c r="T439" i="1" s="1"/>
  <c r="S438" i="1" l="1"/>
  <c r="T438" i="1" s="1"/>
  <c r="R437" i="1"/>
  <c r="S437" i="1" l="1"/>
  <c r="T437" i="1" s="1"/>
  <c r="R436" i="1"/>
  <c r="R435" i="1" l="1"/>
  <c r="S436" i="1"/>
  <c r="T436" i="1" s="1"/>
  <c r="R434" i="1" l="1"/>
  <c r="S435" i="1"/>
  <c r="T435" i="1" s="1"/>
  <c r="S434" i="1" l="1"/>
  <c r="T434" i="1" s="1"/>
  <c r="R433" i="1"/>
  <c r="S433" i="1" l="1"/>
  <c r="T433" i="1" s="1"/>
  <c r="R432" i="1"/>
  <c r="R431" i="1" l="1"/>
  <c r="S432" i="1"/>
  <c r="T432" i="1" s="1"/>
  <c r="R430" i="1" l="1"/>
  <c r="S431" i="1"/>
  <c r="T431" i="1" s="1"/>
  <c r="S430" i="1" l="1"/>
  <c r="T430" i="1" s="1"/>
  <c r="R429" i="1"/>
  <c r="S429" i="1" l="1"/>
  <c r="T429" i="1" s="1"/>
  <c r="R428" i="1"/>
  <c r="S428" i="1" l="1"/>
  <c r="T428" i="1" s="1"/>
  <c r="R427" i="1"/>
  <c r="R426" i="1" l="1"/>
  <c r="S427" i="1"/>
  <c r="T427" i="1" s="1"/>
  <c r="R425" i="1" l="1"/>
  <c r="S426" i="1"/>
  <c r="T426" i="1" s="1"/>
  <c r="S425" i="1" l="1"/>
  <c r="T425" i="1" s="1"/>
  <c r="R424" i="1"/>
  <c r="S424" i="1" l="1"/>
  <c r="T424" i="1" s="1"/>
  <c r="R423" i="1"/>
  <c r="R422" i="1" l="1"/>
  <c r="S423" i="1"/>
  <c r="T423" i="1" s="1"/>
  <c r="R421" i="1" l="1"/>
  <c r="S422" i="1"/>
  <c r="T422" i="1" s="1"/>
  <c r="S421" i="1" l="1"/>
  <c r="T421" i="1" s="1"/>
  <c r="R420" i="1"/>
  <c r="S420" i="1" l="1"/>
  <c r="T420" i="1" s="1"/>
  <c r="R419" i="1"/>
  <c r="R418" i="1" l="1"/>
  <c r="S419" i="1"/>
  <c r="T419" i="1" s="1"/>
  <c r="R417" i="1" l="1"/>
  <c r="S418" i="1"/>
  <c r="T418" i="1" s="1"/>
  <c r="S417" i="1" l="1"/>
  <c r="T417" i="1" s="1"/>
  <c r="R416" i="1"/>
  <c r="R415" i="1" l="1"/>
  <c r="S416" i="1"/>
  <c r="T416" i="1" s="1"/>
  <c r="S415" i="1" l="1"/>
  <c r="T415" i="1" s="1"/>
  <c r="R414" i="1"/>
  <c r="S414" i="1" l="1"/>
  <c r="T414" i="1" s="1"/>
  <c r="R413" i="1"/>
  <c r="R412" i="1" l="1"/>
  <c r="S413" i="1"/>
  <c r="T413" i="1" s="1"/>
  <c r="R411" i="1" l="1"/>
  <c r="S412" i="1"/>
  <c r="T412" i="1" s="1"/>
  <c r="S411" i="1" l="1"/>
  <c r="T411" i="1" s="1"/>
  <c r="R410" i="1"/>
  <c r="S410" i="1" l="1"/>
  <c r="T410" i="1" s="1"/>
  <c r="R409" i="1"/>
  <c r="S409" i="1" l="1"/>
  <c r="T409" i="1" s="1"/>
  <c r="R408" i="1"/>
  <c r="R407" i="1" l="1"/>
  <c r="S408" i="1"/>
  <c r="T408" i="1" s="1"/>
  <c r="R406" i="1" l="1"/>
  <c r="S407" i="1"/>
  <c r="T407" i="1" s="1"/>
  <c r="S406" i="1" l="1"/>
  <c r="T406" i="1" s="1"/>
  <c r="R405" i="1"/>
  <c r="S405" i="1" l="1"/>
  <c r="T405" i="1" s="1"/>
  <c r="R404" i="1"/>
  <c r="S404" i="1" l="1"/>
  <c r="T404" i="1" s="1"/>
  <c r="R403" i="1"/>
  <c r="R402" i="1" l="1"/>
  <c r="S403" i="1"/>
  <c r="T403" i="1" s="1"/>
  <c r="S402" i="1" l="1"/>
  <c r="T402" i="1" s="1"/>
  <c r="R401" i="1"/>
  <c r="S401" i="1" l="1"/>
  <c r="T401" i="1" s="1"/>
  <c r="R400" i="1"/>
  <c r="R399" i="1" l="1"/>
  <c r="S400" i="1"/>
  <c r="T400" i="1" s="1"/>
  <c r="R398" i="1" l="1"/>
  <c r="S399" i="1"/>
  <c r="T399" i="1" s="1"/>
  <c r="S398" i="1" l="1"/>
  <c r="T398" i="1" s="1"/>
  <c r="R397" i="1"/>
  <c r="S397" i="1" l="1"/>
  <c r="T397" i="1" s="1"/>
  <c r="R396" i="1"/>
  <c r="R395" i="1" l="1"/>
  <c r="S396" i="1"/>
  <c r="T396" i="1" s="1"/>
  <c r="S395" i="1" l="1"/>
  <c r="T395" i="1" s="1"/>
  <c r="R394" i="1"/>
  <c r="R393" i="1" l="1"/>
  <c r="S394" i="1"/>
  <c r="T394" i="1" s="1"/>
  <c r="R392" i="1" l="1"/>
  <c r="S393" i="1"/>
  <c r="T393" i="1" s="1"/>
  <c r="S392" i="1" l="1"/>
  <c r="T392" i="1" s="1"/>
  <c r="R391" i="1"/>
  <c r="R390" i="1" l="1"/>
  <c r="S391" i="1"/>
  <c r="T391" i="1" s="1"/>
  <c r="R389" i="1" l="1"/>
  <c r="S390" i="1"/>
  <c r="T390" i="1" s="1"/>
  <c r="S389" i="1" l="1"/>
  <c r="T389" i="1" s="1"/>
  <c r="R388" i="1"/>
  <c r="S388" i="1" l="1"/>
  <c r="T388" i="1" s="1"/>
  <c r="R387" i="1"/>
  <c r="R386" i="1" l="1"/>
  <c r="S387" i="1"/>
  <c r="T387" i="1" s="1"/>
  <c r="R385" i="1" l="1"/>
  <c r="S386" i="1"/>
  <c r="T386" i="1" s="1"/>
  <c r="S385" i="1" l="1"/>
  <c r="T385" i="1" s="1"/>
  <c r="R384" i="1"/>
  <c r="R383" i="1" l="1"/>
  <c r="S384" i="1"/>
  <c r="T384" i="1" s="1"/>
  <c r="R382" i="1" l="1"/>
  <c r="S383" i="1"/>
  <c r="T383" i="1" s="1"/>
  <c r="S382" i="1" l="1"/>
  <c r="T382" i="1" s="1"/>
  <c r="R381" i="1"/>
  <c r="S381" i="1" l="1"/>
  <c r="T381" i="1" s="1"/>
  <c r="R380" i="1"/>
  <c r="R379" i="1" l="1"/>
  <c r="S380" i="1"/>
  <c r="T380" i="1" s="1"/>
  <c r="R378" i="1" l="1"/>
  <c r="S379" i="1"/>
  <c r="T379" i="1" s="1"/>
  <c r="S378" i="1" l="1"/>
  <c r="T378" i="1" s="1"/>
  <c r="R377" i="1"/>
  <c r="R376" i="1" l="1"/>
  <c r="S377" i="1"/>
  <c r="T377" i="1" s="1"/>
  <c r="R375" i="1" l="1"/>
  <c r="S376" i="1"/>
  <c r="T376" i="1" s="1"/>
  <c r="S375" i="1" l="1"/>
  <c r="T375" i="1" s="1"/>
  <c r="R374" i="1"/>
  <c r="R373" i="1" l="1"/>
  <c r="S374" i="1"/>
  <c r="T374" i="1" s="1"/>
  <c r="S373" i="1" l="1"/>
  <c r="T373" i="1" s="1"/>
  <c r="R372" i="1"/>
  <c r="S372" i="1" l="1"/>
  <c r="T372" i="1" s="1"/>
  <c r="R371" i="1"/>
  <c r="R370" i="1" l="1"/>
  <c r="S371" i="1"/>
  <c r="T371" i="1" s="1"/>
  <c r="S370" i="1" l="1"/>
  <c r="T370" i="1" s="1"/>
  <c r="R369" i="1"/>
  <c r="S369" i="1" l="1"/>
  <c r="T369" i="1" s="1"/>
  <c r="R368" i="1"/>
  <c r="S368" i="1" l="1"/>
  <c r="T368" i="1" s="1"/>
  <c r="R367" i="1"/>
  <c r="R366" i="1" l="1"/>
  <c r="S367" i="1"/>
  <c r="T367" i="1" s="1"/>
  <c r="R365" i="1" l="1"/>
  <c r="S366" i="1"/>
  <c r="T366" i="1" s="1"/>
  <c r="S365" i="1" l="1"/>
  <c r="T365" i="1" s="1"/>
  <c r="R364" i="1"/>
  <c r="R363" i="1" l="1"/>
  <c r="S364" i="1"/>
  <c r="T364" i="1" s="1"/>
  <c r="S363" i="1" l="1"/>
  <c r="T363" i="1" s="1"/>
  <c r="R362" i="1"/>
  <c r="S362" i="1" l="1"/>
  <c r="T362" i="1" s="1"/>
  <c r="R361" i="1"/>
  <c r="S361" i="1" l="1"/>
  <c r="T361" i="1" s="1"/>
  <c r="R360" i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S356" i="1" l="1"/>
  <c r="T356" i="1" s="1"/>
  <c r="R355" i="1"/>
  <c r="R354" i="1" l="1"/>
  <c r="S355" i="1"/>
  <c r="T355" i="1" s="1"/>
  <c r="R353" i="1" l="1"/>
  <c r="S354" i="1"/>
  <c r="T354" i="1" s="1"/>
  <c r="S353" i="1" l="1"/>
  <c r="T353" i="1" s="1"/>
  <c r="R352" i="1"/>
  <c r="S352" i="1" l="1"/>
  <c r="T352" i="1" s="1"/>
  <c r="R351" i="1"/>
  <c r="R350" i="1" l="1"/>
  <c r="S351" i="1"/>
  <c r="T351" i="1" s="1"/>
  <c r="R349" i="1" l="1"/>
  <c r="S350" i="1"/>
  <c r="T350" i="1" s="1"/>
  <c r="S349" i="1" l="1"/>
  <c r="T349" i="1" s="1"/>
  <c r="R348" i="1"/>
  <c r="S348" i="1" l="1"/>
  <c r="T348" i="1" s="1"/>
  <c r="R347" i="1"/>
  <c r="R346" i="1" l="1"/>
  <c r="S347" i="1"/>
  <c r="T347" i="1" s="1"/>
  <c r="R345" i="1" l="1"/>
  <c r="S346" i="1"/>
  <c r="T346" i="1" s="1"/>
  <c r="S345" i="1" l="1"/>
  <c r="T345" i="1" s="1"/>
  <c r="R344" i="1"/>
  <c r="S344" i="1" l="1"/>
  <c r="T344" i="1" s="1"/>
  <c r="R343" i="1"/>
  <c r="R342" i="1" l="1"/>
  <c r="S343" i="1"/>
  <c r="T343" i="1" s="1"/>
  <c r="R341" i="1" l="1"/>
  <c r="S342" i="1"/>
  <c r="T342" i="1" s="1"/>
  <c r="S341" i="1" l="1"/>
  <c r="T341" i="1" s="1"/>
  <c r="R340" i="1"/>
  <c r="S340" i="1" l="1"/>
  <c r="T340" i="1" s="1"/>
  <c r="R339" i="1"/>
  <c r="S339" i="1" l="1"/>
  <c r="T339" i="1" s="1"/>
  <c r="R338" i="1"/>
  <c r="R337" i="1" l="1"/>
  <c r="S338" i="1"/>
  <c r="T338" i="1" s="1"/>
  <c r="R336" i="1" l="1"/>
  <c r="S337" i="1"/>
  <c r="T337" i="1" s="1"/>
  <c r="S336" i="1" l="1"/>
  <c r="T336" i="1" s="1"/>
  <c r="R335" i="1"/>
  <c r="S335" i="1" l="1"/>
  <c r="T335" i="1" s="1"/>
  <c r="R334" i="1"/>
  <c r="S334" i="1" l="1"/>
  <c r="T334" i="1" s="1"/>
  <c r="R333" i="1"/>
  <c r="R332" i="1" l="1"/>
  <c r="S333" i="1"/>
  <c r="T333" i="1" s="1"/>
  <c r="R331" i="1" l="1"/>
  <c r="S332" i="1"/>
  <c r="T332" i="1" s="1"/>
  <c r="S331" i="1" l="1"/>
  <c r="T331" i="1" s="1"/>
  <c r="R330" i="1"/>
  <c r="R329" i="1" l="1"/>
  <c r="S330" i="1"/>
  <c r="T330" i="1" s="1"/>
  <c r="R328" i="1" l="1"/>
  <c r="S329" i="1"/>
  <c r="T329" i="1" s="1"/>
  <c r="S328" i="1" l="1"/>
  <c r="T328" i="1" s="1"/>
  <c r="R327" i="1"/>
  <c r="S327" i="1" l="1"/>
  <c r="T327" i="1" s="1"/>
  <c r="R326" i="1"/>
  <c r="R325" i="1" l="1"/>
  <c r="S326" i="1"/>
  <c r="T326" i="1" s="1"/>
  <c r="S325" i="1" l="1"/>
  <c r="T325" i="1" s="1"/>
  <c r="R324" i="1"/>
  <c r="S324" i="1" l="1"/>
  <c r="T324" i="1" s="1"/>
  <c r="R323" i="1"/>
  <c r="S323" i="1" l="1"/>
  <c r="T323" i="1" s="1"/>
  <c r="R322" i="1"/>
  <c r="S322" i="1" l="1"/>
  <c r="T322" i="1" s="1"/>
  <c r="R321" i="1"/>
  <c r="R320" i="1" l="1"/>
  <c r="S321" i="1"/>
  <c r="T321" i="1" s="1"/>
  <c r="R319" i="1" l="1"/>
  <c r="S320" i="1"/>
  <c r="T320" i="1" s="1"/>
  <c r="R318" i="1" l="1"/>
  <c r="S319" i="1"/>
  <c r="T319" i="1" s="1"/>
  <c r="S318" i="1" l="1"/>
  <c r="T318" i="1" s="1"/>
  <c r="R317" i="1"/>
  <c r="S317" i="1" l="1"/>
  <c r="T317" i="1" s="1"/>
  <c r="R316" i="1"/>
  <c r="R315" i="1" l="1"/>
  <c r="S316" i="1"/>
  <c r="T316" i="1" s="1"/>
  <c r="R314" i="1" l="1"/>
  <c r="S315" i="1"/>
  <c r="T315" i="1" s="1"/>
  <c r="S314" i="1" l="1"/>
  <c r="T314" i="1" s="1"/>
  <c r="R313" i="1"/>
  <c r="R312" i="1" l="1"/>
  <c r="S313" i="1"/>
  <c r="T313" i="1" s="1"/>
  <c r="S312" i="1" l="1"/>
  <c r="T312" i="1" s="1"/>
  <c r="R311" i="1"/>
  <c r="S311" i="1" l="1"/>
  <c r="T311" i="1" s="1"/>
  <c r="R310" i="1"/>
  <c r="S310" i="1" l="1"/>
  <c r="T310" i="1" s="1"/>
  <c r="R309" i="1"/>
  <c r="S309" i="1" l="1"/>
  <c r="T309" i="1" s="1"/>
  <c r="R308" i="1"/>
  <c r="S308" i="1" l="1"/>
  <c r="T308" i="1" s="1"/>
  <c r="R307" i="1"/>
  <c r="R306" i="1" l="1"/>
  <c r="S307" i="1"/>
  <c r="T307" i="1" s="1"/>
  <c r="R305" i="1" l="1"/>
  <c r="S306" i="1"/>
  <c r="T306" i="1" s="1"/>
  <c r="S305" i="1" l="1"/>
  <c r="T305" i="1" s="1"/>
  <c r="R304" i="1"/>
  <c r="S304" i="1" l="1"/>
  <c r="T304" i="1" s="1"/>
  <c r="R303" i="1"/>
  <c r="S303" i="1" l="1"/>
  <c r="T303" i="1" s="1"/>
  <c r="R302" i="1"/>
  <c r="R301" i="1" l="1"/>
  <c r="S302" i="1"/>
  <c r="T302" i="1" s="1"/>
  <c r="S301" i="1" l="1"/>
  <c r="T301" i="1" s="1"/>
  <c r="R300" i="1"/>
  <c r="S300" i="1" l="1"/>
  <c r="T300" i="1" s="1"/>
  <c r="R299" i="1"/>
  <c r="S299" i="1" l="1"/>
  <c r="T299" i="1" s="1"/>
  <c r="R298" i="1"/>
  <c r="R297" i="1" l="1"/>
  <c r="S298" i="1"/>
  <c r="T298" i="1" s="1"/>
  <c r="S297" i="1" l="1"/>
  <c r="T297" i="1" s="1"/>
  <c r="R296" i="1"/>
  <c r="R295" i="1" l="1"/>
  <c r="S296" i="1"/>
  <c r="T296" i="1" s="1"/>
  <c r="R294" i="1" l="1"/>
  <c r="S295" i="1"/>
  <c r="T295" i="1" s="1"/>
  <c r="S294" i="1" l="1"/>
  <c r="T294" i="1" s="1"/>
  <c r="R293" i="1"/>
  <c r="S293" i="1" l="1"/>
  <c r="T293" i="1" s="1"/>
  <c r="R292" i="1"/>
  <c r="R291" i="1" l="1"/>
  <c r="S292" i="1"/>
  <c r="T292" i="1" s="1"/>
  <c r="R290" i="1" l="1"/>
  <c r="S291" i="1"/>
  <c r="T291" i="1" s="1"/>
  <c r="R289" i="1" l="1"/>
  <c r="S290" i="1"/>
  <c r="T290" i="1" s="1"/>
  <c r="S289" i="1" l="1"/>
  <c r="T289" i="1" s="1"/>
  <c r="R288" i="1"/>
  <c r="S288" i="1" l="1"/>
  <c r="T288" i="1" s="1"/>
  <c r="R287" i="1"/>
  <c r="R286" i="1" l="1"/>
  <c r="S287" i="1"/>
  <c r="T287" i="1" s="1"/>
  <c r="R285" i="1" l="1"/>
  <c r="S286" i="1"/>
  <c r="T286" i="1" s="1"/>
  <c r="S285" i="1" l="1"/>
  <c r="T285" i="1" s="1"/>
  <c r="R284" i="1"/>
  <c r="S284" i="1" l="1"/>
  <c r="T284" i="1" s="1"/>
  <c r="R283" i="1"/>
  <c r="R282" i="1" l="1"/>
  <c r="S283" i="1"/>
  <c r="T283" i="1" s="1"/>
  <c r="R281" i="1" l="1"/>
  <c r="S282" i="1"/>
  <c r="T282" i="1" s="1"/>
  <c r="S281" i="1" l="1"/>
  <c r="T281" i="1" s="1"/>
  <c r="R280" i="1"/>
  <c r="R279" i="1" l="1"/>
  <c r="S280" i="1"/>
  <c r="T280" i="1" s="1"/>
  <c r="S279" i="1" l="1"/>
  <c r="T279" i="1" s="1"/>
  <c r="R278" i="1"/>
  <c r="S278" i="1" l="1"/>
  <c r="T278" i="1" s="1"/>
  <c r="R277" i="1"/>
  <c r="R276" i="1" l="1"/>
  <c r="S277" i="1"/>
  <c r="T277" i="1" s="1"/>
  <c r="R275" i="1" l="1"/>
  <c r="S276" i="1"/>
  <c r="T276" i="1" s="1"/>
  <c r="S275" i="1" l="1"/>
  <c r="T275" i="1" s="1"/>
  <c r="R274" i="1"/>
  <c r="R273" i="1" l="1"/>
  <c r="S274" i="1"/>
  <c r="T274" i="1" s="1"/>
  <c r="S273" i="1" l="1"/>
  <c r="T273" i="1" s="1"/>
  <c r="R272" i="1"/>
  <c r="S272" i="1" l="1"/>
  <c r="T272" i="1" s="1"/>
  <c r="R271" i="1"/>
  <c r="R270" i="1" l="1"/>
  <c r="S271" i="1"/>
  <c r="T271" i="1" s="1"/>
  <c r="R269" i="1" l="1"/>
  <c r="S270" i="1"/>
  <c r="T270" i="1" s="1"/>
  <c r="R268" i="1" l="1"/>
  <c r="S269" i="1"/>
  <c r="T269" i="1" s="1"/>
  <c r="S268" i="1" l="1"/>
  <c r="T268" i="1" s="1"/>
  <c r="R267" i="1"/>
  <c r="S267" i="1" l="1"/>
  <c r="T267" i="1" s="1"/>
  <c r="R266" i="1"/>
  <c r="R265" i="1" l="1"/>
  <c r="S266" i="1"/>
  <c r="T266" i="1" s="1"/>
  <c r="R264" i="1" l="1"/>
  <c r="S265" i="1"/>
  <c r="T265" i="1" s="1"/>
  <c r="S264" i="1" l="1"/>
  <c r="T264" i="1" s="1"/>
  <c r="R263" i="1"/>
  <c r="S263" i="1" l="1"/>
  <c r="T263" i="1" s="1"/>
  <c r="R262" i="1"/>
  <c r="R261" i="1" l="1"/>
  <c r="S262" i="1"/>
  <c r="T262" i="1" s="1"/>
  <c r="R260" i="1" l="1"/>
  <c r="S261" i="1"/>
  <c r="T261" i="1" s="1"/>
  <c r="R259" i="1" l="1"/>
  <c r="S260" i="1"/>
  <c r="T260" i="1" s="1"/>
  <c r="S259" i="1" l="1"/>
  <c r="T259" i="1" s="1"/>
  <c r="R258" i="1"/>
  <c r="S258" i="1" l="1"/>
  <c r="T258" i="1" s="1"/>
  <c r="R257" i="1"/>
  <c r="R256" i="1" l="1"/>
  <c r="S257" i="1"/>
  <c r="T257" i="1" s="1"/>
  <c r="R255" i="1" l="1"/>
  <c r="S256" i="1"/>
  <c r="T256" i="1" s="1"/>
  <c r="S255" i="1" l="1"/>
  <c r="T255" i="1" s="1"/>
  <c r="R254" i="1"/>
  <c r="S254" i="1" l="1"/>
  <c r="T254" i="1" s="1"/>
  <c r="R253" i="1"/>
  <c r="R252" i="1" l="1"/>
  <c r="S253" i="1"/>
  <c r="T253" i="1" s="1"/>
  <c r="R251" i="1" l="1"/>
  <c r="S252" i="1"/>
  <c r="T252" i="1" s="1"/>
  <c r="S251" i="1" l="1"/>
  <c r="T251" i="1" s="1"/>
  <c r="R250" i="1"/>
  <c r="S250" i="1" l="1"/>
  <c r="T250" i="1" s="1"/>
  <c r="R249" i="1"/>
  <c r="R248" i="1" l="1"/>
  <c r="S249" i="1"/>
  <c r="T249" i="1" s="1"/>
  <c r="R247" i="1" l="1"/>
  <c r="S248" i="1"/>
  <c r="T248" i="1" s="1"/>
  <c r="S247" i="1" l="1"/>
  <c r="T247" i="1" s="1"/>
  <c r="R246" i="1"/>
  <c r="S246" i="1" l="1"/>
  <c r="T246" i="1" s="1"/>
  <c r="R245" i="1"/>
  <c r="R244" i="1" l="1"/>
  <c r="S245" i="1"/>
  <c r="T245" i="1" s="1"/>
  <c r="R243" i="1" l="1"/>
  <c r="S244" i="1"/>
  <c r="T244" i="1" s="1"/>
  <c r="S243" i="1" l="1"/>
  <c r="T243" i="1" s="1"/>
  <c r="R242" i="1"/>
  <c r="S242" i="1" l="1"/>
  <c r="T242" i="1" s="1"/>
  <c r="R241" i="1"/>
  <c r="R240" i="1" l="1"/>
  <c r="S241" i="1"/>
  <c r="T241" i="1" s="1"/>
  <c r="S240" i="1" l="1"/>
  <c r="T240" i="1" s="1"/>
  <c r="R239" i="1"/>
  <c r="S239" i="1" l="1"/>
  <c r="T239" i="1" s="1"/>
  <c r="R238" i="1"/>
  <c r="S238" i="1" l="1"/>
  <c r="T238" i="1" s="1"/>
  <c r="R237" i="1"/>
  <c r="R236" i="1" l="1"/>
  <c r="S237" i="1"/>
  <c r="T237" i="1" s="1"/>
  <c r="R235" i="1" l="1"/>
  <c r="S236" i="1"/>
  <c r="T236" i="1" s="1"/>
  <c r="R234" i="1" l="1"/>
  <c r="S235" i="1"/>
  <c r="T235" i="1" s="1"/>
  <c r="S234" i="1" l="1"/>
  <c r="T234" i="1" s="1"/>
  <c r="R233" i="1"/>
  <c r="S233" i="1" l="1"/>
  <c r="T233" i="1" s="1"/>
  <c r="R232" i="1"/>
  <c r="R231" i="1" l="1"/>
  <c r="S232" i="1"/>
  <c r="T232" i="1" s="1"/>
  <c r="R230" i="1" l="1"/>
  <c r="S231" i="1"/>
  <c r="T231" i="1" s="1"/>
  <c r="S230" i="1" l="1"/>
  <c r="T230" i="1" s="1"/>
  <c r="R229" i="1"/>
  <c r="S229" i="1" l="1"/>
  <c r="T229" i="1" s="1"/>
  <c r="R228" i="1"/>
  <c r="R227" i="1" l="1"/>
  <c r="S228" i="1"/>
  <c r="T228" i="1" s="1"/>
  <c r="S227" i="1" l="1"/>
  <c r="T227" i="1" s="1"/>
  <c r="R226" i="1"/>
  <c r="S226" i="1" l="1"/>
  <c r="T226" i="1" s="1"/>
  <c r="R225" i="1"/>
  <c r="S225" i="1" l="1"/>
  <c r="T225" i="1" s="1"/>
  <c r="R224" i="1"/>
  <c r="S224" i="1" l="1"/>
  <c r="T224" i="1" s="1"/>
  <c r="R223" i="1"/>
  <c r="R222" i="1" l="1"/>
  <c r="S223" i="1"/>
  <c r="T223" i="1" s="1"/>
  <c r="R221" i="1" l="1"/>
  <c r="S222" i="1"/>
  <c r="T222" i="1" s="1"/>
  <c r="R220" i="1" l="1"/>
  <c r="S221" i="1"/>
  <c r="T221" i="1" s="1"/>
  <c r="S220" i="1" l="1"/>
  <c r="T220" i="1" s="1"/>
  <c r="R219" i="1"/>
  <c r="R218" i="1" l="1"/>
  <c r="S219" i="1"/>
  <c r="T219" i="1" s="1"/>
  <c r="R217" i="1" l="1"/>
  <c r="S218" i="1"/>
  <c r="T218" i="1" s="1"/>
  <c r="S217" i="1" l="1"/>
  <c r="T217" i="1" s="1"/>
  <c r="R216" i="1"/>
  <c r="S216" i="1" l="1"/>
  <c r="T216" i="1" s="1"/>
  <c r="R215" i="1"/>
  <c r="R214" i="1" l="1"/>
  <c r="S215" i="1"/>
  <c r="T215" i="1" s="1"/>
  <c r="R213" i="1" l="1"/>
  <c r="S214" i="1"/>
  <c r="T214" i="1" s="1"/>
  <c r="S213" i="1" l="1"/>
  <c r="T213" i="1" s="1"/>
  <c r="R212" i="1"/>
  <c r="R211" i="1" l="1"/>
  <c r="S212" i="1"/>
  <c r="T212" i="1" s="1"/>
  <c r="R210" i="1" l="1"/>
  <c r="S211" i="1"/>
  <c r="T211" i="1" s="1"/>
  <c r="S210" i="1" l="1"/>
  <c r="T210" i="1" s="1"/>
  <c r="R209" i="1"/>
  <c r="R208" i="1" l="1"/>
  <c r="S209" i="1"/>
  <c r="T209" i="1" s="1"/>
  <c r="S208" i="1" l="1"/>
  <c r="T208" i="1" s="1"/>
  <c r="R207" i="1"/>
  <c r="R206" i="1" l="1"/>
  <c r="S207" i="1"/>
  <c r="T207" i="1" s="1"/>
  <c r="R205" i="1" l="1"/>
  <c r="S206" i="1"/>
  <c r="T206" i="1" s="1"/>
  <c r="S205" i="1" l="1"/>
  <c r="T205" i="1" s="1"/>
  <c r="R204" i="1"/>
  <c r="S204" i="1" l="1"/>
  <c r="T204" i="1" s="1"/>
  <c r="R203" i="1"/>
  <c r="R202" i="1" l="1"/>
  <c r="S203" i="1"/>
  <c r="T203" i="1" s="1"/>
  <c r="R201" i="1" l="1"/>
  <c r="S202" i="1"/>
  <c r="T202" i="1" s="1"/>
  <c r="S201" i="1" l="1"/>
  <c r="T201" i="1" s="1"/>
  <c r="R200" i="1"/>
  <c r="S200" i="1" l="1"/>
  <c r="T200" i="1" s="1"/>
  <c r="R199" i="1"/>
  <c r="R198" i="1" l="1"/>
  <c r="S199" i="1"/>
  <c r="T199" i="1" s="1"/>
  <c r="R197" i="1" l="1"/>
  <c r="S198" i="1"/>
  <c r="T198" i="1" s="1"/>
  <c r="S197" i="1" l="1"/>
  <c r="T197" i="1" s="1"/>
  <c r="R196" i="1"/>
  <c r="S196" i="1" l="1"/>
  <c r="T196" i="1" s="1"/>
  <c r="R195" i="1"/>
  <c r="R194" i="1" l="1"/>
  <c r="S195" i="1"/>
  <c r="T195" i="1" s="1"/>
  <c r="R193" i="1" l="1"/>
  <c r="S194" i="1"/>
  <c r="T194" i="1" s="1"/>
  <c r="S193" i="1" l="1"/>
  <c r="T193" i="1" s="1"/>
  <c r="R192" i="1"/>
  <c r="S192" i="1" l="1"/>
  <c r="T192" i="1" s="1"/>
  <c r="R191" i="1"/>
  <c r="R190" i="1" l="1"/>
  <c r="S191" i="1"/>
  <c r="T191" i="1" s="1"/>
  <c r="R189" i="1" l="1"/>
  <c r="S190" i="1"/>
  <c r="T190" i="1" s="1"/>
  <c r="S189" i="1" l="1"/>
  <c r="T189" i="1" s="1"/>
  <c r="R188" i="1"/>
  <c r="S188" i="1" l="1"/>
  <c r="T188" i="1" s="1"/>
  <c r="R187" i="1"/>
  <c r="R186" i="1" l="1"/>
  <c r="S187" i="1"/>
  <c r="T187" i="1" s="1"/>
  <c r="R185" i="1" l="1"/>
  <c r="S186" i="1"/>
  <c r="T186" i="1" s="1"/>
  <c r="S185" i="1" l="1"/>
  <c r="T185" i="1" s="1"/>
  <c r="R184" i="1"/>
  <c r="R183" i="1" l="1"/>
  <c r="S184" i="1"/>
  <c r="T184" i="1" s="1"/>
  <c r="R182" i="1" l="1"/>
  <c r="S183" i="1"/>
  <c r="T183" i="1" s="1"/>
  <c r="S182" i="1" l="1"/>
  <c r="T182" i="1" s="1"/>
  <c r="R181" i="1"/>
  <c r="S181" i="1" l="1"/>
  <c r="T181" i="1" s="1"/>
  <c r="R180" i="1"/>
  <c r="S180" i="1" l="1"/>
  <c r="T180" i="1" s="1"/>
  <c r="R179" i="1"/>
  <c r="R178" i="1" l="1"/>
  <c r="S179" i="1"/>
  <c r="T179" i="1" s="1"/>
  <c r="R177" i="1" l="1"/>
  <c r="S178" i="1"/>
  <c r="T178" i="1" s="1"/>
  <c r="S177" i="1" l="1"/>
  <c r="T177" i="1" s="1"/>
  <c r="R176" i="1"/>
  <c r="S176" i="1" l="1"/>
  <c r="T176" i="1" s="1"/>
  <c r="R175" i="1"/>
  <c r="R174" i="1" l="1"/>
  <c r="S175" i="1"/>
  <c r="T175" i="1" s="1"/>
  <c r="R173" i="1" l="1"/>
  <c r="S174" i="1"/>
  <c r="T174" i="1" s="1"/>
  <c r="S173" i="1" l="1"/>
  <c r="T173" i="1" s="1"/>
  <c r="R172" i="1"/>
  <c r="S172" i="1" l="1"/>
  <c r="T172" i="1" s="1"/>
  <c r="R171" i="1"/>
  <c r="R170" i="1" l="1"/>
  <c r="S171" i="1"/>
  <c r="T171" i="1" s="1"/>
  <c r="R169" i="1" l="1"/>
  <c r="S170" i="1"/>
  <c r="T170" i="1" s="1"/>
  <c r="S169" i="1" l="1"/>
  <c r="T169" i="1" s="1"/>
  <c r="R168" i="1"/>
  <c r="S168" i="1" l="1"/>
  <c r="T168" i="1" s="1"/>
  <c r="R167" i="1"/>
  <c r="R166" i="1" l="1"/>
  <c r="S167" i="1"/>
  <c r="T167" i="1" s="1"/>
  <c r="R165" i="1" l="1"/>
  <c r="S166" i="1"/>
  <c r="T166" i="1" s="1"/>
  <c r="S165" i="1" l="1"/>
  <c r="T165" i="1" s="1"/>
  <c r="R164" i="1"/>
  <c r="S164" i="1" l="1"/>
  <c r="T164" i="1" s="1"/>
  <c r="R163" i="1"/>
  <c r="R162" i="1" l="1"/>
  <c r="S163" i="1"/>
  <c r="T163" i="1" s="1"/>
  <c r="R161" i="1" l="1"/>
  <c r="S162" i="1"/>
  <c r="T162" i="1" s="1"/>
  <c r="S161" i="1" l="1"/>
  <c r="T161" i="1" s="1"/>
  <c r="R160" i="1"/>
  <c r="S160" i="1" l="1"/>
  <c r="T160" i="1" s="1"/>
  <c r="R159" i="1"/>
  <c r="R158" i="1" l="1"/>
  <c r="S159" i="1"/>
  <c r="T159" i="1" s="1"/>
  <c r="R157" i="1" l="1"/>
  <c r="S158" i="1"/>
  <c r="T158" i="1" s="1"/>
  <c r="S157" i="1" l="1"/>
  <c r="T157" i="1" s="1"/>
  <c r="R156" i="1"/>
  <c r="R155" i="1" l="1"/>
  <c r="S156" i="1"/>
  <c r="T156" i="1" s="1"/>
  <c r="S155" i="1" l="1"/>
  <c r="T155" i="1" s="1"/>
  <c r="R154" i="1"/>
  <c r="S154" i="1" l="1"/>
  <c r="T154" i="1" s="1"/>
  <c r="R153" i="1"/>
  <c r="R152" i="1" l="1"/>
  <c r="S153" i="1"/>
  <c r="T153" i="1" s="1"/>
  <c r="R151" i="1" l="1"/>
  <c r="S152" i="1"/>
  <c r="T152" i="1" s="1"/>
  <c r="S151" i="1" l="1"/>
  <c r="T151" i="1" s="1"/>
  <c r="R150" i="1"/>
  <c r="S150" i="1" l="1"/>
  <c r="T150" i="1" s="1"/>
  <c r="R149" i="1"/>
  <c r="R148" i="1" l="1"/>
  <c r="S149" i="1"/>
  <c r="T149" i="1" s="1"/>
  <c r="R147" i="1" l="1"/>
  <c r="S148" i="1"/>
  <c r="T148" i="1" s="1"/>
  <c r="S147" i="1" l="1"/>
  <c r="T147" i="1" s="1"/>
  <c r="R146" i="1"/>
  <c r="S146" i="1" l="1"/>
  <c r="T146" i="1" s="1"/>
  <c r="R145" i="1"/>
  <c r="R144" i="1" l="1"/>
  <c r="S145" i="1"/>
  <c r="T145" i="1" s="1"/>
  <c r="R143" i="1" l="1"/>
  <c r="S144" i="1"/>
  <c r="T144" i="1" s="1"/>
  <c r="R142" i="1" l="1"/>
  <c r="S143" i="1"/>
  <c r="T143" i="1" s="1"/>
  <c r="S142" i="1" l="1"/>
  <c r="T142" i="1" s="1"/>
  <c r="R141" i="1"/>
  <c r="S141" i="1" l="1"/>
  <c r="T141" i="1" s="1"/>
  <c r="R140" i="1"/>
  <c r="R139" i="1" l="1"/>
  <c r="S140" i="1"/>
  <c r="T140" i="1" s="1"/>
  <c r="R138" i="1" l="1"/>
  <c r="S139" i="1"/>
  <c r="T139" i="1" s="1"/>
  <c r="R137" i="1" l="1"/>
  <c r="S138" i="1"/>
  <c r="T138" i="1" s="1"/>
  <c r="S137" i="1" l="1"/>
  <c r="T137" i="1" s="1"/>
  <c r="R136" i="1"/>
  <c r="S136" i="1" l="1"/>
  <c r="T136" i="1" s="1"/>
  <c r="R135" i="1"/>
  <c r="R134" i="1" l="1"/>
  <c r="S135" i="1"/>
  <c r="T135" i="1" s="1"/>
  <c r="R133" i="1" l="1"/>
  <c r="S134" i="1"/>
  <c r="T134" i="1" s="1"/>
  <c r="R132" i="1" l="1"/>
  <c r="S133" i="1"/>
  <c r="T133" i="1" s="1"/>
  <c r="S132" i="1" l="1"/>
  <c r="T132" i="1" s="1"/>
  <c r="R131" i="1"/>
  <c r="R130" i="1" l="1"/>
  <c r="S131" i="1"/>
  <c r="T131" i="1" s="1"/>
  <c r="R129" i="1" l="1"/>
  <c r="S130" i="1"/>
  <c r="T130" i="1" s="1"/>
  <c r="S129" i="1" l="1"/>
  <c r="T129" i="1" s="1"/>
  <c r="R128" i="1"/>
  <c r="S128" i="1" l="1"/>
  <c r="T128" i="1" s="1"/>
  <c r="R127" i="1"/>
  <c r="R126" i="1" l="1"/>
  <c r="S127" i="1"/>
  <c r="T127" i="1" s="1"/>
  <c r="S126" i="1" l="1"/>
  <c r="T126" i="1" s="1"/>
  <c r="R125" i="1"/>
  <c r="R124" i="1" l="1"/>
  <c r="S125" i="1"/>
  <c r="T125" i="1" s="1"/>
  <c r="R123" i="1" l="1"/>
  <c r="S124" i="1"/>
  <c r="T124" i="1" s="1"/>
  <c r="S123" i="1" l="1"/>
  <c r="T123" i="1" s="1"/>
  <c r="R122" i="1"/>
  <c r="S122" i="1" l="1"/>
  <c r="T122" i="1" s="1"/>
  <c r="R121" i="1"/>
  <c r="R120" i="1" l="1"/>
  <c r="S121" i="1"/>
  <c r="T121" i="1" s="1"/>
  <c r="R119" i="1" l="1"/>
  <c r="S120" i="1"/>
  <c r="T120" i="1" s="1"/>
  <c r="R118" i="1" l="1"/>
  <c r="S119" i="1"/>
  <c r="T119" i="1" s="1"/>
  <c r="S118" i="1" l="1"/>
  <c r="T118" i="1" s="1"/>
  <c r="R117" i="1"/>
  <c r="S117" i="1" l="1"/>
  <c r="T117" i="1" s="1"/>
  <c r="R116" i="1"/>
  <c r="S116" i="1" l="1"/>
  <c r="T116" i="1" s="1"/>
  <c r="R115" i="1"/>
  <c r="R114" i="1" l="1"/>
  <c r="S115" i="1"/>
  <c r="T115" i="1" s="1"/>
  <c r="R113" i="1" l="1"/>
  <c r="S114" i="1"/>
  <c r="T114" i="1" s="1"/>
  <c r="S113" i="1" l="1"/>
  <c r="T113" i="1" s="1"/>
  <c r="R112" i="1"/>
  <c r="R111" i="1" l="1"/>
  <c r="S112" i="1"/>
  <c r="T112" i="1" s="1"/>
  <c r="R110" i="1" l="1"/>
  <c r="S111" i="1"/>
  <c r="T111" i="1" s="1"/>
  <c r="S110" i="1" l="1"/>
  <c r="T110" i="1" s="1"/>
  <c r="R109" i="1"/>
  <c r="S109" i="1" l="1"/>
  <c r="T109" i="1" s="1"/>
  <c r="R108" i="1"/>
  <c r="S108" i="1" l="1"/>
  <c r="T108" i="1" s="1"/>
  <c r="R107" i="1"/>
  <c r="S107" i="1" l="1"/>
  <c r="T107" i="1" s="1"/>
  <c r="R106" i="1"/>
  <c r="R105" i="1" l="1"/>
  <c r="S106" i="1"/>
  <c r="T106" i="1" s="1"/>
  <c r="R104" i="1" l="1"/>
  <c r="S105" i="1"/>
  <c r="T105" i="1" s="1"/>
  <c r="S104" i="1" l="1"/>
  <c r="T104" i="1" s="1"/>
  <c r="R103" i="1"/>
  <c r="S103" i="1" l="1"/>
  <c r="T103" i="1" s="1"/>
  <c r="R102" i="1"/>
  <c r="R101" i="1" l="1"/>
  <c r="S102" i="1"/>
  <c r="T102" i="1" s="1"/>
  <c r="R100" i="1" l="1"/>
  <c r="S101" i="1"/>
  <c r="T101" i="1" s="1"/>
  <c r="S100" i="1" l="1"/>
  <c r="T100" i="1" s="1"/>
  <c r="R99" i="1"/>
  <c r="S99" i="1" l="1"/>
  <c r="T99" i="1" s="1"/>
  <c r="R98" i="1"/>
  <c r="R97" i="1" l="1"/>
  <c r="S98" i="1"/>
  <c r="T98" i="1" s="1"/>
  <c r="R96" i="1" l="1"/>
  <c r="S97" i="1"/>
  <c r="T97" i="1" s="1"/>
  <c r="S96" i="1" l="1"/>
  <c r="T96" i="1" s="1"/>
  <c r="R95" i="1"/>
  <c r="R94" i="1" l="1"/>
  <c r="S95" i="1"/>
  <c r="T95" i="1" s="1"/>
  <c r="R93" i="1" l="1"/>
  <c r="S94" i="1"/>
  <c r="T94" i="1" s="1"/>
  <c r="S93" i="1" l="1"/>
  <c r="T93" i="1" s="1"/>
  <c r="R92" i="1"/>
  <c r="R91" i="1" l="1"/>
  <c r="S92" i="1"/>
  <c r="T92" i="1" s="1"/>
  <c r="S91" i="1" l="1"/>
  <c r="T91" i="1" s="1"/>
  <c r="R90" i="1"/>
  <c r="S90" i="1" l="1"/>
  <c r="T90" i="1" s="1"/>
  <c r="R89" i="1"/>
  <c r="R88" i="1" l="1"/>
  <c r="S89" i="1"/>
  <c r="T89" i="1" s="1"/>
  <c r="R87" i="1" l="1"/>
  <c r="S88" i="1"/>
  <c r="T88" i="1" s="1"/>
  <c r="S87" i="1" l="1"/>
  <c r="T87" i="1" s="1"/>
  <c r="R86" i="1"/>
  <c r="R85" i="1" l="1"/>
  <c r="S86" i="1"/>
  <c r="T86" i="1" s="1"/>
  <c r="S85" i="1" l="1"/>
  <c r="T85" i="1" s="1"/>
  <c r="R84" i="1"/>
  <c r="R83" i="1" l="1"/>
  <c r="S84" i="1"/>
  <c r="T84" i="1" s="1"/>
  <c r="S83" i="1" l="1"/>
  <c r="T83" i="1" s="1"/>
  <c r="R82" i="1"/>
  <c r="S82" i="1" l="1"/>
  <c r="T82" i="1" s="1"/>
  <c r="R81" i="1"/>
  <c r="R80" i="1" l="1"/>
  <c r="S81" i="1"/>
  <c r="T81" i="1" s="1"/>
  <c r="R79" i="1" l="1"/>
  <c r="S80" i="1"/>
  <c r="T80" i="1" s="1"/>
  <c r="S79" i="1" l="1"/>
  <c r="T79" i="1" s="1"/>
  <c r="R78" i="1"/>
  <c r="S78" i="1" l="1"/>
  <c r="T78" i="1" s="1"/>
  <c r="R77" i="1"/>
  <c r="R76" i="1" l="1"/>
  <c r="S77" i="1"/>
  <c r="T77" i="1" s="1"/>
  <c r="R75" i="1" l="1"/>
  <c r="S76" i="1"/>
  <c r="T76" i="1" s="1"/>
  <c r="S75" i="1" l="1"/>
  <c r="T75" i="1" s="1"/>
  <c r="R74" i="1"/>
  <c r="R73" i="1" l="1"/>
  <c r="S74" i="1"/>
  <c r="T74" i="1" s="1"/>
  <c r="R72" i="1" l="1"/>
  <c r="S73" i="1"/>
  <c r="T73" i="1" s="1"/>
  <c r="R71" i="1" l="1"/>
  <c r="S72" i="1"/>
  <c r="T72" i="1" s="1"/>
  <c r="R70" i="1" l="1"/>
  <c r="S71" i="1"/>
  <c r="T71" i="1" s="1"/>
  <c r="R69" i="1" l="1"/>
  <c r="S70" i="1"/>
  <c r="T70" i="1" s="1"/>
  <c r="R68" i="1" l="1"/>
  <c r="S69" i="1"/>
  <c r="T69" i="1" s="1"/>
  <c r="R67" i="1" l="1"/>
  <c r="S68" i="1"/>
  <c r="T68" i="1" s="1"/>
  <c r="R66" i="1" l="1"/>
  <c r="S67" i="1"/>
  <c r="T67" i="1" s="1"/>
  <c r="S66" i="1" l="1"/>
  <c r="T66" i="1" s="1"/>
  <c r="R65" i="1"/>
  <c r="S65" i="1" l="1"/>
  <c r="T65" i="1" s="1"/>
  <c r="R64" i="1"/>
  <c r="R63" i="1" l="1"/>
  <c r="S64" i="1"/>
  <c r="T64" i="1" s="1"/>
  <c r="R62" i="1" l="1"/>
  <c r="S63" i="1"/>
  <c r="T63" i="1" s="1"/>
  <c r="R61" i="1" l="1"/>
  <c r="S62" i="1"/>
  <c r="T62" i="1" s="1"/>
  <c r="R60" i="1" l="1"/>
  <c r="S61" i="1"/>
  <c r="T61" i="1" s="1"/>
  <c r="R59" i="1" l="1"/>
  <c r="S60" i="1"/>
  <c r="T60" i="1" s="1"/>
  <c r="R58" i="1" l="1"/>
  <c r="S59" i="1"/>
  <c r="T59" i="1" s="1"/>
  <c r="R57" i="1" l="1"/>
  <c r="S58" i="1"/>
  <c r="T58" i="1" s="1"/>
  <c r="S57" i="1" l="1"/>
  <c r="T57" i="1" s="1"/>
  <c r="R56" i="1"/>
  <c r="S56" i="1" l="1"/>
  <c r="T56" i="1" s="1"/>
  <c r="R55" i="1"/>
  <c r="R54" i="1" l="1"/>
  <c r="S55" i="1"/>
  <c r="T55" i="1" s="1"/>
  <c r="R53" i="1" l="1"/>
  <c r="S54" i="1"/>
  <c r="T54" i="1" s="1"/>
  <c r="R52" i="1" l="1"/>
  <c r="S53" i="1"/>
  <c r="T53" i="1" s="1"/>
  <c r="S52" i="1" l="1"/>
  <c r="T52" i="1" s="1"/>
  <c r="R51" i="1"/>
  <c r="S51" i="1" l="1"/>
  <c r="T51" i="1" s="1"/>
  <c r="R50" i="1"/>
  <c r="R49" i="1" l="1"/>
  <c r="S50" i="1"/>
  <c r="T50" i="1" s="1"/>
  <c r="R48" i="1" l="1"/>
  <c r="S49" i="1"/>
  <c r="T49" i="1" s="1"/>
  <c r="R47" i="1" l="1"/>
  <c r="S48" i="1"/>
  <c r="T48" i="1" s="1"/>
  <c r="R46" i="1" l="1"/>
  <c r="S47" i="1"/>
  <c r="T47" i="1" s="1"/>
  <c r="R45" i="1" l="1"/>
  <c r="S46" i="1"/>
  <c r="T46" i="1" s="1"/>
  <c r="R44" i="1" l="1"/>
  <c r="S45" i="1"/>
  <c r="T45" i="1" s="1"/>
  <c r="R43" i="1" l="1"/>
  <c r="S44" i="1"/>
  <c r="T44" i="1" s="1"/>
  <c r="S43" i="1" l="1"/>
  <c r="T43" i="1" s="1"/>
  <c r="R42" i="1"/>
  <c r="S42" i="1" l="1"/>
  <c r="T42" i="1" s="1"/>
  <c r="R41" i="1"/>
  <c r="R40" i="1" l="1"/>
  <c r="S41" i="1"/>
  <c r="T41" i="1" s="1"/>
  <c r="R39" i="1" l="1"/>
  <c r="S40" i="1"/>
  <c r="T40" i="1" s="1"/>
  <c r="S39" i="1" l="1"/>
  <c r="T39" i="1" s="1"/>
  <c r="R38" i="1"/>
  <c r="R37" i="1" l="1"/>
  <c r="S38" i="1"/>
  <c r="T38" i="1" s="1"/>
  <c r="S37" i="1" l="1"/>
  <c r="T37" i="1" s="1"/>
  <c r="R36" i="1"/>
  <c r="R35" i="1" l="1"/>
  <c r="S36" i="1"/>
  <c r="T36" i="1" s="1"/>
  <c r="S35" i="1" l="1"/>
  <c r="T35" i="1" s="1"/>
  <c r="R34" i="1"/>
  <c r="S34" i="1" l="1"/>
  <c r="T34" i="1" s="1"/>
  <c r="R33" i="1"/>
  <c r="S33" i="1" l="1"/>
  <c r="T33" i="1" s="1"/>
  <c r="R32" i="1"/>
  <c r="S32" i="1" l="1"/>
  <c r="T32" i="1" s="1"/>
  <c r="R31" i="1"/>
  <c r="R30" i="1" l="1"/>
  <c r="S31" i="1"/>
  <c r="T31" i="1" s="1"/>
  <c r="R29" i="1" l="1"/>
  <c r="S30" i="1"/>
  <c r="T30" i="1" s="1"/>
  <c r="S29" i="1" l="1"/>
  <c r="T29" i="1" s="1"/>
  <c r="R28" i="1"/>
  <c r="R27" i="1" l="1"/>
  <c r="S28" i="1"/>
  <c r="T28" i="1" s="1"/>
  <c r="S27" i="1" l="1"/>
  <c r="T27" i="1" s="1"/>
  <c r="R26" i="1"/>
  <c r="S26" i="1" l="1"/>
  <c r="T26" i="1" s="1"/>
  <c r="R25" i="1"/>
  <c r="R24" i="1" l="1"/>
  <c r="S25" i="1"/>
  <c r="T25" i="1" s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<sst xmlns="http://schemas.openxmlformats.org/spreadsheetml/2006/main" count="5881" uniqueCount="34">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</sst>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9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5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12.23</c:v>
                </c:pt>
                <c:pt idx="1">
                  <c:v>12.51</c:v>
                </c:pt>
                <c:pt idx="2">
                  <c:v>12.14</c:v>
                </c:pt>
                <c:pt idx="3">
                  <c:v>12.27</c:v>
                </c:pt>
                <c:pt idx="4">
                  <c:v>12.98</c:v>
                </c:pt>
                <c:pt idx="5">
                  <c:v>12.44</c:v>
                </c:pt>
                <c:pt idx="6">
                  <c:v>13.61</c:v>
                </c:pt>
                <c:pt idx="7">
                  <c:v>15.22</c:v>
                </c:pt>
                <c:pt idx="8">
                  <c:v>15.69</c:v>
                </c:pt>
                <c:pt idx="9">
                  <c:v>16.2</c:v>
                </c:pt>
                <c:pt idx="10">
                  <c:v>16.53</c:v>
                </c:pt>
                <c:pt idx="11">
                  <c:v>16.89</c:v>
                </c:pt>
                <c:pt idx="12">
                  <c:v>16.87</c:v>
                </c:pt>
                <c:pt idx="13">
                  <c:v>16.77</c:v>
                </c:pt>
                <c:pt idx="14">
                  <c:v>16.52</c:v>
                </c:pt>
                <c:pt idx="15">
                  <c:v>17.04</c:v>
                </c:pt>
                <c:pt idx="16">
                  <c:v>16.32</c:v>
                </c:pt>
                <c:pt idx="17">
                  <c:v>15.55</c:v>
                </c:pt>
                <c:pt idx="18">
                  <c:v>16.28</c:v>
                </c:pt>
                <c:pt idx="19">
                  <c:v>16.12</c:v>
                </c:pt>
                <c:pt idx="20">
                  <c:v>16.8</c:v>
                </c:pt>
                <c:pt idx="21">
                  <c:v>16.45</c:v>
                </c:pt>
                <c:pt idx="22">
                  <c:v>16.82</c:v>
                </c:pt>
                <c:pt idx="23">
                  <c:v>17.96</c:v>
                </c:pt>
                <c:pt idx="24">
                  <c:v>18.55</c:v>
                </c:pt>
                <c:pt idx="25">
                  <c:v>19.13</c:v>
                </c:pt>
                <c:pt idx="26">
                  <c:v>19.05</c:v>
                </c:pt>
                <c:pt idx="27">
                  <c:v>18.11</c:v>
                </c:pt>
                <c:pt idx="28">
                  <c:v>17.420000000000002</c:v>
                </c:pt>
                <c:pt idx="29">
                  <c:v>17.100000000000001</c:v>
                </c:pt>
                <c:pt idx="30">
                  <c:v>17.75</c:v>
                </c:pt>
                <c:pt idx="31">
                  <c:v>19.079999999999998</c:v>
                </c:pt>
                <c:pt idx="32">
                  <c:v>19.3</c:v>
                </c:pt>
                <c:pt idx="33">
                  <c:v>19.739999999999998</c:v>
                </c:pt>
                <c:pt idx="34">
                  <c:v>17.97</c:v>
                </c:pt>
                <c:pt idx="35">
                  <c:v>18.28</c:v>
                </c:pt>
                <c:pt idx="36">
                  <c:v>17.32</c:v>
                </c:pt>
                <c:pt idx="37">
                  <c:v>16.91</c:v>
                </c:pt>
                <c:pt idx="38">
                  <c:v>16.170000000000002</c:v>
                </c:pt>
                <c:pt idx="39">
                  <c:v>16.41</c:v>
                </c:pt>
                <c:pt idx="40">
                  <c:v>16.89</c:v>
                </c:pt>
                <c:pt idx="41">
                  <c:v>16.66</c:v>
                </c:pt>
                <c:pt idx="42">
                  <c:v>16.440000000000001</c:v>
                </c:pt>
                <c:pt idx="43">
                  <c:v>16.68</c:v>
                </c:pt>
                <c:pt idx="44">
                  <c:v>16.399999999999999</c:v>
                </c:pt>
                <c:pt idx="45">
                  <c:v>15.91</c:v>
                </c:pt>
                <c:pt idx="46">
                  <c:v>17.440000000000001</c:v>
                </c:pt>
                <c:pt idx="47">
                  <c:v>16.989999999999998</c:v>
                </c:pt>
                <c:pt idx="48">
                  <c:v>17.03</c:v>
                </c:pt>
                <c:pt idx="49">
                  <c:v>18.34</c:v>
                </c:pt>
                <c:pt idx="50">
                  <c:v>18.38</c:v>
                </c:pt>
                <c:pt idx="51">
                  <c:v>17.97</c:v>
                </c:pt>
                <c:pt idx="52">
                  <c:v>17.73</c:v>
                </c:pt>
                <c:pt idx="53">
                  <c:v>16.97</c:v>
                </c:pt>
                <c:pt idx="54">
                  <c:v>17.739999999999998</c:v>
                </c:pt>
                <c:pt idx="55">
                  <c:v>20.9</c:v>
                </c:pt>
                <c:pt idx="56">
                  <c:v>22.02</c:v>
                </c:pt>
                <c:pt idx="57">
                  <c:v>21.88</c:v>
                </c:pt>
                <c:pt idx="58">
                  <c:v>21.87</c:v>
                </c:pt>
                <c:pt idx="59">
                  <c:v>22.26</c:v>
                </c:pt>
                <c:pt idx="60">
                  <c:v>21.57</c:v>
                </c:pt>
                <c:pt idx="61">
                  <c:v>21.53</c:v>
                </c:pt>
                <c:pt idx="62">
                  <c:v>21.32</c:v>
                </c:pt>
                <c:pt idx="63">
                  <c:v>22.76</c:v>
                </c:pt>
                <c:pt idx="64">
                  <c:v>22.16</c:v>
                </c:pt>
                <c:pt idx="65">
                  <c:v>23.15</c:v>
                </c:pt>
                <c:pt idx="66">
                  <c:v>23.7</c:v>
                </c:pt>
                <c:pt idx="67">
                  <c:v>22.72</c:v>
                </c:pt>
                <c:pt idx="68">
                  <c:v>22.99</c:v>
                </c:pt>
                <c:pt idx="69">
                  <c:v>22.56</c:v>
                </c:pt>
                <c:pt idx="70">
                  <c:v>21.83</c:v>
                </c:pt>
                <c:pt idx="71">
                  <c:v>24.02</c:v>
                </c:pt>
                <c:pt idx="72">
                  <c:v>22.67</c:v>
                </c:pt>
                <c:pt idx="73">
                  <c:v>24.24</c:v>
                </c:pt>
                <c:pt idx="74">
                  <c:v>23.91</c:v>
                </c:pt>
                <c:pt idx="75">
                  <c:v>23.81</c:v>
                </c:pt>
                <c:pt idx="76">
                  <c:v>23.59</c:v>
                </c:pt>
                <c:pt idx="77">
                  <c:v>24.15</c:v>
                </c:pt>
                <c:pt idx="78">
                  <c:v>24.26</c:v>
                </c:pt>
                <c:pt idx="79">
                  <c:v>26.23</c:v>
                </c:pt>
                <c:pt idx="80">
                  <c:v>25.89</c:v>
                </c:pt>
                <c:pt idx="81">
                  <c:v>24.6</c:v>
                </c:pt>
                <c:pt idx="82">
                  <c:v>24.38</c:v>
                </c:pt>
                <c:pt idx="83">
                  <c:v>24.73</c:v>
                </c:pt>
                <c:pt idx="84">
                  <c:v>25.08</c:v>
                </c:pt>
                <c:pt idx="85">
                  <c:v>25.53</c:v>
                </c:pt>
                <c:pt idx="86">
                  <c:v>25.61</c:v>
                </c:pt>
                <c:pt idx="87">
                  <c:v>24.7</c:v>
                </c:pt>
                <c:pt idx="88">
                  <c:v>25.04</c:v>
                </c:pt>
                <c:pt idx="89">
                  <c:v>23.86</c:v>
                </c:pt>
                <c:pt idx="90">
                  <c:v>23.45</c:v>
                </c:pt>
                <c:pt idx="91">
                  <c:v>22.7</c:v>
                </c:pt>
                <c:pt idx="92">
                  <c:v>21.47</c:v>
                </c:pt>
                <c:pt idx="93">
                  <c:v>23.84</c:v>
                </c:pt>
                <c:pt idx="94">
                  <c:v>24.16</c:v>
                </c:pt>
                <c:pt idx="95">
                  <c:v>23.95</c:v>
                </c:pt>
                <c:pt idx="96">
                  <c:v>24.68</c:v>
                </c:pt>
                <c:pt idx="97">
                  <c:v>23.8</c:v>
                </c:pt>
                <c:pt idx="98">
                  <c:v>23.23</c:v>
                </c:pt>
                <c:pt idx="99">
                  <c:v>24.13</c:v>
                </c:pt>
                <c:pt idx="100">
                  <c:v>23.23</c:v>
                </c:pt>
                <c:pt idx="101">
                  <c:v>23.01</c:v>
                </c:pt>
                <c:pt idx="102">
                  <c:v>23.79</c:v>
                </c:pt>
                <c:pt idx="103">
                  <c:v>23.87</c:v>
                </c:pt>
                <c:pt idx="104">
                  <c:v>24.05</c:v>
                </c:pt>
                <c:pt idx="105">
                  <c:v>25.32</c:v>
                </c:pt>
                <c:pt idx="106">
                  <c:v>25.01</c:v>
                </c:pt>
                <c:pt idx="107">
                  <c:v>23.98</c:v>
                </c:pt>
                <c:pt idx="108">
                  <c:v>24.96</c:v>
                </c:pt>
                <c:pt idx="109">
                  <c:v>25.25</c:v>
                </c:pt>
                <c:pt idx="110">
                  <c:v>25.95</c:v>
                </c:pt>
                <c:pt idx="111">
                  <c:v>27.31</c:v>
                </c:pt>
                <c:pt idx="112">
                  <c:v>25.68</c:v>
                </c:pt>
                <c:pt idx="113">
                  <c:v>25.47</c:v>
                </c:pt>
                <c:pt idx="114">
                  <c:v>25.18</c:v>
                </c:pt>
                <c:pt idx="115">
                  <c:v>24.06</c:v>
                </c:pt>
                <c:pt idx="116">
                  <c:v>23.55</c:v>
                </c:pt>
                <c:pt idx="117">
                  <c:v>23.88</c:v>
                </c:pt>
                <c:pt idx="118">
                  <c:v>23.14</c:v>
                </c:pt>
                <c:pt idx="119">
                  <c:v>20.27</c:v>
                </c:pt>
                <c:pt idx="120">
                  <c:v>18.57</c:v>
                </c:pt>
                <c:pt idx="121">
                  <c:v>18.45</c:v>
                </c:pt>
                <c:pt idx="122">
                  <c:v>19.91</c:v>
                </c:pt>
                <c:pt idx="123">
                  <c:v>20.89</c:v>
                </c:pt>
                <c:pt idx="124">
                  <c:v>21.95</c:v>
                </c:pt>
                <c:pt idx="125">
                  <c:v>20.350000000000001</c:v>
                </c:pt>
                <c:pt idx="126">
                  <c:v>22.25</c:v>
                </c:pt>
                <c:pt idx="127">
                  <c:v>21.81</c:v>
                </c:pt>
                <c:pt idx="128">
                  <c:v>19.28</c:v>
                </c:pt>
                <c:pt idx="129">
                  <c:v>22.42</c:v>
                </c:pt>
                <c:pt idx="130">
                  <c:v>25.1</c:v>
                </c:pt>
                <c:pt idx="131">
                  <c:v>26.51</c:v>
                </c:pt>
                <c:pt idx="132">
                  <c:v>26.25</c:v>
                </c:pt>
                <c:pt idx="133">
                  <c:v>26.31</c:v>
                </c:pt>
                <c:pt idx="134">
                  <c:v>26.79</c:v>
                </c:pt>
                <c:pt idx="135">
                  <c:v>26.06</c:v>
                </c:pt>
                <c:pt idx="136">
                  <c:v>25.04</c:v>
                </c:pt>
                <c:pt idx="137">
                  <c:v>26.57</c:v>
                </c:pt>
                <c:pt idx="138">
                  <c:v>25.46</c:v>
                </c:pt>
                <c:pt idx="139">
                  <c:v>25.26</c:v>
                </c:pt>
                <c:pt idx="140">
                  <c:v>26.58</c:v>
                </c:pt>
                <c:pt idx="141">
                  <c:v>25.48</c:v>
                </c:pt>
                <c:pt idx="142">
                  <c:v>25.83</c:v>
                </c:pt>
                <c:pt idx="143">
                  <c:v>32.659999999999997</c:v>
                </c:pt>
                <c:pt idx="144">
                  <c:v>33.65</c:v>
                </c:pt>
                <c:pt idx="145">
                  <c:v>33.35</c:v>
                </c:pt>
                <c:pt idx="146">
                  <c:v>29.76</c:v>
                </c:pt>
                <c:pt idx="147">
                  <c:v>28.79</c:v>
                </c:pt>
                <c:pt idx="148">
                  <c:v>28.85</c:v>
                </c:pt>
                <c:pt idx="149">
                  <c:v>28.11</c:v>
                </c:pt>
                <c:pt idx="150">
                  <c:v>27.11</c:v>
                </c:pt>
                <c:pt idx="151">
                  <c:v>28.86</c:v>
                </c:pt>
                <c:pt idx="152">
                  <c:v>28.27</c:v>
                </c:pt>
                <c:pt idx="153">
                  <c:v>27.78</c:v>
                </c:pt>
                <c:pt idx="154">
                  <c:v>26.35</c:v>
                </c:pt>
                <c:pt idx="155">
                  <c:v>28.773</c:v>
                </c:pt>
                <c:pt idx="156">
                  <c:v>27.99</c:v>
                </c:pt>
                <c:pt idx="157">
                  <c:v>30.312000000000001</c:v>
                </c:pt>
                <c:pt idx="158">
                  <c:v>29.204999999999998</c:v>
                </c:pt>
                <c:pt idx="159">
                  <c:v>28.370999999999999</c:v>
                </c:pt>
                <c:pt idx="160">
                  <c:v>28.157</c:v>
                </c:pt>
                <c:pt idx="161">
                  <c:v>27.24</c:v>
                </c:pt>
                <c:pt idx="162">
                  <c:v>26.123999999999999</c:v>
                </c:pt>
                <c:pt idx="163">
                  <c:v>26.890999999999998</c:v>
                </c:pt>
                <c:pt idx="164">
                  <c:v>27.247</c:v>
                </c:pt>
                <c:pt idx="165">
                  <c:v>27.986000000000001</c:v>
                </c:pt>
                <c:pt idx="166">
                  <c:v>28.41</c:v>
                </c:pt>
                <c:pt idx="167">
                  <c:v>28.206</c:v>
                </c:pt>
                <c:pt idx="168">
                  <c:v>26.928000000000001</c:v>
                </c:pt>
                <c:pt idx="169">
                  <c:v>28.484999999999999</c:v>
                </c:pt>
                <c:pt idx="170">
                  <c:v>28.512</c:v>
                </c:pt>
                <c:pt idx="171">
                  <c:v>26.783000000000001</c:v>
                </c:pt>
                <c:pt idx="172">
                  <c:v>25.445</c:v>
                </c:pt>
                <c:pt idx="173">
                  <c:v>26.6</c:v>
                </c:pt>
                <c:pt idx="174">
                  <c:v>26.076000000000001</c:v>
                </c:pt>
                <c:pt idx="175">
                  <c:v>26.038</c:v>
                </c:pt>
                <c:pt idx="176">
                  <c:v>26.013999999999999</c:v>
                </c:pt>
                <c:pt idx="177">
                  <c:v>24.37</c:v>
                </c:pt>
                <c:pt idx="178">
                  <c:v>25.716000000000001</c:v>
                </c:pt>
                <c:pt idx="179">
                  <c:v>23.962</c:v>
                </c:pt>
                <c:pt idx="180">
                  <c:v>26.3</c:v>
                </c:pt>
                <c:pt idx="181">
                  <c:v>26.483000000000001</c:v>
                </c:pt>
                <c:pt idx="182">
                  <c:v>26.088999999999999</c:v>
                </c:pt>
                <c:pt idx="183">
                  <c:v>27.030999999999999</c:v>
                </c:pt>
                <c:pt idx="184">
                  <c:v>27.655999999999999</c:v>
                </c:pt>
                <c:pt idx="185">
                  <c:v>27.132999999999999</c:v>
                </c:pt>
                <c:pt idx="186">
                  <c:v>31.466999999999999</c:v>
                </c:pt>
                <c:pt idx="187">
                  <c:v>25.356000000000002</c:v>
                </c:pt>
                <c:pt idx="188">
                  <c:v>16.922999999999998</c:v>
                </c:pt>
                <c:pt idx="189">
                  <c:v>16.423999999999999</c:v>
                </c:pt>
                <c:pt idx="190">
                  <c:v>16.010000000000002</c:v>
                </c:pt>
                <c:pt idx="191">
                  <c:v>14.874000000000001</c:v>
                </c:pt>
                <c:pt idx="192">
                  <c:v>16.452999999999999</c:v>
                </c:pt>
                <c:pt idx="193">
                  <c:v>18.088000000000001</c:v>
                </c:pt>
                <c:pt idx="194">
                  <c:v>19.076000000000001</c:v>
                </c:pt>
                <c:pt idx="195">
                  <c:v>21.184000000000001</c:v>
                </c:pt>
                <c:pt idx="196">
                  <c:v>17.443999999999999</c:v>
                </c:pt>
                <c:pt idx="197">
                  <c:v>17.794</c:v>
                </c:pt>
                <c:pt idx="198">
                  <c:v>15.316000000000001</c:v>
                </c:pt>
                <c:pt idx="199">
                  <c:v>15.723000000000001</c:v>
                </c:pt>
                <c:pt idx="200">
                  <c:v>15.406000000000001</c:v>
                </c:pt>
                <c:pt idx="201">
                  <c:v>14.898999999999999</c:v>
                </c:pt>
                <c:pt idx="202">
                  <c:v>15.263</c:v>
                </c:pt>
                <c:pt idx="203">
                  <c:v>15.420999999999999</c:v>
                </c:pt>
                <c:pt idx="204">
                  <c:v>17.806000000000001</c:v>
                </c:pt>
                <c:pt idx="205">
                  <c:v>16.326000000000001</c:v>
                </c:pt>
                <c:pt idx="206">
                  <c:v>16.204999999999998</c:v>
                </c:pt>
                <c:pt idx="207">
                  <c:v>16.741</c:v>
                </c:pt>
                <c:pt idx="208">
                  <c:v>16.251000000000001</c:v>
                </c:pt>
                <c:pt idx="209">
                  <c:v>15.82</c:v>
                </c:pt>
                <c:pt idx="210">
                  <c:v>15.65</c:v>
                </c:pt>
                <c:pt idx="211">
                  <c:v>16.242000000000001</c:v>
                </c:pt>
                <c:pt idx="212">
                  <c:v>15.13</c:v>
                </c:pt>
                <c:pt idx="213">
                  <c:v>13.446999999999999</c:v>
                </c:pt>
                <c:pt idx="214">
                  <c:v>12.435</c:v>
                </c:pt>
                <c:pt idx="215">
                  <c:v>11.656000000000001</c:v>
                </c:pt>
                <c:pt idx="216">
                  <c:v>11.781000000000001</c:v>
                </c:pt>
                <c:pt idx="217">
                  <c:v>13.058</c:v>
                </c:pt>
                <c:pt idx="218">
                  <c:v>11.73</c:v>
                </c:pt>
                <c:pt idx="219">
                  <c:v>10.971</c:v>
                </c:pt>
                <c:pt idx="220">
                  <c:v>11.766999999999999</c:v>
                </c:pt>
                <c:pt idx="221">
                  <c:v>16.077999999999999</c:v>
                </c:pt>
                <c:pt idx="222">
                  <c:v>16.689</c:v>
                </c:pt>
                <c:pt idx="223">
                  <c:v>16.716000000000001</c:v>
                </c:pt>
                <c:pt idx="224">
                  <c:v>18.399999999999999</c:v>
                </c:pt>
                <c:pt idx="225">
                  <c:v>18.484999999999999</c:v>
                </c:pt>
                <c:pt idx="226">
                  <c:v>19.783999999999999</c:v>
                </c:pt>
                <c:pt idx="227">
                  <c:v>19.472999999999999</c:v>
                </c:pt>
                <c:pt idx="228">
                  <c:v>19.289000000000001</c:v>
                </c:pt>
                <c:pt idx="229">
                  <c:v>18.489999999999998</c:v>
                </c:pt>
                <c:pt idx="230">
                  <c:v>19.869</c:v>
                </c:pt>
                <c:pt idx="231">
                  <c:v>21.687000000000001</c:v>
                </c:pt>
                <c:pt idx="232">
                  <c:v>22.513999999999999</c:v>
                </c:pt>
                <c:pt idx="233">
                  <c:v>21.006</c:v>
                </c:pt>
                <c:pt idx="234">
                  <c:v>22.158000000000001</c:v>
                </c:pt>
                <c:pt idx="235">
                  <c:v>24.521000000000001</c:v>
                </c:pt>
                <c:pt idx="236">
                  <c:v>23.702999999999999</c:v>
                </c:pt>
                <c:pt idx="237">
                  <c:v>23.814</c:v>
                </c:pt>
                <c:pt idx="238">
                  <c:v>26.125</c:v>
                </c:pt>
                <c:pt idx="239">
                  <c:v>25.105</c:v>
                </c:pt>
                <c:pt idx="240">
                  <c:v>23.364000000000001</c:v>
                </c:pt>
                <c:pt idx="241">
                  <c:v>24.202999999999999</c:v>
                </c:pt>
                <c:pt idx="242">
                  <c:v>23.158999999999999</c:v>
                </c:pt>
                <c:pt idx="243">
                  <c:v>22.762</c:v>
                </c:pt>
                <c:pt idx="244">
                  <c:v>24.268999999999998</c:v>
                </c:pt>
                <c:pt idx="245">
                  <c:v>26.934999999999999</c:v>
                </c:pt>
                <c:pt idx="246">
                  <c:v>28.027999999999999</c:v>
                </c:pt>
                <c:pt idx="247">
                  <c:v>26.355</c:v>
                </c:pt>
                <c:pt idx="248">
                  <c:v>25.218</c:v>
                </c:pt>
                <c:pt idx="249">
                  <c:v>18.658999999999999</c:v>
                </c:pt>
                <c:pt idx="250">
                  <c:v>23.95</c:v>
                </c:pt>
                <c:pt idx="251">
                  <c:v>25.81</c:v>
                </c:pt>
                <c:pt idx="252">
                  <c:v>30.581</c:v>
                </c:pt>
                <c:pt idx="253">
                  <c:v>20.155000000000001</c:v>
                </c:pt>
                <c:pt idx="254">
                  <c:v>32.549999999999997</c:v>
                </c:pt>
                <c:pt idx="255">
                  <c:v>31.178999999999998</c:v>
                </c:pt>
                <c:pt idx="256">
                  <c:v>33.588000000000001</c:v>
                </c:pt>
                <c:pt idx="257">
                  <c:v>34.226999999999997</c:v>
                </c:pt>
                <c:pt idx="258">
                  <c:v>38.299999999999997</c:v>
                </c:pt>
                <c:pt idx="259">
                  <c:v>36.536000000000001</c:v>
                </c:pt>
                <c:pt idx="260">
                  <c:v>35.186</c:v>
                </c:pt>
                <c:pt idx="261">
                  <c:v>43.476999999999997</c:v>
                </c:pt>
                <c:pt idx="262">
                  <c:v>39.347000000000001</c:v>
                </c:pt>
                <c:pt idx="263">
                  <c:v>45.6</c:v>
                </c:pt>
                <c:pt idx="264">
                  <c:v>47.039000000000001</c:v>
                </c:pt>
                <c:pt idx="265">
                  <c:v>47.482999999999997</c:v>
                </c:pt>
                <c:pt idx="266">
                  <c:v>48.526000000000003</c:v>
                </c:pt>
                <c:pt idx="267">
                  <c:v>46.470999999999997</c:v>
                </c:pt>
                <c:pt idx="268">
                  <c:v>38.728999999999999</c:v>
                </c:pt>
                <c:pt idx="269">
                  <c:v>43.061999999999998</c:v>
                </c:pt>
                <c:pt idx="270">
                  <c:v>40.777000000000001</c:v>
                </c:pt>
                <c:pt idx="271">
                  <c:v>42.317999999999998</c:v>
                </c:pt>
                <c:pt idx="272">
                  <c:v>40.039000000000001</c:v>
                </c:pt>
                <c:pt idx="273">
                  <c:v>36.200000000000003</c:v>
                </c:pt>
                <c:pt idx="274">
                  <c:v>37.770000000000003</c:v>
                </c:pt>
                <c:pt idx="275">
                  <c:v>38.213999999999999</c:v>
                </c:pt>
                <c:pt idx="276">
                  <c:v>36.08</c:v>
                </c:pt>
                <c:pt idx="277">
                  <c:v>29.035</c:v>
                </c:pt>
                <c:pt idx="278">
                  <c:v>28.488</c:v>
                </c:pt>
                <c:pt idx="279">
                  <c:v>31.591999999999999</c:v>
                </c:pt>
                <c:pt idx="280">
                  <c:v>31.87</c:v>
                </c:pt>
                <c:pt idx="281">
                  <c:v>36.832000000000001</c:v>
                </c:pt>
                <c:pt idx="282">
                  <c:v>38.856999999999999</c:v>
                </c:pt>
                <c:pt idx="283">
                  <c:v>38.246000000000002</c:v>
                </c:pt>
                <c:pt idx="284">
                  <c:v>44.06</c:v>
                </c:pt>
                <c:pt idx="285">
                  <c:v>50.55</c:v>
                </c:pt>
                <c:pt idx="286">
                  <c:v>52.508000000000003</c:v>
                </c:pt>
                <c:pt idx="287">
                  <c:v>50.71</c:v>
                </c:pt>
                <c:pt idx="288">
                  <c:v>49.179000000000002</c:v>
                </c:pt>
                <c:pt idx="289">
                  <c:v>49.807000000000002</c:v>
                </c:pt>
                <c:pt idx="290">
                  <c:v>47.420999999999999</c:v>
                </c:pt>
                <c:pt idx="291">
                  <c:v>49.131</c:v>
                </c:pt>
                <c:pt idx="292">
                  <c:v>52.048999999999999</c:v>
                </c:pt>
                <c:pt idx="293">
                  <c:v>57.3</c:v>
                </c:pt>
                <c:pt idx="294">
                  <c:v>51.292000000000002</c:v>
                </c:pt>
                <c:pt idx="295">
                  <c:v>47.290999999999997</c:v>
                </c:pt>
                <c:pt idx="296">
                  <c:v>43.747</c:v>
                </c:pt>
                <c:pt idx="297">
                  <c:v>43.624000000000002</c:v>
                </c:pt>
                <c:pt idx="298">
                  <c:v>40.862000000000002</c:v>
                </c:pt>
                <c:pt idx="299">
                  <c:v>37.165999999999997</c:v>
                </c:pt>
                <c:pt idx="300">
                  <c:v>40.796999999999997</c:v>
                </c:pt>
                <c:pt idx="301">
                  <c:v>39.07</c:v>
                </c:pt>
                <c:pt idx="302">
                  <c:v>40.372999999999998</c:v>
                </c:pt>
                <c:pt idx="303">
                  <c:v>41.686999999999998</c:v>
                </c:pt>
                <c:pt idx="304">
                  <c:v>39.149000000000001</c:v>
                </c:pt>
                <c:pt idx="305">
                  <c:v>36.012999999999998</c:v>
                </c:pt>
                <c:pt idx="306">
                  <c:v>33.628999999999998</c:v>
                </c:pt>
                <c:pt idx="307">
                  <c:v>33.659999999999997</c:v>
                </c:pt>
                <c:pt idx="308">
                  <c:v>30.733000000000001</c:v>
                </c:pt>
                <c:pt idx="309">
                  <c:v>31.899000000000001</c:v>
                </c:pt>
                <c:pt idx="310">
                  <c:v>36.999000000000002</c:v>
                </c:pt>
                <c:pt idx="311">
                  <c:v>35.802999999999997</c:v>
                </c:pt>
                <c:pt idx="312">
                  <c:v>30.468</c:v>
                </c:pt>
                <c:pt idx="313">
                  <c:v>30.783000000000001</c:v>
                </c:pt>
                <c:pt idx="314">
                  <c:v>32.755000000000003</c:v>
                </c:pt>
                <c:pt idx="315">
                  <c:v>31.995999999999999</c:v>
                </c:pt>
                <c:pt idx="316">
                  <c:v>30.684000000000001</c:v>
                </c:pt>
                <c:pt idx="317">
                  <c:v>30.231999999999999</c:v>
                </c:pt>
                <c:pt idx="318">
                  <c:v>29.082999999999998</c:v>
                </c:pt>
                <c:pt idx="319">
                  <c:v>30.974</c:v>
                </c:pt>
                <c:pt idx="320">
                  <c:v>32.99</c:v>
                </c:pt>
                <c:pt idx="321">
                  <c:v>31.992000000000001</c:v>
                </c:pt>
                <c:pt idx="322">
                  <c:v>33.451999999999998</c:v>
                </c:pt>
                <c:pt idx="323">
                  <c:v>33.801000000000002</c:v>
                </c:pt>
                <c:pt idx="324">
                  <c:v>32.936</c:v>
                </c:pt>
                <c:pt idx="325">
                  <c:v>31.001999999999999</c:v>
                </c:pt>
                <c:pt idx="326">
                  <c:v>30.885000000000002</c:v>
                </c:pt>
                <c:pt idx="327">
                  <c:v>31.053000000000001</c:v>
                </c:pt>
                <c:pt idx="328">
                  <c:v>30.222000000000001</c:v>
                </c:pt>
                <c:pt idx="329">
                  <c:v>29.385999999999999</c:v>
                </c:pt>
                <c:pt idx="330">
                  <c:v>30.135000000000002</c:v>
                </c:pt>
                <c:pt idx="331">
                  <c:v>29.402999999999999</c:v>
                </c:pt>
                <c:pt idx="332">
                  <c:v>29.611000000000001</c:v>
                </c:pt>
                <c:pt idx="333">
                  <c:v>24.623000000000001</c:v>
                </c:pt>
                <c:pt idx="334">
                  <c:v>27.155000000000001</c:v>
                </c:pt>
                <c:pt idx="335">
                  <c:v>26.216999999999999</c:v>
                </c:pt>
                <c:pt idx="336">
                  <c:v>24.956</c:v>
                </c:pt>
                <c:pt idx="337">
                  <c:v>25.72</c:v>
                </c:pt>
                <c:pt idx="338">
                  <c:v>24.6</c:v>
                </c:pt>
                <c:pt idx="339">
                  <c:v>31.318999999999999</c:v>
                </c:pt>
                <c:pt idx="340">
                  <c:v>36.128</c:v>
                </c:pt>
                <c:pt idx="341">
                  <c:v>34.398000000000003</c:v>
                </c:pt>
                <c:pt idx="342">
                  <c:v>35.503</c:v>
                </c:pt>
                <c:pt idx="343">
                  <c:v>34.139000000000003</c:v>
                </c:pt>
                <c:pt idx="344">
                  <c:v>31.498999999999999</c:v>
                </c:pt>
                <c:pt idx="345">
                  <c:v>30.8</c:v>
                </c:pt>
                <c:pt idx="346">
                  <c:v>32.351999999999997</c:v>
                </c:pt>
                <c:pt idx="347">
                  <c:v>33.706000000000003</c:v>
                </c:pt>
                <c:pt idx="348">
                  <c:v>32.072000000000003</c:v>
                </c:pt>
                <c:pt idx="349">
                  <c:v>29.64</c:v>
                </c:pt>
                <c:pt idx="350">
                  <c:v>27.382000000000001</c:v>
                </c:pt>
                <c:pt idx="351">
                  <c:v>25.024000000000001</c:v>
                </c:pt>
                <c:pt idx="352">
                  <c:v>23.911999999999999</c:v>
                </c:pt>
                <c:pt idx="353">
                  <c:v>22.454000000000001</c:v>
                </c:pt>
                <c:pt idx="354">
                  <c:v>21.221</c:v>
                </c:pt>
                <c:pt idx="355">
                  <c:v>21.998000000000001</c:v>
                </c:pt>
                <c:pt idx="356">
                  <c:v>23.111999999999998</c:v>
                </c:pt>
                <c:pt idx="357">
                  <c:v>21.190999999999999</c:v>
                </c:pt>
                <c:pt idx="358">
                  <c:v>21.103000000000002</c:v>
                </c:pt>
                <c:pt idx="359">
                  <c:v>19.100999999999999</c:v>
                </c:pt>
                <c:pt idx="360">
                  <c:v>18.454999999999998</c:v>
                </c:pt>
                <c:pt idx="361">
                  <c:v>18.242000000000001</c:v>
                </c:pt>
                <c:pt idx="362">
                  <c:v>18.655999999999999</c:v>
                </c:pt>
                <c:pt idx="363">
                  <c:v>19.224</c:v>
                </c:pt>
                <c:pt idx="364">
                  <c:v>19.155999999999999</c:v>
                </c:pt>
                <c:pt idx="365">
                  <c:v>17.635999999999999</c:v>
                </c:pt>
                <c:pt idx="366">
                  <c:v>19.181999999999999</c:v>
                </c:pt>
                <c:pt idx="367">
                  <c:v>19.231999999999999</c:v>
                </c:pt>
                <c:pt idx="368">
                  <c:v>19.818000000000001</c:v>
                </c:pt>
                <c:pt idx="369">
                  <c:v>19.651</c:v>
                </c:pt>
                <c:pt idx="370">
                  <c:v>18.989000000000001</c:v>
                </c:pt>
                <c:pt idx="371">
                  <c:v>17.920000000000002</c:v>
                </c:pt>
                <c:pt idx="372">
                  <c:v>21.733000000000001</c:v>
                </c:pt>
                <c:pt idx="373">
                  <c:v>21.401</c:v>
                </c:pt>
                <c:pt idx="374">
                  <c:v>21.745999999999999</c:v>
                </c:pt>
                <c:pt idx="375">
                  <c:v>21.791</c:v>
                </c:pt>
                <c:pt idx="376">
                  <c:v>19.988</c:v>
                </c:pt>
                <c:pt idx="377">
                  <c:v>18.977</c:v>
                </c:pt>
                <c:pt idx="378">
                  <c:v>19.37</c:v>
                </c:pt>
                <c:pt idx="379">
                  <c:v>19.081</c:v>
                </c:pt>
                <c:pt idx="380">
                  <c:v>17.565999999999999</c:v>
                </c:pt>
                <c:pt idx="381">
                  <c:v>18.023</c:v>
                </c:pt>
                <c:pt idx="382">
                  <c:v>20.763999999999999</c:v>
                </c:pt>
                <c:pt idx="383">
                  <c:v>20.213999999999999</c:v>
                </c:pt>
                <c:pt idx="384">
                  <c:v>18.285</c:v>
                </c:pt>
                <c:pt idx="385">
                  <c:v>19.384</c:v>
                </c:pt>
                <c:pt idx="386">
                  <c:v>18.805</c:v>
                </c:pt>
                <c:pt idx="387">
                  <c:v>17.129000000000001</c:v>
                </c:pt>
                <c:pt idx="388">
                  <c:v>16.423999999999999</c:v>
                </c:pt>
                <c:pt idx="389">
                  <c:v>17.065999999999999</c:v>
                </c:pt>
                <c:pt idx="390">
                  <c:v>16.712</c:v>
                </c:pt>
                <c:pt idx="391">
                  <c:v>16.824000000000002</c:v>
                </c:pt>
                <c:pt idx="392">
                  <c:v>16.547999999999998</c:v>
                </c:pt>
                <c:pt idx="393">
                  <c:v>16.71</c:v>
                </c:pt>
                <c:pt idx="394">
                  <c:v>17.501999999999999</c:v>
                </c:pt>
                <c:pt idx="395">
                  <c:v>16.123000000000001</c:v>
                </c:pt>
                <c:pt idx="396">
                  <c:v>15.701000000000001</c:v>
                </c:pt>
                <c:pt idx="397">
                  <c:v>15.996</c:v>
                </c:pt>
                <c:pt idx="398">
                  <c:v>16.632000000000001</c:v>
                </c:pt>
                <c:pt idx="399">
                  <c:v>15.813000000000001</c:v>
                </c:pt>
                <c:pt idx="400">
                  <c:v>14.167999999999999</c:v>
                </c:pt>
                <c:pt idx="401">
                  <c:v>17.268999999999998</c:v>
                </c:pt>
                <c:pt idx="402">
                  <c:v>17.556000000000001</c:v>
                </c:pt>
                <c:pt idx="403">
                  <c:v>17.573</c:v>
                </c:pt>
                <c:pt idx="404">
                  <c:v>19.614000000000001</c:v>
                </c:pt>
                <c:pt idx="405">
                  <c:v>19.617000000000001</c:v>
                </c:pt>
                <c:pt idx="406">
                  <c:v>16.068999999999999</c:v>
                </c:pt>
                <c:pt idx="407">
                  <c:v>16.396000000000001</c:v>
                </c:pt>
                <c:pt idx="408">
                  <c:v>16.062999999999999</c:v>
                </c:pt>
                <c:pt idx="409">
                  <c:v>15.848000000000001</c:v>
                </c:pt>
                <c:pt idx="410">
                  <c:v>15.439</c:v>
                </c:pt>
                <c:pt idx="411">
                  <c:v>15.557</c:v>
                </c:pt>
                <c:pt idx="412">
                  <c:v>14.47</c:v>
                </c:pt>
                <c:pt idx="413">
                  <c:v>15.31</c:v>
                </c:pt>
                <c:pt idx="414">
                  <c:v>15.689</c:v>
                </c:pt>
                <c:pt idx="415">
                  <c:v>15.125</c:v>
                </c:pt>
                <c:pt idx="416">
                  <c:v>16.465</c:v>
                </c:pt>
                <c:pt idx="417">
                  <c:v>16.920999999999999</c:v>
                </c:pt>
                <c:pt idx="418">
                  <c:v>16.613</c:v>
                </c:pt>
                <c:pt idx="419">
                  <c:v>14.715999999999999</c:v>
                </c:pt>
                <c:pt idx="420">
                  <c:v>16.335999999999999</c:v>
                </c:pt>
                <c:pt idx="421">
                  <c:v>15.91</c:v>
                </c:pt>
                <c:pt idx="422">
                  <c:v>15.05</c:v>
                </c:pt>
                <c:pt idx="423">
                  <c:v>15.37</c:v>
                </c:pt>
                <c:pt idx="424">
                  <c:v>15.233000000000001</c:v>
                </c:pt>
                <c:pt idx="425">
                  <c:v>15.28</c:v>
                </c:pt>
                <c:pt idx="426">
                  <c:v>14.664999999999999</c:v>
                </c:pt>
                <c:pt idx="427">
                  <c:v>14.523999999999999</c:v>
                </c:pt>
                <c:pt idx="428">
                  <c:v>16.18</c:v>
                </c:pt>
                <c:pt idx="429">
                  <c:v>17.448</c:v>
                </c:pt>
                <c:pt idx="430">
                  <c:v>15.728</c:v>
                </c:pt>
                <c:pt idx="431">
                  <c:v>15.207000000000001</c:v>
                </c:pt>
                <c:pt idx="432">
                  <c:v>15.257999999999999</c:v>
                </c:pt>
                <c:pt idx="433">
                  <c:v>14.266</c:v>
                </c:pt>
                <c:pt idx="434">
                  <c:v>14.129</c:v>
                </c:pt>
                <c:pt idx="435">
                  <c:v>14.79</c:v>
                </c:pt>
                <c:pt idx="436">
                  <c:v>14.754</c:v>
                </c:pt>
                <c:pt idx="437">
                  <c:v>14.061999999999999</c:v>
                </c:pt>
                <c:pt idx="438">
                  <c:v>13.835000000000001</c:v>
                </c:pt>
                <c:pt idx="439">
                  <c:v>13.77</c:v>
                </c:pt>
                <c:pt idx="440">
                  <c:v>14.144</c:v>
                </c:pt>
                <c:pt idx="441">
                  <c:v>13.736000000000001</c:v>
                </c:pt>
                <c:pt idx="442">
                  <c:v>14.29</c:v>
                </c:pt>
                <c:pt idx="443">
                  <c:v>13.89</c:v>
                </c:pt>
                <c:pt idx="444">
                  <c:v>13.516999999999999</c:v>
                </c:pt>
                <c:pt idx="445">
                  <c:v>13.59</c:v>
                </c:pt>
                <c:pt idx="446">
                  <c:v>13.113</c:v>
                </c:pt>
                <c:pt idx="447">
                  <c:v>13.778</c:v>
                </c:pt>
                <c:pt idx="448">
                  <c:v>13.051</c:v>
                </c:pt>
                <c:pt idx="449">
                  <c:v>13</c:v>
                </c:pt>
                <c:pt idx="450">
                  <c:v>13.227</c:v>
                </c:pt>
                <c:pt idx="451">
                  <c:v>12.375</c:v>
                </c:pt>
                <c:pt idx="452">
                  <c:v>12.6</c:v>
                </c:pt>
                <c:pt idx="453">
                  <c:v>12.497999999999999</c:v>
                </c:pt>
                <c:pt idx="454">
                  <c:v>12.43</c:v>
                </c:pt>
                <c:pt idx="455">
                  <c:v>12.420999999999999</c:v>
                </c:pt>
                <c:pt idx="456">
                  <c:v>12.4</c:v>
                </c:pt>
                <c:pt idx="457">
                  <c:v>13.141</c:v>
                </c:pt>
                <c:pt idx="458">
                  <c:v>13.105</c:v>
                </c:pt>
                <c:pt idx="459">
                  <c:v>13.37</c:v>
                </c:pt>
                <c:pt idx="460">
                  <c:v>13.491</c:v>
                </c:pt>
                <c:pt idx="461">
                  <c:v>13.582000000000001</c:v>
                </c:pt>
                <c:pt idx="462">
                  <c:v>13.709</c:v>
                </c:pt>
                <c:pt idx="463">
                  <c:v>13.468</c:v>
                </c:pt>
                <c:pt idx="464">
                  <c:v>13.048999999999999</c:v>
                </c:pt>
                <c:pt idx="465">
                  <c:v>13.593999999999999</c:v>
                </c:pt>
                <c:pt idx="466">
                  <c:v>13.634</c:v>
                </c:pt>
                <c:pt idx="467">
                  <c:v>13.59</c:v>
                </c:pt>
                <c:pt idx="468">
                  <c:v>13.541</c:v>
                </c:pt>
                <c:pt idx="469">
                  <c:v>13.737</c:v>
                </c:pt>
                <c:pt idx="470">
                  <c:v>14.005000000000001</c:v>
                </c:pt>
                <c:pt idx="471">
                  <c:v>14.17</c:v>
                </c:pt>
                <c:pt idx="472">
                  <c:v>14.35</c:v>
                </c:pt>
                <c:pt idx="473">
                  <c:v>14.375999999999999</c:v>
                </c:pt>
                <c:pt idx="474">
                  <c:v>14.348000000000001</c:v>
                </c:pt>
                <c:pt idx="475">
                  <c:v>14.374000000000001</c:v>
                </c:pt>
                <c:pt idx="476">
                  <c:v>13.574999999999999</c:v>
                </c:pt>
                <c:pt idx="477">
                  <c:v>13.188000000000001</c:v>
                </c:pt>
                <c:pt idx="478">
                  <c:v>13.13</c:v>
                </c:pt>
                <c:pt idx="479">
                  <c:v>14.047000000000001</c:v>
                </c:pt>
                <c:pt idx="480">
                  <c:v>13.898</c:v>
                </c:pt>
                <c:pt idx="481">
                  <c:v>13.901</c:v>
                </c:pt>
                <c:pt idx="482">
                  <c:v>13.407999999999999</c:v>
                </c:pt>
                <c:pt idx="483">
                  <c:v>13.951000000000001</c:v>
                </c:pt>
                <c:pt idx="484">
                  <c:v>14.196</c:v>
                </c:pt>
                <c:pt idx="485">
                  <c:v>14.134</c:v>
                </c:pt>
                <c:pt idx="486">
                  <c:v>14.321</c:v>
                </c:pt>
                <c:pt idx="487">
                  <c:v>14.131</c:v>
                </c:pt>
                <c:pt idx="488">
                  <c:v>14.523</c:v>
                </c:pt>
                <c:pt idx="489">
                  <c:v>14.116</c:v>
                </c:pt>
                <c:pt idx="490">
                  <c:v>14.321</c:v>
                </c:pt>
                <c:pt idx="491">
                  <c:v>12.545</c:v>
                </c:pt>
                <c:pt idx="492">
                  <c:v>13.621</c:v>
                </c:pt>
                <c:pt idx="493">
                  <c:v>13.207000000000001</c:v>
                </c:pt>
                <c:pt idx="494">
                  <c:v>14.698</c:v>
                </c:pt>
                <c:pt idx="495">
                  <c:v>15.058999999999999</c:v>
                </c:pt>
                <c:pt idx="496">
                  <c:v>14.965999999999999</c:v>
                </c:pt>
                <c:pt idx="497">
                  <c:v>15.31</c:v>
                </c:pt>
                <c:pt idx="498">
                  <c:v>15.763</c:v>
                </c:pt>
                <c:pt idx="499">
                  <c:v>15.647</c:v>
                </c:pt>
                <c:pt idx="500">
                  <c:v>16.326000000000001</c:v>
                </c:pt>
                <c:pt idx="501">
                  <c:v>16.55</c:v>
                </c:pt>
                <c:pt idx="502">
                  <c:v>17.742000000000001</c:v>
                </c:pt>
                <c:pt idx="503">
                  <c:v>17.957000000000001</c:v>
                </c:pt>
                <c:pt idx="504">
                  <c:v>16.75</c:v>
                </c:pt>
                <c:pt idx="505">
                  <c:v>16.292000000000002</c:v>
                </c:pt>
                <c:pt idx="506">
                  <c:v>15.205</c:v>
                </c:pt>
                <c:pt idx="507">
                  <c:v>15.863</c:v>
                </c:pt>
                <c:pt idx="508">
                  <c:v>15.813000000000001</c:v>
                </c:pt>
                <c:pt idx="509">
                  <c:v>15.301</c:v>
                </c:pt>
                <c:pt idx="510">
                  <c:v>16.808</c:v>
                </c:pt>
                <c:pt idx="511">
                  <c:v>15.712999999999999</c:v>
                </c:pt>
                <c:pt idx="512">
                  <c:v>20.488</c:v>
                </c:pt>
                <c:pt idx="513">
                  <c:v>21.626999999999999</c:v>
                </c:pt>
                <c:pt idx="514">
                  <c:v>21.890999999999998</c:v>
                </c:pt>
                <c:pt idx="515">
                  <c:v>22.366</c:v>
                </c:pt>
                <c:pt idx="516">
                  <c:v>22.556000000000001</c:v>
                </c:pt>
                <c:pt idx="517">
                  <c:v>22.324999999999999</c:v>
                </c:pt>
                <c:pt idx="518">
                  <c:v>21.3</c:v>
                </c:pt>
                <c:pt idx="519">
                  <c:v>22.509</c:v>
                </c:pt>
                <c:pt idx="520">
                  <c:v>21.678000000000001</c:v>
                </c:pt>
                <c:pt idx="521">
                  <c:v>23.602</c:v>
                </c:pt>
                <c:pt idx="522">
                  <c:v>23.661999999999999</c:v>
                </c:pt>
                <c:pt idx="523">
                  <c:v>24.588000000000001</c:v>
                </c:pt>
                <c:pt idx="524">
                  <c:v>27.637</c:v>
                </c:pt>
                <c:pt idx="525">
                  <c:v>20.562999999999999</c:v>
                </c:pt>
                <c:pt idx="526">
                  <c:v>19.75</c:v>
                </c:pt>
                <c:pt idx="527">
                  <c:v>20.954999999999998</c:v>
                </c:pt>
                <c:pt idx="528">
                  <c:v>21.882000000000001</c:v>
                </c:pt>
                <c:pt idx="529">
                  <c:v>22.504000000000001</c:v>
                </c:pt>
                <c:pt idx="530">
                  <c:v>22.31</c:v>
                </c:pt>
                <c:pt idx="531">
                  <c:v>21.844000000000001</c:v>
                </c:pt>
                <c:pt idx="532">
                  <c:v>20.998999999999999</c:v>
                </c:pt>
                <c:pt idx="533">
                  <c:v>20.52</c:v>
                </c:pt>
                <c:pt idx="534">
                  <c:v>20.263000000000002</c:v>
                </c:pt>
                <c:pt idx="535">
                  <c:v>21.11</c:v>
                </c:pt>
                <c:pt idx="536">
                  <c:v>22.02</c:v>
                </c:pt>
                <c:pt idx="537">
                  <c:v>21.277999999999999</c:v>
                </c:pt>
                <c:pt idx="538">
                  <c:v>20.809000000000001</c:v>
                </c:pt>
                <c:pt idx="539">
                  <c:v>21.646999999999998</c:v>
                </c:pt>
                <c:pt idx="540">
                  <c:v>20.908000000000001</c:v>
                </c:pt>
                <c:pt idx="541">
                  <c:v>20.678000000000001</c:v>
                </c:pt>
                <c:pt idx="542">
                  <c:v>20.373999999999999</c:v>
                </c:pt>
                <c:pt idx="543">
                  <c:v>18.946000000000002</c:v>
                </c:pt>
                <c:pt idx="544">
                  <c:v>20.6</c:v>
                </c:pt>
                <c:pt idx="545">
                  <c:v>19.802</c:v>
                </c:pt>
                <c:pt idx="546">
                  <c:v>20.149000000000001</c:v>
                </c:pt>
                <c:pt idx="547">
                  <c:v>20.145</c:v>
                </c:pt>
                <c:pt idx="548">
                  <c:v>21.45</c:v>
                </c:pt>
                <c:pt idx="549">
                  <c:v>20.391999999999999</c:v>
                </c:pt>
                <c:pt idx="550">
                  <c:v>22.443999999999999</c:v>
                </c:pt>
                <c:pt idx="551">
                  <c:v>22.965</c:v>
                </c:pt>
                <c:pt idx="552">
                  <c:v>23.116</c:v>
                </c:pt>
                <c:pt idx="553">
                  <c:v>22.628</c:v>
                </c:pt>
                <c:pt idx="554">
                  <c:v>23.533000000000001</c:v>
                </c:pt>
                <c:pt idx="555">
                  <c:v>23.504999999999999</c:v>
                </c:pt>
                <c:pt idx="556">
                  <c:v>19.384</c:v>
                </c:pt>
                <c:pt idx="557">
                  <c:v>19.056000000000001</c:v>
                </c:pt>
                <c:pt idx="558">
                  <c:v>19.341000000000001</c:v>
                </c:pt>
                <c:pt idx="559">
                  <c:v>19.167999999999999</c:v>
                </c:pt>
                <c:pt idx="560">
                  <c:v>19.152999999999999</c:v>
                </c:pt>
                <c:pt idx="561">
                  <c:v>19.419</c:v>
                </c:pt>
                <c:pt idx="562">
                  <c:v>20.027000000000001</c:v>
                </c:pt>
                <c:pt idx="563">
                  <c:v>18.797000000000001</c:v>
                </c:pt>
                <c:pt idx="564">
                  <c:v>19.536000000000001</c:v>
                </c:pt>
                <c:pt idx="565">
                  <c:v>19.366</c:v>
                </c:pt>
                <c:pt idx="566">
                  <c:v>19.242000000000001</c:v>
                </c:pt>
                <c:pt idx="567">
                  <c:v>19.231000000000002</c:v>
                </c:pt>
                <c:pt idx="568">
                  <c:v>20.331</c:v>
                </c:pt>
                <c:pt idx="569">
                  <c:v>19.931000000000001</c:v>
                </c:pt>
                <c:pt idx="570">
                  <c:v>19.001000000000001</c:v>
                </c:pt>
                <c:pt idx="571">
                  <c:v>18.190999999999999</c:v>
                </c:pt>
                <c:pt idx="572">
                  <c:v>18.928000000000001</c:v>
                </c:pt>
                <c:pt idx="573">
                  <c:v>18.170000000000002</c:v>
                </c:pt>
                <c:pt idx="574">
                  <c:v>16.835000000000001</c:v>
                </c:pt>
                <c:pt idx="575">
                  <c:v>16.844999999999999</c:v>
                </c:pt>
                <c:pt idx="576">
                  <c:v>16.329999999999998</c:v>
                </c:pt>
                <c:pt idx="577">
                  <c:v>16.963999999999999</c:v>
                </c:pt>
                <c:pt idx="578">
                  <c:v>15.894</c:v>
                </c:pt>
                <c:pt idx="579">
                  <c:v>16.138999999999999</c:v>
                </c:pt>
                <c:pt idx="580">
                  <c:v>17.686</c:v>
                </c:pt>
                <c:pt idx="581">
                  <c:v>16.145</c:v>
                </c:pt>
                <c:pt idx="582">
                  <c:v>16.898</c:v>
                </c:pt>
                <c:pt idx="583">
                  <c:v>17.574999999999999</c:v>
                </c:pt>
                <c:pt idx="584">
                  <c:v>18.233000000000001</c:v>
                </c:pt>
                <c:pt idx="585">
                  <c:v>17.835000000000001</c:v>
                </c:pt>
                <c:pt idx="586">
                  <c:v>17.695</c:v>
                </c:pt>
                <c:pt idx="587">
                  <c:v>18.681000000000001</c:v>
                </c:pt>
                <c:pt idx="588">
                  <c:v>16.373999999999999</c:v>
                </c:pt>
                <c:pt idx="589">
                  <c:v>16.024000000000001</c:v>
                </c:pt>
                <c:pt idx="590">
                  <c:v>15.641999999999999</c:v>
                </c:pt>
                <c:pt idx="591">
                  <c:v>15.329000000000001</c:v>
                </c:pt>
                <c:pt idx="592">
                  <c:v>15.535</c:v>
                </c:pt>
                <c:pt idx="593">
                  <c:v>16.792000000000002</c:v>
                </c:pt>
                <c:pt idx="594">
                  <c:v>14.984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3B-4D32-93AA-33C12828302F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1.0800243975222877E-2</c:v>
                </c:pt>
                <c:pt idx="1">
                  <c:v>1.0823194868556209E-2</c:v>
                </c:pt>
                <c:pt idx="2">
                  <c:v>1.1308382780166697E-2</c:v>
                </c:pt>
                <c:pt idx="3">
                  <c:v>1.118439680833571E-2</c:v>
                </c:pt>
                <c:pt idx="4">
                  <c:v>1.1167947837604006E-2</c:v>
                </c:pt>
                <c:pt idx="5">
                  <c:v>1.0952226184270671E-2</c:v>
                </c:pt>
                <c:pt idx="6">
                  <c:v>1.108783457644889E-2</c:v>
                </c:pt>
                <c:pt idx="7">
                  <c:v>1.1452229335465282E-2</c:v>
                </c:pt>
                <c:pt idx="8">
                  <c:v>1.1600744666893852E-2</c:v>
                </c:pt>
                <c:pt idx="9">
                  <c:v>1.1796946909516803E-2</c:v>
                </c:pt>
                <c:pt idx="10">
                  <c:v>1.175431994610217E-2</c:v>
                </c:pt>
                <c:pt idx="11">
                  <c:v>1.2000642847594707E-2</c:v>
                </c:pt>
                <c:pt idx="12">
                  <c:v>1.1981356372594707E-2</c:v>
                </c:pt>
                <c:pt idx="13">
                  <c:v>1.2364532047594707E-2</c:v>
                </c:pt>
                <c:pt idx="14">
                  <c:v>1.2234788947594707E-2</c:v>
                </c:pt>
                <c:pt idx="15">
                  <c:v>1.2417585892039151E-2</c:v>
                </c:pt>
                <c:pt idx="16">
                  <c:v>1.2391472217620545E-2</c:v>
                </c:pt>
                <c:pt idx="17">
                  <c:v>1.4910573072002567E-2</c:v>
                </c:pt>
                <c:pt idx="18">
                  <c:v>1.4926640355958611E-2</c:v>
                </c:pt>
                <c:pt idx="19">
                  <c:v>1.4926640355958611E-2</c:v>
                </c:pt>
                <c:pt idx="20">
                  <c:v>1.499565810953004E-2</c:v>
                </c:pt>
                <c:pt idx="21">
                  <c:v>1.514501026225731E-2</c:v>
                </c:pt>
                <c:pt idx="22">
                  <c:v>1.5281622468139662E-2</c:v>
                </c:pt>
                <c:pt idx="23">
                  <c:v>1.5447524686034398E-2</c:v>
                </c:pt>
                <c:pt idx="24">
                  <c:v>1.5688755744857927E-2</c:v>
                </c:pt>
                <c:pt idx="25">
                  <c:v>1.5777075674857928E-2</c:v>
                </c:pt>
                <c:pt idx="26">
                  <c:v>1.5673196574857929E-2</c:v>
                </c:pt>
                <c:pt idx="27">
                  <c:v>1.5582612297524596E-2</c:v>
                </c:pt>
                <c:pt idx="28">
                  <c:v>1.6517668925945649E-2</c:v>
                </c:pt>
                <c:pt idx="29">
                  <c:v>1.6423772872287114E-2</c:v>
                </c:pt>
                <c:pt idx="30">
                  <c:v>1.6909640559243631E-2</c:v>
                </c:pt>
                <c:pt idx="31">
                  <c:v>1.7209430654243633E-2</c:v>
                </c:pt>
                <c:pt idx="32">
                  <c:v>1.7461314937983471E-2</c:v>
                </c:pt>
                <c:pt idx="33">
                  <c:v>1.7438104747717988E-2</c:v>
                </c:pt>
                <c:pt idx="34">
                  <c:v>1.7612183551332445E-2</c:v>
                </c:pt>
                <c:pt idx="35">
                  <c:v>1.7764310363832445E-2</c:v>
                </c:pt>
                <c:pt idx="36">
                  <c:v>1.7530992947032448E-2</c:v>
                </c:pt>
                <c:pt idx="37">
                  <c:v>1.7674096805811071E-2</c:v>
                </c:pt>
                <c:pt idx="38">
                  <c:v>1.7523026521559102E-2</c:v>
                </c:pt>
                <c:pt idx="39">
                  <c:v>1.7533908342119851E-2</c:v>
                </c:pt>
                <c:pt idx="40">
                  <c:v>1.7638583230431538E-2</c:v>
                </c:pt>
                <c:pt idx="41">
                  <c:v>1.7533497892593702E-2</c:v>
                </c:pt>
                <c:pt idx="42">
                  <c:v>1.7475096321165132E-2</c:v>
                </c:pt>
                <c:pt idx="43">
                  <c:v>1.7609957373016981E-2</c:v>
                </c:pt>
                <c:pt idx="44">
                  <c:v>1.7266063234921743E-2</c:v>
                </c:pt>
                <c:pt idx="45">
                  <c:v>1.7223312582249992E-2</c:v>
                </c:pt>
                <c:pt idx="46">
                  <c:v>1.7517124453907743E-2</c:v>
                </c:pt>
                <c:pt idx="47">
                  <c:v>1.7668149703907746E-2</c:v>
                </c:pt>
                <c:pt idx="48">
                  <c:v>1.7671603223907741E-2</c:v>
                </c:pt>
                <c:pt idx="49">
                  <c:v>1.8211527477657741E-2</c:v>
                </c:pt>
                <c:pt idx="50">
                  <c:v>1.9859224266301271E-2</c:v>
                </c:pt>
                <c:pt idx="51">
                  <c:v>1.9824025685000461E-2</c:v>
                </c:pt>
                <c:pt idx="52">
                  <c:v>1.9961422343461998E-2</c:v>
                </c:pt>
                <c:pt idx="53">
                  <c:v>1.9414057681210344E-2</c:v>
                </c:pt>
                <c:pt idx="54">
                  <c:v>2.0038249044313068E-2</c:v>
                </c:pt>
                <c:pt idx="55">
                  <c:v>2.0211170016926312E-2</c:v>
                </c:pt>
                <c:pt idx="56">
                  <c:v>2.077836442914005E-2</c:v>
                </c:pt>
                <c:pt idx="57">
                  <c:v>2.0538498095806719E-2</c:v>
                </c:pt>
                <c:pt idx="58">
                  <c:v>2.0903898871746571E-2</c:v>
                </c:pt>
                <c:pt idx="59">
                  <c:v>2.0954978113125879E-2</c:v>
                </c:pt>
                <c:pt idx="60">
                  <c:v>2.0731354898840162E-2</c:v>
                </c:pt>
                <c:pt idx="61">
                  <c:v>2.0541427366636771E-2</c:v>
                </c:pt>
                <c:pt idx="62">
                  <c:v>2.0613722981636769E-2</c:v>
                </c:pt>
                <c:pt idx="63">
                  <c:v>2.0904429446390871E-2</c:v>
                </c:pt>
                <c:pt idx="64">
                  <c:v>2.0720433031006256E-2</c:v>
                </c:pt>
                <c:pt idx="65">
                  <c:v>2.0806378639006255E-2</c:v>
                </c:pt>
                <c:pt idx="66">
                  <c:v>2.0954218854213627E-2</c:v>
                </c:pt>
                <c:pt idx="67">
                  <c:v>2.0849689607821877E-2</c:v>
                </c:pt>
                <c:pt idx="68">
                  <c:v>2.1087785051681525E-2</c:v>
                </c:pt>
                <c:pt idx="69">
                  <c:v>2.0856487142820766E-2</c:v>
                </c:pt>
                <c:pt idx="70">
                  <c:v>2.0622180483246301E-2</c:v>
                </c:pt>
                <c:pt idx="71">
                  <c:v>2.0968684006059987E-2</c:v>
                </c:pt>
                <c:pt idx="72">
                  <c:v>2.0585403472358328E-2</c:v>
                </c:pt>
                <c:pt idx="73">
                  <c:v>2.071767809024451E-2</c:v>
                </c:pt>
                <c:pt idx="74">
                  <c:v>2.0533102575958796E-2</c:v>
                </c:pt>
                <c:pt idx="75">
                  <c:v>2.0210415108835512E-2</c:v>
                </c:pt>
                <c:pt idx="76">
                  <c:v>1.9879382388247276E-2</c:v>
                </c:pt>
                <c:pt idx="77">
                  <c:v>1.9886329944247275E-2</c:v>
                </c:pt>
                <c:pt idx="78">
                  <c:v>2.1113197895675846E-2</c:v>
                </c:pt>
                <c:pt idx="79">
                  <c:v>2.155466641066222E-2</c:v>
                </c:pt>
                <c:pt idx="80">
                  <c:v>2.1206513835879612E-2</c:v>
                </c:pt>
                <c:pt idx="81">
                  <c:v>2.061912586587961E-2</c:v>
                </c:pt>
                <c:pt idx="82">
                  <c:v>2.0433416458472201E-2</c:v>
                </c:pt>
                <c:pt idx="83">
                  <c:v>2.0313750238288717E-2</c:v>
                </c:pt>
                <c:pt idx="84">
                  <c:v>2.0385807917236081E-2</c:v>
                </c:pt>
                <c:pt idx="85">
                  <c:v>2.0484023091567632E-2</c:v>
                </c:pt>
                <c:pt idx="86">
                  <c:v>1.9881894926406341E-2</c:v>
                </c:pt>
                <c:pt idx="87">
                  <c:v>1.9146596309831756E-2</c:v>
                </c:pt>
                <c:pt idx="88">
                  <c:v>1.9181133669831759E-2</c:v>
                </c:pt>
                <c:pt idx="89">
                  <c:v>1.9362502228473733E-2</c:v>
                </c:pt>
                <c:pt idx="90">
                  <c:v>1.9110321328473734E-2</c:v>
                </c:pt>
                <c:pt idx="91">
                  <c:v>1.8840415779494146E-2</c:v>
                </c:pt>
                <c:pt idx="92">
                  <c:v>1.8671594287186451E-2</c:v>
                </c:pt>
                <c:pt idx="93">
                  <c:v>1.9164382297824748E-2</c:v>
                </c:pt>
                <c:pt idx="94">
                  <c:v>1.9398187064491413E-2</c:v>
                </c:pt>
                <c:pt idx="95">
                  <c:v>1.9348193110205702E-2</c:v>
                </c:pt>
                <c:pt idx="96">
                  <c:v>1.9416852898394676E-2</c:v>
                </c:pt>
                <c:pt idx="97">
                  <c:v>1.9726864242119373E-2</c:v>
                </c:pt>
                <c:pt idx="98">
                  <c:v>1.9742893715273734E-2</c:v>
                </c:pt>
                <c:pt idx="99">
                  <c:v>2.012643522296604E-2</c:v>
                </c:pt>
                <c:pt idx="100">
                  <c:v>1.9497583182503615E-2</c:v>
                </c:pt>
                <c:pt idx="101">
                  <c:v>1.9442536649170283E-2</c:v>
                </c:pt>
                <c:pt idx="102">
                  <c:v>1.993214800783695E-2</c:v>
                </c:pt>
                <c:pt idx="103">
                  <c:v>1.993214800783695E-2</c:v>
                </c:pt>
                <c:pt idx="104">
                  <c:v>2.0141214439180231E-2</c:v>
                </c:pt>
                <c:pt idx="105">
                  <c:v>2.0392802342495148E-2</c:v>
                </c:pt>
                <c:pt idx="106">
                  <c:v>2.0352494006495147E-2</c:v>
                </c:pt>
                <c:pt idx="107">
                  <c:v>1.9974577476374666E-2</c:v>
                </c:pt>
                <c:pt idx="108">
                  <c:v>1.992082198322398E-2</c:v>
                </c:pt>
                <c:pt idx="109">
                  <c:v>2.0229676807394598E-2</c:v>
                </c:pt>
                <c:pt idx="110">
                  <c:v>2.0917029058823169E-2</c:v>
                </c:pt>
                <c:pt idx="111">
                  <c:v>2.1197792605761941E-2</c:v>
                </c:pt>
                <c:pt idx="112">
                  <c:v>2.1005057110589528E-2</c:v>
                </c:pt>
                <c:pt idx="113">
                  <c:v>2.0615658426916064E-2</c:v>
                </c:pt>
                <c:pt idx="114">
                  <c:v>2.0225701622471618E-2</c:v>
                </c:pt>
                <c:pt idx="115">
                  <c:v>1.9614630422471618E-2</c:v>
                </c:pt>
                <c:pt idx="116">
                  <c:v>1.9664980744920599E-2</c:v>
                </c:pt>
                <c:pt idx="117">
                  <c:v>1.963780747123639E-2</c:v>
                </c:pt>
                <c:pt idx="118">
                  <c:v>1.9642928150481673E-2</c:v>
                </c:pt>
                <c:pt idx="119">
                  <c:v>1.8903227150247483E-2</c:v>
                </c:pt>
                <c:pt idx="120">
                  <c:v>1.8963102498025259E-2</c:v>
                </c:pt>
                <c:pt idx="121">
                  <c:v>1.9562347480578449E-2</c:v>
                </c:pt>
                <c:pt idx="122">
                  <c:v>2.0025282630471496E-2</c:v>
                </c:pt>
                <c:pt idx="123">
                  <c:v>2.0540821779308709E-2</c:v>
                </c:pt>
                <c:pt idx="124">
                  <c:v>2.0262407909805158E-2</c:v>
                </c:pt>
                <c:pt idx="125">
                  <c:v>1.971838292734902E-2</c:v>
                </c:pt>
                <c:pt idx="126">
                  <c:v>1.9795833320820827E-2</c:v>
                </c:pt>
                <c:pt idx="127">
                  <c:v>1.868143871555767E-2</c:v>
                </c:pt>
                <c:pt idx="128">
                  <c:v>1.7902722450652015E-2</c:v>
                </c:pt>
                <c:pt idx="129">
                  <c:v>1.8854960663954763E-2</c:v>
                </c:pt>
                <c:pt idx="130">
                  <c:v>1.9219407593422218E-2</c:v>
                </c:pt>
                <c:pt idx="131">
                  <c:v>1.934444404147417E-2</c:v>
                </c:pt>
                <c:pt idx="132">
                  <c:v>1.9152418126890832E-2</c:v>
                </c:pt>
                <c:pt idx="133">
                  <c:v>1.9112757592007115E-2</c:v>
                </c:pt>
                <c:pt idx="134">
                  <c:v>1.9248765813483622E-2</c:v>
                </c:pt>
                <c:pt idx="135">
                  <c:v>1.9027832144128783E-2</c:v>
                </c:pt>
                <c:pt idx="136">
                  <c:v>1.8713059131870723E-2</c:v>
                </c:pt>
                <c:pt idx="137">
                  <c:v>1.8698791489146264E-2</c:v>
                </c:pt>
                <c:pt idx="138">
                  <c:v>1.8750010025280719E-2</c:v>
                </c:pt>
                <c:pt idx="139">
                  <c:v>1.8648334987708466E-2</c:v>
                </c:pt>
                <c:pt idx="140">
                  <c:v>1.893866886963266E-2</c:v>
                </c:pt>
                <c:pt idx="141">
                  <c:v>1.8831308944531451E-2</c:v>
                </c:pt>
                <c:pt idx="142">
                  <c:v>1.8480202997829601E-2</c:v>
                </c:pt>
                <c:pt idx="143">
                  <c:v>1.9092102583649597E-2</c:v>
                </c:pt>
                <c:pt idx="144">
                  <c:v>1.9361314702697217E-2</c:v>
                </c:pt>
                <c:pt idx="145">
                  <c:v>1.9513478387029017E-2</c:v>
                </c:pt>
                <c:pt idx="146">
                  <c:v>1.8011927122483559E-2</c:v>
                </c:pt>
                <c:pt idx="147">
                  <c:v>1.7450349788088654E-2</c:v>
                </c:pt>
                <c:pt idx="148">
                  <c:v>1.7975536274199767E-2</c:v>
                </c:pt>
                <c:pt idx="149">
                  <c:v>1.7177729253581207E-2</c:v>
                </c:pt>
                <c:pt idx="150">
                  <c:v>2.0327084670701632E-2</c:v>
                </c:pt>
                <c:pt idx="151">
                  <c:v>2.0779658201951628E-2</c:v>
                </c:pt>
                <c:pt idx="152">
                  <c:v>2.0694738861077106E-2</c:v>
                </c:pt>
                <c:pt idx="153">
                  <c:v>2.0596413802722677E-2</c:v>
                </c:pt>
                <c:pt idx="154">
                  <c:v>1.9979858611813586E-2</c:v>
                </c:pt>
                <c:pt idx="155">
                  <c:v>2.050576209535104E-2</c:v>
                </c:pt>
                <c:pt idx="156">
                  <c:v>2.0094508389123258E-2</c:v>
                </c:pt>
                <c:pt idx="157">
                  <c:v>2.051488914538847E-2</c:v>
                </c:pt>
                <c:pt idx="158">
                  <c:v>2.0131408724699502E-2</c:v>
                </c:pt>
                <c:pt idx="159">
                  <c:v>2.0051707914929325E-2</c:v>
                </c:pt>
                <c:pt idx="160">
                  <c:v>2.0144623007100057E-2</c:v>
                </c:pt>
                <c:pt idx="161">
                  <c:v>1.9323707359834432E-2</c:v>
                </c:pt>
                <c:pt idx="162">
                  <c:v>1.8642972719489607E-2</c:v>
                </c:pt>
                <c:pt idx="163">
                  <c:v>1.9136286521641604E-2</c:v>
                </c:pt>
                <c:pt idx="164">
                  <c:v>2.0520153769434311E-2</c:v>
                </c:pt>
                <c:pt idx="165">
                  <c:v>2.1248319544190011E-2</c:v>
                </c:pt>
                <c:pt idx="166">
                  <c:v>2.0804090963628456E-2</c:v>
                </c:pt>
                <c:pt idx="167">
                  <c:v>2.0951881575579673E-2</c:v>
                </c:pt>
                <c:pt idx="168">
                  <c:v>2.0279968432827887E-2</c:v>
                </c:pt>
                <c:pt idx="169">
                  <c:v>2.07621419311824E-2</c:v>
                </c:pt>
                <c:pt idx="170">
                  <c:v>2.0460854837621761E-2</c:v>
                </c:pt>
                <c:pt idx="171">
                  <c:v>1.9089701652327644E-2</c:v>
                </c:pt>
                <c:pt idx="172">
                  <c:v>1.8046804141099222E-2</c:v>
                </c:pt>
                <c:pt idx="173">
                  <c:v>1.8375618038011337E-2</c:v>
                </c:pt>
                <c:pt idx="174">
                  <c:v>1.7047085289965451E-2</c:v>
                </c:pt>
                <c:pt idx="175">
                  <c:v>1.6112060521668126E-2</c:v>
                </c:pt>
                <c:pt idx="176">
                  <c:v>1.5379810336338456E-2</c:v>
                </c:pt>
                <c:pt idx="177">
                  <c:v>1.5063840787947138E-2</c:v>
                </c:pt>
                <c:pt idx="178">
                  <c:v>1.5549266912561673E-2</c:v>
                </c:pt>
                <c:pt idx="179">
                  <c:v>1.7638844043157947E-2</c:v>
                </c:pt>
                <c:pt idx="180">
                  <c:v>1.8997967151044383E-2</c:v>
                </c:pt>
                <c:pt idx="181">
                  <c:v>1.9520842787601481E-2</c:v>
                </c:pt>
                <c:pt idx="182">
                  <c:v>1.8052547938660443E-2</c:v>
                </c:pt>
                <c:pt idx="183">
                  <c:v>1.8196362192599097E-2</c:v>
                </c:pt>
                <c:pt idx="184">
                  <c:v>1.7532126953264737E-2</c:v>
                </c:pt>
                <c:pt idx="185">
                  <c:v>1.4319296395443198E-2</c:v>
                </c:pt>
                <c:pt idx="186">
                  <c:v>1.9322055584878931E-2</c:v>
                </c:pt>
                <c:pt idx="187">
                  <c:v>1.7874378018355681E-2</c:v>
                </c:pt>
                <c:pt idx="188">
                  <c:v>1.2293958475215621E-2</c:v>
                </c:pt>
                <c:pt idx="189">
                  <c:v>1.1353321357915697E-2</c:v>
                </c:pt>
                <c:pt idx="190">
                  <c:v>1.045292461853763E-2</c:v>
                </c:pt>
                <c:pt idx="191">
                  <c:v>8.1082119985376299E-3</c:v>
                </c:pt>
                <c:pt idx="192">
                  <c:v>1.1144825553533095E-2</c:v>
                </c:pt>
                <c:pt idx="193">
                  <c:v>1.1685816504295E-2</c:v>
                </c:pt>
                <c:pt idx="194">
                  <c:v>1.2464268421747094E-2</c:v>
                </c:pt>
                <c:pt idx="195">
                  <c:v>1.8250590866871773E-2</c:v>
                </c:pt>
                <c:pt idx="196">
                  <c:v>1.4738325125727784E-2</c:v>
                </c:pt>
                <c:pt idx="197">
                  <c:v>1.7610649159362397E-2</c:v>
                </c:pt>
                <c:pt idx="198">
                  <c:v>1.9462299426037475E-2</c:v>
                </c:pt>
                <c:pt idx="199">
                  <c:v>1.9393953000997475E-2</c:v>
                </c:pt>
                <c:pt idx="200">
                  <c:v>1.9159127878549044E-2</c:v>
                </c:pt>
                <c:pt idx="201">
                  <c:v>1.8918856861521394E-2</c:v>
                </c:pt>
                <c:pt idx="202">
                  <c:v>1.9020841153864782E-2</c:v>
                </c:pt>
                <c:pt idx="203">
                  <c:v>1.7890234530749789E-2</c:v>
                </c:pt>
                <c:pt idx="204">
                  <c:v>1.8687574951662556E-2</c:v>
                </c:pt>
                <c:pt idx="205">
                  <c:v>1.8168112734756083E-2</c:v>
                </c:pt>
                <c:pt idx="206">
                  <c:v>1.8394676862110302E-2</c:v>
                </c:pt>
                <c:pt idx="207">
                  <c:v>1.8681291365458718E-2</c:v>
                </c:pt>
                <c:pt idx="208">
                  <c:v>1.8151294328553749E-2</c:v>
                </c:pt>
                <c:pt idx="209">
                  <c:v>1.7614971058553749E-2</c:v>
                </c:pt>
                <c:pt idx="210">
                  <c:v>1.736604261942332E-2</c:v>
                </c:pt>
                <c:pt idx="211">
                  <c:v>1.719077383771991E-2</c:v>
                </c:pt>
                <c:pt idx="212">
                  <c:v>1.6082771700775308E-2</c:v>
                </c:pt>
                <c:pt idx="213">
                  <c:v>1.5055595170377236E-2</c:v>
                </c:pt>
                <c:pt idx="214">
                  <c:v>1.1828478544639805E-2</c:v>
                </c:pt>
                <c:pt idx="215">
                  <c:v>1.0740800538987632E-2</c:v>
                </c:pt>
                <c:pt idx="216">
                  <c:v>1.0430455903912885E-2</c:v>
                </c:pt>
                <c:pt idx="217">
                  <c:v>1.1136532944907249E-2</c:v>
                </c:pt>
                <c:pt idx="218">
                  <c:v>1.0206468477794947E-2</c:v>
                </c:pt>
                <c:pt idx="219">
                  <c:v>9.8122467232899975E-3</c:v>
                </c:pt>
                <c:pt idx="220">
                  <c:v>9.6945372647056476E-3</c:v>
                </c:pt>
                <c:pt idx="221">
                  <c:v>1.2224365074110411E-2</c:v>
                </c:pt>
                <c:pt idx="222">
                  <c:v>1.1909852294819745E-2</c:v>
                </c:pt>
                <c:pt idx="223">
                  <c:v>1.2244373148513774E-2</c:v>
                </c:pt>
                <c:pt idx="224">
                  <c:v>1.2722732405555274E-2</c:v>
                </c:pt>
                <c:pt idx="225">
                  <c:v>1.2894546041030136E-2</c:v>
                </c:pt>
                <c:pt idx="226">
                  <c:v>1.3938862749398965E-2</c:v>
                </c:pt>
                <c:pt idx="227">
                  <c:v>1.5404818051676159E-2</c:v>
                </c:pt>
                <c:pt idx="228">
                  <c:v>1.439852288939893E-2</c:v>
                </c:pt>
                <c:pt idx="229">
                  <c:v>1.2744708384420681E-2</c:v>
                </c:pt>
                <c:pt idx="230">
                  <c:v>1.3131677350399169E-2</c:v>
                </c:pt>
                <c:pt idx="231">
                  <c:v>1.4931482968728219E-2</c:v>
                </c:pt>
                <c:pt idx="232">
                  <c:v>1.5282616237093601E-2</c:v>
                </c:pt>
                <c:pt idx="233">
                  <c:v>1.3514555521549874E-2</c:v>
                </c:pt>
                <c:pt idx="234">
                  <c:v>1.3514555521549874E-2</c:v>
                </c:pt>
                <c:pt idx="235">
                  <c:v>1.4239611000757792E-2</c:v>
                </c:pt>
                <c:pt idx="236">
                  <c:v>1.409093346766813E-2</c:v>
                </c:pt>
                <c:pt idx="237">
                  <c:v>1.4378481726805933E-2</c:v>
                </c:pt>
                <c:pt idx="238">
                  <c:v>1.4760679739272179E-2</c:v>
                </c:pt>
                <c:pt idx="239">
                  <c:v>1.4679344660872179E-2</c:v>
                </c:pt>
                <c:pt idx="240">
                  <c:v>1.4510535518730173E-2</c:v>
                </c:pt>
                <c:pt idx="241">
                  <c:v>1.465778955386008E-2</c:v>
                </c:pt>
                <c:pt idx="242">
                  <c:v>1.4268646675330877E-2</c:v>
                </c:pt>
                <c:pt idx="243">
                  <c:v>1.4018749173966647E-2</c:v>
                </c:pt>
                <c:pt idx="244">
                  <c:v>1.431242896940233E-2</c:v>
                </c:pt>
                <c:pt idx="245">
                  <c:v>1.4997084968252429E-2</c:v>
                </c:pt>
                <c:pt idx="246">
                  <c:v>1.6116971014778714E-2</c:v>
                </c:pt>
                <c:pt idx="247">
                  <c:v>1.4493405777728606E-2</c:v>
                </c:pt>
                <c:pt idx="248">
                  <c:v>1.3385142932394428E-2</c:v>
                </c:pt>
                <c:pt idx="249">
                  <c:v>1.1643357494431818E-2</c:v>
                </c:pt>
                <c:pt idx="250">
                  <c:v>1.332554585562104E-2</c:v>
                </c:pt>
                <c:pt idx="251">
                  <c:v>1.4404782678701936E-2</c:v>
                </c:pt>
                <c:pt idx="252">
                  <c:v>1.4989030497545176E-2</c:v>
                </c:pt>
                <c:pt idx="253">
                  <c:v>1.2491091582423669E-2</c:v>
                </c:pt>
                <c:pt idx="254">
                  <c:v>1.3790365987859911E-2</c:v>
                </c:pt>
                <c:pt idx="255">
                  <c:v>1.3711616477879402E-2</c:v>
                </c:pt>
                <c:pt idx="256">
                  <c:v>1.3994301538983176E-2</c:v>
                </c:pt>
                <c:pt idx="257">
                  <c:v>1.432190532801696E-2</c:v>
                </c:pt>
                <c:pt idx="258">
                  <c:v>1.5288095996573034E-2</c:v>
                </c:pt>
                <c:pt idx="259">
                  <c:v>1.5004664178843928E-2</c:v>
                </c:pt>
                <c:pt idx="260">
                  <c:v>1.4606040236046556E-2</c:v>
                </c:pt>
                <c:pt idx="261">
                  <c:v>1.5853799936645565E-2</c:v>
                </c:pt>
                <c:pt idx="262">
                  <c:v>1.4973259577920207E-2</c:v>
                </c:pt>
                <c:pt idx="263">
                  <c:v>1.5515695390468187E-2</c:v>
                </c:pt>
                <c:pt idx="264">
                  <c:v>1.5273613828592013E-2</c:v>
                </c:pt>
                <c:pt idx="265">
                  <c:v>1.5590649561341643E-2</c:v>
                </c:pt>
                <c:pt idx="266">
                  <c:v>1.6490979369696745E-2</c:v>
                </c:pt>
                <c:pt idx="267">
                  <c:v>1.5857046384767641E-2</c:v>
                </c:pt>
                <c:pt idx="268">
                  <c:v>1.4504889721962155E-2</c:v>
                </c:pt>
                <c:pt idx="269">
                  <c:v>1.5348592834177053E-2</c:v>
                </c:pt>
                <c:pt idx="270">
                  <c:v>1.4990038076790843E-2</c:v>
                </c:pt>
                <c:pt idx="271">
                  <c:v>1.519554679170112E-2</c:v>
                </c:pt>
                <c:pt idx="272">
                  <c:v>1.4648849069080552E-2</c:v>
                </c:pt>
                <c:pt idx="273">
                  <c:v>1.3711977222918515E-2</c:v>
                </c:pt>
                <c:pt idx="274">
                  <c:v>1.3591615840857444E-2</c:v>
                </c:pt>
                <c:pt idx="275">
                  <c:v>1.3375689384137518E-2</c:v>
                </c:pt>
                <c:pt idx="276">
                  <c:v>1.2381090597433886E-2</c:v>
                </c:pt>
                <c:pt idx="277">
                  <c:v>1.1193360755908956E-2</c:v>
                </c:pt>
                <c:pt idx="278">
                  <c:v>1.1434285062173109E-2</c:v>
                </c:pt>
                <c:pt idx="279">
                  <c:v>1.2129785441021725E-2</c:v>
                </c:pt>
                <c:pt idx="280">
                  <c:v>1.1405592107649931E-2</c:v>
                </c:pt>
                <c:pt idx="281">
                  <c:v>1.2580792864529278E-2</c:v>
                </c:pt>
                <c:pt idx="282">
                  <c:v>1.3137179731992599E-2</c:v>
                </c:pt>
                <c:pt idx="283">
                  <c:v>1.1588946161174767E-2</c:v>
                </c:pt>
                <c:pt idx="284">
                  <c:v>1.4158204053611999E-2</c:v>
                </c:pt>
                <c:pt idx="285">
                  <c:v>1.4318672350306216E-2</c:v>
                </c:pt>
                <c:pt idx="286">
                  <c:v>1.4720415876829103E-2</c:v>
                </c:pt>
                <c:pt idx="287">
                  <c:v>1.3871772343807756E-2</c:v>
                </c:pt>
                <c:pt idx="288">
                  <c:v>1.3551831521934191E-2</c:v>
                </c:pt>
                <c:pt idx="289">
                  <c:v>1.3560855475023311E-2</c:v>
                </c:pt>
                <c:pt idx="290">
                  <c:v>1.3632565831166432E-2</c:v>
                </c:pt>
                <c:pt idx="291">
                  <c:v>1.3783682900950681E-2</c:v>
                </c:pt>
                <c:pt idx="292">
                  <c:v>1.4071312951526161E-2</c:v>
                </c:pt>
                <c:pt idx="293">
                  <c:v>1.5451979389436836E-2</c:v>
                </c:pt>
                <c:pt idx="294">
                  <c:v>1.2139836341644129E-2</c:v>
                </c:pt>
                <c:pt idx="295">
                  <c:v>9.6044286626073162E-3</c:v>
                </c:pt>
                <c:pt idx="296">
                  <c:v>7.6896525124555476E-3</c:v>
                </c:pt>
                <c:pt idx="297">
                  <c:v>8.934623866606789E-3</c:v>
                </c:pt>
                <c:pt idx="298">
                  <c:v>6.8181985712953983E-3</c:v>
                </c:pt>
                <c:pt idx="299">
                  <c:v>6.2398997984267476E-3</c:v>
                </c:pt>
                <c:pt idx="300">
                  <c:v>8.098692225243476E-3</c:v>
                </c:pt>
                <c:pt idx="301">
                  <c:v>7.1867124064956102E-3</c:v>
                </c:pt>
                <c:pt idx="302">
                  <c:v>7.8338825689075742E-3</c:v>
                </c:pt>
                <c:pt idx="303">
                  <c:v>7.960889765343428E-3</c:v>
                </c:pt>
                <c:pt idx="304">
                  <c:v>8.1315678419281671E-3</c:v>
                </c:pt>
                <c:pt idx="305">
                  <c:v>7.0767193340968391E-3</c:v>
                </c:pt>
                <c:pt idx="306">
                  <c:v>6.7935110998660706E-3</c:v>
                </c:pt>
                <c:pt idx="307">
                  <c:v>6.6928668410905631E-3</c:v>
                </c:pt>
                <c:pt idx="308">
                  <c:v>5.6525949210905618E-3</c:v>
                </c:pt>
                <c:pt idx="309">
                  <c:v>5.8804675867918741E-3</c:v>
                </c:pt>
                <c:pt idx="310">
                  <c:v>7.239428784118501E-3</c:v>
                </c:pt>
                <c:pt idx="311">
                  <c:v>7.737692125012908E-3</c:v>
                </c:pt>
                <c:pt idx="312">
                  <c:v>7.6958803662988719E-3</c:v>
                </c:pt>
                <c:pt idx="313">
                  <c:v>8.69174185919264E-3</c:v>
                </c:pt>
                <c:pt idx="314">
                  <c:v>9.5979740851788523E-3</c:v>
                </c:pt>
                <c:pt idx="315">
                  <c:v>9.7306569686463618E-3</c:v>
                </c:pt>
                <c:pt idx="316">
                  <c:v>7.9573122925818869E-3</c:v>
                </c:pt>
                <c:pt idx="317">
                  <c:v>7.1836503803128426E-3</c:v>
                </c:pt>
                <c:pt idx="318">
                  <c:v>6.2681193889684659E-3</c:v>
                </c:pt>
                <c:pt idx="319">
                  <c:v>7.2076246390874793E-3</c:v>
                </c:pt>
                <c:pt idx="320">
                  <c:v>7.5941026525672096E-3</c:v>
                </c:pt>
                <c:pt idx="321">
                  <c:v>7.0460782612600612E-3</c:v>
                </c:pt>
                <c:pt idx="322">
                  <c:v>7.0754235414008078E-3</c:v>
                </c:pt>
                <c:pt idx="323">
                  <c:v>7.1059547573256287E-3</c:v>
                </c:pt>
                <c:pt idx="324">
                  <c:v>6.6764014821686993E-3</c:v>
                </c:pt>
                <c:pt idx="325">
                  <c:v>6.0529697563752489E-3</c:v>
                </c:pt>
                <c:pt idx="326">
                  <c:v>5.8897703975637032E-3</c:v>
                </c:pt>
                <c:pt idx="327">
                  <c:v>5.7112595375637043E-3</c:v>
                </c:pt>
                <c:pt idx="328">
                  <c:v>5.4718970019312996E-3</c:v>
                </c:pt>
                <c:pt idx="329">
                  <c:v>5.1779654801158521E-3</c:v>
                </c:pt>
                <c:pt idx="330">
                  <c:v>5.2213264705702296E-3</c:v>
                </c:pt>
                <c:pt idx="331">
                  <c:v>4.9821176736410937E-3</c:v>
                </c:pt>
                <c:pt idx="332">
                  <c:v>5.187255463494491E-3</c:v>
                </c:pt>
                <c:pt idx="333">
                  <c:v>5.0164665267345004E-3</c:v>
                </c:pt>
                <c:pt idx="334">
                  <c:v>5.166751215671817E-3</c:v>
                </c:pt>
                <c:pt idx="335">
                  <c:v>6.0289066903808121E-3</c:v>
                </c:pt>
                <c:pt idx="336">
                  <c:v>5.4790723982136606E-3</c:v>
                </c:pt>
                <c:pt idx="337">
                  <c:v>6.7268005658487687E-3</c:v>
                </c:pt>
                <c:pt idx="338">
                  <c:v>6.4983055822543856E-3</c:v>
                </c:pt>
                <c:pt idx="339">
                  <c:v>6.919624358173111E-3</c:v>
                </c:pt>
                <c:pt idx="340">
                  <c:v>6.9353719444733E-3</c:v>
                </c:pt>
                <c:pt idx="341">
                  <c:v>6.4609413448698015E-3</c:v>
                </c:pt>
                <c:pt idx="342">
                  <c:v>7.993712072942763E-3</c:v>
                </c:pt>
                <c:pt idx="343">
                  <c:v>7.3545537829427625E-3</c:v>
                </c:pt>
                <c:pt idx="344">
                  <c:v>6.6720876193982403E-3</c:v>
                </c:pt>
                <c:pt idx="345">
                  <c:v>5.8221012331239426E-3</c:v>
                </c:pt>
                <c:pt idx="346">
                  <c:v>6.4842466246806925E-3</c:v>
                </c:pt>
                <c:pt idx="347">
                  <c:v>6.6191271243222502E-3</c:v>
                </c:pt>
                <c:pt idx="348">
                  <c:v>2.9783735074705234E-3</c:v>
                </c:pt>
                <c:pt idx="349">
                  <c:v>-1.1996149600453055E-3</c:v>
                </c:pt>
                <c:pt idx="350">
                  <c:v>-2.7154267758409448E-3</c:v>
                </c:pt>
                <c:pt idx="351">
                  <c:v>-4.1030943553124919E-3</c:v>
                </c:pt>
                <c:pt idx="352">
                  <c:v>-4.6528140976182988E-3</c:v>
                </c:pt>
                <c:pt idx="353">
                  <c:v>-5.7359944733782952E-3</c:v>
                </c:pt>
                <c:pt idx="354">
                  <c:v>-6.0265423440736951E-3</c:v>
                </c:pt>
                <c:pt idx="355">
                  <c:v>-6.2185985451643066E-3</c:v>
                </c:pt>
                <c:pt idx="356">
                  <c:v>-5.4552267939918945E-3</c:v>
                </c:pt>
                <c:pt idx="357">
                  <c:v>-4.8507256459609368E-3</c:v>
                </c:pt>
                <c:pt idx="358">
                  <c:v>-5.2844007546850131E-3</c:v>
                </c:pt>
                <c:pt idx="359">
                  <c:v>-6.1492297707918852E-3</c:v>
                </c:pt>
                <c:pt idx="360">
                  <c:v>-6.3447208427343318E-3</c:v>
                </c:pt>
                <c:pt idx="361">
                  <c:v>-6.5683551648297919E-3</c:v>
                </c:pt>
                <c:pt idx="362">
                  <c:v>-6.4874693735624944E-3</c:v>
                </c:pt>
                <c:pt idx="363">
                  <c:v>-6.4063675241734916E-3</c:v>
                </c:pt>
                <c:pt idx="364">
                  <c:v>-6.4173501817111804E-3</c:v>
                </c:pt>
                <c:pt idx="365">
                  <c:v>-6.6837453204964285E-3</c:v>
                </c:pt>
                <c:pt idx="366">
                  <c:v>-6.558706132485579E-3</c:v>
                </c:pt>
                <c:pt idx="367">
                  <c:v>-6.6625094862481846E-3</c:v>
                </c:pt>
                <c:pt idx="368">
                  <c:v>-6.3911551942765644E-3</c:v>
                </c:pt>
                <c:pt idx="369">
                  <c:v>-6.4221255882765645E-3</c:v>
                </c:pt>
                <c:pt idx="370">
                  <c:v>-6.4327782448253016E-3</c:v>
                </c:pt>
                <c:pt idx="371">
                  <c:v>-6.7846444358292384E-3</c:v>
                </c:pt>
                <c:pt idx="372">
                  <c:v>-6.3957673545632253E-3</c:v>
                </c:pt>
                <c:pt idx="373">
                  <c:v>-7.0237366092474364E-3</c:v>
                </c:pt>
                <c:pt idx="374">
                  <c:v>-6.8000637607545013E-3</c:v>
                </c:pt>
                <c:pt idx="375">
                  <c:v>-6.8968056375131878E-3</c:v>
                </c:pt>
                <c:pt idx="376">
                  <c:v>-7.6636965875131876E-3</c:v>
                </c:pt>
                <c:pt idx="377">
                  <c:v>-8.0450404621355432E-3</c:v>
                </c:pt>
                <c:pt idx="378">
                  <c:v>-7.9914278419923445E-3</c:v>
                </c:pt>
                <c:pt idx="379">
                  <c:v>-8.2387818463849436E-3</c:v>
                </c:pt>
                <c:pt idx="380">
                  <c:v>-8.4305174449044971E-3</c:v>
                </c:pt>
                <c:pt idx="381">
                  <c:v>-8.3886070691929944E-3</c:v>
                </c:pt>
                <c:pt idx="382">
                  <c:v>-8.2151156075644747E-3</c:v>
                </c:pt>
                <c:pt idx="383">
                  <c:v>-7.8847979289507174E-3</c:v>
                </c:pt>
                <c:pt idx="384">
                  <c:v>-8.6845514614863287E-3</c:v>
                </c:pt>
                <c:pt idx="385">
                  <c:v>-8.5576290769069606E-3</c:v>
                </c:pt>
                <c:pt idx="386">
                  <c:v>-8.0376281177592501E-3</c:v>
                </c:pt>
                <c:pt idx="387">
                  <c:v>-8.1458967174483383E-3</c:v>
                </c:pt>
                <c:pt idx="388">
                  <c:v>-8.4957692957079913E-3</c:v>
                </c:pt>
                <c:pt idx="389">
                  <c:v>-8.2075167442409985E-3</c:v>
                </c:pt>
                <c:pt idx="390">
                  <c:v>-8.4704624361842135E-3</c:v>
                </c:pt>
                <c:pt idx="391">
                  <c:v>-8.2623627647556413E-3</c:v>
                </c:pt>
                <c:pt idx="392">
                  <c:v>-8.3812744867444704E-3</c:v>
                </c:pt>
                <c:pt idx="393">
                  <c:v>-8.4587563811496149E-3</c:v>
                </c:pt>
                <c:pt idx="394">
                  <c:v>-8.261619571149615E-3</c:v>
                </c:pt>
                <c:pt idx="395">
                  <c:v>-8.4271023762900396E-3</c:v>
                </c:pt>
                <c:pt idx="396">
                  <c:v>-8.2178352431808415E-3</c:v>
                </c:pt>
                <c:pt idx="397">
                  <c:v>-8.1315155709017727E-3</c:v>
                </c:pt>
                <c:pt idx="398">
                  <c:v>-8.0973602032976804E-3</c:v>
                </c:pt>
                <c:pt idx="399">
                  <c:v>-8.1053877870571767E-3</c:v>
                </c:pt>
                <c:pt idx="400">
                  <c:v>-8.4175429989143194E-3</c:v>
                </c:pt>
                <c:pt idx="401">
                  <c:v>-8.0055373004068574E-3</c:v>
                </c:pt>
                <c:pt idx="402">
                  <c:v>-7.9184927652237967E-3</c:v>
                </c:pt>
                <c:pt idx="403">
                  <c:v>-7.2705126459770945E-3</c:v>
                </c:pt>
                <c:pt idx="404">
                  <c:v>-6.6208547546254349E-3</c:v>
                </c:pt>
                <c:pt idx="405">
                  <c:v>-4.6486218294825793E-3</c:v>
                </c:pt>
                <c:pt idx="406">
                  <c:v>2.9068584953981114E-3</c:v>
                </c:pt>
                <c:pt idx="407">
                  <c:v>2.9385278718302727E-3</c:v>
                </c:pt>
                <c:pt idx="408">
                  <c:v>2.6507707618302723E-3</c:v>
                </c:pt>
                <c:pt idx="409">
                  <c:v>2.5864881048001101E-3</c:v>
                </c:pt>
                <c:pt idx="410">
                  <c:v>2.4410436587558367E-3</c:v>
                </c:pt>
                <c:pt idx="411">
                  <c:v>2.3663561304148231E-3</c:v>
                </c:pt>
                <c:pt idx="412">
                  <c:v>2.2236348454065858E-3</c:v>
                </c:pt>
                <c:pt idx="413">
                  <c:v>2.2717888742180246E-3</c:v>
                </c:pt>
                <c:pt idx="414">
                  <c:v>2.3028000834502704E-3</c:v>
                </c:pt>
                <c:pt idx="415">
                  <c:v>1.9949217717105247E-3</c:v>
                </c:pt>
                <c:pt idx="416">
                  <c:v>2.3299297831197575E-3</c:v>
                </c:pt>
                <c:pt idx="417">
                  <c:v>2.3231601813542679E-3</c:v>
                </c:pt>
                <c:pt idx="418">
                  <c:v>2.755628006328786E-3</c:v>
                </c:pt>
                <c:pt idx="419">
                  <c:v>2.4627209803476471E-3</c:v>
                </c:pt>
                <c:pt idx="420">
                  <c:v>2.7685285391593388E-3</c:v>
                </c:pt>
                <c:pt idx="421">
                  <c:v>2.8538648923585068E-3</c:v>
                </c:pt>
                <c:pt idx="422">
                  <c:v>2.7056664384628015E-3</c:v>
                </c:pt>
                <c:pt idx="423">
                  <c:v>2.7421385151970815E-3</c:v>
                </c:pt>
                <c:pt idx="424">
                  <c:v>2.6512024944016282E-3</c:v>
                </c:pt>
                <c:pt idx="425">
                  <c:v>2.621843892761249E-3</c:v>
                </c:pt>
                <c:pt idx="426">
                  <c:v>2.5515541714560669E-3</c:v>
                </c:pt>
                <c:pt idx="427">
                  <c:v>2.5269774176633207E-3</c:v>
                </c:pt>
                <c:pt idx="428">
                  <c:v>2.7559780868608936E-3</c:v>
                </c:pt>
                <c:pt idx="429">
                  <c:v>3.1912895473161446E-3</c:v>
                </c:pt>
                <c:pt idx="430">
                  <c:v>2.5152646983393999E-3</c:v>
                </c:pt>
                <c:pt idx="431">
                  <c:v>2.3809445288337358E-3</c:v>
                </c:pt>
                <c:pt idx="432">
                  <c:v>2.4618667041462353E-3</c:v>
                </c:pt>
                <c:pt idx="433">
                  <c:v>2.2497788542300582E-3</c:v>
                </c:pt>
                <c:pt idx="434">
                  <c:v>2.2491553386413065E-3</c:v>
                </c:pt>
                <c:pt idx="435">
                  <c:v>2.2961789538755227E-3</c:v>
                </c:pt>
                <c:pt idx="436">
                  <c:v>2.1356216314804993E-3</c:v>
                </c:pt>
                <c:pt idx="437">
                  <c:v>2.0493577576575243E-3</c:v>
                </c:pt>
                <c:pt idx="438">
                  <c:v>2.0062978715211606E-3</c:v>
                </c:pt>
                <c:pt idx="439">
                  <c:v>1.9789239054267401E-3</c:v>
                </c:pt>
                <c:pt idx="440">
                  <c:v>1.9898499418737315E-3</c:v>
                </c:pt>
                <c:pt idx="441">
                  <c:v>2.0762483501772515E-3</c:v>
                </c:pt>
                <c:pt idx="442">
                  <c:v>2.1568492647342135E-3</c:v>
                </c:pt>
                <c:pt idx="443">
                  <c:v>2.1419340335113875E-3</c:v>
                </c:pt>
                <c:pt idx="444">
                  <c:v>2.0970628749214593E-3</c:v>
                </c:pt>
                <c:pt idx="445">
                  <c:v>2.0846989752541767E-3</c:v>
                </c:pt>
                <c:pt idx="446">
                  <c:v>2.0377533052541763E-3</c:v>
                </c:pt>
                <c:pt idx="447">
                  <c:v>2.1206882254970914E-3</c:v>
                </c:pt>
                <c:pt idx="448">
                  <c:v>1.9156925512931555E-3</c:v>
                </c:pt>
                <c:pt idx="449">
                  <c:v>1.8606838682709331E-3</c:v>
                </c:pt>
                <c:pt idx="450">
                  <c:v>1.7984682978935747E-3</c:v>
                </c:pt>
                <c:pt idx="451">
                  <c:v>1.6347833333487714E-3</c:v>
                </c:pt>
                <c:pt idx="452">
                  <c:v>1.8096057597527669E-3</c:v>
                </c:pt>
                <c:pt idx="453">
                  <c:v>1.8012700313549768E-3</c:v>
                </c:pt>
                <c:pt idx="454">
                  <c:v>1.7925983762825132E-3</c:v>
                </c:pt>
                <c:pt idx="455">
                  <c:v>1.6854725479292915E-3</c:v>
                </c:pt>
                <c:pt idx="456">
                  <c:v>1.8736533254062404E-3</c:v>
                </c:pt>
                <c:pt idx="457">
                  <c:v>1.8993798207787482E-3</c:v>
                </c:pt>
                <c:pt idx="458">
                  <c:v>1.8965871502863241E-3</c:v>
                </c:pt>
                <c:pt idx="459">
                  <c:v>1.9119811372932845E-3</c:v>
                </c:pt>
                <c:pt idx="460">
                  <c:v>1.9224524963789989E-3</c:v>
                </c:pt>
                <c:pt idx="461">
                  <c:v>1.9362783221071541E-3</c:v>
                </c:pt>
                <c:pt idx="462">
                  <c:v>1.9306539461136684E-3</c:v>
                </c:pt>
                <c:pt idx="463">
                  <c:v>1.8776635469010699E-3</c:v>
                </c:pt>
                <c:pt idx="464">
                  <c:v>1.8517083226344032E-3</c:v>
                </c:pt>
                <c:pt idx="465">
                  <c:v>1.8841416873047331E-3</c:v>
                </c:pt>
                <c:pt idx="466">
                  <c:v>1.8713810362871891E-3</c:v>
                </c:pt>
                <c:pt idx="467">
                  <c:v>1.8591290285948812E-3</c:v>
                </c:pt>
                <c:pt idx="468">
                  <c:v>1.8571024385948813E-3</c:v>
                </c:pt>
                <c:pt idx="469">
                  <c:v>1.8713335014928405E-3</c:v>
                </c:pt>
                <c:pt idx="470">
                  <c:v>1.8876167226039517E-3</c:v>
                </c:pt>
                <c:pt idx="471">
                  <c:v>1.93196928543322E-3</c:v>
                </c:pt>
                <c:pt idx="472">
                  <c:v>1.9393136126253381E-3</c:v>
                </c:pt>
                <c:pt idx="473">
                  <c:v>1.9538069712230011E-3</c:v>
                </c:pt>
                <c:pt idx="474">
                  <c:v>1.9469716220002033E-3</c:v>
                </c:pt>
                <c:pt idx="475">
                  <c:v>2.0297158022595228E-3</c:v>
                </c:pt>
                <c:pt idx="476">
                  <c:v>1.9017562221084112E-3</c:v>
                </c:pt>
                <c:pt idx="477">
                  <c:v>1.8668434601347274E-3</c:v>
                </c:pt>
                <c:pt idx="478">
                  <c:v>1.8763903729148101E-3</c:v>
                </c:pt>
                <c:pt idx="479">
                  <c:v>1.9661937281297628E-3</c:v>
                </c:pt>
                <c:pt idx="480">
                  <c:v>1.987403523699036E-3</c:v>
                </c:pt>
                <c:pt idx="481">
                  <c:v>1.9548112670323692E-3</c:v>
                </c:pt>
                <c:pt idx="482">
                  <c:v>1.9274592389424818E-3</c:v>
                </c:pt>
                <c:pt idx="483">
                  <c:v>1.9450785023440165E-3</c:v>
                </c:pt>
                <c:pt idx="484">
                  <c:v>1.9813454930015508E-3</c:v>
                </c:pt>
                <c:pt idx="485">
                  <c:v>1.9743285817949694E-3</c:v>
                </c:pt>
                <c:pt idx="486">
                  <c:v>1.9687191841295999E-3</c:v>
                </c:pt>
                <c:pt idx="487">
                  <c:v>1.956748570074805E-3</c:v>
                </c:pt>
                <c:pt idx="488">
                  <c:v>1.975024841926657E-3</c:v>
                </c:pt>
                <c:pt idx="489">
                  <c:v>1.9066209455748269E-3</c:v>
                </c:pt>
                <c:pt idx="490">
                  <c:v>1.8157876686810941E-3</c:v>
                </c:pt>
                <c:pt idx="491">
                  <c:v>1.7332598152724526E-3</c:v>
                </c:pt>
                <c:pt idx="492">
                  <c:v>2.0042611352724528E-3</c:v>
                </c:pt>
                <c:pt idx="493">
                  <c:v>1.925663593862761E-3</c:v>
                </c:pt>
                <c:pt idx="494">
                  <c:v>2.0868258358928355E-3</c:v>
                </c:pt>
                <c:pt idx="495">
                  <c:v>2.0912739743785109E-3</c:v>
                </c:pt>
                <c:pt idx="496">
                  <c:v>2.0399723067923039E-3</c:v>
                </c:pt>
                <c:pt idx="497">
                  <c:v>2.1056413026286904E-3</c:v>
                </c:pt>
                <c:pt idx="498">
                  <c:v>2.173922302737781E-3</c:v>
                </c:pt>
                <c:pt idx="499">
                  <c:v>2.0556631751211573E-3</c:v>
                </c:pt>
                <c:pt idx="500">
                  <c:v>2.2335830750808664E-3</c:v>
                </c:pt>
                <c:pt idx="501">
                  <c:v>2.4042896279176328E-3</c:v>
                </c:pt>
                <c:pt idx="502">
                  <c:v>2.5670060513683017E-3</c:v>
                </c:pt>
                <c:pt idx="503">
                  <c:v>2.7149998384019677E-3</c:v>
                </c:pt>
                <c:pt idx="504">
                  <c:v>2.4140227399209544E-3</c:v>
                </c:pt>
                <c:pt idx="505">
                  <c:v>2.2961450408722022E-3</c:v>
                </c:pt>
                <c:pt idx="506">
                  <c:v>2.2205664749154743E-3</c:v>
                </c:pt>
                <c:pt idx="507">
                  <c:v>2.3037365129988906E-3</c:v>
                </c:pt>
                <c:pt idx="508">
                  <c:v>2.2391241171446767E-3</c:v>
                </c:pt>
                <c:pt idx="509">
                  <c:v>2.1833839680438587E-3</c:v>
                </c:pt>
                <c:pt idx="510">
                  <c:v>2.2813792912329692E-3</c:v>
                </c:pt>
                <c:pt idx="511">
                  <c:v>2.221481499820494E-3</c:v>
                </c:pt>
                <c:pt idx="512">
                  <c:v>2.6806877487791109E-3</c:v>
                </c:pt>
                <c:pt idx="513">
                  <c:v>2.7979842611490537E-3</c:v>
                </c:pt>
                <c:pt idx="514">
                  <c:v>2.8726973106529704E-3</c:v>
                </c:pt>
                <c:pt idx="515">
                  <c:v>2.9165188169778711E-3</c:v>
                </c:pt>
                <c:pt idx="516">
                  <c:v>2.7865195253515729E-3</c:v>
                </c:pt>
                <c:pt idx="517">
                  <c:v>2.7082216866535624E-3</c:v>
                </c:pt>
                <c:pt idx="518">
                  <c:v>2.6060248250130316E-3</c:v>
                </c:pt>
                <c:pt idx="519">
                  <c:v>2.7987052872295265E-3</c:v>
                </c:pt>
                <c:pt idx="520">
                  <c:v>2.7268758040049032E-3</c:v>
                </c:pt>
                <c:pt idx="521">
                  <c:v>2.8094875154113848E-3</c:v>
                </c:pt>
                <c:pt idx="522">
                  <c:v>2.4659333654559346E-3</c:v>
                </c:pt>
                <c:pt idx="523">
                  <c:v>2.6737670636748068E-3</c:v>
                </c:pt>
                <c:pt idx="524">
                  <c:v>4.2956423522831893E-3</c:v>
                </c:pt>
                <c:pt idx="525">
                  <c:v>2.4523772427276331E-3</c:v>
                </c:pt>
                <c:pt idx="526">
                  <c:v>2.384934362487393E-3</c:v>
                </c:pt>
                <c:pt idx="527">
                  <c:v>2.5215349553272385E-3</c:v>
                </c:pt>
                <c:pt idx="528">
                  <c:v>2.5813888349308979E-3</c:v>
                </c:pt>
                <c:pt idx="529">
                  <c:v>2.71887576462569E-3</c:v>
                </c:pt>
                <c:pt idx="530">
                  <c:v>2.5741984693875941E-3</c:v>
                </c:pt>
                <c:pt idx="531">
                  <c:v>2.4518709976000448E-3</c:v>
                </c:pt>
                <c:pt idx="532">
                  <c:v>2.0986898468254504E-3</c:v>
                </c:pt>
                <c:pt idx="533">
                  <c:v>1.8751244264705209E-3</c:v>
                </c:pt>
                <c:pt idx="534">
                  <c:v>1.5345718498951792E-3</c:v>
                </c:pt>
                <c:pt idx="535">
                  <c:v>1.6652842256021192E-3</c:v>
                </c:pt>
                <c:pt idx="536">
                  <c:v>1.8674627943879153E-3</c:v>
                </c:pt>
                <c:pt idx="537">
                  <c:v>1.4820818897725312E-3</c:v>
                </c:pt>
                <c:pt idx="538">
                  <c:v>1.3290605320901976E-3</c:v>
                </c:pt>
                <c:pt idx="539">
                  <c:v>1.2936921224391501E-3</c:v>
                </c:pt>
                <c:pt idx="540">
                  <c:v>8.5120670265893101E-4</c:v>
                </c:pt>
                <c:pt idx="541">
                  <c:v>7.5158157149503551E-4</c:v>
                </c:pt>
                <c:pt idx="542">
                  <c:v>9.8919598621503542E-4</c:v>
                </c:pt>
                <c:pt idx="543">
                  <c:v>8.7771469984755082E-4</c:v>
                </c:pt>
                <c:pt idx="544">
                  <c:v>5.9459771990716598E-4</c:v>
                </c:pt>
                <c:pt idx="545">
                  <c:v>4.5125938895478431E-4</c:v>
                </c:pt>
                <c:pt idx="546">
                  <c:v>5.9185759995956911E-4</c:v>
                </c:pt>
                <c:pt idx="547">
                  <c:v>8.2194868320196914E-4</c:v>
                </c:pt>
                <c:pt idx="548">
                  <c:v>1.1616022127426046E-3</c:v>
                </c:pt>
                <c:pt idx="549">
                  <c:v>6.6666665884840921E-4</c:v>
                </c:pt>
                <c:pt idx="550">
                  <c:v>1.0034788875489743E-3</c:v>
                </c:pt>
                <c:pt idx="551">
                  <c:v>8.7647616214224717E-4</c:v>
                </c:pt>
                <c:pt idx="552">
                  <c:v>1.2424454289401484E-3</c:v>
                </c:pt>
                <c:pt idx="553">
                  <c:v>1.4204363901073101E-3</c:v>
                </c:pt>
                <c:pt idx="554">
                  <c:v>1.7696144335855714E-3</c:v>
                </c:pt>
                <c:pt idx="555">
                  <c:v>2.6524158812326281E-3</c:v>
                </c:pt>
                <c:pt idx="556">
                  <c:v>1.5403139533054229E-3</c:v>
                </c:pt>
                <c:pt idx="557">
                  <c:v>1.525381228435355E-3</c:v>
                </c:pt>
                <c:pt idx="558">
                  <c:v>1.596976738550297E-3</c:v>
                </c:pt>
                <c:pt idx="559">
                  <c:v>1.4478527018302963E-3</c:v>
                </c:pt>
                <c:pt idx="560">
                  <c:v>1.3879963229158916E-3</c:v>
                </c:pt>
                <c:pt idx="561">
                  <c:v>1.150192575004454E-3</c:v>
                </c:pt>
                <c:pt idx="562">
                  <c:v>1.4568633193833577E-3</c:v>
                </c:pt>
                <c:pt idx="563">
                  <c:v>1.0161221216037387E-3</c:v>
                </c:pt>
                <c:pt idx="564">
                  <c:v>1.161320910589654E-3</c:v>
                </c:pt>
                <c:pt idx="565">
                  <c:v>1.2074971865545657E-3</c:v>
                </c:pt>
                <c:pt idx="566">
                  <c:v>1.0298482821215773E-3</c:v>
                </c:pt>
                <c:pt idx="567">
                  <c:v>1.0043786275031814E-3</c:v>
                </c:pt>
                <c:pt idx="568">
                  <c:v>1.0466116394244405E-3</c:v>
                </c:pt>
                <c:pt idx="569">
                  <c:v>9.6032443440046712E-4</c:v>
                </c:pt>
                <c:pt idx="570">
                  <c:v>6.2021344035493155E-4</c:v>
                </c:pt>
                <c:pt idx="571">
                  <c:v>5.2682850330319439E-4</c:v>
                </c:pt>
                <c:pt idx="572">
                  <c:v>5.6760694953780235E-4</c:v>
                </c:pt>
                <c:pt idx="573">
                  <c:v>5.4209020326992049E-4</c:v>
                </c:pt>
                <c:pt idx="574">
                  <c:v>3.2858404065100571E-4</c:v>
                </c:pt>
                <c:pt idx="575">
                  <c:v>3.6927284203418269E-4</c:v>
                </c:pt>
                <c:pt idx="576">
                  <c:v>3.0367330101541633E-4</c:v>
                </c:pt>
                <c:pt idx="577">
                  <c:v>4.5285147285752212E-4</c:v>
                </c:pt>
                <c:pt idx="578">
                  <c:v>1.6074101056087276E-4</c:v>
                </c:pt>
                <c:pt idx="579">
                  <c:v>2.3100493110218311E-4</c:v>
                </c:pt>
                <c:pt idx="580">
                  <c:v>4.1261995721016083E-4</c:v>
                </c:pt>
                <c:pt idx="581">
                  <c:v>2.328442720193209E-4</c:v>
                </c:pt>
                <c:pt idx="582">
                  <c:v>2.9585555038444373E-4</c:v>
                </c:pt>
                <c:pt idx="583">
                  <c:v>3.474199299561387E-4</c:v>
                </c:pt>
                <c:pt idx="584">
                  <c:v>5.672607436756124E-4</c:v>
                </c:pt>
                <c:pt idx="585">
                  <c:v>3.7073969065235597E-4</c:v>
                </c:pt>
                <c:pt idx="586">
                  <c:v>2.8911804999661795E-4</c:v>
                </c:pt>
                <c:pt idx="587">
                  <c:v>7.1800781956851223E-4</c:v>
                </c:pt>
                <c:pt idx="588">
                  <c:v>1.8127417220152652E-4</c:v>
                </c:pt>
                <c:pt idx="589">
                  <c:v>3.5822091878284302E-6</c:v>
                </c:pt>
                <c:pt idx="590">
                  <c:v>-5.9580418009404084E-5</c:v>
                </c:pt>
                <c:pt idx="591">
                  <c:v>-7.5832733158145239E-5</c:v>
                </c:pt>
                <c:pt idx="592">
                  <c:v>-8.0796348667404834E-5</c:v>
                </c:pt>
                <c:pt idx="593">
                  <c:v>1.4274217087780351E-4</c:v>
                </c:pt>
                <c:pt idx="594">
                  <c:v>-1.4826589064964314E-4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3B-4D32-93AA-33C128283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3802992"/>
        <c:axId val="533800496"/>
      </c:lineChart>
      <c:dateAx>
        <c:axId val="5338029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800496"/>
        <c:crosses val="autoZero"/>
        <c:auto val="1"/>
        <c:lblOffset val="100"/>
        <c:baseTimeUnit val="days"/>
      </c:dateAx>
      <c:valAx>
        <c:axId val="533800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802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746FB96E-A718-4717-B30E-5244E9E8AC02}">
  <sheetPr codeName="Chart1"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2338" cy="607373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0BE618F-7500-4630-8B6C-F645DB71A1BD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60.122999999999998</v>
      </c>
      <c r="D2" s="4">
        <f>MIN(D3:D1912)</f>
        <v>4.8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7</v>
      </c>
      <c r="N4" t="s">
        <v>7</v>
      </c>
    </row>
    <row r="5" spans="1:20" x14ac:dyDescent="0.25">
      <c r="A5" s="5">
        <v>44588</v>
      </c>
      <c r="B5">
        <v>12.49</v>
      </c>
      <c r="C5">
        <v>12.65</v>
      </c>
      <c r="D5">
        <v>12.2</v>
      </c>
      <c r="E5">
        <v>12.23</v>
      </c>
      <c r="F5">
        <v>2648.18</v>
      </c>
      <c r="G5">
        <v>12.23</v>
      </c>
      <c r="L5" t="s">
        <v>7</v>
      </c>
      <c r="M5" t="s">
        <v>7</v>
      </c>
      <c r="N5" t="s">
        <v>7</v>
      </c>
      <c r="P5">
        <f t="shared" ref="P5" si="0">IF(C5=D5,0,((E5-D5)-(C5-E5))/(C5-D5))</f>
        <v>-0.86666666666666192</v>
      </c>
      <c r="Q5">
        <f t="shared" ref="Q5" si="1">F5*P5</f>
        <v>-2295.0893333333206</v>
      </c>
      <c r="R5">
        <f t="shared" ref="R5" si="2">R6+Q5</f>
        <v>1080024.3975222877</v>
      </c>
      <c r="S5">
        <f t="shared" ref="S5" si="3">R5/100000</f>
        <v>10.800243975222877</v>
      </c>
      <c r="T5">
        <f t="shared" ref="T5" si="4">S5/1000</f>
        <v>1.0800243975222877E-2</v>
      </c>
    </row>
    <row r="6" spans="1:20" x14ac:dyDescent="0.25">
      <c r="A6" s="5">
        <v>44587</v>
      </c>
      <c r="B6">
        <v>12.08</v>
      </c>
      <c r="C6">
        <v>14.65</v>
      </c>
      <c r="D6">
        <v>11.98</v>
      </c>
      <c r="E6">
        <v>12.51</v>
      </c>
      <c r="F6">
        <v>80462.84</v>
      </c>
      <c r="G6">
        <v>12.51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-0.60299625468164841</v>
      </c>
      <c r="Q6">
        <f t="shared" ref="Q6" si="6">F6*P6</f>
        <v>-48518.791161048728</v>
      </c>
      <c r="R6">
        <f t="shared" ref="R6" si="7">R7+Q6</f>
        <v>1082319.486855621</v>
      </c>
      <c r="S6">
        <f t="shared" ref="S6" si="8">R6/100000</f>
        <v>10.823194868556209</v>
      </c>
      <c r="T6">
        <f t="shared" ref="T6" si="9">S6/1000</f>
        <v>1.0823194868556209E-2</v>
      </c>
    </row>
    <row r="7" spans="1:20" x14ac:dyDescent="0.25">
      <c r="A7" s="5">
        <v>44586</v>
      </c>
      <c r="B7">
        <v>12.14</v>
      </c>
      <c r="C7">
        <v>12.32</v>
      </c>
      <c r="D7">
        <v>11.61</v>
      </c>
      <c r="E7">
        <v>12.14</v>
      </c>
      <c r="F7">
        <v>25151.439999999999</v>
      </c>
      <c r="G7">
        <v>12.14</v>
      </c>
      <c r="L7" t="s">
        <v>7</v>
      </c>
      <c r="M7" t="s">
        <v>7</v>
      </c>
      <c r="N7" t="s">
        <v>7</v>
      </c>
      <c r="P7">
        <f t="shared" ref="P7" si="10">IF(C7=D7,0,((E7-D7)-(C7-E7))/(C7-D7))</f>
        <v>0.49295774647887464</v>
      </c>
      <c r="Q7">
        <f t="shared" ref="Q7" si="11">F7*P7</f>
        <v>12398.597183098625</v>
      </c>
      <c r="R7">
        <f t="shared" ref="R7" si="12">R8+Q7</f>
        <v>1130838.2780166697</v>
      </c>
      <c r="S7">
        <f t="shared" ref="S7" si="13">R7/100000</f>
        <v>11.308382780166697</v>
      </c>
      <c r="T7">
        <f t="shared" ref="T7" si="14">S7/1000</f>
        <v>1.1308382780166697E-2</v>
      </c>
    </row>
    <row r="8" spans="1:20" x14ac:dyDescent="0.25">
      <c r="A8" s="5">
        <v>44585</v>
      </c>
      <c r="B8">
        <v>12.98</v>
      </c>
      <c r="C8">
        <v>13.24</v>
      </c>
      <c r="D8">
        <v>11.19</v>
      </c>
      <c r="E8">
        <v>12.27</v>
      </c>
      <c r="F8">
        <v>30654.9</v>
      </c>
      <c r="G8">
        <v>12.27</v>
      </c>
      <c r="L8" t="s">
        <v>8</v>
      </c>
      <c r="M8" t="s">
        <v>7</v>
      </c>
      <c r="N8" t="s">
        <v>7</v>
      </c>
      <c r="P8">
        <f t="shared" ref="P8" si="15">IF(C8=D8,0,((E8-D8)-(C8-E8))/(C8-D8))</f>
        <v>5.3658536585365554E-2</v>
      </c>
      <c r="Q8">
        <f t="shared" ref="Q8" si="16">F8*P8</f>
        <v>1644.8970731707227</v>
      </c>
      <c r="R8">
        <f t="shared" ref="R8" si="17">R9+Q8</f>
        <v>1118439.6808335711</v>
      </c>
      <c r="S8">
        <f t="shared" ref="S8" si="18">R8/100000</f>
        <v>11.184396808335711</v>
      </c>
      <c r="T8">
        <f t="shared" ref="T8" si="19">S8/1000</f>
        <v>1.118439680833571E-2</v>
      </c>
    </row>
    <row r="9" spans="1:20" x14ac:dyDescent="0.25">
      <c r="A9" s="5">
        <v>44584</v>
      </c>
      <c r="B9">
        <v>12.38</v>
      </c>
      <c r="C9">
        <v>13.04</v>
      </c>
      <c r="D9">
        <v>12.14</v>
      </c>
      <c r="E9">
        <v>12.98</v>
      </c>
      <c r="F9">
        <v>24890.959999999999</v>
      </c>
      <c r="G9">
        <v>12.98</v>
      </c>
      <c r="L9" t="s">
        <v>8</v>
      </c>
      <c r="M9" t="s">
        <v>7</v>
      </c>
      <c r="N9" t="s">
        <v>7</v>
      </c>
      <c r="P9">
        <f t="shared" ref="P9" si="20">IF(C9=D9,0,((E9-D9)-(C9-E9))/(C9-D9))</f>
        <v>0.86666666666666925</v>
      </c>
      <c r="Q9">
        <f t="shared" ref="Q9" si="21">F9*P9</f>
        <v>21572.165333333396</v>
      </c>
      <c r="R9">
        <f t="shared" ref="R9" si="22">R10+Q9</f>
        <v>1116794.7837604005</v>
      </c>
      <c r="S9">
        <f t="shared" ref="S9" si="23">R9/100000</f>
        <v>11.167947837604006</v>
      </c>
      <c r="T9">
        <f t="shared" ref="T9" si="24">S9/1000</f>
        <v>1.1167947837604006E-2</v>
      </c>
    </row>
    <row r="10" spans="1:20" x14ac:dyDescent="0.25">
      <c r="A10" s="5">
        <v>44583</v>
      </c>
      <c r="B10">
        <v>13.59</v>
      </c>
      <c r="C10">
        <v>14.32</v>
      </c>
      <c r="D10">
        <v>11.29</v>
      </c>
      <c r="E10">
        <v>12.44</v>
      </c>
      <c r="F10">
        <v>56286.771000000001</v>
      </c>
      <c r="G10">
        <v>12.44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-0.24092409240924098</v>
      </c>
      <c r="Q10">
        <f t="shared" ref="Q10" si="26">F10*P10</f>
        <v>-13560.839217821785</v>
      </c>
      <c r="R10">
        <f t="shared" ref="R10" si="27">R11+Q10</f>
        <v>1095222.6184270671</v>
      </c>
      <c r="S10">
        <f t="shared" ref="S10" si="28">R10/100000</f>
        <v>10.952226184270671</v>
      </c>
      <c r="T10">
        <f t="shared" ref="T10" si="29">S10/1000</f>
        <v>1.0952226184270671E-2</v>
      </c>
    </row>
    <row r="11" spans="1:20" x14ac:dyDescent="0.25">
      <c r="A11" s="5">
        <v>44582</v>
      </c>
      <c r="B11">
        <v>15.24</v>
      </c>
      <c r="C11">
        <v>16.21</v>
      </c>
      <c r="D11">
        <v>13.16</v>
      </c>
      <c r="E11">
        <v>13.61</v>
      </c>
      <c r="F11">
        <v>51693.21</v>
      </c>
      <c r="G11">
        <v>13.61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-0.70491803278688581</v>
      </c>
      <c r="Q11">
        <f t="shared" ref="Q11" si="31">F11*P11</f>
        <v>-36439.475901639373</v>
      </c>
      <c r="R11">
        <f t="shared" ref="R11" si="32">R12+Q11</f>
        <v>1108783.4576448889</v>
      </c>
      <c r="S11">
        <f t="shared" ref="S11" si="33">R11/100000</f>
        <v>11.087834576448889</v>
      </c>
      <c r="T11">
        <f t="shared" ref="T11" si="34">S11/1000</f>
        <v>1.108783457644889E-2</v>
      </c>
    </row>
    <row r="12" spans="1:20" x14ac:dyDescent="0.25">
      <c r="A12" s="5">
        <v>44581</v>
      </c>
      <c r="B12">
        <v>15.69</v>
      </c>
      <c r="C12">
        <v>16.21</v>
      </c>
      <c r="D12">
        <v>15.16</v>
      </c>
      <c r="E12">
        <v>15.22</v>
      </c>
      <c r="F12">
        <v>16767.86</v>
      </c>
      <c r="G12">
        <v>15.22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-0.8857142857142849</v>
      </c>
      <c r="Q12">
        <f t="shared" ref="Q12" si="36">F12*P12</f>
        <v>-14851.53314285713</v>
      </c>
      <c r="R12">
        <f t="shared" ref="R12" si="37">R13+Q12</f>
        <v>1145222.9335465282</v>
      </c>
      <c r="S12">
        <f t="shared" ref="S12" si="38">R12/100000</f>
        <v>11.452229335465281</v>
      </c>
      <c r="T12">
        <f t="shared" ref="T12" si="39">S12/1000</f>
        <v>1.1452229335465282E-2</v>
      </c>
    </row>
    <row r="13" spans="1:20" x14ac:dyDescent="0.25">
      <c r="A13" s="5">
        <v>44580</v>
      </c>
      <c r="B13">
        <v>16.23</v>
      </c>
      <c r="C13">
        <v>16.72</v>
      </c>
      <c r="D13">
        <v>15.5</v>
      </c>
      <c r="E13">
        <v>15.69</v>
      </c>
      <c r="F13">
        <v>28496.04</v>
      </c>
      <c r="G13">
        <v>15.69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-0.68852459016393497</v>
      </c>
      <c r="Q13">
        <f t="shared" ref="Q13" si="41">F13*P13</f>
        <v>-19620.224262295098</v>
      </c>
      <c r="R13">
        <f t="shared" ref="R13" si="42">R14+Q13</f>
        <v>1160074.4666893852</v>
      </c>
      <c r="S13">
        <f t="shared" ref="S13" si="43">R13/100000</f>
        <v>11.600744666893853</v>
      </c>
      <c r="T13">
        <f t="shared" ref="T13" si="44">S13/1000</f>
        <v>1.1600744666893852E-2</v>
      </c>
    </row>
    <row r="14" spans="1:20" x14ac:dyDescent="0.25">
      <c r="A14" s="5">
        <v>44579</v>
      </c>
      <c r="B14">
        <v>16.5</v>
      </c>
      <c r="C14">
        <v>16.52</v>
      </c>
      <c r="D14">
        <v>15.7</v>
      </c>
      <c r="E14">
        <v>16.2</v>
      </c>
      <c r="F14">
        <v>19418.95</v>
      </c>
      <c r="G14">
        <v>16.2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0.2195121951219508</v>
      </c>
      <c r="Q14">
        <f t="shared" ref="Q14" si="46">F14*P14</f>
        <v>4262.6963414634065</v>
      </c>
      <c r="R14">
        <f t="shared" ref="R14" si="47">R15+Q14</f>
        <v>1179694.6909516803</v>
      </c>
      <c r="S14">
        <f t="shared" ref="S14" si="48">R14/100000</f>
        <v>11.796946909516803</v>
      </c>
      <c r="T14">
        <f t="shared" ref="T14" si="49">S14/1000</f>
        <v>1.1796946909516803E-2</v>
      </c>
    </row>
    <row r="15" spans="1:20" x14ac:dyDescent="0.25">
      <c r="A15" s="5">
        <v>44578</v>
      </c>
      <c r="B15">
        <v>16.89</v>
      </c>
      <c r="C15">
        <v>17.64</v>
      </c>
      <c r="D15">
        <v>16.3</v>
      </c>
      <c r="E15">
        <v>16.53</v>
      </c>
      <c r="F15">
        <v>37508.26</v>
      </c>
      <c r="G15">
        <v>16.53</v>
      </c>
      <c r="L15" t="s">
        <v>7</v>
      </c>
      <c r="M15" t="s">
        <v>7</v>
      </c>
      <c r="N15" t="s">
        <v>7</v>
      </c>
      <c r="P15">
        <f t="shared" ref="P15" si="50">IF(C15=D15,0,((E15-D15)-(C15-E15))/(C15-D15))</f>
        <v>-0.6567164179104471</v>
      </c>
      <c r="Q15">
        <f t="shared" ref="Q15" si="51">F15*P15</f>
        <v>-24632.290149253709</v>
      </c>
      <c r="R15">
        <f t="shared" ref="R15" si="52">R16+Q15</f>
        <v>1175431.9946102169</v>
      </c>
      <c r="S15">
        <f t="shared" ref="S15" si="53">R15/100000</f>
        <v>11.75431994610217</v>
      </c>
      <c r="T15">
        <f t="shared" ref="T15" si="54">S15/1000</f>
        <v>1.175431994610217E-2</v>
      </c>
    </row>
    <row r="16" spans="1:20" x14ac:dyDescent="0.25">
      <c r="A16" s="5">
        <v>44577</v>
      </c>
      <c r="B16">
        <v>16.899999999999999</v>
      </c>
      <c r="C16">
        <v>17.100000000000001</v>
      </c>
      <c r="D16">
        <v>16.62</v>
      </c>
      <c r="E16">
        <v>16.89</v>
      </c>
      <c r="F16">
        <v>15429.18</v>
      </c>
      <c r="G16">
        <v>16.89</v>
      </c>
      <c r="L16" t="s">
        <v>7</v>
      </c>
      <c r="M16" t="s">
        <v>7</v>
      </c>
      <c r="N16" t="s">
        <v>7</v>
      </c>
      <c r="P16">
        <f t="shared" ref="P16" si="55">IF(C16=D16,0,((E16-D16)-(C16-E16))/(C16-D16))</f>
        <v>0.12499999999999722</v>
      </c>
      <c r="Q16">
        <f t="shared" ref="Q16" si="56">F16*P16</f>
        <v>1928.6474999999573</v>
      </c>
      <c r="R16">
        <f t="shared" ref="R16" si="57">R17+Q16</f>
        <v>1200064.2847594707</v>
      </c>
      <c r="S16">
        <f t="shared" ref="S16" si="58">R16/100000</f>
        <v>12.000642847594706</v>
      </c>
      <c r="T16">
        <f t="shared" ref="T16" si="59">S16/1000</f>
        <v>1.2000642847594707E-2</v>
      </c>
    </row>
    <row r="17" spans="1:20" x14ac:dyDescent="0.25">
      <c r="A17" s="5">
        <v>44576</v>
      </c>
      <c r="B17">
        <v>16.78</v>
      </c>
      <c r="C17">
        <v>17.920000000000002</v>
      </c>
      <c r="D17">
        <v>16.72</v>
      </c>
      <c r="E17">
        <v>16.87</v>
      </c>
      <c r="F17">
        <v>51090.09</v>
      </c>
      <c r="G17">
        <v>16.87</v>
      </c>
      <c r="L17" t="s">
        <v>8</v>
      </c>
      <c r="M17" t="s">
        <v>7</v>
      </c>
      <c r="N17" t="s">
        <v>7</v>
      </c>
      <c r="P17">
        <f t="shared" ref="P17" si="60">IF(C17=D17,0,((E17-D17)-(C17-E17))/(C17-D17))</f>
        <v>-0.749999999999997</v>
      </c>
      <c r="Q17">
        <f t="shared" ref="Q17" si="61">F17*P17</f>
        <v>-38317.567499999845</v>
      </c>
      <c r="R17">
        <f t="shared" ref="R17" si="62">R18+Q17</f>
        <v>1198135.6372594708</v>
      </c>
      <c r="S17">
        <f t="shared" ref="S17" si="63">R17/100000</f>
        <v>11.981356372594707</v>
      </c>
      <c r="T17">
        <f t="shared" ref="T17" si="64">S17/1000</f>
        <v>1.1981356372594707E-2</v>
      </c>
    </row>
    <row r="18" spans="1:20" x14ac:dyDescent="0.25">
      <c r="A18" s="5">
        <v>44575</v>
      </c>
      <c r="B18">
        <v>16.510000000000002</v>
      </c>
      <c r="C18">
        <v>16.97</v>
      </c>
      <c r="D18">
        <v>16.21</v>
      </c>
      <c r="E18">
        <v>16.77</v>
      </c>
      <c r="F18">
        <v>27390.21</v>
      </c>
      <c r="G18">
        <v>16.77</v>
      </c>
      <c r="L18" t="s">
        <v>7</v>
      </c>
      <c r="M18" t="s">
        <v>7</v>
      </c>
      <c r="N18" t="s">
        <v>7</v>
      </c>
      <c r="P18">
        <f t="shared" ref="P18" si="65">IF(C18=D18,0,((E18-D18)-(C18-E18))/(C18-D18))</f>
        <v>0.47368421052631626</v>
      </c>
      <c r="Q18">
        <f t="shared" ref="Q18" si="66">F18*P18</f>
        <v>12974.310000000012</v>
      </c>
      <c r="R18">
        <f t="shared" ref="R18" si="67">R19+Q18</f>
        <v>1236453.2047594707</v>
      </c>
      <c r="S18">
        <f t="shared" ref="S18" si="68">R18/100000</f>
        <v>12.364532047594707</v>
      </c>
      <c r="T18">
        <f t="shared" ref="T18" si="69">S18/1000</f>
        <v>1.2364532047594707E-2</v>
      </c>
    </row>
    <row r="19" spans="1:20" x14ac:dyDescent="0.25">
      <c r="A19" s="5">
        <v>44574</v>
      </c>
      <c r="B19">
        <v>17</v>
      </c>
      <c r="C19">
        <v>17.22</v>
      </c>
      <c r="D19">
        <v>16.32</v>
      </c>
      <c r="E19">
        <v>16.52</v>
      </c>
      <c r="F19">
        <v>32903.449999999997</v>
      </c>
      <c r="G19">
        <v>16.52</v>
      </c>
      <c r="L19" t="s">
        <v>7</v>
      </c>
      <c r="M19" t="s">
        <v>7</v>
      </c>
      <c r="N19" t="s">
        <v>7</v>
      </c>
      <c r="P19">
        <f t="shared" ref="P19" si="70">IF(C19=D19,0,((E19-D19)-(C19-E19))/(C19-D19))</f>
        <v>-0.55555555555555647</v>
      </c>
      <c r="Q19">
        <f t="shared" ref="Q19" si="71">F19*P19</f>
        <v>-18279.694444444474</v>
      </c>
      <c r="R19">
        <f t="shared" ref="R19" si="72">R20+Q19</f>
        <v>1223478.8947594706</v>
      </c>
      <c r="S19">
        <f t="shared" ref="S19" si="73">R19/100000</f>
        <v>12.234788947594707</v>
      </c>
      <c r="T19">
        <f t="shared" ref="T19" si="74">S19/1000</f>
        <v>1.2234788947594707E-2</v>
      </c>
    </row>
    <row r="20" spans="1:20" x14ac:dyDescent="0.25">
      <c r="A20" s="5">
        <v>44573</v>
      </c>
      <c r="B20">
        <v>16.3</v>
      </c>
      <c r="C20">
        <v>17.88</v>
      </c>
      <c r="D20">
        <v>16.16</v>
      </c>
      <c r="E20">
        <v>17.04</v>
      </c>
      <c r="F20">
        <v>112288.8</v>
      </c>
      <c r="G20">
        <v>17.04</v>
      </c>
      <c r="L20" t="s">
        <v>7</v>
      </c>
      <c r="M20" t="s">
        <v>7</v>
      </c>
      <c r="N20" t="s">
        <v>7</v>
      </c>
      <c r="P20">
        <f t="shared" ref="P20" si="75">IF(C20=D20,0,((E20-D20)-(C20-E20))/(C20-D20))</f>
        <v>2.3255813953487893E-2</v>
      </c>
      <c r="Q20">
        <f t="shared" ref="Q20" si="76">F20*P20</f>
        <v>2611.3674418604114</v>
      </c>
      <c r="R20">
        <f t="shared" ref="R20" si="77">R21+Q20</f>
        <v>1241758.5892039151</v>
      </c>
      <c r="S20">
        <f t="shared" ref="S20" si="78">R20/100000</f>
        <v>12.417585892039151</v>
      </c>
      <c r="T20">
        <f t="shared" ref="T20" si="79">S20/1000</f>
        <v>1.2417585892039151E-2</v>
      </c>
    </row>
    <row r="21" spans="1:20" x14ac:dyDescent="0.25">
      <c r="A21" s="5">
        <v>44572</v>
      </c>
      <c r="B21">
        <v>15.53</v>
      </c>
      <c r="C21">
        <v>19.89</v>
      </c>
      <c r="D21">
        <v>15.44</v>
      </c>
      <c r="E21">
        <v>16.32</v>
      </c>
      <c r="F21">
        <v>416728.58</v>
      </c>
      <c r="G21">
        <v>16.32</v>
      </c>
      <c r="L21" t="s">
        <v>8</v>
      </c>
      <c r="M21" t="s">
        <v>8</v>
      </c>
      <c r="N21" t="s">
        <v>7</v>
      </c>
      <c r="P21">
        <f t="shared" ref="P21" si="80">IF(C21=D21,0,((E21-D21)-(C21-E21))/(C21-D21))</f>
        <v>-0.60449438202247163</v>
      </c>
      <c r="Q21">
        <f t="shared" ref="Q21" si="81">F21*P21</f>
        <v>-251910.08543820214</v>
      </c>
      <c r="R21">
        <f t="shared" ref="R21" si="82">R22+Q21</f>
        <v>1239147.2217620546</v>
      </c>
      <c r="S21">
        <f t="shared" ref="S21" si="83">R21/100000</f>
        <v>12.391472217620546</v>
      </c>
      <c r="T21">
        <f t="shared" ref="T21" si="84">S21/1000</f>
        <v>1.2391472217620545E-2</v>
      </c>
    </row>
    <row r="22" spans="1:20" x14ac:dyDescent="0.25">
      <c r="A22" s="5">
        <v>44571</v>
      </c>
      <c r="B22">
        <v>16.260000000000002</v>
      </c>
      <c r="C22">
        <v>16.5</v>
      </c>
      <c r="D22">
        <v>14.68</v>
      </c>
      <c r="E22">
        <v>15.55</v>
      </c>
      <c r="F22">
        <v>36553.071000000004</v>
      </c>
      <c r="G22">
        <v>15.55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-4.3956043956043009E-2</v>
      </c>
      <c r="Q22">
        <f t="shared" ref="Q22" si="86">F22*P22</f>
        <v>-1606.7283956043611</v>
      </c>
      <c r="R22">
        <f t="shared" ref="R22" si="87">R23+Q22</f>
        <v>1491057.3072002567</v>
      </c>
      <c r="S22">
        <f t="shared" ref="S22" si="88">R22/100000</f>
        <v>14.910573072002567</v>
      </c>
      <c r="T22">
        <f t="shared" ref="T22" si="89">S22/1000</f>
        <v>1.4910573072002567E-2</v>
      </c>
    </row>
    <row r="23" spans="1:20" x14ac:dyDescent="0.25">
      <c r="A23" s="5">
        <v>44570</v>
      </c>
      <c r="B23">
        <v>16.11</v>
      </c>
      <c r="C23">
        <v>16.55</v>
      </c>
      <c r="D23">
        <v>16.010000000000002</v>
      </c>
      <c r="E23">
        <v>16.28</v>
      </c>
      <c r="F23">
        <v>13561.32</v>
      </c>
      <c r="G23">
        <v>16.28</v>
      </c>
      <c r="L23" t="s">
        <v>7</v>
      </c>
      <c r="M23" t="s">
        <v>7</v>
      </c>
      <c r="N23" t="s">
        <v>7</v>
      </c>
      <c r="P23">
        <f t="shared" ref="P23" si="90">IF(C23=D23,0,((E23-D23)-(C23-E23))/(C23-D23))</f>
        <v>0</v>
      </c>
      <c r="Q23">
        <f t="shared" ref="Q23" si="91">F23*P23</f>
        <v>0</v>
      </c>
      <c r="R23">
        <f t="shared" ref="R23" si="92">R24+Q23</f>
        <v>1492664.035595861</v>
      </c>
      <c r="S23">
        <f t="shared" ref="S23" si="93">R23/100000</f>
        <v>14.926640355958611</v>
      </c>
      <c r="T23">
        <f t="shared" ref="T23" si="94">S23/1000</f>
        <v>1.4926640355958611E-2</v>
      </c>
    </row>
    <row r="24" spans="1:20" x14ac:dyDescent="0.25">
      <c r="A24" s="5">
        <v>44569</v>
      </c>
      <c r="B24">
        <v>16.8</v>
      </c>
      <c r="C24">
        <v>16.86</v>
      </c>
      <c r="D24">
        <v>15.74</v>
      </c>
      <c r="E24">
        <v>16.12</v>
      </c>
      <c r="F24">
        <v>21472.19</v>
      </c>
      <c r="G24">
        <v>16.12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-0.32142857142856956</v>
      </c>
      <c r="Q24">
        <f t="shared" ref="Q24" si="96">F24*P24</f>
        <v>-6901.7753571428166</v>
      </c>
      <c r="R24">
        <f t="shared" ref="R24" si="97">R25+Q24</f>
        <v>1492664.035595861</v>
      </c>
      <c r="S24">
        <f t="shared" ref="S24" si="98">R24/100000</f>
        <v>14.926640355958611</v>
      </c>
      <c r="T24">
        <f t="shared" ref="T24" si="99">S24/1000</f>
        <v>1.4926640355958611E-2</v>
      </c>
    </row>
    <row r="25" spans="1:20" x14ac:dyDescent="0.25">
      <c r="A25" s="5">
        <v>44568</v>
      </c>
      <c r="B25">
        <v>16.45</v>
      </c>
      <c r="C25">
        <v>18.11</v>
      </c>
      <c r="D25">
        <v>15.91</v>
      </c>
      <c r="E25">
        <v>16.8</v>
      </c>
      <c r="F25">
        <v>78232.08</v>
      </c>
      <c r="G25">
        <v>16.8</v>
      </c>
      <c r="L25" t="s">
        <v>7</v>
      </c>
      <c r="M25" t="s">
        <v>7</v>
      </c>
      <c r="N25" t="s">
        <v>8</v>
      </c>
      <c r="P25">
        <f t="shared" ref="P25" si="100">IF(C25=D25,0,((E25-D25)-(C25-E25))/(C25-D25))</f>
        <v>-0.19090909090909014</v>
      </c>
      <c r="Q25">
        <f t="shared" ref="Q25" si="101">F25*P25</f>
        <v>-14935.215272727213</v>
      </c>
      <c r="R25">
        <f t="shared" ref="R25" si="102">R26+Q25</f>
        <v>1499565.8109530038</v>
      </c>
      <c r="S25">
        <f t="shared" ref="S25" si="103">R25/100000</f>
        <v>14.995658109530039</v>
      </c>
      <c r="T25">
        <f t="shared" ref="T25" si="104">S25/1000</f>
        <v>1.499565810953004E-2</v>
      </c>
    </row>
    <row r="26" spans="1:20" x14ac:dyDescent="0.25">
      <c r="A26" s="5">
        <v>44567</v>
      </c>
      <c r="B26">
        <v>16.78</v>
      </c>
      <c r="C26">
        <v>17.38</v>
      </c>
      <c r="D26">
        <v>16.02</v>
      </c>
      <c r="E26">
        <v>16.45</v>
      </c>
      <c r="F26">
        <v>37158.519999999997</v>
      </c>
      <c r="G26">
        <v>16.45</v>
      </c>
      <c r="L26" t="s">
        <v>7</v>
      </c>
      <c r="M26" t="s">
        <v>7</v>
      </c>
      <c r="N26" t="s">
        <v>8</v>
      </c>
      <c r="P26">
        <f t="shared" ref="P26" si="105">IF(C26=D26,0,((E26-D26)-(C26-E26))/(C26-D26))</f>
        <v>-0.36764705882352955</v>
      </c>
      <c r="Q26">
        <f t="shared" ref="Q26" si="106">F26*P26</f>
        <v>-13661.220588235297</v>
      </c>
      <c r="R26">
        <f t="shared" ref="R26" si="107">R27+Q26</f>
        <v>1514501.026225731</v>
      </c>
      <c r="S26">
        <f t="shared" ref="S26" si="108">R26/100000</f>
        <v>15.14501026225731</v>
      </c>
      <c r="T26">
        <f t="shared" ref="T26" si="109">S26/1000</f>
        <v>1.514501026225731E-2</v>
      </c>
    </row>
    <row r="27" spans="1:20" x14ac:dyDescent="0.25">
      <c r="A27" s="5">
        <v>44566</v>
      </c>
      <c r="B27">
        <v>17.96</v>
      </c>
      <c r="C27">
        <v>18.3</v>
      </c>
      <c r="D27">
        <v>16.399999999999999</v>
      </c>
      <c r="E27">
        <v>16.82</v>
      </c>
      <c r="F27">
        <v>29737.19</v>
      </c>
      <c r="G27">
        <v>16.82</v>
      </c>
      <c r="L27" t="s">
        <v>7</v>
      </c>
      <c r="M27" t="s">
        <v>7</v>
      </c>
      <c r="N27" t="s">
        <v>8</v>
      </c>
      <c r="P27">
        <f t="shared" ref="P27" si="110">IF(C27=D27,0,((E27-D27)-(C27-E27))/(C27-D27))</f>
        <v>-0.557894736842104</v>
      </c>
      <c r="Q27">
        <f t="shared" ref="Q27" si="111">F27*P27</f>
        <v>-16590.221789473646</v>
      </c>
      <c r="R27">
        <f t="shared" ref="R27" si="112">R28+Q27</f>
        <v>1528162.2468139662</v>
      </c>
      <c r="S27">
        <f t="shared" ref="S27" si="113">R27/100000</f>
        <v>15.281622468139663</v>
      </c>
      <c r="T27">
        <f t="shared" ref="T27" si="114">S27/1000</f>
        <v>1.5281622468139662E-2</v>
      </c>
    </row>
    <row r="28" spans="1:20" x14ac:dyDescent="0.25">
      <c r="A28" s="5">
        <v>44565</v>
      </c>
      <c r="B28">
        <v>18.600000000000001</v>
      </c>
      <c r="C28">
        <v>19.02</v>
      </c>
      <c r="D28">
        <v>17.829999999999998</v>
      </c>
      <c r="E28">
        <v>17.96</v>
      </c>
      <c r="F28">
        <v>30867.200000000001</v>
      </c>
      <c r="G28">
        <v>17.96</v>
      </c>
      <c r="L28" t="s">
        <v>7</v>
      </c>
      <c r="M28" t="s">
        <v>8</v>
      </c>
      <c r="N28" t="s">
        <v>8</v>
      </c>
      <c r="P28">
        <f t="shared" ref="P28" si="115">IF(C28=D28,0,((E28-D28)-(C28-E28))/(C28-D28))</f>
        <v>-0.7815126050420127</v>
      </c>
      <c r="Q28">
        <f t="shared" ref="Q28" si="116">F28*P28</f>
        <v>-24123.105882352815</v>
      </c>
      <c r="R28">
        <f t="shared" ref="R28" si="117">R29+Q28</f>
        <v>1544752.4686034399</v>
      </c>
      <c r="S28">
        <f t="shared" ref="S28" si="118">R28/100000</f>
        <v>15.447524686034399</v>
      </c>
      <c r="T28">
        <f t="shared" ref="T28" si="119">S28/1000</f>
        <v>1.5447524686034398E-2</v>
      </c>
    </row>
    <row r="29" spans="1:20" x14ac:dyDescent="0.25">
      <c r="A29" s="5">
        <v>44564</v>
      </c>
      <c r="B29">
        <v>19.13</v>
      </c>
      <c r="C29">
        <v>19.46</v>
      </c>
      <c r="D29">
        <v>18.260000000000002</v>
      </c>
      <c r="E29">
        <v>18.55</v>
      </c>
      <c r="F29">
        <v>17094.18</v>
      </c>
      <c r="G29">
        <v>18.55</v>
      </c>
      <c r="L29" t="s">
        <v>7</v>
      </c>
      <c r="M29" t="s">
        <v>8</v>
      </c>
      <c r="N29" t="s">
        <v>8</v>
      </c>
      <c r="P29">
        <f t="shared" ref="P29" si="120">IF(C29=D29,0,((E29-D29)-(C29-E29))/(C29-D29))</f>
        <v>-0.51666666666666783</v>
      </c>
      <c r="Q29">
        <f t="shared" ref="Q29" si="121">F29*P29</f>
        <v>-8831.9930000000204</v>
      </c>
      <c r="R29">
        <f t="shared" ref="R29" si="122">R30+Q29</f>
        <v>1568875.5744857928</v>
      </c>
      <c r="S29">
        <f t="shared" ref="S29" si="123">R29/100000</f>
        <v>15.688755744857927</v>
      </c>
      <c r="T29">
        <f t="shared" ref="T29" si="124">S29/1000</f>
        <v>1.5688755744857927E-2</v>
      </c>
    </row>
    <row r="30" spans="1:20" x14ac:dyDescent="0.25">
      <c r="A30" s="5">
        <v>44563</v>
      </c>
      <c r="B30">
        <v>19.11</v>
      </c>
      <c r="C30">
        <v>19.489999999999998</v>
      </c>
      <c r="D30">
        <v>18.38</v>
      </c>
      <c r="E30">
        <v>19.13</v>
      </c>
      <c r="F30">
        <v>29565.59</v>
      </c>
      <c r="G30">
        <v>19.13</v>
      </c>
      <c r="L30" t="s">
        <v>7</v>
      </c>
      <c r="M30" t="s">
        <v>8</v>
      </c>
      <c r="N30" t="s">
        <v>8</v>
      </c>
      <c r="P30">
        <f t="shared" ref="P30" si="125">IF(C30=D30,0,((E30-D30)-(C30-E30))/(C30-D30))</f>
        <v>0.35135135135135204</v>
      </c>
      <c r="Q30">
        <f t="shared" ref="Q30" si="126">F30*P30</f>
        <v>10387.91000000002</v>
      </c>
      <c r="R30">
        <f t="shared" ref="R30" si="127">R31+Q30</f>
        <v>1577707.5674857928</v>
      </c>
      <c r="S30">
        <f t="shared" ref="S30" si="128">R30/100000</f>
        <v>15.777075674857928</v>
      </c>
      <c r="T30">
        <f t="shared" ref="T30" si="129">S30/1000</f>
        <v>1.5777075674857928E-2</v>
      </c>
    </row>
    <row r="31" spans="1:20" x14ac:dyDescent="0.25">
      <c r="A31" s="5">
        <v>44562</v>
      </c>
      <c r="B31">
        <v>18.14</v>
      </c>
      <c r="C31">
        <v>19.64</v>
      </c>
      <c r="D31">
        <v>18.14</v>
      </c>
      <c r="E31">
        <v>19.05</v>
      </c>
      <c r="F31">
        <v>42461.38</v>
      </c>
      <c r="G31">
        <v>19.05</v>
      </c>
      <c r="L31" t="s">
        <v>7</v>
      </c>
      <c r="M31" t="s">
        <v>8</v>
      </c>
      <c r="N31" t="s">
        <v>8</v>
      </c>
      <c r="P31">
        <f t="shared" ref="P31" si="130">IF(C31=D31,0,((E31-D31)-(C31-E31))/(C31-D31))</f>
        <v>0.21333333333333351</v>
      </c>
      <c r="Q31">
        <f t="shared" ref="Q31" si="131">F31*P31</f>
        <v>9058.4277333333412</v>
      </c>
      <c r="R31">
        <f t="shared" ref="R31" si="132">R32+Q31</f>
        <v>1567319.6574857929</v>
      </c>
      <c r="S31">
        <f t="shared" ref="S31" si="133">R31/100000</f>
        <v>15.673196574857929</v>
      </c>
      <c r="T31">
        <f t="shared" ref="T31" si="134">S31/1000</f>
        <v>1.5673196574857929E-2</v>
      </c>
    </row>
    <row r="32" spans="1:20" x14ac:dyDescent="0.25">
      <c r="A32" s="5">
        <v>44561</v>
      </c>
      <c r="B32">
        <v>17.48</v>
      </c>
      <c r="C32">
        <v>20.329999999999998</v>
      </c>
      <c r="D32">
        <v>17.48</v>
      </c>
      <c r="E32">
        <v>18.11</v>
      </c>
      <c r="F32">
        <v>167604.49</v>
      </c>
      <c r="G32">
        <v>18.11</v>
      </c>
      <c r="L32" t="s">
        <v>8</v>
      </c>
      <c r="M32" t="s">
        <v>8</v>
      </c>
      <c r="N32" t="s">
        <v>8</v>
      </c>
      <c r="P32">
        <f t="shared" ref="P32" si="135">IF(C32=D32,0,((E32-D32)-(C32-E32))/(C32-D32))</f>
        <v>-0.55789473684210567</v>
      </c>
      <c r="Q32">
        <f t="shared" ref="Q32" si="136">F32*P32</f>
        <v>-93505.662842105332</v>
      </c>
      <c r="R32">
        <f t="shared" ref="R32" si="137">R33+Q32</f>
        <v>1558261.2297524596</v>
      </c>
      <c r="S32">
        <f t="shared" ref="S32" si="138">R32/100000</f>
        <v>15.582612297524596</v>
      </c>
      <c r="T32">
        <f t="shared" ref="T32" si="139">S32/1000</f>
        <v>1.5582612297524596E-2</v>
      </c>
    </row>
    <row r="33" spans="1:20" x14ac:dyDescent="0.25">
      <c r="A33" s="5">
        <v>44560</v>
      </c>
      <c r="B33">
        <v>17.079999999999998</v>
      </c>
      <c r="C33">
        <v>17.61</v>
      </c>
      <c r="D33">
        <v>16.79</v>
      </c>
      <c r="E33">
        <v>17.420000000000002</v>
      </c>
      <c r="F33">
        <v>17498.810000000001</v>
      </c>
      <c r="G33">
        <v>17.420000000000002</v>
      </c>
      <c r="L33" t="s">
        <v>7</v>
      </c>
      <c r="M33" t="s">
        <v>7</v>
      </c>
      <c r="N33" t="s">
        <v>8</v>
      </c>
      <c r="P33">
        <f t="shared" ref="P33" si="140">IF(C33=D33,0,((E33-D33)-(C33-E33))/(C33-D33))</f>
        <v>0.53658536585366423</v>
      </c>
      <c r="Q33">
        <f t="shared" ref="Q33" si="141">F33*P33</f>
        <v>9389.6053658537585</v>
      </c>
      <c r="R33">
        <f t="shared" ref="R33" si="142">R34+Q33</f>
        <v>1651766.8925945649</v>
      </c>
      <c r="S33">
        <f t="shared" ref="S33" si="143">R33/100000</f>
        <v>16.51766892594565</v>
      </c>
      <c r="T33">
        <f t="shared" ref="T33" si="144">S33/1000</f>
        <v>1.6517668925945649E-2</v>
      </c>
    </row>
    <row r="34" spans="1:20" x14ac:dyDescent="0.25">
      <c r="A34" s="5">
        <v>44559</v>
      </c>
      <c r="B34">
        <v>17.73</v>
      </c>
      <c r="C34">
        <v>19.3</v>
      </c>
      <c r="D34">
        <v>17</v>
      </c>
      <c r="E34">
        <v>17.100000000000001</v>
      </c>
      <c r="F34">
        <v>53214.080000000002</v>
      </c>
      <c r="G34">
        <v>17.100000000000001</v>
      </c>
      <c r="L34" t="s">
        <v>7</v>
      </c>
      <c r="M34" t="s">
        <v>7</v>
      </c>
      <c r="N34" t="s">
        <v>8</v>
      </c>
      <c r="P34">
        <f t="shared" ref="P34" si="145">IF(C34=D34,0,((E34-D34)-(C34-E34))/(C34-D34))</f>
        <v>-0.9130434782608684</v>
      </c>
      <c r="Q34">
        <f t="shared" ref="Q34" si="146">F34*P34</f>
        <v>-48586.768695652114</v>
      </c>
      <c r="R34">
        <f t="shared" ref="R34" si="147">R35+Q34</f>
        <v>1642377.2872287112</v>
      </c>
      <c r="S34">
        <f t="shared" ref="S34" si="148">R34/100000</f>
        <v>16.423772872287113</v>
      </c>
      <c r="T34">
        <f t="shared" ref="T34" si="149">S34/1000</f>
        <v>1.6423772872287114E-2</v>
      </c>
    </row>
    <row r="35" spans="1:20" x14ac:dyDescent="0.25">
      <c r="A35" s="5">
        <v>44558</v>
      </c>
      <c r="B35">
        <v>19.11</v>
      </c>
      <c r="C35">
        <v>19.29</v>
      </c>
      <c r="D35">
        <v>17.690000000000001</v>
      </c>
      <c r="E35">
        <v>17.75</v>
      </c>
      <c r="F35">
        <v>32409.74</v>
      </c>
      <c r="G35">
        <v>17.75</v>
      </c>
      <c r="L35" t="s">
        <v>7</v>
      </c>
      <c r="M35" t="s">
        <v>7</v>
      </c>
      <c r="N35" t="s">
        <v>8</v>
      </c>
      <c r="P35">
        <f t="shared" ref="P35" si="150">IF(C35=D35,0,((E35-D35)-(C35-E35))/(C35-D35))</f>
        <v>-0.92500000000000149</v>
      </c>
      <c r="Q35">
        <f t="shared" ref="Q35" si="151">F35*P35</f>
        <v>-29979.009500000051</v>
      </c>
      <c r="R35">
        <f t="shared" ref="R35" si="152">R36+Q35</f>
        <v>1690964.0559243632</v>
      </c>
      <c r="S35">
        <f t="shared" ref="S35" si="153">R35/100000</f>
        <v>16.909640559243631</v>
      </c>
      <c r="T35">
        <f t="shared" ref="T35" si="154">S35/1000</f>
        <v>1.6909640559243631E-2</v>
      </c>
    </row>
    <row r="36" spans="1:20" x14ac:dyDescent="0.25">
      <c r="A36" s="5">
        <v>44557</v>
      </c>
      <c r="B36">
        <v>19.309999999999999</v>
      </c>
      <c r="C36">
        <v>20.11</v>
      </c>
      <c r="D36">
        <v>18.88</v>
      </c>
      <c r="E36">
        <v>19.079999999999998</v>
      </c>
      <c r="F36">
        <v>37327.43</v>
      </c>
      <c r="G36">
        <v>19.079999999999998</v>
      </c>
      <c r="L36" t="s">
        <v>8</v>
      </c>
      <c r="M36" t="s">
        <v>8</v>
      </c>
      <c r="N36" t="s">
        <v>8</v>
      </c>
      <c r="P36">
        <f t="shared" ref="P36" si="155">IF(C36=D36,0,((E36-D36)-(C36-E36))/(C36-D36))</f>
        <v>-0.6747967479674809</v>
      </c>
      <c r="Q36">
        <f t="shared" ref="Q36" si="156">F36*P36</f>
        <v>-25188.428373983785</v>
      </c>
      <c r="R36">
        <f t="shared" ref="R36" si="157">R37+Q36</f>
        <v>1720943.0654243634</v>
      </c>
      <c r="S36">
        <f t="shared" ref="S36" si="158">R36/100000</f>
        <v>17.209430654243633</v>
      </c>
      <c r="T36">
        <f t="shared" ref="T36" si="159">S36/1000</f>
        <v>1.7209430654243633E-2</v>
      </c>
    </row>
    <row r="37" spans="1:20" x14ac:dyDescent="0.25">
      <c r="A37" s="5">
        <v>44556</v>
      </c>
      <c r="B37">
        <v>19.73</v>
      </c>
      <c r="C37">
        <v>19.84</v>
      </c>
      <c r="D37">
        <v>18.71</v>
      </c>
      <c r="E37">
        <v>19.3</v>
      </c>
      <c r="F37">
        <v>52455.03</v>
      </c>
      <c r="G37">
        <v>19.3</v>
      </c>
      <c r="L37" t="s">
        <v>7</v>
      </c>
      <c r="M37" t="s">
        <v>8</v>
      </c>
      <c r="N37" t="s">
        <v>8</v>
      </c>
      <c r="P37">
        <f t="shared" ref="P37" si="160">IF(C37=D37,0,((E37-D37)-(C37-E37))/(C37-D37))</f>
        <v>4.4247787610620135E-2</v>
      </c>
      <c r="Q37">
        <f t="shared" ref="Q37" si="161">F37*P37</f>
        <v>2321.0190265487076</v>
      </c>
      <c r="R37">
        <f t="shared" ref="R37" si="162">R38+Q37</f>
        <v>1746131.4937983472</v>
      </c>
      <c r="S37">
        <f t="shared" ref="S37" si="163">R37/100000</f>
        <v>17.46131493798347</v>
      </c>
      <c r="T37">
        <f t="shared" ref="T37" si="164">S37/1000</f>
        <v>1.7461314937983471E-2</v>
      </c>
    </row>
    <row r="38" spans="1:20" x14ac:dyDescent="0.25">
      <c r="A38" s="5">
        <v>44555</v>
      </c>
      <c r="B38">
        <v>17.920000000000002</v>
      </c>
      <c r="C38">
        <v>22</v>
      </c>
      <c r="D38">
        <v>17.850000000000001</v>
      </c>
      <c r="E38">
        <v>19.739999999999998</v>
      </c>
      <c r="F38">
        <v>195250.55</v>
      </c>
      <c r="G38">
        <v>19.739999999999998</v>
      </c>
      <c r="L38" t="s">
        <v>8</v>
      </c>
      <c r="M38" t="s">
        <v>8</v>
      </c>
      <c r="N38" t="s">
        <v>8</v>
      </c>
      <c r="P38">
        <f t="shared" ref="P38" si="165">IF(C38=D38,0,((E38-D38)-(C38-E38))/(C38-D38))</f>
        <v>-8.9156626506025224E-2</v>
      </c>
      <c r="Q38">
        <f t="shared" ref="Q38" si="166">F38*P38</f>
        <v>-17407.880361446001</v>
      </c>
      <c r="R38">
        <f t="shared" ref="R38" si="167">R39+Q38</f>
        <v>1743810.4747717986</v>
      </c>
      <c r="S38">
        <f t="shared" ref="S38" si="168">R38/100000</f>
        <v>17.438104747717986</v>
      </c>
      <c r="T38">
        <f t="shared" ref="T38" si="169">S38/1000</f>
        <v>1.7438104747717988E-2</v>
      </c>
    </row>
    <row r="39" spans="1:20" x14ac:dyDescent="0.25">
      <c r="A39" s="5">
        <v>44554</v>
      </c>
      <c r="B39">
        <v>18.309999999999999</v>
      </c>
      <c r="C39">
        <v>18.489999999999998</v>
      </c>
      <c r="D39">
        <v>17.850000000000001</v>
      </c>
      <c r="E39">
        <v>17.97</v>
      </c>
      <c r="F39">
        <v>24340.29</v>
      </c>
      <c r="G39">
        <v>17.97</v>
      </c>
      <c r="L39" t="s">
        <v>8</v>
      </c>
      <c r="M39" t="s">
        <v>8</v>
      </c>
      <c r="N39" t="s">
        <v>7</v>
      </c>
      <c r="P39">
        <f t="shared" ref="P39" si="170">IF(C39=D39,0,((E39-D39)-(C39-E39))/(C39-D39))</f>
        <v>-0.62500000000000622</v>
      </c>
      <c r="Q39">
        <f t="shared" ref="Q39" si="171">F39*P39</f>
        <v>-15212.681250000152</v>
      </c>
      <c r="R39">
        <f t="shared" ref="R39" si="172">R40+Q39</f>
        <v>1761218.3551332445</v>
      </c>
      <c r="S39">
        <f t="shared" ref="S39" si="173">R39/100000</f>
        <v>17.612183551332446</v>
      </c>
      <c r="T39">
        <f t="shared" ref="T39" si="174">S39/1000</f>
        <v>1.7612183551332445E-2</v>
      </c>
    </row>
    <row r="40" spans="1:20" x14ac:dyDescent="0.25">
      <c r="A40" s="5">
        <v>44553</v>
      </c>
      <c r="B40">
        <v>17.329999999999998</v>
      </c>
      <c r="C40">
        <v>18.55</v>
      </c>
      <c r="D40">
        <v>17.3</v>
      </c>
      <c r="E40">
        <v>18.28</v>
      </c>
      <c r="F40">
        <v>41077.01</v>
      </c>
      <c r="G40">
        <v>18.28</v>
      </c>
      <c r="L40" t="s">
        <v>8</v>
      </c>
      <c r="M40" t="s">
        <v>8</v>
      </c>
      <c r="N40" t="s">
        <v>7</v>
      </c>
      <c r="P40">
        <f t="shared" ref="P40" si="175">IF(C40=D40,0,((E40-D40)-(C40-E40))/(C40-D40))</f>
        <v>0.56800000000000073</v>
      </c>
      <c r="Q40">
        <f t="shared" ref="Q40" si="176">F40*P40</f>
        <v>23331.741680000032</v>
      </c>
      <c r="R40">
        <f t="shared" ref="R40" si="177">R41+Q40</f>
        <v>1776431.0363832447</v>
      </c>
      <c r="S40">
        <f t="shared" ref="S40" si="178">R40/100000</f>
        <v>17.764310363832447</v>
      </c>
      <c r="T40">
        <f t="shared" ref="T40" si="179">S40/1000</f>
        <v>1.7764310363832445E-2</v>
      </c>
    </row>
    <row r="41" spans="1:20" x14ac:dyDescent="0.25">
      <c r="A41" s="5">
        <v>44552</v>
      </c>
      <c r="B41">
        <v>16.91</v>
      </c>
      <c r="C41">
        <v>18.149999999999999</v>
      </c>
      <c r="D41">
        <v>16.84</v>
      </c>
      <c r="E41">
        <v>17.32</v>
      </c>
      <c r="F41">
        <v>53561.73</v>
      </c>
      <c r="G41">
        <v>17.32</v>
      </c>
      <c r="L41" t="s">
        <v>8</v>
      </c>
      <c r="M41" t="s">
        <v>8</v>
      </c>
      <c r="N41" t="s">
        <v>7</v>
      </c>
      <c r="P41">
        <f t="shared" ref="P41" si="180">IF(C41=D41,0,((E41-D41)-(C41-E41))/(C41-D41))</f>
        <v>-0.26717557251908258</v>
      </c>
      <c r="Q41">
        <f t="shared" ref="Q41" si="181">F41*P41</f>
        <v>-14310.385877862522</v>
      </c>
      <c r="R41">
        <f t="shared" ref="R41" si="182">R42+Q41</f>
        <v>1753099.2947032447</v>
      </c>
      <c r="S41">
        <f t="shared" ref="S41" si="183">R41/100000</f>
        <v>17.530992947032448</v>
      </c>
      <c r="T41">
        <f t="shared" ref="T41" si="184">S41/1000</f>
        <v>1.7530992947032448E-2</v>
      </c>
    </row>
    <row r="42" spans="1:20" x14ac:dyDescent="0.25">
      <c r="A42" s="5">
        <v>44551</v>
      </c>
      <c r="B42">
        <v>16.16</v>
      </c>
      <c r="C42">
        <v>17.2</v>
      </c>
      <c r="D42">
        <v>15.93</v>
      </c>
      <c r="E42">
        <v>16.91</v>
      </c>
      <c r="F42">
        <v>27805.69</v>
      </c>
      <c r="G42">
        <v>16.91</v>
      </c>
      <c r="L42" t="s">
        <v>8</v>
      </c>
      <c r="M42" t="s">
        <v>7</v>
      </c>
      <c r="N42" t="s">
        <v>7</v>
      </c>
      <c r="P42">
        <f t="shared" ref="P42" si="185">IF(C42=D42,0,((E42-D42)-(C42-E42))/(C42-D42))</f>
        <v>0.54330708661417437</v>
      </c>
      <c r="Q42">
        <f t="shared" ref="Q42" si="186">F42*P42</f>
        <v>15107.028425196882</v>
      </c>
      <c r="R42">
        <f t="shared" ref="R42" si="187">R43+Q42</f>
        <v>1767409.6805811073</v>
      </c>
      <c r="S42">
        <f t="shared" ref="S42" si="188">R42/100000</f>
        <v>17.674096805811072</v>
      </c>
      <c r="T42">
        <f t="shared" ref="T42" si="189">S42/1000</f>
        <v>1.7674096805811071E-2</v>
      </c>
    </row>
    <row r="43" spans="1:20" x14ac:dyDescent="0.25">
      <c r="A43" s="5">
        <v>44550</v>
      </c>
      <c r="B43">
        <v>16.420000000000002</v>
      </c>
      <c r="C43">
        <v>16.739999999999998</v>
      </c>
      <c r="D43">
        <v>15.67</v>
      </c>
      <c r="E43">
        <v>16.170000000000002</v>
      </c>
      <c r="F43">
        <v>16633.64</v>
      </c>
      <c r="G43">
        <v>16.170000000000002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-6.5420560747658923E-2</v>
      </c>
      <c r="Q43">
        <f t="shared" ref="Q43" si="191">F43*P43</f>
        <v>-1088.1820560746894</v>
      </c>
      <c r="R43">
        <f t="shared" ref="R43" si="192">R44+Q43</f>
        <v>1752302.6521559104</v>
      </c>
      <c r="S43">
        <f t="shared" ref="S43" si="193">R43/100000</f>
        <v>17.523026521559103</v>
      </c>
      <c r="T43">
        <f t="shared" ref="T43" si="194">S43/1000</f>
        <v>1.7523026521559102E-2</v>
      </c>
    </row>
    <row r="44" spans="1:20" x14ac:dyDescent="0.25">
      <c r="A44" s="5">
        <v>44549</v>
      </c>
      <c r="B44">
        <v>16.920000000000002</v>
      </c>
      <c r="C44">
        <v>17.09</v>
      </c>
      <c r="D44">
        <v>16.32</v>
      </c>
      <c r="E44">
        <v>16.41</v>
      </c>
      <c r="F44">
        <v>13660.96</v>
      </c>
      <c r="G44">
        <v>16.41</v>
      </c>
      <c r="L44" t="s">
        <v>8</v>
      </c>
      <c r="M44" t="s">
        <v>7</v>
      </c>
      <c r="N44" t="s">
        <v>7</v>
      </c>
      <c r="P44">
        <f t="shared" ref="P44" si="195">IF(C44=D44,0,((E44-D44)-(C44-E44))/(C44-D44))</f>
        <v>-0.76623376623376649</v>
      </c>
      <c r="Q44">
        <f t="shared" ref="Q44" si="196">F44*P44</f>
        <v>-10467.488831168834</v>
      </c>
      <c r="R44">
        <f t="shared" ref="R44" si="197">R45+Q44</f>
        <v>1753390.8342119851</v>
      </c>
      <c r="S44">
        <f t="shared" ref="S44" si="198">R44/100000</f>
        <v>17.533908342119851</v>
      </c>
      <c r="T44">
        <f t="shared" ref="T44" si="199">S44/1000</f>
        <v>1.7533908342119851E-2</v>
      </c>
    </row>
    <row r="45" spans="1:20" x14ac:dyDescent="0.25">
      <c r="A45" s="5">
        <v>44548</v>
      </c>
      <c r="B45">
        <v>16.649999999999999</v>
      </c>
      <c r="C45">
        <v>17.010000000000002</v>
      </c>
      <c r="D45">
        <v>16.27</v>
      </c>
      <c r="E45">
        <v>16.89</v>
      </c>
      <c r="F45">
        <v>15552.63</v>
      </c>
      <c r="G45">
        <v>16.89</v>
      </c>
      <c r="L45" t="s">
        <v>8</v>
      </c>
      <c r="M45" t="s">
        <v>7</v>
      </c>
      <c r="N45" t="s">
        <v>7</v>
      </c>
      <c r="P45">
        <f t="shared" ref="P45" si="200">IF(C45=D45,0,((E45-D45)-(C45-E45))/(C45-D45))</f>
        <v>0.67567567567567388</v>
      </c>
      <c r="Q45">
        <f t="shared" ref="Q45" si="201">F45*P45</f>
        <v>10508.533783783756</v>
      </c>
      <c r="R45">
        <f t="shared" ref="R45" si="202">R46+Q45</f>
        <v>1763858.3230431539</v>
      </c>
      <c r="S45">
        <f t="shared" ref="S45" si="203">R45/100000</f>
        <v>17.638583230431539</v>
      </c>
      <c r="T45">
        <f t="shared" ref="T45" si="204">S45/1000</f>
        <v>1.7638583230431538E-2</v>
      </c>
    </row>
    <row r="46" spans="1:20" x14ac:dyDescent="0.25">
      <c r="A46" s="5">
        <v>44547</v>
      </c>
      <c r="B46">
        <v>16.440000000000001</v>
      </c>
      <c r="C46">
        <v>17.14</v>
      </c>
      <c r="D46">
        <v>16.02</v>
      </c>
      <c r="E46">
        <v>16.66</v>
      </c>
      <c r="F46">
        <v>40881.1</v>
      </c>
      <c r="G46">
        <v>16.66</v>
      </c>
      <c r="L46" t="s">
        <v>8</v>
      </c>
      <c r="M46" t="s">
        <v>7</v>
      </c>
      <c r="N46" t="s">
        <v>7</v>
      </c>
      <c r="P46">
        <f t="shared" ref="P46" si="205">IF(C46=D46,0,((E46-D46)-(C46-E46))/(C46-D46))</f>
        <v>0.14285714285714285</v>
      </c>
      <c r="Q46">
        <f t="shared" ref="Q46" si="206">F46*P46</f>
        <v>5840.1571428571424</v>
      </c>
      <c r="R46">
        <f t="shared" ref="R46" si="207">R47+Q46</f>
        <v>1753349.7892593702</v>
      </c>
      <c r="S46">
        <f t="shared" ref="S46" si="208">R46/100000</f>
        <v>17.533497892593701</v>
      </c>
      <c r="T46">
        <f t="shared" ref="T46" si="209">S46/1000</f>
        <v>1.7533497892593702E-2</v>
      </c>
    </row>
    <row r="47" spans="1:20" x14ac:dyDescent="0.25">
      <c r="A47" s="5">
        <v>44546</v>
      </c>
      <c r="B47">
        <v>16.649999999999999</v>
      </c>
      <c r="C47">
        <v>17.11</v>
      </c>
      <c r="D47">
        <v>16.3</v>
      </c>
      <c r="E47">
        <v>16.440000000000001</v>
      </c>
      <c r="F47">
        <v>20610.84</v>
      </c>
      <c r="G47">
        <v>16.440000000000001</v>
      </c>
      <c r="L47" t="s">
        <v>8</v>
      </c>
      <c r="M47" t="s">
        <v>7</v>
      </c>
      <c r="N47" t="s">
        <v>7</v>
      </c>
      <c r="P47">
        <f t="shared" ref="P47" si="210">IF(C47=D47,0,((E47-D47)-(C47-E47))/(C47-D47))</f>
        <v>-0.65432098765431901</v>
      </c>
      <c r="Q47">
        <f t="shared" ref="Q47" si="211">F47*P47</f>
        <v>-13486.105185185144</v>
      </c>
      <c r="R47">
        <f t="shared" ref="R47" si="212">R48+Q47</f>
        <v>1747509.6321165131</v>
      </c>
      <c r="S47">
        <f t="shared" ref="S47" si="213">R47/100000</f>
        <v>17.475096321165132</v>
      </c>
      <c r="T47">
        <f t="shared" ref="T47" si="214">S47/1000</f>
        <v>1.7475096321165132E-2</v>
      </c>
    </row>
    <row r="48" spans="1:20" x14ac:dyDescent="0.25">
      <c r="A48" s="5">
        <v>44545</v>
      </c>
      <c r="B48">
        <v>16.45</v>
      </c>
      <c r="C48">
        <v>16.73</v>
      </c>
      <c r="D48">
        <v>15.26</v>
      </c>
      <c r="E48">
        <v>16.68</v>
      </c>
      <c r="F48">
        <v>36899.589999999997</v>
      </c>
      <c r="G48">
        <v>16.68</v>
      </c>
      <c r="L48" t="s">
        <v>7</v>
      </c>
      <c r="M48" t="s">
        <v>7</v>
      </c>
      <c r="N48" t="s">
        <v>7</v>
      </c>
      <c r="P48">
        <f t="shared" ref="P48" si="215">IF(C48=D48,0,((E48-D48)-(C48-E48))/(C48-D48))</f>
        <v>0.93197278911564529</v>
      </c>
      <c r="Q48">
        <f t="shared" ref="Q48" si="216">F48*P48</f>
        <v>34389.413809523772</v>
      </c>
      <c r="R48">
        <f t="shared" ref="R48" si="217">R49+Q48</f>
        <v>1760995.7373016982</v>
      </c>
      <c r="S48">
        <f t="shared" ref="S48" si="218">R48/100000</f>
        <v>17.609957373016982</v>
      </c>
      <c r="T48">
        <f t="shared" ref="T48" si="219">S48/1000</f>
        <v>1.7609957373016981E-2</v>
      </c>
    </row>
    <row r="49" spans="1:20" x14ac:dyDescent="0.25">
      <c r="A49" s="5">
        <v>44544</v>
      </c>
      <c r="B49">
        <v>15.96</v>
      </c>
      <c r="C49">
        <v>16.96</v>
      </c>
      <c r="D49">
        <v>15.65</v>
      </c>
      <c r="E49">
        <v>16.399999999999999</v>
      </c>
      <c r="F49">
        <v>29475.45</v>
      </c>
      <c r="G49">
        <v>16.399999999999999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0.14503816793892815</v>
      </c>
      <c r="Q49">
        <f t="shared" ref="Q49" si="221">F49*P49</f>
        <v>4275.0652671754797</v>
      </c>
      <c r="R49">
        <f t="shared" ref="R49" si="222">R50+Q49</f>
        <v>1726606.3234921745</v>
      </c>
      <c r="S49">
        <f t="shared" ref="S49" si="223">R49/100000</f>
        <v>17.266063234921745</v>
      </c>
      <c r="T49">
        <f t="shared" ref="T49" si="224">S49/1000</f>
        <v>1.7266063234921743E-2</v>
      </c>
    </row>
    <row r="50" spans="1:20" x14ac:dyDescent="0.25">
      <c r="A50" s="5">
        <v>44543</v>
      </c>
      <c r="B50">
        <v>17.48</v>
      </c>
      <c r="C50">
        <v>17.57</v>
      </c>
      <c r="D50">
        <v>15.7</v>
      </c>
      <c r="E50">
        <v>15.91</v>
      </c>
      <c r="F50">
        <v>37891.599999999999</v>
      </c>
      <c r="G50">
        <v>15.91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-0.77540106951871579</v>
      </c>
      <c r="Q50">
        <f t="shared" ref="Q50" si="226">F50*P50</f>
        <v>-29381.187165775369</v>
      </c>
      <c r="R50">
        <f t="shared" ref="R50" si="227">R51+Q50</f>
        <v>1722331.2582249991</v>
      </c>
      <c r="S50">
        <f t="shared" ref="S50" si="228">R50/100000</f>
        <v>17.223312582249992</v>
      </c>
      <c r="T50">
        <f t="shared" ref="T50" si="229">S50/1000</f>
        <v>1.7223312582249992E-2</v>
      </c>
    </row>
    <row r="51" spans="1:20" x14ac:dyDescent="0.25">
      <c r="A51" s="5">
        <v>44542</v>
      </c>
      <c r="B51">
        <v>17.53</v>
      </c>
      <c r="C51">
        <v>18.12</v>
      </c>
      <c r="D51">
        <v>17.16</v>
      </c>
      <c r="E51">
        <v>17.440000000000001</v>
      </c>
      <c r="F51">
        <v>36246.06</v>
      </c>
      <c r="G51">
        <v>17.440000000000001</v>
      </c>
      <c r="L51" t="s">
        <v>8</v>
      </c>
      <c r="M51" t="s">
        <v>7</v>
      </c>
      <c r="N51" t="s">
        <v>7</v>
      </c>
      <c r="P51">
        <f t="shared" ref="P51" si="230">IF(C51=D51,0,((E51-D51)-(C51-E51))/(C51-D51))</f>
        <v>-0.4166666666666648</v>
      </c>
      <c r="Q51">
        <f t="shared" ref="Q51" si="231">F51*P51</f>
        <v>-15102.524999999931</v>
      </c>
      <c r="R51">
        <f t="shared" ref="R51" si="232">R52+Q51</f>
        <v>1751712.4453907744</v>
      </c>
      <c r="S51">
        <f t="shared" ref="S51" si="233">R51/100000</f>
        <v>17.517124453907744</v>
      </c>
      <c r="T51">
        <f t="shared" ref="T51" si="234">S51/1000</f>
        <v>1.7517124453907743E-2</v>
      </c>
    </row>
    <row r="52" spans="1:20" x14ac:dyDescent="0.25">
      <c r="A52" s="5">
        <v>44541</v>
      </c>
      <c r="B52">
        <v>17.03</v>
      </c>
      <c r="C52">
        <v>17.350000000000001</v>
      </c>
      <c r="D52">
        <v>16.7</v>
      </c>
      <c r="E52">
        <v>16.989999999999998</v>
      </c>
      <c r="F52">
        <v>3206.84</v>
      </c>
      <c r="G52">
        <v>16.989999999999998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-0.10769230769231324</v>
      </c>
      <c r="Q52">
        <f t="shared" ref="Q52" si="236">F52*P52</f>
        <v>-345.35200000001777</v>
      </c>
      <c r="R52">
        <f t="shared" ref="R52" si="237">R53+Q52</f>
        <v>1766814.9703907743</v>
      </c>
      <c r="S52">
        <f t="shared" ref="S52" si="238">R52/100000</f>
        <v>17.668149703907744</v>
      </c>
      <c r="T52">
        <f t="shared" ref="T52" si="239">S52/1000</f>
        <v>1.7668149703907746E-2</v>
      </c>
    </row>
    <row r="53" spans="1:20" x14ac:dyDescent="0.25">
      <c r="A53" s="5">
        <v>44540</v>
      </c>
      <c r="B53">
        <v>18.32</v>
      </c>
      <c r="C53">
        <v>18.46</v>
      </c>
      <c r="D53">
        <v>16.86</v>
      </c>
      <c r="E53">
        <v>17.03</v>
      </c>
      <c r="F53">
        <v>68561.81</v>
      </c>
      <c r="G53">
        <v>17.03</v>
      </c>
      <c r="L53" t="s">
        <v>7</v>
      </c>
      <c r="M53" t="s">
        <v>7</v>
      </c>
      <c r="N53" t="s">
        <v>7</v>
      </c>
      <c r="P53">
        <f t="shared" ref="P53" si="240">IF(C53=D53,0,((E53-D53)-(C53-E53))/(C53-D53))</f>
        <v>-0.78749999999999809</v>
      </c>
      <c r="Q53">
        <f t="shared" ref="Q53" si="241">F53*P53</f>
        <v>-53992.425374999868</v>
      </c>
      <c r="R53">
        <f t="shared" ref="R53" si="242">R54+Q53</f>
        <v>1767160.3223907743</v>
      </c>
      <c r="S53">
        <f t="shared" ref="S53" si="243">R53/100000</f>
        <v>17.671603223907741</v>
      </c>
      <c r="T53">
        <f t="shared" ref="T53" si="244">S53/1000</f>
        <v>1.7671603223907741E-2</v>
      </c>
    </row>
    <row r="54" spans="1:20" x14ac:dyDescent="0.25">
      <c r="A54" s="5">
        <v>44539</v>
      </c>
      <c r="B54">
        <v>18.440000000000001</v>
      </c>
      <c r="C54">
        <v>21</v>
      </c>
      <c r="D54">
        <v>17.829999999999998</v>
      </c>
      <c r="E54">
        <v>18.34</v>
      </c>
      <c r="F54">
        <v>242939.48</v>
      </c>
      <c r="G54">
        <v>18.34</v>
      </c>
      <c r="L54" t="s">
        <v>8</v>
      </c>
      <c r="M54" t="s">
        <v>8</v>
      </c>
      <c r="N54" t="s">
        <v>7</v>
      </c>
      <c r="P54">
        <f t="shared" ref="P54" si="245">IF(C54=D54,0,((E54-D54)-(C54-E54))/(C54-D54))</f>
        <v>-0.67823343848580364</v>
      </c>
      <c r="Q54">
        <f t="shared" ref="Q54" si="246">F54*P54</f>
        <v>-164769.67886435313</v>
      </c>
      <c r="R54">
        <f t="shared" ref="R54" si="247">R55+Q54</f>
        <v>1821152.7477657741</v>
      </c>
      <c r="S54">
        <f t="shared" ref="S54" si="248">R54/100000</f>
        <v>18.211527477657743</v>
      </c>
      <c r="T54">
        <f t="shared" ref="T54" si="249">S54/1000</f>
        <v>1.8211527477657741E-2</v>
      </c>
    </row>
    <row r="55" spans="1:20" x14ac:dyDescent="0.25">
      <c r="A55" s="5">
        <v>44538</v>
      </c>
      <c r="B55">
        <v>18.07</v>
      </c>
      <c r="C55">
        <v>19.559999999999999</v>
      </c>
      <c r="D55">
        <v>17.100000000000001</v>
      </c>
      <c r="E55">
        <v>18.38</v>
      </c>
      <c r="F55">
        <v>86588.51</v>
      </c>
      <c r="G55">
        <v>18.38</v>
      </c>
      <c r="L55" t="s">
        <v>8</v>
      </c>
      <c r="M55" t="s">
        <v>8</v>
      </c>
      <c r="N55" t="s">
        <v>7</v>
      </c>
      <c r="P55">
        <f t="shared" ref="P55" si="250">IF(C55=D55,0,((E55-D55)-(C55-E55))/(C55-D55))</f>
        <v>4.0650406504064221E-2</v>
      </c>
      <c r="Q55">
        <f t="shared" ref="Q55" si="251">F55*P55</f>
        <v>3519.8581300812298</v>
      </c>
      <c r="R55">
        <f t="shared" ref="R55" si="252">R56+Q55</f>
        <v>1985922.4266301272</v>
      </c>
      <c r="S55">
        <f t="shared" ref="S55" si="253">R55/100000</f>
        <v>19.859224266301272</v>
      </c>
      <c r="T55">
        <f t="shared" ref="T55" si="254">S55/1000</f>
        <v>1.9859224266301271E-2</v>
      </c>
    </row>
    <row r="56" spans="1:20" x14ac:dyDescent="0.25">
      <c r="A56" s="5">
        <v>44537</v>
      </c>
      <c r="B56">
        <v>17.73</v>
      </c>
      <c r="C56">
        <v>18.8</v>
      </c>
      <c r="D56">
        <v>17.5</v>
      </c>
      <c r="E56">
        <v>17.97</v>
      </c>
      <c r="F56">
        <v>49615.46</v>
      </c>
      <c r="G56">
        <v>17.97</v>
      </c>
      <c r="L56" t="s">
        <v>8</v>
      </c>
      <c r="M56" t="s">
        <v>8</v>
      </c>
      <c r="N56" t="s">
        <v>7</v>
      </c>
      <c r="P56">
        <f t="shared" ref="P56" si="255">IF(C56=D56,0,((E56-D56)-(C56-E56))/(C56-D56))</f>
        <v>-0.27692307692307905</v>
      </c>
      <c r="Q56">
        <f t="shared" ref="Q56" si="256">F56*P56</f>
        <v>-13739.665846153952</v>
      </c>
      <c r="R56">
        <f t="shared" ref="R56" si="257">R57+Q56</f>
        <v>1982402.5685000459</v>
      </c>
      <c r="S56">
        <f t="shared" ref="S56" si="258">R56/100000</f>
        <v>19.824025685000461</v>
      </c>
      <c r="T56">
        <f t="shared" ref="T56" si="259">S56/1000</f>
        <v>1.9824025685000461E-2</v>
      </c>
    </row>
    <row r="57" spans="1:20" x14ac:dyDescent="0.25">
      <c r="A57" s="5">
        <v>44536</v>
      </c>
      <c r="B57">
        <v>16.920000000000002</v>
      </c>
      <c r="C57">
        <v>18.440000000000001</v>
      </c>
      <c r="D57">
        <v>15.42</v>
      </c>
      <c r="E57">
        <v>17.73</v>
      </c>
      <c r="F57">
        <v>103315.08</v>
      </c>
      <c r="G57">
        <v>17.73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0.52980132450331086</v>
      </c>
      <c r="Q57">
        <f t="shared" ref="Q57" si="261">F57*P57</f>
        <v>54736.466225165525</v>
      </c>
      <c r="R57">
        <f t="shared" ref="R57" si="262">R58+Q57</f>
        <v>1996142.2343461998</v>
      </c>
      <c r="S57">
        <f t="shared" ref="S57" si="263">R57/100000</f>
        <v>19.961422343461997</v>
      </c>
      <c r="T57">
        <f t="shared" ref="T57" si="264">S57/1000</f>
        <v>1.9961422343461998E-2</v>
      </c>
    </row>
    <row r="58" spans="1:20" x14ac:dyDescent="0.25">
      <c r="A58" s="5">
        <v>44535</v>
      </c>
      <c r="B58">
        <v>17.739999999999998</v>
      </c>
      <c r="C58">
        <v>20.64</v>
      </c>
      <c r="D58">
        <v>15.87</v>
      </c>
      <c r="E58">
        <v>16.97</v>
      </c>
      <c r="F58">
        <v>115851.86</v>
      </c>
      <c r="G58">
        <v>16.97</v>
      </c>
      <c r="L58" t="s">
        <v>8</v>
      </c>
      <c r="M58" t="s">
        <v>8</v>
      </c>
      <c r="N58" t="s">
        <v>7</v>
      </c>
      <c r="P58">
        <f t="shared" ref="P58" si="265">IF(C58=D58,0,((E58-D58)-(C58-E58))/(C58-D58))</f>
        <v>-0.53878406708595417</v>
      </c>
      <c r="Q58">
        <f t="shared" ref="Q58" si="266">F58*P58</f>
        <v>-62419.136310272574</v>
      </c>
      <c r="R58">
        <f t="shared" ref="R58" si="267">R59+Q58</f>
        <v>1941405.7681210344</v>
      </c>
      <c r="S58">
        <f t="shared" ref="S58" si="268">R58/100000</f>
        <v>19.414057681210345</v>
      </c>
      <c r="T58">
        <f t="shared" ref="T58" si="269">S58/1000</f>
        <v>1.9414057681210344E-2</v>
      </c>
    </row>
    <row r="59" spans="1:20" x14ac:dyDescent="0.25">
      <c r="A59" s="5">
        <v>44534</v>
      </c>
      <c r="B59">
        <v>20.91</v>
      </c>
      <c r="C59">
        <v>21.14</v>
      </c>
      <c r="D59">
        <v>15.4</v>
      </c>
      <c r="E59">
        <v>17.739999999999998</v>
      </c>
      <c r="F59">
        <v>93638.338000000003</v>
      </c>
      <c r="G59">
        <v>17.739999999999998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-0.18466898954703903</v>
      </c>
      <c r="Q59">
        <f t="shared" ref="Q59" si="271">F59*P59</f>
        <v>-17292.097261324107</v>
      </c>
      <c r="R59">
        <f t="shared" ref="R59" si="272">R60+Q59</f>
        <v>2003824.904431307</v>
      </c>
      <c r="S59">
        <f t="shared" ref="S59" si="273">R59/100000</f>
        <v>20.038249044313069</v>
      </c>
      <c r="T59">
        <f t="shared" ref="T59" si="274">S59/1000</f>
        <v>2.0038249044313068E-2</v>
      </c>
    </row>
    <row r="60" spans="1:20" x14ac:dyDescent="0.25">
      <c r="A60" s="5">
        <v>44533</v>
      </c>
      <c r="B60">
        <v>22.01</v>
      </c>
      <c r="C60">
        <v>23.22</v>
      </c>
      <c r="D60">
        <v>20.6</v>
      </c>
      <c r="E60">
        <v>20.9</v>
      </c>
      <c r="F60">
        <v>73566.8</v>
      </c>
      <c r="G60">
        <v>20.9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-0.77099236641221569</v>
      </c>
      <c r="Q60">
        <f t="shared" ref="Q60" si="276">F60*P60</f>
        <v>-56719.441221374189</v>
      </c>
      <c r="R60">
        <f t="shared" ref="R60" si="277">R61+Q60</f>
        <v>2021117.001692631</v>
      </c>
      <c r="S60">
        <f t="shared" ref="S60" si="278">R60/100000</f>
        <v>20.21117001692631</v>
      </c>
      <c r="T60">
        <f t="shared" ref="T60" si="279">S60/1000</f>
        <v>2.0211170016926312E-2</v>
      </c>
    </row>
    <row r="61" spans="1:20" x14ac:dyDescent="0.25">
      <c r="A61" s="5">
        <v>44532</v>
      </c>
      <c r="B61">
        <v>21.85</v>
      </c>
      <c r="C61">
        <v>22.36</v>
      </c>
      <c r="D61">
        <v>21.28</v>
      </c>
      <c r="E61">
        <v>22.02</v>
      </c>
      <c r="F61">
        <v>64763.91</v>
      </c>
      <c r="G61">
        <v>22.02</v>
      </c>
      <c r="L61" t="s">
        <v>7</v>
      </c>
      <c r="M61" t="s">
        <v>7</v>
      </c>
      <c r="N61" t="s">
        <v>7</v>
      </c>
      <c r="P61">
        <f t="shared" ref="P61" si="280">IF(C61=D61,0,((E61-D61)-(C61-E61))/(C61-D61))</f>
        <v>0.37037037037036963</v>
      </c>
      <c r="Q61">
        <f t="shared" ref="Q61" si="281">F61*P61</f>
        <v>23986.633333333288</v>
      </c>
      <c r="R61">
        <f t="shared" ref="R61" si="282">R62+Q61</f>
        <v>2077836.4429140051</v>
      </c>
      <c r="S61">
        <f t="shared" ref="S61" si="283">R61/100000</f>
        <v>20.778364429140051</v>
      </c>
      <c r="T61">
        <f t="shared" ref="T61" si="284">S61/1000</f>
        <v>2.077836442914005E-2</v>
      </c>
    </row>
    <row r="62" spans="1:20" x14ac:dyDescent="0.25">
      <c r="A62" s="5">
        <v>44531</v>
      </c>
      <c r="B62">
        <v>21.99</v>
      </c>
      <c r="C62">
        <v>23.01</v>
      </c>
      <c r="D62">
        <v>21.68</v>
      </c>
      <c r="E62">
        <v>21.88</v>
      </c>
      <c r="F62">
        <v>52256.24</v>
      </c>
      <c r="G62">
        <v>21.88</v>
      </c>
      <c r="L62" t="s">
        <v>8</v>
      </c>
      <c r="M62" t="s">
        <v>7</v>
      </c>
      <c r="N62" t="s">
        <v>7</v>
      </c>
      <c r="P62">
        <f t="shared" ref="P62" si="285">IF(C62=D62,0,((E62-D62)-(C62-E62))/(C62-D62))</f>
        <v>-0.69924812030075334</v>
      </c>
      <c r="Q62">
        <f t="shared" ref="Q62" si="286">F62*P62</f>
        <v>-36540.077593985035</v>
      </c>
      <c r="R62">
        <f t="shared" ref="R62" si="287">R63+Q62</f>
        <v>2053849.8095806718</v>
      </c>
      <c r="S62">
        <f t="shared" ref="S62" si="288">R62/100000</f>
        <v>20.53849809580672</v>
      </c>
      <c r="T62">
        <f t="shared" ref="T62" si="289">S62/1000</f>
        <v>2.0538498095806719E-2</v>
      </c>
    </row>
    <row r="63" spans="1:20" x14ac:dyDescent="0.25">
      <c r="A63" s="5">
        <v>44530</v>
      </c>
      <c r="B63">
        <v>22.26</v>
      </c>
      <c r="C63">
        <v>22.58</v>
      </c>
      <c r="D63">
        <v>21.42</v>
      </c>
      <c r="E63">
        <v>21.87</v>
      </c>
      <c r="F63">
        <v>22789.200000000001</v>
      </c>
      <c r="G63">
        <v>21.87</v>
      </c>
      <c r="L63" t="s">
        <v>8</v>
      </c>
      <c r="M63" t="s">
        <v>7</v>
      </c>
      <c r="N63" t="s">
        <v>7</v>
      </c>
      <c r="P63">
        <f t="shared" ref="P63" si="290">IF(C63=D63,0,((E63-D63)-(C63-E63))/(C63-D63))</f>
        <v>-0.22413793103448171</v>
      </c>
      <c r="Q63">
        <f t="shared" ref="Q63" si="291">F63*P63</f>
        <v>-5107.9241379310106</v>
      </c>
      <c r="R63">
        <f t="shared" ref="R63" si="292">R64+Q63</f>
        <v>2090389.8871746568</v>
      </c>
      <c r="S63">
        <f t="shared" ref="S63" si="293">R63/100000</f>
        <v>20.90389887174657</v>
      </c>
      <c r="T63">
        <f t="shared" ref="T63" si="294">S63/1000</f>
        <v>2.0903898871746571E-2</v>
      </c>
    </row>
    <row r="64" spans="1:20" x14ac:dyDescent="0.25">
      <c r="A64" s="5">
        <v>44529</v>
      </c>
      <c r="B64">
        <v>21.53</v>
      </c>
      <c r="C64">
        <v>22.3</v>
      </c>
      <c r="D64">
        <v>21.46</v>
      </c>
      <c r="E64">
        <v>22.26</v>
      </c>
      <c r="F64">
        <v>24716.25</v>
      </c>
      <c r="G64">
        <v>22.26</v>
      </c>
      <c r="L64" t="s">
        <v>8</v>
      </c>
      <c r="M64" t="s">
        <v>7</v>
      </c>
      <c r="N64" t="s">
        <v>7</v>
      </c>
      <c r="P64">
        <f t="shared" ref="P64" si="295">IF(C64=D64,0,((E64-D64)-(C64-E64))/(C64-D64))</f>
        <v>0.90476190476190677</v>
      </c>
      <c r="Q64">
        <f t="shared" ref="Q64" si="296">F64*P64</f>
        <v>22362.321428571478</v>
      </c>
      <c r="R64">
        <f t="shared" ref="R64" si="297">R65+Q64</f>
        <v>2095497.8113125879</v>
      </c>
      <c r="S64">
        <f t="shared" ref="S64" si="298">R64/100000</f>
        <v>20.954978113125879</v>
      </c>
      <c r="T64">
        <f t="shared" ref="T64" si="299">S64/1000</f>
        <v>2.0954978113125879E-2</v>
      </c>
    </row>
    <row r="65" spans="1:20" x14ac:dyDescent="0.25">
      <c r="A65" s="5">
        <v>44528</v>
      </c>
      <c r="B65">
        <v>21.53</v>
      </c>
      <c r="C65">
        <v>21.64</v>
      </c>
      <c r="D65">
        <v>20.46</v>
      </c>
      <c r="E65">
        <v>21.57</v>
      </c>
      <c r="F65">
        <v>21549.47</v>
      </c>
      <c r="G65">
        <v>21.57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0.88135593220338937</v>
      </c>
      <c r="Q65">
        <f t="shared" ref="Q65" si="301">F65*P65</f>
        <v>18992.753220338975</v>
      </c>
      <c r="R65">
        <f t="shared" ref="R65" si="302">R66+Q65</f>
        <v>2073135.4898840163</v>
      </c>
      <c r="S65">
        <f t="shared" ref="S65" si="303">R65/100000</f>
        <v>20.731354898840163</v>
      </c>
      <c r="T65">
        <f t="shared" ref="T65" si="304">S65/1000</f>
        <v>2.0731354898840162E-2</v>
      </c>
    </row>
    <row r="66" spans="1:20" x14ac:dyDescent="0.25">
      <c r="A66" s="5">
        <v>44527</v>
      </c>
      <c r="B66">
        <v>21.25</v>
      </c>
      <c r="C66">
        <v>22</v>
      </c>
      <c r="D66">
        <v>21.2</v>
      </c>
      <c r="E66">
        <v>21.53</v>
      </c>
      <c r="F66">
        <v>41311.78</v>
      </c>
      <c r="G66">
        <v>21.53</v>
      </c>
      <c r="L66" t="s">
        <v>7</v>
      </c>
      <c r="M66" t="s">
        <v>7</v>
      </c>
      <c r="N66" t="s">
        <v>7</v>
      </c>
      <c r="P66">
        <f t="shared" ref="P66" si="305">IF(C66=D66,0,((E66-D66)-(C66-E66))/(C66-D66))</f>
        <v>-0.1749999999999961</v>
      </c>
      <c r="Q66">
        <f t="shared" ref="Q66" si="306">F66*P66</f>
        <v>-7229.5614999998388</v>
      </c>
      <c r="R66">
        <f t="shared" ref="R66" si="307">R67+Q66</f>
        <v>2054142.7366636773</v>
      </c>
      <c r="S66">
        <f t="shared" ref="S66" si="308">R66/100000</f>
        <v>20.541427366636771</v>
      </c>
      <c r="T66">
        <f t="shared" ref="T66" si="309">S66/1000</f>
        <v>2.0541427366636771E-2</v>
      </c>
    </row>
    <row r="67" spans="1:20" x14ac:dyDescent="0.25">
      <c r="A67" s="5">
        <v>44526</v>
      </c>
      <c r="B67">
        <v>22.76</v>
      </c>
      <c r="C67">
        <v>23.21</v>
      </c>
      <c r="D67">
        <v>20.77</v>
      </c>
      <c r="E67">
        <v>21.32</v>
      </c>
      <c r="F67">
        <v>52934.61</v>
      </c>
      <c r="G67">
        <v>21.32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-0.54918032786885207</v>
      </c>
      <c r="Q67">
        <f t="shared" ref="Q67" si="311">F67*P67</f>
        <v>-29070.646475409816</v>
      </c>
      <c r="R67">
        <f t="shared" ref="R67" si="312">R68+Q67</f>
        <v>2061372.2981636771</v>
      </c>
      <c r="S67">
        <f t="shared" ref="S67" si="313">R67/100000</f>
        <v>20.613722981636769</v>
      </c>
      <c r="T67">
        <f t="shared" ref="T67" si="314">S67/1000</f>
        <v>2.0613722981636769E-2</v>
      </c>
    </row>
    <row r="68" spans="1:20" x14ac:dyDescent="0.25">
      <c r="A68" s="5">
        <v>44525</v>
      </c>
      <c r="B68">
        <v>22.11</v>
      </c>
      <c r="C68">
        <v>22.92</v>
      </c>
      <c r="D68">
        <v>21.88</v>
      </c>
      <c r="E68">
        <v>22.76</v>
      </c>
      <c r="F68">
        <v>26577.26</v>
      </c>
      <c r="G68">
        <v>22.76</v>
      </c>
      <c r="L68" t="s">
        <v>7</v>
      </c>
      <c r="M68" t="s">
        <v>7</v>
      </c>
      <c r="N68" t="s">
        <v>7</v>
      </c>
      <c r="P68">
        <f t="shared" ref="P68" si="315">IF(C68=D68,0,((E68-D68)-(C68-E68))/(C68-D68))</f>
        <v>0.69230769230769285</v>
      </c>
      <c r="Q68">
        <f t="shared" ref="Q68" si="316">F68*P68</f>
        <v>18399.64153846155</v>
      </c>
      <c r="R68">
        <f t="shared" ref="R68" si="317">R69+Q68</f>
        <v>2090442.944639087</v>
      </c>
      <c r="S68">
        <f t="shared" ref="S68" si="318">R68/100000</f>
        <v>20.904429446390871</v>
      </c>
      <c r="T68">
        <f t="shared" ref="T68" si="319">S68/1000</f>
        <v>2.0904429446390871E-2</v>
      </c>
    </row>
    <row r="69" spans="1:20" x14ac:dyDescent="0.25">
      <c r="A69" s="5">
        <v>44524</v>
      </c>
      <c r="B69">
        <v>23.12</v>
      </c>
      <c r="C69">
        <v>23.15</v>
      </c>
      <c r="D69">
        <v>22.15</v>
      </c>
      <c r="E69">
        <v>22.16</v>
      </c>
      <c r="F69">
        <v>8769.9599999999991</v>
      </c>
      <c r="G69">
        <v>22.16</v>
      </c>
      <c r="L69" t="s">
        <v>7</v>
      </c>
      <c r="M69" t="s">
        <v>7</v>
      </c>
      <c r="N69" t="s">
        <v>7</v>
      </c>
      <c r="P69">
        <f t="shared" ref="P69" si="320">IF(C69=D69,0,((E69-D69)-(C69-E69))/(C69-D69))</f>
        <v>-0.97999999999999687</v>
      </c>
      <c r="Q69">
        <f t="shared" ref="Q69" si="321">F69*P69</f>
        <v>-8594.560799999972</v>
      </c>
      <c r="R69">
        <f t="shared" ref="R69" si="322">R70+Q69</f>
        <v>2072043.3031006255</v>
      </c>
      <c r="S69">
        <f t="shared" ref="S69" si="323">R69/100000</f>
        <v>20.720433031006255</v>
      </c>
      <c r="T69">
        <f t="shared" ref="T69" si="324">S69/1000</f>
        <v>2.0720433031006256E-2</v>
      </c>
    </row>
    <row r="70" spans="1:20" x14ac:dyDescent="0.25">
      <c r="A70" s="5">
        <v>44523</v>
      </c>
      <c r="B70">
        <v>23.74</v>
      </c>
      <c r="C70">
        <v>24.53</v>
      </c>
      <c r="D70">
        <v>22.36</v>
      </c>
      <c r="E70">
        <v>23.15</v>
      </c>
      <c r="F70">
        <v>54375.13</v>
      </c>
      <c r="G70">
        <v>23.15</v>
      </c>
      <c r="L70" t="s">
        <v>7</v>
      </c>
      <c r="M70" t="s">
        <v>7</v>
      </c>
      <c r="N70" t="s">
        <v>7</v>
      </c>
      <c r="P70">
        <f t="shared" ref="P70" si="325">IF(C70=D70,0,((E70-D70)-(C70-E70))/(C70-D70))</f>
        <v>-0.27188940092166036</v>
      </c>
      <c r="Q70">
        <f t="shared" ref="Q70" si="326">F70*P70</f>
        <v>-14784.021520737402</v>
      </c>
      <c r="R70">
        <f t="shared" ref="R70" si="327">R71+Q70</f>
        <v>2080637.8639006254</v>
      </c>
      <c r="S70">
        <f t="shared" ref="S70" si="328">R70/100000</f>
        <v>20.806378639006255</v>
      </c>
      <c r="T70">
        <f t="shared" ref="T70" si="329">S70/1000</f>
        <v>2.0806378639006255E-2</v>
      </c>
    </row>
    <row r="71" spans="1:20" x14ac:dyDescent="0.25">
      <c r="A71" s="5">
        <v>44522</v>
      </c>
      <c r="B71">
        <v>22.71</v>
      </c>
      <c r="C71">
        <v>24.56</v>
      </c>
      <c r="D71">
        <v>22.62</v>
      </c>
      <c r="E71">
        <v>23.7</v>
      </c>
      <c r="F71">
        <v>92175.79</v>
      </c>
      <c r="G71">
        <v>23.7</v>
      </c>
      <c r="L71" t="s">
        <v>8</v>
      </c>
      <c r="M71" t="s">
        <v>7</v>
      </c>
      <c r="N71" t="s">
        <v>7</v>
      </c>
      <c r="P71">
        <f t="shared" ref="P71" si="330">IF(C71=D71,0,((E71-D71)-(C71-E71))/(C71-D71))</f>
        <v>0.11340206185566964</v>
      </c>
      <c r="Q71">
        <f t="shared" ref="Q71" si="331">F71*P71</f>
        <v>10452.924639175215</v>
      </c>
      <c r="R71">
        <f t="shared" ref="R71" si="332">R72+Q71</f>
        <v>2095421.8854213627</v>
      </c>
      <c r="S71">
        <f t="shared" ref="S71" si="333">R71/100000</f>
        <v>20.954218854213629</v>
      </c>
      <c r="T71">
        <f t="shared" ref="T71" si="334">S71/1000</f>
        <v>2.0954218854213627E-2</v>
      </c>
    </row>
    <row r="72" spans="1:20" x14ac:dyDescent="0.25">
      <c r="A72" s="5">
        <v>44521</v>
      </c>
      <c r="B72">
        <v>22.99</v>
      </c>
      <c r="C72">
        <v>23.58</v>
      </c>
      <c r="D72">
        <v>22.44</v>
      </c>
      <c r="E72">
        <v>22.72</v>
      </c>
      <c r="F72">
        <v>46798.07</v>
      </c>
      <c r="G72">
        <v>22.72</v>
      </c>
      <c r="L72" t="s">
        <v>8</v>
      </c>
      <c r="M72" t="s">
        <v>7</v>
      </c>
      <c r="N72" t="s">
        <v>7</v>
      </c>
      <c r="P72">
        <f t="shared" ref="P72" si="335">IF(C72=D72,0,((E72-D72)-(C72-E72))/(C72-D72))</f>
        <v>-0.50877192982456432</v>
      </c>
      <c r="Q72">
        <f t="shared" ref="Q72" si="336">F72*P72</f>
        <v>-23809.544385965048</v>
      </c>
      <c r="R72">
        <f t="shared" ref="R72" si="337">R73+Q72</f>
        <v>2084968.9607821875</v>
      </c>
      <c r="S72">
        <f t="shared" ref="S72" si="338">R72/100000</f>
        <v>20.849689607821876</v>
      </c>
      <c r="T72">
        <f t="shared" ref="T72" si="339">S72/1000</f>
        <v>2.0849689607821877E-2</v>
      </c>
    </row>
    <row r="73" spans="1:20" x14ac:dyDescent="0.25">
      <c r="A73" s="5">
        <v>44520</v>
      </c>
      <c r="B73">
        <v>22.56</v>
      </c>
      <c r="C73">
        <v>23.05</v>
      </c>
      <c r="D73">
        <v>22.26</v>
      </c>
      <c r="E73">
        <v>22.99</v>
      </c>
      <c r="F73">
        <v>27272.44</v>
      </c>
      <c r="G73">
        <v>22.99</v>
      </c>
      <c r="L73" t="s">
        <v>8</v>
      </c>
      <c r="M73" t="s">
        <v>7</v>
      </c>
      <c r="N73" t="s">
        <v>7</v>
      </c>
      <c r="P73">
        <f t="shared" ref="P73" si="340">IF(C73=D73,0,((E73-D73)-(C73-E73))/(C73-D73))</f>
        <v>0.84810126582277889</v>
      </c>
      <c r="Q73">
        <f t="shared" ref="Q73" si="341">F73*P73</f>
        <v>23129.790886075785</v>
      </c>
      <c r="R73">
        <f t="shared" ref="R73" si="342">R74+Q73</f>
        <v>2108778.5051681525</v>
      </c>
      <c r="S73">
        <f t="shared" ref="S73" si="343">R73/100000</f>
        <v>21.087785051681525</v>
      </c>
      <c r="T73">
        <f t="shared" ref="T73" si="344">S73/1000</f>
        <v>2.1087785051681525E-2</v>
      </c>
    </row>
    <row r="74" spans="1:20" x14ac:dyDescent="0.25">
      <c r="A74" s="5">
        <v>44519</v>
      </c>
      <c r="B74">
        <v>21.86</v>
      </c>
      <c r="C74">
        <v>22.82</v>
      </c>
      <c r="D74">
        <v>20.94</v>
      </c>
      <c r="E74">
        <v>22.56</v>
      </c>
      <c r="F74">
        <v>32389.45</v>
      </c>
      <c r="G74">
        <v>22.56</v>
      </c>
      <c r="L74" t="s">
        <v>7</v>
      </c>
      <c r="M74" t="s">
        <v>7</v>
      </c>
      <c r="N74" t="s">
        <v>7</v>
      </c>
      <c r="P74">
        <f t="shared" ref="P74" si="345">IF(C74=D74,0,((E74-D74)-(C74-E74))/(C74-D74))</f>
        <v>0.72340425531914709</v>
      </c>
      <c r="Q74">
        <f t="shared" ref="Q74" si="346">F74*P74</f>
        <v>23430.665957446749</v>
      </c>
      <c r="R74">
        <f t="shared" ref="R74" si="347">R75+Q74</f>
        <v>2085648.7142820766</v>
      </c>
      <c r="S74">
        <f t="shared" ref="S74" si="348">R74/100000</f>
        <v>20.856487142820765</v>
      </c>
      <c r="T74">
        <f t="shared" ref="T74" si="349">S74/1000</f>
        <v>2.0856487142820766E-2</v>
      </c>
    </row>
    <row r="75" spans="1:20" x14ac:dyDescent="0.25">
      <c r="A75" s="5">
        <v>44518</v>
      </c>
      <c r="B75">
        <v>24.02</v>
      </c>
      <c r="C75">
        <v>24.07</v>
      </c>
      <c r="D75">
        <v>21.44</v>
      </c>
      <c r="E75">
        <v>21.83</v>
      </c>
      <c r="F75">
        <v>49259.69</v>
      </c>
      <c r="G75">
        <v>21.83</v>
      </c>
      <c r="L75" t="s">
        <v>7</v>
      </c>
      <c r="M75" t="s">
        <v>7</v>
      </c>
      <c r="N75" t="s">
        <v>8</v>
      </c>
      <c r="P75">
        <f t="shared" ref="P75" si="350">IF(C75=D75,0,((E75-D75)-(C75-E75))/(C75-D75))</f>
        <v>-0.70342205323194129</v>
      </c>
      <c r="Q75">
        <f t="shared" ref="Q75" si="351">F75*P75</f>
        <v>-34650.352281368927</v>
      </c>
      <c r="R75">
        <f t="shared" ref="R75" si="352">R76+Q75</f>
        <v>2062218.0483246299</v>
      </c>
      <c r="S75">
        <f t="shared" ref="S75" si="353">R75/100000</f>
        <v>20.6221804832463</v>
      </c>
      <c r="T75">
        <f t="shared" ref="T75" si="354">S75/1000</f>
        <v>2.0622180483246301E-2</v>
      </c>
    </row>
    <row r="76" spans="1:20" x14ac:dyDescent="0.25">
      <c r="A76" s="5">
        <v>44517</v>
      </c>
      <c r="B76">
        <v>22.63</v>
      </c>
      <c r="C76">
        <v>24.22</v>
      </c>
      <c r="D76">
        <v>22.41</v>
      </c>
      <c r="E76">
        <v>24.02</v>
      </c>
      <c r="F76">
        <v>49201.26</v>
      </c>
      <c r="G76">
        <v>24.02</v>
      </c>
      <c r="L76" t="s">
        <v>8</v>
      </c>
      <c r="M76" t="s">
        <v>7</v>
      </c>
      <c r="N76" t="s">
        <v>8</v>
      </c>
      <c r="P76">
        <f t="shared" ref="P76" si="355">IF(C76=D76,0,((E76-D76)-(C76-E76))/(C76-D76))</f>
        <v>0.77900552486187913</v>
      </c>
      <c r="Q76">
        <f t="shared" ref="Q76" si="356">F76*P76</f>
        <v>38328.053370165784</v>
      </c>
      <c r="R76">
        <f t="shared" ref="R76" si="357">R77+Q76</f>
        <v>2096868.4006059989</v>
      </c>
      <c r="S76">
        <f t="shared" ref="S76" si="358">R76/100000</f>
        <v>20.968684006059988</v>
      </c>
      <c r="T76">
        <f t="shared" ref="T76" si="359">S76/1000</f>
        <v>2.0968684006059987E-2</v>
      </c>
    </row>
    <row r="77" spans="1:20" x14ac:dyDescent="0.25">
      <c r="A77" s="5">
        <v>44516</v>
      </c>
      <c r="B77">
        <v>24.23</v>
      </c>
      <c r="C77">
        <v>24.25</v>
      </c>
      <c r="D77">
        <v>21.79</v>
      </c>
      <c r="E77">
        <v>22.67</v>
      </c>
      <c r="F77">
        <v>46485.08</v>
      </c>
      <c r="G77">
        <v>22.67</v>
      </c>
      <c r="L77" t="s">
        <v>7</v>
      </c>
      <c r="M77" t="s">
        <v>7</v>
      </c>
      <c r="N77" t="s">
        <v>8</v>
      </c>
      <c r="P77">
        <f t="shared" ref="P77" si="360">IF(C77=D77,0,((E77-D77)-(C77-E77))/(C77-D77))</f>
        <v>-0.28455284552845345</v>
      </c>
      <c r="Q77">
        <f t="shared" ref="Q77" si="361">F77*P77</f>
        <v>-13227.461788617802</v>
      </c>
      <c r="R77">
        <f t="shared" ref="R77" si="362">R78+Q77</f>
        <v>2058540.3472358331</v>
      </c>
      <c r="S77">
        <f t="shared" ref="S77" si="363">R77/100000</f>
        <v>20.58540347235833</v>
      </c>
      <c r="T77">
        <f t="shared" ref="T77" si="364">S77/1000</f>
        <v>2.0585403472358328E-2</v>
      </c>
    </row>
    <row r="78" spans="1:20" x14ac:dyDescent="0.25">
      <c r="A78" s="5">
        <v>44515</v>
      </c>
      <c r="B78">
        <v>23.91</v>
      </c>
      <c r="C78">
        <v>24.44</v>
      </c>
      <c r="D78">
        <v>23.74</v>
      </c>
      <c r="E78">
        <v>24.24</v>
      </c>
      <c r="F78">
        <v>43067.62</v>
      </c>
      <c r="G78">
        <v>24.24</v>
      </c>
      <c r="L78" t="s">
        <v>7</v>
      </c>
      <c r="M78" t="s">
        <v>8</v>
      </c>
      <c r="N78" t="s">
        <v>8</v>
      </c>
      <c r="P78">
        <f t="shared" ref="P78" si="365">IF(C78=D78,0,((E78-D78)-(C78-E78))/(C78-D78))</f>
        <v>0.42857142857142277</v>
      </c>
      <c r="Q78">
        <f t="shared" ref="Q78" si="366">F78*P78</f>
        <v>18457.55142857118</v>
      </c>
      <c r="R78">
        <f t="shared" ref="R78" si="367">R79+Q78</f>
        <v>2071767.8090244508</v>
      </c>
      <c r="S78">
        <f t="shared" ref="S78" si="368">R78/100000</f>
        <v>20.717678090244508</v>
      </c>
      <c r="T78">
        <f t="shared" ref="T78" si="369">S78/1000</f>
        <v>2.071767809024451E-2</v>
      </c>
    </row>
    <row r="79" spans="1:20" x14ac:dyDescent="0.25">
      <c r="A79" s="5">
        <v>44514</v>
      </c>
      <c r="B79">
        <v>23.81</v>
      </c>
      <c r="C79">
        <v>23.96</v>
      </c>
      <c r="D79">
        <v>23.23</v>
      </c>
      <c r="E79">
        <v>23.91</v>
      </c>
      <c r="F79">
        <v>37390.769999999997</v>
      </c>
      <c r="G79">
        <v>23.91</v>
      </c>
      <c r="L79" t="s">
        <v>7</v>
      </c>
      <c r="M79" t="s">
        <v>8</v>
      </c>
      <c r="N79" t="s">
        <v>8</v>
      </c>
      <c r="P79">
        <f t="shared" ref="P79" si="370">IF(C79=D79,0,((E79-D79)-(C79-E79))/(C79-D79))</f>
        <v>0.86301369863013511</v>
      </c>
      <c r="Q79">
        <f t="shared" ref="Q79" si="371">F79*P79</f>
        <v>32268.746712328695</v>
      </c>
      <c r="R79">
        <f t="shared" ref="R79" si="372">R80+Q79</f>
        <v>2053310.2575958797</v>
      </c>
      <c r="S79">
        <f t="shared" ref="S79" si="373">R79/100000</f>
        <v>20.533102575958797</v>
      </c>
      <c r="T79">
        <f t="shared" ref="T79" si="374">S79/1000</f>
        <v>2.0533102575958796E-2</v>
      </c>
    </row>
    <row r="80" spans="1:20" x14ac:dyDescent="0.25">
      <c r="A80" s="5">
        <v>44513</v>
      </c>
      <c r="B80">
        <v>23.62</v>
      </c>
      <c r="C80">
        <v>23.9</v>
      </c>
      <c r="D80">
        <v>23.22</v>
      </c>
      <c r="E80">
        <v>23.81</v>
      </c>
      <c r="F80">
        <v>45020.45</v>
      </c>
      <c r="G80">
        <v>23.81</v>
      </c>
      <c r="L80" t="s">
        <v>7</v>
      </c>
      <c r="M80" t="s">
        <v>8</v>
      </c>
      <c r="N80" t="s">
        <v>8</v>
      </c>
      <c r="P80">
        <f t="shared" ref="P80" si="375">IF(C80=D80,0,((E80-D80)-(C80-E80))/(C80-D80))</f>
        <v>0.7352941176470591</v>
      </c>
      <c r="Q80">
        <f t="shared" ref="Q80" si="376">F80*P80</f>
        <v>33103.272058823539</v>
      </c>
      <c r="R80">
        <f t="shared" ref="R80" si="377">R81+Q80</f>
        <v>2021041.5108835511</v>
      </c>
      <c r="S80">
        <f t="shared" ref="S80" si="378">R80/100000</f>
        <v>20.210415108835512</v>
      </c>
      <c r="T80">
        <f t="shared" ref="T80" si="379">S80/1000</f>
        <v>2.0210415108835512E-2</v>
      </c>
    </row>
    <row r="81" spans="1:20" x14ac:dyDescent="0.25">
      <c r="A81" s="5">
        <v>44512</v>
      </c>
      <c r="B81">
        <v>24.15</v>
      </c>
      <c r="C81">
        <v>24.35</v>
      </c>
      <c r="D81">
        <v>22.85</v>
      </c>
      <c r="E81">
        <v>23.59</v>
      </c>
      <c r="F81">
        <v>52106.67</v>
      </c>
      <c r="G81">
        <v>23.59</v>
      </c>
      <c r="L81" t="s">
        <v>7</v>
      </c>
      <c r="M81" t="s">
        <v>8</v>
      </c>
      <c r="N81" t="s">
        <v>8</v>
      </c>
      <c r="P81">
        <f t="shared" ref="P81" si="380">IF(C81=D81,0,((E81-D81)-(C81-E81))/(C81-D81))</f>
        <v>-1.3333333333335418E-2</v>
      </c>
      <c r="Q81">
        <f t="shared" ref="Q81" si="381">F81*P81</f>
        <v>-694.75560000010853</v>
      </c>
      <c r="R81">
        <f t="shared" ref="R81" si="382">R82+Q81</f>
        <v>1987938.2388247275</v>
      </c>
      <c r="S81">
        <f t="shared" ref="S81" si="383">R81/100000</f>
        <v>19.879382388247276</v>
      </c>
      <c r="T81">
        <f t="shared" ref="T81" si="384">S81/1000</f>
        <v>1.9879382388247276E-2</v>
      </c>
    </row>
    <row r="82" spans="1:20" x14ac:dyDescent="0.25">
      <c r="A82" s="5">
        <v>44511</v>
      </c>
      <c r="B82">
        <v>24.24</v>
      </c>
      <c r="C82">
        <v>24.88</v>
      </c>
      <c r="D82">
        <v>23.83</v>
      </c>
      <c r="E82">
        <v>24.15</v>
      </c>
      <c r="F82">
        <v>314197.89</v>
      </c>
      <c r="G82">
        <v>24.15</v>
      </c>
      <c r="L82" t="s">
        <v>7</v>
      </c>
      <c r="M82" t="s">
        <v>8</v>
      </c>
      <c r="N82" t="s">
        <v>8</v>
      </c>
      <c r="P82">
        <f t="shared" ref="P82" si="385">IF(C82=D82,0,((E82-D82)-(C82-E82))/(C82-D82))</f>
        <v>-0.39047619047619037</v>
      </c>
      <c r="Q82">
        <f t="shared" ref="Q82" si="386">F82*P82</f>
        <v>-122686.79514285711</v>
      </c>
      <c r="R82">
        <f t="shared" ref="R82" si="387">R83+Q82</f>
        <v>1988632.9944247275</v>
      </c>
      <c r="S82">
        <f t="shared" ref="S82" si="388">R82/100000</f>
        <v>19.886329944247276</v>
      </c>
      <c r="T82">
        <f t="shared" ref="T82" si="389">S82/1000</f>
        <v>1.9886329944247275E-2</v>
      </c>
    </row>
    <row r="83" spans="1:20" x14ac:dyDescent="0.25">
      <c r="A83" s="5">
        <v>44510</v>
      </c>
      <c r="B83">
        <v>26.23</v>
      </c>
      <c r="C83">
        <v>26.92</v>
      </c>
      <c r="D83">
        <v>23.25</v>
      </c>
      <c r="E83">
        <v>24.26</v>
      </c>
      <c r="F83">
        <v>98193.3</v>
      </c>
      <c r="G83">
        <v>24.26</v>
      </c>
      <c r="L83" t="s">
        <v>8</v>
      </c>
      <c r="M83" t="s">
        <v>8</v>
      </c>
      <c r="N83" t="s">
        <v>8</v>
      </c>
      <c r="P83">
        <f t="shared" ref="P83" si="390">IF(C83=D83,0,((E83-D83)-(C83-E83))/(C83-D83))</f>
        <v>-0.44959128065395038</v>
      </c>
      <c r="Q83">
        <f t="shared" ref="Q83" si="391">F83*P83</f>
        <v>-44146.851498637545</v>
      </c>
      <c r="R83">
        <f t="shared" ref="R83" si="392">R84+Q83</f>
        <v>2111319.7895675846</v>
      </c>
      <c r="S83">
        <f t="shared" ref="S83" si="393">R83/100000</f>
        <v>21.113197895675846</v>
      </c>
      <c r="T83">
        <f t="shared" ref="T83" si="394">S83/1000</f>
        <v>2.1113197895675846E-2</v>
      </c>
    </row>
    <row r="84" spans="1:20" x14ac:dyDescent="0.25">
      <c r="A84" s="5">
        <v>44509</v>
      </c>
      <c r="B84">
        <v>25.89</v>
      </c>
      <c r="C84">
        <v>26.45</v>
      </c>
      <c r="D84">
        <v>25.3</v>
      </c>
      <c r="E84">
        <v>26.23</v>
      </c>
      <c r="F84">
        <v>56390.91</v>
      </c>
      <c r="G84">
        <v>26.23</v>
      </c>
      <c r="L84" t="s">
        <v>8</v>
      </c>
      <c r="M84" t="s">
        <v>8</v>
      </c>
      <c r="N84" t="s">
        <v>8</v>
      </c>
      <c r="P84">
        <f t="shared" ref="P84" si="395">IF(C84=D84,0,((E84-D84)-(C84-E84))/(C84-D84))</f>
        <v>0.61739130434782763</v>
      </c>
      <c r="Q84">
        <f t="shared" ref="Q84" si="396">F84*P84</f>
        <v>34815.257478260959</v>
      </c>
      <c r="R84">
        <f t="shared" ref="R84" si="397">R85+Q84</f>
        <v>2155466.641066222</v>
      </c>
      <c r="S84">
        <f t="shared" ref="S84" si="398">R84/100000</f>
        <v>21.554666410662218</v>
      </c>
      <c r="T84">
        <f t="shared" ref="T84" si="399">S84/1000</f>
        <v>2.155466641066222E-2</v>
      </c>
    </row>
    <row r="85" spans="1:20" x14ac:dyDescent="0.25">
      <c r="A85" s="5">
        <v>44508</v>
      </c>
      <c r="B85">
        <v>24.63</v>
      </c>
      <c r="C85">
        <v>25.91</v>
      </c>
      <c r="D85">
        <v>24.31</v>
      </c>
      <c r="E85">
        <v>25.89</v>
      </c>
      <c r="F85">
        <v>60244.92</v>
      </c>
      <c r="G85">
        <v>25.89</v>
      </c>
      <c r="L85" t="s">
        <v>8</v>
      </c>
      <c r="M85" t="s">
        <v>8</v>
      </c>
      <c r="N85" t="s">
        <v>8</v>
      </c>
      <c r="P85">
        <f t="shared" ref="P85" si="400">IF(C85=D85,0,((E85-D85)-(C85-E85))/(C85-D85))</f>
        <v>0.97500000000000053</v>
      </c>
      <c r="Q85">
        <f t="shared" ref="Q85" si="401">F85*P85</f>
        <v>58738.797000000028</v>
      </c>
      <c r="R85">
        <f t="shared" ref="R85" si="402">R86+Q85</f>
        <v>2120651.3835879611</v>
      </c>
      <c r="S85">
        <f t="shared" ref="S85" si="403">R85/100000</f>
        <v>21.206513835879612</v>
      </c>
      <c r="T85">
        <f t="shared" ref="T85" si="404">S85/1000</f>
        <v>2.1206513835879612E-2</v>
      </c>
    </row>
    <row r="86" spans="1:20" x14ac:dyDescent="0.25">
      <c r="A86" s="5">
        <v>44507</v>
      </c>
      <c r="B86">
        <v>24.41</v>
      </c>
      <c r="C86">
        <v>24.67</v>
      </c>
      <c r="D86">
        <v>24.13</v>
      </c>
      <c r="E86">
        <v>24.6</v>
      </c>
      <c r="F86">
        <v>25070.77</v>
      </c>
      <c r="G86">
        <v>24.6</v>
      </c>
      <c r="L86" t="s">
        <v>7</v>
      </c>
      <c r="M86" t="s">
        <v>8</v>
      </c>
      <c r="N86" t="s">
        <v>8</v>
      </c>
      <c r="P86">
        <f t="shared" ref="P86" si="405">IF(C86=D86,0,((E86-D86)-(C86-E86))/(C86-D86))</f>
        <v>0.74074074074074103</v>
      </c>
      <c r="Q86">
        <f t="shared" ref="Q86" si="406">F86*P86</f>
        <v>18570.940740740749</v>
      </c>
      <c r="R86">
        <f t="shared" ref="R86" si="407">R87+Q86</f>
        <v>2061912.5865879611</v>
      </c>
      <c r="S86">
        <f t="shared" ref="S86" si="408">R86/100000</f>
        <v>20.61912586587961</v>
      </c>
      <c r="T86">
        <f t="shared" ref="T86" si="409">S86/1000</f>
        <v>2.061912586587961E-2</v>
      </c>
    </row>
    <row r="87" spans="1:20" x14ac:dyDescent="0.25">
      <c r="A87" s="5">
        <v>44506</v>
      </c>
      <c r="B87">
        <v>24.73</v>
      </c>
      <c r="C87">
        <v>24.75</v>
      </c>
      <c r="D87">
        <v>23.66</v>
      </c>
      <c r="E87">
        <v>24.38</v>
      </c>
      <c r="F87">
        <v>37267.480000000003</v>
      </c>
      <c r="G87">
        <v>24.38</v>
      </c>
      <c r="L87" t="s">
        <v>7</v>
      </c>
      <c r="M87" t="s">
        <v>8</v>
      </c>
      <c r="N87" t="s">
        <v>8</v>
      </c>
      <c r="P87">
        <f t="shared" ref="P87" si="410">IF(C87=D87,0,((E87-D87)-(C87-E87))/(C87-D87))</f>
        <v>0.32110091743119074</v>
      </c>
      <c r="Q87">
        <f t="shared" ref="Q87" si="411">F87*P87</f>
        <v>11966.622018348553</v>
      </c>
      <c r="R87">
        <f t="shared" ref="R87" si="412">R88+Q87</f>
        <v>2043341.6458472202</v>
      </c>
      <c r="S87">
        <f t="shared" ref="S87" si="413">R87/100000</f>
        <v>20.433416458472202</v>
      </c>
      <c r="T87">
        <f t="shared" ref="T87" si="414">S87/1000</f>
        <v>2.0433416458472201E-2</v>
      </c>
    </row>
    <row r="88" spans="1:20" x14ac:dyDescent="0.25">
      <c r="A88" s="5">
        <v>44505</v>
      </c>
      <c r="B88">
        <v>25.1</v>
      </c>
      <c r="C88">
        <v>25.28</v>
      </c>
      <c r="D88">
        <v>24.33</v>
      </c>
      <c r="E88">
        <v>24.73</v>
      </c>
      <c r="F88">
        <v>45636.53</v>
      </c>
      <c r="G88">
        <v>24.73</v>
      </c>
      <c r="L88" t="s">
        <v>8</v>
      </c>
      <c r="M88" t="s">
        <v>8</v>
      </c>
      <c r="N88" t="s">
        <v>8</v>
      </c>
      <c r="P88">
        <f t="shared" ref="P88" si="415">IF(C88=D88,0,((E88-D88)-(C88-E88))/(C88-D88))</f>
        <v>-0.15789473684210328</v>
      </c>
      <c r="Q88">
        <f t="shared" ref="Q88" si="416">F88*P88</f>
        <v>-7205.7678947367513</v>
      </c>
      <c r="R88">
        <f t="shared" ref="R88" si="417">R89+Q88</f>
        <v>2031375.0238288715</v>
      </c>
      <c r="S88">
        <f t="shared" ref="S88" si="418">R88/100000</f>
        <v>20.313750238288716</v>
      </c>
      <c r="T88">
        <f t="shared" ref="T88" si="419">S88/1000</f>
        <v>2.0313750238288717E-2</v>
      </c>
    </row>
    <row r="89" spans="1:20" x14ac:dyDescent="0.25">
      <c r="A89" s="5">
        <v>44504</v>
      </c>
      <c r="B89">
        <v>25.55</v>
      </c>
      <c r="C89">
        <v>26.2</v>
      </c>
      <c r="D89">
        <v>24.33</v>
      </c>
      <c r="E89">
        <v>25.08</v>
      </c>
      <c r="F89">
        <v>49638.48</v>
      </c>
      <c r="G89">
        <v>25.08</v>
      </c>
      <c r="L89" t="s">
        <v>8</v>
      </c>
      <c r="M89" t="s">
        <v>8</v>
      </c>
      <c r="N89" t="s">
        <v>8</v>
      </c>
      <c r="P89">
        <f t="shared" ref="P89" si="420">IF(C89=D89,0,((E89-D89)-(C89-E89))/(C89-D89))</f>
        <v>-0.19786096256684535</v>
      </c>
      <c r="Q89">
        <f t="shared" ref="Q89" si="421">F89*P89</f>
        <v>-9821.5174331551025</v>
      </c>
      <c r="R89">
        <f t="shared" ref="R89" si="422">R90+Q89</f>
        <v>2038580.7917236083</v>
      </c>
      <c r="S89">
        <f t="shared" ref="S89" si="423">R89/100000</f>
        <v>20.385807917236082</v>
      </c>
      <c r="T89">
        <f t="shared" ref="T89" si="424">S89/1000</f>
        <v>2.0385807917236081E-2</v>
      </c>
    </row>
    <row r="90" spans="1:20" x14ac:dyDescent="0.25">
      <c r="A90" s="5">
        <v>44503</v>
      </c>
      <c r="B90">
        <v>25.61</v>
      </c>
      <c r="C90">
        <v>25.75</v>
      </c>
      <c r="D90">
        <v>24.2</v>
      </c>
      <c r="E90">
        <v>25.53</v>
      </c>
      <c r="F90">
        <v>84080.960000000006</v>
      </c>
      <c r="G90">
        <v>25.53</v>
      </c>
      <c r="L90" t="s">
        <v>7</v>
      </c>
      <c r="M90" t="s">
        <v>8</v>
      </c>
      <c r="N90" t="s">
        <v>8</v>
      </c>
      <c r="P90">
        <f t="shared" ref="P90" si="425">IF(C90=D90,0,((E90-D90)-(C90-E90))/(C90-D90))</f>
        <v>0.71612903225806612</v>
      </c>
      <c r="Q90">
        <f t="shared" ref="Q90" si="426">F90*P90</f>
        <v>60212.816516129169</v>
      </c>
      <c r="R90">
        <f t="shared" ref="R90" si="427">R91+Q90</f>
        <v>2048402.3091567634</v>
      </c>
      <c r="S90">
        <f t="shared" ref="S90" si="428">R90/100000</f>
        <v>20.484023091567632</v>
      </c>
      <c r="T90">
        <f t="shared" ref="T90" si="429">S90/1000</f>
        <v>2.0484023091567632E-2</v>
      </c>
    </row>
    <row r="91" spans="1:20" x14ac:dyDescent="0.25">
      <c r="A91" s="5">
        <v>44502</v>
      </c>
      <c r="B91">
        <v>24.7</v>
      </c>
      <c r="C91">
        <v>25.95</v>
      </c>
      <c r="D91">
        <v>24.14</v>
      </c>
      <c r="E91">
        <v>25.61</v>
      </c>
      <c r="F91">
        <v>117777.92</v>
      </c>
      <c r="G91">
        <v>25.61</v>
      </c>
      <c r="L91" t="s">
        <v>8</v>
      </c>
      <c r="M91" t="s">
        <v>8</v>
      </c>
      <c r="N91" t="s">
        <v>8</v>
      </c>
      <c r="P91">
        <f t="shared" ref="P91" si="430">IF(C91=D91,0,((E91-D91)-(C91-E91))/(C91-D91))</f>
        <v>0.62430939226519322</v>
      </c>
      <c r="Q91">
        <f t="shared" ref="Q91" si="431">F91*P91</f>
        <v>73529.861657458547</v>
      </c>
      <c r="R91">
        <f t="shared" ref="R91" si="432">R92+Q91</f>
        <v>1988189.4926406343</v>
      </c>
      <c r="S91">
        <f t="shared" ref="S91" si="433">R91/100000</f>
        <v>19.881894926406343</v>
      </c>
      <c r="T91">
        <f t="shared" ref="T91" si="434">S91/1000</f>
        <v>1.9881894926406341E-2</v>
      </c>
    </row>
    <row r="92" spans="1:20" x14ac:dyDescent="0.25">
      <c r="A92" s="5">
        <v>44501</v>
      </c>
      <c r="B92">
        <v>25.04</v>
      </c>
      <c r="C92">
        <v>26.11</v>
      </c>
      <c r="D92">
        <v>23.41</v>
      </c>
      <c r="E92">
        <v>24.7</v>
      </c>
      <c r="F92">
        <v>77709.06</v>
      </c>
      <c r="G92">
        <v>24.7</v>
      </c>
      <c r="L92" t="s">
        <v>7</v>
      </c>
      <c r="M92" t="s">
        <v>8</v>
      </c>
      <c r="N92" t="s">
        <v>8</v>
      </c>
      <c r="P92">
        <f t="shared" ref="P92" si="435">IF(C92=D92,0,((E92-D92)-(C92-E92))/(C92-D92))</f>
        <v>-4.4444444444444828E-2</v>
      </c>
      <c r="Q92">
        <f t="shared" ref="Q92" si="436">F92*P92</f>
        <v>-3453.7360000000299</v>
      </c>
      <c r="R92">
        <f t="shared" ref="R92" si="437">R93+Q92</f>
        <v>1914659.6309831757</v>
      </c>
      <c r="S92">
        <f t="shared" ref="S92" si="438">R92/100000</f>
        <v>19.146596309831757</v>
      </c>
      <c r="T92">
        <f t="shared" ref="T92" si="439">S92/1000</f>
        <v>1.9146596309831756E-2</v>
      </c>
    </row>
    <row r="93" spans="1:20" x14ac:dyDescent="0.25">
      <c r="A93" s="5">
        <v>44500</v>
      </c>
      <c r="B93">
        <v>24</v>
      </c>
      <c r="C93">
        <v>26.89</v>
      </c>
      <c r="D93">
        <v>23.65</v>
      </c>
      <c r="E93">
        <v>25.04</v>
      </c>
      <c r="F93">
        <v>127746.55</v>
      </c>
      <c r="G93">
        <v>25.04</v>
      </c>
      <c r="L93" t="s">
        <v>8</v>
      </c>
      <c r="M93" t="s">
        <v>8</v>
      </c>
      <c r="N93" t="s">
        <v>8</v>
      </c>
      <c r="P93">
        <f t="shared" ref="P93" si="440">IF(C93=D93,0,((E93-D93)-(C93-E93))/(C93-D93))</f>
        <v>-0.1419753086419755</v>
      </c>
      <c r="Q93">
        <f t="shared" ref="Q93" si="441">F93*P93</f>
        <v>-18136.855864197554</v>
      </c>
      <c r="R93">
        <f t="shared" ref="R93" si="442">R94+Q93</f>
        <v>1918113.3669831757</v>
      </c>
      <c r="S93">
        <f t="shared" ref="S93" si="443">R93/100000</f>
        <v>19.181133669831759</v>
      </c>
      <c r="T93">
        <f t="shared" ref="T93" si="444">S93/1000</f>
        <v>1.9181133669831759E-2</v>
      </c>
    </row>
    <row r="94" spans="1:20" x14ac:dyDescent="0.25">
      <c r="A94" s="5">
        <v>44499</v>
      </c>
      <c r="B94">
        <v>23.45</v>
      </c>
      <c r="C94">
        <v>24.1</v>
      </c>
      <c r="D94">
        <v>22.88</v>
      </c>
      <c r="E94">
        <v>23.86</v>
      </c>
      <c r="F94">
        <v>41575.769999999997</v>
      </c>
      <c r="G94">
        <v>23.86</v>
      </c>
      <c r="L94" t="s">
        <v>8</v>
      </c>
      <c r="M94" t="s">
        <v>7</v>
      </c>
      <c r="N94" t="s">
        <v>8</v>
      </c>
      <c r="P94">
        <f t="shared" ref="P94" si="445">IF(C94=D94,0,((E94-D94)-(C94-E94))/(C94-D94))</f>
        <v>0.60655737704917789</v>
      </c>
      <c r="Q94">
        <f t="shared" ref="Q94" si="446">F94*P94</f>
        <v>25218.089999999898</v>
      </c>
      <c r="R94">
        <f t="shared" ref="R94" si="447">R95+Q94</f>
        <v>1936250.2228473732</v>
      </c>
      <c r="S94">
        <f t="shared" ref="S94" si="448">R94/100000</f>
        <v>19.362502228473733</v>
      </c>
      <c r="T94">
        <f t="shared" ref="T94" si="449">S94/1000</f>
        <v>1.9362502228473733E-2</v>
      </c>
    </row>
    <row r="95" spans="1:20" x14ac:dyDescent="0.25">
      <c r="A95" s="5">
        <v>44498</v>
      </c>
      <c r="B95">
        <v>22.7</v>
      </c>
      <c r="C95">
        <v>23.55</v>
      </c>
      <c r="D95">
        <v>22.57</v>
      </c>
      <c r="E95">
        <v>23.45</v>
      </c>
      <c r="F95">
        <v>33911.21</v>
      </c>
      <c r="G95">
        <v>23.45</v>
      </c>
      <c r="L95" t="s">
        <v>8</v>
      </c>
      <c r="M95" t="s">
        <v>7</v>
      </c>
      <c r="N95" t="s">
        <v>8</v>
      </c>
      <c r="P95">
        <f t="shared" ref="P95" si="450">IF(C95=D95,0,((E95-D95)-(C95-E95))/(C95-D95))</f>
        <v>0.795918367346936</v>
      </c>
      <c r="Q95">
        <f t="shared" ref="Q95" si="451">F95*P95</f>
        <v>26990.554897959089</v>
      </c>
      <c r="R95">
        <f t="shared" ref="R95" si="452">R96+Q95</f>
        <v>1911032.1328473734</v>
      </c>
      <c r="S95">
        <f t="shared" ref="S95" si="453">R95/100000</f>
        <v>19.110321328473734</v>
      </c>
      <c r="T95">
        <f t="shared" ref="T95" si="454">S95/1000</f>
        <v>1.9110321328473734E-2</v>
      </c>
    </row>
    <row r="96" spans="1:20" x14ac:dyDescent="0.25">
      <c r="A96" s="5">
        <v>44497</v>
      </c>
      <c r="B96">
        <v>21.47</v>
      </c>
      <c r="C96">
        <v>23.37</v>
      </c>
      <c r="D96">
        <v>21.16</v>
      </c>
      <c r="E96">
        <v>22.7</v>
      </c>
      <c r="F96">
        <v>42884.54</v>
      </c>
      <c r="G96">
        <v>22.7</v>
      </c>
      <c r="L96" t="s">
        <v>8</v>
      </c>
      <c r="M96" t="s">
        <v>7</v>
      </c>
      <c r="N96" t="s">
        <v>8</v>
      </c>
      <c r="P96">
        <f t="shared" ref="P96" si="455">IF(C96=D96,0,((E96-D96)-(C96-E96))/(C96-D96))</f>
        <v>0.39366515837103944</v>
      </c>
      <c r="Q96">
        <f t="shared" ref="Q96" si="456">F96*P96</f>
        <v>16882.149230769177</v>
      </c>
      <c r="R96">
        <f t="shared" ref="R96" si="457">R97+Q96</f>
        <v>1884041.5779494143</v>
      </c>
      <c r="S96">
        <f t="shared" ref="S96" si="458">R96/100000</f>
        <v>18.840415779494144</v>
      </c>
      <c r="T96">
        <f t="shared" ref="T96" si="459">S96/1000</f>
        <v>1.8840415779494146E-2</v>
      </c>
    </row>
    <row r="97" spans="1:20" x14ac:dyDescent="0.25">
      <c r="A97" s="5">
        <v>44496</v>
      </c>
      <c r="B97">
        <v>23.84</v>
      </c>
      <c r="C97">
        <v>24.23</v>
      </c>
      <c r="D97">
        <v>21.41</v>
      </c>
      <c r="E97">
        <v>21.47</v>
      </c>
      <c r="F97">
        <v>51468.97</v>
      </c>
      <c r="G97">
        <v>21.47</v>
      </c>
      <c r="L97" t="s">
        <v>7</v>
      </c>
      <c r="M97" t="s">
        <v>7</v>
      </c>
      <c r="N97" t="s">
        <v>8</v>
      </c>
      <c r="P97">
        <f t="shared" ref="P97" si="460">IF(C97=D97,0,((E97-D97)-(C97-E97))/(C97-D97))</f>
        <v>-0.95744680851063924</v>
      </c>
      <c r="Q97">
        <f t="shared" ref="Q97" si="461">F97*P97</f>
        <v>-49278.801063829836</v>
      </c>
      <c r="R97">
        <f t="shared" ref="R97" si="462">R98+Q97</f>
        <v>1867159.4287186451</v>
      </c>
      <c r="S97">
        <f t="shared" ref="S97" si="463">R97/100000</f>
        <v>18.671594287186451</v>
      </c>
      <c r="T97">
        <f t="shared" ref="T97" si="464">S97/1000</f>
        <v>1.8671594287186451E-2</v>
      </c>
    </row>
    <row r="98" spans="1:20" x14ac:dyDescent="0.25">
      <c r="A98" s="5">
        <v>44495</v>
      </c>
      <c r="B98">
        <v>24.15</v>
      </c>
      <c r="C98">
        <v>24.61</v>
      </c>
      <c r="D98">
        <v>23.65</v>
      </c>
      <c r="E98">
        <v>23.84</v>
      </c>
      <c r="F98">
        <v>38698.720000000001</v>
      </c>
      <c r="G98">
        <v>23.84</v>
      </c>
      <c r="L98" t="s">
        <v>7</v>
      </c>
      <c r="M98" t="s">
        <v>7</v>
      </c>
      <c r="N98" t="s">
        <v>8</v>
      </c>
      <c r="P98">
        <f t="shared" ref="P98" si="465">IF(C98=D98,0,((E98-D98)-(C98-E98))/(C98-D98))</f>
        <v>-0.6041666666666643</v>
      </c>
      <c r="Q98">
        <f t="shared" ref="Q98" si="466">F98*P98</f>
        <v>-23380.476666666575</v>
      </c>
      <c r="R98">
        <f t="shared" ref="R98" si="467">R99+Q98</f>
        <v>1916438.2297824749</v>
      </c>
      <c r="S98">
        <f t="shared" ref="S98" si="468">R98/100000</f>
        <v>19.164382297824748</v>
      </c>
      <c r="T98">
        <f t="shared" ref="T98" si="469">S98/1000</f>
        <v>1.9164382297824748E-2</v>
      </c>
    </row>
    <row r="99" spans="1:20" x14ac:dyDescent="0.25">
      <c r="A99" s="5">
        <v>44494</v>
      </c>
      <c r="B99">
        <v>23.95</v>
      </c>
      <c r="C99">
        <v>24.45</v>
      </c>
      <c r="D99">
        <v>23.75</v>
      </c>
      <c r="E99">
        <v>24.16</v>
      </c>
      <c r="F99">
        <v>29163.14</v>
      </c>
      <c r="G99">
        <v>24.16</v>
      </c>
      <c r="L99" t="s">
        <v>7</v>
      </c>
      <c r="M99" t="s">
        <v>7</v>
      </c>
      <c r="N99" t="s">
        <v>8</v>
      </c>
      <c r="P99">
        <f t="shared" ref="P99" si="470">IF(C99=D99,0,((E99-D99)-(C99-E99))/(C99-D99))</f>
        <v>0.17142857142857301</v>
      </c>
      <c r="Q99">
        <f t="shared" ref="Q99" si="471">F99*P99</f>
        <v>4999.3954285714744</v>
      </c>
      <c r="R99">
        <f t="shared" ref="R99" si="472">R100+Q99</f>
        <v>1939818.7064491415</v>
      </c>
      <c r="S99">
        <f t="shared" ref="S99" si="473">R99/100000</f>
        <v>19.398187064491413</v>
      </c>
      <c r="T99">
        <f t="shared" ref="T99" si="474">S99/1000</f>
        <v>1.9398187064491413E-2</v>
      </c>
    </row>
    <row r="100" spans="1:20" x14ac:dyDescent="0.25">
      <c r="A100" s="5">
        <v>44493</v>
      </c>
      <c r="B100">
        <v>24.68</v>
      </c>
      <c r="C100">
        <v>24.72</v>
      </c>
      <c r="D100">
        <v>23.45</v>
      </c>
      <c r="E100">
        <v>23.95</v>
      </c>
      <c r="F100">
        <v>32295.53</v>
      </c>
      <c r="G100">
        <v>23.95</v>
      </c>
      <c r="L100" t="s">
        <v>7</v>
      </c>
      <c r="M100" t="s">
        <v>7</v>
      </c>
      <c r="N100" t="s">
        <v>8</v>
      </c>
      <c r="P100">
        <f t="shared" ref="P100" si="475">IF(C100=D100,0,((E100-D100)-(C100-E100))/(C100-D100))</f>
        <v>-0.21259842519685013</v>
      </c>
      <c r="Q100">
        <f t="shared" ref="Q100" si="476">F100*P100</f>
        <v>-6865.978818897629</v>
      </c>
      <c r="R100">
        <f t="shared" ref="R100" si="477">R101+Q100</f>
        <v>1934819.3110205701</v>
      </c>
      <c r="S100">
        <f t="shared" ref="S100" si="478">R100/100000</f>
        <v>19.348193110205703</v>
      </c>
      <c r="T100">
        <f t="shared" ref="T100" si="479">S100/1000</f>
        <v>1.9348193110205702E-2</v>
      </c>
    </row>
    <row r="101" spans="1:20" x14ac:dyDescent="0.25">
      <c r="A101" s="5">
        <v>44492</v>
      </c>
      <c r="B101">
        <v>23.8</v>
      </c>
      <c r="C101">
        <v>26.21</v>
      </c>
      <c r="D101">
        <v>23.74</v>
      </c>
      <c r="E101">
        <v>24.68</v>
      </c>
      <c r="F101">
        <v>129784.41</v>
      </c>
      <c r="G101">
        <v>24.68</v>
      </c>
      <c r="L101" t="s">
        <v>8</v>
      </c>
      <c r="M101" t="s">
        <v>7</v>
      </c>
      <c r="N101" t="s">
        <v>8</v>
      </c>
      <c r="P101">
        <f t="shared" ref="P101" si="480">IF(C101=D101,0,((E101-D101)-(C101-E101))/(C101-D101))</f>
        <v>-0.2388663967611333</v>
      </c>
      <c r="Q101">
        <f t="shared" ref="Q101" si="481">F101*P101</f>
        <v>-31001.134372469598</v>
      </c>
      <c r="R101">
        <f t="shared" ref="R101" si="482">R102+Q101</f>
        <v>1941685.2898394677</v>
      </c>
      <c r="S101">
        <f t="shared" ref="S101" si="483">R101/100000</f>
        <v>19.416852898394676</v>
      </c>
      <c r="T101">
        <f t="shared" ref="T101" si="484">S101/1000</f>
        <v>1.9416852898394676E-2</v>
      </c>
    </row>
    <row r="102" spans="1:20" x14ac:dyDescent="0.25">
      <c r="A102" s="5">
        <v>44491</v>
      </c>
      <c r="B102">
        <v>23.23</v>
      </c>
      <c r="C102">
        <v>24.57</v>
      </c>
      <c r="D102">
        <v>23.08</v>
      </c>
      <c r="E102">
        <v>23.8</v>
      </c>
      <c r="F102">
        <v>47767.83</v>
      </c>
      <c r="G102">
        <v>23.8</v>
      </c>
      <c r="L102" t="s">
        <v>8</v>
      </c>
      <c r="M102" t="s">
        <v>7</v>
      </c>
      <c r="N102" t="s">
        <v>8</v>
      </c>
      <c r="P102">
        <f t="shared" ref="P102" si="485">IF(C102=D102,0,((E102-D102)-(C102-E102))/(C102-D102))</f>
        <v>-3.3557046979863822E-2</v>
      </c>
      <c r="Q102">
        <f t="shared" ref="Q102" si="486">F102*P102</f>
        <v>-1602.9473154361485</v>
      </c>
      <c r="R102">
        <f t="shared" ref="R102" si="487">R103+Q102</f>
        <v>1972686.4242119372</v>
      </c>
      <c r="S102">
        <f t="shared" ref="S102" si="488">R102/100000</f>
        <v>19.726864242119373</v>
      </c>
      <c r="T102">
        <f t="shared" ref="T102" si="489">S102/1000</f>
        <v>1.9726864242119373E-2</v>
      </c>
    </row>
    <row r="103" spans="1:20" x14ac:dyDescent="0.25">
      <c r="A103" s="5">
        <v>44490</v>
      </c>
      <c r="B103">
        <v>24.11</v>
      </c>
      <c r="C103">
        <v>24.44</v>
      </c>
      <c r="D103">
        <v>23.01</v>
      </c>
      <c r="E103">
        <v>23.23</v>
      </c>
      <c r="F103">
        <v>55400.44</v>
      </c>
      <c r="G103">
        <v>23.23</v>
      </c>
      <c r="L103" t="s">
        <v>8</v>
      </c>
      <c r="M103" t="s">
        <v>7</v>
      </c>
      <c r="N103" t="s">
        <v>8</v>
      </c>
      <c r="P103">
        <f t="shared" ref="P103" si="490">IF(C103=D103,0,((E103-D103)-(C103-E103))/(C103-D103))</f>
        <v>-0.69230769230769384</v>
      </c>
      <c r="Q103">
        <f t="shared" ref="Q103" si="491">F103*P103</f>
        <v>-38354.150769230859</v>
      </c>
      <c r="R103">
        <f t="shared" ref="R103" si="492">R104+Q103</f>
        <v>1974289.3715273733</v>
      </c>
      <c r="S103">
        <f t="shared" ref="S103" si="493">R103/100000</f>
        <v>19.742893715273734</v>
      </c>
      <c r="T103">
        <f t="shared" ref="T103" si="494">S103/1000</f>
        <v>1.9742893715273734E-2</v>
      </c>
    </row>
    <row r="104" spans="1:20" x14ac:dyDescent="0.25">
      <c r="A104" s="5">
        <v>44489</v>
      </c>
      <c r="B104">
        <v>23.23</v>
      </c>
      <c r="C104">
        <v>24.19</v>
      </c>
      <c r="D104">
        <v>22.46</v>
      </c>
      <c r="E104">
        <v>24.13</v>
      </c>
      <c r="F104">
        <v>67572.3</v>
      </c>
      <c r="G104">
        <v>24.13</v>
      </c>
      <c r="L104" t="s">
        <v>7</v>
      </c>
      <c r="M104" t="s">
        <v>7</v>
      </c>
      <c r="N104" t="s">
        <v>8</v>
      </c>
      <c r="P104">
        <f t="shared" ref="P104" si="495">IF(C104=D104,0,((E104-D104)-(C104-E104))/(C104-D104))</f>
        <v>0.93063583815028639</v>
      </c>
      <c r="Q104">
        <f t="shared" ref="Q104" si="496">F104*P104</f>
        <v>62885.204046242601</v>
      </c>
      <c r="R104">
        <f t="shared" ref="R104" si="497">R105+Q104</f>
        <v>2012643.5222966042</v>
      </c>
      <c r="S104">
        <f t="shared" ref="S104" si="498">R104/100000</f>
        <v>20.126435222966041</v>
      </c>
      <c r="T104">
        <f t="shared" ref="T104" si="499">S104/1000</f>
        <v>2.012643522296604E-2</v>
      </c>
    </row>
    <row r="105" spans="1:20" x14ac:dyDescent="0.25">
      <c r="A105" s="5">
        <v>44488</v>
      </c>
      <c r="B105">
        <v>23.01</v>
      </c>
      <c r="C105">
        <v>23.67</v>
      </c>
      <c r="D105">
        <v>22.68</v>
      </c>
      <c r="E105">
        <v>23.23</v>
      </c>
      <c r="F105">
        <v>49541.88</v>
      </c>
      <c r="G105">
        <v>23.23</v>
      </c>
      <c r="L105" t="s">
        <v>7</v>
      </c>
      <c r="M105" t="s">
        <v>7</v>
      </c>
      <c r="N105" t="s">
        <v>8</v>
      </c>
      <c r="P105">
        <f t="shared" ref="P105" si="500">IF(C105=D105,0,((E105-D105)-(C105-E105))/(C105-D105))</f>
        <v>0.11111111111111031</v>
      </c>
      <c r="Q105">
        <f t="shared" ref="Q105" si="501">F105*P105</f>
        <v>5504.6533333332936</v>
      </c>
      <c r="R105">
        <f t="shared" ref="R105" si="502">R106+Q105</f>
        <v>1949758.3182503616</v>
      </c>
      <c r="S105">
        <f t="shared" ref="S105" si="503">R105/100000</f>
        <v>19.497583182503615</v>
      </c>
      <c r="T105">
        <f t="shared" ref="T105" si="504">S105/1000</f>
        <v>1.9497583182503615E-2</v>
      </c>
    </row>
    <row r="106" spans="1:20" x14ac:dyDescent="0.25">
      <c r="A106" s="5">
        <v>44487</v>
      </c>
      <c r="B106">
        <v>23.79</v>
      </c>
      <c r="C106">
        <v>24.19</v>
      </c>
      <c r="D106">
        <v>22.69</v>
      </c>
      <c r="E106">
        <v>23.01</v>
      </c>
      <c r="F106">
        <v>85397.33</v>
      </c>
      <c r="G106">
        <v>23.01</v>
      </c>
      <c r="L106" t="s">
        <v>7</v>
      </c>
      <c r="M106" t="s">
        <v>7</v>
      </c>
      <c r="N106" t="s">
        <v>8</v>
      </c>
      <c r="P106">
        <f t="shared" ref="P106" si="505">IF(C106=D106,0,((E106-D106)-(C106-E106))/(C106-D106))</f>
        <v>-0.57333333333333292</v>
      </c>
      <c r="Q106">
        <f t="shared" ref="Q106" si="506">F106*P106</f>
        <v>-48961.135866666635</v>
      </c>
      <c r="R106">
        <f t="shared" ref="R106" si="507">R107+Q106</f>
        <v>1944253.6649170283</v>
      </c>
      <c r="S106">
        <f t="shared" ref="S106" si="508">R106/100000</f>
        <v>19.442536649170282</v>
      </c>
      <c r="T106">
        <f t="shared" ref="T106" si="509">S106/1000</f>
        <v>1.9442536649170283E-2</v>
      </c>
    </row>
    <row r="107" spans="1:20" x14ac:dyDescent="0.25">
      <c r="A107" s="5">
        <v>44486</v>
      </c>
      <c r="B107">
        <v>23.87</v>
      </c>
      <c r="C107">
        <v>24.58</v>
      </c>
      <c r="D107">
        <v>23</v>
      </c>
      <c r="E107">
        <v>23.79</v>
      </c>
      <c r="F107">
        <v>98320.15</v>
      </c>
      <c r="G107">
        <v>23.79</v>
      </c>
      <c r="L107" t="s">
        <v>7</v>
      </c>
      <c r="M107" t="s">
        <v>7</v>
      </c>
      <c r="N107" t="s">
        <v>8</v>
      </c>
      <c r="P107">
        <f t="shared" ref="P107" si="510">IF(C107=D107,0,((E107-D107)-(C107-E107))/(C107-D107))</f>
        <v>0</v>
      </c>
      <c r="Q107">
        <f t="shared" ref="Q107" si="511">F107*P107</f>
        <v>0</v>
      </c>
      <c r="R107">
        <f t="shared" ref="R107" si="512">R108+Q107</f>
        <v>1993214.800783695</v>
      </c>
      <c r="S107">
        <f t="shared" ref="S107" si="513">R107/100000</f>
        <v>19.93214800783695</v>
      </c>
      <c r="T107">
        <f t="shared" ref="T107" si="514">S107/1000</f>
        <v>1.993214800783695E-2</v>
      </c>
    </row>
    <row r="108" spans="1:20" x14ac:dyDescent="0.25">
      <c r="A108" s="5">
        <v>44485</v>
      </c>
      <c r="B108">
        <v>24.06</v>
      </c>
      <c r="C108">
        <v>24.46</v>
      </c>
      <c r="D108">
        <v>23.79</v>
      </c>
      <c r="E108">
        <v>23.87</v>
      </c>
      <c r="F108">
        <v>27465.59</v>
      </c>
      <c r="G108">
        <v>23.87</v>
      </c>
      <c r="L108" t="s">
        <v>7</v>
      </c>
      <c r="M108" t="s">
        <v>7</v>
      </c>
      <c r="N108" t="s">
        <v>8</v>
      </c>
      <c r="P108">
        <f t="shared" ref="P108" si="515">IF(C108=D108,0,((E108-D108)-(C108-E108))/(C108-D108))</f>
        <v>-0.76119402985074136</v>
      </c>
      <c r="Q108">
        <f t="shared" ref="Q108" si="516">F108*P108</f>
        <v>-20906.643134328224</v>
      </c>
      <c r="R108">
        <f t="shared" ref="R108" si="517">R109+Q108</f>
        <v>1993214.800783695</v>
      </c>
      <c r="S108">
        <f t="shared" ref="S108" si="518">R108/100000</f>
        <v>19.93214800783695</v>
      </c>
      <c r="T108">
        <f t="shared" ref="T108" si="519">S108/1000</f>
        <v>1.993214800783695E-2</v>
      </c>
    </row>
    <row r="109" spans="1:20" x14ac:dyDescent="0.25">
      <c r="A109" s="5">
        <v>44484</v>
      </c>
      <c r="B109">
        <v>25.32</v>
      </c>
      <c r="C109">
        <v>25.37</v>
      </c>
      <c r="D109">
        <v>23.56</v>
      </c>
      <c r="E109">
        <v>24.05</v>
      </c>
      <c r="F109">
        <v>54864.35</v>
      </c>
      <c r="G109">
        <v>24.05</v>
      </c>
      <c r="L109" t="s">
        <v>7</v>
      </c>
      <c r="M109" t="s">
        <v>7</v>
      </c>
      <c r="N109" t="s">
        <v>8</v>
      </c>
      <c r="P109">
        <f t="shared" ref="P109" si="520">IF(C109=D109,0,((E109-D109)-(C109-E109))/(C109-D109))</f>
        <v>-0.45856353591160071</v>
      </c>
      <c r="Q109">
        <f t="shared" ref="Q109" si="521">F109*P109</f>
        <v>-25158.790331491629</v>
      </c>
      <c r="R109">
        <f t="shared" ref="R109" si="522">R110+Q109</f>
        <v>2014121.4439180233</v>
      </c>
      <c r="S109">
        <f t="shared" ref="S109" si="523">R109/100000</f>
        <v>20.141214439180231</v>
      </c>
      <c r="T109">
        <f t="shared" ref="T109" si="524">S109/1000</f>
        <v>2.0141214439180231E-2</v>
      </c>
    </row>
    <row r="110" spans="1:20" x14ac:dyDescent="0.25">
      <c r="A110" s="5">
        <v>44483</v>
      </c>
      <c r="B110">
        <v>25.05</v>
      </c>
      <c r="C110">
        <v>25.65</v>
      </c>
      <c r="D110">
        <v>24.9</v>
      </c>
      <c r="E110">
        <v>25.32</v>
      </c>
      <c r="F110">
        <v>33590.28</v>
      </c>
      <c r="G110">
        <v>25.32</v>
      </c>
      <c r="L110" t="s">
        <v>8</v>
      </c>
      <c r="M110" t="s">
        <v>7</v>
      </c>
      <c r="N110" t="s">
        <v>8</v>
      </c>
      <c r="P110">
        <f t="shared" ref="P110" si="525">IF(C110=D110,0,((E110-D110)-(C110-E110))/(C110-D110))</f>
        <v>0.12000000000000455</v>
      </c>
      <c r="Q110">
        <f t="shared" ref="Q110" si="526">F110*P110</f>
        <v>4030.8336000001527</v>
      </c>
      <c r="R110">
        <f t="shared" ref="R110" si="527">R111+Q110</f>
        <v>2039280.234249515</v>
      </c>
      <c r="S110">
        <f t="shared" ref="S110" si="528">R110/100000</f>
        <v>20.392802342495148</v>
      </c>
      <c r="T110">
        <f t="shared" ref="T110" si="529">S110/1000</f>
        <v>2.0392802342495148E-2</v>
      </c>
    </row>
    <row r="111" spans="1:20" x14ac:dyDescent="0.25">
      <c r="A111" s="5">
        <v>44482</v>
      </c>
      <c r="B111">
        <v>23.96</v>
      </c>
      <c r="C111">
        <v>25.04</v>
      </c>
      <c r="D111">
        <v>23.38</v>
      </c>
      <c r="E111">
        <v>25.01</v>
      </c>
      <c r="F111">
        <v>39208.839999999997</v>
      </c>
      <c r="G111">
        <v>25.01</v>
      </c>
      <c r="L111" t="s">
        <v>8</v>
      </c>
      <c r="M111" t="s">
        <v>7</v>
      </c>
      <c r="N111" t="s">
        <v>8</v>
      </c>
      <c r="P111">
        <f t="shared" ref="P111" si="530">IF(C111=D111,0,((E111-D111)-(C111-E111))/(C111-D111))</f>
        <v>0.96385542168674987</v>
      </c>
      <c r="Q111">
        <f t="shared" ref="Q111" si="531">F111*P111</f>
        <v>37791.6530120483</v>
      </c>
      <c r="R111">
        <f t="shared" ref="R111" si="532">R112+Q111</f>
        <v>2035249.4006495147</v>
      </c>
      <c r="S111">
        <f t="shared" ref="S111" si="533">R111/100000</f>
        <v>20.352494006495146</v>
      </c>
      <c r="T111">
        <f t="shared" ref="T111" si="534">S111/1000</f>
        <v>2.0352494006495147E-2</v>
      </c>
    </row>
    <row r="112" spans="1:20" x14ac:dyDescent="0.25">
      <c r="A112" s="5">
        <v>44481</v>
      </c>
      <c r="B112">
        <v>24.94</v>
      </c>
      <c r="C112">
        <v>24.97</v>
      </c>
      <c r="D112">
        <v>22.78</v>
      </c>
      <c r="E112">
        <v>23.98</v>
      </c>
      <c r="F112">
        <v>56059.3</v>
      </c>
      <c r="G112">
        <v>23.98</v>
      </c>
      <c r="L112" t="s">
        <v>7</v>
      </c>
      <c r="M112" t="s">
        <v>7</v>
      </c>
      <c r="N112" t="s">
        <v>8</v>
      </c>
      <c r="P112">
        <f t="shared" ref="P112" si="535">IF(C112=D112,0,((E112-D112)-(C112-E112))/(C112-D112))</f>
        <v>9.5890410958904604E-2</v>
      </c>
      <c r="Q112">
        <f t="shared" ref="Q112" si="536">F112*P112</f>
        <v>5375.5493150685215</v>
      </c>
      <c r="R112">
        <f t="shared" ref="R112" si="537">R113+Q112</f>
        <v>1997457.7476374665</v>
      </c>
      <c r="S112">
        <f t="shared" ref="S112" si="538">R112/100000</f>
        <v>19.974577476374666</v>
      </c>
      <c r="T112">
        <f t="shared" ref="T112" si="539">S112/1000</f>
        <v>1.9974577476374666E-2</v>
      </c>
    </row>
    <row r="113" spans="1:20" x14ac:dyDescent="0.25">
      <c r="A113" s="5">
        <v>44480</v>
      </c>
      <c r="B113">
        <v>25.29</v>
      </c>
      <c r="C113">
        <v>26.45</v>
      </c>
      <c r="D113">
        <v>24.34</v>
      </c>
      <c r="E113">
        <v>24.96</v>
      </c>
      <c r="F113">
        <v>74906.17</v>
      </c>
      <c r="G113">
        <v>24.96</v>
      </c>
      <c r="L113" t="s">
        <v>7</v>
      </c>
      <c r="M113" t="s">
        <v>8</v>
      </c>
      <c r="N113" t="s">
        <v>8</v>
      </c>
      <c r="P113">
        <f t="shared" ref="P113" si="540">IF(C113=D113,0,((E113-D113)-(C113-E113))/(C113-D113))</f>
        <v>-0.41232227488151546</v>
      </c>
      <c r="Q113">
        <f t="shared" ref="Q113" si="541">F113*P113</f>
        <v>-30885.482417061525</v>
      </c>
      <c r="R113">
        <f t="shared" ref="R113" si="542">R114+Q113</f>
        <v>1992082.1983223981</v>
      </c>
      <c r="S113">
        <f t="shared" ref="S113" si="543">R113/100000</f>
        <v>19.920821983223981</v>
      </c>
      <c r="T113">
        <f t="shared" ref="T113" si="544">S113/1000</f>
        <v>1.992082198322398E-2</v>
      </c>
    </row>
    <row r="114" spans="1:20" x14ac:dyDescent="0.25">
      <c r="A114" s="5">
        <v>44479</v>
      </c>
      <c r="B114">
        <v>25.96</v>
      </c>
      <c r="C114">
        <v>27.79</v>
      </c>
      <c r="D114">
        <v>24.99</v>
      </c>
      <c r="E114">
        <v>25.25</v>
      </c>
      <c r="F114">
        <v>84411.68</v>
      </c>
      <c r="G114">
        <v>25.25</v>
      </c>
      <c r="L114" t="s">
        <v>7</v>
      </c>
      <c r="M114" t="s">
        <v>8</v>
      </c>
      <c r="N114" t="s">
        <v>8</v>
      </c>
      <c r="P114">
        <f t="shared" ref="P114" si="545">IF(C114=D114,0,((E114-D114)-(C114-E114))/(C114-D114))</f>
        <v>-0.81428571428571317</v>
      </c>
      <c r="Q114">
        <f t="shared" ref="Q114" si="546">F114*P114</f>
        <v>-68735.225142857045</v>
      </c>
      <c r="R114">
        <f t="shared" ref="R114" si="547">R115+Q114</f>
        <v>2022967.6807394596</v>
      </c>
      <c r="S114">
        <f t="shared" ref="S114" si="548">R114/100000</f>
        <v>20.229676807394597</v>
      </c>
      <c r="T114">
        <f t="shared" ref="T114" si="549">S114/1000</f>
        <v>2.0229676807394598E-2</v>
      </c>
    </row>
    <row r="115" spans="1:20" x14ac:dyDescent="0.25">
      <c r="A115" s="5">
        <v>44478</v>
      </c>
      <c r="B115">
        <v>27.31</v>
      </c>
      <c r="C115">
        <v>27.32</v>
      </c>
      <c r="D115">
        <v>25.36</v>
      </c>
      <c r="E115">
        <v>25.95</v>
      </c>
      <c r="F115">
        <v>70550.84</v>
      </c>
      <c r="G115">
        <v>25.95</v>
      </c>
      <c r="L115" t="s">
        <v>7</v>
      </c>
      <c r="M115" t="s">
        <v>8</v>
      </c>
      <c r="N115" t="s">
        <v>8</v>
      </c>
      <c r="P115">
        <f t="shared" ref="P115" si="550">IF(C115=D115,0,((E115-D115)-(C115-E115))/(C115-D115))</f>
        <v>-0.39795918367346977</v>
      </c>
      <c r="Q115">
        <f t="shared" ref="Q115" si="551">F115*P115</f>
        <v>-28076.354693877576</v>
      </c>
      <c r="R115">
        <f t="shared" ref="R115" si="552">R116+Q115</f>
        <v>2091702.9058823166</v>
      </c>
      <c r="S115">
        <f t="shared" ref="S115" si="553">R115/100000</f>
        <v>20.917029058823168</v>
      </c>
      <c r="T115">
        <f t="shared" ref="T115" si="554">S115/1000</f>
        <v>2.0917029058823169E-2</v>
      </c>
    </row>
    <row r="116" spans="1:20" x14ac:dyDescent="0.25">
      <c r="A116" s="5">
        <v>44477</v>
      </c>
      <c r="B116">
        <v>25.69</v>
      </c>
      <c r="C116">
        <v>28.59</v>
      </c>
      <c r="D116">
        <v>25.69</v>
      </c>
      <c r="E116">
        <v>27.31</v>
      </c>
      <c r="F116">
        <v>164392.04</v>
      </c>
      <c r="G116">
        <v>27.31</v>
      </c>
      <c r="L116" t="s">
        <v>8</v>
      </c>
      <c r="M116" t="s">
        <v>8</v>
      </c>
      <c r="N116" t="s">
        <v>8</v>
      </c>
      <c r="P116">
        <f t="shared" ref="P116" si="555">IF(C116=D116,0,((E116-D116)-(C116-E116))/(C116-D116))</f>
        <v>0.1172413793103436</v>
      </c>
      <c r="Q116">
        <f t="shared" ref="Q116" si="556">F116*P116</f>
        <v>19273.549517241179</v>
      </c>
      <c r="R116">
        <f t="shared" ref="R116" si="557">R117+Q116</f>
        <v>2119779.2605761942</v>
      </c>
      <c r="S116">
        <f t="shared" ref="S116" si="558">R116/100000</f>
        <v>21.19779260576194</v>
      </c>
      <c r="T116">
        <f t="shared" ref="T116" si="559">S116/1000</f>
        <v>2.1197792605761941E-2</v>
      </c>
    </row>
    <row r="117" spans="1:20" x14ac:dyDescent="0.25">
      <c r="A117" s="5">
        <v>44476</v>
      </c>
      <c r="B117">
        <v>25.49</v>
      </c>
      <c r="C117">
        <v>25.98</v>
      </c>
      <c r="D117">
        <v>24.51</v>
      </c>
      <c r="E117">
        <v>25.68</v>
      </c>
      <c r="F117">
        <v>65794.95</v>
      </c>
      <c r="G117">
        <v>25.68</v>
      </c>
      <c r="L117" t="s">
        <v>7</v>
      </c>
      <c r="M117" t="s">
        <v>8</v>
      </c>
      <c r="N117" t="s">
        <v>8</v>
      </c>
      <c r="P117">
        <f t="shared" ref="P117" si="560">IF(C117=D117,0,((E117-D117)-(C117-E117))/(C117-D117))</f>
        <v>0.59183673469387632</v>
      </c>
      <c r="Q117">
        <f t="shared" ref="Q117" si="561">F117*P117</f>
        <v>38939.868367346855</v>
      </c>
      <c r="R117">
        <f t="shared" ref="R117" si="562">R118+Q117</f>
        <v>2100505.7110589528</v>
      </c>
      <c r="S117">
        <f t="shared" ref="S117" si="563">R117/100000</f>
        <v>21.005057110589529</v>
      </c>
      <c r="T117">
        <f t="shared" ref="T117" si="564">S117/1000</f>
        <v>2.1005057110589528E-2</v>
      </c>
    </row>
    <row r="118" spans="1:20" x14ac:dyDescent="0.25">
      <c r="A118" s="5">
        <v>44475</v>
      </c>
      <c r="B118">
        <v>25.25</v>
      </c>
      <c r="C118">
        <v>26.29</v>
      </c>
      <c r="D118">
        <v>23.59</v>
      </c>
      <c r="E118">
        <v>25.47</v>
      </c>
      <c r="F118">
        <v>99328.62</v>
      </c>
      <c r="G118">
        <v>25.47</v>
      </c>
      <c r="L118" t="s">
        <v>8</v>
      </c>
      <c r="M118" t="s">
        <v>8</v>
      </c>
      <c r="N118" t="s">
        <v>8</v>
      </c>
      <c r="P118">
        <f t="shared" ref="P118" si="565">IF(C118=D118,0,((E118-D118)-(C118-E118))/(C118-D118))</f>
        <v>0.39259259259259222</v>
      </c>
      <c r="Q118">
        <f t="shared" ref="Q118" si="566">F118*P118</f>
        <v>38995.680444444406</v>
      </c>
      <c r="R118">
        <f t="shared" ref="R118" si="567">R119+Q118</f>
        <v>2061565.8426916061</v>
      </c>
      <c r="S118">
        <f t="shared" ref="S118" si="568">R118/100000</f>
        <v>20.615658426916063</v>
      </c>
      <c r="T118">
        <f t="shared" ref="T118" si="569">S118/1000</f>
        <v>2.0615658426916064E-2</v>
      </c>
    </row>
    <row r="119" spans="1:20" x14ac:dyDescent="0.25">
      <c r="A119" s="5">
        <v>44474</v>
      </c>
      <c r="B119">
        <v>24.25</v>
      </c>
      <c r="C119">
        <v>25.43</v>
      </c>
      <c r="D119">
        <v>23.49</v>
      </c>
      <c r="E119">
        <v>25.18</v>
      </c>
      <c r="F119">
        <v>82324.87</v>
      </c>
      <c r="G119">
        <v>25.18</v>
      </c>
      <c r="L119" t="s">
        <v>7</v>
      </c>
      <c r="M119" t="s">
        <v>8</v>
      </c>
      <c r="N119" t="s">
        <v>7</v>
      </c>
      <c r="P119">
        <f t="shared" ref="P119" si="570">IF(C119=D119,0,((E119-D119)-(C119-E119))/(C119-D119))</f>
        <v>0.74226804123711354</v>
      </c>
      <c r="Q119">
        <f t="shared" ref="Q119" si="571">F119*P119</f>
        <v>61107.12000000001</v>
      </c>
      <c r="R119">
        <f t="shared" ref="R119" si="572">R120+Q119</f>
        <v>2022570.1622471618</v>
      </c>
      <c r="S119">
        <f t="shared" ref="S119" si="573">R119/100000</f>
        <v>20.225701622471618</v>
      </c>
      <c r="T119">
        <f t="shared" ref="T119" si="574">S119/1000</f>
        <v>2.0225701622471618E-2</v>
      </c>
    </row>
    <row r="120" spans="1:20" x14ac:dyDescent="0.25">
      <c r="A120" s="5">
        <v>44473</v>
      </c>
      <c r="B120">
        <v>23.76</v>
      </c>
      <c r="C120">
        <v>25.34</v>
      </c>
      <c r="D120">
        <v>22.89</v>
      </c>
      <c r="E120">
        <v>24.06</v>
      </c>
      <c r="F120">
        <v>112143.9</v>
      </c>
      <c r="G120">
        <v>24.06</v>
      </c>
      <c r="L120" t="s">
        <v>8</v>
      </c>
      <c r="M120" t="s">
        <v>8</v>
      </c>
      <c r="N120" t="s">
        <v>7</v>
      </c>
      <c r="P120">
        <f t="shared" ref="P120" si="575">IF(C120=D120,0,((E120-D120)-(C120-E120))/(C120-D120))</f>
        <v>-4.4897959183674702E-2</v>
      </c>
      <c r="Q120">
        <f t="shared" ref="Q120" si="576">F120*P120</f>
        <v>-5035.0322448980969</v>
      </c>
      <c r="R120">
        <f t="shared" ref="R120" si="577">R121+Q120</f>
        <v>1961463.0422471617</v>
      </c>
      <c r="S120">
        <f t="shared" ref="S120" si="578">R120/100000</f>
        <v>19.614630422471617</v>
      </c>
      <c r="T120">
        <f t="shared" ref="T120" si="579">S120/1000</f>
        <v>1.9614630422471618E-2</v>
      </c>
    </row>
    <row r="121" spans="1:20" x14ac:dyDescent="0.25">
      <c r="A121" s="5">
        <v>44472</v>
      </c>
      <c r="B121">
        <v>23.88</v>
      </c>
      <c r="C121">
        <v>24.27</v>
      </c>
      <c r="D121">
        <v>22.75</v>
      </c>
      <c r="E121">
        <v>23.55</v>
      </c>
      <c r="F121">
        <v>51629.22</v>
      </c>
      <c r="G121">
        <v>23.55</v>
      </c>
      <c r="L121" t="s">
        <v>7</v>
      </c>
      <c r="M121" t="s">
        <v>8</v>
      </c>
      <c r="N121" t="s">
        <v>7</v>
      </c>
      <c r="P121">
        <f t="shared" ref="P121" si="580">IF(C121=D121,0,((E121-D121)-(C121-E121))/(C121-D121))</f>
        <v>5.2631578947369653E-2</v>
      </c>
      <c r="Q121">
        <f t="shared" ref="Q121" si="581">F121*P121</f>
        <v>2717.3273684211163</v>
      </c>
      <c r="R121">
        <f t="shared" ref="R121" si="582">R122+Q121</f>
        <v>1966498.0744920599</v>
      </c>
      <c r="S121">
        <f t="shared" ref="S121" si="583">R121/100000</f>
        <v>19.664980744920598</v>
      </c>
      <c r="T121">
        <f t="shared" ref="T121" si="584">S121/1000</f>
        <v>1.9664980744920599E-2</v>
      </c>
    </row>
    <row r="122" spans="1:20" x14ac:dyDescent="0.25">
      <c r="A122" s="5">
        <v>44471</v>
      </c>
      <c r="B122">
        <v>23.11</v>
      </c>
      <c r="C122">
        <v>24.68</v>
      </c>
      <c r="D122">
        <v>23.09</v>
      </c>
      <c r="E122">
        <v>23.88</v>
      </c>
      <c r="F122">
        <v>81418.8</v>
      </c>
      <c r="G122">
        <v>23.88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-6.2893081761016129E-3</v>
      </c>
      <c r="Q122">
        <f t="shared" ref="Q122" si="586">F122*P122</f>
        <v>-512.06792452838204</v>
      </c>
      <c r="R122">
        <f t="shared" ref="R122" si="587">R123+Q122</f>
        <v>1963780.7471236389</v>
      </c>
      <c r="S122">
        <f t="shared" ref="S122" si="588">R122/100000</f>
        <v>19.637807471236389</v>
      </c>
      <c r="T122">
        <f t="shared" ref="T122" si="589">S122/1000</f>
        <v>1.963780747123639E-2</v>
      </c>
    </row>
    <row r="123" spans="1:20" x14ac:dyDescent="0.25">
      <c r="A123" s="5">
        <v>44470</v>
      </c>
      <c r="B123">
        <v>20.309999999999999</v>
      </c>
      <c r="C123">
        <v>24.44</v>
      </c>
      <c r="D123">
        <v>20.170000000000002</v>
      </c>
      <c r="E123">
        <v>23.14</v>
      </c>
      <c r="F123">
        <v>189133.13</v>
      </c>
      <c r="G123">
        <v>23.14</v>
      </c>
      <c r="L123" t="s">
        <v>8</v>
      </c>
      <c r="M123" t="s">
        <v>8</v>
      </c>
      <c r="N123" t="s">
        <v>7</v>
      </c>
      <c r="P123">
        <f t="shared" ref="P123" si="590">IF(C123=D123,0,((E123-D123)-(C123-E123))/(C123-D123))</f>
        <v>0.39110070257611201</v>
      </c>
      <c r="Q123">
        <f t="shared" ref="Q123" si="591">F123*P123</f>
        <v>73970.100023419131</v>
      </c>
      <c r="R123">
        <f t="shared" ref="R123" si="592">R124+Q123</f>
        <v>1964292.8150481672</v>
      </c>
      <c r="S123">
        <f t="shared" ref="S123" si="593">R123/100000</f>
        <v>19.642928150481673</v>
      </c>
      <c r="T123">
        <f t="shared" ref="T123" si="594">S123/1000</f>
        <v>1.9642928150481673E-2</v>
      </c>
    </row>
    <row r="124" spans="1:20" x14ac:dyDescent="0.25">
      <c r="A124" s="5">
        <v>44469</v>
      </c>
      <c r="B124">
        <v>18.55</v>
      </c>
      <c r="C124">
        <v>22.14</v>
      </c>
      <c r="D124">
        <v>18.54</v>
      </c>
      <c r="E124">
        <v>20.27</v>
      </c>
      <c r="F124">
        <v>153965.18</v>
      </c>
      <c r="G124">
        <v>20.27</v>
      </c>
      <c r="L124" t="s">
        <v>8</v>
      </c>
      <c r="M124" t="s">
        <v>8</v>
      </c>
      <c r="N124" t="s">
        <v>7</v>
      </c>
      <c r="P124">
        <f t="shared" ref="P124" si="595">IF(C124=D124,0,((E124-D124)-(C124-E124))/(C124-D124))</f>
        <v>-3.8888888888889028E-2</v>
      </c>
      <c r="Q124">
        <f t="shared" ref="Q124" si="596">F124*P124</f>
        <v>-5987.5347777777988</v>
      </c>
      <c r="R124">
        <f t="shared" ref="R124" si="597">R125+Q124</f>
        <v>1890322.7150247481</v>
      </c>
      <c r="S124">
        <f t="shared" ref="S124" si="598">R124/100000</f>
        <v>18.903227150247481</v>
      </c>
      <c r="T124">
        <f t="shared" ref="T124" si="599">S124/1000</f>
        <v>1.8903227150247483E-2</v>
      </c>
    </row>
    <row r="125" spans="1:20" x14ac:dyDescent="0.25">
      <c r="A125" s="5">
        <v>44468</v>
      </c>
      <c r="B125">
        <v>18.47</v>
      </c>
      <c r="C125">
        <v>20.350000000000001</v>
      </c>
      <c r="D125">
        <v>18</v>
      </c>
      <c r="E125">
        <v>18.57</v>
      </c>
      <c r="F125">
        <v>116382.29</v>
      </c>
      <c r="G125">
        <v>18.57</v>
      </c>
      <c r="L125" t="s">
        <v>7</v>
      </c>
      <c r="M125" t="s">
        <v>7</v>
      </c>
      <c r="N125" t="s">
        <v>7</v>
      </c>
      <c r="P125">
        <f t="shared" ref="P125" si="600">IF(C125=D125,0,((E125-D125)-(C125-E125))/(C125-D125))</f>
        <v>-0.51489361702127667</v>
      </c>
      <c r="Q125">
        <f t="shared" ref="Q125" si="601">F125*P125</f>
        <v>-59924.498255319151</v>
      </c>
      <c r="R125">
        <f t="shared" ref="R125" si="602">R126+Q125</f>
        <v>1896310.2498025259</v>
      </c>
      <c r="S125">
        <f t="shared" ref="S125" si="603">R125/100000</f>
        <v>18.963102498025258</v>
      </c>
      <c r="T125">
        <f t="shared" ref="T125" si="604">S125/1000</f>
        <v>1.8963102498025259E-2</v>
      </c>
    </row>
    <row r="126" spans="1:20" x14ac:dyDescent="0.25">
      <c r="A126" s="5">
        <v>44467</v>
      </c>
      <c r="B126">
        <v>19.87</v>
      </c>
      <c r="C126">
        <v>20.25</v>
      </c>
      <c r="D126">
        <v>18.38</v>
      </c>
      <c r="E126">
        <v>18.45</v>
      </c>
      <c r="F126">
        <v>50039.811000000002</v>
      </c>
      <c r="G126">
        <v>18.45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-0.92513368983957189</v>
      </c>
      <c r="Q126">
        <f t="shared" ref="Q126" si="606">F126*P126</f>
        <v>-46293.5149893048</v>
      </c>
      <c r="R126">
        <f t="shared" ref="R126" si="607">R127+Q126</f>
        <v>1956234.748057845</v>
      </c>
      <c r="S126">
        <f t="shared" ref="S126" si="608">R126/100000</f>
        <v>19.562347480578449</v>
      </c>
      <c r="T126">
        <f t="shared" ref="T126" si="609">S126/1000</f>
        <v>1.9562347480578449E-2</v>
      </c>
    </row>
    <row r="127" spans="1:20" x14ac:dyDescent="0.25">
      <c r="A127" s="5">
        <v>44466</v>
      </c>
      <c r="B127">
        <v>20.92</v>
      </c>
      <c r="C127">
        <v>21.17</v>
      </c>
      <c r="D127">
        <v>19.88</v>
      </c>
      <c r="E127">
        <v>19.91</v>
      </c>
      <c r="F127">
        <v>54068.74</v>
      </c>
      <c r="G127">
        <v>19.91</v>
      </c>
      <c r="L127" t="s">
        <v>8</v>
      </c>
      <c r="M127" t="s">
        <v>7</v>
      </c>
      <c r="N127" t="s">
        <v>7</v>
      </c>
      <c r="P127">
        <f t="shared" ref="P127" si="610">IF(C127=D127,0,((E127-D127)-(C127-E127))/(C127-D127))</f>
        <v>-0.95348837209302162</v>
      </c>
      <c r="Q127">
        <f t="shared" ref="Q127" si="611">F127*P127</f>
        <v>-51553.914883720841</v>
      </c>
      <c r="R127">
        <f t="shared" ref="R127" si="612">R128+Q127</f>
        <v>2002528.2630471499</v>
      </c>
      <c r="S127">
        <f t="shared" ref="S127" si="613">R127/100000</f>
        <v>20.025282630471498</v>
      </c>
      <c r="T127">
        <f t="shared" ref="T127" si="614">S127/1000</f>
        <v>2.0025282630471496E-2</v>
      </c>
    </row>
    <row r="128" spans="1:20" x14ac:dyDescent="0.25">
      <c r="A128" s="5">
        <v>44465</v>
      </c>
      <c r="B128">
        <v>21.99</v>
      </c>
      <c r="C128">
        <v>22.08</v>
      </c>
      <c r="D128">
        <v>19.260000000000002</v>
      </c>
      <c r="E128">
        <v>20.89</v>
      </c>
      <c r="F128">
        <v>178437.98</v>
      </c>
      <c r="G128">
        <v>20.89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0.15602836879432688</v>
      </c>
      <c r="Q128">
        <f t="shared" ref="Q128" si="616">F128*P128</f>
        <v>27841.386950354725</v>
      </c>
      <c r="R128">
        <f t="shared" ref="R128" si="617">R129+Q128</f>
        <v>2054082.1779308708</v>
      </c>
      <c r="S128">
        <f t="shared" ref="S128" si="618">R128/100000</f>
        <v>20.540821779308708</v>
      </c>
      <c r="T128">
        <f t="shared" ref="T128" si="619">S128/1000</f>
        <v>2.0540821779308709E-2</v>
      </c>
    </row>
    <row r="129" spans="1:20" x14ac:dyDescent="0.25">
      <c r="A129" s="5">
        <v>44464</v>
      </c>
      <c r="B129">
        <v>20.38</v>
      </c>
      <c r="C129">
        <v>23.04</v>
      </c>
      <c r="D129">
        <v>19.62</v>
      </c>
      <c r="E129">
        <v>21.95</v>
      </c>
      <c r="F129">
        <v>150045.6</v>
      </c>
      <c r="G129">
        <v>21.95</v>
      </c>
      <c r="L129" t="s">
        <v>8</v>
      </c>
      <c r="M129" t="s">
        <v>8</v>
      </c>
      <c r="N129" t="s">
        <v>7</v>
      </c>
      <c r="P129">
        <f t="shared" ref="P129" si="620">IF(C129=D129,0,((E129-D129)-(C129-E129))/(C129-D129))</f>
        <v>0.36257309941520444</v>
      </c>
      <c r="Q129">
        <f t="shared" ref="Q129" si="621">F129*P129</f>
        <v>54402.498245613999</v>
      </c>
      <c r="R129">
        <f t="shared" ref="R129" si="622">R130+Q129</f>
        <v>2026240.790980516</v>
      </c>
      <c r="S129">
        <f t="shared" ref="S129" si="623">R129/100000</f>
        <v>20.262407909805159</v>
      </c>
      <c r="T129">
        <f t="shared" ref="T129" si="624">S129/1000</f>
        <v>2.0262407909805158E-2</v>
      </c>
    </row>
    <row r="130" spans="1:20" x14ac:dyDescent="0.25">
      <c r="A130" s="5">
        <v>44463</v>
      </c>
      <c r="B130">
        <v>22.25</v>
      </c>
      <c r="C130">
        <v>22.27</v>
      </c>
      <c r="D130">
        <v>18.899999999999999</v>
      </c>
      <c r="E130">
        <v>20.350000000000001</v>
      </c>
      <c r="F130">
        <v>55533.58</v>
      </c>
      <c r="G130">
        <v>20.350000000000001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-0.13946587537091845</v>
      </c>
      <c r="Q130">
        <f t="shared" ref="Q130" si="626">F130*P130</f>
        <v>-7745.0393471809293</v>
      </c>
      <c r="R130">
        <f t="shared" ref="R130" si="627">R131+Q130</f>
        <v>1971838.2927349019</v>
      </c>
      <c r="S130">
        <f t="shared" ref="S130" si="628">R130/100000</f>
        <v>19.718382927349019</v>
      </c>
      <c r="T130">
        <f t="shared" ref="T130" si="629">S130/1000</f>
        <v>1.971838292734902E-2</v>
      </c>
    </row>
    <row r="131" spans="1:20" x14ac:dyDescent="0.25">
      <c r="A131" s="5">
        <v>44462</v>
      </c>
      <c r="B131">
        <v>21.79</v>
      </c>
      <c r="C131">
        <v>22.26</v>
      </c>
      <c r="D131">
        <v>20.74</v>
      </c>
      <c r="E131">
        <v>22.25</v>
      </c>
      <c r="F131">
        <v>112925.32</v>
      </c>
      <c r="G131">
        <v>22.25</v>
      </c>
      <c r="L131" t="s">
        <v>8</v>
      </c>
      <c r="M131" t="s">
        <v>7</v>
      </c>
      <c r="N131" t="s">
        <v>7</v>
      </c>
      <c r="P131">
        <f t="shared" ref="P131" si="630">IF(C131=D131,0,((E131-D131)-(C131-E131))/(C131-D131))</f>
        <v>0.98684210526315586</v>
      </c>
      <c r="Q131">
        <f t="shared" ref="Q131" si="631">F131*P131</f>
        <v>111439.46052631557</v>
      </c>
      <c r="R131">
        <f t="shared" ref="R131" si="632">R132+Q131</f>
        <v>1979583.3320820828</v>
      </c>
      <c r="S131">
        <f t="shared" ref="S131" si="633">R131/100000</f>
        <v>19.795833320820826</v>
      </c>
      <c r="T131">
        <f t="shared" ref="T131" si="634">S131/1000</f>
        <v>1.9795833320820827E-2</v>
      </c>
    </row>
    <row r="132" spans="1:20" x14ac:dyDescent="0.25">
      <c r="A132" s="5">
        <v>44461</v>
      </c>
      <c r="B132">
        <v>19.329999999999998</v>
      </c>
      <c r="C132">
        <v>21.98</v>
      </c>
      <c r="D132">
        <v>18.8</v>
      </c>
      <c r="E132">
        <v>21.81</v>
      </c>
      <c r="F132">
        <v>87194.285999999993</v>
      </c>
      <c r="G132">
        <v>21.81</v>
      </c>
      <c r="L132" t="s">
        <v>7</v>
      </c>
      <c r="M132" t="s">
        <v>7</v>
      </c>
      <c r="N132" t="s">
        <v>7</v>
      </c>
      <c r="P132">
        <f t="shared" ref="P132" si="635">IF(C132=D132,0,((E132-D132)-(C132-E132))/(C132-D132))</f>
        <v>0.89308176100628822</v>
      </c>
      <c r="Q132">
        <f t="shared" ref="Q132" si="636">F132*P132</f>
        <v>77871.626490565934</v>
      </c>
      <c r="R132">
        <f t="shared" ref="R132" si="637">R133+Q132</f>
        <v>1868143.8715557673</v>
      </c>
      <c r="S132">
        <f t="shared" ref="S132" si="638">R132/100000</f>
        <v>18.681438715557672</v>
      </c>
      <c r="T132">
        <f t="shared" ref="T132" si="639">S132/1000</f>
        <v>1.868143871555767E-2</v>
      </c>
    </row>
    <row r="133" spans="1:20" x14ac:dyDescent="0.25">
      <c r="A133" s="5">
        <v>44460</v>
      </c>
      <c r="B133">
        <v>21.34</v>
      </c>
      <c r="C133">
        <v>22.39</v>
      </c>
      <c r="D133">
        <v>19.12</v>
      </c>
      <c r="E133">
        <v>19.28</v>
      </c>
      <c r="F133">
        <v>105553.185</v>
      </c>
      <c r="G133">
        <v>19.28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-0.90214067278287446</v>
      </c>
      <c r="Q133">
        <f t="shared" ref="Q133" si="641">F133*P133</f>
        <v>-95223.821330275212</v>
      </c>
      <c r="R133">
        <f t="shared" ref="R133" si="642">R134+Q133</f>
        <v>1790272.2450652013</v>
      </c>
      <c r="S133">
        <f t="shared" ref="S133" si="643">R133/100000</f>
        <v>17.902722450652014</v>
      </c>
      <c r="T133">
        <f t="shared" ref="T133" si="644">S133/1000</f>
        <v>1.7902722450652015E-2</v>
      </c>
    </row>
    <row r="134" spans="1:20" x14ac:dyDescent="0.25">
      <c r="A134" s="5">
        <v>44459</v>
      </c>
      <c r="B134">
        <v>25.1</v>
      </c>
      <c r="C134">
        <v>25.7</v>
      </c>
      <c r="D134">
        <v>22.32</v>
      </c>
      <c r="E134">
        <v>22.42</v>
      </c>
      <c r="F134">
        <v>38736.811999999998</v>
      </c>
      <c r="G134">
        <v>22.42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-0.94082840236686305</v>
      </c>
      <c r="Q134">
        <f t="shared" ref="Q134" si="646">F134*P134</f>
        <v>-36444.692946745527</v>
      </c>
      <c r="R134">
        <f t="shared" ref="R134" si="647">R135+Q134</f>
        <v>1885496.0663954765</v>
      </c>
      <c r="S134">
        <f t="shared" ref="S134" si="648">R134/100000</f>
        <v>18.854960663954763</v>
      </c>
      <c r="T134">
        <f t="shared" ref="T134" si="649">S134/1000</f>
        <v>1.8854960663954763E-2</v>
      </c>
    </row>
    <row r="135" spans="1:20" x14ac:dyDescent="0.25">
      <c r="A135" s="5">
        <v>44458</v>
      </c>
      <c r="B135">
        <v>26.49</v>
      </c>
      <c r="C135">
        <v>26.52</v>
      </c>
      <c r="D135">
        <v>24.98</v>
      </c>
      <c r="E135">
        <v>25.1</v>
      </c>
      <c r="F135">
        <v>14812.01</v>
      </c>
      <c r="G135">
        <v>25.1</v>
      </c>
      <c r="L135" t="s">
        <v>7</v>
      </c>
      <c r="M135" t="s">
        <v>7</v>
      </c>
      <c r="N135" t="s">
        <v>7</v>
      </c>
      <c r="P135">
        <f t="shared" ref="P135" si="650">IF(C135=D135,0,((E135-D135)-(C135-E135))/(C135-D135))</f>
        <v>-0.84415584415584277</v>
      </c>
      <c r="Q135">
        <f t="shared" ref="Q135" si="651">F135*P135</f>
        <v>-12503.644805194785</v>
      </c>
      <c r="R135">
        <f t="shared" ref="R135" si="652">R136+Q135</f>
        <v>1921940.759342222</v>
      </c>
      <c r="S135">
        <f t="shared" ref="S135" si="653">R135/100000</f>
        <v>19.219407593422218</v>
      </c>
      <c r="T135">
        <f t="shared" ref="T135" si="654">S135/1000</f>
        <v>1.9219407593422218E-2</v>
      </c>
    </row>
    <row r="136" spans="1:20" x14ac:dyDescent="0.25">
      <c r="A136" s="5">
        <v>44457</v>
      </c>
      <c r="B136">
        <v>26.24</v>
      </c>
      <c r="C136">
        <v>26.62</v>
      </c>
      <c r="D136">
        <v>25.66</v>
      </c>
      <c r="E136">
        <v>26.51</v>
      </c>
      <c r="F136">
        <v>24911.47</v>
      </c>
      <c r="G136">
        <v>26.51</v>
      </c>
      <c r="L136" t="s">
        <v>8</v>
      </c>
      <c r="M136" t="s">
        <v>7</v>
      </c>
      <c r="N136" t="s">
        <v>7</v>
      </c>
      <c r="P136">
        <f t="shared" ref="P136" si="655">IF(C136=D136,0,((E136-D136)-(C136-E136))/(C136-D136))</f>
        <v>0.7708333333333347</v>
      </c>
      <c r="Q136">
        <f t="shared" ref="Q136" si="656">F136*P136</f>
        <v>19202.591458333369</v>
      </c>
      <c r="R136">
        <f t="shared" ref="R136" si="657">R137+Q136</f>
        <v>1934444.4041474168</v>
      </c>
      <c r="S136">
        <f t="shared" ref="S136" si="658">R136/100000</f>
        <v>19.344444041474169</v>
      </c>
      <c r="T136">
        <f t="shared" ref="T136" si="659">S136/1000</f>
        <v>1.934444404147417E-2</v>
      </c>
    </row>
    <row r="137" spans="1:20" x14ac:dyDescent="0.25">
      <c r="A137" s="5">
        <v>44456</v>
      </c>
      <c r="B137">
        <v>26.37</v>
      </c>
      <c r="C137">
        <v>26.79</v>
      </c>
      <c r="D137">
        <v>25.5</v>
      </c>
      <c r="E137">
        <v>26.25</v>
      </c>
      <c r="F137">
        <v>24362.9</v>
      </c>
      <c r="G137">
        <v>26.25</v>
      </c>
      <c r="L137" t="s">
        <v>8</v>
      </c>
      <c r="M137" t="s">
        <v>7</v>
      </c>
      <c r="N137" t="s">
        <v>7</v>
      </c>
      <c r="P137">
        <f t="shared" ref="P137" si="660">IF(C137=D137,0,((E137-D137)-(C137-E137))/(C137-D137))</f>
        <v>0.16279069767441937</v>
      </c>
      <c r="Q137">
        <f t="shared" ref="Q137" si="661">F137*P137</f>
        <v>3966.0534883721116</v>
      </c>
      <c r="R137">
        <f t="shared" ref="R137" si="662">R138+Q137</f>
        <v>1915241.8126890834</v>
      </c>
      <c r="S137">
        <f t="shared" ref="S137" si="663">R137/100000</f>
        <v>19.152418126890833</v>
      </c>
      <c r="T137">
        <f t="shared" ref="T137" si="664">S137/1000</f>
        <v>1.9152418126890832E-2</v>
      </c>
    </row>
    <row r="138" spans="1:20" x14ac:dyDescent="0.25">
      <c r="A138" s="5">
        <v>44455</v>
      </c>
      <c r="B138">
        <v>26.78</v>
      </c>
      <c r="C138">
        <v>27.29</v>
      </c>
      <c r="D138">
        <v>25.8</v>
      </c>
      <c r="E138">
        <v>26.31</v>
      </c>
      <c r="F138">
        <v>43117.5</v>
      </c>
      <c r="G138">
        <v>26.31</v>
      </c>
      <c r="L138" t="s">
        <v>8</v>
      </c>
      <c r="M138" t="s">
        <v>7</v>
      </c>
      <c r="N138" t="s">
        <v>7</v>
      </c>
      <c r="P138">
        <f t="shared" ref="P138" si="665">IF(C138=D138,0,((E138-D138)-(C138-E138))/(C138-D138))</f>
        <v>-0.31543624161074019</v>
      </c>
      <c r="Q138">
        <f t="shared" ref="Q138" si="666">F138*P138</f>
        <v>-13600.82214765109</v>
      </c>
      <c r="R138">
        <f t="shared" ref="R138" si="667">R139+Q138</f>
        <v>1911275.7592007113</v>
      </c>
      <c r="S138">
        <f t="shared" ref="S138" si="668">R138/100000</f>
        <v>19.112757592007114</v>
      </c>
      <c r="T138">
        <f t="shared" ref="T138" si="669">S138/1000</f>
        <v>1.9112757592007115E-2</v>
      </c>
    </row>
    <row r="139" spans="1:20" x14ac:dyDescent="0.25">
      <c r="A139" s="5">
        <v>44454</v>
      </c>
      <c r="B139">
        <v>26.06</v>
      </c>
      <c r="C139">
        <v>26.86</v>
      </c>
      <c r="D139">
        <v>25.62</v>
      </c>
      <c r="E139">
        <v>26.79</v>
      </c>
      <c r="F139">
        <v>24905.25</v>
      </c>
      <c r="G139">
        <v>26.79</v>
      </c>
      <c r="L139" t="s">
        <v>8</v>
      </c>
      <c r="M139" t="s">
        <v>7</v>
      </c>
      <c r="N139" t="s">
        <v>7</v>
      </c>
      <c r="P139">
        <f t="shared" ref="P139" si="670">IF(C139=D139,0,((E139-D139)-(C139-E139))/(C139-D139))</f>
        <v>0.88709677419354782</v>
      </c>
      <c r="Q139">
        <f t="shared" ref="Q139" si="671">F139*P139</f>
        <v>22093.366935483857</v>
      </c>
      <c r="R139">
        <f t="shared" ref="R139" si="672">R140+Q139</f>
        <v>1924876.5813483624</v>
      </c>
      <c r="S139">
        <f t="shared" ref="S139" si="673">R139/100000</f>
        <v>19.248765813483622</v>
      </c>
      <c r="T139">
        <f t="shared" ref="T139" si="674">S139/1000</f>
        <v>1.9248765813483622E-2</v>
      </c>
    </row>
    <row r="140" spans="1:20" x14ac:dyDescent="0.25">
      <c r="A140" s="5">
        <v>44453</v>
      </c>
      <c r="B140">
        <v>25.03</v>
      </c>
      <c r="C140">
        <v>26.28</v>
      </c>
      <c r="D140">
        <v>24.73</v>
      </c>
      <c r="E140">
        <v>26.06</v>
      </c>
      <c r="F140">
        <v>43954.79</v>
      </c>
      <c r="G140">
        <v>26.06</v>
      </c>
      <c r="L140" t="s">
        <v>8</v>
      </c>
      <c r="M140" t="s">
        <v>7</v>
      </c>
      <c r="N140" t="s">
        <v>7</v>
      </c>
      <c r="P140">
        <f t="shared" ref="P140" si="675">IF(C140=D140,0,((E140-D140)-(C140-E140))/(C140-D140))</f>
        <v>0.71612903225806157</v>
      </c>
      <c r="Q140">
        <f t="shared" ref="Q140" si="676">F140*P140</f>
        <v>31477.301225806325</v>
      </c>
      <c r="R140">
        <f t="shared" ref="R140" si="677">R141+Q140</f>
        <v>1902783.2144128785</v>
      </c>
      <c r="S140">
        <f t="shared" ref="S140" si="678">R140/100000</f>
        <v>19.027832144128784</v>
      </c>
      <c r="T140">
        <f t="shared" ref="T140" si="679">S140/1000</f>
        <v>1.9027832144128783E-2</v>
      </c>
    </row>
    <row r="141" spans="1:20" x14ac:dyDescent="0.25">
      <c r="A141" s="5">
        <v>44452</v>
      </c>
      <c r="B141">
        <v>26.56</v>
      </c>
      <c r="C141">
        <v>26.62</v>
      </c>
      <c r="D141">
        <v>23.39</v>
      </c>
      <c r="E141">
        <v>25.04</v>
      </c>
      <c r="F141">
        <v>65834.98</v>
      </c>
      <c r="G141">
        <v>25.04</v>
      </c>
      <c r="L141" t="s">
        <v>7</v>
      </c>
      <c r="M141" t="s">
        <v>7</v>
      </c>
      <c r="N141" t="s">
        <v>7</v>
      </c>
      <c r="P141">
        <f t="shared" ref="P141" si="680">IF(C141=D141,0,((E141-D141)-(C141-E141))/(C141-D141))</f>
        <v>2.1671826625385981E-2</v>
      </c>
      <c r="Q141">
        <f t="shared" ref="Q141" si="681">F141*P141</f>
        <v>1426.7642724457535</v>
      </c>
      <c r="R141">
        <f t="shared" ref="R141" si="682">R142+Q141</f>
        <v>1871305.9131870721</v>
      </c>
      <c r="S141">
        <f t="shared" ref="S141" si="683">R141/100000</f>
        <v>18.713059131870722</v>
      </c>
      <c r="T141">
        <f t="shared" ref="T141" si="684">S141/1000</f>
        <v>1.8713059131870723E-2</v>
      </c>
    </row>
    <row r="142" spans="1:20" x14ac:dyDescent="0.25">
      <c r="A142" s="5">
        <v>44451</v>
      </c>
      <c r="B142">
        <v>25.55</v>
      </c>
      <c r="C142">
        <v>27.82</v>
      </c>
      <c r="D142">
        <v>25.44</v>
      </c>
      <c r="E142">
        <v>26.57</v>
      </c>
      <c r="F142">
        <v>101583.43</v>
      </c>
      <c r="G142">
        <v>26.57</v>
      </c>
      <c r="L142" t="s">
        <v>8</v>
      </c>
      <c r="M142" t="s">
        <v>8</v>
      </c>
      <c r="N142" t="s">
        <v>7</v>
      </c>
      <c r="P142">
        <f t="shared" ref="P142" si="685">IF(C142=D142,0,((E142-D142)-(C142-E142))/(C142-D142))</f>
        <v>-5.0420168067227329E-2</v>
      </c>
      <c r="Q142">
        <f t="shared" ref="Q142" si="686">F142*P142</f>
        <v>-5121.8536134454225</v>
      </c>
      <c r="R142">
        <f t="shared" ref="R142" si="687">R143+Q142</f>
        <v>1869879.1489146263</v>
      </c>
      <c r="S142">
        <f t="shared" ref="S142" si="688">R142/100000</f>
        <v>18.698791489146263</v>
      </c>
      <c r="T142">
        <f t="shared" ref="T142" si="689">S142/1000</f>
        <v>1.8698791489146264E-2</v>
      </c>
    </row>
    <row r="143" spans="1:20" x14ac:dyDescent="0.25">
      <c r="A143" s="5">
        <v>44450</v>
      </c>
      <c r="B143">
        <v>25.26</v>
      </c>
      <c r="C143">
        <v>26.14</v>
      </c>
      <c r="D143">
        <v>24.41</v>
      </c>
      <c r="E143">
        <v>25.46</v>
      </c>
      <c r="F143">
        <v>47539.95</v>
      </c>
      <c r="G143">
        <v>25.46</v>
      </c>
      <c r="L143" t="s">
        <v>7</v>
      </c>
      <c r="M143" t="s">
        <v>8</v>
      </c>
      <c r="N143" t="s">
        <v>7</v>
      </c>
      <c r="P143">
        <f t="shared" ref="P143" si="690">IF(C143=D143,0,((E143-D143)-(C143-E143))/(C143-D143))</f>
        <v>0.21387283236994273</v>
      </c>
      <c r="Q143">
        <f t="shared" ref="Q143" si="691">F143*P143</f>
        <v>10167.503757225459</v>
      </c>
      <c r="R143">
        <f t="shared" ref="R143" si="692">R144+Q143</f>
        <v>1875001.0025280719</v>
      </c>
      <c r="S143">
        <f t="shared" ref="S143" si="693">R143/100000</f>
        <v>18.750010025280719</v>
      </c>
      <c r="T143">
        <f t="shared" ref="T143" si="694">S143/1000</f>
        <v>1.8750010025280719E-2</v>
      </c>
    </row>
    <row r="144" spans="1:20" x14ac:dyDescent="0.25">
      <c r="A144" s="5">
        <v>44449</v>
      </c>
      <c r="B144">
        <v>26.59</v>
      </c>
      <c r="C144">
        <v>27.81</v>
      </c>
      <c r="D144">
        <v>24.38</v>
      </c>
      <c r="E144">
        <v>25.26</v>
      </c>
      <c r="F144">
        <v>59631.45</v>
      </c>
      <c r="G144">
        <v>25.26</v>
      </c>
      <c r="L144" t="s">
        <v>7</v>
      </c>
      <c r="M144" t="s">
        <v>8</v>
      </c>
      <c r="N144" t="s">
        <v>7</v>
      </c>
      <c r="P144">
        <f t="shared" ref="P144" si="695">IF(C144=D144,0,((E144-D144)-(C144-E144))/(C144-D144))</f>
        <v>-0.48688046647230165</v>
      </c>
      <c r="Q144">
        <f t="shared" ref="Q144" si="696">F144*P144</f>
        <v>-29033.38819241973</v>
      </c>
      <c r="R144">
        <f t="shared" ref="R144" si="697">R145+Q144</f>
        <v>1864833.4987708465</v>
      </c>
      <c r="S144">
        <f t="shared" ref="S144" si="698">R144/100000</f>
        <v>18.648334987708466</v>
      </c>
      <c r="T144">
        <f t="shared" ref="T144" si="699">S144/1000</f>
        <v>1.8648334987708466E-2</v>
      </c>
    </row>
    <row r="145" spans="1:20" x14ac:dyDescent="0.25">
      <c r="A145" s="5">
        <v>44448</v>
      </c>
      <c r="B145">
        <v>25.45</v>
      </c>
      <c r="C145">
        <v>27.59</v>
      </c>
      <c r="D145">
        <v>25.12</v>
      </c>
      <c r="E145">
        <v>26.58</v>
      </c>
      <c r="F145">
        <v>58928.67</v>
      </c>
      <c r="G145">
        <v>26.58</v>
      </c>
      <c r="L145" t="s">
        <v>8</v>
      </c>
      <c r="M145" t="s">
        <v>7</v>
      </c>
      <c r="N145" t="s">
        <v>7</v>
      </c>
      <c r="P145">
        <f t="shared" ref="P145" si="700">IF(C145=D145,0,((E145-D145)-(C145-E145))/(C145-D145))</f>
        <v>0.18218623481781213</v>
      </c>
      <c r="Q145">
        <f t="shared" ref="Q145" si="701">F145*P145</f>
        <v>10735.992510121361</v>
      </c>
      <c r="R145">
        <f t="shared" ref="R145" si="702">R146+Q145</f>
        <v>1893866.8869632662</v>
      </c>
      <c r="S145">
        <f t="shared" ref="S145" si="703">R145/100000</f>
        <v>18.938668869632661</v>
      </c>
      <c r="T145">
        <f t="shared" ref="T145" si="704">S145/1000</f>
        <v>1.893866886963266E-2</v>
      </c>
    </row>
    <row r="146" spans="1:20" x14ac:dyDescent="0.25">
      <c r="A146" s="5">
        <v>44447</v>
      </c>
      <c r="B146">
        <v>25.9</v>
      </c>
      <c r="C146">
        <v>26.55</v>
      </c>
      <c r="D146">
        <v>22.76</v>
      </c>
      <c r="E146">
        <v>25.48</v>
      </c>
      <c r="F146">
        <v>80647.971999999994</v>
      </c>
      <c r="G146">
        <v>25.48</v>
      </c>
      <c r="L146" t="s">
        <v>7</v>
      </c>
      <c r="M146" t="s">
        <v>7</v>
      </c>
      <c r="N146" t="s">
        <v>7</v>
      </c>
      <c r="P146">
        <f t="shared" ref="P146" si="705">IF(C146=D146,0,((E146-D146)-(C146-E146))/(C146-D146))</f>
        <v>0.43535620052770418</v>
      </c>
      <c r="Q146">
        <f t="shared" ref="Q146" si="706">F146*P146</f>
        <v>35110.59467018467</v>
      </c>
      <c r="R146">
        <f t="shared" ref="R146" si="707">R147+Q146</f>
        <v>1883130.8944531449</v>
      </c>
      <c r="S146">
        <f t="shared" ref="S146" si="708">R146/100000</f>
        <v>18.83130894453145</v>
      </c>
      <c r="T146">
        <f t="shared" ref="T146" si="709">S146/1000</f>
        <v>1.8831308944531451E-2</v>
      </c>
    </row>
    <row r="147" spans="1:20" x14ac:dyDescent="0.25">
      <c r="A147" s="5">
        <v>44446</v>
      </c>
      <c r="B147">
        <v>32.74</v>
      </c>
      <c r="C147">
        <v>33.090000000000003</v>
      </c>
      <c r="D147">
        <v>23.468</v>
      </c>
      <c r="E147">
        <v>25.83</v>
      </c>
      <c r="F147">
        <v>120206.162</v>
      </c>
      <c r="G147">
        <v>25.83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-0.50904177925587246</v>
      </c>
      <c r="Q147">
        <f t="shared" ref="Q147" si="711">F147*P147</f>
        <v>-61189.958581999643</v>
      </c>
      <c r="R147">
        <f t="shared" ref="R147" si="712">R148+Q147</f>
        <v>1848020.2997829602</v>
      </c>
      <c r="S147">
        <f t="shared" ref="S147" si="713">R147/100000</f>
        <v>18.480202997829601</v>
      </c>
      <c r="T147">
        <f t="shared" ref="T147" si="714">S147/1000</f>
        <v>1.8480202997829601E-2</v>
      </c>
    </row>
    <row r="148" spans="1:20" x14ac:dyDescent="0.25">
      <c r="A148" s="5">
        <v>44445</v>
      </c>
      <c r="B148">
        <v>33.590000000000003</v>
      </c>
      <c r="C148">
        <v>34.700000000000003</v>
      </c>
      <c r="D148">
        <v>31.55</v>
      </c>
      <c r="E148">
        <v>32.659999999999997</v>
      </c>
      <c r="F148">
        <v>91184.75</v>
      </c>
      <c r="G148">
        <v>32.659999999999997</v>
      </c>
      <c r="L148" t="s">
        <v>7</v>
      </c>
      <c r="M148" t="s">
        <v>8</v>
      </c>
      <c r="N148" t="s">
        <v>8</v>
      </c>
      <c r="P148">
        <f t="shared" ref="P148" si="715">IF(C148=D148,0,((E148-D148)-(C148-E148))/(C148-D148))</f>
        <v>-0.29523809523809835</v>
      </c>
      <c r="Q148">
        <f t="shared" ref="Q148" si="716">F148*P148</f>
        <v>-26921.211904762189</v>
      </c>
      <c r="R148">
        <f t="shared" ref="R148" si="717">R149+Q148</f>
        <v>1909210.2583649599</v>
      </c>
      <c r="S148">
        <f t="shared" ref="S148" si="718">R148/100000</f>
        <v>19.092102583649599</v>
      </c>
      <c r="T148">
        <f t="shared" ref="T148" si="719">S148/1000</f>
        <v>1.9092102583649597E-2</v>
      </c>
    </row>
    <row r="149" spans="1:20" x14ac:dyDescent="0.25">
      <c r="A149" s="5">
        <v>44444</v>
      </c>
      <c r="B149">
        <v>33.36</v>
      </c>
      <c r="C149">
        <v>36</v>
      </c>
      <c r="D149">
        <v>31.66</v>
      </c>
      <c r="E149">
        <v>33.65</v>
      </c>
      <c r="F149">
        <v>183441.77499999999</v>
      </c>
      <c r="G149">
        <v>33.65</v>
      </c>
      <c r="L149" t="s">
        <v>8</v>
      </c>
      <c r="M149" t="s">
        <v>8</v>
      </c>
      <c r="N149" t="s">
        <v>8</v>
      </c>
      <c r="P149">
        <f t="shared" ref="P149" si="720">IF(C149=D149,0,((E149-D149)-(C149-E149))/(C149-D149))</f>
        <v>-8.2949308755761064E-2</v>
      </c>
      <c r="Q149">
        <f t="shared" ref="Q149" si="721">F149*P149</f>
        <v>-15216.36843317985</v>
      </c>
      <c r="R149">
        <f t="shared" ref="R149" si="722">R150+Q149</f>
        <v>1936131.4702697219</v>
      </c>
      <c r="S149">
        <f t="shared" ref="S149" si="723">R149/100000</f>
        <v>19.361314702697218</v>
      </c>
      <c r="T149">
        <f t="shared" ref="T149" si="724">S149/1000</f>
        <v>1.9361314702697217E-2</v>
      </c>
    </row>
    <row r="150" spans="1:20" x14ac:dyDescent="0.25">
      <c r="A150" s="5">
        <v>44443</v>
      </c>
      <c r="B150">
        <v>29.75</v>
      </c>
      <c r="C150">
        <v>33.89</v>
      </c>
      <c r="D150">
        <v>29.49</v>
      </c>
      <c r="E150">
        <v>33.35</v>
      </c>
      <c r="F150">
        <v>199000.77</v>
      </c>
      <c r="G150">
        <v>33.35</v>
      </c>
      <c r="L150" t="s">
        <v>8</v>
      </c>
      <c r="M150" t="s">
        <v>8</v>
      </c>
      <c r="N150" t="s">
        <v>8</v>
      </c>
      <c r="P150">
        <f t="shared" ref="P150" si="725">IF(C150=D150,0,((E150-D150)-(C150-E150))/(C150-D150))</f>
        <v>0.75454545454545507</v>
      </c>
      <c r="Q150">
        <f t="shared" ref="Q150" si="726">F150*P150</f>
        <v>150155.12645454556</v>
      </c>
      <c r="R150">
        <f t="shared" ref="R150" si="727">R151+Q150</f>
        <v>1951347.8387029017</v>
      </c>
      <c r="S150">
        <f t="shared" ref="S150" si="728">R150/100000</f>
        <v>19.513478387029018</v>
      </c>
      <c r="T150">
        <f t="shared" ref="T150" si="729">S150/1000</f>
        <v>1.9513478387029017E-2</v>
      </c>
    </row>
    <row r="151" spans="1:20" x14ac:dyDescent="0.25">
      <c r="A151" s="5">
        <v>44442</v>
      </c>
      <c r="B151">
        <v>28.77</v>
      </c>
      <c r="C151">
        <v>29.82</v>
      </c>
      <c r="D151">
        <v>28.25</v>
      </c>
      <c r="E151">
        <v>29.76</v>
      </c>
      <c r="F151">
        <v>60805.27</v>
      </c>
      <c r="G151">
        <v>29.76</v>
      </c>
      <c r="L151" t="s">
        <v>8</v>
      </c>
      <c r="M151" t="s">
        <v>7</v>
      </c>
      <c r="N151" t="s">
        <v>8</v>
      </c>
      <c r="P151">
        <f t="shared" ref="P151" si="730">IF(C151=D151,0,((E151-D151)-(C151-E151))/(C151-D151))</f>
        <v>0.9235668789808934</v>
      </c>
      <c r="Q151">
        <f t="shared" ref="Q151" si="731">F151*P151</f>
        <v>56157.733439490548</v>
      </c>
      <c r="R151">
        <f t="shared" ref="R151" si="732">R152+Q151</f>
        <v>1801192.7122483561</v>
      </c>
      <c r="S151">
        <f t="shared" ref="S151" si="733">R151/100000</f>
        <v>18.011927122483559</v>
      </c>
      <c r="T151">
        <f t="shared" ref="T151" si="734">S151/1000</f>
        <v>1.8011927122483559E-2</v>
      </c>
    </row>
    <row r="152" spans="1:20" x14ac:dyDescent="0.25">
      <c r="A152" s="5">
        <v>44441</v>
      </c>
      <c r="B152">
        <v>28.9</v>
      </c>
      <c r="C152">
        <v>29.98</v>
      </c>
      <c r="D152">
        <v>28.54</v>
      </c>
      <c r="E152">
        <v>28.79</v>
      </c>
      <c r="F152">
        <v>80454.100000000006</v>
      </c>
      <c r="G152">
        <v>28.79</v>
      </c>
      <c r="L152" t="s">
        <v>8</v>
      </c>
      <c r="M152" t="s">
        <v>7</v>
      </c>
      <c r="N152" t="s">
        <v>8</v>
      </c>
      <c r="P152">
        <f t="shared" ref="P152" si="735">IF(C152=D152,0,((E152-D152)-(C152-E152))/(C152-D152))</f>
        <v>-0.65277777777777812</v>
      </c>
      <c r="Q152">
        <f t="shared" ref="Q152" si="736">F152*P152</f>
        <v>-52518.648611111144</v>
      </c>
      <c r="R152">
        <f t="shared" ref="R152" si="737">R153+Q152</f>
        <v>1745034.9788088656</v>
      </c>
      <c r="S152">
        <f t="shared" ref="S152" si="738">R152/100000</f>
        <v>17.450349788088655</v>
      </c>
      <c r="T152">
        <f t="shared" ref="T152" si="739">S152/1000</f>
        <v>1.7450349788088654E-2</v>
      </c>
    </row>
    <row r="153" spans="1:20" x14ac:dyDescent="0.25">
      <c r="A153" s="5">
        <v>44440</v>
      </c>
      <c r="B153">
        <v>28.15</v>
      </c>
      <c r="C153">
        <v>28.97</v>
      </c>
      <c r="D153">
        <v>27.03</v>
      </c>
      <c r="E153">
        <v>28.85</v>
      </c>
      <c r="F153">
        <v>91043.86</v>
      </c>
      <c r="G153">
        <v>28.85</v>
      </c>
      <c r="L153" t="s">
        <v>7</v>
      </c>
      <c r="M153" t="s">
        <v>7</v>
      </c>
      <c r="N153" t="s">
        <v>8</v>
      </c>
      <c r="P153">
        <f t="shared" ref="P153" si="740">IF(C153=D153,0,((E153-D153)-(C153-E153))/(C153-D153))</f>
        <v>0.87628865979381687</v>
      </c>
      <c r="Q153">
        <f t="shared" ref="Q153" si="741">F153*P153</f>
        <v>79780.702061855889</v>
      </c>
      <c r="R153">
        <f t="shared" ref="R153" si="742">R154+Q153</f>
        <v>1797553.6274199768</v>
      </c>
      <c r="S153">
        <f t="shared" ref="S153" si="743">R153/100000</f>
        <v>17.975536274199769</v>
      </c>
      <c r="T153">
        <f t="shared" ref="T153" si="744">S153/1000</f>
        <v>1.7975536274199767E-2</v>
      </c>
    </row>
    <row r="154" spans="1:20" x14ac:dyDescent="0.25">
      <c r="A154" s="5">
        <v>44439</v>
      </c>
      <c r="B154">
        <v>27.18</v>
      </c>
      <c r="C154">
        <v>34.74</v>
      </c>
      <c r="D154">
        <v>27.1</v>
      </c>
      <c r="E154">
        <v>28.11</v>
      </c>
      <c r="F154">
        <v>428133.01400000002</v>
      </c>
      <c r="G154">
        <v>28.11</v>
      </c>
      <c r="L154" t="s">
        <v>8</v>
      </c>
      <c r="M154" t="s">
        <v>8</v>
      </c>
      <c r="N154" t="s">
        <v>8</v>
      </c>
      <c r="P154">
        <f t="shared" ref="P154" si="745">IF(C154=D154,0,((E154-D154)-(C154-E154))/(C154-D154))</f>
        <v>-0.73560209424083822</v>
      </c>
      <c r="Q154">
        <f t="shared" ref="Q154" si="746">F154*P154</f>
        <v>-314935.54171204212</v>
      </c>
      <c r="R154">
        <f t="shared" ref="R154" si="747">R155+Q154</f>
        <v>1717772.9253581208</v>
      </c>
      <c r="S154">
        <f t="shared" ref="S154" si="748">R154/100000</f>
        <v>17.177729253581209</v>
      </c>
      <c r="T154">
        <f t="shared" ref="T154" si="749">S154/1000</f>
        <v>1.7177729253581207E-2</v>
      </c>
    </row>
    <row r="155" spans="1:20" x14ac:dyDescent="0.25">
      <c r="A155" s="5">
        <v>44438</v>
      </c>
      <c r="B155">
        <v>28.82</v>
      </c>
      <c r="C155">
        <v>28.97</v>
      </c>
      <c r="D155">
        <v>27.05</v>
      </c>
      <c r="E155">
        <v>27.11</v>
      </c>
      <c r="F155">
        <v>48274.51</v>
      </c>
      <c r="G155">
        <v>27.11</v>
      </c>
      <c r="L155" t="s">
        <v>7</v>
      </c>
      <c r="M155" t="s">
        <v>7</v>
      </c>
      <c r="N155" t="s">
        <v>7</v>
      </c>
      <c r="P155">
        <f t="shared" ref="P155" si="750">IF(C155=D155,0,((E155-D155)-(C155-E155))/(C155-D155))</f>
        <v>-0.93750000000000122</v>
      </c>
      <c r="Q155">
        <f t="shared" ref="Q155" si="751">F155*P155</f>
        <v>-45257.35312500006</v>
      </c>
      <c r="R155">
        <f t="shared" ref="R155" si="752">R156+Q155</f>
        <v>2032708.467070163</v>
      </c>
      <c r="S155">
        <f t="shared" ref="S155" si="753">R155/100000</f>
        <v>20.32708467070163</v>
      </c>
      <c r="T155">
        <f t="shared" ref="T155" si="754">S155/1000</f>
        <v>2.0327084670701632E-2</v>
      </c>
    </row>
    <row r="156" spans="1:20" x14ac:dyDescent="0.25">
      <c r="A156" s="5">
        <v>44437</v>
      </c>
      <c r="B156">
        <v>28.27</v>
      </c>
      <c r="C156">
        <v>30</v>
      </c>
      <c r="D156">
        <v>27.37</v>
      </c>
      <c r="E156">
        <v>28.86</v>
      </c>
      <c r="F156">
        <v>63810.819000000003</v>
      </c>
      <c r="G156">
        <v>28.86</v>
      </c>
      <c r="L156" t="s">
        <v>8</v>
      </c>
      <c r="M156" t="s">
        <v>7</v>
      </c>
      <c r="N156" t="s">
        <v>7</v>
      </c>
      <c r="P156">
        <f t="shared" ref="P156" si="755">IF(C156=D156,0,((E156-D156)-(C156-E156))/(C156-D156))</f>
        <v>0.1330798479087445</v>
      </c>
      <c r="Q156">
        <f t="shared" ref="Q156" si="756">F156*P156</f>
        <v>8491.9340874524241</v>
      </c>
      <c r="R156">
        <f t="shared" ref="R156" si="757">R157+Q156</f>
        <v>2077965.8201951631</v>
      </c>
      <c r="S156">
        <f t="shared" ref="S156" si="758">R156/100000</f>
        <v>20.77965820195163</v>
      </c>
      <c r="T156">
        <f t="shared" ref="T156" si="759">S156/1000</f>
        <v>2.0779658201951628E-2</v>
      </c>
    </row>
    <row r="157" spans="1:20" x14ac:dyDescent="0.25">
      <c r="A157" s="5">
        <v>44436</v>
      </c>
      <c r="B157">
        <v>27.78</v>
      </c>
      <c r="C157">
        <v>28.89</v>
      </c>
      <c r="D157">
        <v>27.31</v>
      </c>
      <c r="E157">
        <v>28.27</v>
      </c>
      <c r="F157">
        <v>45692.233</v>
      </c>
      <c r="G157">
        <v>28.27</v>
      </c>
      <c r="L157" t="s">
        <v>8</v>
      </c>
      <c r="M157" t="s">
        <v>7</v>
      </c>
      <c r="N157" t="s">
        <v>7</v>
      </c>
      <c r="P157">
        <f t="shared" ref="P157" si="760">IF(C157=D157,0,((E157-D157)-(C157-E157))/(C157-D157))</f>
        <v>0.21518987341772117</v>
      </c>
      <c r="Q157">
        <f t="shared" ref="Q157" si="761">F157*P157</f>
        <v>9832.5058354430221</v>
      </c>
      <c r="R157">
        <f t="shared" ref="R157" si="762">R158+Q157</f>
        <v>2069473.8861077107</v>
      </c>
      <c r="S157">
        <f t="shared" ref="S157" si="763">R157/100000</f>
        <v>20.694738861077106</v>
      </c>
      <c r="T157">
        <f t="shared" ref="T157" si="764">S157/1000</f>
        <v>2.0694738861077106E-2</v>
      </c>
    </row>
    <row r="158" spans="1:20" x14ac:dyDescent="0.25">
      <c r="A158" s="5">
        <v>44435</v>
      </c>
      <c r="B158">
        <v>26.38</v>
      </c>
      <c r="C158">
        <v>27.89</v>
      </c>
      <c r="D158">
        <v>25.47</v>
      </c>
      <c r="E158">
        <v>27.78</v>
      </c>
      <c r="F158">
        <v>67821.070999999996</v>
      </c>
      <c r="G158">
        <v>27.78</v>
      </c>
      <c r="L158" t="s">
        <v>7</v>
      </c>
      <c r="M158" t="s">
        <v>7</v>
      </c>
      <c r="N158" t="s">
        <v>7</v>
      </c>
      <c r="P158">
        <f t="shared" ref="P158" si="765">IF(C158=D158,0,((E158-D158)-(C158-E158))/(C158-D158))</f>
        <v>0.90909090909090962</v>
      </c>
      <c r="Q158">
        <f t="shared" ref="Q158" si="766">F158*P158</f>
        <v>61655.519090909125</v>
      </c>
      <c r="R158">
        <f t="shared" ref="R158" si="767">R159+Q158</f>
        <v>2059641.3802722676</v>
      </c>
      <c r="S158">
        <f t="shared" ref="S158" si="768">R158/100000</f>
        <v>20.596413802722676</v>
      </c>
      <c r="T158">
        <f t="shared" ref="T158" si="769">S158/1000</f>
        <v>2.0596413802722677E-2</v>
      </c>
    </row>
    <row r="159" spans="1:20" x14ac:dyDescent="0.25">
      <c r="A159" s="5">
        <v>44434</v>
      </c>
      <c r="B159">
        <v>28.71</v>
      </c>
      <c r="C159">
        <v>29.5</v>
      </c>
      <c r="D159">
        <v>25.989000000000001</v>
      </c>
      <c r="E159">
        <v>26.35</v>
      </c>
      <c r="F159">
        <v>66204.63</v>
      </c>
      <c r="G159">
        <v>26.35</v>
      </c>
      <c r="L159" t="s">
        <v>7</v>
      </c>
      <c r="M159" t="s">
        <v>7</v>
      </c>
      <c r="N159" t="s">
        <v>7</v>
      </c>
      <c r="P159">
        <f t="shared" ref="P159" si="770">IF(C159=D159,0,((E159-D159)-(C159-E159))/(C159-D159))</f>
        <v>-0.7943605810310449</v>
      </c>
      <c r="Q159">
        <f t="shared" ref="Q159" si="771">F159*P159</f>
        <v>-52590.34835374535</v>
      </c>
      <c r="R159">
        <f t="shared" ref="R159" si="772">R160+Q159</f>
        <v>1997985.8611813586</v>
      </c>
      <c r="S159">
        <f t="shared" ref="S159" si="773">R159/100000</f>
        <v>19.979858611813587</v>
      </c>
      <c r="T159">
        <f t="shared" ref="T159" si="774">S159/1000</f>
        <v>1.9979858611813586E-2</v>
      </c>
    </row>
    <row r="160" spans="1:20" x14ac:dyDescent="0.25">
      <c r="A160" s="5">
        <v>44433</v>
      </c>
      <c r="B160">
        <v>27.959</v>
      </c>
      <c r="C160">
        <v>29.5</v>
      </c>
      <c r="D160">
        <v>26.462</v>
      </c>
      <c r="E160">
        <v>28.773</v>
      </c>
      <c r="F160">
        <v>78875.553</v>
      </c>
      <c r="G160">
        <v>28.773</v>
      </c>
      <c r="L160" t="s">
        <v>7</v>
      </c>
      <c r="M160" t="s">
        <v>8</v>
      </c>
      <c r="N160" t="s">
        <v>7</v>
      </c>
      <c r="P160">
        <f t="shared" ref="P160" si="775">IF(C160=D160,0,((E160-D160)-(C160-E160))/(C160-D160))</f>
        <v>0.52139565503620788</v>
      </c>
      <c r="Q160">
        <f t="shared" ref="Q160" si="776">F160*P160</f>
        <v>41125.370622778129</v>
      </c>
      <c r="R160">
        <f t="shared" ref="R160" si="777">R161+Q160</f>
        <v>2050576.209535104</v>
      </c>
      <c r="S160">
        <f t="shared" ref="S160" si="778">R160/100000</f>
        <v>20.505762095351042</v>
      </c>
      <c r="T160">
        <f t="shared" ref="T160" si="779">S160/1000</f>
        <v>2.050576209535104E-2</v>
      </c>
    </row>
    <row r="161" spans="1:20" x14ac:dyDescent="0.25">
      <c r="A161" s="5">
        <v>44432</v>
      </c>
      <c r="B161">
        <v>30.350999999999999</v>
      </c>
      <c r="C161">
        <v>30.495999999999999</v>
      </c>
      <c r="D161">
        <v>27.291</v>
      </c>
      <c r="E161">
        <v>27.99</v>
      </c>
      <c r="F161">
        <v>74561.168999999994</v>
      </c>
      <c r="G161">
        <v>27.99</v>
      </c>
      <c r="L161" t="s">
        <v>7</v>
      </c>
      <c r="M161" t="s">
        <v>8</v>
      </c>
      <c r="N161" t="s">
        <v>7</v>
      </c>
      <c r="P161">
        <f t="shared" ref="P161" si="780">IF(C161=D161,0,((E161-D161)-(C161-E161))/(C161-D161))</f>
        <v>-0.56380655226209142</v>
      </c>
      <c r="Q161">
        <f t="shared" ref="Q161" si="781">F161*P161</f>
        <v>-42038.075626521124</v>
      </c>
      <c r="R161">
        <f t="shared" ref="R161" si="782">R162+Q161</f>
        <v>2009450.8389123259</v>
      </c>
      <c r="S161">
        <f t="shared" ref="S161" si="783">R161/100000</f>
        <v>20.094508389123259</v>
      </c>
      <c r="T161">
        <f t="shared" ref="T161" si="784">S161/1000</f>
        <v>2.0094508389123258E-2</v>
      </c>
    </row>
    <row r="162" spans="1:20" x14ac:dyDescent="0.25">
      <c r="A162" s="5">
        <v>44431</v>
      </c>
      <c r="B162">
        <v>29.856999999999999</v>
      </c>
      <c r="C162">
        <v>31.15</v>
      </c>
      <c r="D162">
        <v>28.638999999999999</v>
      </c>
      <c r="E162">
        <v>30.312000000000001</v>
      </c>
      <c r="F162">
        <v>115319.681</v>
      </c>
      <c r="G162">
        <v>30.312000000000001</v>
      </c>
      <c r="L162" t="s">
        <v>8</v>
      </c>
      <c r="M162" t="s">
        <v>8</v>
      </c>
      <c r="N162" t="s">
        <v>7</v>
      </c>
      <c r="P162">
        <f t="shared" ref="P162" si="785">IF(C162=D162,0,((E162-D162)-(C162-E162))/(C162-D162))</f>
        <v>0.33253683791318384</v>
      </c>
      <c r="Q162">
        <f t="shared" ref="Q162" si="786">F162*P162</f>
        <v>38348.042068897063</v>
      </c>
      <c r="R162">
        <f t="shared" ref="R162" si="787">R163+Q162</f>
        <v>2051488.914538847</v>
      </c>
      <c r="S162">
        <f t="shared" ref="S162" si="788">R162/100000</f>
        <v>20.514889145388469</v>
      </c>
      <c r="T162">
        <f t="shared" ref="T162" si="789">S162/1000</f>
        <v>2.051488914538847E-2</v>
      </c>
    </row>
    <row r="163" spans="1:20" x14ac:dyDescent="0.25">
      <c r="A163" s="5">
        <v>44430</v>
      </c>
      <c r="B163">
        <v>28.396000000000001</v>
      </c>
      <c r="C163">
        <v>29.911999999999999</v>
      </c>
      <c r="D163">
        <v>28.041</v>
      </c>
      <c r="E163">
        <v>29.204999999999998</v>
      </c>
      <c r="F163">
        <v>32630.243999999999</v>
      </c>
      <c r="G163">
        <v>29.204999999999998</v>
      </c>
      <c r="L163" t="s">
        <v>8</v>
      </c>
      <c r="M163" t="s">
        <v>8</v>
      </c>
      <c r="N163" t="s">
        <v>7</v>
      </c>
      <c r="P163">
        <f t="shared" ref="P163" si="790">IF(C163=D163,0,((E163-D163)-(C163-E163))/(C163-D163))</f>
        <v>0.24425440940673304</v>
      </c>
      <c r="Q163">
        <f t="shared" ref="Q163" si="791">F163*P163</f>
        <v>7970.0809770175938</v>
      </c>
      <c r="R163">
        <f t="shared" ref="R163" si="792">R164+Q163</f>
        <v>2013140.87246995</v>
      </c>
      <c r="S163">
        <f t="shared" ref="S163" si="793">R163/100000</f>
        <v>20.131408724699501</v>
      </c>
      <c r="T163">
        <f t="shared" ref="T163" si="794">S163/1000</f>
        <v>2.0131408724699502E-2</v>
      </c>
    </row>
    <row r="164" spans="1:20" x14ac:dyDescent="0.25">
      <c r="A164" s="5">
        <v>44429</v>
      </c>
      <c r="B164">
        <v>28.114000000000001</v>
      </c>
      <c r="C164">
        <v>29.7</v>
      </c>
      <c r="D164">
        <v>27.24</v>
      </c>
      <c r="E164">
        <v>28.370999999999999</v>
      </c>
      <c r="F164">
        <v>115439.963</v>
      </c>
      <c r="G164">
        <v>28.370999999999999</v>
      </c>
      <c r="L164" t="s">
        <v>8</v>
      </c>
      <c r="M164" t="s">
        <v>8</v>
      </c>
      <c r="N164" t="s">
        <v>7</v>
      </c>
      <c r="P164">
        <f t="shared" ref="P164" si="795">IF(C164=D164,0,((E164-D164)-(C164-E164))/(C164-D164))</f>
        <v>-8.0487804878048907E-2</v>
      </c>
      <c r="Q164">
        <f t="shared" ref="Q164" si="796">F164*P164</f>
        <v>-9291.5092170731859</v>
      </c>
      <c r="R164">
        <f t="shared" ref="R164" si="797">R165+Q164</f>
        <v>2005170.7914929325</v>
      </c>
      <c r="S164">
        <f t="shared" ref="S164" si="798">R164/100000</f>
        <v>20.051707914929324</v>
      </c>
      <c r="T164">
        <f t="shared" ref="T164" si="799">S164/1000</f>
        <v>2.0051707914929325E-2</v>
      </c>
    </row>
    <row r="165" spans="1:20" x14ac:dyDescent="0.25">
      <c r="A165" s="5">
        <v>44428</v>
      </c>
      <c r="B165">
        <v>27.24</v>
      </c>
      <c r="C165">
        <v>28.163</v>
      </c>
      <c r="D165">
        <v>26.626999999999999</v>
      </c>
      <c r="E165">
        <v>28.157</v>
      </c>
      <c r="F165">
        <v>82737.955000000002</v>
      </c>
      <c r="G165">
        <v>28.157</v>
      </c>
      <c r="L165" t="s">
        <v>8</v>
      </c>
      <c r="M165" t="s">
        <v>8</v>
      </c>
      <c r="N165" t="s">
        <v>7</v>
      </c>
      <c r="P165">
        <f t="shared" ref="P165" si="800">IF(C165=D165,0,((E165-D165)-(C165-E165))/(C165-D165))</f>
        <v>0.99218749999999967</v>
      </c>
      <c r="Q165">
        <f t="shared" ref="Q165" si="801">F165*P165</f>
        <v>82091.564726562472</v>
      </c>
      <c r="R165">
        <f t="shared" ref="R165" si="802">R166+Q165</f>
        <v>2014462.3007100057</v>
      </c>
      <c r="S165">
        <f t="shared" ref="S165" si="803">R165/100000</f>
        <v>20.144623007100058</v>
      </c>
      <c r="T165">
        <f t="shared" ref="T165" si="804">S165/1000</f>
        <v>2.0144623007100057E-2</v>
      </c>
    </row>
    <row r="166" spans="1:20" x14ac:dyDescent="0.25">
      <c r="A166" s="5">
        <v>44427</v>
      </c>
      <c r="B166">
        <v>26.177</v>
      </c>
      <c r="C166">
        <v>27.443999999999999</v>
      </c>
      <c r="D166">
        <v>25.472000000000001</v>
      </c>
      <c r="E166">
        <v>27.24</v>
      </c>
      <c r="F166">
        <v>85831.759000000005</v>
      </c>
      <c r="G166">
        <v>27.24</v>
      </c>
      <c r="L166" t="s">
        <v>8</v>
      </c>
      <c r="M166" t="s">
        <v>8</v>
      </c>
      <c r="N166" t="s">
        <v>7</v>
      </c>
      <c r="P166">
        <f t="shared" ref="P166" si="805">IF(C166=D166,0,((E166-D166)-(C166-E166))/(C166-D166))</f>
        <v>0.79310344827586121</v>
      </c>
      <c r="Q166">
        <f t="shared" ref="Q166" si="806">F166*P166</f>
        <v>68073.464034482691</v>
      </c>
      <c r="R166">
        <f t="shared" ref="R166" si="807">R167+Q166</f>
        <v>1932370.7359834432</v>
      </c>
      <c r="S166">
        <f t="shared" ref="S166" si="808">R166/100000</f>
        <v>19.323707359834433</v>
      </c>
      <c r="T166">
        <f t="shared" ref="T166" si="809">S166/1000</f>
        <v>1.9323707359834432E-2</v>
      </c>
    </row>
    <row r="167" spans="1:20" x14ac:dyDescent="0.25">
      <c r="A167" s="5">
        <v>44426</v>
      </c>
      <c r="B167">
        <v>26.890999999999998</v>
      </c>
      <c r="C167">
        <v>28.975000000000001</v>
      </c>
      <c r="D167">
        <v>25.146000000000001</v>
      </c>
      <c r="E167">
        <v>26.123999999999999</v>
      </c>
      <c r="F167">
        <v>100848.82799999999</v>
      </c>
      <c r="G167">
        <v>26.123999999999999</v>
      </c>
      <c r="L167" t="s">
        <v>7</v>
      </c>
      <c r="M167" t="s">
        <v>8</v>
      </c>
      <c r="N167" t="s">
        <v>7</v>
      </c>
      <c r="P167">
        <f t="shared" ref="P167" si="810">IF(C167=D167,0,((E167-D167)-(C167-E167))/(C167-D167))</f>
        <v>-0.48916166100809727</v>
      </c>
      <c r="Q167">
        <f t="shared" ref="Q167" si="811">F167*P167</f>
        <v>-49331.380215199904</v>
      </c>
      <c r="R167">
        <f t="shared" ref="R167" si="812">R168+Q167</f>
        <v>1864297.2719489606</v>
      </c>
      <c r="S167">
        <f t="shared" ref="S167" si="813">R167/100000</f>
        <v>18.642972719489606</v>
      </c>
      <c r="T167">
        <f t="shared" ref="T167" si="814">S167/1000</f>
        <v>1.8642972719489607E-2</v>
      </c>
    </row>
    <row r="168" spans="1:20" x14ac:dyDescent="0.25">
      <c r="A168" s="5">
        <v>44425</v>
      </c>
      <c r="B168">
        <v>27.254999999999999</v>
      </c>
      <c r="C168">
        <v>29.31</v>
      </c>
      <c r="D168">
        <v>26.704999999999998</v>
      </c>
      <c r="E168">
        <v>26.890999999999998</v>
      </c>
      <c r="F168">
        <v>161440.85</v>
      </c>
      <c r="G168">
        <v>26.890999999999998</v>
      </c>
      <c r="L168" t="s">
        <v>7</v>
      </c>
      <c r="M168" t="s">
        <v>8</v>
      </c>
      <c r="N168" t="s">
        <v>7</v>
      </c>
      <c r="P168">
        <f t="shared" ref="P168" si="815">IF(C168=D168,0,((E168-D168)-(C168-E168))/(C168-D168))</f>
        <v>-0.85719769673704427</v>
      </c>
      <c r="Q168">
        <f t="shared" ref="Q168" si="816">F168*P168</f>
        <v>-138386.72477927065</v>
      </c>
      <c r="R168">
        <f t="shared" ref="R168" si="817">R169+Q168</f>
        <v>1913628.6521641605</v>
      </c>
      <c r="S168">
        <f t="shared" ref="S168" si="818">R168/100000</f>
        <v>19.136286521641605</v>
      </c>
      <c r="T168">
        <f t="shared" ref="T168" si="819">S168/1000</f>
        <v>1.9136286521641604E-2</v>
      </c>
    </row>
    <row r="169" spans="1:20" x14ac:dyDescent="0.25">
      <c r="A169" s="5">
        <v>44424</v>
      </c>
      <c r="B169">
        <v>28.050999999999998</v>
      </c>
      <c r="C169">
        <v>28.552</v>
      </c>
      <c r="D169">
        <v>27.016999999999999</v>
      </c>
      <c r="E169">
        <v>27.247</v>
      </c>
      <c r="F169">
        <v>103975.299</v>
      </c>
      <c r="G169">
        <v>27.247</v>
      </c>
      <c r="L169" t="s">
        <v>7</v>
      </c>
      <c r="M169" t="s">
        <v>8</v>
      </c>
      <c r="N169" t="s">
        <v>7</v>
      </c>
      <c r="P169">
        <f t="shared" ref="P169" si="820">IF(C169=D169,0,((E169-D169)-(C169-E169))/(C169-D169))</f>
        <v>-0.70032573289902222</v>
      </c>
      <c r="Q169">
        <f t="shared" ref="Q169" si="821">F169*P169</f>
        <v>-72816.577475569968</v>
      </c>
      <c r="R169">
        <f t="shared" ref="R169" si="822">R170+Q169</f>
        <v>2052015.3769434311</v>
      </c>
      <c r="S169">
        <f t="shared" ref="S169" si="823">R169/100000</f>
        <v>20.520153769434312</v>
      </c>
      <c r="T169">
        <f t="shared" ref="T169" si="824">S169/1000</f>
        <v>2.0520153769434311E-2</v>
      </c>
    </row>
    <row r="170" spans="1:20" x14ac:dyDescent="0.25">
      <c r="A170" s="5">
        <v>44423</v>
      </c>
      <c r="B170">
        <v>28.367999999999999</v>
      </c>
      <c r="C170">
        <v>28.379000000000001</v>
      </c>
      <c r="D170">
        <v>26.99</v>
      </c>
      <c r="E170">
        <v>27.986000000000001</v>
      </c>
      <c r="F170">
        <v>102327.28</v>
      </c>
      <c r="G170">
        <v>27.986000000000001</v>
      </c>
      <c r="L170" t="s">
        <v>7</v>
      </c>
      <c r="M170" t="s">
        <v>8</v>
      </c>
      <c r="N170" t="s">
        <v>7</v>
      </c>
      <c r="P170">
        <f t="shared" ref="P170" si="825">IF(C170=D170,0,((E170-D170)-(C170-E170))/(C170-D170))</f>
        <v>0.43412526997840195</v>
      </c>
      <c r="Q170">
        <f t="shared" ref="Q170" si="826">F170*P170</f>
        <v>44422.858056155528</v>
      </c>
      <c r="R170">
        <f t="shared" ref="R170" si="827">R171+Q170</f>
        <v>2124831.954419001</v>
      </c>
      <c r="S170">
        <f t="shared" ref="S170" si="828">R170/100000</f>
        <v>21.248319544190011</v>
      </c>
      <c r="T170">
        <f t="shared" ref="T170" si="829">S170/1000</f>
        <v>2.1248319544190011E-2</v>
      </c>
    </row>
    <row r="171" spans="1:20" x14ac:dyDescent="0.25">
      <c r="A171" s="5">
        <v>44422</v>
      </c>
      <c r="B171">
        <v>28.263999999999999</v>
      </c>
      <c r="C171">
        <v>30.302</v>
      </c>
      <c r="D171">
        <v>26.776</v>
      </c>
      <c r="E171">
        <v>28.41</v>
      </c>
      <c r="F171">
        <v>201980.503</v>
      </c>
      <c r="G171">
        <v>28.41</v>
      </c>
      <c r="L171" t="s">
        <v>8</v>
      </c>
      <c r="M171" t="s">
        <v>8</v>
      </c>
      <c r="N171" t="s">
        <v>7</v>
      </c>
      <c r="P171">
        <f t="shared" ref="P171" si="830">IF(C171=D171,0,((E171-D171)-(C171-E171))/(C171-D171))</f>
        <v>-7.3170731707316833E-2</v>
      </c>
      <c r="Q171">
        <f t="shared" ref="Q171" si="831">F171*P171</f>
        <v>-14779.061195121902</v>
      </c>
      <c r="R171">
        <f t="shared" ref="R171" si="832">R172+Q171</f>
        <v>2080409.0963628455</v>
      </c>
      <c r="S171">
        <f t="shared" ref="S171" si="833">R171/100000</f>
        <v>20.804090963628454</v>
      </c>
      <c r="T171">
        <f t="shared" ref="T171" si="834">S171/1000</f>
        <v>2.0804090963628456E-2</v>
      </c>
    </row>
    <row r="172" spans="1:20" x14ac:dyDescent="0.25">
      <c r="A172" s="5">
        <v>44421</v>
      </c>
      <c r="B172">
        <v>26.928000000000001</v>
      </c>
      <c r="C172">
        <v>28.263999999999999</v>
      </c>
      <c r="D172">
        <v>26.446999999999999</v>
      </c>
      <c r="E172">
        <v>28.206</v>
      </c>
      <c r="F172">
        <v>71773.437999999995</v>
      </c>
      <c r="G172">
        <v>28.206</v>
      </c>
      <c r="L172" t="s">
        <v>8</v>
      </c>
      <c r="M172" t="s">
        <v>8</v>
      </c>
      <c r="N172" t="s">
        <v>7</v>
      </c>
      <c r="P172">
        <f t="shared" ref="P172" si="835">IF(C172=D172,0,((E172-D172)-(C172-E172))/(C172-D172))</f>
        <v>0.93615850302696768</v>
      </c>
      <c r="Q172">
        <f t="shared" ref="Q172" si="836">F172*P172</f>
        <v>67191.314275178869</v>
      </c>
      <c r="R172">
        <f t="shared" ref="R172" si="837">R173+Q172</f>
        <v>2095188.1575579674</v>
      </c>
      <c r="S172">
        <f t="shared" ref="S172" si="838">R172/100000</f>
        <v>20.951881575579673</v>
      </c>
      <c r="T172">
        <f t="shared" ref="T172" si="839">S172/1000</f>
        <v>2.0951881575579673E-2</v>
      </c>
    </row>
    <row r="173" spans="1:20" x14ac:dyDescent="0.25">
      <c r="A173" s="5">
        <v>44420</v>
      </c>
      <c r="B173">
        <v>28.515999999999998</v>
      </c>
      <c r="C173">
        <v>28.902000000000001</v>
      </c>
      <c r="D173">
        <v>25.911999999999999</v>
      </c>
      <c r="E173">
        <v>26.928000000000001</v>
      </c>
      <c r="F173">
        <v>150490.476</v>
      </c>
      <c r="G173">
        <v>26.928000000000001</v>
      </c>
      <c r="L173" t="s">
        <v>7</v>
      </c>
      <c r="M173" t="s">
        <v>8</v>
      </c>
      <c r="N173" t="s">
        <v>7</v>
      </c>
      <c r="P173">
        <f t="shared" ref="P173" si="840">IF(C173=D173,0,((E173-D173)-(C173-E173))/(C173-D173))</f>
        <v>-0.32040133779264141</v>
      </c>
      <c r="Q173">
        <f t="shared" ref="Q173" si="841">F173*P173</f>
        <v>-48217.349835451394</v>
      </c>
      <c r="R173">
        <f t="shared" ref="R173" si="842">R174+Q173</f>
        <v>2027996.8432827885</v>
      </c>
      <c r="S173">
        <f t="shared" ref="S173" si="843">R173/100000</f>
        <v>20.279968432827886</v>
      </c>
      <c r="T173">
        <f t="shared" ref="T173" si="844">S173/1000</f>
        <v>2.0279968432827887E-2</v>
      </c>
    </row>
    <row r="174" spans="1:20" x14ac:dyDescent="0.25">
      <c r="A174" s="5">
        <v>44419</v>
      </c>
      <c r="B174">
        <v>28.486000000000001</v>
      </c>
      <c r="C174">
        <v>29.35</v>
      </c>
      <c r="D174">
        <v>27.297000000000001</v>
      </c>
      <c r="E174">
        <v>28.484999999999999</v>
      </c>
      <c r="F174">
        <v>191499.196</v>
      </c>
      <c r="G174">
        <v>28.484999999999999</v>
      </c>
      <c r="L174" t="s">
        <v>8</v>
      </c>
      <c r="M174" t="s">
        <v>8</v>
      </c>
      <c r="N174" t="s">
        <v>7</v>
      </c>
      <c r="P174">
        <f t="shared" ref="P174" si="845">IF(C174=D174,0,((E174-D174)-(C174-E174))/(C174-D174))</f>
        <v>0.15733073550900961</v>
      </c>
      <c r="Q174">
        <f t="shared" ref="Q174" si="846">F174*P174</f>
        <v>30128.709356063991</v>
      </c>
      <c r="R174">
        <f t="shared" ref="R174" si="847">R175+Q174</f>
        <v>2076214.19311824</v>
      </c>
      <c r="S174">
        <f t="shared" ref="S174" si="848">R174/100000</f>
        <v>20.762141931182398</v>
      </c>
      <c r="T174">
        <f t="shared" ref="T174" si="849">S174/1000</f>
        <v>2.07621419311824E-2</v>
      </c>
    </row>
    <row r="175" spans="1:20" x14ac:dyDescent="0.25">
      <c r="A175" s="5">
        <v>44418</v>
      </c>
      <c r="B175">
        <v>26.765999999999998</v>
      </c>
      <c r="C175">
        <v>28.873000000000001</v>
      </c>
      <c r="D175">
        <v>25.966000000000001</v>
      </c>
      <c r="E175">
        <v>28.512</v>
      </c>
      <c r="F175">
        <v>182422.989</v>
      </c>
      <c r="G175">
        <v>28.512</v>
      </c>
      <c r="L175" t="s">
        <v>8</v>
      </c>
      <c r="M175" t="s">
        <v>7</v>
      </c>
      <c r="N175" t="s">
        <v>7</v>
      </c>
      <c r="P175">
        <f t="shared" ref="P175" si="850">IF(C175=D175,0,((E175-D175)-(C175-E175))/(C175-D175))</f>
        <v>0.75163398692810413</v>
      </c>
      <c r="Q175">
        <f t="shared" ref="Q175" si="851">F175*P175</f>
        <v>137115.31852941168</v>
      </c>
      <c r="R175">
        <f t="shared" ref="R175" si="852">R176+Q175</f>
        <v>2046085.483762176</v>
      </c>
      <c r="S175">
        <f t="shared" ref="S175" si="853">R175/100000</f>
        <v>20.46085483762176</v>
      </c>
      <c r="T175">
        <f t="shared" ref="T175" si="854">S175/1000</f>
        <v>2.0460854837621761E-2</v>
      </c>
    </row>
    <row r="176" spans="1:20" x14ac:dyDescent="0.25">
      <c r="A176" s="5">
        <v>44417</v>
      </c>
      <c r="B176">
        <v>25.369</v>
      </c>
      <c r="C176">
        <v>27.274999999999999</v>
      </c>
      <c r="D176">
        <v>25.248000000000001</v>
      </c>
      <c r="E176">
        <v>26.783000000000001</v>
      </c>
      <c r="F176">
        <v>202680.08199999999</v>
      </c>
      <c r="G176">
        <v>26.783000000000001</v>
      </c>
      <c r="L176" t="s">
        <v>8</v>
      </c>
      <c r="M176" t="s">
        <v>7</v>
      </c>
      <c r="N176" t="s">
        <v>7</v>
      </c>
      <c r="P176">
        <f t="shared" ref="P176" si="855">IF(C176=D176,0,((E176-D176)-(C176-E176))/(C176-D176))</f>
        <v>0.51455352738036708</v>
      </c>
      <c r="Q176">
        <f t="shared" ref="Q176" si="856">F176*P176</f>
        <v>104289.75112284205</v>
      </c>
      <c r="R176">
        <f t="shared" ref="R176" si="857">R177+Q176</f>
        <v>1908970.1652327643</v>
      </c>
      <c r="S176">
        <f t="shared" ref="S176" si="858">R176/100000</f>
        <v>19.089701652327644</v>
      </c>
      <c r="T176">
        <f t="shared" ref="T176" si="859">S176/1000</f>
        <v>1.9089701652327644E-2</v>
      </c>
    </row>
    <row r="177" spans="1:20" x14ac:dyDescent="0.25">
      <c r="A177" s="5">
        <v>44416</v>
      </c>
      <c r="B177">
        <v>26.617000000000001</v>
      </c>
      <c r="C177">
        <v>26.617000000000001</v>
      </c>
      <c r="D177">
        <v>24.933</v>
      </c>
      <c r="E177">
        <v>25.445</v>
      </c>
      <c r="F177">
        <v>83897.364000000001</v>
      </c>
      <c r="G177">
        <v>25.445</v>
      </c>
      <c r="L177" t="s">
        <v>7</v>
      </c>
      <c r="M177" t="s">
        <v>7</v>
      </c>
      <c r="N177" t="s">
        <v>7</v>
      </c>
      <c r="P177">
        <f t="shared" ref="P177" si="860">IF(C177=D177,0,((E177-D177)-(C177-E177))/(C177-D177))</f>
        <v>-0.39192399049881221</v>
      </c>
      <c r="Q177">
        <f t="shared" ref="Q177" si="861">F177*P177</f>
        <v>-32881.389691211392</v>
      </c>
      <c r="R177">
        <f t="shared" ref="R177" si="862">R178+Q177</f>
        <v>1804680.4141099222</v>
      </c>
      <c r="S177">
        <f t="shared" ref="S177" si="863">R177/100000</f>
        <v>18.046804141099223</v>
      </c>
      <c r="T177">
        <f t="shared" ref="T177" si="864">S177/1000</f>
        <v>1.8046804141099222E-2</v>
      </c>
    </row>
    <row r="178" spans="1:20" x14ac:dyDescent="0.25">
      <c r="A178" s="5">
        <v>44415</v>
      </c>
      <c r="B178">
        <v>26.074999999999999</v>
      </c>
      <c r="C178">
        <v>26.846</v>
      </c>
      <c r="D178">
        <v>25.669</v>
      </c>
      <c r="E178">
        <v>26.6</v>
      </c>
      <c r="F178">
        <v>228274.897</v>
      </c>
      <c r="G178">
        <v>26.6</v>
      </c>
      <c r="L178" t="s">
        <v>8</v>
      </c>
      <c r="M178" t="s">
        <v>7</v>
      </c>
      <c r="N178" t="s">
        <v>7</v>
      </c>
      <c r="P178">
        <f t="shared" ref="P178" si="865">IF(C178=D178,0,((E178-D178)-(C178-E178))/(C178-D178))</f>
        <v>0.58198810535259349</v>
      </c>
      <c r="Q178">
        <f t="shared" ref="Q178" si="866">F178*P178</f>
        <v>132853.27480458844</v>
      </c>
      <c r="R178">
        <f t="shared" ref="R178" si="867">R179+Q178</f>
        <v>1837561.8038011335</v>
      </c>
      <c r="S178">
        <f t="shared" ref="S178" si="868">R178/100000</f>
        <v>18.375618038011336</v>
      </c>
      <c r="T178">
        <f t="shared" ref="T178" si="869">S178/1000</f>
        <v>1.8375618038011337E-2</v>
      </c>
    </row>
    <row r="179" spans="1:20" x14ac:dyDescent="0.25">
      <c r="A179" s="5">
        <v>44414</v>
      </c>
      <c r="B179">
        <v>26.038</v>
      </c>
      <c r="C179">
        <v>26.242999999999999</v>
      </c>
      <c r="D179">
        <v>25.085999999999999</v>
      </c>
      <c r="E179">
        <v>26.076000000000001</v>
      </c>
      <c r="F179">
        <v>131448.804</v>
      </c>
      <c r="G179">
        <v>26.076000000000001</v>
      </c>
      <c r="L179" t="s">
        <v>7</v>
      </c>
      <c r="M179" t="s">
        <v>7</v>
      </c>
      <c r="N179" t="s">
        <v>7</v>
      </c>
      <c r="P179">
        <f t="shared" ref="P179" si="870">IF(C179=D179,0,((E179-D179)-(C179-E179))/(C179-D179))</f>
        <v>0.71132238547969229</v>
      </c>
      <c r="Q179">
        <f t="shared" ref="Q179" si="871">F179*P179</f>
        <v>93502.476829732521</v>
      </c>
      <c r="R179">
        <f t="shared" ref="R179" si="872">R180+Q179</f>
        <v>1704708.5289965451</v>
      </c>
      <c r="S179">
        <f t="shared" ref="S179" si="873">R179/100000</f>
        <v>17.047085289965452</v>
      </c>
      <c r="T179">
        <f t="shared" ref="T179" si="874">S179/1000</f>
        <v>1.7047085289965451E-2</v>
      </c>
    </row>
    <row r="180" spans="1:20" x14ac:dyDescent="0.25">
      <c r="A180" s="5">
        <v>44413</v>
      </c>
      <c r="B180">
        <v>25.960999999999999</v>
      </c>
      <c r="C180">
        <v>26.1</v>
      </c>
      <c r="D180">
        <v>24.643999999999998</v>
      </c>
      <c r="E180">
        <v>26.038</v>
      </c>
      <c r="F180">
        <v>80041.762000000002</v>
      </c>
      <c r="G180">
        <v>26.038</v>
      </c>
      <c r="L180" t="s">
        <v>7</v>
      </c>
      <c r="M180" t="s">
        <v>7</v>
      </c>
      <c r="N180" t="s">
        <v>7</v>
      </c>
      <c r="P180">
        <f t="shared" ref="P180" si="875">IF(C180=D180,0,((E180-D180)-(C180-E180))/(C180-D180))</f>
        <v>0.91483516483516336</v>
      </c>
      <c r="Q180">
        <f t="shared" ref="Q180" si="876">F180*P180</f>
        <v>73225.018532966918</v>
      </c>
      <c r="R180">
        <f t="shared" ref="R180" si="877">R181+Q180</f>
        <v>1611206.0521668126</v>
      </c>
      <c r="S180">
        <f t="shared" ref="S180" si="878">R180/100000</f>
        <v>16.112060521668127</v>
      </c>
      <c r="T180">
        <f t="shared" ref="T180" si="879">S180/1000</f>
        <v>1.6112060521668126E-2</v>
      </c>
    </row>
    <row r="181" spans="1:20" x14ac:dyDescent="0.25">
      <c r="A181" s="5">
        <v>44412</v>
      </c>
      <c r="B181">
        <v>24.436</v>
      </c>
      <c r="C181">
        <v>27.26</v>
      </c>
      <c r="D181">
        <v>24.356999999999999</v>
      </c>
      <c r="E181">
        <v>26.013999999999999</v>
      </c>
      <c r="F181">
        <v>223177.51800000001</v>
      </c>
      <c r="G181">
        <v>26.013999999999999</v>
      </c>
      <c r="L181" t="s">
        <v>8</v>
      </c>
      <c r="M181" t="s">
        <v>7</v>
      </c>
      <c r="N181" t="s">
        <v>7</v>
      </c>
      <c r="P181">
        <f t="shared" ref="P181" si="880">IF(C181=D181,0,((E181-D181)-(C181-E181))/(C181-D181))</f>
        <v>0.14157767826386411</v>
      </c>
      <c r="Q181">
        <f t="shared" ref="Q181" si="881">F181*P181</f>
        <v>31596.954839131744</v>
      </c>
      <c r="R181">
        <f t="shared" ref="R181" si="882">R182+Q181</f>
        <v>1537981.0336338456</v>
      </c>
      <c r="S181">
        <f t="shared" ref="S181" si="883">R181/100000</f>
        <v>15.379810336338457</v>
      </c>
      <c r="T181">
        <f t="shared" ref="T181" si="884">S181/1000</f>
        <v>1.5379810336338456E-2</v>
      </c>
    </row>
    <row r="182" spans="1:20" x14ac:dyDescent="0.25">
      <c r="A182" s="5">
        <v>44411</v>
      </c>
      <c r="B182">
        <v>25.681999999999999</v>
      </c>
      <c r="C182">
        <v>25.713000000000001</v>
      </c>
      <c r="D182">
        <v>23.896999999999998</v>
      </c>
      <c r="E182">
        <v>24.37</v>
      </c>
      <c r="F182">
        <v>101325.72900000001</v>
      </c>
      <c r="G182">
        <v>24.37</v>
      </c>
      <c r="L182" t="s">
        <v>7</v>
      </c>
      <c r="M182" t="s">
        <v>7</v>
      </c>
      <c r="N182" t="s">
        <v>7</v>
      </c>
      <c r="P182">
        <f t="shared" ref="P182" si="885">IF(C182=D182,0,((E182-D182)-(C182-E182))/(C182-D182))</f>
        <v>-0.47907488986783936</v>
      </c>
      <c r="Q182">
        <f t="shared" ref="Q182" si="886">F182*P182</f>
        <v>-48542.612461453537</v>
      </c>
      <c r="R182">
        <f t="shared" ref="R182" si="887">R183+Q182</f>
        <v>1506384.0787947138</v>
      </c>
      <c r="S182">
        <f t="shared" ref="S182" si="888">R182/100000</f>
        <v>15.063840787947138</v>
      </c>
      <c r="T182">
        <f t="shared" ref="T182" si="889">S182/1000</f>
        <v>1.5063840787947138E-2</v>
      </c>
    </row>
    <row r="183" spans="1:20" x14ac:dyDescent="0.25">
      <c r="A183" s="5">
        <v>44410</v>
      </c>
      <c r="B183">
        <v>23.969000000000001</v>
      </c>
      <c r="C183">
        <v>29.446999999999999</v>
      </c>
      <c r="D183">
        <v>23.812000000000001</v>
      </c>
      <c r="E183">
        <v>25.716000000000001</v>
      </c>
      <c r="F183">
        <v>644486.43299999996</v>
      </c>
      <c r="G183">
        <v>25.716000000000001</v>
      </c>
      <c r="L183" t="s">
        <v>8</v>
      </c>
      <c r="M183" t="s">
        <v>8</v>
      </c>
      <c r="N183" t="s">
        <v>7</v>
      </c>
      <c r="P183">
        <f t="shared" ref="P183" si="890">IF(C183=D183,0,((E183-D183)-(C183-E183))/(C183-D183))</f>
        <v>-0.32422360248447185</v>
      </c>
      <c r="Q183">
        <f t="shared" ref="Q183" si="891">F183*P183</f>
        <v>-208957.71305962719</v>
      </c>
      <c r="R183">
        <f t="shared" ref="R183" si="892">R184+Q183</f>
        <v>1554926.6912561674</v>
      </c>
      <c r="S183">
        <f t="shared" ref="S183" si="893">R183/100000</f>
        <v>15.549266912561674</v>
      </c>
      <c r="T183">
        <f t="shared" ref="T183" si="894">S183/1000</f>
        <v>1.5549266912561673E-2</v>
      </c>
    </row>
    <row r="184" spans="1:20" x14ac:dyDescent="0.25">
      <c r="A184" s="5">
        <v>44409</v>
      </c>
      <c r="B184">
        <v>26.285</v>
      </c>
      <c r="C184">
        <v>26.358000000000001</v>
      </c>
      <c r="D184">
        <v>23.821999999999999</v>
      </c>
      <c r="E184">
        <v>23.962</v>
      </c>
      <c r="F184">
        <v>152780.85999999999</v>
      </c>
      <c r="G184">
        <v>23.962</v>
      </c>
      <c r="L184" t="s">
        <v>7</v>
      </c>
      <c r="M184" t="s">
        <v>7</v>
      </c>
      <c r="N184" t="s">
        <v>7</v>
      </c>
      <c r="P184">
        <f t="shared" ref="P184" si="895">IF(C184=D184,0,((E184-D184)-(C184-E184))/(C184-D184))</f>
        <v>-0.8895899053627756</v>
      </c>
      <c r="Q184">
        <f t="shared" ref="Q184" si="896">F184*P184</f>
        <v>-135912.31078864346</v>
      </c>
      <c r="R184">
        <f t="shared" ref="R184" si="897">R185+Q184</f>
        <v>1763884.4043157946</v>
      </c>
      <c r="S184">
        <f t="shared" ref="S184" si="898">R184/100000</f>
        <v>17.638844043157945</v>
      </c>
      <c r="T184">
        <f t="shared" ref="T184" si="899">S184/1000</f>
        <v>1.7638844043157947E-2</v>
      </c>
    </row>
    <row r="185" spans="1:20" x14ac:dyDescent="0.25">
      <c r="A185" s="5">
        <v>44408</v>
      </c>
      <c r="B185">
        <v>26.483000000000001</v>
      </c>
      <c r="C185">
        <v>27.486999999999998</v>
      </c>
      <c r="D185">
        <v>25.692</v>
      </c>
      <c r="E185">
        <v>26.3</v>
      </c>
      <c r="F185">
        <v>162100.478</v>
      </c>
      <c r="G185">
        <v>26.3</v>
      </c>
      <c r="L185" t="s">
        <v>8</v>
      </c>
      <c r="M185" t="s">
        <v>7</v>
      </c>
      <c r="N185" t="s">
        <v>7</v>
      </c>
      <c r="P185">
        <f t="shared" ref="P185" si="900">IF(C185=D185,0,((E185-D185)-(C185-E185))/(C185-D185))</f>
        <v>-0.32256267409470624</v>
      </c>
      <c r="Q185">
        <f t="shared" ref="Q185" si="901">F185*P185</f>
        <v>-52287.563655710102</v>
      </c>
      <c r="R185">
        <f t="shared" ref="R185" si="902">R186+Q185</f>
        <v>1899796.7151044381</v>
      </c>
      <c r="S185">
        <f t="shared" ref="S185" si="903">R185/100000</f>
        <v>18.997967151044381</v>
      </c>
      <c r="T185">
        <f t="shared" ref="T185" si="904">S185/1000</f>
        <v>1.8997967151044383E-2</v>
      </c>
    </row>
    <row r="186" spans="1:20" x14ac:dyDescent="0.25">
      <c r="A186" s="5">
        <v>44407</v>
      </c>
      <c r="B186">
        <v>26.169</v>
      </c>
      <c r="C186">
        <v>26.9</v>
      </c>
      <c r="D186">
        <v>24.407</v>
      </c>
      <c r="E186">
        <v>26.483000000000001</v>
      </c>
      <c r="F186">
        <v>220642.49900000001</v>
      </c>
      <c r="G186">
        <v>26.483000000000001</v>
      </c>
      <c r="L186" t="s">
        <v>7</v>
      </c>
      <c r="M186" t="s">
        <v>7</v>
      </c>
      <c r="N186" t="s">
        <v>7</v>
      </c>
      <c r="P186">
        <f t="shared" ref="P186" si="905">IF(C186=D186,0,((E186-D186)-(C186-E186))/(C186-D186))</f>
        <v>0.66546329723225173</v>
      </c>
      <c r="Q186">
        <f t="shared" ref="Q186" si="906">F186*P186</f>
        <v>146829.48489410381</v>
      </c>
      <c r="R186">
        <f t="shared" ref="R186" si="907">R187+Q186</f>
        <v>1952084.2787601482</v>
      </c>
      <c r="S186">
        <f t="shared" ref="S186" si="908">R186/100000</f>
        <v>19.520842787601481</v>
      </c>
      <c r="T186">
        <f t="shared" ref="T186" si="909">S186/1000</f>
        <v>1.9520842787601481E-2</v>
      </c>
    </row>
    <row r="187" spans="1:20" x14ac:dyDescent="0.25">
      <c r="A187" s="5">
        <v>44406</v>
      </c>
      <c r="B187">
        <v>27.016999999999999</v>
      </c>
      <c r="C187">
        <v>27.032</v>
      </c>
      <c r="D187">
        <v>25.402000000000001</v>
      </c>
      <c r="E187">
        <v>26.088999999999999</v>
      </c>
      <c r="F187">
        <v>91569.232000000004</v>
      </c>
      <c r="G187">
        <v>26.088999999999999</v>
      </c>
      <c r="L187" t="s">
        <v>7</v>
      </c>
      <c r="M187" t="s">
        <v>7</v>
      </c>
      <c r="N187" t="s">
        <v>7</v>
      </c>
      <c r="P187">
        <f t="shared" ref="P187" si="910">IF(C187=D187,0,((E187-D187)-(C187-E187))/(C187-D187))</f>
        <v>-0.1570552147239288</v>
      </c>
      <c r="Q187">
        <f t="shared" ref="Q187" si="911">F187*P187</f>
        <v>-14381.425393865253</v>
      </c>
      <c r="R187">
        <f t="shared" ref="R187" si="912">R188+Q187</f>
        <v>1805254.7938660444</v>
      </c>
      <c r="S187">
        <f t="shared" ref="S187" si="913">R187/100000</f>
        <v>18.052547938660442</v>
      </c>
      <c r="T187">
        <f t="shared" ref="T187" si="914">S187/1000</f>
        <v>1.8052547938660443E-2</v>
      </c>
    </row>
    <row r="188" spans="1:20" x14ac:dyDescent="0.25">
      <c r="A188" s="5">
        <v>44405</v>
      </c>
      <c r="B188">
        <v>27.646000000000001</v>
      </c>
      <c r="C188">
        <v>27.9</v>
      </c>
      <c r="D188">
        <v>25.300999999999998</v>
      </c>
      <c r="E188">
        <v>27.030999999999999</v>
      </c>
      <c r="F188">
        <v>200504.92300000001</v>
      </c>
      <c r="G188">
        <v>27.030999999999999</v>
      </c>
      <c r="L188" t="s">
        <v>8</v>
      </c>
      <c r="M188" t="s">
        <v>7</v>
      </c>
      <c r="N188" t="s">
        <v>7</v>
      </c>
      <c r="P188">
        <f t="shared" ref="P188" si="915">IF(C188=D188,0,((E188-D188)-(C188-E188))/(C188-D188))</f>
        <v>0.33128126202385555</v>
      </c>
      <c r="Q188">
        <f t="shared" ref="Q188" si="916">F188*P188</f>
        <v>66423.523933435979</v>
      </c>
      <c r="R188">
        <f t="shared" ref="R188" si="917">R189+Q188</f>
        <v>1819636.2192599096</v>
      </c>
      <c r="S188">
        <f t="shared" ref="S188" si="918">R188/100000</f>
        <v>18.196362192599096</v>
      </c>
      <c r="T188">
        <f t="shared" ref="T188" si="919">S188/1000</f>
        <v>1.8196362192599097E-2</v>
      </c>
    </row>
    <row r="189" spans="1:20" x14ac:dyDescent="0.25">
      <c r="A189" s="5">
        <v>44404</v>
      </c>
      <c r="B189">
        <v>27.149000000000001</v>
      </c>
      <c r="C189">
        <v>28.123000000000001</v>
      </c>
      <c r="D189">
        <v>24.01</v>
      </c>
      <c r="E189">
        <v>27.655999999999999</v>
      </c>
      <c r="F189">
        <v>415677.00799999997</v>
      </c>
      <c r="G189">
        <v>27.655999999999999</v>
      </c>
      <c r="L189" t="s">
        <v>7</v>
      </c>
      <c r="M189" t="s">
        <v>7</v>
      </c>
      <c r="N189" t="s">
        <v>7</v>
      </c>
      <c r="P189">
        <f t="shared" ref="P189" si="920">IF(C189=D189,0,((E189-D189)-(C189-E189))/(C189-D189))</f>
        <v>0.77291514709457698</v>
      </c>
      <c r="Q189">
        <f t="shared" ref="Q189" si="921">F189*P189</f>
        <v>321283.05578215362</v>
      </c>
      <c r="R189">
        <f t="shared" ref="R189" si="922">R190+Q189</f>
        <v>1753212.6953264736</v>
      </c>
      <c r="S189">
        <f t="shared" ref="S189" si="923">R189/100000</f>
        <v>17.532126953264736</v>
      </c>
      <c r="T189">
        <f t="shared" ref="T189" si="924">S189/1000</f>
        <v>1.7532126953264737E-2</v>
      </c>
    </row>
    <row r="190" spans="1:20" x14ac:dyDescent="0.25">
      <c r="A190" s="5">
        <v>44403</v>
      </c>
      <c r="B190">
        <v>31.509</v>
      </c>
      <c r="C190">
        <v>34.200000000000003</v>
      </c>
      <c r="D190">
        <v>25.658000000000001</v>
      </c>
      <c r="E190">
        <v>27.132999999999999</v>
      </c>
      <c r="F190">
        <v>764191.14800000004</v>
      </c>
      <c r="G190">
        <v>27.132999999999999</v>
      </c>
      <c r="L190" t="s">
        <v>7</v>
      </c>
      <c r="M190" t="s">
        <v>7</v>
      </c>
      <c r="N190" t="s">
        <v>8</v>
      </c>
      <c r="P190">
        <f t="shared" ref="P190" si="925">IF(C190=D190,0,((E190-D190)-(C190-E190))/(C190-D190))</f>
        <v>-0.65464762350737593</v>
      </c>
      <c r="Q190">
        <f t="shared" ref="Q190" si="926">F190*P190</f>
        <v>-500275.91894357343</v>
      </c>
      <c r="R190">
        <f t="shared" ref="R190" si="927">R191+Q190</f>
        <v>1431929.6395443198</v>
      </c>
      <c r="S190">
        <f t="shared" ref="S190" si="928">R190/100000</f>
        <v>14.319296395443198</v>
      </c>
      <c r="T190">
        <f t="shared" ref="T190" si="929">S190/1000</f>
        <v>1.4319296395443198E-2</v>
      </c>
    </row>
    <row r="191" spans="1:20" x14ac:dyDescent="0.25">
      <c r="A191" s="5">
        <v>44402</v>
      </c>
      <c r="B191">
        <v>25.359000000000002</v>
      </c>
      <c r="C191">
        <v>36.719000000000001</v>
      </c>
      <c r="D191">
        <v>25.283000000000001</v>
      </c>
      <c r="E191">
        <v>31.466999999999999</v>
      </c>
      <c r="F191">
        <v>1776356.2930000001</v>
      </c>
      <c r="G191">
        <v>31.466999999999999</v>
      </c>
      <c r="L191" t="s">
        <v>8</v>
      </c>
      <c r="M191" t="s">
        <v>8</v>
      </c>
      <c r="N191" t="s">
        <v>8</v>
      </c>
      <c r="P191">
        <f t="shared" ref="P191" si="930">IF(C191=D191,0,((E191-D191)-(C191-E191))/(C191-D191))</f>
        <v>8.1497026932493444E-2</v>
      </c>
      <c r="Q191">
        <f t="shared" ref="Q191" si="931">F191*P191</f>
        <v>144767.75665232522</v>
      </c>
      <c r="R191">
        <f t="shared" ref="R191" si="932">R192+Q191</f>
        <v>1932205.5584878933</v>
      </c>
      <c r="S191">
        <f t="shared" ref="S191" si="933">R191/100000</f>
        <v>19.322055584878932</v>
      </c>
      <c r="T191">
        <f t="shared" ref="T191:T197" si="934">S191/1000</f>
        <v>1.9322055584878931E-2</v>
      </c>
    </row>
    <row r="192" spans="1:20" x14ac:dyDescent="0.25">
      <c r="A192" s="5">
        <v>44401</v>
      </c>
      <c r="B192">
        <v>16.943000000000001</v>
      </c>
      <c r="C192">
        <v>28.486999999999998</v>
      </c>
      <c r="D192">
        <v>16.863</v>
      </c>
      <c r="E192">
        <v>25.356000000000002</v>
      </c>
      <c r="F192">
        <v>1209750.0330000001</v>
      </c>
      <c r="G192">
        <v>25.356000000000002</v>
      </c>
      <c r="L192" t="s">
        <v>8</v>
      </c>
      <c r="M192" t="s">
        <v>8</v>
      </c>
      <c r="N192" t="s">
        <v>8</v>
      </c>
      <c r="P192">
        <f t="shared" ref="P192" si="935">IF(C192=D192,0,((E192-D192)-(C192-E192))/(C192-D192))</f>
        <v>0.46128699242945681</v>
      </c>
      <c r="Q192">
        <f t="shared" ref="Q192" si="936">F192*P192</f>
        <v>558041.95431400614</v>
      </c>
      <c r="R192">
        <f t="shared" ref="R192" si="937">R193+Q192</f>
        <v>1787437.8018355682</v>
      </c>
      <c r="S192">
        <f t="shared" ref="S192" si="938">R192/100000</f>
        <v>17.874378018355682</v>
      </c>
      <c r="T192">
        <f t="shared" si="934"/>
        <v>1.7874378018355681E-2</v>
      </c>
    </row>
    <row r="193" spans="1:20" x14ac:dyDescent="0.25">
      <c r="A193" s="5">
        <v>44400</v>
      </c>
      <c r="B193">
        <v>16.428000000000001</v>
      </c>
      <c r="C193">
        <v>17.016999999999999</v>
      </c>
      <c r="D193">
        <v>15.68</v>
      </c>
      <c r="E193">
        <v>16.922999999999998</v>
      </c>
      <c r="F193">
        <v>109454.467</v>
      </c>
      <c r="G193">
        <v>16.922999999999998</v>
      </c>
      <c r="L193" t="s">
        <v>8</v>
      </c>
      <c r="M193" t="s">
        <v>8</v>
      </c>
      <c r="N193" t="s">
        <v>7</v>
      </c>
      <c r="P193">
        <f t="shared" ref="P193" si="939">IF(C193=D193,0,((E193-D193)-(C193-E193))/(C193-D193))</f>
        <v>0.85938668661181572</v>
      </c>
      <c r="Q193">
        <f t="shared" ref="Q193" si="940">F193*P193</f>
        <v>94063.711729992327</v>
      </c>
      <c r="R193">
        <f t="shared" ref="R193" si="941">R194+Q193</f>
        <v>1229395.8475215621</v>
      </c>
      <c r="S193">
        <f t="shared" ref="S193" si="942">R193/100000</f>
        <v>12.293958475215621</v>
      </c>
      <c r="T193">
        <f t="shared" si="934"/>
        <v>1.2293958475215621E-2</v>
      </c>
    </row>
    <row r="194" spans="1:20" x14ac:dyDescent="0.25">
      <c r="A194" s="5">
        <v>44399</v>
      </c>
      <c r="B194">
        <v>16.016999999999999</v>
      </c>
      <c r="C194">
        <v>16.616</v>
      </c>
      <c r="D194">
        <v>15.394</v>
      </c>
      <c r="E194">
        <v>16.423999999999999</v>
      </c>
      <c r="F194">
        <v>131298.90400000001</v>
      </c>
      <c r="G194">
        <v>16.423999999999999</v>
      </c>
      <c r="L194" t="s">
        <v>8</v>
      </c>
      <c r="M194" t="s">
        <v>8</v>
      </c>
      <c r="N194" t="s">
        <v>7</v>
      </c>
      <c r="P194">
        <f t="shared" ref="P194" si="943">IF(C194=D194,0,((E194-D194)-(C194-E194))/(C194-D194))</f>
        <v>0.68576104746317468</v>
      </c>
      <c r="Q194">
        <f t="shared" ref="Q194" si="944">F194*P194</f>
        <v>90039.673937806816</v>
      </c>
      <c r="R194">
        <f t="shared" ref="R194" si="945">R195+Q194</f>
        <v>1135332.1357915697</v>
      </c>
      <c r="S194">
        <f t="shared" ref="S194" si="946">R194/100000</f>
        <v>11.353321357915696</v>
      </c>
      <c r="T194">
        <f t="shared" si="934"/>
        <v>1.1353321357915697E-2</v>
      </c>
    </row>
    <row r="195" spans="1:20" x14ac:dyDescent="0.25">
      <c r="A195" s="5">
        <v>44398</v>
      </c>
      <c r="B195">
        <v>14.911</v>
      </c>
      <c r="C195">
        <v>16.010000000000002</v>
      </c>
      <c r="D195">
        <v>13.884</v>
      </c>
      <c r="E195">
        <v>16.010000000000002</v>
      </c>
      <c r="F195">
        <v>234471.26199999999</v>
      </c>
      <c r="G195">
        <v>16.010000000000002</v>
      </c>
      <c r="L195" t="s">
        <v>7</v>
      </c>
      <c r="M195" t="s">
        <v>7</v>
      </c>
      <c r="N195" t="s">
        <v>7</v>
      </c>
      <c r="P195">
        <f t="shared" ref="P195" si="947">IF(C195=D195,0,((E195-D195)-(C195-E195))/(C195-D195))</f>
        <v>1</v>
      </c>
      <c r="Q195">
        <f t="shared" ref="Q195" si="948">F195*P195</f>
        <v>234471.26199999999</v>
      </c>
      <c r="R195">
        <f t="shared" ref="R195" si="949">R196+Q195</f>
        <v>1045292.461853763</v>
      </c>
      <c r="S195">
        <f t="shared" ref="S195" si="950">R195/100000</f>
        <v>10.452924618537629</v>
      </c>
      <c r="T195">
        <f t="shared" si="934"/>
        <v>1.045292461853763E-2</v>
      </c>
    </row>
    <row r="196" spans="1:20" x14ac:dyDescent="0.25">
      <c r="A196" s="5">
        <v>44397</v>
      </c>
      <c r="B196">
        <v>16.45</v>
      </c>
      <c r="C196">
        <v>18.452000000000002</v>
      </c>
      <c r="D196">
        <v>14.04</v>
      </c>
      <c r="E196">
        <v>14.874000000000001</v>
      </c>
      <c r="F196">
        <v>488248.50599999999</v>
      </c>
      <c r="G196">
        <v>14.874000000000001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-0.62194016319129608</v>
      </c>
      <c r="Q196">
        <f t="shared" ref="Q196" si="952">F196*P196</f>
        <v>-303661.35549954651</v>
      </c>
      <c r="R196">
        <f t="shared" ref="R196" si="953">R197+Q196</f>
        <v>810821.19985376298</v>
      </c>
      <c r="S196">
        <f t="shared" ref="S196" si="954">R196/100000</f>
        <v>8.1082119985376302</v>
      </c>
      <c r="T196">
        <f t="shared" si="934"/>
        <v>8.1082119985376299E-3</v>
      </c>
    </row>
    <row r="197" spans="1:20" x14ac:dyDescent="0.25">
      <c r="A197" s="5">
        <v>44396</v>
      </c>
      <c r="B197">
        <v>18.088000000000001</v>
      </c>
      <c r="C197">
        <v>18.12</v>
      </c>
      <c r="D197">
        <v>15.6</v>
      </c>
      <c r="E197">
        <v>16.452999999999999</v>
      </c>
      <c r="F197">
        <v>167481.228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-0.32301587301587359</v>
      </c>
      <c r="Q197">
        <f t="shared" ref="Q197" si="956">F197*P197</f>
        <v>-54099.09507619057</v>
      </c>
      <c r="R197">
        <f t="shared" ref="R197" si="957">R198+Q197</f>
        <v>1114482.5553533095</v>
      </c>
      <c r="S197">
        <f t="shared" ref="S197" si="958">R197/100000</f>
        <v>11.144825553533096</v>
      </c>
      <c r="T197">
        <f t="shared" si="934"/>
        <v>1.1144825553533095E-2</v>
      </c>
    </row>
    <row r="198" spans="1:20" x14ac:dyDescent="0.25">
      <c r="A198" s="5">
        <v>44395</v>
      </c>
      <c r="B198">
        <v>19.077000000000002</v>
      </c>
      <c r="C198">
        <v>19.280999999999999</v>
      </c>
      <c r="D198">
        <v>17.350000000000001</v>
      </c>
      <c r="E198">
        <v>18.088000000000001</v>
      </c>
      <c r="F198">
        <v>330371.57199999999</v>
      </c>
      <c r="G198">
        <v>0</v>
      </c>
      <c r="L198" t="s">
        <v>7</v>
      </c>
      <c r="M198" t="s">
        <v>7</v>
      </c>
      <c r="N198" t="s">
        <v>7</v>
      </c>
      <c r="P198">
        <f t="shared" ref="P198:P261" si="959">IF(C198=D198,0,((E198-D198)-(C198-E198))/(C198-D198))</f>
        <v>-0.23562920766442202</v>
      </c>
      <c r="Q198">
        <f t="shared" ref="Q198:Q261" si="960">F198*P198</f>
        <v>-77845.191745209551</v>
      </c>
      <c r="R198">
        <f t="shared" ref="R198:R261" si="961">R199+Q198</f>
        <v>1168581.6504295</v>
      </c>
      <c r="S198">
        <f t="shared" ref="S198:S261" si="962">R198/100000</f>
        <v>11.685816504295</v>
      </c>
      <c r="T198">
        <f t="shared" ref="T198:T261" si="963">S198/1000</f>
        <v>1.1685816504295E-2</v>
      </c>
    </row>
    <row r="199" spans="1:20" x14ac:dyDescent="0.25">
      <c r="A199" s="5">
        <v>44394</v>
      </c>
      <c r="B199">
        <v>21.04</v>
      </c>
      <c r="C199">
        <v>25.553000000000001</v>
      </c>
      <c r="D199">
        <v>18.574999999999999</v>
      </c>
      <c r="E199">
        <v>19.076000000000001</v>
      </c>
      <c r="F199">
        <v>675651.90800000005</v>
      </c>
      <c r="G199">
        <v>0</v>
      </c>
      <c r="L199" t="s">
        <v>8</v>
      </c>
      <c r="M199" t="s">
        <v>8</v>
      </c>
      <c r="N199" t="s">
        <v>8</v>
      </c>
      <c r="P199">
        <f t="shared" si="959"/>
        <v>-0.85640584694754918</v>
      </c>
      <c r="Q199">
        <f t="shared" si="960"/>
        <v>-578632.24451246765</v>
      </c>
      <c r="R199">
        <f t="shared" si="961"/>
        <v>1246426.8421747095</v>
      </c>
      <c r="S199">
        <f t="shared" si="962"/>
        <v>12.464268421747095</v>
      </c>
      <c r="T199">
        <f t="shared" si="963"/>
        <v>1.2464268421747094E-2</v>
      </c>
    </row>
    <row r="200" spans="1:20" x14ac:dyDescent="0.25">
      <c r="A200" s="5">
        <v>44393</v>
      </c>
      <c r="B200">
        <v>17.501000000000001</v>
      </c>
      <c r="C200">
        <v>23</v>
      </c>
      <c r="D200">
        <v>16.916</v>
      </c>
      <c r="E200">
        <v>21.184000000000001</v>
      </c>
      <c r="F200">
        <v>871477.35600000003</v>
      </c>
      <c r="G200">
        <v>0</v>
      </c>
      <c r="L200" t="s">
        <v>8</v>
      </c>
      <c r="M200" t="s">
        <v>8</v>
      </c>
      <c r="N200" t="s">
        <v>8</v>
      </c>
      <c r="P200">
        <f t="shared" si="959"/>
        <v>0.4030243261012495</v>
      </c>
      <c r="Q200">
        <f t="shared" si="960"/>
        <v>351226.57411439874</v>
      </c>
      <c r="R200">
        <f t="shared" si="961"/>
        <v>1825059.0866871772</v>
      </c>
      <c r="S200">
        <f t="shared" si="962"/>
        <v>18.250590866871772</v>
      </c>
      <c r="T200">
        <f t="shared" si="963"/>
        <v>1.8250590866871773E-2</v>
      </c>
    </row>
    <row r="201" spans="1:20" x14ac:dyDescent="0.25">
      <c r="A201" s="5">
        <v>44392</v>
      </c>
      <c r="B201">
        <v>17.766999999999999</v>
      </c>
      <c r="C201">
        <v>19.852</v>
      </c>
      <c r="D201">
        <v>16.754000000000001</v>
      </c>
      <c r="E201">
        <v>17.443999999999999</v>
      </c>
      <c r="F201">
        <v>517954.59</v>
      </c>
      <c r="G201">
        <v>0</v>
      </c>
      <c r="L201" t="s">
        <v>7</v>
      </c>
      <c r="M201" t="s">
        <v>7</v>
      </c>
      <c r="N201" t="s">
        <v>8</v>
      </c>
      <c r="P201">
        <f t="shared" si="959"/>
        <v>-0.55455132343447522</v>
      </c>
      <c r="Q201">
        <f t="shared" si="960"/>
        <v>-287232.40336346102</v>
      </c>
      <c r="R201">
        <f t="shared" si="961"/>
        <v>1473832.5125727784</v>
      </c>
      <c r="S201">
        <f t="shared" si="962"/>
        <v>14.738325125727783</v>
      </c>
      <c r="T201">
        <f t="shared" si="963"/>
        <v>1.4738325125727784E-2</v>
      </c>
    </row>
    <row r="202" spans="1:20" x14ac:dyDescent="0.25">
      <c r="A202" s="5">
        <v>44391</v>
      </c>
      <c r="B202">
        <v>15.316000000000001</v>
      </c>
      <c r="C202">
        <v>21.427</v>
      </c>
      <c r="D202">
        <v>15.09</v>
      </c>
      <c r="E202">
        <v>17.794</v>
      </c>
      <c r="F202">
        <v>1263068.648</v>
      </c>
      <c r="G202">
        <v>0</v>
      </c>
      <c r="L202" t="s">
        <v>8</v>
      </c>
      <c r="M202" t="s">
        <v>8</v>
      </c>
      <c r="N202" t="s">
        <v>8</v>
      </c>
      <c r="P202">
        <f t="shared" si="959"/>
        <v>-0.14659933722581639</v>
      </c>
      <c r="Q202">
        <f t="shared" si="960"/>
        <v>-185165.02666750798</v>
      </c>
      <c r="R202">
        <f t="shared" si="961"/>
        <v>1761064.9159362395</v>
      </c>
      <c r="S202">
        <f t="shared" si="962"/>
        <v>17.610649159362396</v>
      </c>
      <c r="T202">
        <f t="shared" si="963"/>
        <v>1.7610649159362397E-2</v>
      </c>
    </row>
    <row r="203" spans="1:20" x14ac:dyDescent="0.25">
      <c r="A203" s="5">
        <v>44390</v>
      </c>
      <c r="B203">
        <v>15.712999999999999</v>
      </c>
      <c r="C203">
        <v>15.733000000000001</v>
      </c>
      <c r="D203">
        <v>14.608000000000001</v>
      </c>
      <c r="E203">
        <v>15.316000000000001</v>
      </c>
      <c r="F203">
        <v>26422.587</v>
      </c>
      <c r="G203">
        <v>0</v>
      </c>
      <c r="L203" t="s">
        <v>7</v>
      </c>
      <c r="M203" t="s">
        <v>7</v>
      </c>
      <c r="N203" t="s">
        <v>8</v>
      </c>
      <c r="P203">
        <f t="shared" si="959"/>
        <v>0.25866666666666699</v>
      </c>
      <c r="Q203">
        <f t="shared" si="960"/>
        <v>6834.6425040000086</v>
      </c>
      <c r="R203">
        <f t="shared" si="961"/>
        <v>1946229.9426037476</v>
      </c>
      <c r="S203">
        <f t="shared" si="962"/>
        <v>19.462299426037475</v>
      </c>
      <c r="T203">
        <f t="shared" si="963"/>
        <v>1.9462299426037475E-2</v>
      </c>
    </row>
    <row r="204" spans="1:20" x14ac:dyDescent="0.25">
      <c r="A204" s="5">
        <v>44389</v>
      </c>
      <c r="B204">
        <v>15.403</v>
      </c>
      <c r="C204">
        <v>15.994999999999999</v>
      </c>
      <c r="D204">
        <v>14.88</v>
      </c>
      <c r="E204">
        <v>15.723000000000001</v>
      </c>
      <c r="F204">
        <v>45854.642999999996</v>
      </c>
      <c r="G204">
        <v>0</v>
      </c>
      <c r="L204" t="s">
        <v>8</v>
      </c>
      <c r="M204" t="s">
        <v>7</v>
      </c>
      <c r="N204" t="s">
        <v>8</v>
      </c>
      <c r="P204">
        <f t="shared" si="959"/>
        <v>0.51210762331838777</v>
      </c>
      <c r="Q204">
        <f t="shared" si="960"/>
        <v>23482.512244843143</v>
      </c>
      <c r="R204">
        <f t="shared" si="961"/>
        <v>1939395.3000997475</v>
      </c>
      <c r="S204">
        <f t="shared" si="962"/>
        <v>19.393953000997474</v>
      </c>
      <c r="T204">
        <f t="shared" si="963"/>
        <v>1.9393953000997475E-2</v>
      </c>
    </row>
    <row r="205" spans="1:20" x14ac:dyDescent="0.25">
      <c r="A205" s="5">
        <v>44388</v>
      </c>
      <c r="B205">
        <v>14.96</v>
      </c>
      <c r="C205">
        <v>15.457000000000001</v>
      </c>
      <c r="D205">
        <v>14.589</v>
      </c>
      <c r="E205">
        <v>15.406000000000001</v>
      </c>
      <c r="F205">
        <v>27226.532999999999</v>
      </c>
      <c r="G205">
        <v>0</v>
      </c>
      <c r="L205" t="s">
        <v>8</v>
      </c>
      <c r="M205" t="s">
        <v>7</v>
      </c>
      <c r="N205" t="s">
        <v>8</v>
      </c>
      <c r="P205">
        <f t="shared" si="959"/>
        <v>0.88248847926267249</v>
      </c>
      <c r="Q205">
        <f t="shared" si="960"/>
        <v>24027.101702764969</v>
      </c>
      <c r="R205">
        <f t="shared" si="961"/>
        <v>1915912.7878549043</v>
      </c>
      <c r="S205">
        <f t="shared" si="962"/>
        <v>19.159127878549043</v>
      </c>
      <c r="T205">
        <f t="shared" si="963"/>
        <v>1.9159127878549044E-2</v>
      </c>
    </row>
    <row r="206" spans="1:20" x14ac:dyDescent="0.25">
      <c r="A206" s="5">
        <v>44387</v>
      </c>
      <c r="B206">
        <v>15.263</v>
      </c>
      <c r="C206">
        <v>15.53</v>
      </c>
      <c r="D206">
        <v>14.667999999999999</v>
      </c>
      <c r="E206">
        <v>14.898999999999999</v>
      </c>
      <c r="F206">
        <v>21977.615000000002</v>
      </c>
      <c r="G206">
        <v>0</v>
      </c>
      <c r="L206" t="s">
        <v>8</v>
      </c>
      <c r="M206" t="s">
        <v>7</v>
      </c>
      <c r="N206" t="s">
        <v>8</v>
      </c>
      <c r="P206">
        <f t="shared" si="959"/>
        <v>-0.46403712296983796</v>
      </c>
      <c r="Q206">
        <f t="shared" si="960"/>
        <v>-10198.429234338755</v>
      </c>
      <c r="R206">
        <f t="shared" si="961"/>
        <v>1891885.6861521394</v>
      </c>
      <c r="S206">
        <f t="shared" si="962"/>
        <v>18.918856861521395</v>
      </c>
      <c r="T206">
        <f t="shared" si="963"/>
        <v>1.8918856861521394E-2</v>
      </c>
    </row>
    <row r="207" spans="1:20" x14ac:dyDescent="0.25">
      <c r="A207" s="5">
        <v>44386</v>
      </c>
      <c r="B207">
        <v>15.417999999999999</v>
      </c>
      <c r="C207">
        <v>15.711</v>
      </c>
      <c r="D207">
        <v>14.337</v>
      </c>
      <c r="E207">
        <v>15.263</v>
      </c>
      <c r="F207">
        <v>324990.272</v>
      </c>
      <c r="G207">
        <v>0</v>
      </c>
      <c r="L207" t="s">
        <v>7</v>
      </c>
      <c r="M207" t="s">
        <v>7</v>
      </c>
      <c r="N207" t="s">
        <v>8</v>
      </c>
      <c r="P207">
        <f t="shared" si="959"/>
        <v>0.34788937409024712</v>
      </c>
      <c r="Q207">
        <f t="shared" si="960"/>
        <v>113060.66231149917</v>
      </c>
      <c r="R207">
        <f t="shared" si="961"/>
        <v>1902084.1153864781</v>
      </c>
      <c r="S207">
        <f t="shared" si="962"/>
        <v>19.020841153864783</v>
      </c>
      <c r="T207">
        <f t="shared" si="963"/>
        <v>1.9020841153864782E-2</v>
      </c>
    </row>
    <row r="208" spans="1:20" x14ac:dyDescent="0.25">
      <c r="A208" s="5">
        <v>44385</v>
      </c>
      <c r="B208">
        <v>17.805</v>
      </c>
      <c r="C208">
        <v>18.611999999999998</v>
      </c>
      <c r="D208">
        <v>15.15</v>
      </c>
      <c r="E208">
        <v>15.420999999999999</v>
      </c>
      <c r="F208">
        <v>94533.990999999995</v>
      </c>
      <c r="G208">
        <v>0</v>
      </c>
      <c r="L208" t="s">
        <v>8</v>
      </c>
      <c r="M208" t="s">
        <v>7</v>
      </c>
      <c r="N208" t="s">
        <v>8</v>
      </c>
      <c r="P208">
        <f t="shared" si="959"/>
        <v>-0.84344309647602589</v>
      </c>
      <c r="Q208">
        <f t="shared" si="960"/>
        <v>-79734.042091276759</v>
      </c>
      <c r="R208">
        <f t="shared" si="961"/>
        <v>1789023.4530749789</v>
      </c>
      <c r="S208">
        <f t="shared" si="962"/>
        <v>17.89023453074979</v>
      </c>
      <c r="T208">
        <f t="shared" si="963"/>
        <v>1.7890234530749789E-2</v>
      </c>
    </row>
    <row r="209" spans="1:20" x14ac:dyDescent="0.25">
      <c r="A209" s="5">
        <v>44384</v>
      </c>
      <c r="B209">
        <v>16.321999999999999</v>
      </c>
      <c r="C209">
        <v>17.832000000000001</v>
      </c>
      <c r="D209">
        <v>16.024999999999999</v>
      </c>
      <c r="E209">
        <v>17.806000000000001</v>
      </c>
      <c r="F209">
        <v>53485.368999999999</v>
      </c>
      <c r="G209">
        <v>0</v>
      </c>
      <c r="L209" t="s">
        <v>8</v>
      </c>
      <c r="M209" t="s">
        <v>8</v>
      </c>
      <c r="N209" t="s">
        <v>8</v>
      </c>
      <c r="P209">
        <f t="shared" si="959"/>
        <v>0.9712230215827341</v>
      </c>
      <c r="Q209">
        <f t="shared" si="960"/>
        <v>51946.221690647493</v>
      </c>
      <c r="R209">
        <f t="shared" si="961"/>
        <v>1868757.4951662556</v>
      </c>
      <c r="S209">
        <f t="shared" si="962"/>
        <v>18.687574951662555</v>
      </c>
      <c r="T209">
        <f t="shared" si="963"/>
        <v>1.8687574951662556E-2</v>
      </c>
    </row>
    <row r="210" spans="1:20" x14ac:dyDescent="0.25">
      <c r="A210" s="5">
        <v>44383</v>
      </c>
      <c r="B210">
        <v>16.241</v>
      </c>
      <c r="C210">
        <v>17</v>
      </c>
      <c r="D210">
        <v>15.851000000000001</v>
      </c>
      <c r="E210">
        <v>16.326000000000001</v>
      </c>
      <c r="F210">
        <v>130815.167</v>
      </c>
      <c r="G210">
        <v>0</v>
      </c>
      <c r="L210" t="s">
        <v>7</v>
      </c>
      <c r="M210" t="s">
        <v>8</v>
      </c>
      <c r="N210" t="s">
        <v>8</v>
      </c>
      <c r="P210">
        <f t="shared" si="959"/>
        <v>-0.1731940818102698</v>
      </c>
      <c r="Q210">
        <f t="shared" si="960"/>
        <v>-22656.412735422105</v>
      </c>
      <c r="R210">
        <f t="shared" si="961"/>
        <v>1816811.2734756081</v>
      </c>
      <c r="S210">
        <f t="shared" si="962"/>
        <v>18.168112734756082</v>
      </c>
      <c r="T210">
        <f t="shared" si="963"/>
        <v>1.8168112734756083E-2</v>
      </c>
    </row>
    <row r="211" spans="1:20" x14ac:dyDescent="0.25">
      <c r="A211" s="5">
        <v>44382</v>
      </c>
      <c r="B211">
        <v>16.713999999999999</v>
      </c>
      <c r="C211">
        <v>17.460999999999999</v>
      </c>
      <c r="D211">
        <v>15.693</v>
      </c>
      <c r="E211">
        <v>16.204999999999998</v>
      </c>
      <c r="F211">
        <v>68109.467999999993</v>
      </c>
      <c r="G211">
        <v>0</v>
      </c>
      <c r="L211" t="s">
        <v>8</v>
      </c>
      <c r="M211" t="s">
        <v>8</v>
      </c>
      <c r="N211" t="s">
        <v>8</v>
      </c>
      <c r="P211">
        <f t="shared" si="959"/>
        <v>-0.42081447963801016</v>
      </c>
      <c r="Q211">
        <f t="shared" si="960"/>
        <v>-28661.450334841702</v>
      </c>
      <c r="R211">
        <f t="shared" si="961"/>
        <v>1839467.6862110302</v>
      </c>
      <c r="S211">
        <f t="shared" si="962"/>
        <v>18.394676862110302</v>
      </c>
      <c r="T211">
        <f t="shared" si="963"/>
        <v>1.8394676862110302E-2</v>
      </c>
    </row>
    <row r="212" spans="1:20" x14ac:dyDescent="0.25">
      <c r="A212" s="5">
        <v>44381</v>
      </c>
      <c r="B212">
        <v>16.212</v>
      </c>
      <c r="C212">
        <v>17.038</v>
      </c>
      <c r="D212">
        <v>15.891</v>
      </c>
      <c r="E212">
        <v>16.741</v>
      </c>
      <c r="F212">
        <v>109928.861</v>
      </c>
      <c r="G212">
        <v>0</v>
      </c>
      <c r="L212" t="s">
        <v>8</v>
      </c>
      <c r="M212" t="s">
        <v>8</v>
      </c>
      <c r="N212" t="s">
        <v>8</v>
      </c>
      <c r="P212">
        <f t="shared" si="959"/>
        <v>0.48212728857890053</v>
      </c>
      <c r="Q212">
        <f t="shared" si="960"/>
        <v>52999.703690496848</v>
      </c>
      <c r="R212">
        <f t="shared" si="961"/>
        <v>1868129.1365458719</v>
      </c>
      <c r="S212">
        <f t="shared" si="962"/>
        <v>18.681291365458719</v>
      </c>
      <c r="T212">
        <f t="shared" si="963"/>
        <v>1.8681291365458718E-2</v>
      </c>
    </row>
    <row r="213" spans="1:20" x14ac:dyDescent="0.25">
      <c r="A213" s="5">
        <v>44380</v>
      </c>
      <c r="B213">
        <v>15.836</v>
      </c>
      <c r="C213">
        <v>16.251000000000001</v>
      </c>
      <c r="D213">
        <v>15.236000000000001</v>
      </c>
      <c r="E213">
        <v>16.251000000000001</v>
      </c>
      <c r="F213">
        <v>53632.326999999997</v>
      </c>
      <c r="G213">
        <v>0</v>
      </c>
      <c r="L213" t="s">
        <v>8</v>
      </c>
      <c r="M213" t="s">
        <v>8</v>
      </c>
      <c r="N213" t="s">
        <v>8</v>
      </c>
      <c r="P213">
        <f t="shared" si="959"/>
        <v>1</v>
      </c>
      <c r="Q213">
        <f t="shared" si="960"/>
        <v>53632.326999999997</v>
      </c>
      <c r="R213">
        <f t="shared" si="961"/>
        <v>1815129.4328553751</v>
      </c>
      <c r="S213">
        <f t="shared" si="962"/>
        <v>18.15129432855375</v>
      </c>
      <c r="T213">
        <f t="shared" si="963"/>
        <v>1.8151294328553749E-2</v>
      </c>
    </row>
    <row r="214" spans="1:20" x14ac:dyDescent="0.25">
      <c r="A214" s="5">
        <v>44379</v>
      </c>
      <c r="B214">
        <v>15.696999999999999</v>
      </c>
      <c r="C214">
        <v>16.288</v>
      </c>
      <c r="D214">
        <v>14.632</v>
      </c>
      <c r="E214">
        <v>15.82</v>
      </c>
      <c r="F214">
        <v>57253.540999999997</v>
      </c>
      <c r="G214">
        <v>0</v>
      </c>
      <c r="L214" t="s">
        <v>8</v>
      </c>
      <c r="M214" t="s">
        <v>8</v>
      </c>
      <c r="N214" t="s">
        <v>8</v>
      </c>
      <c r="P214">
        <f t="shared" si="959"/>
        <v>0.43478260869565238</v>
      </c>
      <c r="Q214">
        <f t="shared" si="960"/>
        <v>24892.843913043489</v>
      </c>
      <c r="R214">
        <f t="shared" si="961"/>
        <v>1761497.1058553751</v>
      </c>
      <c r="S214">
        <f t="shared" si="962"/>
        <v>17.614971058553749</v>
      </c>
      <c r="T214">
        <f t="shared" si="963"/>
        <v>1.7614971058553749E-2</v>
      </c>
    </row>
    <row r="215" spans="1:20" x14ac:dyDescent="0.25">
      <c r="A215" s="5">
        <v>44378</v>
      </c>
      <c r="B215">
        <v>16.242000000000001</v>
      </c>
      <c r="C215">
        <v>16.244</v>
      </c>
      <c r="D215">
        <v>14.747</v>
      </c>
      <c r="E215">
        <v>15.65</v>
      </c>
      <c r="F215">
        <v>84911.769</v>
      </c>
      <c r="G215">
        <v>0</v>
      </c>
      <c r="L215" t="s">
        <v>7</v>
      </c>
      <c r="M215" t="s">
        <v>8</v>
      </c>
      <c r="N215" t="s">
        <v>8</v>
      </c>
      <c r="P215">
        <f t="shared" si="959"/>
        <v>0.20641282565130331</v>
      </c>
      <c r="Q215">
        <f t="shared" si="960"/>
        <v>17526.87817034074</v>
      </c>
      <c r="R215">
        <f t="shared" si="961"/>
        <v>1736604.2619423317</v>
      </c>
      <c r="S215">
        <f t="shared" si="962"/>
        <v>17.366042619423318</v>
      </c>
      <c r="T215">
        <f t="shared" si="963"/>
        <v>1.736604261942332E-2</v>
      </c>
    </row>
    <row r="216" spans="1:20" x14ac:dyDescent="0.25">
      <c r="A216" s="5">
        <v>44377</v>
      </c>
      <c r="B216">
        <v>15.175000000000001</v>
      </c>
      <c r="C216">
        <v>16.244</v>
      </c>
      <c r="D216">
        <v>14.457000000000001</v>
      </c>
      <c r="E216">
        <v>16.242000000000001</v>
      </c>
      <c r="F216">
        <v>111048.784</v>
      </c>
      <c r="G216">
        <v>0</v>
      </c>
      <c r="L216" t="s">
        <v>8</v>
      </c>
      <c r="M216" t="s">
        <v>8</v>
      </c>
      <c r="N216" t="s">
        <v>8</v>
      </c>
      <c r="P216">
        <f t="shared" si="959"/>
        <v>0.99776161163962074</v>
      </c>
      <c r="Q216">
        <f t="shared" si="960"/>
        <v>110800.21369446012</v>
      </c>
      <c r="R216">
        <f t="shared" si="961"/>
        <v>1719077.3837719909</v>
      </c>
      <c r="S216">
        <f t="shared" si="962"/>
        <v>17.19077383771991</v>
      </c>
      <c r="T216">
        <f t="shared" si="963"/>
        <v>1.719077383771991E-2</v>
      </c>
    </row>
    <row r="217" spans="1:20" x14ac:dyDescent="0.25">
      <c r="A217" s="5">
        <v>44376</v>
      </c>
      <c r="B217">
        <v>13.465999999999999</v>
      </c>
      <c r="C217">
        <v>15.848000000000001</v>
      </c>
      <c r="D217">
        <v>13.361000000000001</v>
      </c>
      <c r="E217">
        <v>15.13</v>
      </c>
      <c r="F217">
        <v>243062.61</v>
      </c>
      <c r="G217">
        <v>0</v>
      </c>
      <c r="L217" t="s">
        <v>8</v>
      </c>
      <c r="M217" t="s">
        <v>8</v>
      </c>
      <c r="N217" t="s">
        <v>8</v>
      </c>
      <c r="P217">
        <f t="shared" si="959"/>
        <v>0.42259750703659033</v>
      </c>
      <c r="Q217">
        <f t="shared" si="960"/>
        <v>102717.653039807</v>
      </c>
      <c r="R217">
        <f t="shared" si="961"/>
        <v>1608277.1700775307</v>
      </c>
      <c r="S217">
        <f t="shared" si="962"/>
        <v>16.082771700775307</v>
      </c>
      <c r="T217">
        <f t="shared" si="963"/>
        <v>1.6082771700775308E-2</v>
      </c>
    </row>
    <row r="218" spans="1:20" x14ac:dyDescent="0.25">
      <c r="A218" s="5">
        <v>44375</v>
      </c>
      <c r="B218">
        <v>12.43</v>
      </c>
      <c r="C218">
        <v>13.47</v>
      </c>
      <c r="D218">
        <v>12.236000000000001</v>
      </c>
      <c r="E218">
        <v>13.446999999999999</v>
      </c>
      <c r="F218">
        <v>335207.23200000002</v>
      </c>
      <c r="G218">
        <v>0</v>
      </c>
      <c r="L218" t="s">
        <v>8</v>
      </c>
      <c r="M218" t="s">
        <v>8</v>
      </c>
      <c r="N218" t="s">
        <v>8</v>
      </c>
      <c r="P218">
        <f t="shared" si="959"/>
        <v>0.96272285251215317</v>
      </c>
      <c r="Q218">
        <f t="shared" si="960"/>
        <v>322711.66257374315</v>
      </c>
      <c r="R218">
        <f t="shared" si="961"/>
        <v>1505559.5170377237</v>
      </c>
      <c r="S218">
        <f t="shared" si="962"/>
        <v>15.055595170377236</v>
      </c>
      <c r="T218">
        <f t="shared" si="963"/>
        <v>1.5055595170377236E-2</v>
      </c>
    </row>
    <row r="219" spans="1:20" x14ac:dyDescent="0.25">
      <c r="A219" s="5">
        <v>44374</v>
      </c>
      <c r="B219">
        <v>11.689</v>
      </c>
      <c r="C219">
        <v>12.505000000000001</v>
      </c>
      <c r="D219">
        <v>11.539</v>
      </c>
      <c r="E219">
        <v>12.435</v>
      </c>
      <c r="F219">
        <v>127203.02099999999</v>
      </c>
      <c r="G219">
        <v>0</v>
      </c>
      <c r="L219" t="s">
        <v>8</v>
      </c>
      <c r="M219" t="s">
        <v>7</v>
      </c>
      <c r="N219" t="s">
        <v>8</v>
      </c>
      <c r="P219">
        <f t="shared" si="959"/>
        <v>0.85507246376811552</v>
      </c>
      <c r="Q219">
        <f t="shared" si="960"/>
        <v>108767.80056521733</v>
      </c>
      <c r="R219">
        <f t="shared" si="961"/>
        <v>1182847.8544639805</v>
      </c>
      <c r="S219">
        <f t="shared" si="962"/>
        <v>11.828478544639806</v>
      </c>
      <c r="T219">
        <f t="shared" si="963"/>
        <v>1.1828478544639805E-2</v>
      </c>
    </row>
    <row r="220" spans="1:20" x14ac:dyDescent="0.25">
      <c r="A220" s="5">
        <v>44373</v>
      </c>
      <c r="B220">
        <v>11.766999999999999</v>
      </c>
      <c r="C220">
        <v>12.071</v>
      </c>
      <c r="D220">
        <v>10.8</v>
      </c>
      <c r="E220">
        <v>11.656000000000001</v>
      </c>
      <c r="F220">
        <v>89443.998000000007</v>
      </c>
      <c r="G220">
        <v>0</v>
      </c>
      <c r="L220" t="s">
        <v>7</v>
      </c>
      <c r="M220" t="s">
        <v>7</v>
      </c>
      <c r="N220" t="s">
        <v>8</v>
      </c>
      <c r="P220">
        <f t="shared" si="959"/>
        <v>0.34697088906373019</v>
      </c>
      <c r="Q220">
        <f t="shared" si="960"/>
        <v>31034.463507474509</v>
      </c>
      <c r="R220">
        <f t="shared" si="961"/>
        <v>1074080.0538987631</v>
      </c>
      <c r="S220">
        <f t="shared" si="962"/>
        <v>10.740800538987632</v>
      </c>
      <c r="T220">
        <f t="shared" si="963"/>
        <v>1.0740800538987632E-2</v>
      </c>
    </row>
    <row r="221" spans="1:20" x14ac:dyDescent="0.25">
      <c r="A221" s="5">
        <v>44372</v>
      </c>
      <c r="B221">
        <v>13.016999999999999</v>
      </c>
      <c r="C221">
        <v>13.292999999999999</v>
      </c>
      <c r="D221">
        <v>11.342000000000001</v>
      </c>
      <c r="E221">
        <v>11.781000000000001</v>
      </c>
      <c r="F221">
        <v>128383.626</v>
      </c>
      <c r="G221">
        <v>0</v>
      </c>
      <c r="L221" t="s">
        <v>7</v>
      </c>
      <c r="M221" t="s">
        <v>7</v>
      </c>
      <c r="N221" t="s">
        <v>8</v>
      </c>
      <c r="P221">
        <f t="shared" si="959"/>
        <v>-0.54997437211686284</v>
      </c>
      <c r="Q221">
        <f t="shared" si="960"/>
        <v>-70607.704099436145</v>
      </c>
      <c r="R221">
        <f t="shared" si="961"/>
        <v>1043045.5903912886</v>
      </c>
      <c r="S221">
        <f t="shared" si="962"/>
        <v>10.430455903912886</v>
      </c>
      <c r="T221">
        <f t="shared" si="963"/>
        <v>1.0430455903912885E-2</v>
      </c>
    </row>
    <row r="222" spans="1:20" x14ac:dyDescent="0.25">
      <c r="A222" s="5">
        <v>44371</v>
      </c>
      <c r="B222">
        <v>11.747</v>
      </c>
      <c r="C222">
        <v>13.442</v>
      </c>
      <c r="D222">
        <v>11.198</v>
      </c>
      <c r="E222">
        <v>13.058</v>
      </c>
      <c r="F222">
        <v>141400.04500000001</v>
      </c>
      <c r="G222">
        <v>0</v>
      </c>
      <c r="L222" t="s">
        <v>8</v>
      </c>
      <c r="M222" t="s">
        <v>8</v>
      </c>
      <c r="N222" t="s">
        <v>8</v>
      </c>
      <c r="P222">
        <f t="shared" si="959"/>
        <v>0.6577540106951868</v>
      </c>
      <c r="Q222">
        <f t="shared" si="960"/>
        <v>93006.446711229903</v>
      </c>
      <c r="R222">
        <f t="shared" si="961"/>
        <v>1113653.2944907248</v>
      </c>
      <c r="S222">
        <f t="shared" si="962"/>
        <v>11.136532944907248</v>
      </c>
      <c r="T222">
        <f t="shared" si="963"/>
        <v>1.1136532944907249E-2</v>
      </c>
    </row>
    <row r="223" spans="1:20" x14ac:dyDescent="0.25">
      <c r="A223" s="5">
        <v>44370</v>
      </c>
      <c r="B223">
        <v>10.975</v>
      </c>
      <c r="C223">
        <v>12.192</v>
      </c>
      <c r="D223">
        <v>10.576000000000001</v>
      </c>
      <c r="E223">
        <v>11.73</v>
      </c>
      <c r="F223">
        <v>92061.034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0.42821782178217843</v>
      </c>
      <c r="Q223">
        <f t="shared" si="960"/>
        <v>39422.175450495066</v>
      </c>
      <c r="R223">
        <f t="shared" si="961"/>
        <v>1020646.8477794948</v>
      </c>
      <c r="S223">
        <f t="shared" si="962"/>
        <v>10.206468477794948</v>
      </c>
      <c r="T223">
        <f t="shared" si="963"/>
        <v>1.0206468477794947E-2</v>
      </c>
    </row>
    <row r="224" spans="1:20" x14ac:dyDescent="0.25">
      <c r="A224" s="5">
        <v>44369</v>
      </c>
      <c r="B224">
        <v>11.798</v>
      </c>
      <c r="C224">
        <v>12.324999999999999</v>
      </c>
      <c r="D224">
        <v>9.4499999999999993</v>
      </c>
      <c r="E224">
        <v>10.971</v>
      </c>
      <c r="F224">
        <v>202643.52900000001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5.8086956521739681E-2</v>
      </c>
      <c r="Q224">
        <f t="shared" si="960"/>
        <v>11770.945858434894</v>
      </c>
      <c r="R224">
        <f t="shared" si="961"/>
        <v>981224.67232899973</v>
      </c>
      <c r="S224">
        <f t="shared" si="962"/>
        <v>9.8122467232899968</v>
      </c>
      <c r="T224">
        <f t="shared" si="963"/>
        <v>9.8122467232899975E-3</v>
      </c>
    </row>
    <row r="225" spans="1:20" x14ac:dyDescent="0.25">
      <c r="A225" s="5">
        <v>44368</v>
      </c>
      <c r="B225">
        <v>16.062999999999999</v>
      </c>
      <c r="C225">
        <v>16.173999999999999</v>
      </c>
      <c r="D225">
        <v>11.638</v>
      </c>
      <c r="E225">
        <v>11.766999999999999</v>
      </c>
      <c r="F225">
        <v>268239.80699999997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-0.94312169312169336</v>
      </c>
      <c r="Q225">
        <f t="shared" si="960"/>
        <v>-252982.78094047622</v>
      </c>
      <c r="R225">
        <f t="shared" si="961"/>
        <v>969453.72647056484</v>
      </c>
      <c r="S225">
        <f t="shared" si="962"/>
        <v>9.694537264705648</v>
      </c>
      <c r="T225">
        <f t="shared" si="963"/>
        <v>9.6945372647056476E-3</v>
      </c>
    </row>
    <row r="226" spans="1:20" x14ac:dyDescent="0.25">
      <c r="A226" s="5">
        <v>44367</v>
      </c>
      <c r="B226">
        <v>16.675999999999998</v>
      </c>
      <c r="C226">
        <v>16.748999999999999</v>
      </c>
      <c r="D226">
        <v>14.874000000000001</v>
      </c>
      <c r="E226">
        <v>16.077999999999999</v>
      </c>
      <c r="F226">
        <v>110640.049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0.28426666666666667</v>
      </c>
      <c r="Q226">
        <f t="shared" si="960"/>
        <v>31451.277929066666</v>
      </c>
      <c r="R226">
        <f t="shared" si="961"/>
        <v>1222436.5074110411</v>
      </c>
      <c r="S226">
        <f t="shared" si="962"/>
        <v>12.224365074110411</v>
      </c>
      <c r="T226">
        <f t="shared" si="963"/>
        <v>1.2224365074110411E-2</v>
      </c>
    </row>
    <row r="227" spans="1:20" x14ac:dyDescent="0.25">
      <c r="A227" s="5">
        <v>44366</v>
      </c>
      <c r="B227">
        <v>16.722000000000001</v>
      </c>
      <c r="C227">
        <v>17.513999999999999</v>
      </c>
      <c r="D227">
        <v>16.442</v>
      </c>
      <c r="E227">
        <v>16.689</v>
      </c>
      <c r="F227">
        <v>62042.622000000003</v>
      </c>
      <c r="G227">
        <v>0</v>
      </c>
      <c r="L227" t="s">
        <v>8</v>
      </c>
      <c r="M227" t="s">
        <v>7</v>
      </c>
      <c r="N227" t="s">
        <v>7</v>
      </c>
      <c r="P227">
        <f t="shared" si="959"/>
        <v>-0.53917910447761175</v>
      </c>
      <c r="Q227">
        <f t="shared" si="960"/>
        <v>-33452.085369402972</v>
      </c>
      <c r="R227">
        <f t="shared" si="961"/>
        <v>1190985.2294819744</v>
      </c>
      <c r="S227">
        <f t="shared" si="962"/>
        <v>11.909852294819745</v>
      </c>
      <c r="T227">
        <f t="shared" si="963"/>
        <v>1.1909852294819745E-2</v>
      </c>
    </row>
    <row r="228" spans="1:20" x14ac:dyDescent="0.25">
      <c r="A228" s="5">
        <v>44365</v>
      </c>
      <c r="B228">
        <v>18.399999999999999</v>
      </c>
      <c r="C228">
        <v>18.477</v>
      </c>
      <c r="D228">
        <v>16.236000000000001</v>
      </c>
      <c r="E228">
        <v>16.716000000000001</v>
      </c>
      <c r="F228">
        <v>83684.862999999998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-0.57161981258366756</v>
      </c>
      <c r="Q228">
        <f t="shared" si="960"/>
        <v>-47835.925704149893</v>
      </c>
      <c r="R228">
        <f t="shared" si="961"/>
        <v>1224437.3148513774</v>
      </c>
      <c r="S228">
        <f t="shared" si="962"/>
        <v>12.244373148513773</v>
      </c>
      <c r="T228">
        <f t="shared" si="963"/>
        <v>1.2244373148513774E-2</v>
      </c>
    </row>
    <row r="229" spans="1:20" x14ac:dyDescent="0.25">
      <c r="A229" s="5">
        <v>44364</v>
      </c>
      <c r="B229">
        <v>18.396000000000001</v>
      </c>
      <c r="C229">
        <v>19.402999999999999</v>
      </c>
      <c r="D229">
        <v>17.792000000000002</v>
      </c>
      <c r="E229">
        <v>18.399999999999999</v>
      </c>
      <c r="F229">
        <v>70073.865000000005</v>
      </c>
      <c r="G229">
        <v>0</v>
      </c>
      <c r="L229" t="s">
        <v>7</v>
      </c>
      <c r="M229" t="s">
        <v>7</v>
      </c>
      <c r="N229" t="s">
        <v>7</v>
      </c>
      <c r="P229">
        <f t="shared" si="959"/>
        <v>-0.24518932340161628</v>
      </c>
      <c r="Q229">
        <f t="shared" si="960"/>
        <v>-17181.363547486202</v>
      </c>
      <c r="R229">
        <f t="shared" si="961"/>
        <v>1272273.2405555274</v>
      </c>
      <c r="S229">
        <f t="shared" si="962"/>
        <v>12.722732405555274</v>
      </c>
      <c r="T229">
        <f t="shared" si="963"/>
        <v>1.2722732405555274E-2</v>
      </c>
    </row>
    <row r="230" spans="1:20" x14ac:dyDescent="0.25">
      <c r="A230" s="5">
        <v>44363</v>
      </c>
      <c r="B230">
        <v>19.834</v>
      </c>
      <c r="C230">
        <v>20.49</v>
      </c>
      <c r="D230">
        <v>18.283000000000001</v>
      </c>
      <c r="E230">
        <v>18.484999999999999</v>
      </c>
      <c r="F230">
        <v>127831.77899999999</v>
      </c>
      <c r="G230">
        <v>0</v>
      </c>
      <c r="L230" t="s">
        <v>7</v>
      </c>
      <c r="M230" t="s">
        <v>7</v>
      </c>
      <c r="N230" t="s">
        <v>7</v>
      </c>
      <c r="P230">
        <f t="shared" si="959"/>
        <v>-0.81694608065247087</v>
      </c>
      <c r="Q230">
        <f t="shared" si="960"/>
        <v>-104431.67083688283</v>
      </c>
      <c r="R230">
        <f t="shared" si="961"/>
        <v>1289454.6041030136</v>
      </c>
      <c r="S230">
        <f t="shared" si="962"/>
        <v>12.894546041030136</v>
      </c>
      <c r="T230">
        <f t="shared" si="963"/>
        <v>1.2894546041030136E-2</v>
      </c>
    </row>
    <row r="231" spans="1:20" x14ac:dyDescent="0.25">
      <c r="A231" s="5">
        <v>44362</v>
      </c>
      <c r="B231">
        <v>19.486999999999998</v>
      </c>
      <c r="C231">
        <v>21.87</v>
      </c>
      <c r="D231">
        <v>19.120999999999999</v>
      </c>
      <c r="E231">
        <v>19.783999999999999</v>
      </c>
      <c r="F231">
        <v>283198.25199999998</v>
      </c>
      <c r="G231">
        <v>0</v>
      </c>
      <c r="L231" t="s">
        <v>8</v>
      </c>
      <c r="M231" t="s">
        <v>8</v>
      </c>
      <c r="N231" t="s">
        <v>7</v>
      </c>
      <c r="P231">
        <f t="shared" si="959"/>
        <v>-0.51764277919243384</v>
      </c>
      <c r="Q231">
        <f t="shared" si="960"/>
        <v>-146595.53022771922</v>
      </c>
      <c r="R231">
        <f t="shared" si="961"/>
        <v>1393886.2749398965</v>
      </c>
      <c r="S231">
        <f t="shared" si="962"/>
        <v>13.938862749398965</v>
      </c>
      <c r="T231">
        <f t="shared" si="963"/>
        <v>1.3938862749398965E-2</v>
      </c>
    </row>
    <row r="232" spans="1:20" x14ac:dyDescent="0.25">
      <c r="A232" s="5">
        <v>44361</v>
      </c>
      <c r="B232">
        <v>19.283999999999999</v>
      </c>
      <c r="C232">
        <v>19.492999999999999</v>
      </c>
      <c r="D232">
        <v>18.483000000000001</v>
      </c>
      <c r="E232">
        <v>19.472999999999999</v>
      </c>
      <c r="F232">
        <v>104779.18700000001</v>
      </c>
      <c r="G232">
        <v>0</v>
      </c>
      <c r="L232" t="s">
        <v>8</v>
      </c>
      <c r="M232" t="s">
        <v>7</v>
      </c>
      <c r="N232" t="s">
        <v>7</v>
      </c>
      <c r="P232">
        <f t="shared" si="959"/>
        <v>0.96039603960396114</v>
      </c>
      <c r="Q232">
        <f t="shared" si="960"/>
        <v>100629.51622772285</v>
      </c>
      <c r="R232">
        <f t="shared" si="961"/>
        <v>1540481.8051676159</v>
      </c>
      <c r="S232">
        <f t="shared" si="962"/>
        <v>15.404818051676159</v>
      </c>
      <c r="T232">
        <f t="shared" si="963"/>
        <v>1.5404818051676159E-2</v>
      </c>
    </row>
    <row r="233" spans="1:20" x14ac:dyDescent="0.25">
      <c r="A233" s="5">
        <v>44360</v>
      </c>
      <c r="B233">
        <v>18.523</v>
      </c>
      <c r="C233">
        <v>19.3</v>
      </c>
      <c r="D233">
        <v>17.690999999999999</v>
      </c>
      <c r="E233">
        <v>19.289000000000001</v>
      </c>
      <c r="F233">
        <v>167674.073</v>
      </c>
      <c r="G233">
        <v>0</v>
      </c>
      <c r="L233" t="s">
        <v>8</v>
      </c>
      <c r="M233" t="s">
        <v>7</v>
      </c>
      <c r="N233" t="s">
        <v>7</v>
      </c>
      <c r="P233">
        <f t="shared" si="959"/>
        <v>0.98632691112492332</v>
      </c>
      <c r="Q233">
        <f t="shared" si="960"/>
        <v>165381.4504978249</v>
      </c>
      <c r="R233">
        <f t="shared" si="961"/>
        <v>1439852.288939893</v>
      </c>
      <c r="S233">
        <f t="shared" si="962"/>
        <v>14.398522889398929</v>
      </c>
      <c r="T233">
        <f t="shared" si="963"/>
        <v>1.439852288939893E-2</v>
      </c>
    </row>
    <row r="234" spans="1:20" x14ac:dyDescent="0.25">
      <c r="A234" s="5">
        <v>44359</v>
      </c>
      <c r="B234">
        <v>19.891999999999999</v>
      </c>
      <c r="C234">
        <v>20.097999999999999</v>
      </c>
      <c r="D234">
        <v>17.681000000000001</v>
      </c>
      <c r="E234">
        <v>18.489999999999998</v>
      </c>
      <c r="F234">
        <v>117059.323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-0.33057509309060973</v>
      </c>
      <c r="Q234">
        <f t="shared" si="960"/>
        <v>-38696.896597848754</v>
      </c>
      <c r="R234">
        <f t="shared" si="961"/>
        <v>1274470.8384420681</v>
      </c>
      <c r="S234">
        <f t="shared" si="962"/>
        <v>12.744708384420681</v>
      </c>
      <c r="T234">
        <f t="shared" si="963"/>
        <v>1.2744708384420681E-2</v>
      </c>
    </row>
    <row r="235" spans="1:20" x14ac:dyDescent="0.25">
      <c r="A235" s="5">
        <v>44358</v>
      </c>
      <c r="B235">
        <v>21.681000000000001</v>
      </c>
      <c r="C235">
        <v>24.369</v>
      </c>
      <c r="D235">
        <v>19.701000000000001</v>
      </c>
      <c r="E235">
        <v>19.869</v>
      </c>
      <c r="F235">
        <v>193940.27299999999</v>
      </c>
      <c r="G235">
        <v>0</v>
      </c>
      <c r="L235" t="s">
        <v>8</v>
      </c>
      <c r="M235" t="s">
        <v>8</v>
      </c>
      <c r="N235" t="s">
        <v>7</v>
      </c>
      <c r="P235">
        <f t="shared" si="959"/>
        <v>-0.92802056555269952</v>
      </c>
      <c r="Q235">
        <f t="shared" si="960"/>
        <v>-179980.56183290493</v>
      </c>
      <c r="R235">
        <f t="shared" si="961"/>
        <v>1313167.7350399168</v>
      </c>
      <c r="S235">
        <f t="shared" si="962"/>
        <v>13.131677350399169</v>
      </c>
      <c r="T235">
        <f t="shared" si="963"/>
        <v>1.3131677350399169E-2</v>
      </c>
    </row>
    <row r="236" spans="1:20" x14ac:dyDescent="0.25">
      <c r="A236" s="5">
        <v>44357</v>
      </c>
      <c r="B236">
        <v>22.513999999999999</v>
      </c>
      <c r="C236">
        <v>23.105</v>
      </c>
      <c r="D236">
        <v>21.024999999999999</v>
      </c>
      <c r="E236">
        <v>21.687000000000001</v>
      </c>
      <c r="F236">
        <v>96608.095000000001</v>
      </c>
      <c r="G236">
        <v>0</v>
      </c>
      <c r="L236" t="s">
        <v>8</v>
      </c>
      <c r="M236" t="s">
        <v>8</v>
      </c>
      <c r="N236" t="s">
        <v>7</v>
      </c>
      <c r="P236">
        <f t="shared" si="959"/>
        <v>-0.36346153846153656</v>
      </c>
      <c r="Q236">
        <f t="shared" si="960"/>
        <v>-35113.326836538276</v>
      </c>
      <c r="R236">
        <f t="shared" si="961"/>
        <v>1493148.2968728219</v>
      </c>
      <c r="S236">
        <f t="shared" si="962"/>
        <v>14.931482968728218</v>
      </c>
      <c r="T236">
        <f t="shared" si="963"/>
        <v>1.4931482968728219E-2</v>
      </c>
    </row>
    <row r="237" spans="1:20" x14ac:dyDescent="0.25">
      <c r="A237" s="5">
        <v>44356</v>
      </c>
      <c r="B237">
        <v>21.06</v>
      </c>
      <c r="C237">
        <v>22.771999999999998</v>
      </c>
      <c r="D237">
        <v>20.141999999999999</v>
      </c>
      <c r="E237">
        <v>22.513999999999999</v>
      </c>
      <c r="F237">
        <v>219962.14199999999</v>
      </c>
      <c r="G237">
        <v>0</v>
      </c>
      <c r="L237" t="s">
        <v>8</v>
      </c>
      <c r="M237" t="s">
        <v>8</v>
      </c>
      <c r="N237" t="s">
        <v>7</v>
      </c>
      <c r="P237">
        <f t="shared" si="959"/>
        <v>0.80380228136882192</v>
      </c>
      <c r="Q237">
        <f t="shared" si="960"/>
        <v>176806.07155437276</v>
      </c>
      <c r="R237">
        <f t="shared" si="961"/>
        <v>1528261.6237093601</v>
      </c>
      <c r="S237">
        <f t="shared" si="962"/>
        <v>15.282616237093601</v>
      </c>
      <c r="T237">
        <f t="shared" si="963"/>
        <v>1.5282616237093601E-2</v>
      </c>
    </row>
    <row r="238" spans="1:20" x14ac:dyDescent="0.25">
      <c r="A238" s="5">
        <v>44355</v>
      </c>
      <c r="B238">
        <v>22.183</v>
      </c>
      <c r="C238">
        <v>23.062999999999999</v>
      </c>
      <c r="D238">
        <v>18.949000000000002</v>
      </c>
      <c r="E238">
        <v>21.006</v>
      </c>
      <c r="F238">
        <v>111391.04399999999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</v>
      </c>
      <c r="Q238">
        <f t="shared" si="960"/>
        <v>0</v>
      </c>
      <c r="R238">
        <f t="shared" si="961"/>
        <v>1351455.5521549874</v>
      </c>
      <c r="S238">
        <f t="shared" si="962"/>
        <v>13.514555521549873</v>
      </c>
      <c r="T238">
        <f t="shared" si="963"/>
        <v>1.3514555521549874E-2</v>
      </c>
    </row>
    <row r="239" spans="1:20" x14ac:dyDescent="0.25">
      <c r="A239" s="5">
        <v>44354</v>
      </c>
      <c r="B239">
        <v>24.588999999999999</v>
      </c>
      <c r="C239">
        <v>25.440999999999999</v>
      </c>
      <c r="D239">
        <v>21.805</v>
      </c>
      <c r="E239">
        <v>22.158000000000001</v>
      </c>
      <c r="F239">
        <v>89976.168000000005</v>
      </c>
      <c r="G239">
        <v>0</v>
      </c>
      <c r="L239" t="s">
        <v>7</v>
      </c>
      <c r="M239" t="s">
        <v>7</v>
      </c>
      <c r="N239" t="s">
        <v>8</v>
      </c>
      <c r="P239">
        <f t="shared" si="959"/>
        <v>-0.80583058305830491</v>
      </c>
      <c r="Q239">
        <f t="shared" si="960"/>
        <v>-72505.547920792</v>
      </c>
      <c r="R239">
        <f t="shared" si="961"/>
        <v>1351455.5521549874</v>
      </c>
      <c r="S239">
        <f t="shared" si="962"/>
        <v>13.514555521549873</v>
      </c>
      <c r="T239">
        <f t="shared" si="963"/>
        <v>1.3514555521549874E-2</v>
      </c>
    </row>
    <row r="240" spans="1:20" x14ac:dyDescent="0.25">
      <c r="A240" s="5">
        <v>44353</v>
      </c>
      <c r="B240">
        <v>23.719000000000001</v>
      </c>
      <c r="C240">
        <v>25.093</v>
      </c>
      <c r="D240">
        <v>23.341999999999999</v>
      </c>
      <c r="E240">
        <v>24.521000000000001</v>
      </c>
      <c r="F240">
        <v>42888.692000000003</v>
      </c>
      <c r="G240">
        <v>0</v>
      </c>
      <c r="L240" t="s">
        <v>7</v>
      </c>
      <c r="M240" t="s">
        <v>7</v>
      </c>
      <c r="N240" t="s">
        <v>8</v>
      </c>
      <c r="P240">
        <f t="shared" si="959"/>
        <v>0.34665905197030406</v>
      </c>
      <c r="Q240">
        <f t="shared" si="960"/>
        <v>14867.753308966365</v>
      </c>
      <c r="R240">
        <f t="shared" si="961"/>
        <v>1423961.1000757792</v>
      </c>
      <c r="S240">
        <f t="shared" si="962"/>
        <v>14.239611000757792</v>
      </c>
      <c r="T240">
        <f t="shared" si="963"/>
        <v>1.4239611000757792E-2</v>
      </c>
    </row>
    <row r="241" spans="1:20" x14ac:dyDescent="0.25">
      <c r="A241" s="5">
        <v>44352</v>
      </c>
      <c r="B241">
        <v>23.84</v>
      </c>
      <c r="C241">
        <v>25.725000000000001</v>
      </c>
      <c r="D241">
        <v>23.010999999999999</v>
      </c>
      <c r="E241">
        <v>23.702999999999999</v>
      </c>
      <c r="F241">
        <v>58677.141000000003</v>
      </c>
      <c r="G241">
        <v>0</v>
      </c>
      <c r="L241" t="s">
        <v>8</v>
      </c>
      <c r="M241" t="s">
        <v>7</v>
      </c>
      <c r="N241" t="s">
        <v>8</v>
      </c>
      <c r="P241">
        <f t="shared" si="959"/>
        <v>-0.49005158437730317</v>
      </c>
      <c r="Q241">
        <f t="shared" si="960"/>
        <v>-28754.825913780416</v>
      </c>
      <c r="R241">
        <f t="shared" si="961"/>
        <v>1409093.346766813</v>
      </c>
      <c r="S241">
        <f t="shared" si="962"/>
        <v>14.09093346766813</v>
      </c>
      <c r="T241">
        <f t="shared" si="963"/>
        <v>1.409093346766813E-2</v>
      </c>
    </row>
    <row r="242" spans="1:20" x14ac:dyDescent="0.25">
      <c r="A242" s="5">
        <v>44351</v>
      </c>
      <c r="B242">
        <v>26.218</v>
      </c>
      <c r="C242">
        <v>26.905999999999999</v>
      </c>
      <c r="D242">
        <v>22.462</v>
      </c>
      <c r="E242">
        <v>23.814</v>
      </c>
      <c r="F242">
        <v>97614.251000000004</v>
      </c>
      <c r="G242">
        <v>0</v>
      </c>
      <c r="L242" t="s">
        <v>7</v>
      </c>
      <c r="M242" t="s">
        <v>7</v>
      </c>
      <c r="N242" t="s">
        <v>8</v>
      </c>
      <c r="P242">
        <f t="shared" si="959"/>
        <v>-0.39153915391539129</v>
      </c>
      <c r="Q242">
        <f t="shared" si="960"/>
        <v>-38219.801246624636</v>
      </c>
      <c r="R242">
        <f t="shared" si="961"/>
        <v>1437848.1726805933</v>
      </c>
      <c r="S242">
        <f t="shared" si="962"/>
        <v>14.378481726805934</v>
      </c>
      <c r="T242">
        <f t="shared" si="963"/>
        <v>1.4378481726805933E-2</v>
      </c>
    </row>
    <row r="243" spans="1:20" x14ac:dyDescent="0.25">
      <c r="A243" s="5">
        <v>44350</v>
      </c>
      <c r="B243">
        <v>25.105</v>
      </c>
      <c r="C243">
        <v>27.504000000000001</v>
      </c>
      <c r="D243">
        <v>24.553999999999998</v>
      </c>
      <c r="E243">
        <v>26.125</v>
      </c>
      <c r="F243">
        <v>124967.959</v>
      </c>
      <c r="G243">
        <v>0</v>
      </c>
      <c r="L243" t="s">
        <v>8</v>
      </c>
      <c r="M243" t="s">
        <v>8</v>
      </c>
      <c r="N243" t="s">
        <v>8</v>
      </c>
      <c r="P243">
        <f t="shared" si="959"/>
        <v>6.5084745762711865E-2</v>
      </c>
      <c r="Q243">
        <f t="shared" si="960"/>
        <v>8133.5078400000002</v>
      </c>
      <c r="R243">
        <f t="shared" si="961"/>
        <v>1476067.973927218</v>
      </c>
      <c r="S243">
        <f t="shared" si="962"/>
        <v>14.760679739272179</v>
      </c>
      <c r="T243">
        <f t="shared" si="963"/>
        <v>1.4760679739272179E-2</v>
      </c>
    </row>
    <row r="244" spans="1:20" x14ac:dyDescent="0.25">
      <c r="A244" s="5">
        <v>44349</v>
      </c>
      <c r="B244">
        <v>23.472000000000001</v>
      </c>
      <c r="C244">
        <v>27</v>
      </c>
      <c r="D244">
        <v>22.803000000000001</v>
      </c>
      <c r="E244">
        <v>25.105</v>
      </c>
      <c r="F244">
        <v>174076.65100000001</v>
      </c>
      <c r="G244">
        <v>0</v>
      </c>
      <c r="L244" t="s">
        <v>8</v>
      </c>
      <c r="M244" t="s">
        <v>8</v>
      </c>
      <c r="N244" t="s">
        <v>8</v>
      </c>
      <c r="P244">
        <f t="shared" si="959"/>
        <v>9.6974029068382206E-2</v>
      </c>
      <c r="Q244">
        <f t="shared" si="960"/>
        <v>16880.914214200624</v>
      </c>
      <c r="R244">
        <f t="shared" si="961"/>
        <v>1467934.4660872179</v>
      </c>
      <c r="S244">
        <f t="shared" si="962"/>
        <v>14.679344660872179</v>
      </c>
      <c r="T244">
        <f t="shared" si="963"/>
        <v>1.4679344660872179E-2</v>
      </c>
    </row>
    <row r="245" spans="1:20" x14ac:dyDescent="0.25">
      <c r="A245" s="5">
        <v>44348</v>
      </c>
      <c r="B245">
        <v>24.2</v>
      </c>
      <c r="C245">
        <v>24.387</v>
      </c>
      <c r="D245">
        <v>22.731999999999999</v>
      </c>
      <c r="E245">
        <v>23.364000000000001</v>
      </c>
      <c r="F245">
        <v>62328.754000000001</v>
      </c>
      <c r="G245">
        <v>0</v>
      </c>
      <c r="L245" t="s">
        <v>7</v>
      </c>
      <c r="M245" t="s">
        <v>7</v>
      </c>
      <c r="N245" t="s">
        <v>8</v>
      </c>
      <c r="P245">
        <f t="shared" si="959"/>
        <v>-0.23625377643504408</v>
      </c>
      <c r="Q245">
        <f t="shared" si="960"/>
        <v>-14725.403512990861</v>
      </c>
      <c r="R245">
        <f t="shared" si="961"/>
        <v>1451053.5518730173</v>
      </c>
      <c r="S245">
        <f t="shared" si="962"/>
        <v>14.510535518730173</v>
      </c>
      <c r="T245">
        <f t="shared" si="963"/>
        <v>1.4510535518730173E-2</v>
      </c>
    </row>
    <row r="246" spans="1:20" x14ac:dyDescent="0.25">
      <c r="A246" s="5">
        <v>44347</v>
      </c>
      <c r="B246">
        <v>23.041</v>
      </c>
      <c r="C246">
        <v>24.571000000000002</v>
      </c>
      <c r="D246">
        <v>21.728999999999999</v>
      </c>
      <c r="E246">
        <v>24.202999999999999</v>
      </c>
      <c r="F246">
        <v>52513.963000000003</v>
      </c>
      <c r="G246">
        <v>0</v>
      </c>
      <c r="L246" t="s">
        <v>8</v>
      </c>
      <c r="M246" t="s">
        <v>7</v>
      </c>
      <c r="N246" t="s">
        <v>8</v>
      </c>
      <c r="P246">
        <f t="shared" si="959"/>
        <v>0.74102744546094168</v>
      </c>
      <c r="Q246">
        <f t="shared" si="960"/>
        <v>38914.28785292041</v>
      </c>
      <c r="R246">
        <f t="shared" si="961"/>
        <v>1465778.9553860081</v>
      </c>
      <c r="S246">
        <f t="shared" si="962"/>
        <v>14.657789553860081</v>
      </c>
      <c r="T246">
        <f t="shared" si="963"/>
        <v>1.465778955386008E-2</v>
      </c>
    </row>
    <row r="247" spans="1:20" x14ac:dyDescent="0.25">
      <c r="A247" s="5">
        <v>44346</v>
      </c>
      <c r="B247">
        <v>22.893999999999998</v>
      </c>
      <c r="C247">
        <v>23.753</v>
      </c>
      <c r="D247">
        <v>21.466000000000001</v>
      </c>
      <c r="E247">
        <v>23.158999999999999</v>
      </c>
      <c r="F247">
        <v>52003.237999999998</v>
      </c>
      <c r="G247">
        <v>0</v>
      </c>
      <c r="L247" t="s">
        <v>8</v>
      </c>
      <c r="M247" t="s">
        <v>7</v>
      </c>
      <c r="N247" t="s">
        <v>8</v>
      </c>
      <c r="P247">
        <f t="shared" si="959"/>
        <v>0.48054219501530265</v>
      </c>
      <c r="Q247">
        <f t="shared" si="960"/>
        <v>24989.750136423198</v>
      </c>
      <c r="R247">
        <f t="shared" si="961"/>
        <v>1426864.6675330878</v>
      </c>
      <c r="S247">
        <f t="shared" si="962"/>
        <v>14.268646675330878</v>
      </c>
      <c r="T247">
        <f t="shared" si="963"/>
        <v>1.4268646675330877E-2</v>
      </c>
    </row>
    <row r="248" spans="1:20" x14ac:dyDescent="0.25">
      <c r="A248" s="5">
        <v>44345</v>
      </c>
      <c r="B248">
        <v>24.141999999999999</v>
      </c>
      <c r="C248">
        <v>25.433</v>
      </c>
      <c r="D248">
        <v>21.335999999999999</v>
      </c>
      <c r="E248">
        <v>22.762</v>
      </c>
      <c r="F248">
        <v>96643.062000000005</v>
      </c>
      <c r="G248">
        <v>0</v>
      </c>
      <c r="L248" t="s">
        <v>7</v>
      </c>
      <c r="M248" t="s">
        <v>7</v>
      </c>
      <c r="N248" t="s">
        <v>8</v>
      </c>
      <c r="P248">
        <f t="shared" si="959"/>
        <v>-0.3038808884549663</v>
      </c>
      <c r="Q248">
        <f t="shared" si="960"/>
        <v>-29367.979543568395</v>
      </c>
      <c r="R248">
        <f t="shared" si="961"/>
        <v>1401874.9173966646</v>
      </c>
      <c r="S248">
        <f t="shared" si="962"/>
        <v>14.018749173966647</v>
      </c>
      <c r="T248">
        <f t="shared" si="963"/>
        <v>1.4018749173966647E-2</v>
      </c>
    </row>
    <row r="249" spans="1:20" x14ac:dyDescent="0.25">
      <c r="A249" s="5">
        <v>44344</v>
      </c>
      <c r="B249">
        <v>26.864999999999998</v>
      </c>
      <c r="C249">
        <v>27.77</v>
      </c>
      <c r="D249">
        <v>23.187000000000001</v>
      </c>
      <c r="E249">
        <v>24.268999999999998</v>
      </c>
      <c r="F249">
        <v>129713.867</v>
      </c>
      <c r="G249">
        <v>0</v>
      </c>
      <c r="L249" t="s">
        <v>7</v>
      </c>
      <c r="M249" t="s">
        <v>7</v>
      </c>
      <c r="N249" t="s">
        <v>8</v>
      </c>
      <c r="P249">
        <f t="shared" si="959"/>
        <v>-0.52782020510582695</v>
      </c>
      <c r="Q249">
        <f t="shared" si="960"/>
        <v>-68465.599885009957</v>
      </c>
      <c r="R249">
        <f t="shared" si="961"/>
        <v>1431242.896940233</v>
      </c>
      <c r="S249">
        <f t="shared" si="962"/>
        <v>14.31242896940233</v>
      </c>
      <c r="T249">
        <f t="shared" si="963"/>
        <v>1.431242896940233E-2</v>
      </c>
    </row>
    <row r="250" spans="1:20" x14ac:dyDescent="0.25">
      <c r="A250" s="5">
        <v>44343</v>
      </c>
      <c r="B250">
        <v>27.891999999999999</v>
      </c>
      <c r="C250">
        <v>28.783999999999999</v>
      </c>
      <c r="D250">
        <v>25.530999999999999</v>
      </c>
      <c r="E250">
        <v>26.934999999999999</v>
      </c>
      <c r="F250">
        <v>818649.28300000005</v>
      </c>
      <c r="G250">
        <v>0</v>
      </c>
      <c r="L250" t="s">
        <v>8</v>
      </c>
      <c r="M250" t="s">
        <v>8</v>
      </c>
      <c r="N250" t="s">
        <v>8</v>
      </c>
      <c r="P250">
        <f t="shared" si="959"/>
        <v>-0.13679680295112212</v>
      </c>
      <c r="Q250">
        <f t="shared" si="960"/>
        <v>-111988.60465262842</v>
      </c>
      <c r="R250">
        <f t="shared" si="961"/>
        <v>1499708.4968252429</v>
      </c>
      <c r="S250">
        <f t="shared" si="962"/>
        <v>14.997084968252429</v>
      </c>
      <c r="T250">
        <f t="shared" si="963"/>
        <v>1.4997084968252429E-2</v>
      </c>
    </row>
    <row r="251" spans="1:20" x14ac:dyDescent="0.25">
      <c r="A251" s="5">
        <v>44342</v>
      </c>
      <c r="B251">
        <v>26.494</v>
      </c>
      <c r="C251">
        <v>28.035</v>
      </c>
      <c r="D251">
        <v>25.201000000000001</v>
      </c>
      <c r="E251">
        <v>28.027999999999999</v>
      </c>
      <c r="F251">
        <v>163162.549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0.9950599858856729</v>
      </c>
      <c r="Q251">
        <f t="shared" si="960"/>
        <v>162356.52370501042</v>
      </c>
      <c r="R251">
        <f t="shared" si="961"/>
        <v>1611697.1014778712</v>
      </c>
      <c r="S251">
        <f t="shared" si="962"/>
        <v>16.116971014778713</v>
      </c>
      <c r="T251">
        <f t="shared" si="963"/>
        <v>1.6116971014778714E-2</v>
      </c>
    </row>
    <row r="252" spans="1:20" x14ac:dyDescent="0.25">
      <c r="A252" s="5">
        <v>44341</v>
      </c>
      <c r="B252">
        <v>25.212</v>
      </c>
      <c r="C252">
        <v>26.51</v>
      </c>
      <c r="D252">
        <v>23.353000000000002</v>
      </c>
      <c r="E252">
        <v>26.355</v>
      </c>
      <c r="F252">
        <v>122893.776</v>
      </c>
      <c r="G252">
        <v>0</v>
      </c>
      <c r="L252" t="s">
        <v>8</v>
      </c>
      <c r="M252" t="s">
        <v>8</v>
      </c>
      <c r="N252" t="s">
        <v>8</v>
      </c>
      <c r="P252">
        <f t="shared" si="959"/>
        <v>0.90180551156160838</v>
      </c>
      <c r="Q252">
        <f t="shared" si="960"/>
        <v>110826.28453341771</v>
      </c>
      <c r="R252">
        <f t="shared" si="961"/>
        <v>1449340.5777728606</v>
      </c>
      <c r="S252">
        <f t="shared" si="962"/>
        <v>14.493405777728606</v>
      </c>
      <c r="T252">
        <f t="shared" si="963"/>
        <v>1.4493405777728606E-2</v>
      </c>
    </row>
    <row r="253" spans="1:20" x14ac:dyDescent="0.25">
      <c r="A253" s="5">
        <v>44340</v>
      </c>
      <c r="B253">
        <v>18.798999999999999</v>
      </c>
      <c r="C253">
        <v>25.585000000000001</v>
      </c>
      <c r="D253">
        <v>18.202999999999999</v>
      </c>
      <c r="E253">
        <v>25.218</v>
      </c>
      <c r="F253">
        <v>193409.448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0.90056895150365734</v>
      </c>
      <c r="Q253">
        <f t="shared" si="960"/>
        <v>174178.54379626113</v>
      </c>
      <c r="R253">
        <f t="shared" si="961"/>
        <v>1338514.2932394429</v>
      </c>
      <c r="S253">
        <f t="shared" si="962"/>
        <v>13.385142932394428</v>
      </c>
      <c r="T253">
        <f t="shared" si="963"/>
        <v>1.3385142932394428E-2</v>
      </c>
    </row>
    <row r="254" spans="1:20" x14ac:dyDescent="0.25">
      <c r="A254" s="5">
        <v>44339</v>
      </c>
      <c r="B254">
        <v>23.952000000000002</v>
      </c>
      <c r="C254">
        <v>26.117999999999999</v>
      </c>
      <c r="D254">
        <v>16.800999999999998</v>
      </c>
      <c r="E254">
        <v>18.658999999999999</v>
      </c>
      <c r="F254">
        <v>279824.12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-0.60115917140710518</v>
      </c>
      <c r="Q254">
        <f t="shared" si="960"/>
        <v>-168218.83611892237</v>
      </c>
      <c r="R254">
        <f t="shared" si="961"/>
        <v>1164335.7494431818</v>
      </c>
      <c r="S254">
        <f t="shared" si="962"/>
        <v>11.643357494431818</v>
      </c>
      <c r="T254">
        <f t="shared" si="963"/>
        <v>1.1643357494431818E-2</v>
      </c>
    </row>
    <row r="255" spans="1:20" x14ac:dyDescent="0.25">
      <c r="A255" s="5">
        <v>44338</v>
      </c>
      <c r="B255">
        <v>25.763000000000002</v>
      </c>
      <c r="C255">
        <v>27.614999999999998</v>
      </c>
      <c r="D255">
        <v>22.966999999999999</v>
      </c>
      <c r="E255">
        <v>23.95</v>
      </c>
      <c r="F255">
        <v>187035.524</v>
      </c>
      <c r="G255">
        <v>0</v>
      </c>
      <c r="L255" t="s">
        <v>7</v>
      </c>
      <c r="M255" t="s">
        <v>7</v>
      </c>
      <c r="N255" t="s">
        <v>7</v>
      </c>
      <c r="P255">
        <f t="shared" si="959"/>
        <v>-0.57702237521514599</v>
      </c>
      <c r="Q255">
        <f t="shared" si="960"/>
        <v>-107923.68230808944</v>
      </c>
      <c r="R255">
        <f t="shared" si="961"/>
        <v>1332554.5855621041</v>
      </c>
      <c r="S255">
        <f t="shared" si="962"/>
        <v>13.325545855621041</v>
      </c>
      <c r="T255">
        <f t="shared" si="963"/>
        <v>1.332554585562104E-2</v>
      </c>
    </row>
    <row r="256" spans="1:20" x14ac:dyDescent="0.25">
      <c r="A256" s="5">
        <v>44337</v>
      </c>
      <c r="B256">
        <v>30.556000000000001</v>
      </c>
      <c r="C256">
        <v>32</v>
      </c>
      <c r="D256">
        <v>21.972000000000001</v>
      </c>
      <c r="E256">
        <v>25.81</v>
      </c>
      <c r="F256">
        <v>249100.21799999999</v>
      </c>
      <c r="G256">
        <v>0</v>
      </c>
      <c r="L256" t="s">
        <v>8</v>
      </c>
      <c r="M256" t="s">
        <v>8</v>
      </c>
      <c r="N256" t="s">
        <v>7</v>
      </c>
      <c r="P256">
        <f t="shared" si="959"/>
        <v>-0.23454327881930637</v>
      </c>
      <c r="Q256">
        <f t="shared" si="960"/>
        <v>-58424.781884323995</v>
      </c>
      <c r="R256">
        <f t="shared" si="961"/>
        <v>1440478.2678701936</v>
      </c>
      <c r="S256">
        <f t="shared" si="962"/>
        <v>14.404782678701936</v>
      </c>
      <c r="T256">
        <f t="shared" si="963"/>
        <v>1.4404782678701936E-2</v>
      </c>
    </row>
    <row r="257" spans="1:20" x14ac:dyDescent="0.25">
      <c r="A257" s="5">
        <v>44336</v>
      </c>
      <c r="B257">
        <v>20.350000000000001</v>
      </c>
      <c r="C257">
        <v>31.765000000000001</v>
      </c>
      <c r="D257">
        <v>17.527000000000001</v>
      </c>
      <c r="E257">
        <v>30.581</v>
      </c>
      <c r="F257">
        <v>299626.40500000003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0.83368450625087775</v>
      </c>
      <c r="Q257">
        <f t="shared" si="960"/>
        <v>249793.89151215056</v>
      </c>
      <c r="R257">
        <f t="shared" si="961"/>
        <v>1498903.0497545176</v>
      </c>
      <c r="S257">
        <f t="shared" si="962"/>
        <v>14.989030497545176</v>
      </c>
      <c r="T257">
        <f t="shared" si="963"/>
        <v>1.4989030497545176E-2</v>
      </c>
    </row>
    <row r="258" spans="1:20" x14ac:dyDescent="0.25">
      <c r="A258" s="5">
        <v>44335</v>
      </c>
      <c r="B258">
        <v>32.594000000000001</v>
      </c>
      <c r="C258">
        <v>33.340000000000003</v>
      </c>
      <c r="D258">
        <v>15.46</v>
      </c>
      <c r="E258">
        <v>20.155000000000001</v>
      </c>
      <c r="F258">
        <v>273628.10800000001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-0.47483221476510074</v>
      </c>
      <c r="Q258">
        <f t="shared" si="960"/>
        <v>-129927.44054362418</v>
      </c>
      <c r="R258">
        <f t="shared" si="961"/>
        <v>1249109.158242367</v>
      </c>
      <c r="S258">
        <f t="shared" si="962"/>
        <v>12.491091582423669</v>
      </c>
      <c r="T258">
        <f t="shared" si="963"/>
        <v>1.2491091582423669E-2</v>
      </c>
    </row>
    <row r="259" spans="1:20" x14ac:dyDescent="0.25">
      <c r="A259" s="5">
        <v>44334</v>
      </c>
      <c r="B259">
        <v>31.385000000000002</v>
      </c>
      <c r="C259">
        <v>33.999000000000002</v>
      </c>
      <c r="D259">
        <v>30.92</v>
      </c>
      <c r="E259">
        <v>32.549999999999997</v>
      </c>
      <c r="F259">
        <v>133961.18299999999</v>
      </c>
      <c r="G259">
        <v>0</v>
      </c>
      <c r="L259" t="s">
        <v>8</v>
      </c>
      <c r="M259" t="s">
        <v>7</v>
      </c>
      <c r="N259" t="s">
        <v>7</v>
      </c>
      <c r="P259">
        <f t="shared" si="959"/>
        <v>5.8785319909058213E-2</v>
      </c>
      <c r="Q259">
        <f t="shared" si="960"/>
        <v>7874.9509980508901</v>
      </c>
      <c r="R259">
        <f t="shared" si="961"/>
        <v>1379036.5987859911</v>
      </c>
      <c r="S259">
        <f t="shared" si="962"/>
        <v>13.790365987859911</v>
      </c>
      <c r="T259">
        <f t="shared" si="963"/>
        <v>1.3790365987859911E-2</v>
      </c>
    </row>
    <row r="260" spans="1:20" x14ac:dyDescent="0.25">
      <c r="A260" s="5">
        <v>44333</v>
      </c>
      <c r="B260">
        <v>33.588999999999999</v>
      </c>
      <c r="C260">
        <v>33.956000000000003</v>
      </c>
      <c r="D260">
        <v>29.263000000000002</v>
      </c>
      <c r="E260">
        <v>31.178999999999998</v>
      </c>
      <c r="F260">
        <v>154081.416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-0.1834647347112737</v>
      </c>
      <c r="Q260">
        <f t="shared" si="960"/>
        <v>-28268.506110377402</v>
      </c>
      <c r="R260">
        <f t="shared" si="961"/>
        <v>1371161.6477879402</v>
      </c>
      <c r="S260">
        <f t="shared" si="962"/>
        <v>13.711616477879403</v>
      </c>
      <c r="T260">
        <f t="shared" si="963"/>
        <v>1.3711616477879402E-2</v>
      </c>
    </row>
    <row r="261" spans="1:20" x14ac:dyDescent="0.25">
      <c r="A261" s="5">
        <v>44332</v>
      </c>
      <c r="B261">
        <v>34.365000000000002</v>
      </c>
      <c r="C261">
        <v>37.255000000000003</v>
      </c>
      <c r="D261">
        <v>31.335000000000001</v>
      </c>
      <c r="E261">
        <v>33.588000000000001</v>
      </c>
      <c r="F261">
        <v>137158.022</v>
      </c>
      <c r="G261">
        <v>0</v>
      </c>
      <c r="L261" t="s">
        <v>7</v>
      </c>
      <c r="M261" t="s">
        <v>7</v>
      </c>
      <c r="N261" t="s">
        <v>7</v>
      </c>
      <c r="P261">
        <f t="shared" si="959"/>
        <v>-0.23885135135135152</v>
      </c>
      <c r="Q261">
        <f t="shared" si="960"/>
        <v>-32760.378903378401</v>
      </c>
      <c r="R261">
        <f t="shared" si="961"/>
        <v>1399430.1538983176</v>
      </c>
      <c r="S261">
        <f t="shared" si="962"/>
        <v>13.994301538983176</v>
      </c>
      <c r="T261">
        <f t="shared" si="963"/>
        <v>1.3994301538983176E-2</v>
      </c>
    </row>
    <row r="262" spans="1:20" x14ac:dyDescent="0.25">
      <c r="A262" s="5">
        <v>44331</v>
      </c>
      <c r="B262">
        <v>38.122999999999998</v>
      </c>
      <c r="C262">
        <v>38.731000000000002</v>
      </c>
      <c r="D262">
        <v>33.799999999999997</v>
      </c>
      <c r="E262">
        <v>34.226999999999997</v>
      </c>
      <c r="F262">
        <v>116857.645</v>
      </c>
      <c r="G262">
        <v>0</v>
      </c>
      <c r="L262" t="s">
        <v>7</v>
      </c>
      <c r="M262" t="s">
        <v>7</v>
      </c>
      <c r="N262" t="s">
        <v>7</v>
      </c>
      <c r="P262">
        <f t="shared" ref="P262:P325" si="964">IF(C262=D262,0,((E262-D262)-(C262-E262))/(C262-D262))</f>
        <v>-0.82680997769215203</v>
      </c>
      <c r="Q262">
        <f t="shared" ref="Q262:Q325" si="965">F262*P262</f>
        <v>-96619.066855607423</v>
      </c>
      <c r="R262">
        <f t="shared" ref="R262:R325" si="966">R263+Q262</f>
        <v>1432190.5328016961</v>
      </c>
      <c r="S262">
        <f t="shared" ref="S262:S325" si="967">R262/100000</f>
        <v>14.32190532801696</v>
      </c>
      <c r="T262">
        <f t="shared" ref="T262:T325" si="968">S262/1000</f>
        <v>1.432190532801696E-2</v>
      </c>
    </row>
    <row r="263" spans="1:20" x14ac:dyDescent="0.25">
      <c r="A263" s="5">
        <v>44330</v>
      </c>
      <c r="B263">
        <v>36.534999999999997</v>
      </c>
      <c r="C263">
        <v>39.393000000000001</v>
      </c>
      <c r="D263">
        <v>35.923000000000002</v>
      </c>
      <c r="E263">
        <v>38.299999999999997</v>
      </c>
      <c r="F263">
        <v>76597.228000000003</v>
      </c>
      <c r="G263">
        <v>0</v>
      </c>
      <c r="L263" t="s">
        <v>8</v>
      </c>
      <c r="M263" t="s">
        <v>7</v>
      </c>
      <c r="N263" t="s">
        <v>7</v>
      </c>
      <c r="P263">
        <f t="shared" si="964"/>
        <v>0.37002881844380181</v>
      </c>
      <c r="Q263">
        <f t="shared" si="965"/>
        <v>28343.181772910495</v>
      </c>
      <c r="R263">
        <f t="shared" si="966"/>
        <v>1528809.5996573034</v>
      </c>
      <c r="S263">
        <f t="shared" si="967"/>
        <v>15.288095996573034</v>
      </c>
      <c r="T263">
        <f t="shared" si="968"/>
        <v>1.5288095996573034E-2</v>
      </c>
    </row>
    <row r="264" spans="1:20" x14ac:dyDescent="0.25">
      <c r="A264" s="5">
        <v>44329</v>
      </c>
      <c r="B264">
        <v>35.186</v>
      </c>
      <c r="C264">
        <v>38.216999999999999</v>
      </c>
      <c r="D264">
        <v>33.652000000000001</v>
      </c>
      <c r="E264">
        <v>36.536000000000001</v>
      </c>
      <c r="F264">
        <v>151265.02900000001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0.26352683461117277</v>
      </c>
      <c r="Q264">
        <f t="shared" si="965"/>
        <v>39862.394279737258</v>
      </c>
      <c r="R264">
        <f t="shared" si="966"/>
        <v>1500466.4178843929</v>
      </c>
      <c r="S264">
        <f t="shared" si="967"/>
        <v>15.004664178843928</v>
      </c>
      <c r="T264">
        <f t="shared" si="968"/>
        <v>1.5004664178843928E-2</v>
      </c>
    </row>
    <row r="265" spans="1:20" x14ac:dyDescent="0.25">
      <c r="A265" s="5">
        <v>44328</v>
      </c>
      <c r="B265">
        <v>43.697000000000003</v>
      </c>
      <c r="C265">
        <v>46.168999999999997</v>
      </c>
      <c r="D265">
        <v>34.700000000000003</v>
      </c>
      <c r="E265">
        <v>35.186</v>
      </c>
      <c r="F265">
        <v>136329.96100000001</v>
      </c>
      <c r="G265">
        <v>0</v>
      </c>
      <c r="L265" t="s">
        <v>8</v>
      </c>
      <c r="M265" t="s">
        <v>8</v>
      </c>
      <c r="N265" t="s">
        <v>7</v>
      </c>
      <c r="P265">
        <f t="shared" si="964"/>
        <v>-0.91524980381899079</v>
      </c>
      <c r="Q265">
        <f t="shared" si="965"/>
        <v>-124775.97005990068</v>
      </c>
      <c r="R265">
        <f t="shared" si="966"/>
        <v>1460604.0236046556</v>
      </c>
      <c r="S265">
        <f t="shared" si="967"/>
        <v>14.606040236046557</v>
      </c>
      <c r="T265">
        <f t="shared" si="968"/>
        <v>1.4606040236046556E-2</v>
      </c>
    </row>
    <row r="266" spans="1:20" x14ac:dyDescent="0.25">
      <c r="A266" s="5">
        <v>44327</v>
      </c>
      <c r="B266">
        <v>39.250999999999998</v>
      </c>
      <c r="C266">
        <v>44.274000000000001</v>
      </c>
      <c r="D266">
        <v>37.628999999999998</v>
      </c>
      <c r="E266">
        <v>43.476999999999997</v>
      </c>
      <c r="F266">
        <v>115842.223</v>
      </c>
      <c r="G266">
        <v>0</v>
      </c>
      <c r="L266" t="s">
        <v>8</v>
      </c>
      <c r="M266" t="s">
        <v>8</v>
      </c>
      <c r="N266" t="s">
        <v>7</v>
      </c>
      <c r="P266">
        <f t="shared" si="964"/>
        <v>0.76012039127163167</v>
      </c>
      <c r="Q266">
        <f t="shared" si="965"/>
        <v>88054.035872535605</v>
      </c>
      <c r="R266">
        <f t="shared" si="966"/>
        <v>1585379.9936645564</v>
      </c>
      <c r="S266">
        <f t="shared" si="967"/>
        <v>15.853799936645563</v>
      </c>
      <c r="T266">
        <f t="shared" si="968"/>
        <v>1.5853799936645565E-2</v>
      </c>
    </row>
    <row r="267" spans="1:20" x14ac:dyDescent="0.25">
      <c r="A267" s="5">
        <v>44326</v>
      </c>
      <c r="B267">
        <v>45.527999999999999</v>
      </c>
      <c r="C267">
        <v>46.91</v>
      </c>
      <c r="D267">
        <v>36.749000000000002</v>
      </c>
      <c r="E267">
        <v>39.347000000000001</v>
      </c>
      <c r="F267">
        <v>111010.882</v>
      </c>
      <c r="G267">
        <v>0</v>
      </c>
      <c r="L267" t="s">
        <v>7</v>
      </c>
      <c r="M267" t="s">
        <v>7</v>
      </c>
      <c r="N267" t="s">
        <v>7</v>
      </c>
      <c r="P267">
        <f t="shared" si="964"/>
        <v>-0.48863300856214931</v>
      </c>
      <c r="Q267">
        <f t="shared" si="965"/>
        <v>-54243.581254797748</v>
      </c>
      <c r="R267">
        <f t="shared" si="966"/>
        <v>1497325.9577920209</v>
      </c>
      <c r="S267">
        <f t="shared" si="967"/>
        <v>14.973259577920208</v>
      </c>
      <c r="T267">
        <f t="shared" si="968"/>
        <v>1.4973259577920207E-2</v>
      </c>
    </row>
    <row r="268" spans="1:20" x14ac:dyDescent="0.25">
      <c r="A268" s="5">
        <v>44325</v>
      </c>
      <c r="B268">
        <v>47</v>
      </c>
      <c r="C268">
        <v>47.14</v>
      </c>
      <c r="D268">
        <v>42.875999999999998</v>
      </c>
      <c r="E268">
        <v>45.6</v>
      </c>
      <c r="F268">
        <v>87182.076000000001</v>
      </c>
      <c r="G268">
        <v>0</v>
      </c>
      <c r="L268" t="s">
        <v>7</v>
      </c>
      <c r="M268" t="s">
        <v>7</v>
      </c>
      <c r="N268" t="s">
        <v>8</v>
      </c>
      <c r="P268">
        <f t="shared" si="964"/>
        <v>0.27767354596622978</v>
      </c>
      <c r="Q268">
        <f t="shared" si="965"/>
        <v>24208.15618761734</v>
      </c>
      <c r="R268">
        <f t="shared" si="966"/>
        <v>1551569.5390468186</v>
      </c>
      <c r="S268">
        <f t="shared" si="967"/>
        <v>15.515695390468187</v>
      </c>
      <c r="T268">
        <f t="shared" si="968"/>
        <v>1.5515695390468187E-2</v>
      </c>
    </row>
    <row r="269" spans="1:20" x14ac:dyDescent="0.25">
      <c r="A269" s="5">
        <v>44324</v>
      </c>
      <c r="B269">
        <v>47.484999999999999</v>
      </c>
      <c r="C269">
        <v>49.866</v>
      </c>
      <c r="D269">
        <v>45.8</v>
      </c>
      <c r="E269">
        <v>47.039000000000001</v>
      </c>
      <c r="F269">
        <v>81175.521999999997</v>
      </c>
      <c r="G269">
        <v>0</v>
      </c>
      <c r="L269" t="s">
        <v>7</v>
      </c>
      <c r="M269" t="s">
        <v>8</v>
      </c>
      <c r="N269" t="s">
        <v>8</v>
      </c>
      <c r="P269">
        <f t="shared" si="964"/>
        <v>-0.39055582882439571</v>
      </c>
      <c r="Q269">
        <f t="shared" si="965"/>
        <v>-31703.573274962968</v>
      </c>
      <c r="R269">
        <f t="shared" si="966"/>
        <v>1527361.3828592012</v>
      </c>
      <c r="S269">
        <f t="shared" si="967"/>
        <v>15.273613828592012</v>
      </c>
      <c r="T269">
        <f t="shared" si="968"/>
        <v>1.5273613828592013E-2</v>
      </c>
    </row>
    <row r="270" spans="1:20" x14ac:dyDescent="0.25">
      <c r="A270" s="5">
        <v>44323</v>
      </c>
      <c r="B270">
        <v>48.55</v>
      </c>
      <c r="C270">
        <v>53</v>
      </c>
      <c r="D270">
        <v>46.185000000000002</v>
      </c>
      <c r="E270">
        <v>47.482999999999997</v>
      </c>
      <c r="F270">
        <v>145431.326</v>
      </c>
      <c r="G270">
        <v>0</v>
      </c>
      <c r="L270" t="s">
        <v>8</v>
      </c>
      <c r="M270" t="s">
        <v>8</v>
      </c>
      <c r="N270" t="s">
        <v>8</v>
      </c>
      <c r="P270">
        <f t="shared" si="964"/>
        <v>-0.61907556859868085</v>
      </c>
      <c r="Q270">
        <f t="shared" si="965"/>
        <v>-90032.980835510112</v>
      </c>
      <c r="R270">
        <f t="shared" si="966"/>
        <v>1559064.9561341642</v>
      </c>
      <c r="S270">
        <f t="shared" si="967"/>
        <v>15.590649561341642</v>
      </c>
      <c r="T270">
        <f t="shared" si="968"/>
        <v>1.5590649561341643E-2</v>
      </c>
    </row>
    <row r="271" spans="1:20" x14ac:dyDescent="0.25">
      <c r="A271" s="5">
        <v>44322</v>
      </c>
      <c r="B271">
        <v>46.329000000000001</v>
      </c>
      <c r="C271">
        <v>50.74</v>
      </c>
      <c r="D271">
        <v>44.816000000000003</v>
      </c>
      <c r="E271">
        <v>48.526000000000003</v>
      </c>
      <c r="F271">
        <v>251030.682</v>
      </c>
      <c r="G271">
        <v>0</v>
      </c>
      <c r="L271" t="s">
        <v>8</v>
      </c>
      <c r="M271" t="s">
        <v>8</v>
      </c>
      <c r="N271" t="s">
        <v>8</v>
      </c>
      <c r="P271">
        <f t="shared" si="964"/>
        <v>0.25253207292370061</v>
      </c>
      <c r="Q271">
        <f t="shared" si="965"/>
        <v>63393.298492910297</v>
      </c>
      <c r="R271">
        <f t="shared" si="966"/>
        <v>1649097.9369696744</v>
      </c>
      <c r="S271">
        <f t="shared" si="967"/>
        <v>16.490979369696745</v>
      </c>
      <c r="T271">
        <f t="shared" si="968"/>
        <v>1.6490979369696745E-2</v>
      </c>
    </row>
    <row r="272" spans="1:20" x14ac:dyDescent="0.25">
      <c r="A272" s="5">
        <v>44321</v>
      </c>
      <c r="B272">
        <v>38.701999999999998</v>
      </c>
      <c r="C272">
        <v>47</v>
      </c>
      <c r="D272">
        <v>38.399000000000001</v>
      </c>
      <c r="E272">
        <v>46.470999999999997</v>
      </c>
      <c r="F272">
        <v>154181.353</v>
      </c>
      <c r="G272">
        <v>0</v>
      </c>
      <c r="L272" t="s">
        <v>8</v>
      </c>
      <c r="M272" t="s">
        <v>8</v>
      </c>
      <c r="N272" t="s">
        <v>8</v>
      </c>
      <c r="P272">
        <f t="shared" si="964"/>
        <v>0.87699104755260937</v>
      </c>
      <c r="Q272">
        <f t="shared" si="965"/>
        <v>135215.66628054864</v>
      </c>
      <c r="R272">
        <f t="shared" si="966"/>
        <v>1585704.6384767641</v>
      </c>
      <c r="S272">
        <f t="shared" si="967"/>
        <v>15.85704638476764</v>
      </c>
      <c r="T272">
        <f t="shared" si="968"/>
        <v>1.5857046384767641E-2</v>
      </c>
    </row>
    <row r="273" spans="1:20" x14ac:dyDescent="0.25">
      <c r="A273" s="5">
        <v>44320</v>
      </c>
      <c r="B273">
        <v>43.097999999999999</v>
      </c>
      <c r="C273">
        <v>43.784999999999997</v>
      </c>
      <c r="D273">
        <v>37.716999999999999</v>
      </c>
      <c r="E273">
        <v>38.728999999999999</v>
      </c>
      <c r="F273">
        <v>126597.193</v>
      </c>
      <c r="G273">
        <v>0</v>
      </c>
      <c r="L273" t="s">
        <v>7</v>
      </c>
      <c r="M273" t="s">
        <v>8</v>
      </c>
      <c r="N273" t="s">
        <v>8</v>
      </c>
      <c r="P273">
        <f t="shared" si="964"/>
        <v>-0.66644693473961736</v>
      </c>
      <c r="Q273">
        <f t="shared" si="965"/>
        <v>-84370.311221489741</v>
      </c>
      <c r="R273">
        <f t="shared" si="966"/>
        <v>1450488.9721962155</v>
      </c>
      <c r="S273">
        <f t="shared" si="967"/>
        <v>14.504889721962154</v>
      </c>
      <c r="T273">
        <f t="shared" si="968"/>
        <v>1.4504889721962155E-2</v>
      </c>
    </row>
    <row r="274" spans="1:20" x14ac:dyDescent="0.25">
      <c r="A274" s="5">
        <v>44319</v>
      </c>
      <c r="B274">
        <v>40.725999999999999</v>
      </c>
      <c r="C274">
        <v>44.468000000000004</v>
      </c>
      <c r="D274">
        <v>40.710999999999999</v>
      </c>
      <c r="E274">
        <v>43.061999999999998</v>
      </c>
      <c r="F274">
        <v>142549.23000000001</v>
      </c>
      <c r="G274">
        <v>0</v>
      </c>
      <c r="L274" t="s">
        <v>8</v>
      </c>
      <c r="M274" t="s">
        <v>8</v>
      </c>
      <c r="N274" t="s">
        <v>8</v>
      </c>
      <c r="P274">
        <f t="shared" si="964"/>
        <v>0.25153047644396909</v>
      </c>
      <c r="Q274">
        <f t="shared" si="965"/>
        <v>35855.475738620931</v>
      </c>
      <c r="R274">
        <f t="shared" si="966"/>
        <v>1534859.2834177052</v>
      </c>
      <c r="S274">
        <f t="shared" si="967"/>
        <v>15.348592834177053</v>
      </c>
      <c r="T274">
        <f t="shared" si="968"/>
        <v>1.5348592834177053E-2</v>
      </c>
    </row>
    <row r="275" spans="1:20" x14ac:dyDescent="0.25">
      <c r="A275" s="5">
        <v>44318</v>
      </c>
      <c r="B275">
        <v>42.332999999999998</v>
      </c>
      <c r="C275">
        <v>43</v>
      </c>
      <c r="D275">
        <v>39.322000000000003</v>
      </c>
      <c r="E275">
        <v>40.777000000000001</v>
      </c>
      <c r="F275">
        <v>98419.407999999996</v>
      </c>
      <c r="G275">
        <v>0</v>
      </c>
      <c r="L275" t="s">
        <v>7</v>
      </c>
      <c r="M275" t="s">
        <v>8</v>
      </c>
      <c r="N275" t="s">
        <v>8</v>
      </c>
      <c r="P275">
        <f t="shared" si="964"/>
        <v>-0.20880913539967408</v>
      </c>
      <c r="Q275">
        <f t="shared" si="965"/>
        <v>-20550.871491027767</v>
      </c>
      <c r="R275">
        <f t="shared" si="966"/>
        <v>1499003.8076790844</v>
      </c>
      <c r="S275">
        <f t="shared" si="967"/>
        <v>14.990038076790844</v>
      </c>
      <c r="T275">
        <f t="shared" si="968"/>
        <v>1.4990038076790843E-2</v>
      </c>
    </row>
    <row r="276" spans="1:20" x14ac:dyDescent="0.25">
      <c r="A276" s="5">
        <v>44317</v>
      </c>
      <c r="B276">
        <v>40.087000000000003</v>
      </c>
      <c r="C276">
        <v>42.872</v>
      </c>
      <c r="D276">
        <v>39.43</v>
      </c>
      <c r="E276">
        <v>42.317999999999998</v>
      </c>
      <c r="F276">
        <v>80622.688999999998</v>
      </c>
      <c r="G276">
        <v>0</v>
      </c>
      <c r="L276" t="s">
        <v>8</v>
      </c>
      <c r="M276" t="s">
        <v>8</v>
      </c>
      <c r="N276" t="s">
        <v>8</v>
      </c>
      <c r="P276">
        <f t="shared" si="964"/>
        <v>0.67809413131899943</v>
      </c>
      <c r="Q276">
        <f t="shared" si="965"/>
        <v>54669.772262056853</v>
      </c>
      <c r="R276">
        <f t="shared" si="966"/>
        <v>1519554.6791701121</v>
      </c>
      <c r="S276">
        <f t="shared" si="967"/>
        <v>15.195546791701121</v>
      </c>
      <c r="T276">
        <f t="shared" si="968"/>
        <v>1.519554679170112E-2</v>
      </c>
    </row>
    <row r="277" spans="1:20" x14ac:dyDescent="0.25">
      <c r="A277" s="5">
        <v>44316</v>
      </c>
      <c r="B277">
        <v>36.200000000000003</v>
      </c>
      <c r="C277">
        <v>40.432000000000002</v>
      </c>
      <c r="D277">
        <v>35.173999999999999</v>
      </c>
      <c r="E277">
        <v>40.039000000000001</v>
      </c>
      <c r="F277">
        <v>110153.671</v>
      </c>
      <c r="G277">
        <v>0</v>
      </c>
      <c r="L277" t="s">
        <v>8</v>
      </c>
      <c r="M277" t="s">
        <v>8</v>
      </c>
      <c r="N277" t="s">
        <v>8</v>
      </c>
      <c r="P277">
        <f t="shared" si="964"/>
        <v>0.85051350323316832</v>
      </c>
      <c r="Q277">
        <f t="shared" si="965"/>
        <v>93687.184616203856</v>
      </c>
      <c r="R277">
        <f t="shared" si="966"/>
        <v>1464884.9069080553</v>
      </c>
      <c r="S277">
        <f t="shared" si="967"/>
        <v>14.648849069080553</v>
      </c>
      <c r="T277">
        <f t="shared" si="968"/>
        <v>1.4648849069080552E-2</v>
      </c>
    </row>
    <row r="278" spans="1:20" x14ac:dyDescent="0.25">
      <c r="A278" s="5">
        <v>44315</v>
      </c>
      <c r="B278">
        <v>37.857999999999997</v>
      </c>
      <c r="C278">
        <v>37.997999999999998</v>
      </c>
      <c r="D278">
        <v>33.936999999999998</v>
      </c>
      <c r="E278">
        <v>36.200000000000003</v>
      </c>
      <c r="F278">
        <v>105115.607</v>
      </c>
      <c r="G278">
        <v>0</v>
      </c>
      <c r="L278" t="s">
        <v>7</v>
      </c>
      <c r="M278" t="s">
        <v>8</v>
      </c>
      <c r="N278" t="s">
        <v>8</v>
      </c>
      <c r="P278">
        <f t="shared" si="964"/>
        <v>0.11450381679389572</v>
      </c>
      <c r="Q278">
        <f t="shared" si="965"/>
        <v>12036.138206107144</v>
      </c>
      <c r="R278">
        <f t="shared" si="966"/>
        <v>1371197.7222918514</v>
      </c>
      <c r="S278">
        <f t="shared" si="967"/>
        <v>13.711977222918515</v>
      </c>
      <c r="T278">
        <f t="shared" si="968"/>
        <v>1.3711977222918515E-2</v>
      </c>
    </row>
    <row r="279" spans="1:20" x14ac:dyDescent="0.25">
      <c r="A279" s="5">
        <v>44314</v>
      </c>
      <c r="B279">
        <v>38.115000000000002</v>
      </c>
      <c r="C279">
        <v>39.423999999999999</v>
      </c>
      <c r="D279">
        <v>35.167999999999999</v>
      </c>
      <c r="E279">
        <v>37.770000000000003</v>
      </c>
      <c r="F279">
        <v>96939.134999999995</v>
      </c>
      <c r="G279">
        <v>0</v>
      </c>
      <c r="L279" t="s">
        <v>8</v>
      </c>
      <c r="M279" t="s">
        <v>8</v>
      </c>
      <c r="N279" t="s">
        <v>8</v>
      </c>
      <c r="P279">
        <f t="shared" si="964"/>
        <v>0.22274436090225738</v>
      </c>
      <c r="Q279">
        <f t="shared" si="965"/>
        <v>21592.64567199265</v>
      </c>
      <c r="R279">
        <f t="shared" si="966"/>
        <v>1359161.5840857443</v>
      </c>
      <c r="S279">
        <f t="shared" si="967"/>
        <v>13.591615840857443</v>
      </c>
      <c r="T279">
        <f t="shared" si="968"/>
        <v>1.3591615840857444E-2</v>
      </c>
    </row>
    <row r="280" spans="1:20" x14ac:dyDescent="0.25">
      <c r="A280" s="5">
        <v>44313</v>
      </c>
      <c r="B280">
        <v>36.070999999999998</v>
      </c>
      <c r="C280">
        <v>38.368000000000002</v>
      </c>
      <c r="D280">
        <v>35.122</v>
      </c>
      <c r="E280">
        <v>38.213999999999999</v>
      </c>
      <c r="F280">
        <v>109886.57799999999</v>
      </c>
      <c r="G280">
        <v>0</v>
      </c>
      <c r="L280" t="s">
        <v>8</v>
      </c>
      <c r="M280" t="s">
        <v>8</v>
      </c>
      <c r="N280" t="s">
        <v>8</v>
      </c>
      <c r="P280">
        <f t="shared" si="964"/>
        <v>0.90511398644485308</v>
      </c>
      <c r="Q280">
        <f t="shared" si="965"/>
        <v>99459.87867036328</v>
      </c>
      <c r="R280">
        <f t="shared" si="966"/>
        <v>1337568.9384137518</v>
      </c>
      <c r="S280">
        <f t="shared" si="967"/>
        <v>13.375689384137518</v>
      </c>
      <c r="T280">
        <f t="shared" si="968"/>
        <v>1.3375689384137518E-2</v>
      </c>
    </row>
    <row r="281" spans="1:20" x14ac:dyDescent="0.25">
      <c r="A281" s="5">
        <v>44312</v>
      </c>
      <c r="B281">
        <v>29.189</v>
      </c>
      <c r="C281">
        <v>36.790999999999997</v>
      </c>
      <c r="D281">
        <v>28.948</v>
      </c>
      <c r="E281">
        <v>36.08</v>
      </c>
      <c r="F281">
        <v>145076.54800000001</v>
      </c>
      <c r="G281">
        <v>0</v>
      </c>
      <c r="L281" t="s">
        <v>8</v>
      </c>
      <c r="M281" t="s">
        <v>8</v>
      </c>
      <c r="N281" t="s">
        <v>7</v>
      </c>
      <c r="P281">
        <f t="shared" si="964"/>
        <v>0.81869182710697463</v>
      </c>
      <c r="Q281">
        <f t="shared" si="965"/>
        <v>118772.98415249272</v>
      </c>
      <c r="R281">
        <f t="shared" si="966"/>
        <v>1238109.0597433886</v>
      </c>
      <c r="S281">
        <f t="shared" si="967"/>
        <v>12.381090597433886</v>
      </c>
      <c r="T281">
        <f t="shared" si="968"/>
        <v>1.2381090597433886E-2</v>
      </c>
    </row>
    <row r="282" spans="1:20" x14ac:dyDescent="0.25">
      <c r="A282" s="5">
        <v>44311</v>
      </c>
      <c r="B282">
        <v>28.405999999999999</v>
      </c>
      <c r="C282">
        <v>31.992000000000001</v>
      </c>
      <c r="D282">
        <v>27.222000000000001</v>
      </c>
      <c r="E282">
        <v>29.035</v>
      </c>
      <c r="F282">
        <v>100455.327</v>
      </c>
      <c r="G282">
        <v>0</v>
      </c>
      <c r="L282" t="s">
        <v>8</v>
      </c>
      <c r="M282" t="s">
        <v>8</v>
      </c>
      <c r="N282" t="s">
        <v>7</v>
      </c>
      <c r="P282">
        <f t="shared" si="964"/>
        <v>-0.23983228511530441</v>
      </c>
      <c r="Q282">
        <f t="shared" si="965"/>
        <v>-24092.430626415138</v>
      </c>
      <c r="R282">
        <f t="shared" si="966"/>
        <v>1119336.0755908957</v>
      </c>
      <c r="S282">
        <f t="shared" si="967"/>
        <v>11.193360755908957</v>
      </c>
      <c r="T282">
        <f t="shared" si="968"/>
        <v>1.1193360755908956E-2</v>
      </c>
    </row>
    <row r="283" spans="1:20" x14ac:dyDescent="0.25">
      <c r="A283" s="5">
        <v>44310</v>
      </c>
      <c r="B283">
        <v>31.591999999999999</v>
      </c>
      <c r="C283">
        <v>31.756</v>
      </c>
      <c r="D283">
        <v>28.004000000000001</v>
      </c>
      <c r="E283">
        <v>28.488</v>
      </c>
      <c r="F283">
        <v>93732.665999999997</v>
      </c>
      <c r="G283">
        <v>0</v>
      </c>
      <c r="L283" t="s">
        <v>8</v>
      </c>
      <c r="M283" t="s">
        <v>7</v>
      </c>
      <c r="N283" t="s">
        <v>7</v>
      </c>
      <c r="P283">
        <f t="shared" si="964"/>
        <v>-0.74200426439232492</v>
      </c>
      <c r="Q283">
        <f t="shared" si="965"/>
        <v>-69550.037884861478</v>
      </c>
      <c r="R283">
        <f t="shared" si="966"/>
        <v>1143428.5062173109</v>
      </c>
      <c r="S283">
        <f t="shared" si="967"/>
        <v>11.434285062173108</v>
      </c>
      <c r="T283">
        <f t="shared" si="968"/>
        <v>1.1434285062173109E-2</v>
      </c>
    </row>
    <row r="284" spans="1:20" x14ac:dyDescent="0.25">
      <c r="A284" s="5">
        <v>44309</v>
      </c>
      <c r="B284">
        <v>31.907</v>
      </c>
      <c r="C284">
        <v>33.664999999999999</v>
      </c>
      <c r="D284">
        <v>26.731000000000002</v>
      </c>
      <c r="E284">
        <v>31.591999999999999</v>
      </c>
      <c r="F284">
        <v>180113.22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0.40207672339198119</v>
      </c>
      <c r="Q284">
        <f t="shared" si="965"/>
        <v>72419.33333717905</v>
      </c>
      <c r="R284">
        <f t="shared" si="966"/>
        <v>1212978.5441021724</v>
      </c>
      <c r="S284">
        <f t="shared" si="967"/>
        <v>12.129785441021724</v>
      </c>
      <c r="T284">
        <f t="shared" si="968"/>
        <v>1.2129785441021725E-2</v>
      </c>
    </row>
    <row r="285" spans="1:20" x14ac:dyDescent="0.25">
      <c r="A285" s="5">
        <v>44308</v>
      </c>
      <c r="B285">
        <v>36.829000000000001</v>
      </c>
      <c r="C285">
        <v>38.156999999999996</v>
      </c>
      <c r="D285">
        <v>31.542999999999999</v>
      </c>
      <c r="E285">
        <v>31.87</v>
      </c>
      <c r="F285">
        <v>130415.735</v>
      </c>
      <c r="G285">
        <v>0</v>
      </c>
      <c r="L285" t="s">
        <v>7</v>
      </c>
      <c r="M285" t="s">
        <v>7</v>
      </c>
      <c r="N285" t="s">
        <v>7</v>
      </c>
      <c r="P285">
        <f t="shared" si="964"/>
        <v>-0.90111883882673061</v>
      </c>
      <c r="Q285">
        <f t="shared" si="965"/>
        <v>-117520.07568793462</v>
      </c>
      <c r="R285">
        <f t="shared" si="966"/>
        <v>1140559.2107649932</v>
      </c>
      <c r="S285">
        <f t="shared" si="967"/>
        <v>11.405592107649932</v>
      </c>
      <c r="T285">
        <f t="shared" si="968"/>
        <v>1.1405592107649931E-2</v>
      </c>
    </row>
    <row r="286" spans="1:20" x14ac:dyDescent="0.25">
      <c r="A286" s="5">
        <v>44307</v>
      </c>
      <c r="B286">
        <v>38.857999999999997</v>
      </c>
      <c r="C286">
        <v>40.08</v>
      </c>
      <c r="D286">
        <v>35.853999999999999</v>
      </c>
      <c r="E286">
        <v>36.832000000000001</v>
      </c>
      <c r="F286">
        <v>103581.09699999999</v>
      </c>
      <c r="G286">
        <v>0</v>
      </c>
      <c r="L286" t="s">
        <v>8</v>
      </c>
      <c r="M286" t="s">
        <v>7</v>
      </c>
      <c r="N286" t="s">
        <v>7</v>
      </c>
      <c r="P286">
        <f t="shared" si="964"/>
        <v>-0.53715097018457092</v>
      </c>
      <c r="Q286">
        <f t="shared" si="965"/>
        <v>-55638.686746332147</v>
      </c>
      <c r="R286">
        <f t="shared" si="966"/>
        <v>1258079.2864529279</v>
      </c>
      <c r="S286">
        <f t="shared" si="967"/>
        <v>12.580792864529279</v>
      </c>
      <c r="T286">
        <f t="shared" si="968"/>
        <v>1.2580792864529278E-2</v>
      </c>
    </row>
    <row r="287" spans="1:20" x14ac:dyDescent="0.25">
      <c r="A287" s="5">
        <v>44306</v>
      </c>
      <c r="B287">
        <v>38.212000000000003</v>
      </c>
      <c r="C287">
        <v>39.555999999999997</v>
      </c>
      <c r="D287">
        <v>34.127000000000002</v>
      </c>
      <c r="E287">
        <v>38.856999999999999</v>
      </c>
      <c r="F287">
        <v>208517.98699999999</v>
      </c>
      <c r="G287">
        <v>0</v>
      </c>
      <c r="L287" t="s">
        <v>7</v>
      </c>
      <c r="M287" t="s">
        <v>7</v>
      </c>
      <c r="N287" t="s">
        <v>7</v>
      </c>
      <c r="P287">
        <f t="shared" si="964"/>
        <v>0.74249401363050338</v>
      </c>
      <c r="Q287">
        <f t="shared" si="965"/>
        <v>154823.35708178312</v>
      </c>
      <c r="R287">
        <f t="shared" si="966"/>
        <v>1313717.97319926</v>
      </c>
      <c r="S287">
        <f t="shared" si="967"/>
        <v>13.1371797319926</v>
      </c>
      <c r="T287">
        <f t="shared" si="968"/>
        <v>1.3137179731992599E-2</v>
      </c>
    </row>
    <row r="288" spans="1:20" x14ac:dyDescent="0.25">
      <c r="A288" s="5">
        <v>44305</v>
      </c>
      <c r="B288">
        <v>44.06</v>
      </c>
      <c r="C288">
        <v>48</v>
      </c>
      <c r="D288">
        <v>37.643999999999998</v>
      </c>
      <c r="E288">
        <v>38.246000000000002</v>
      </c>
      <c r="F288">
        <v>290725.90399999998</v>
      </c>
      <c r="G288">
        <v>0</v>
      </c>
      <c r="L288" t="s">
        <v>7</v>
      </c>
      <c r="M288" t="s">
        <v>7</v>
      </c>
      <c r="N288" t="s">
        <v>7</v>
      </c>
      <c r="P288">
        <f t="shared" si="964"/>
        <v>-0.88373889532638017</v>
      </c>
      <c r="Q288">
        <f t="shared" si="965"/>
        <v>-256925.78924372324</v>
      </c>
      <c r="R288">
        <f t="shared" si="966"/>
        <v>1158894.6161174767</v>
      </c>
      <c r="S288">
        <f t="shared" si="967"/>
        <v>11.588946161174768</v>
      </c>
      <c r="T288">
        <f t="shared" si="968"/>
        <v>1.1588946161174767E-2</v>
      </c>
    </row>
    <row r="289" spans="1:20" x14ac:dyDescent="0.25">
      <c r="A289" s="5">
        <v>44304</v>
      </c>
      <c r="B289">
        <v>50.499000000000002</v>
      </c>
      <c r="C289">
        <v>50.58</v>
      </c>
      <c r="D289">
        <v>39.085000000000001</v>
      </c>
      <c r="E289">
        <v>44.06</v>
      </c>
      <c r="F289">
        <v>119390.49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-0.13440626359286603</v>
      </c>
      <c r="Q289">
        <f t="shared" si="965"/>
        <v>-16046.829669421437</v>
      </c>
      <c r="R289">
        <f t="shared" si="966"/>
        <v>1415820.4053612</v>
      </c>
      <c r="S289">
        <f t="shared" si="967"/>
        <v>14.158204053612</v>
      </c>
      <c r="T289">
        <f t="shared" si="968"/>
        <v>1.4158204053611999E-2</v>
      </c>
    </row>
    <row r="290" spans="1:20" x14ac:dyDescent="0.25">
      <c r="A290" s="5">
        <v>44303</v>
      </c>
      <c r="B290">
        <v>52.517000000000003</v>
      </c>
      <c r="C290">
        <v>53.863999999999997</v>
      </c>
      <c r="D290">
        <v>49.32</v>
      </c>
      <c r="E290">
        <v>50.55</v>
      </c>
      <c r="F290">
        <v>87597.053</v>
      </c>
      <c r="G290">
        <v>0</v>
      </c>
      <c r="L290" t="s">
        <v>7</v>
      </c>
      <c r="M290" t="s">
        <v>7</v>
      </c>
      <c r="N290" t="s">
        <v>8</v>
      </c>
      <c r="P290">
        <f t="shared" si="964"/>
        <v>-0.45862676056338131</v>
      </c>
      <c r="Q290">
        <f t="shared" si="965"/>
        <v>-40174.352652288821</v>
      </c>
      <c r="R290">
        <f t="shared" si="966"/>
        <v>1431867.2350306215</v>
      </c>
      <c r="S290">
        <f t="shared" si="967"/>
        <v>14.318672350306215</v>
      </c>
      <c r="T290">
        <f t="shared" si="968"/>
        <v>1.4318672350306216E-2</v>
      </c>
    </row>
    <row r="291" spans="1:20" x14ac:dyDescent="0.25">
      <c r="A291" s="5">
        <v>44302</v>
      </c>
      <c r="B291">
        <v>50.652000000000001</v>
      </c>
      <c r="C291">
        <v>54.213000000000001</v>
      </c>
      <c r="D291">
        <v>46.905000000000001</v>
      </c>
      <c r="E291">
        <v>52.508000000000003</v>
      </c>
      <c r="F291">
        <v>159104.334</v>
      </c>
      <c r="G291">
        <v>0</v>
      </c>
      <c r="L291" t="s">
        <v>8</v>
      </c>
      <c r="M291" t="s">
        <v>7</v>
      </c>
      <c r="N291" t="s">
        <v>8</v>
      </c>
      <c r="P291">
        <f t="shared" si="964"/>
        <v>0.53338806787082693</v>
      </c>
      <c r="Q291">
        <f t="shared" si="965"/>
        <v>84864.353302134725</v>
      </c>
      <c r="R291">
        <f t="shared" si="966"/>
        <v>1472041.5876829103</v>
      </c>
      <c r="S291">
        <f t="shared" si="967"/>
        <v>14.720415876829103</v>
      </c>
      <c r="T291">
        <f t="shared" si="968"/>
        <v>1.4720415876829103E-2</v>
      </c>
    </row>
    <row r="292" spans="1:20" x14ac:dyDescent="0.25">
      <c r="A292" s="5">
        <v>44301</v>
      </c>
      <c r="B292">
        <v>49.176000000000002</v>
      </c>
      <c r="C292">
        <v>51.9</v>
      </c>
      <c r="D292">
        <v>47.976999999999997</v>
      </c>
      <c r="E292">
        <v>50.71</v>
      </c>
      <c r="F292">
        <v>81343.346999999994</v>
      </c>
      <c r="G292">
        <v>0</v>
      </c>
      <c r="L292" t="s">
        <v>8</v>
      </c>
      <c r="M292" t="s">
        <v>7</v>
      </c>
      <c r="N292" t="s">
        <v>8</v>
      </c>
      <c r="P292">
        <f t="shared" si="964"/>
        <v>0.39332143767524996</v>
      </c>
      <c r="Q292">
        <f t="shared" si="965"/>
        <v>31994.082187356729</v>
      </c>
      <c r="R292">
        <f t="shared" si="966"/>
        <v>1387177.2343807756</v>
      </c>
      <c r="S292">
        <f t="shared" si="967"/>
        <v>13.871772343807756</v>
      </c>
      <c r="T292">
        <f t="shared" si="968"/>
        <v>1.3871772343807756E-2</v>
      </c>
    </row>
    <row r="293" spans="1:20" x14ac:dyDescent="0.25">
      <c r="A293" s="5">
        <v>44300</v>
      </c>
      <c r="B293">
        <v>49.926000000000002</v>
      </c>
      <c r="C293">
        <v>52.103000000000002</v>
      </c>
      <c r="D293">
        <v>46.302</v>
      </c>
      <c r="E293">
        <v>49.179000000000002</v>
      </c>
      <c r="F293">
        <v>111378.621</v>
      </c>
      <c r="G293">
        <v>0</v>
      </c>
      <c r="L293" t="s">
        <v>7</v>
      </c>
      <c r="M293" t="s">
        <v>7</v>
      </c>
      <c r="N293" t="s">
        <v>8</v>
      </c>
      <c r="P293">
        <f t="shared" si="964"/>
        <v>-8.1020513704528584E-3</v>
      </c>
      <c r="Q293">
        <f t="shared" si="965"/>
        <v>-902.39530891219954</v>
      </c>
      <c r="R293">
        <f t="shared" si="966"/>
        <v>1355183.1521934189</v>
      </c>
      <c r="S293">
        <f t="shared" si="967"/>
        <v>13.55183152193419</v>
      </c>
      <c r="T293">
        <f t="shared" si="968"/>
        <v>1.3551831521934191E-2</v>
      </c>
    </row>
    <row r="294" spans="1:20" x14ac:dyDescent="0.25">
      <c r="A294" s="5">
        <v>44299</v>
      </c>
      <c r="B294">
        <v>47.424999999999997</v>
      </c>
      <c r="C294">
        <v>52.932000000000002</v>
      </c>
      <c r="D294">
        <v>46.978999999999999</v>
      </c>
      <c r="E294">
        <v>49.807000000000002</v>
      </c>
      <c r="F294">
        <v>143734.59599999999</v>
      </c>
      <c r="G294">
        <v>0</v>
      </c>
      <c r="L294" t="s">
        <v>8</v>
      </c>
      <c r="M294" t="s">
        <v>7</v>
      </c>
      <c r="N294" t="s">
        <v>8</v>
      </c>
      <c r="P294">
        <f t="shared" si="964"/>
        <v>-4.9890811355618493E-2</v>
      </c>
      <c r="Q294">
        <f t="shared" si="965"/>
        <v>-7171.0356143120362</v>
      </c>
      <c r="R294">
        <f t="shared" si="966"/>
        <v>1356085.5475023312</v>
      </c>
      <c r="S294">
        <f t="shared" si="967"/>
        <v>13.560855475023311</v>
      </c>
      <c r="T294">
        <f t="shared" si="968"/>
        <v>1.3560855475023311E-2</v>
      </c>
    </row>
    <row r="295" spans="1:20" x14ac:dyDescent="0.25">
      <c r="A295" s="5">
        <v>44298</v>
      </c>
      <c r="B295">
        <v>49.137999999999998</v>
      </c>
      <c r="C295">
        <v>49.561999999999998</v>
      </c>
      <c r="D295">
        <v>45.853999999999999</v>
      </c>
      <c r="E295">
        <v>47.420999999999999</v>
      </c>
      <c r="F295">
        <v>97620.573999999993</v>
      </c>
      <c r="G295">
        <v>0</v>
      </c>
      <c r="L295" t="s">
        <v>7</v>
      </c>
      <c r="M295" t="s">
        <v>7</v>
      </c>
      <c r="N295" t="s">
        <v>8</v>
      </c>
      <c r="P295">
        <f t="shared" si="964"/>
        <v>-0.15480043149946018</v>
      </c>
      <c r="Q295">
        <f t="shared" si="965"/>
        <v>-15111.706978424983</v>
      </c>
      <c r="R295">
        <f t="shared" si="966"/>
        <v>1363256.5831166431</v>
      </c>
      <c r="S295">
        <f t="shared" si="967"/>
        <v>13.632565831166431</v>
      </c>
      <c r="T295">
        <f t="shared" si="968"/>
        <v>1.3632565831166432E-2</v>
      </c>
    </row>
    <row r="296" spans="1:20" x14ac:dyDescent="0.25">
      <c r="A296" s="5">
        <v>44297</v>
      </c>
      <c r="B296">
        <v>51.951999999999998</v>
      </c>
      <c r="C296">
        <v>52.097000000000001</v>
      </c>
      <c r="D296">
        <v>47.301000000000002</v>
      </c>
      <c r="E296">
        <v>49.131</v>
      </c>
      <c r="F296">
        <v>121432.546</v>
      </c>
      <c r="G296">
        <v>0</v>
      </c>
      <c r="L296" t="s">
        <v>7</v>
      </c>
      <c r="M296" t="s">
        <v>7</v>
      </c>
      <c r="N296" t="s">
        <v>8</v>
      </c>
      <c r="P296">
        <f t="shared" si="964"/>
        <v>-0.23686405337781546</v>
      </c>
      <c r="Q296">
        <f t="shared" si="965"/>
        <v>-28763.005057548031</v>
      </c>
      <c r="R296">
        <f t="shared" si="966"/>
        <v>1378368.290095068</v>
      </c>
      <c r="S296">
        <f t="shared" si="967"/>
        <v>13.78368290095068</v>
      </c>
      <c r="T296">
        <f t="shared" si="968"/>
        <v>1.3783682900950681E-2</v>
      </c>
    </row>
    <row r="297" spans="1:20" x14ac:dyDescent="0.25">
      <c r="A297" s="5">
        <v>44296</v>
      </c>
      <c r="B297">
        <v>57.305999999999997</v>
      </c>
      <c r="C297">
        <v>60.122999999999998</v>
      </c>
      <c r="D297">
        <v>49.689</v>
      </c>
      <c r="E297">
        <v>52.048999999999999</v>
      </c>
      <c r="F297">
        <v>252115.394</v>
      </c>
      <c r="G297">
        <v>0</v>
      </c>
      <c r="L297" t="s">
        <v>8</v>
      </c>
      <c r="M297" t="s">
        <v>8</v>
      </c>
      <c r="N297" t="s">
        <v>8</v>
      </c>
      <c r="P297">
        <f t="shared" si="964"/>
        <v>-0.54763273912210086</v>
      </c>
      <c r="Q297">
        <f t="shared" si="965"/>
        <v>-138066.64379106768</v>
      </c>
      <c r="R297">
        <f t="shared" si="966"/>
        <v>1407131.295152616</v>
      </c>
      <c r="S297">
        <f t="shared" si="967"/>
        <v>14.07131295152616</v>
      </c>
      <c r="T297">
        <f t="shared" si="968"/>
        <v>1.4071312951526161E-2</v>
      </c>
    </row>
    <row r="298" spans="1:20" x14ac:dyDescent="0.25">
      <c r="A298" s="5">
        <v>44295</v>
      </c>
      <c r="B298">
        <v>51.179000000000002</v>
      </c>
      <c r="C298">
        <v>57.948999999999998</v>
      </c>
      <c r="D298">
        <v>47.529000000000003</v>
      </c>
      <c r="E298">
        <v>57.3</v>
      </c>
      <c r="F298">
        <v>378343.9</v>
      </c>
      <c r="G298">
        <v>0</v>
      </c>
      <c r="L298" t="s">
        <v>8</v>
      </c>
      <c r="M298" t="s">
        <v>8</v>
      </c>
      <c r="N298" t="s">
        <v>8</v>
      </c>
      <c r="P298">
        <f t="shared" si="964"/>
        <v>0.87543186180422239</v>
      </c>
      <c r="Q298">
        <f t="shared" si="965"/>
        <v>331214.30477927055</v>
      </c>
      <c r="R298">
        <f t="shared" si="966"/>
        <v>1545197.9389436836</v>
      </c>
      <c r="S298">
        <f t="shared" si="967"/>
        <v>15.451979389436836</v>
      </c>
      <c r="T298">
        <f t="shared" si="968"/>
        <v>1.5451979389436836E-2</v>
      </c>
    </row>
    <row r="299" spans="1:20" x14ac:dyDescent="0.25">
      <c r="A299" s="5">
        <v>44294</v>
      </c>
      <c r="B299">
        <v>47.447000000000003</v>
      </c>
      <c r="C299">
        <v>51.499000000000002</v>
      </c>
      <c r="D299">
        <v>43.213999999999999</v>
      </c>
      <c r="E299">
        <v>51.292000000000002</v>
      </c>
      <c r="F299">
        <v>266876.54200000002</v>
      </c>
      <c r="G299">
        <v>0</v>
      </c>
      <c r="L299" t="s">
        <v>8</v>
      </c>
      <c r="M299" t="s">
        <v>8</v>
      </c>
      <c r="N299" t="s">
        <v>8</v>
      </c>
      <c r="P299">
        <f t="shared" si="964"/>
        <v>0.95003017501508735</v>
      </c>
      <c r="Q299">
        <f t="shared" si="965"/>
        <v>253540.76790368132</v>
      </c>
      <c r="R299">
        <f t="shared" si="966"/>
        <v>1213983.634164413</v>
      </c>
      <c r="S299">
        <f t="shared" si="967"/>
        <v>12.139836341644129</v>
      </c>
      <c r="T299">
        <f t="shared" si="968"/>
        <v>1.2139836341644129E-2</v>
      </c>
    </row>
    <row r="300" spans="1:20" x14ac:dyDescent="0.25">
      <c r="A300" s="5">
        <v>44293</v>
      </c>
      <c r="B300">
        <v>43.743000000000002</v>
      </c>
      <c r="C300">
        <v>50.576999999999998</v>
      </c>
      <c r="D300">
        <v>38.716999999999999</v>
      </c>
      <c r="E300">
        <v>47.290999999999997</v>
      </c>
      <c r="F300">
        <v>429448.66</v>
      </c>
      <c r="G300">
        <v>0</v>
      </c>
      <c r="L300" t="s">
        <v>8</v>
      </c>
      <c r="M300" t="s">
        <v>8</v>
      </c>
      <c r="N300" t="s">
        <v>8</v>
      </c>
      <c r="P300">
        <f t="shared" si="964"/>
        <v>0.44586846543001663</v>
      </c>
      <c r="Q300">
        <f t="shared" si="965"/>
        <v>191477.61501517694</v>
      </c>
      <c r="R300">
        <f t="shared" si="966"/>
        <v>960442.86626073171</v>
      </c>
      <c r="S300">
        <f t="shared" si="967"/>
        <v>9.604428662607317</v>
      </c>
      <c r="T300">
        <f t="shared" si="968"/>
        <v>9.6044286626073162E-3</v>
      </c>
    </row>
    <row r="301" spans="1:20" x14ac:dyDescent="0.25">
      <c r="A301" s="5">
        <v>44292</v>
      </c>
      <c r="B301">
        <v>43.445</v>
      </c>
      <c r="C301">
        <v>48.05</v>
      </c>
      <c r="D301">
        <v>41.676000000000002</v>
      </c>
      <c r="E301">
        <v>43.747</v>
      </c>
      <c r="F301">
        <v>355530.79800000001</v>
      </c>
      <c r="G301">
        <v>0</v>
      </c>
      <c r="L301" t="s">
        <v>8</v>
      </c>
      <c r="M301" t="s">
        <v>8</v>
      </c>
      <c r="N301" t="s">
        <v>8</v>
      </c>
      <c r="P301">
        <f t="shared" si="964"/>
        <v>-0.35017257609036728</v>
      </c>
      <c r="Q301">
        <f t="shared" si="965"/>
        <v>-124497.13541512401</v>
      </c>
      <c r="R301">
        <f t="shared" si="966"/>
        <v>768965.25124555477</v>
      </c>
      <c r="S301">
        <f t="shared" si="967"/>
        <v>7.6896525124555479</v>
      </c>
      <c r="T301">
        <f t="shared" si="968"/>
        <v>7.6896525124555476E-3</v>
      </c>
    </row>
    <row r="302" spans="1:20" x14ac:dyDescent="0.25">
      <c r="A302" s="5">
        <v>44291</v>
      </c>
      <c r="B302">
        <v>40.862000000000002</v>
      </c>
      <c r="C302">
        <v>43.862000000000002</v>
      </c>
      <c r="D302">
        <v>38.515000000000001</v>
      </c>
      <c r="E302">
        <v>43.624000000000002</v>
      </c>
      <c r="F302">
        <v>232324.49299999999</v>
      </c>
      <c r="G302">
        <v>0</v>
      </c>
      <c r="L302" t="s">
        <v>8</v>
      </c>
      <c r="M302" t="s">
        <v>8</v>
      </c>
      <c r="N302" t="s">
        <v>8</v>
      </c>
      <c r="P302">
        <f t="shared" si="964"/>
        <v>0.91097811857116162</v>
      </c>
      <c r="Q302">
        <f t="shared" si="965"/>
        <v>211642.52953113901</v>
      </c>
      <c r="R302">
        <f t="shared" si="966"/>
        <v>893462.38666067878</v>
      </c>
      <c r="S302">
        <f t="shared" si="967"/>
        <v>8.9346238666067883</v>
      </c>
      <c r="T302">
        <f t="shared" si="968"/>
        <v>8.934623866606789E-3</v>
      </c>
    </row>
    <row r="303" spans="1:20" x14ac:dyDescent="0.25">
      <c r="A303" s="5">
        <v>44290</v>
      </c>
      <c r="B303">
        <v>37.161999999999999</v>
      </c>
      <c r="C303">
        <v>42.359000000000002</v>
      </c>
      <c r="D303">
        <v>36.649000000000001</v>
      </c>
      <c r="E303">
        <v>40.862000000000002</v>
      </c>
      <c r="F303">
        <v>121579.01300000001</v>
      </c>
      <c r="G303">
        <v>0</v>
      </c>
      <c r="L303" t="s">
        <v>8</v>
      </c>
      <c r="M303" t="s">
        <v>7</v>
      </c>
      <c r="N303" t="s">
        <v>8</v>
      </c>
      <c r="P303">
        <f t="shared" si="964"/>
        <v>0.47565674255691781</v>
      </c>
      <c r="Q303">
        <f t="shared" si="965"/>
        <v>57829.877286865165</v>
      </c>
      <c r="R303">
        <f t="shared" si="966"/>
        <v>681819.85712953983</v>
      </c>
      <c r="S303">
        <f t="shared" si="967"/>
        <v>6.8181985712953983</v>
      </c>
      <c r="T303">
        <f t="shared" si="968"/>
        <v>6.8181985712953983E-3</v>
      </c>
    </row>
    <row r="304" spans="1:20" x14ac:dyDescent="0.25">
      <c r="A304" s="5">
        <v>44289</v>
      </c>
      <c r="B304">
        <v>40.966999999999999</v>
      </c>
      <c r="C304">
        <v>44.5</v>
      </c>
      <c r="D304">
        <v>36.680999999999997</v>
      </c>
      <c r="E304">
        <v>37.165999999999997</v>
      </c>
      <c r="F304">
        <v>212204.67199999999</v>
      </c>
      <c r="G304">
        <v>0</v>
      </c>
      <c r="L304" t="s">
        <v>7</v>
      </c>
      <c r="M304" t="s">
        <v>7</v>
      </c>
      <c r="N304" t="s">
        <v>8</v>
      </c>
      <c r="P304">
        <f t="shared" si="964"/>
        <v>-0.87594321524491636</v>
      </c>
      <c r="Q304">
        <f t="shared" si="965"/>
        <v>-185879.24268167285</v>
      </c>
      <c r="R304">
        <f t="shared" si="966"/>
        <v>623989.97984267469</v>
      </c>
      <c r="S304">
        <f t="shared" si="967"/>
        <v>6.2398997984267472</v>
      </c>
      <c r="T304">
        <f t="shared" si="968"/>
        <v>6.2398997984267476E-3</v>
      </c>
    </row>
    <row r="305" spans="1:20" x14ac:dyDescent="0.25">
      <c r="A305" s="5">
        <v>44288</v>
      </c>
      <c r="B305">
        <v>39.100999999999999</v>
      </c>
      <c r="C305">
        <v>41</v>
      </c>
      <c r="D305">
        <v>38.069000000000003</v>
      </c>
      <c r="E305">
        <v>40.796999999999997</v>
      </c>
      <c r="F305">
        <v>105861.895</v>
      </c>
      <c r="G305">
        <v>0</v>
      </c>
      <c r="L305" t="s">
        <v>7</v>
      </c>
      <c r="M305" t="s">
        <v>7</v>
      </c>
      <c r="N305" t="s">
        <v>8</v>
      </c>
      <c r="P305">
        <f t="shared" si="964"/>
        <v>0.86148072330262493</v>
      </c>
      <c r="Q305">
        <f t="shared" si="965"/>
        <v>91197.981874786536</v>
      </c>
      <c r="R305">
        <f t="shared" si="966"/>
        <v>809869.2225243476</v>
      </c>
      <c r="S305">
        <f t="shared" si="967"/>
        <v>8.0986922252434752</v>
      </c>
      <c r="T305">
        <f t="shared" si="968"/>
        <v>8.098692225243476E-3</v>
      </c>
    </row>
    <row r="306" spans="1:20" x14ac:dyDescent="0.25">
      <c r="A306" s="5">
        <v>44287</v>
      </c>
      <c r="B306">
        <v>40.472000000000001</v>
      </c>
      <c r="C306">
        <v>41.204999999999998</v>
      </c>
      <c r="D306">
        <v>38.564</v>
      </c>
      <c r="E306">
        <v>39.07</v>
      </c>
      <c r="F306">
        <v>104921.817</v>
      </c>
      <c r="G306">
        <v>0</v>
      </c>
      <c r="L306" t="s">
        <v>8</v>
      </c>
      <c r="M306" t="s">
        <v>7</v>
      </c>
      <c r="N306" t="s">
        <v>8</v>
      </c>
      <c r="P306">
        <f t="shared" si="964"/>
        <v>-0.61681181370692872</v>
      </c>
      <c r="Q306">
        <f t="shared" si="965"/>
        <v>-64717.016241196463</v>
      </c>
      <c r="R306">
        <f t="shared" si="966"/>
        <v>718671.24064956105</v>
      </c>
      <c r="S306">
        <f t="shared" si="967"/>
        <v>7.1867124064956105</v>
      </c>
      <c r="T306">
        <f t="shared" si="968"/>
        <v>7.1867124064956102E-3</v>
      </c>
    </row>
    <row r="307" spans="1:20" x14ac:dyDescent="0.25">
      <c r="A307" s="5">
        <v>44286</v>
      </c>
      <c r="B307">
        <v>41.805</v>
      </c>
      <c r="C307">
        <v>43.48</v>
      </c>
      <c r="D307">
        <v>37.79</v>
      </c>
      <c r="E307">
        <v>40.372999999999998</v>
      </c>
      <c r="F307">
        <v>137914.30300000001</v>
      </c>
      <c r="G307">
        <v>0</v>
      </c>
      <c r="L307" t="s">
        <v>7</v>
      </c>
      <c r="M307" t="s">
        <v>7</v>
      </c>
      <c r="N307" t="s">
        <v>8</v>
      </c>
      <c r="P307">
        <f t="shared" si="964"/>
        <v>-9.2091388400703189E-2</v>
      </c>
      <c r="Q307">
        <f t="shared" si="965"/>
        <v>-12700.719643585266</v>
      </c>
      <c r="R307">
        <f t="shared" si="966"/>
        <v>783388.25689075748</v>
      </c>
      <c r="S307">
        <f t="shared" si="967"/>
        <v>7.8338825689075744</v>
      </c>
      <c r="T307">
        <f t="shared" si="968"/>
        <v>7.8338825689075742E-3</v>
      </c>
    </row>
    <row r="308" spans="1:20" x14ac:dyDescent="0.25">
      <c r="A308" s="5">
        <v>44285</v>
      </c>
      <c r="B308">
        <v>39.149000000000001</v>
      </c>
      <c r="C308">
        <v>45.356000000000002</v>
      </c>
      <c r="D308">
        <v>38.399000000000001</v>
      </c>
      <c r="E308">
        <v>41.686999999999998</v>
      </c>
      <c r="F308">
        <v>311655.48</v>
      </c>
      <c r="G308">
        <v>0</v>
      </c>
      <c r="L308" t="s">
        <v>8</v>
      </c>
      <c r="M308" t="s">
        <v>8</v>
      </c>
      <c r="N308" t="s">
        <v>8</v>
      </c>
      <c r="P308">
        <f t="shared" si="964"/>
        <v>-5.476498490728867E-2</v>
      </c>
      <c r="Q308">
        <f t="shared" si="965"/>
        <v>-17067.807658473805</v>
      </c>
      <c r="R308">
        <f t="shared" si="966"/>
        <v>796088.97653434274</v>
      </c>
      <c r="S308">
        <f t="shared" si="967"/>
        <v>7.9608897653434276</v>
      </c>
      <c r="T308">
        <f t="shared" si="968"/>
        <v>7.960889765343428E-3</v>
      </c>
    </row>
    <row r="309" spans="1:20" x14ac:dyDescent="0.25">
      <c r="A309" s="5">
        <v>44284</v>
      </c>
      <c r="B309">
        <v>35.997999999999998</v>
      </c>
      <c r="C309">
        <v>39.738999999999997</v>
      </c>
      <c r="D309">
        <v>34.841999999999999</v>
      </c>
      <c r="E309">
        <v>39.149000000000001</v>
      </c>
      <c r="F309">
        <v>138972.10500000001</v>
      </c>
      <c r="G309">
        <v>0</v>
      </c>
      <c r="L309" t="s">
        <v>8</v>
      </c>
      <c r="M309" t="s">
        <v>8</v>
      </c>
      <c r="N309" t="s">
        <v>7</v>
      </c>
      <c r="P309">
        <f t="shared" si="964"/>
        <v>0.7590361445783147</v>
      </c>
      <c r="Q309">
        <f t="shared" si="965"/>
        <v>105484.85078313274</v>
      </c>
      <c r="R309">
        <f t="shared" si="966"/>
        <v>813156.78419281659</v>
      </c>
      <c r="S309">
        <f t="shared" si="967"/>
        <v>8.1315678419281667</v>
      </c>
      <c r="T309">
        <f t="shared" si="968"/>
        <v>8.1315678419281671E-3</v>
      </c>
    </row>
    <row r="310" spans="1:20" x14ac:dyDescent="0.25">
      <c r="A310" s="5">
        <v>44283</v>
      </c>
      <c r="B310">
        <v>33.628</v>
      </c>
      <c r="C310">
        <v>38</v>
      </c>
      <c r="D310">
        <v>33.32</v>
      </c>
      <c r="E310">
        <v>36.012999999999998</v>
      </c>
      <c r="F310">
        <v>187735.77</v>
      </c>
      <c r="G310">
        <v>0</v>
      </c>
      <c r="L310" t="s">
        <v>8</v>
      </c>
      <c r="M310" t="s">
        <v>8</v>
      </c>
      <c r="N310" t="s">
        <v>7</v>
      </c>
      <c r="P310">
        <f t="shared" si="964"/>
        <v>0.15085470085470001</v>
      </c>
      <c r="Q310">
        <f t="shared" si="965"/>
        <v>28320.823423076763</v>
      </c>
      <c r="R310">
        <f t="shared" si="966"/>
        <v>707671.93340968387</v>
      </c>
      <c r="S310">
        <f t="shared" si="967"/>
        <v>7.0767193340968388</v>
      </c>
      <c r="T310">
        <f t="shared" si="968"/>
        <v>7.0767193340968391E-3</v>
      </c>
    </row>
    <row r="311" spans="1:20" x14ac:dyDescent="0.25">
      <c r="A311" s="5">
        <v>44282</v>
      </c>
      <c r="B311">
        <v>33.555999999999997</v>
      </c>
      <c r="C311">
        <v>35</v>
      </c>
      <c r="D311">
        <v>31.962</v>
      </c>
      <c r="E311">
        <v>33.628999999999998</v>
      </c>
      <c r="F311">
        <v>103296.371</v>
      </c>
      <c r="G311">
        <v>0</v>
      </c>
      <c r="L311" t="s">
        <v>8</v>
      </c>
      <c r="M311" t="s">
        <v>7</v>
      </c>
      <c r="N311" t="s">
        <v>7</v>
      </c>
      <c r="P311">
        <f t="shared" si="964"/>
        <v>9.7432521395653657E-2</v>
      </c>
      <c r="Q311">
        <f t="shared" si="965"/>
        <v>10064.425877550877</v>
      </c>
      <c r="R311">
        <f t="shared" si="966"/>
        <v>679351.1099866071</v>
      </c>
      <c r="S311">
        <f t="shared" si="967"/>
        <v>6.7935110998660706</v>
      </c>
      <c r="T311">
        <f t="shared" si="968"/>
        <v>6.7935110998660706E-3</v>
      </c>
    </row>
    <row r="312" spans="1:20" x14ac:dyDescent="0.25">
      <c r="A312" s="5">
        <v>44281</v>
      </c>
      <c r="B312">
        <v>30.725000000000001</v>
      </c>
      <c r="C312">
        <v>33.659999999999997</v>
      </c>
      <c r="D312">
        <v>30.635000000000002</v>
      </c>
      <c r="E312">
        <v>33.659999999999997</v>
      </c>
      <c r="F312">
        <v>104027.192</v>
      </c>
      <c r="G312">
        <v>0</v>
      </c>
      <c r="L312" t="s">
        <v>8</v>
      </c>
      <c r="M312" t="s">
        <v>7</v>
      </c>
      <c r="N312" t="s">
        <v>7</v>
      </c>
      <c r="P312">
        <f t="shared" si="964"/>
        <v>1</v>
      </c>
      <c r="Q312">
        <f t="shared" si="965"/>
        <v>104027.192</v>
      </c>
      <c r="R312">
        <f t="shared" si="966"/>
        <v>669286.68410905625</v>
      </c>
      <c r="S312">
        <f t="shared" si="967"/>
        <v>6.692866841090563</v>
      </c>
      <c r="T312">
        <f t="shared" si="968"/>
        <v>6.6928668410905631E-3</v>
      </c>
    </row>
    <row r="313" spans="1:20" x14ac:dyDescent="0.25">
      <c r="A313" s="5">
        <v>44280</v>
      </c>
      <c r="B313">
        <v>31.901</v>
      </c>
      <c r="C313">
        <v>32.545999999999999</v>
      </c>
      <c r="D313">
        <v>29.573</v>
      </c>
      <c r="E313">
        <v>30.733000000000001</v>
      </c>
      <c r="F313">
        <v>103746.621</v>
      </c>
      <c r="G313">
        <v>0</v>
      </c>
      <c r="L313" t="s">
        <v>7</v>
      </c>
      <c r="M313" t="s">
        <v>7</v>
      </c>
      <c r="N313" t="s">
        <v>7</v>
      </c>
      <c r="P313">
        <f t="shared" si="964"/>
        <v>-0.21964345778674704</v>
      </c>
      <c r="Q313">
        <f t="shared" si="965"/>
        <v>-22787.266570131145</v>
      </c>
      <c r="R313">
        <f t="shared" si="966"/>
        <v>565259.49210905621</v>
      </c>
      <c r="S313">
        <f t="shared" si="967"/>
        <v>5.6525949210905617</v>
      </c>
      <c r="T313">
        <f t="shared" si="968"/>
        <v>5.6525949210905618E-3</v>
      </c>
    </row>
    <row r="314" spans="1:20" x14ac:dyDescent="0.25">
      <c r="A314" s="5">
        <v>44279</v>
      </c>
      <c r="B314">
        <v>37.170999999999999</v>
      </c>
      <c r="C314">
        <v>37.963000000000001</v>
      </c>
      <c r="D314">
        <v>30.407</v>
      </c>
      <c r="E314">
        <v>31.899000000000001</v>
      </c>
      <c r="F314">
        <v>224591.22500000001</v>
      </c>
      <c r="G314">
        <v>0</v>
      </c>
      <c r="L314" t="s">
        <v>7</v>
      </c>
      <c r="M314" t="s">
        <v>7</v>
      </c>
      <c r="N314" t="s">
        <v>7</v>
      </c>
      <c r="P314">
        <f t="shared" si="964"/>
        <v>-0.60508205399682358</v>
      </c>
      <c r="Q314">
        <f t="shared" si="965"/>
        <v>-135896.11973266274</v>
      </c>
      <c r="R314">
        <f t="shared" si="966"/>
        <v>588046.75867918739</v>
      </c>
      <c r="S314">
        <f t="shared" si="967"/>
        <v>5.8804675867918741</v>
      </c>
      <c r="T314">
        <f t="shared" si="968"/>
        <v>5.8804675867918741E-3</v>
      </c>
    </row>
    <row r="315" spans="1:20" x14ac:dyDescent="0.25">
      <c r="A315" s="5">
        <v>44278</v>
      </c>
      <c r="B315">
        <v>35.689</v>
      </c>
      <c r="C315">
        <v>40.798999999999999</v>
      </c>
      <c r="D315">
        <v>33.799999999999997</v>
      </c>
      <c r="E315">
        <v>36.999000000000002</v>
      </c>
      <c r="F315">
        <v>580257.09199999995</v>
      </c>
      <c r="G315">
        <v>0</v>
      </c>
      <c r="L315" t="s">
        <v>7</v>
      </c>
      <c r="M315" t="s">
        <v>7</v>
      </c>
      <c r="N315" t="s">
        <v>8</v>
      </c>
      <c r="P315">
        <f t="shared" si="964"/>
        <v>-8.5869409915701064E-2</v>
      </c>
      <c r="Q315">
        <f t="shared" si="965"/>
        <v>-49826.334089440657</v>
      </c>
      <c r="R315">
        <f t="shared" si="966"/>
        <v>723942.87841185008</v>
      </c>
      <c r="S315">
        <f t="shared" si="967"/>
        <v>7.239428784118501</v>
      </c>
      <c r="T315">
        <f t="shared" si="968"/>
        <v>7.239428784118501E-3</v>
      </c>
    </row>
    <row r="316" spans="1:20" x14ac:dyDescent="0.25">
      <c r="A316" s="5">
        <v>44277</v>
      </c>
      <c r="B316">
        <v>30.423999999999999</v>
      </c>
      <c r="C316">
        <v>41.54</v>
      </c>
      <c r="D316">
        <v>30</v>
      </c>
      <c r="E316">
        <v>35.802999999999997</v>
      </c>
      <c r="F316">
        <v>731072.26599999995</v>
      </c>
      <c r="G316">
        <v>0</v>
      </c>
      <c r="L316" t="s">
        <v>8</v>
      </c>
      <c r="M316" t="s">
        <v>8</v>
      </c>
      <c r="N316" t="s">
        <v>8</v>
      </c>
      <c r="P316">
        <f t="shared" si="964"/>
        <v>5.7192374350082667E-3</v>
      </c>
      <c r="Q316">
        <f t="shared" si="965"/>
        <v>4181.1758714035213</v>
      </c>
      <c r="R316">
        <f t="shared" si="966"/>
        <v>773769.21250129072</v>
      </c>
      <c r="S316">
        <f t="shared" si="967"/>
        <v>7.7376921250129076</v>
      </c>
      <c r="T316">
        <f t="shared" si="968"/>
        <v>7.737692125012908E-3</v>
      </c>
    </row>
    <row r="317" spans="1:20" x14ac:dyDescent="0.25">
      <c r="A317" s="5">
        <v>44276</v>
      </c>
      <c r="B317">
        <v>30.776</v>
      </c>
      <c r="C317">
        <v>31.712</v>
      </c>
      <c r="D317">
        <v>29.527999999999999</v>
      </c>
      <c r="E317">
        <v>30.468</v>
      </c>
      <c r="F317">
        <v>715447.86199999996</v>
      </c>
      <c r="G317">
        <v>0</v>
      </c>
      <c r="L317" t="s">
        <v>7</v>
      </c>
      <c r="M317" t="s">
        <v>8</v>
      </c>
      <c r="N317" t="s">
        <v>8</v>
      </c>
      <c r="P317">
        <f t="shared" si="964"/>
        <v>-0.13919413919413845</v>
      </c>
      <c r="Q317">
        <f t="shared" si="965"/>
        <v>-99586.149289376757</v>
      </c>
      <c r="R317">
        <f t="shared" si="966"/>
        <v>769588.03662988718</v>
      </c>
      <c r="S317">
        <f t="shared" si="967"/>
        <v>7.695880366298872</v>
      </c>
      <c r="T317">
        <f t="shared" si="968"/>
        <v>7.6958803662988719E-3</v>
      </c>
    </row>
    <row r="318" spans="1:20" x14ac:dyDescent="0.25">
      <c r="A318" s="5">
        <v>44275</v>
      </c>
      <c r="B318">
        <v>32.755000000000003</v>
      </c>
      <c r="C318">
        <v>34.271999999999998</v>
      </c>
      <c r="D318">
        <v>30.5</v>
      </c>
      <c r="E318">
        <v>30.783000000000001</v>
      </c>
      <c r="F318">
        <v>106622.20699999999</v>
      </c>
      <c r="G318">
        <v>0</v>
      </c>
      <c r="L318" t="s">
        <v>7</v>
      </c>
      <c r="M318" t="s">
        <v>8</v>
      </c>
      <c r="N318" t="s">
        <v>8</v>
      </c>
      <c r="P318">
        <f t="shared" si="964"/>
        <v>-0.8499469777306462</v>
      </c>
      <c r="Q318">
        <f t="shared" si="965"/>
        <v>-90623.222598621345</v>
      </c>
      <c r="R318">
        <f t="shared" si="966"/>
        <v>869174.18591926398</v>
      </c>
      <c r="S318">
        <f t="shared" si="967"/>
        <v>8.6917418591926392</v>
      </c>
      <c r="T318">
        <f t="shared" si="968"/>
        <v>8.69174185919264E-3</v>
      </c>
    </row>
    <row r="319" spans="1:20" x14ac:dyDescent="0.25">
      <c r="A319" s="5">
        <v>44274</v>
      </c>
      <c r="B319">
        <v>31.931999999999999</v>
      </c>
      <c r="C319">
        <v>35.048000000000002</v>
      </c>
      <c r="D319">
        <v>30.923999999999999</v>
      </c>
      <c r="E319">
        <v>32.755000000000003</v>
      </c>
      <c r="F319">
        <v>118438.141</v>
      </c>
      <c r="G319">
        <v>0</v>
      </c>
      <c r="L319" t="s">
        <v>8</v>
      </c>
      <c r="M319" t="s">
        <v>8</v>
      </c>
      <c r="N319" t="s">
        <v>8</v>
      </c>
      <c r="P319">
        <f t="shared" si="964"/>
        <v>-0.11202715809893209</v>
      </c>
      <c r="Q319">
        <f t="shared" si="965"/>
        <v>-13268.288346750611</v>
      </c>
      <c r="R319">
        <f t="shared" si="966"/>
        <v>959797.40851788537</v>
      </c>
      <c r="S319">
        <f t="shared" si="967"/>
        <v>9.5979740851788531</v>
      </c>
      <c r="T319">
        <f t="shared" si="968"/>
        <v>9.5979740851788523E-3</v>
      </c>
    </row>
    <row r="320" spans="1:20" x14ac:dyDescent="0.25">
      <c r="A320" s="5">
        <v>44273</v>
      </c>
      <c r="B320">
        <v>30.684000000000001</v>
      </c>
      <c r="C320">
        <v>32.030999999999999</v>
      </c>
      <c r="D320">
        <v>29.053000000000001</v>
      </c>
      <c r="E320">
        <v>31.995999999999999</v>
      </c>
      <c r="F320">
        <v>181603.179</v>
      </c>
      <c r="G320">
        <v>0</v>
      </c>
      <c r="L320" t="s">
        <v>8</v>
      </c>
      <c r="M320" t="s">
        <v>7</v>
      </c>
      <c r="N320" t="s">
        <v>8</v>
      </c>
      <c r="P320">
        <f t="shared" si="964"/>
        <v>0.9764942914707857</v>
      </c>
      <c r="Q320">
        <f t="shared" si="965"/>
        <v>177334.46760644726</v>
      </c>
      <c r="R320">
        <f t="shared" si="966"/>
        <v>973065.69686463603</v>
      </c>
      <c r="S320">
        <f t="shared" si="967"/>
        <v>9.7306569686463611</v>
      </c>
      <c r="T320">
        <f t="shared" si="968"/>
        <v>9.7306569686463618E-3</v>
      </c>
    </row>
    <row r="321" spans="1:20" x14ac:dyDescent="0.25">
      <c r="A321" s="5">
        <v>44272</v>
      </c>
      <c r="B321">
        <v>30.193999999999999</v>
      </c>
      <c r="C321">
        <v>31.404</v>
      </c>
      <c r="D321">
        <v>28.318999999999999</v>
      </c>
      <c r="E321">
        <v>30.684000000000001</v>
      </c>
      <c r="F321">
        <v>145091.003</v>
      </c>
      <c r="G321">
        <v>0</v>
      </c>
      <c r="L321" t="s">
        <v>8</v>
      </c>
      <c r="M321" t="s">
        <v>7</v>
      </c>
      <c r="N321" t="s">
        <v>8</v>
      </c>
      <c r="P321">
        <f t="shared" si="964"/>
        <v>0.53322528363047084</v>
      </c>
      <c r="Q321">
        <f t="shared" si="965"/>
        <v>77366.191226904499</v>
      </c>
      <c r="R321">
        <f t="shared" si="966"/>
        <v>795731.22925818875</v>
      </c>
      <c r="S321">
        <f t="shared" si="967"/>
        <v>7.9573122925818875</v>
      </c>
      <c r="T321">
        <f t="shared" si="968"/>
        <v>7.9573122925818869E-3</v>
      </c>
    </row>
    <row r="322" spans="1:20" x14ac:dyDescent="0.25">
      <c r="A322" s="5">
        <v>44271</v>
      </c>
      <c r="B322">
        <v>28.991</v>
      </c>
      <c r="C322">
        <v>30.863</v>
      </c>
      <c r="D322">
        <v>27.724</v>
      </c>
      <c r="E322">
        <v>30.231999999999999</v>
      </c>
      <c r="F322">
        <v>153108.77900000001</v>
      </c>
      <c r="G322">
        <v>0</v>
      </c>
      <c r="L322" t="s">
        <v>7</v>
      </c>
      <c r="M322" t="s">
        <v>7</v>
      </c>
      <c r="N322" t="s">
        <v>8</v>
      </c>
      <c r="P322">
        <f t="shared" si="964"/>
        <v>0.59796113411914598</v>
      </c>
      <c r="Q322">
        <f t="shared" si="965"/>
        <v>91553.099134437682</v>
      </c>
      <c r="R322">
        <f t="shared" si="966"/>
        <v>718365.03803128423</v>
      </c>
      <c r="S322">
        <f t="shared" si="967"/>
        <v>7.1836503803128426</v>
      </c>
      <c r="T322">
        <f t="shared" si="968"/>
        <v>7.1836503803128426E-3</v>
      </c>
    </row>
    <row r="323" spans="1:20" x14ac:dyDescent="0.25">
      <c r="A323" s="5">
        <v>44270</v>
      </c>
      <c r="B323">
        <v>30.974</v>
      </c>
      <c r="C323">
        <v>32.061</v>
      </c>
      <c r="D323">
        <v>28.7</v>
      </c>
      <c r="E323">
        <v>29.082999999999998</v>
      </c>
      <c r="F323">
        <v>121683.12699999999</v>
      </c>
      <c r="G323">
        <v>0</v>
      </c>
      <c r="L323" t="s">
        <v>7</v>
      </c>
      <c r="M323" t="s">
        <v>7</v>
      </c>
      <c r="N323" t="s">
        <v>8</v>
      </c>
      <c r="P323">
        <f t="shared" si="964"/>
        <v>-0.77209163939303838</v>
      </c>
      <c r="Q323">
        <f t="shared" si="965"/>
        <v>-93950.525011901293</v>
      </c>
      <c r="R323">
        <f t="shared" si="966"/>
        <v>626811.93889684661</v>
      </c>
      <c r="S323">
        <f t="shared" si="967"/>
        <v>6.2681193889684659</v>
      </c>
      <c r="T323">
        <f t="shared" si="968"/>
        <v>6.2681193889684659E-3</v>
      </c>
    </row>
    <row r="324" spans="1:20" x14ac:dyDescent="0.25">
      <c r="A324" s="5">
        <v>44269</v>
      </c>
      <c r="B324">
        <v>33.1</v>
      </c>
      <c r="C324">
        <v>33.122</v>
      </c>
      <c r="D324">
        <v>30.754000000000001</v>
      </c>
      <c r="E324">
        <v>30.974</v>
      </c>
      <c r="F324">
        <v>47467.839</v>
      </c>
      <c r="G324">
        <v>0</v>
      </c>
      <c r="L324" t="s">
        <v>8</v>
      </c>
      <c r="M324" t="s">
        <v>7</v>
      </c>
      <c r="N324" t="s">
        <v>8</v>
      </c>
      <c r="P324">
        <f t="shared" si="964"/>
        <v>-0.81418918918919003</v>
      </c>
      <c r="Q324">
        <f t="shared" si="965"/>
        <v>-38647.801347973014</v>
      </c>
      <c r="R324">
        <f t="shared" si="966"/>
        <v>720762.46390874789</v>
      </c>
      <c r="S324">
        <f t="shared" si="967"/>
        <v>7.207624639087479</v>
      </c>
      <c r="T324">
        <f t="shared" si="968"/>
        <v>7.2076246390874793E-3</v>
      </c>
    </row>
    <row r="325" spans="1:20" x14ac:dyDescent="0.25">
      <c r="A325" s="5">
        <v>44268</v>
      </c>
      <c r="B325">
        <v>31.992000000000001</v>
      </c>
      <c r="C325">
        <v>33.195999999999998</v>
      </c>
      <c r="D325">
        <v>30.09</v>
      </c>
      <c r="E325">
        <v>32.99</v>
      </c>
      <c r="F325">
        <v>63183.51</v>
      </c>
      <c r="G325">
        <v>0</v>
      </c>
      <c r="L325" t="s">
        <v>7</v>
      </c>
      <c r="M325" t="s">
        <v>7</v>
      </c>
      <c r="N325" t="s">
        <v>8</v>
      </c>
      <c r="P325">
        <f t="shared" si="964"/>
        <v>0.86735350933677002</v>
      </c>
      <c r="Q325">
        <f t="shared" si="965"/>
        <v>54802.439130714905</v>
      </c>
      <c r="R325">
        <f t="shared" si="966"/>
        <v>759410.26525672094</v>
      </c>
      <c r="S325">
        <f t="shared" si="967"/>
        <v>7.5941026525672095</v>
      </c>
      <c r="T325">
        <f t="shared" si="968"/>
        <v>7.5941026525672096E-3</v>
      </c>
    </row>
    <row r="326" spans="1:20" x14ac:dyDescent="0.25">
      <c r="A326" s="5">
        <v>44267</v>
      </c>
      <c r="B326">
        <v>33.453000000000003</v>
      </c>
      <c r="C326">
        <v>33.505000000000003</v>
      </c>
      <c r="D326">
        <v>30.663</v>
      </c>
      <c r="E326">
        <v>31.992000000000001</v>
      </c>
      <c r="F326">
        <v>45325.699000000001</v>
      </c>
      <c r="G326">
        <v>0</v>
      </c>
      <c r="L326" t="s">
        <v>7</v>
      </c>
      <c r="M326" t="s">
        <v>8</v>
      </c>
      <c r="N326" t="s">
        <v>8</v>
      </c>
      <c r="P326">
        <f t="shared" ref="P326:P389" si="969">IF(C326=D326,0,((E326-D326)-(C326-E326))/(C326-D326))</f>
        <v>-6.4743138634764566E-2</v>
      </c>
      <c r="Q326">
        <f t="shared" ref="Q326:Q389" si="970">F326*P326</f>
        <v>-2934.5280140746095</v>
      </c>
      <c r="R326">
        <f t="shared" ref="R326:R389" si="971">R327+Q326</f>
        <v>704607.82612600608</v>
      </c>
      <c r="S326">
        <f t="shared" ref="S326:S389" si="972">R326/100000</f>
        <v>7.0460782612600612</v>
      </c>
      <c r="T326">
        <f t="shared" ref="T326:T389" si="973">S326/1000</f>
        <v>7.0460782612600612E-3</v>
      </c>
    </row>
    <row r="327" spans="1:20" x14ac:dyDescent="0.25">
      <c r="A327" s="5">
        <v>44266</v>
      </c>
      <c r="B327">
        <v>33.802999999999997</v>
      </c>
      <c r="C327">
        <v>35.234999999999999</v>
      </c>
      <c r="D327">
        <v>31.882999999999999</v>
      </c>
      <c r="E327">
        <v>33.451999999999998</v>
      </c>
      <c r="F327">
        <v>47822.726999999999</v>
      </c>
      <c r="G327">
        <v>0</v>
      </c>
      <c r="L327" t="s">
        <v>7</v>
      </c>
      <c r="M327" t="s">
        <v>8</v>
      </c>
      <c r="N327" t="s">
        <v>8</v>
      </c>
      <c r="P327">
        <f t="shared" si="969"/>
        <v>-6.3842482100239309E-2</v>
      </c>
      <c r="Q327">
        <f t="shared" si="970"/>
        <v>-3053.1215924821308</v>
      </c>
      <c r="R327">
        <f t="shared" si="971"/>
        <v>707542.35414008074</v>
      </c>
      <c r="S327">
        <f t="shared" si="972"/>
        <v>7.0754235414008075</v>
      </c>
      <c r="T327">
        <f t="shared" si="973"/>
        <v>7.0754235414008078E-3</v>
      </c>
    </row>
    <row r="328" spans="1:20" x14ac:dyDescent="0.25">
      <c r="A328" s="5">
        <v>44265</v>
      </c>
      <c r="B328">
        <v>33.039000000000001</v>
      </c>
      <c r="C328">
        <v>35</v>
      </c>
      <c r="D328">
        <v>31.081</v>
      </c>
      <c r="E328">
        <v>33.801000000000002</v>
      </c>
      <c r="F328">
        <v>110678.454</v>
      </c>
      <c r="G328">
        <v>0</v>
      </c>
      <c r="L328" t="s">
        <v>8</v>
      </c>
      <c r="M328" t="s">
        <v>8</v>
      </c>
      <c r="N328" t="s">
        <v>8</v>
      </c>
      <c r="P328">
        <f t="shared" si="969"/>
        <v>0.38810921153355554</v>
      </c>
      <c r="Q328">
        <f t="shared" si="970"/>
        <v>42955.327515692894</v>
      </c>
      <c r="R328">
        <f t="shared" si="971"/>
        <v>710595.47573256283</v>
      </c>
      <c r="S328">
        <f t="shared" si="972"/>
        <v>7.1059547573256285</v>
      </c>
      <c r="T328">
        <f t="shared" si="973"/>
        <v>7.1059547573256287E-3</v>
      </c>
    </row>
    <row r="329" spans="1:20" x14ac:dyDescent="0.25">
      <c r="A329" s="5">
        <v>44264</v>
      </c>
      <c r="B329">
        <v>31.114999999999998</v>
      </c>
      <c r="C329">
        <v>33.055</v>
      </c>
      <c r="D329">
        <v>30.276</v>
      </c>
      <c r="E329">
        <v>32.936</v>
      </c>
      <c r="F329">
        <v>68182.478000000003</v>
      </c>
      <c r="G329">
        <v>0</v>
      </c>
      <c r="L329" t="s">
        <v>8</v>
      </c>
      <c r="M329" t="s">
        <v>8</v>
      </c>
      <c r="N329" t="s">
        <v>8</v>
      </c>
      <c r="P329">
        <f t="shared" si="969"/>
        <v>0.91435768261964756</v>
      </c>
      <c r="Q329">
        <f t="shared" si="970"/>
        <v>62343.172579345104</v>
      </c>
      <c r="R329">
        <f t="shared" si="971"/>
        <v>667640.14821686991</v>
      </c>
      <c r="S329">
        <f t="shared" si="972"/>
        <v>6.676401482168699</v>
      </c>
      <c r="T329">
        <f t="shared" si="973"/>
        <v>6.6764014821686993E-3</v>
      </c>
    </row>
    <row r="330" spans="1:20" x14ac:dyDescent="0.25">
      <c r="A330" s="5">
        <v>44263</v>
      </c>
      <c r="B330">
        <v>30.974</v>
      </c>
      <c r="C330">
        <v>31.431999999999999</v>
      </c>
      <c r="D330">
        <v>29.664999999999999</v>
      </c>
      <c r="E330">
        <v>31.001999999999999</v>
      </c>
      <c r="F330">
        <v>31794.186000000002</v>
      </c>
      <c r="G330">
        <v>0</v>
      </c>
      <c r="L330" t="s">
        <v>8</v>
      </c>
      <c r="M330" t="s">
        <v>7</v>
      </c>
      <c r="N330" t="s">
        <v>8</v>
      </c>
      <c r="P330">
        <f t="shared" si="969"/>
        <v>0.51329937747594812</v>
      </c>
      <c r="Q330">
        <f t="shared" si="970"/>
        <v>16319.935881154506</v>
      </c>
      <c r="R330">
        <f t="shared" si="971"/>
        <v>605296.97563752485</v>
      </c>
      <c r="S330">
        <f t="shared" si="972"/>
        <v>6.0529697563752487</v>
      </c>
      <c r="T330">
        <f t="shared" si="973"/>
        <v>6.0529697563752489E-3</v>
      </c>
    </row>
    <row r="331" spans="1:20" x14ac:dyDescent="0.25">
      <c r="A331" s="5">
        <v>44262</v>
      </c>
      <c r="B331">
        <v>31.010999999999999</v>
      </c>
      <c r="C331">
        <v>31.123000000000001</v>
      </c>
      <c r="D331">
        <v>29.899000000000001</v>
      </c>
      <c r="E331">
        <v>30.885000000000002</v>
      </c>
      <c r="F331">
        <v>29210.867999999999</v>
      </c>
      <c r="G331">
        <v>0</v>
      </c>
      <c r="L331" t="s">
        <v>8</v>
      </c>
      <c r="M331" t="s">
        <v>7</v>
      </c>
      <c r="N331" t="s">
        <v>8</v>
      </c>
      <c r="P331">
        <f t="shared" si="969"/>
        <v>0.61111111111111194</v>
      </c>
      <c r="Q331">
        <f t="shared" si="970"/>
        <v>17851.086000000025</v>
      </c>
      <c r="R331">
        <f t="shared" si="971"/>
        <v>588977.03975637036</v>
      </c>
      <c r="S331">
        <f t="shared" si="972"/>
        <v>5.8897703975637032</v>
      </c>
      <c r="T331">
        <f t="shared" si="973"/>
        <v>5.8897703975637032E-3</v>
      </c>
    </row>
    <row r="332" spans="1:20" x14ac:dyDescent="0.25">
      <c r="A332" s="5">
        <v>44261</v>
      </c>
      <c r="B332">
        <v>30.23</v>
      </c>
      <c r="C332">
        <v>31.178999999999998</v>
      </c>
      <c r="D332">
        <v>28.562000000000001</v>
      </c>
      <c r="E332">
        <v>31.053000000000001</v>
      </c>
      <c r="F332">
        <v>26486.755000000001</v>
      </c>
      <c r="G332">
        <v>0</v>
      </c>
      <c r="L332" t="s">
        <v>8</v>
      </c>
      <c r="M332" t="s">
        <v>7</v>
      </c>
      <c r="N332" t="s">
        <v>8</v>
      </c>
      <c r="P332">
        <f t="shared" si="969"/>
        <v>0.90370653419946667</v>
      </c>
      <c r="Q332">
        <f t="shared" si="970"/>
        <v>23936.253563240396</v>
      </c>
      <c r="R332">
        <f t="shared" si="971"/>
        <v>571125.95375637035</v>
      </c>
      <c r="S332">
        <f t="shared" si="972"/>
        <v>5.7112595375637039</v>
      </c>
      <c r="T332">
        <f t="shared" si="973"/>
        <v>5.7112595375637043E-3</v>
      </c>
    </row>
    <row r="333" spans="1:20" x14ac:dyDescent="0.25">
      <c r="A333" s="5">
        <v>44260</v>
      </c>
      <c r="B333">
        <v>29.434000000000001</v>
      </c>
      <c r="C333">
        <v>30.23</v>
      </c>
      <c r="D333">
        <v>27.239000000000001</v>
      </c>
      <c r="E333">
        <v>30.222000000000001</v>
      </c>
      <c r="F333">
        <v>29551.233</v>
      </c>
      <c r="G333">
        <v>0</v>
      </c>
      <c r="L333" t="s">
        <v>7</v>
      </c>
      <c r="M333" t="s">
        <v>7</v>
      </c>
      <c r="N333" t="s">
        <v>8</v>
      </c>
      <c r="P333">
        <f t="shared" si="969"/>
        <v>0.99465061852223391</v>
      </c>
      <c r="Q333">
        <f t="shared" si="970"/>
        <v>29393.15218154465</v>
      </c>
      <c r="R333">
        <f t="shared" si="971"/>
        <v>547189.70019312995</v>
      </c>
      <c r="S333">
        <f t="shared" si="972"/>
        <v>5.4718970019312998</v>
      </c>
      <c r="T333">
        <f t="shared" si="973"/>
        <v>5.4718970019312996E-3</v>
      </c>
    </row>
    <row r="334" spans="1:20" x14ac:dyDescent="0.25">
      <c r="A334" s="5">
        <v>44259</v>
      </c>
      <c r="B334">
        <v>30.228999999999999</v>
      </c>
      <c r="C334">
        <v>30.885000000000002</v>
      </c>
      <c r="D334">
        <v>28.2</v>
      </c>
      <c r="E334">
        <v>29.385999999999999</v>
      </c>
      <c r="F334">
        <v>37196.249000000003</v>
      </c>
      <c r="G334">
        <v>0</v>
      </c>
      <c r="L334" t="s">
        <v>8</v>
      </c>
      <c r="M334" t="s">
        <v>7</v>
      </c>
      <c r="N334" t="s">
        <v>8</v>
      </c>
      <c r="P334">
        <f t="shared" si="969"/>
        <v>-0.11657355679702128</v>
      </c>
      <c r="Q334">
        <f t="shared" si="970"/>
        <v>-4336.0990454376461</v>
      </c>
      <c r="R334">
        <f t="shared" si="971"/>
        <v>517796.54801158526</v>
      </c>
      <c r="S334">
        <f t="shared" si="972"/>
        <v>5.1779654801158523</v>
      </c>
      <c r="T334">
        <f t="shared" si="973"/>
        <v>5.1779654801158521E-3</v>
      </c>
    </row>
    <row r="335" spans="1:20" x14ac:dyDescent="0.25">
      <c r="A335" s="5">
        <v>44258</v>
      </c>
      <c r="B335">
        <v>29.433</v>
      </c>
      <c r="C335">
        <v>30.524999999999999</v>
      </c>
      <c r="D335">
        <v>28.873999999999999</v>
      </c>
      <c r="E335">
        <v>30.135000000000002</v>
      </c>
      <c r="F335">
        <v>45342.563000000002</v>
      </c>
      <c r="G335">
        <v>0</v>
      </c>
      <c r="L335" t="s">
        <v>8</v>
      </c>
      <c r="M335" t="s">
        <v>7</v>
      </c>
      <c r="N335" t="s">
        <v>8</v>
      </c>
      <c r="P335">
        <f t="shared" si="969"/>
        <v>0.52755905511811374</v>
      </c>
      <c r="Q335">
        <f t="shared" si="970"/>
        <v>23920.879692913546</v>
      </c>
      <c r="R335">
        <f t="shared" si="971"/>
        <v>522132.6470570229</v>
      </c>
      <c r="S335">
        <f t="shared" si="972"/>
        <v>5.2213264705702294</v>
      </c>
      <c r="T335">
        <f t="shared" si="973"/>
        <v>5.2213264705702296E-3</v>
      </c>
    </row>
    <row r="336" spans="1:20" x14ac:dyDescent="0.25">
      <c r="A336" s="5">
        <v>44257</v>
      </c>
      <c r="B336">
        <v>29.702000000000002</v>
      </c>
      <c r="C336">
        <v>31.611999999999998</v>
      </c>
      <c r="D336">
        <v>28.065000000000001</v>
      </c>
      <c r="E336">
        <v>29.402999999999999</v>
      </c>
      <c r="F336">
        <v>83538.891000000003</v>
      </c>
      <c r="G336">
        <v>0</v>
      </c>
      <c r="L336" t="s">
        <v>7</v>
      </c>
      <c r="M336" t="s">
        <v>7</v>
      </c>
      <c r="N336" t="s">
        <v>8</v>
      </c>
      <c r="P336">
        <f t="shared" si="969"/>
        <v>-0.24555962785452579</v>
      </c>
      <c r="Q336">
        <f t="shared" si="970"/>
        <v>-20513.778985339795</v>
      </c>
      <c r="R336">
        <f t="shared" si="971"/>
        <v>498211.76736410934</v>
      </c>
      <c r="S336">
        <f t="shared" si="972"/>
        <v>4.9821176736410937</v>
      </c>
      <c r="T336">
        <f t="shared" si="973"/>
        <v>4.9821176736410937E-3</v>
      </c>
    </row>
    <row r="337" spans="1:20" x14ac:dyDescent="0.25">
      <c r="A337" s="5">
        <v>44256</v>
      </c>
      <c r="B337">
        <v>24.742999999999999</v>
      </c>
      <c r="C337">
        <v>34.1</v>
      </c>
      <c r="D337">
        <v>24.742000000000001</v>
      </c>
      <c r="E337">
        <v>29.611000000000001</v>
      </c>
      <c r="F337">
        <v>420590.22899999999</v>
      </c>
      <c r="G337">
        <v>0</v>
      </c>
      <c r="L337" t="s">
        <v>8</v>
      </c>
      <c r="M337" t="s">
        <v>8</v>
      </c>
      <c r="N337" t="s">
        <v>8</v>
      </c>
      <c r="P337">
        <f t="shared" si="969"/>
        <v>4.060696730070517E-2</v>
      </c>
      <c r="Q337">
        <f t="shared" si="970"/>
        <v>17078.893675999097</v>
      </c>
      <c r="R337">
        <f t="shared" si="971"/>
        <v>518725.54634944914</v>
      </c>
      <c r="S337">
        <f t="shared" si="972"/>
        <v>5.1872554634944912</v>
      </c>
      <c r="T337">
        <f t="shared" si="973"/>
        <v>5.187255463494491E-3</v>
      </c>
    </row>
    <row r="338" spans="1:20" x14ac:dyDescent="0.25">
      <c r="A338" s="5">
        <v>44255</v>
      </c>
      <c r="B338">
        <v>27.251000000000001</v>
      </c>
      <c r="C338">
        <v>27.268000000000001</v>
      </c>
      <c r="D338">
        <v>23.184000000000001</v>
      </c>
      <c r="E338">
        <v>24.623000000000001</v>
      </c>
      <c r="F338">
        <v>50892.427000000003</v>
      </c>
      <c r="G338">
        <v>0</v>
      </c>
      <c r="L338" t="s">
        <v>7</v>
      </c>
      <c r="M338" t="s">
        <v>7</v>
      </c>
      <c r="N338" t="s">
        <v>7</v>
      </c>
      <c r="P338">
        <f t="shared" si="969"/>
        <v>-0.29529872673849156</v>
      </c>
      <c r="Q338">
        <f t="shared" si="970"/>
        <v>-15028.468893731631</v>
      </c>
      <c r="R338">
        <f t="shared" si="971"/>
        <v>501646.65267345007</v>
      </c>
      <c r="S338">
        <f t="shared" si="972"/>
        <v>5.0164665267345008</v>
      </c>
      <c r="T338">
        <f t="shared" si="973"/>
        <v>5.0164665267345004E-3</v>
      </c>
    </row>
    <row r="339" spans="1:20" x14ac:dyDescent="0.25">
      <c r="A339" s="5">
        <v>44254</v>
      </c>
      <c r="B339">
        <v>26.218</v>
      </c>
      <c r="C339">
        <v>31.452999999999999</v>
      </c>
      <c r="D339">
        <v>26.161000000000001</v>
      </c>
      <c r="E339">
        <v>27.155000000000001</v>
      </c>
      <c r="F339">
        <v>138091.00399999999</v>
      </c>
      <c r="G339">
        <v>0</v>
      </c>
      <c r="L339" t="s">
        <v>8</v>
      </c>
      <c r="M339" t="s">
        <v>8</v>
      </c>
      <c r="N339" t="s">
        <v>8</v>
      </c>
      <c r="P339">
        <f t="shared" si="969"/>
        <v>-0.6243386243386243</v>
      </c>
      <c r="Q339">
        <f t="shared" si="970"/>
        <v>-86215.547470899459</v>
      </c>
      <c r="R339">
        <f t="shared" si="971"/>
        <v>516675.12156718172</v>
      </c>
      <c r="S339">
        <f t="shared" si="972"/>
        <v>5.1667512156718169</v>
      </c>
      <c r="T339">
        <f t="shared" si="973"/>
        <v>5.166751215671817E-3</v>
      </c>
    </row>
    <row r="340" spans="1:20" x14ac:dyDescent="0.25">
      <c r="A340" s="5">
        <v>44253</v>
      </c>
      <c r="B340">
        <v>25.012</v>
      </c>
      <c r="C340">
        <v>27.013000000000002</v>
      </c>
      <c r="D340">
        <v>22.896999999999998</v>
      </c>
      <c r="E340">
        <v>26.216999999999999</v>
      </c>
      <c r="F340">
        <v>89663.944000000003</v>
      </c>
      <c r="G340">
        <v>0</v>
      </c>
      <c r="L340" t="s">
        <v>7</v>
      </c>
      <c r="M340" t="s">
        <v>7</v>
      </c>
      <c r="N340" t="s">
        <v>7</v>
      </c>
      <c r="P340">
        <f t="shared" si="969"/>
        <v>0.61321671525753041</v>
      </c>
      <c r="Q340">
        <f t="shared" si="970"/>
        <v>54983.429216715151</v>
      </c>
      <c r="R340">
        <f t="shared" si="971"/>
        <v>602890.66903808119</v>
      </c>
      <c r="S340">
        <f t="shared" si="972"/>
        <v>6.0289066903808122</v>
      </c>
      <c r="T340">
        <f t="shared" si="973"/>
        <v>6.0289066903808121E-3</v>
      </c>
    </row>
    <row r="341" spans="1:20" x14ac:dyDescent="0.25">
      <c r="A341" s="5">
        <v>44252</v>
      </c>
      <c r="B341">
        <v>25.72</v>
      </c>
      <c r="C341">
        <v>31.963999999999999</v>
      </c>
      <c r="D341">
        <v>24.581</v>
      </c>
      <c r="E341">
        <v>24.956</v>
      </c>
      <c r="F341">
        <v>138881.005</v>
      </c>
      <c r="G341">
        <v>0</v>
      </c>
      <c r="L341" t="s">
        <v>8</v>
      </c>
      <c r="M341" t="s">
        <v>8</v>
      </c>
      <c r="N341" t="s">
        <v>8</v>
      </c>
      <c r="P341">
        <f t="shared" si="969"/>
        <v>-0.8984152783421373</v>
      </c>
      <c r="Q341">
        <f t="shared" si="970"/>
        <v>-124772.81676351077</v>
      </c>
      <c r="R341">
        <f t="shared" si="971"/>
        <v>547907.23982136603</v>
      </c>
      <c r="S341">
        <f t="shared" si="972"/>
        <v>5.4790723982136607</v>
      </c>
      <c r="T341">
        <f t="shared" si="973"/>
        <v>5.4790723982136606E-3</v>
      </c>
    </row>
    <row r="342" spans="1:20" x14ac:dyDescent="0.25">
      <c r="A342" s="5">
        <v>44251</v>
      </c>
      <c r="B342">
        <v>24.6</v>
      </c>
      <c r="C342">
        <v>27.084</v>
      </c>
      <c r="D342">
        <v>23.381</v>
      </c>
      <c r="E342">
        <v>25.72</v>
      </c>
      <c r="F342">
        <v>86781.222999999998</v>
      </c>
      <c r="G342">
        <v>0</v>
      </c>
      <c r="L342" t="s">
        <v>8</v>
      </c>
      <c r="M342" t="s">
        <v>8</v>
      </c>
      <c r="N342" t="s">
        <v>7</v>
      </c>
      <c r="P342">
        <f t="shared" si="969"/>
        <v>0.26330002700513044</v>
      </c>
      <c r="Q342">
        <f t="shared" si="970"/>
        <v>22849.498359438247</v>
      </c>
      <c r="R342">
        <f t="shared" si="971"/>
        <v>672680.05658487685</v>
      </c>
      <c r="S342">
        <f t="shared" si="972"/>
        <v>6.7268005658487686</v>
      </c>
      <c r="T342">
        <f t="shared" si="973"/>
        <v>6.7268005658487687E-3</v>
      </c>
    </row>
    <row r="343" spans="1:20" x14ac:dyDescent="0.25">
      <c r="A343" s="5">
        <v>44250</v>
      </c>
      <c r="B343">
        <v>31.32</v>
      </c>
      <c r="C343">
        <v>31.901</v>
      </c>
      <c r="D343">
        <v>20.532</v>
      </c>
      <c r="E343">
        <v>24.6</v>
      </c>
      <c r="F343">
        <v>148158.774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-0.28436977746503622</v>
      </c>
      <c r="Q343">
        <f t="shared" si="970"/>
        <v>-42131.877591872595</v>
      </c>
      <c r="R343">
        <f t="shared" si="971"/>
        <v>649830.55822543858</v>
      </c>
      <c r="S343">
        <f t="shared" si="972"/>
        <v>6.4983055822543854</v>
      </c>
      <c r="T343">
        <f t="shared" si="973"/>
        <v>6.4983055822543856E-3</v>
      </c>
    </row>
    <row r="344" spans="1:20" x14ac:dyDescent="0.25">
      <c r="A344" s="5">
        <v>44249</v>
      </c>
      <c r="B344">
        <v>36.186</v>
      </c>
      <c r="C344">
        <v>37.207000000000001</v>
      </c>
      <c r="D344">
        <v>25.600999999999999</v>
      </c>
      <c r="E344">
        <v>31.318999999999999</v>
      </c>
      <c r="F344">
        <v>107509.698</v>
      </c>
      <c r="G344">
        <v>0</v>
      </c>
      <c r="L344" t="s">
        <v>7</v>
      </c>
      <c r="M344" t="s">
        <v>7</v>
      </c>
      <c r="N344" t="s">
        <v>7</v>
      </c>
      <c r="P344">
        <f t="shared" si="969"/>
        <v>-1.4647596070997904E-2</v>
      </c>
      <c r="Q344">
        <f t="shared" si="970"/>
        <v>-1574.7586300189714</v>
      </c>
      <c r="R344">
        <f t="shared" si="971"/>
        <v>691962.43581731117</v>
      </c>
      <c r="S344">
        <f t="shared" si="972"/>
        <v>6.9196243581731114</v>
      </c>
      <c r="T344">
        <f t="shared" si="973"/>
        <v>6.919624358173111E-3</v>
      </c>
    </row>
    <row r="345" spans="1:20" x14ac:dyDescent="0.25">
      <c r="A345" s="5">
        <v>44248</v>
      </c>
      <c r="B345">
        <v>34.313000000000002</v>
      </c>
      <c r="C345">
        <v>36.798999999999999</v>
      </c>
      <c r="D345">
        <v>33.369</v>
      </c>
      <c r="E345">
        <v>36.128</v>
      </c>
      <c r="F345">
        <v>77935.678</v>
      </c>
      <c r="G345">
        <v>0</v>
      </c>
      <c r="L345" t="s">
        <v>7</v>
      </c>
      <c r="M345" t="s">
        <v>7</v>
      </c>
      <c r="N345" t="s">
        <v>8</v>
      </c>
      <c r="P345">
        <f t="shared" si="969"/>
        <v>0.60874635568513158</v>
      </c>
      <c r="Q345">
        <f t="shared" si="970"/>
        <v>47443.059960349885</v>
      </c>
      <c r="R345">
        <f t="shared" si="971"/>
        <v>693537.19444733008</v>
      </c>
      <c r="S345">
        <f t="shared" si="972"/>
        <v>6.9353719444733004</v>
      </c>
      <c r="T345">
        <f t="shared" si="973"/>
        <v>6.9353719444733E-3</v>
      </c>
    </row>
    <row r="346" spans="1:20" x14ac:dyDescent="0.25">
      <c r="A346" s="5">
        <v>44247</v>
      </c>
      <c r="B346">
        <v>35.491999999999997</v>
      </c>
      <c r="C346">
        <v>45.212000000000003</v>
      </c>
      <c r="D346">
        <v>31.616</v>
      </c>
      <c r="E346">
        <v>34.398000000000003</v>
      </c>
      <c r="F346">
        <v>259456.55900000001</v>
      </c>
      <c r="G346">
        <v>0</v>
      </c>
      <c r="L346" t="s">
        <v>8</v>
      </c>
      <c r="M346" t="s">
        <v>8</v>
      </c>
      <c r="N346" t="s">
        <v>8</v>
      </c>
      <c r="P346">
        <f t="shared" si="969"/>
        <v>-0.59076198882024078</v>
      </c>
      <c r="Q346">
        <f t="shared" si="970"/>
        <v>-153277.07280729615</v>
      </c>
      <c r="R346">
        <f t="shared" si="971"/>
        <v>646094.13448698015</v>
      </c>
      <c r="S346">
        <f t="shared" si="972"/>
        <v>6.4609413448698012</v>
      </c>
      <c r="T346">
        <f t="shared" si="973"/>
        <v>6.4609413448698015E-3</v>
      </c>
    </row>
    <row r="347" spans="1:20" x14ac:dyDescent="0.25">
      <c r="A347" s="5">
        <v>44246</v>
      </c>
      <c r="B347">
        <v>34.143000000000001</v>
      </c>
      <c r="C347">
        <v>36.174999999999997</v>
      </c>
      <c r="D347">
        <v>31.638999999999999</v>
      </c>
      <c r="E347">
        <v>35.503</v>
      </c>
      <c r="F347">
        <v>90827.756999999998</v>
      </c>
      <c r="G347">
        <v>0</v>
      </c>
      <c r="L347" t="s">
        <v>8</v>
      </c>
      <c r="M347" t="s">
        <v>8</v>
      </c>
      <c r="N347" t="s">
        <v>8</v>
      </c>
      <c r="P347">
        <f t="shared" si="969"/>
        <v>0.70370370370370483</v>
      </c>
      <c r="Q347">
        <f t="shared" si="970"/>
        <v>63915.8290000001</v>
      </c>
      <c r="R347">
        <f t="shared" si="971"/>
        <v>799371.20729427633</v>
      </c>
      <c r="S347">
        <f t="shared" si="972"/>
        <v>7.9937120729427633</v>
      </c>
      <c r="T347">
        <f t="shared" si="973"/>
        <v>7.993712072942763E-3</v>
      </c>
    </row>
    <row r="348" spans="1:20" x14ac:dyDescent="0.25">
      <c r="A348" s="5">
        <v>44245</v>
      </c>
      <c r="B348">
        <v>31.571000000000002</v>
      </c>
      <c r="C348">
        <v>35.06</v>
      </c>
      <c r="D348">
        <v>31.556000000000001</v>
      </c>
      <c r="E348">
        <v>34.139000000000003</v>
      </c>
      <c r="F348">
        <v>143884.56299999999</v>
      </c>
      <c r="G348">
        <v>0</v>
      </c>
      <c r="L348" t="s">
        <v>8</v>
      </c>
      <c r="M348" t="s">
        <v>8</v>
      </c>
      <c r="N348" t="s">
        <v>8</v>
      </c>
      <c r="P348">
        <f t="shared" si="969"/>
        <v>0.47431506849315125</v>
      </c>
      <c r="Q348">
        <f t="shared" si="970"/>
        <v>68246.616354452141</v>
      </c>
      <c r="R348">
        <f t="shared" si="971"/>
        <v>735455.37829427619</v>
      </c>
      <c r="S348">
        <f t="shared" si="972"/>
        <v>7.3545537829427623</v>
      </c>
      <c r="T348">
        <f t="shared" si="973"/>
        <v>7.3545537829427625E-3</v>
      </c>
    </row>
    <row r="349" spans="1:20" x14ac:dyDescent="0.25">
      <c r="A349" s="5">
        <v>44244</v>
      </c>
      <c r="B349">
        <v>30.792999999999999</v>
      </c>
      <c r="C349">
        <v>32.042000000000002</v>
      </c>
      <c r="D349">
        <v>27.361000000000001</v>
      </c>
      <c r="E349">
        <v>31.498999999999999</v>
      </c>
      <c r="F349">
        <v>110675.557</v>
      </c>
      <c r="G349">
        <v>0</v>
      </c>
      <c r="L349" t="s">
        <v>7</v>
      </c>
      <c r="M349" t="s">
        <v>7</v>
      </c>
      <c r="N349" t="s">
        <v>8</v>
      </c>
      <c r="P349">
        <f t="shared" si="969"/>
        <v>0.76799829096346817</v>
      </c>
      <c r="Q349">
        <f t="shared" si="970"/>
        <v>84998.6386274299</v>
      </c>
      <c r="R349">
        <f t="shared" si="971"/>
        <v>667208.76193982409</v>
      </c>
      <c r="S349">
        <f t="shared" si="972"/>
        <v>6.6720876193982406</v>
      </c>
      <c r="T349">
        <f t="shared" si="973"/>
        <v>6.6720876193982403E-3</v>
      </c>
    </row>
    <row r="350" spans="1:20" x14ac:dyDescent="0.25">
      <c r="A350" s="5">
        <v>44243</v>
      </c>
      <c r="B350">
        <v>32.289000000000001</v>
      </c>
      <c r="C350">
        <v>34.639000000000003</v>
      </c>
      <c r="D350">
        <v>29.802</v>
      </c>
      <c r="E350">
        <v>30.8</v>
      </c>
      <c r="F350">
        <v>112734.856</v>
      </c>
      <c r="G350">
        <v>0</v>
      </c>
      <c r="L350" t="s">
        <v>7</v>
      </c>
      <c r="M350" t="s">
        <v>7</v>
      </c>
      <c r="N350" t="s">
        <v>8</v>
      </c>
      <c r="P350">
        <f t="shared" si="969"/>
        <v>-0.58734752946040913</v>
      </c>
      <c r="Q350">
        <f t="shared" si="970"/>
        <v>-66214.539155674982</v>
      </c>
      <c r="R350">
        <f t="shared" si="971"/>
        <v>582210.12331239425</v>
      </c>
      <c r="S350">
        <f t="shared" si="972"/>
        <v>5.8221012331239423</v>
      </c>
      <c r="T350">
        <f t="shared" si="973"/>
        <v>5.8221012331239426E-3</v>
      </c>
    </row>
    <row r="351" spans="1:20" x14ac:dyDescent="0.25">
      <c r="A351" s="5">
        <v>44242</v>
      </c>
      <c r="B351">
        <v>33.664000000000001</v>
      </c>
      <c r="C351">
        <v>36.799999999999997</v>
      </c>
      <c r="D351">
        <v>28.291</v>
      </c>
      <c r="E351">
        <v>32.351999999999997</v>
      </c>
      <c r="F351">
        <v>296562.83500000002</v>
      </c>
      <c r="G351">
        <v>0</v>
      </c>
      <c r="L351" t="s">
        <v>8</v>
      </c>
      <c r="M351" t="s">
        <v>8</v>
      </c>
      <c r="N351" t="s">
        <v>8</v>
      </c>
      <c r="P351">
        <f t="shared" si="969"/>
        <v>-4.5481255141615246E-2</v>
      </c>
      <c r="Q351">
        <f t="shared" si="970"/>
        <v>-13488.049964155745</v>
      </c>
      <c r="R351">
        <f t="shared" si="971"/>
        <v>648424.66246806923</v>
      </c>
      <c r="S351">
        <f t="shared" si="972"/>
        <v>6.4842466246806927</v>
      </c>
      <c r="T351">
        <f t="shared" si="973"/>
        <v>6.4842466246806925E-3</v>
      </c>
    </row>
    <row r="352" spans="1:20" x14ac:dyDescent="0.25">
      <c r="A352" s="5">
        <v>44241</v>
      </c>
      <c r="B352">
        <v>32.027000000000001</v>
      </c>
      <c r="C352">
        <v>35</v>
      </c>
      <c r="D352">
        <v>31.001000000000001</v>
      </c>
      <c r="E352">
        <v>33.706000000000003</v>
      </c>
      <c r="F352">
        <v>1031847.889</v>
      </c>
      <c r="G352">
        <v>0</v>
      </c>
      <c r="L352" t="s">
        <v>8</v>
      </c>
      <c r="M352" t="s">
        <v>8</v>
      </c>
      <c r="N352" t="s">
        <v>8</v>
      </c>
      <c r="P352">
        <f t="shared" si="969"/>
        <v>0.35283820955238943</v>
      </c>
      <c r="Q352">
        <f t="shared" si="970"/>
        <v>364075.36168517265</v>
      </c>
      <c r="R352">
        <f t="shared" si="971"/>
        <v>661912.712432225</v>
      </c>
      <c r="S352">
        <f t="shared" si="972"/>
        <v>6.61912712432225</v>
      </c>
      <c r="T352">
        <f t="shared" si="973"/>
        <v>6.6191271243222502E-3</v>
      </c>
    </row>
    <row r="353" spans="1:20" x14ac:dyDescent="0.25">
      <c r="A353" s="5">
        <v>44240</v>
      </c>
      <c r="B353">
        <v>29.640999999999998</v>
      </c>
      <c r="C353">
        <v>32.92</v>
      </c>
      <c r="D353">
        <v>26.286000000000001</v>
      </c>
      <c r="E353">
        <v>32.072000000000003</v>
      </c>
      <c r="F353">
        <v>561295.57499999995</v>
      </c>
      <c r="G353">
        <v>0</v>
      </c>
      <c r="L353" t="s">
        <v>8</v>
      </c>
      <c r="M353" t="s">
        <v>8</v>
      </c>
      <c r="N353" t="s">
        <v>8</v>
      </c>
      <c r="P353">
        <f t="shared" si="969"/>
        <v>0.744347301778716</v>
      </c>
      <c r="Q353">
        <f t="shared" si="970"/>
        <v>417798.84675158287</v>
      </c>
      <c r="R353">
        <f t="shared" si="971"/>
        <v>297837.35074705235</v>
      </c>
      <c r="S353">
        <f t="shared" si="972"/>
        <v>2.9783735074705233</v>
      </c>
      <c r="T353">
        <f t="shared" si="973"/>
        <v>2.9783735074705234E-3</v>
      </c>
    </row>
    <row r="354" spans="1:20" x14ac:dyDescent="0.25">
      <c r="A354" s="5">
        <v>44239</v>
      </c>
      <c r="B354">
        <v>27.474</v>
      </c>
      <c r="C354">
        <v>29.8</v>
      </c>
      <c r="D354">
        <v>26.727</v>
      </c>
      <c r="E354">
        <v>29.64</v>
      </c>
      <c r="F354">
        <v>169200.49799999999</v>
      </c>
      <c r="G354">
        <v>0</v>
      </c>
      <c r="L354" t="s">
        <v>8</v>
      </c>
      <c r="M354" t="s">
        <v>8</v>
      </c>
      <c r="N354" t="s">
        <v>8</v>
      </c>
      <c r="P354">
        <f t="shared" si="969"/>
        <v>0.89586723071916685</v>
      </c>
      <c r="Q354">
        <f t="shared" si="970"/>
        <v>151581.18157956391</v>
      </c>
      <c r="R354">
        <f t="shared" si="971"/>
        <v>-119961.49600453055</v>
      </c>
      <c r="S354">
        <f t="shared" si="972"/>
        <v>-1.1996149600453054</v>
      </c>
      <c r="T354">
        <f t="shared" si="973"/>
        <v>-1.1996149600453055E-3</v>
      </c>
    </row>
    <row r="355" spans="1:20" x14ac:dyDescent="0.25">
      <c r="A355" s="5">
        <v>44238</v>
      </c>
      <c r="B355">
        <v>25.113</v>
      </c>
      <c r="C355">
        <v>27.831</v>
      </c>
      <c r="D355">
        <v>24.879000000000001</v>
      </c>
      <c r="E355">
        <v>27.382000000000001</v>
      </c>
      <c r="F355">
        <v>199434.99</v>
      </c>
      <c r="G355">
        <v>0</v>
      </c>
      <c r="L355" t="s">
        <v>8</v>
      </c>
      <c r="M355" t="s">
        <v>8</v>
      </c>
      <c r="N355" t="s">
        <v>8</v>
      </c>
      <c r="P355">
        <f t="shared" si="969"/>
        <v>0.69579945799458109</v>
      </c>
      <c r="Q355">
        <f t="shared" si="970"/>
        <v>138766.75794715469</v>
      </c>
      <c r="R355">
        <f t="shared" si="971"/>
        <v>-271542.67758409446</v>
      </c>
      <c r="S355">
        <f t="shared" si="972"/>
        <v>-2.7154267758409447</v>
      </c>
      <c r="T355">
        <f t="shared" si="973"/>
        <v>-2.7154267758409448E-3</v>
      </c>
    </row>
    <row r="356" spans="1:20" x14ac:dyDescent="0.25">
      <c r="A356" s="5">
        <v>44237</v>
      </c>
      <c r="B356">
        <v>23.913</v>
      </c>
      <c r="C356">
        <v>26.337</v>
      </c>
      <c r="D356">
        <v>22.667999999999999</v>
      </c>
      <c r="E356">
        <v>25.024000000000001</v>
      </c>
      <c r="F356">
        <v>193376.96400000001</v>
      </c>
      <c r="G356">
        <v>0</v>
      </c>
      <c r="L356" t="s">
        <v>8</v>
      </c>
      <c r="M356" t="s">
        <v>8</v>
      </c>
      <c r="N356" t="s">
        <v>8</v>
      </c>
      <c r="P356">
        <f t="shared" si="969"/>
        <v>0.28427364404469957</v>
      </c>
      <c r="Q356">
        <f t="shared" si="970"/>
        <v>54971.974230580687</v>
      </c>
      <c r="R356">
        <f t="shared" si="971"/>
        <v>-410309.43553124915</v>
      </c>
      <c r="S356">
        <f t="shared" si="972"/>
        <v>-4.1030943553124919</v>
      </c>
      <c r="T356">
        <f t="shared" si="973"/>
        <v>-4.1030943553124919E-3</v>
      </c>
    </row>
    <row r="357" spans="1:20" x14ac:dyDescent="0.25">
      <c r="A357" s="5">
        <v>44236</v>
      </c>
      <c r="B357">
        <v>22.452999999999999</v>
      </c>
      <c r="C357">
        <v>24.1</v>
      </c>
      <c r="D357">
        <v>22.1</v>
      </c>
      <c r="E357">
        <v>23.911999999999999</v>
      </c>
      <c r="F357">
        <v>133396.598</v>
      </c>
      <c r="G357">
        <v>0</v>
      </c>
      <c r="L357" t="s">
        <v>8</v>
      </c>
      <c r="M357" t="s">
        <v>8</v>
      </c>
      <c r="N357" t="s">
        <v>8</v>
      </c>
      <c r="P357">
        <f t="shared" si="969"/>
        <v>0.81199999999999761</v>
      </c>
      <c r="Q357">
        <f t="shared" si="970"/>
        <v>108318.03757599968</v>
      </c>
      <c r="R357">
        <f t="shared" si="971"/>
        <v>-465281.40976182983</v>
      </c>
      <c r="S357">
        <f t="shared" si="972"/>
        <v>-4.6528140976182986</v>
      </c>
      <c r="T357">
        <f t="shared" si="973"/>
        <v>-4.6528140976182988E-3</v>
      </c>
    </row>
    <row r="358" spans="1:20" x14ac:dyDescent="0.25">
      <c r="A358" s="5">
        <v>44235</v>
      </c>
      <c r="B358">
        <v>21.295000000000002</v>
      </c>
      <c r="C358">
        <v>23.483000000000001</v>
      </c>
      <c r="D358">
        <v>20.722000000000001</v>
      </c>
      <c r="E358">
        <v>22.454000000000001</v>
      </c>
      <c r="F358">
        <v>114111.333</v>
      </c>
      <c r="G358">
        <v>0</v>
      </c>
      <c r="L358" t="s">
        <v>8</v>
      </c>
      <c r="M358" t="s">
        <v>7</v>
      </c>
      <c r="N358" t="s">
        <v>8</v>
      </c>
      <c r="P358">
        <f t="shared" si="969"/>
        <v>0.2546178920680911</v>
      </c>
      <c r="Q358">
        <f t="shared" si="970"/>
        <v>29054.787069540002</v>
      </c>
      <c r="R358">
        <f t="shared" si="971"/>
        <v>-573599.44733782951</v>
      </c>
      <c r="S358">
        <f t="shared" si="972"/>
        <v>-5.7359944733782955</v>
      </c>
      <c r="T358">
        <f t="shared" si="973"/>
        <v>-5.7359944733782952E-3</v>
      </c>
    </row>
    <row r="359" spans="1:20" x14ac:dyDescent="0.25">
      <c r="A359" s="5">
        <v>44234</v>
      </c>
      <c r="B359">
        <v>22</v>
      </c>
      <c r="C359">
        <v>22.192</v>
      </c>
      <c r="D359">
        <v>19.753</v>
      </c>
      <c r="E359">
        <v>21.221</v>
      </c>
      <c r="F359">
        <v>94250.517999999996</v>
      </c>
      <c r="G359">
        <v>0</v>
      </c>
      <c r="L359" t="s">
        <v>7</v>
      </c>
      <c r="M359" t="s">
        <v>7</v>
      </c>
      <c r="N359" t="s">
        <v>8</v>
      </c>
      <c r="P359">
        <f t="shared" si="969"/>
        <v>0.20377203772037716</v>
      </c>
      <c r="Q359">
        <f t="shared" si="970"/>
        <v>19205.620109061085</v>
      </c>
      <c r="R359">
        <f t="shared" si="971"/>
        <v>-602654.23440736951</v>
      </c>
      <c r="S359">
        <f t="shared" si="972"/>
        <v>-6.0265423440736949</v>
      </c>
      <c r="T359">
        <f t="shared" si="973"/>
        <v>-6.0265423440736951E-3</v>
      </c>
    </row>
    <row r="360" spans="1:20" x14ac:dyDescent="0.25">
      <c r="A360" s="5">
        <v>44233</v>
      </c>
      <c r="B360">
        <v>23.187000000000001</v>
      </c>
      <c r="C360">
        <v>24.242000000000001</v>
      </c>
      <c r="D360">
        <v>21.341999999999999</v>
      </c>
      <c r="E360">
        <v>21.998000000000001</v>
      </c>
      <c r="F360">
        <v>139406.68</v>
      </c>
      <c r="G360">
        <v>0</v>
      </c>
      <c r="L360" t="s">
        <v>7</v>
      </c>
      <c r="M360" t="s">
        <v>7</v>
      </c>
      <c r="N360" t="s">
        <v>8</v>
      </c>
      <c r="P360">
        <f t="shared" si="969"/>
        <v>-0.54758620689655046</v>
      </c>
      <c r="Q360">
        <f t="shared" si="970"/>
        <v>-76337.175117241204</v>
      </c>
      <c r="R360">
        <f t="shared" si="971"/>
        <v>-621859.85451643064</v>
      </c>
      <c r="S360">
        <f t="shared" si="972"/>
        <v>-6.2185985451643067</v>
      </c>
      <c r="T360">
        <f t="shared" si="973"/>
        <v>-6.2185985451643066E-3</v>
      </c>
    </row>
    <row r="361" spans="1:20" x14ac:dyDescent="0.25">
      <c r="A361" s="5">
        <v>44232</v>
      </c>
      <c r="B361">
        <v>21.190999999999999</v>
      </c>
      <c r="C361">
        <v>25.8</v>
      </c>
      <c r="D361">
        <v>21.148</v>
      </c>
      <c r="E361">
        <v>23.111999999999998</v>
      </c>
      <c r="F361">
        <v>388417.03600000002</v>
      </c>
      <c r="G361">
        <v>0</v>
      </c>
      <c r="L361" t="s">
        <v>8</v>
      </c>
      <c r="M361" t="s">
        <v>8</v>
      </c>
      <c r="N361" t="s">
        <v>8</v>
      </c>
      <c r="P361">
        <f t="shared" si="969"/>
        <v>-0.15563198624247712</v>
      </c>
      <c r="Q361">
        <f t="shared" si="970"/>
        <v>-60450.114803095741</v>
      </c>
      <c r="R361">
        <f t="shared" si="971"/>
        <v>-545522.67939918942</v>
      </c>
      <c r="S361">
        <f t="shared" si="972"/>
        <v>-5.4552267939918941</v>
      </c>
      <c r="T361">
        <f t="shared" si="973"/>
        <v>-5.4552267939918945E-3</v>
      </c>
    </row>
    <row r="362" spans="1:20" x14ac:dyDescent="0.25">
      <c r="A362" s="5">
        <v>44231</v>
      </c>
      <c r="B362">
        <v>21.103000000000002</v>
      </c>
      <c r="C362">
        <v>22.3</v>
      </c>
      <c r="D362">
        <v>19.454999999999998</v>
      </c>
      <c r="E362">
        <v>21.190999999999999</v>
      </c>
      <c r="F362">
        <v>196779.21599999999</v>
      </c>
      <c r="G362">
        <v>0</v>
      </c>
      <c r="L362" t="s">
        <v>8</v>
      </c>
      <c r="M362" t="s">
        <v>8</v>
      </c>
      <c r="N362" t="s">
        <v>7</v>
      </c>
      <c r="P362">
        <f t="shared" si="969"/>
        <v>0.22038664323374282</v>
      </c>
      <c r="Q362">
        <f t="shared" si="970"/>
        <v>43367.510872407613</v>
      </c>
      <c r="R362">
        <f t="shared" si="971"/>
        <v>-485072.56459609373</v>
      </c>
      <c r="S362">
        <f t="shared" si="972"/>
        <v>-4.8507256459609369</v>
      </c>
      <c r="T362">
        <f t="shared" si="973"/>
        <v>-4.8507256459609368E-3</v>
      </c>
    </row>
    <row r="363" spans="1:20" x14ac:dyDescent="0.25">
      <c r="A363" s="5">
        <v>44230</v>
      </c>
      <c r="B363">
        <v>19.108000000000001</v>
      </c>
      <c r="C363">
        <v>21.228999999999999</v>
      </c>
      <c r="D363">
        <v>18.870999999999999</v>
      </c>
      <c r="E363">
        <v>21.103000000000002</v>
      </c>
      <c r="F363">
        <v>96831.282999999996</v>
      </c>
      <c r="G363">
        <v>0</v>
      </c>
      <c r="L363" t="s">
        <v>8</v>
      </c>
      <c r="M363" t="s">
        <v>8</v>
      </c>
      <c r="N363" t="s">
        <v>7</v>
      </c>
      <c r="P363">
        <f t="shared" si="969"/>
        <v>0.89312977099236845</v>
      </c>
      <c r="Q363">
        <f t="shared" si="970"/>
        <v>86482.901610687215</v>
      </c>
      <c r="R363">
        <f t="shared" si="971"/>
        <v>-528440.07546850131</v>
      </c>
      <c r="S363">
        <f t="shared" si="972"/>
        <v>-5.2844007546850129</v>
      </c>
      <c r="T363">
        <f t="shared" si="973"/>
        <v>-5.2844007546850131E-3</v>
      </c>
    </row>
    <row r="364" spans="1:20" x14ac:dyDescent="0.25">
      <c r="A364" s="5">
        <v>44229</v>
      </c>
      <c r="B364">
        <v>18.443999999999999</v>
      </c>
      <c r="C364">
        <v>19.193999999999999</v>
      </c>
      <c r="D364">
        <v>18.36</v>
      </c>
      <c r="E364">
        <v>19.100999999999999</v>
      </c>
      <c r="F364">
        <v>25160.424999999999</v>
      </c>
      <c r="G364">
        <v>0</v>
      </c>
      <c r="L364" t="s">
        <v>8</v>
      </c>
      <c r="M364" t="s">
        <v>7</v>
      </c>
      <c r="N364" t="s">
        <v>7</v>
      </c>
      <c r="P364">
        <f t="shared" si="969"/>
        <v>0.77697841726618699</v>
      </c>
      <c r="Q364">
        <f t="shared" si="970"/>
        <v>19549.107194244603</v>
      </c>
      <c r="R364">
        <f t="shared" si="971"/>
        <v>-614922.97707918857</v>
      </c>
      <c r="S364">
        <f t="shared" si="972"/>
        <v>-6.1492297707918855</v>
      </c>
      <c r="T364">
        <f t="shared" si="973"/>
        <v>-6.1492297707918852E-3</v>
      </c>
    </row>
    <row r="365" spans="1:20" x14ac:dyDescent="0.25">
      <c r="A365" s="5">
        <v>44228</v>
      </c>
      <c r="B365">
        <v>18.173999999999999</v>
      </c>
      <c r="C365">
        <v>18.562999999999999</v>
      </c>
      <c r="D365">
        <v>17.704000000000001</v>
      </c>
      <c r="E365">
        <v>18.454999999999998</v>
      </c>
      <c r="F365">
        <v>29875.876</v>
      </c>
      <c r="G365">
        <v>0</v>
      </c>
      <c r="L365" t="s">
        <v>7</v>
      </c>
      <c r="M365" t="s">
        <v>7</v>
      </c>
      <c r="N365" t="s">
        <v>7</v>
      </c>
      <c r="P365">
        <f t="shared" si="969"/>
        <v>0.74854481955762331</v>
      </c>
      <c r="Q365">
        <f t="shared" si="970"/>
        <v>22363.432209545928</v>
      </c>
      <c r="R365">
        <f t="shared" si="971"/>
        <v>-634472.0842734332</v>
      </c>
      <c r="S365">
        <f t="shared" si="972"/>
        <v>-6.3447208427343318</v>
      </c>
      <c r="T365">
        <f t="shared" si="973"/>
        <v>-6.3447208427343318E-3</v>
      </c>
    </row>
    <row r="366" spans="1:20" x14ac:dyDescent="0.25">
      <c r="A366" s="5">
        <v>44227</v>
      </c>
      <c r="B366">
        <v>18.646999999999998</v>
      </c>
      <c r="C366">
        <v>19.074999999999999</v>
      </c>
      <c r="D366">
        <v>17.702000000000002</v>
      </c>
      <c r="E366">
        <v>18.242000000000001</v>
      </c>
      <c r="F366">
        <v>37903.137000000002</v>
      </c>
      <c r="G366">
        <v>0</v>
      </c>
      <c r="L366" t="s">
        <v>7</v>
      </c>
      <c r="M366" t="s">
        <v>7</v>
      </c>
      <c r="N366" t="s">
        <v>7</v>
      </c>
      <c r="P366">
        <f t="shared" si="969"/>
        <v>-0.21340131099781484</v>
      </c>
      <c r="Q366">
        <f t="shared" si="970"/>
        <v>-8088.5791267297827</v>
      </c>
      <c r="R366">
        <f t="shared" si="971"/>
        <v>-656835.51648297918</v>
      </c>
      <c r="S366">
        <f t="shared" si="972"/>
        <v>-6.568355164829792</v>
      </c>
      <c r="T366">
        <f t="shared" si="973"/>
        <v>-6.5683551648297919E-3</v>
      </c>
    </row>
    <row r="367" spans="1:20" x14ac:dyDescent="0.25">
      <c r="A367" s="5">
        <v>44226</v>
      </c>
      <c r="B367">
        <v>19.172000000000001</v>
      </c>
      <c r="C367">
        <v>19.282</v>
      </c>
      <c r="D367">
        <v>18.3</v>
      </c>
      <c r="E367">
        <v>18.655999999999999</v>
      </c>
      <c r="F367">
        <v>29497.043000000001</v>
      </c>
      <c r="G367">
        <v>0</v>
      </c>
      <c r="L367" t="s">
        <v>7</v>
      </c>
      <c r="M367" t="s">
        <v>7</v>
      </c>
      <c r="N367" t="s">
        <v>7</v>
      </c>
      <c r="P367">
        <f t="shared" si="969"/>
        <v>-0.27494908350305836</v>
      </c>
      <c r="Q367">
        <f t="shared" si="970"/>
        <v>-8110.1849389003037</v>
      </c>
      <c r="R367">
        <f t="shared" si="971"/>
        <v>-648746.93735624943</v>
      </c>
      <c r="S367">
        <f t="shared" si="972"/>
        <v>-6.4874693735624946</v>
      </c>
      <c r="T367">
        <f t="shared" si="973"/>
        <v>-6.4874693735624944E-3</v>
      </c>
    </row>
    <row r="368" spans="1:20" x14ac:dyDescent="0.25">
      <c r="A368" s="5">
        <v>44225</v>
      </c>
      <c r="B368">
        <v>19.155000000000001</v>
      </c>
      <c r="C368">
        <v>20</v>
      </c>
      <c r="D368">
        <v>18.408000000000001</v>
      </c>
      <c r="E368">
        <v>19.224</v>
      </c>
      <c r="F368">
        <v>43710.976999999999</v>
      </c>
      <c r="G368">
        <v>0</v>
      </c>
      <c r="L368" t="s">
        <v>8</v>
      </c>
      <c r="M368" t="s">
        <v>7</v>
      </c>
      <c r="N368" t="s">
        <v>7</v>
      </c>
      <c r="P368">
        <f t="shared" si="969"/>
        <v>2.5125628140703002E-2</v>
      </c>
      <c r="Q368">
        <f t="shared" si="970"/>
        <v>1098.2657537688217</v>
      </c>
      <c r="R368">
        <f t="shared" si="971"/>
        <v>-640636.75241734914</v>
      </c>
      <c r="S368">
        <f t="shared" si="972"/>
        <v>-6.4063675241734916</v>
      </c>
      <c r="T368">
        <f t="shared" si="973"/>
        <v>-6.4063675241734916E-3</v>
      </c>
    </row>
    <row r="369" spans="1:20" x14ac:dyDescent="0.25">
      <c r="A369" s="5">
        <v>44224</v>
      </c>
      <c r="B369">
        <v>17.547999999999998</v>
      </c>
      <c r="C369">
        <v>19.311</v>
      </c>
      <c r="D369">
        <v>17.466999999999999</v>
      </c>
      <c r="E369">
        <v>19.155999999999999</v>
      </c>
      <c r="F369">
        <v>32022.988000000001</v>
      </c>
      <c r="G369">
        <v>0</v>
      </c>
      <c r="L369" t="s">
        <v>8</v>
      </c>
      <c r="M369" t="s">
        <v>7</v>
      </c>
      <c r="N369" t="s">
        <v>7</v>
      </c>
      <c r="P369">
        <f t="shared" si="969"/>
        <v>0.8318872017353568</v>
      </c>
      <c r="Q369">
        <f t="shared" si="970"/>
        <v>26639.513878524911</v>
      </c>
      <c r="R369">
        <f t="shared" si="971"/>
        <v>-641735.01817111799</v>
      </c>
      <c r="S369">
        <f t="shared" si="972"/>
        <v>-6.4173501817111802</v>
      </c>
      <c r="T369">
        <f t="shared" si="973"/>
        <v>-6.4173501817111804E-3</v>
      </c>
    </row>
    <row r="370" spans="1:20" x14ac:dyDescent="0.25">
      <c r="A370" s="5">
        <v>44223</v>
      </c>
      <c r="B370">
        <v>19.181999999999999</v>
      </c>
      <c r="C370">
        <v>19.274999999999999</v>
      </c>
      <c r="D370">
        <v>17.062999999999999</v>
      </c>
      <c r="E370">
        <v>17.635999999999999</v>
      </c>
      <c r="F370">
        <v>25946.218000000001</v>
      </c>
      <c r="G370">
        <v>0</v>
      </c>
      <c r="L370" t="s">
        <v>7</v>
      </c>
      <c r="M370" t="s">
        <v>7</v>
      </c>
      <c r="N370" t="s">
        <v>7</v>
      </c>
      <c r="P370">
        <f t="shared" si="969"/>
        <v>-0.48191681735985492</v>
      </c>
      <c r="Q370">
        <f t="shared" si="970"/>
        <v>-12503.918801084981</v>
      </c>
      <c r="R370">
        <f t="shared" si="971"/>
        <v>-668374.53204964288</v>
      </c>
      <c r="S370">
        <f t="shared" si="972"/>
        <v>-6.6837453204964286</v>
      </c>
      <c r="T370">
        <f t="shared" si="973"/>
        <v>-6.6837453204964285E-3</v>
      </c>
    </row>
    <row r="371" spans="1:20" x14ac:dyDescent="0.25">
      <c r="A371" s="5">
        <v>44222</v>
      </c>
      <c r="B371">
        <v>19.239000000000001</v>
      </c>
      <c r="C371">
        <v>19.489000000000001</v>
      </c>
      <c r="D371">
        <v>18.2</v>
      </c>
      <c r="E371">
        <v>19.181999999999999</v>
      </c>
      <c r="F371">
        <v>19822.596000000001</v>
      </c>
      <c r="G371">
        <v>0</v>
      </c>
      <c r="L371" t="s">
        <v>7</v>
      </c>
      <c r="M371" t="s">
        <v>8</v>
      </c>
      <c r="N371" t="s">
        <v>7</v>
      </c>
      <c r="P371">
        <f t="shared" si="969"/>
        <v>0.52366175329712672</v>
      </c>
      <c r="Q371">
        <f t="shared" si="970"/>
        <v>10380.335376260611</v>
      </c>
      <c r="R371">
        <f t="shared" si="971"/>
        <v>-655870.6132485579</v>
      </c>
      <c r="S371">
        <f t="shared" si="972"/>
        <v>-6.5587061324855789</v>
      </c>
      <c r="T371">
        <f t="shared" si="973"/>
        <v>-6.558706132485579E-3</v>
      </c>
    </row>
    <row r="372" spans="1:20" x14ac:dyDescent="0.25">
      <c r="A372" s="5">
        <v>44221</v>
      </c>
      <c r="B372">
        <v>19.817</v>
      </c>
      <c r="C372">
        <v>20.504000000000001</v>
      </c>
      <c r="D372">
        <v>19.164999999999999</v>
      </c>
      <c r="E372">
        <v>19.231999999999999</v>
      </c>
      <c r="F372">
        <v>30152.978999999999</v>
      </c>
      <c r="G372">
        <v>0</v>
      </c>
      <c r="L372" t="s">
        <v>7</v>
      </c>
      <c r="M372" t="s">
        <v>8</v>
      </c>
      <c r="N372" t="s">
        <v>7</v>
      </c>
      <c r="P372">
        <f t="shared" si="969"/>
        <v>-0.89992531740104542</v>
      </c>
      <c r="Q372">
        <f t="shared" si="970"/>
        <v>-27135.429197162055</v>
      </c>
      <c r="R372">
        <f t="shared" si="971"/>
        <v>-666250.94862481847</v>
      </c>
      <c r="S372">
        <f t="shared" si="972"/>
        <v>-6.6625094862481848</v>
      </c>
      <c r="T372">
        <f t="shared" si="973"/>
        <v>-6.6625094862481846E-3</v>
      </c>
    </row>
    <row r="373" spans="1:20" x14ac:dyDescent="0.25">
      <c r="A373" s="5">
        <v>44220</v>
      </c>
      <c r="B373">
        <v>19.699000000000002</v>
      </c>
      <c r="C373">
        <v>20.315000000000001</v>
      </c>
      <c r="D373">
        <v>19.23</v>
      </c>
      <c r="E373">
        <v>19.818000000000001</v>
      </c>
      <c r="F373">
        <v>36926.239000000001</v>
      </c>
      <c r="G373">
        <v>0</v>
      </c>
      <c r="L373" t="s">
        <v>7</v>
      </c>
      <c r="M373" t="s">
        <v>8</v>
      </c>
      <c r="N373" t="s">
        <v>7</v>
      </c>
      <c r="P373">
        <f t="shared" si="969"/>
        <v>8.387096774193642E-2</v>
      </c>
      <c r="Q373">
        <f t="shared" si="970"/>
        <v>3097.0394000000347</v>
      </c>
      <c r="R373">
        <f t="shared" si="971"/>
        <v>-639115.51942765643</v>
      </c>
      <c r="S373">
        <f t="shared" si="972"/>
        <v>-6.3911551942765641</v>
      </c>
      <c r="T373">
        <f t="shared" si="973"/>
        <v>-6.3911551942765644E-3</v>
      </c>
    </row>
    <row r="374" spans="1:20" x14ac:dyDescent="0.25">
      <c r="A374" s="5">
        <v>44219</v>
      </c>
      <c r="B374">
        <v>19.018999999999998</v>
      </c>
      <c r="C374">
        <v>20.997</v>
      </c>
      <c r="D374">
        <v>18.227</v>
      </c>
      <c r="E374">
        <v>19.651</v>
      </c>
      <c r="F374">
        <v>37830.588000000003</v>
      </c>
      <c r="G374">
        <v>0</v>
      </c>
      <c r="L374" t="s">
        <v>8</v>
      </c>
      <c r="M374" t="s">
        <v>8</v>
      </c>
      <c r="N374" t="s">
        <v>7</v>
      </c>
      <c r="P374">
        <f t="shared" si="969"/>
        <v>2.815884476534275E-2</v>
      </c>
      <c r="Q374">
        <f t="shared" si="970"/>
        <v>1065.2656548736384</v>
      </c>
      <c r="R374">
        <f t="shared" si="971"/>
        <v>-642212.55882765644</v>
      </c>
      <c r="S374">
        <f t="shared" si="972"/>
        <v>-6.4221255882765647</v>
      </c>
      <c r="T374">
        <f t="shared" si="973"/>
        <v>-6.4221255882765645E-3</v>
      </c>
    </row>
    <row r="375" spans="1:20" x14ac:dyDescent="0.25">
      <c r="A375" s="5">
        <v>44218</v>
      </c>
      <c r="B375">
        <v>17.920999999999999</v>
      </c>
      <c r="C375">
        <v>19.55</v>
      </c>
      <c r="D375">
        <v>16.501999999999999</v>
      </c>
      <c r="E375">
        <v>18.989000000000001</v>
      </c>
      <c r="F375">
        <v>55684.743000000002</v>
      </c>
      <c r="G375">
        <v>0</v>
      </c>
      <c r="L375" t="s">
        <v>7</v>
      </c>
      <c r="M375" t="s">
        <v>7</v>
      </c>
      <c r="N375" t="s">
        <v>7</v>
      </c>
      <c r="P375">
        <f t="shared" si="969"/>
        <v>0.63188976377952777</v>
      </c>
      <c r="Q375">
        <f t="shared" si="970"/>
        <v>35186.619100393713</v>
      </c>
      <c r="R375">
        <f t="shared" si="971"/>
        <v>-643277.82448253012</v>
      </c>
      <c r="S375">
        <f t="shared" si="972"/>
        <v>-6.4327782448253013</v>
      </c>
      <c r="T375">
        <f t="shared" si="973"/>
        <v>-6.4327782448253016E-3</v>
      </c>
    </row>
    <row r="376" spans="1:20" x14ac:dyDescent="0.25">
      <c r="A376" s="5">
        <v>44217</v>
      </c>
      <c r="B376">
        <v>21.681999999999999</v>
      </c>
      <c r="C376">
        <v>21.681999999999999</v>
      </c>
      <c r="D376">
        <v>17.701000000000001</v>
      </c>
      <c r="E376">
        <v>17.920000000000002</v>
      </c>
      <c r="F376">
        <v>43695.163999999997</v>
      </c>
      <c r="G376">
        <v>0</v>
      </c>
      <c r="L376" t="s">
        <v>7</v>
      </c>
      <c r="M376" t="s">
        <v>7</v>
      </c>
      <c r="N376" t="s">
        <v>7</v>
      </c>
      <c r="P376">
        <f t="shared" si="969"/>
        <v>-0.88997739261492026</v>
      </c>
      <c r="Q376">
        <f t="shared" si="970"/>
        <v>-38887.708126601327</v>
      </c>
      <c r="R376">
        <f t="shared" si="971"/>
        <v>-678464.44358292385</v>
      </c>
      <c r="S376">
        <f t="shared" si="972"/>
        <v>-6.7846444358292386</v>
      </c>
      <c r="T376">
        <f t="shared" si="973"/>
        <v>-6.7846444358292384E-3</v>
      </c>
    </row>
    <row r="377" spans="1:20" x14ac:dyDescent="0.25">
      <c r="A377" s="5">
        <v>44216</v>
      </c>
      <c r="B377">
        <v>21.367000000000001</v>
      </c>
      <c r="C377">
        <v>22</v>
      </c>
      <c r="D377">
        <v>19.72</v>
      </c>
      <c r="E377">
        <v>21.733000000000001</v>
      </c>
      <c r="F377">
        <v>82002.857999999993</v>
      </c>
      <c r="G377">
        <v>0</v>
      </c>
      <c r="L377" t="s">
        <v>7</v>
      </c>
      <c r="M377" t="s">
        <v>8</v>
      </c>
      <c r="N377" t="s">
        <v>7</v>
      </c>
      <c r="P377">
        <f t="shared" si="969"/>
        <v>0.76578947368421113</v>
      </c>
      <c r="Q377">
        <f t="shared" si="970"/>
        <v>62796.925468421097</v>
      </c>
      <c r="R377">
        <f t="shared" si="971"/>
        <v>-639576.73545632255</v>
      </c>
      <c r="S377">
        <f t="shared" si="972"/>
        <v>-6.3957673545632252</v>
      </c>
      <c r="T377">
        <f t="shared" si="973"/>
        <v>-6.3957673545632253E-3</v>
      </c>
    </row>
    <row r="378" spans="1:20" x14ac:dyDescent="0.25">
      <c r="A378" s="5">
        <v>44215</v>
      </c>
      <c r="B378">
        <v>21.8</v>
      </c>
      <c r="C378">
        <v>22.777000000000001</v>
      </c>
      <c r="D378">
        <v>20.866</v>
      </c>
      <c r="E378">
        <v>21.401</v>
      </c>
      <c r="F378">
        <v>50825.067000000003</v>
      </c>
      <c r="G378">
        <v>0</v>
      </c>
      <c r="L378" t="s">
        <v>7</v>
      </c>
      <c r="M378" t="s">
        <v>8</v>
      </c>
      <c r="N378" t="s">
        <v>7</v>
      </c>
      <c r="P378">
        <f t="shared" si="969"/>
        <v>-0.44008372579801175</v>
      </c>
      <c r="Q378">
        <f t="shared" si="970"/>
        <v>-22367.284849293577</v>
      </c>
      <c r="R378">
        <f t="shared" si="971"/>
        <v>-702373.66092474363</v>
      </c>
      <c r="S378">
        <f t="shared" si="972"/>
        <v>-7.023736609247436</v>
      </c>
      <c r="T378">
        <f t="shared" si="973"/>
        <v>-7.0237366092474364E-3</v>
      </c>
    </row>
    <row r="379" spans="1:20" x14ac:dyDescent="0.25">
      <c r="A379" s="5">
        <v>44214</v>
      </c>
      <c r="B379">
        <v>21.791</v>
      </c>
      <c r="C379">
        <v>22.65</v>
      </c>
      <c r="D379">
        <v>20.548999999999999</v>
      </c>
      <c r="E379">
        <v>21.745999999999999</v>
      </c>
      <c r="F379">
        <v>69370.198999999993</v>
      </c>
      <c r="G379">
        <v>0</v>
      </c>
      <c r="L379" t="s">
        <v>8</v>
      </c>
      <c r="M379" t="s">
        <v>8</v>
      </c>
      <c r="N379" t="s">
        <v>7</v>
      </c>
      <c r="P379">
        <f t="shared" si="969"/>
        <v>0.13945740123750566</v>
      </c>
      <c r="Q379">
        <f t="shared" si="970"/>
        <v>9674.187675868614</v>
      </c>
      <c r="R379">
        <f t="shared" si="971"/>
        <v>-680006.3760754501</v>
      </c>
      <c r="S379">
        <f t="shared" si="972"/>
        <v>-6.8000637607545009</v>
      </c>
      <c r="T379">
        <f t="shared" si="973"/>
        <v>-6.8000637607545013E-3</v>
      </c>
    </row>
    <row r="380" spans="1:20" x14ac:dyDescent="0.25">
      <c r="A380" s="5">
        <v>44213</v>
      </c>
      <c r="B380">
        <v>19.989999999999998</v>
      </c>
      <c r="C380">
        <v>21.791</v>
      </c>
      <c r="D380">
        <v>18.369</v>
      </c>
      <c r="E380">
        <v>21.791</v>
      </c>
      <c r="F380">
        <v>76689.095000000001</v>
      </c>
      <c r="G380">
        <v>0</v>
      </c>
      <c r="L380" t="s">
        <v>7</v>
      </c>
      <c r="M380" t="s">
        <v>8</v>
      </c>
      <c r="N380" t="s">
        <v>7</v>
      </c>
      <c r="P380">
        <f t="shared" si="969"/>
        <v>1</v>
      </c>
      <c r="Q380">
        <f t="shared" si="970"/>
        <v>76689.095000000001</v>
      </c>
      <c r="R380">
        <f t="shared" si="971"/>
        <v>-689680.56375131872</v>
      </c>
      <c r="S380">
        <f t="shared" si="972"/>
        <v>-6.8968056375131876</v>
      </c>
      <c r="T380">
        <f t="shared" si="973"/>
        <v>-6.8968056375131878E-3</v>
      </c>
    </row>
    <row r="381" spans="1:20" x14ac:dyDescent="0.25">
      <c r="A381" s="5">
        <v>44212</v>
      </c>
      <c r="B381">
        <v>18.977</v>
      </c>
      <c r="C381">
        <v>20.3</v>
      </c>
      <c r="D381">
        <v>18.975999999999999</v>
      </c>
      <c r="E381">
        <v>19.988</v>
      </c>
      <c r="F381">
        <v>72128.47</v>
      </c>
      <c r="G381">
        <v>0</v>
      </c>
      <c r="L381" t="s">
        <v>7</v>
      </c>
      <c r="M381" t="s">
        <v>8</v>
      </c>
      <c r="N381" t="s">
        <v>7</v>
      </c>
      <c r="P381">
        <f t="shared" si="969"/>
        <v>0.52870090634440969</v>
      </c>
      <c r="Q381">
        <f t="shared" si="970"/>
        <v>38134.387462235565</v>
      </c>
      <c r="R381">
        <f t="shared" si="971"/>
        <v>-766369.6587513187</v>
      </c>
      <c r="S381">
        <f t="shared" si="972"/>
        <v>-7.6636965875131873</v>
      </c>
      <c r="T381">
        <f t="shared" si="973"/>
        <v>-7.6636965875131876E-3</v>
      </c>
    </row>
    <row r="382" spans="1:20" x14ac:dyDescent="0.25">
      <c r="A382" s="5">
        <v>44211</v>
      </c>
      <c r="B382">
        <v>19.428999999999998</v>
      </c>
      <c r="C382">
        <v>20.321999999999999</v>
      </c>
      <c r="D382">
        <v>17.808</v>
      </c>
      <c r="E382">
        <v>18.977</v>
      </c>
      <c r="F382">
        <v>76580.754000000001</v>
      </c>
      <c r="G382">
        <v>0</v>
      </c>
      <c r="L382" t="s">
        <v>8</v>
      </c>
      <c r="M382" t="s">
        <v>8</v>
      </c>
      <c r="N382" t="s">
        <v>7</v>
      </c>
      <c r="P382">
        <f t="shared" si="969"/>
        <v>-7.0007955449482268E-2</v>
      </c>
      <c r="Q382">
        <f t="shared" si="970"/>
        <v>-5361.262014319761</v>
      </c>
      <c r="R382">
        <f t="shared" si="971"/>
        <v>-804504.04621355422</v>
      </c>
      <c r="S382">
        <f t="shared" si="972"/>
        <v>-8.0450404621355425</v>
      </c>
      <c r="T382">
        <f t="shared" si="973"/>
        <v>-8.0450404621355432E-3</v>
      </c>
    </row>
    <row r="383" spans="1:20" x14ac:dyDescent="0.25">
      <c r="A383" s="5">
        <v>44210</v>
      </c>
      <c r="B383">
        <v>19.081</v>
      </c>
      <c r="C383">
        <v>19.696999999999999</v>
      </c>
      <c r="D383">
        <v>18.454000000000001</v>
      </c>
      <c r="E383">
        <v>19.37</v>
      </c>
      <c r="F383">
        <v>52200.514000000003</v>
      </c>
      <c r="G383">
        <v>0</v>
      </c>
      <c r="L383" t="s">
        <v>8</v>
      </c>
      <c r="M383" t="s">
        <v>8</v>
      </c>
      <c r="N383" t="s">
        <v>7</v>
      </c>
      <c r="P383">
        <f t="shared" si="969"/>
        <v>0.4738535800482726</v>
      </c>
      <c r="Q383">
        <f t="shared" si="970"/>
        <v>24735.400439259975</v>
      </c>
      <c r="R383">
        <f t="shared" si="971"/>
        <v>-799142.78419923445</v>
      </c>
      <c r="S383">
        <f t="shared" si="972"/>
        <v>-7.9914278419923441</v>
      </c>
      <c r="T383">
        <f t="shared" si="973"/>
        <v>-7.9914278419923445E-3</v>
      </c>
    </row>
    <row r="384" spans="1:20" x14ac:dyDescent="0.25">
      <c r="A384" s="5">
        <v>44209</v>
      </c>
      <c r="B384">
        <v>17.658999999999999</v>
      </c>
      <c r="C384">
        <v>19.187999999999999</v>
      </c>
      <c r="D384">
        <v>17.04</v>
      </c>
      <c r="E384">
        <v>19.081</v>
      </c>
      <c r="F384">
        <v>21295.143</v>
      </c>
      <c r="G384">
        <v>0</v>
      </c>
      <c r="L384" t="s">
        <v>8</v>
      </c>
      <c r="M384" t="s">
        <v>7</v>
      </c>
      <c r="N384" t="s">
        <v>7</v>
      </c>
      <c r="P384">
        <f t="shared" si="969"/>
        <v>0.90037243947858536</v>
      </c>
      <c r="Q384">
        <f t="shared" si="970"/>
        <v>19173.55985195532</v>
      </c>
      <c r="R384">
        <f t="shared" si="971"/>
        <v>-823878.18463849439</v>
      </c>
      <c r="S384">
        <f t="shared" si="972"/>
        <v>-8.2387818463849438</v>
      </c>
      <c r="T384">
        <f t="shared" si="973"/>
        <v>-8.2387818463849436E-3</v>
      </c>
    </row>
    <row r="385" spans="1:20" x14ac:dyDescent="0.25">
      <c r="A385" s="5">
        <v>44208</v>
      </c>
      <c r="B385">
        <v>18.007000000000001</v>
      </c>
      <c r="C385">
        <v>18.754999999999999</v>
      </c>
      <c r="D385">
        <v>16.702999999999999</v>
      </c>
      <c r="E385">
        <v>17.565999999999999</v>
      </c>
      <c r="F385">
        <v>26380.396000000001</v>
      </c>
      <c r="G385">
        <v>0</v>
      </c>
      <c r="L385" t="s">
        <v>8</v>
      </c>
      <c r="M385" t="s">
        <v>7</v>
      </c>
      <c r="N385" t="s">
        <v>7</v>
      </c>
      <c r="P385">
        <f t="shared" si="969"/>
        <v>-0.15886939571150124</v>
      </c>
      <c r="Q385">
        <f t="shared" si="970"/>
        <v>-4191.0375711501047</v>
      </c>
      <c r="R385">
        <f t="shared" si="971"/>
        <v>-843051.74449044967</v>
      </c>
      <c r="S385">
        <f t="shared" si="972"/>
        <v>-8.4305174449044973</v>
      </c>
      <c r="T385">
        <f t="shared" si="973"/>
        <v>-8.4305174449044971E-3</v>
      </c>
    </row>
    <row r="386" spans="1:20" x14ac:dyDescent="0.25">
      <c r="A386" s="5">
        <v>44207</v>
      </c>
      <c r="B386">
        <v>20.699000000000002</v>
      </c>
      <c r="C386">
        <v>20.876999999999999</v>
      </c>
      <c r="D386">
        <v>16.332999999999998</v>
      </c>
      <c r="E386">
        <v>18.023</v>
      </c>
      <c r="F386">
        <v>67727.251000000004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-0.25616197183098544</v>
      </c>
      <c r="Q386">
        <f t="shared" si="970"/>
        <v>-17349.146162852081</v>
      </c>
      <c r="R386">
        <f t="shared" si="971"/>
        <v>-838860.70691929956</v>
      </c>
      <c r="S386">
        <f t="shared" si="972"/>
        <v>-8.3886070691929948</v>
      </c>
      <c r="T386">
        <f t="shared" si="973"/>
        <v>-8.3886070691929944E-3</v>
      </c>
    </row>
    <row r="387" spans="1:20" x14ac:dyDescent="0.25">
      <c r="A387" s="5">
        <v>44206</v>
      </c>
      <c r="B387">
        <v>20.213999999999999</v>
      </c>
      <c r="C387">
        <v>23.6</v>
      </c>
      <c r="D387">
        <v>18.875</v>
      </c>
      <c r="E387">
        <v>20.763999999999999</v>
      </c>
      <c r="F387">
        <v>164810.035</v>
      </c>
      <c r="G387">
        <v>0</v>
      </c>
      <c r="L387" t="s">
        <v>8</v>
      </c>
      <c r="M387" t="s">
        <v>8</v>
      </c>
      <c r="N387" t="s">
        <v>8</v>
      </c>
      <c r="P387">
        <f t="shared" si="969"/>
        <v>-0.20042328042328095</v>
      </c>
      <c r="Q387">
        <f t="shared" si="970"/>
        <v>-33031.767861375745</v>
      </c>
      <c r="R387">
        <f t="shared" si="971"/>
        <v>-821511.56075644749</v>
      </c>
      <c r="S387">
        <f t="shared" si="972"/>
        <v>-8.2151156075644742</v>
      </c>
      <c r="T387">
        <f t="shared" si="973"/>
        <v>-8.2151156075644747E-3</v>
      </c>
    </row>
    <row r="388" spans="1:20" x14ac:dyDescent="0.25">
      <c r="A388" s="5">
        <v>44205</v>
      </c>
      <c r="B388">
        <v>18.268999999999998</v>
      </c>
      <c r="C388">
        <v>20.29</v>
      </c>
      <c r="D388">
        <v>17.481999999999999</v>
      </c>
      <c r="E388">
        <v>20.213999999999999</v>
      </c>
      <c r="F388">
        <v>84552.255999999994</v>
      </c>
      <c r="G388">
        <v>0</v>
      </c>
      <c r="L388" t="s">
        <v>8</v>
      </c>
      <c r="M388" t="s">
        <v>7</v>
      </c>
      <c r="N388" t="s">
        <v>8</v>
      </c>
      <c r="P388">
        <f t="shared" si="969"/>
        <v>0.94586894586894554</v>
      </c>
      <c r="Q388">
        <f t="shared" si="970"/>
        <v>79975.353253561218</v>
      </c>
      <c r="R388">
        <f t="shared" si="971"/>
        <v>-788479.79289507179</v>
      </c>
      <c r="S388">
        <f t="shared" si="972"/>
        <v>-7.884797928950718</v>
      </c>
      <c r="T388">
        <f t="shared" si="973"/>
        <v>-7.8847979289507174E-3</v>
      </c>
    </row>
    <row r="389" spans="1:20" x14ac:dyDescent="0.25">
      <c r="A389" s="5">
        <v>44204</v>
      </c>
      <c r="B389">
        <v>19.312999999999999</v>
      </c>
      <c r="C389">
        <v>19.79</v>
      </c>
      <c r="D389">
        <v>17.163</v>
      </c>
      <c r="E389">
        <v>18.285</v>
      </c>
      <c r="F389">
        <v>87056.163</v>
      </c>
      <c r="G389">
        <v>0</v>
      </c>
      <c r="L389" t="s">
        <v>7</v>
      </c>
      <c r="M389" t="s">
        <v>7</v>
      </c>
      <c r="N389" t="s">
        <v>8</v>
      </c>
      <c r="P389">
        <f t="shared" si="969"/>
        <v>-0.14579368100494833</v>
      </c>
      <c r="Q389">
        <f t="shared" si="970"/>
        <v>-12692.238457936786</v>
      </c>
      <c r="R389">
        <f t="shared" si="971"/>
        <v>-868455.14614863298</v>
      </c>
      <c r="S389">
        <f t="shared" si="972"/>
        <v>-8.6845514614863291</v>
      </c>
      <c r="T389">
        <f t="shared" si="973"/>
        <v>-8.6845514614863287E-3</v>
      </c>
    </row>
    <row r="390" spans="1:20" x14ac:dyDescent="0.25">
      <c r="A390" s="5">
        <v>44203</v>
      </c>
      <c r="B390">
        <v>18.806999999999999</v>
      </c>
      <c r="C390">
        <v>22.177</v>
      </c>
      <c r="D390">
        <v>18</v>
      </c>
      <c r="E390">
        <v>19.384</v>
      </c>
      <c r="F390">
        <v>154155.00399999999</v>
      </c>
      <c r="G390">
        <v>0</v>
      </c>
      <c r="L390" t="s">
        <v>8</v>
      </c>
      <c r="M390" t="s">
        <v>8</v>
      </c>
      <c r="N390" t="s">
        <v>8</v>
      </c>
      <c r="P390">
        <f t="shared" ref="P390:P453" si="974">IF(C390=D390,0,((E390-D390)-(C390-E390))/(C390-D390))</f>
        <v>-0.3373234378740721</v>
      </c>
      <c r="Q390">
        <f t="shared" ref="Q390:Q453" si="975">F390*P390</f>
        <v>-52000.095914771329</v>
      </c>
      <c r="R390">
        <f t="shared" ref="R390:R453" si="976">R391+Q390</f>
        <v>-855762.90769069619</v>
      </c>
      <c r="S390">
        <f t="shared" ref="S390:S453" si="977">R390/100000</f>
        <v>-8.5576290769069612</v>
      </c>
      <c r="T390">
        <f t="shared" ref="T390:T453" si="978">S390/1000</f>
        <v>-8.5576290769069606E-3</v>
      </c>
    </row>
    <row r="391" spans="1:20" x14ac:dyDescent="0.25">
      <c r="A391" s="5">
        <v>44202</v>
      </c>
      <c r="B391">
        <v>17.183</v>
      </c>
      <c r="C391">
        <v>20.331</v>
      </c>
      <c r="D391">
        <v>16.986000000000001</v>
      </c>
      <c r="E391">
        <v>18.805</v>
      </c>
      <c r="F391">
        <v>123603.572</v>
      </c>
      <c r="G391">
        <v>0</v>
      </c>
      <c r="L391" t="s">
        <v>8</v>
      </c>
      <c r="M391" t="s">
        <v>8</v>
      </c>
      <c r="N391" t="s">
        <v>8</v>
      </c>
      <c r="P391">
        <f t="shared" si="974"/>
        <v>8.7593423019431793E-2</v>
      </c>
      <c r="Q391">
        <f t="shared" si="975"/>
        <v>10826.859968908795</v>
      </c>
      <c r="R391">
        <f t="shared" si="976"/>
        <v>-803762.81177592487</v>
      </c>
      <c r="S391">
        <f t="shared" si="977"/>
        <v>-8.0376281177592492</v>
      </c>
      <c r="T391">
        <f t="shared" si="978"/>
        <v>-8.0376281177592501E-3</v>
      </c>
    </row>
    <row r="392" spans="1:20" x14ac:dyDescent="0.25">
      <c r="A392" s="5">
        <v>44201</v>
      </c>
      <c r="B392">
        <v>16.457000000000001</v>
      </c>
      <c r="C392">
        <v>17.277000000000001</v>
      </c>
      <c r="D392">
        <v>15.49</v>
      </c>
      <c r="E392">
        <v>17.129000000000001</v>
      </c>
      <c r="F392">
        <v>41933.084999999999</v>
      </c>
      <c r="G392">
        <v>0</v>
      </c>
      <c r="L392" t="s">
        <v>8</v>
      </c>
      <c r="M392" t="s">
        <v>8</v>
      </c>
      <c r="N392" t="s">
        <v>7</v>
      </c>
      <c r="P392">
        <f t="shared" si="974"/>
        <v>0.83435926133184146</v>
      </c>
      <c r="Q392">
        <f t="shared" si="975"/>
        <v>34987.257825965324</v>
      </c>
      <c r="R392">
        <f t="shared" si="976"/>
        <v>-814589.6717448337</v>
      </c>
      <c r="S392">
        <f t="shared" si="977"/>
        <v>-8.1458967174483377</v>
      </c>
      <c r="T392">
        <f t="shared" si="978"/>
        <v>-8.1458967174483383E-3</v>
      </c>
    </row>
    <row r="393" spans="1:20" x14ac:dyDescent="0.25">
      <c r="A393" s="5">
        <v>44200</v>
      </c>
      <c r="B393">
        <v>17.132999999999999</v>
      </c>
      <c r="C393">
        <v>18.363</v>
      </c>
      <c r="D393">
        <v>15.5</v>
      </c>
      <c r="E393">
        <v>16.423999999999999</v>
      </c>
      <c r="F393">
        <v>81307.099000000002</v>
      </c>
      <c r="G393">
        <v>0</v>
      </c>
      <c r="L393" t="s">
        <v>7</v>
      </c>
      <c r="M393" t="s">
        <v>8</v>
      </c>
      <c r="N393" t="s">
        <v>7</v>
      </c>
      <c r="P393">
        <f t="shared" si="974"/>
        <v>-0.35452322738386333</v>
      </c>
      <c r="Q393">
        <f t="shared" si="975"/>
        <v>-28825.255146699288</v>
      </c>
      <c r="R393">
        <f t="shared" si="976"/>
        <v>-849576.92957079899</v>
      </c>
      <c r="S393">
        <f t="shared" si="977"/>
        <v>-8.4957692957079907</v>
      </c>
      <c r="T393">
        <f t="shared" si="978"/>
        <v>-8.4957692957079913E-3</v>
      </c>
    </row>
    <row r="394" spans="1:20" x14ac:dyDescent="0.25">
      <c r="A394" s="5">
        <v>44199</v>
      </c>
      <c r="B394">
        <v>16.713000000000001</v>
      </c>
      <c r="C394">
        <v>17.585000000000001</v>
      </c>
      <c r="D394">
        <v>16</v>
      </c>
      <c r="E394">
        <v>17.065999999999999</v>
      </c>
      <c r="F394">
        <v>76191.759000000005</v>
      </c>
      <c r="G394">
        <v>0</v>
      </c>
      <c r="L394" t="s">
        <v>7</v>
      </c>
      <c r="M394" t="s">
        <v>8</v>
      </c>
      <c r="N394" t="s">
        <v>7</v>
      </c>
      <c r="P394">
        <f t="shared" si="974"/>
        <v>0.34511041009463517</v>
      </c>
      <c r="Q394">
        <f t="shared" si="975"/>
        <v>26294.569194321612</v>
      </c>
      <c r="R394">
        <f t="shared" si="976"/>
        <v>-820751.67442409974</v>
      </c>
      <c r="S394">
        <f t="shared" si="977"/>
        <v>-8.2075167442409978</v>
      </c>
      <c r="T394">
        <f t="shared" si="978"/>
        <v>-8.2075167442409985E-3</v>
      </c>
    </row>
    <row r="395" spans="1:20" x14ac:dyDescent="0.25">
      <c r="A395" s="5">
        <v>44198</v>
      </c>
      <c r="B395">
        <v>16.824999999999999</v>
      </c>
      <c r="C395">
        <v>17.556000000000001</v>
      </c>
      <c r="D395">
        <v>16.324000000000002</v>
      </c>
      <c r="E395">
        <v>16.712</v>
      </c>
      <c r="F395">
        <v>56223.42</v>
      </c>
      <c r="G395">
        <v>0</v>
      </c>
      <c r="L395" t="s">
        <v>8</v>
      </c>
      <c r="M395" t="s">
        <v>8</v>
      </c>
      <c r="N395" t="s">
        <v>7</v>
      </c>
      <c r="P395">
        <f t="shared" si="974"/>
        <v>-0.37012987012987281</v>
      </c>
      <c r="Q395">
        <f t="shared" si="975"/>
        <v>-20809.967142857291</v>
      </c>
      <c r="R395">
        <f t="shared" si="976"/>
        <v>-847046.24361842137</v>
      </c>
      <c r="S395">
        <f t="shared" si="977"/>
        <v>-8.4704624361842136</v>
      </c>
      <c r="T395">
        <f t="shared" si="978"/>
        <v>-8.4704624361842135E-3</v>
      </c>
    </row>
    <row r="396" spans="1:20" x14ac:dyDescent="0.25">
      <c r="A396" s="5">
        <v>44197</v>
      </c>
      <c r="B396">
        <v>16.553000000000001</v>
      </c>
      <c r="C396">
        <v>17.094999999999999</v>
      </c>
      <c r="D396">
        <v>16.2</v>
      </c>
      <c r="E396">
        <v>16.824000000000002</v>
      </c>
      <c r="F396">
        <v>30149.006000000001</v>
      </c>
      <c r="G396">
        <v>0</v>
      </c>
      <c r="L396" t="s">
        <v>8</v>
      </c>
      <c r="M396" t="s">
        <v>8</v>
      </c>
      <c r="N396" t="s">
        <v>7</v>
      </c>
      <c r="P396">
        <f t="shared" si="974"/>
        <v>0.39441340782123491</v>
      </c>
      <c r="Q396">
        <f t="shared" si="975"/>
        <v>11891.172198882859</v>
      </c>
      <c r="R396">
        <f t="shared" si="976"/>
        <v>-826236.27647556411</v>
      </c>
      <c r="S396">
        <f t="shared" si="977"/>
        <v>-8.2623627647556415</v>
      </c>
      <c r="T396">
        <f t="shared" si="978"/>
        <v>-8.2623627647556413E-3</v>
      </c>
    </row>
    <row r="397" spans="1:20" x14ac:dyDescent="0.25">
      <c r="A397" s="5">
        <v>44196</v>
      </c>
      <c r="B397">
        <v>16.812999999999999</v>
      </c>
      <c r="C397">
        <v>16.812999999999999</v>
      </c>
      <c r="D397">
        <v>15.88</v>
      </c>
      <c r="E397">
        <v>16.547999999999998</v>
      </c>
      <c r="F397">
        <v>17938.116000000002</v>
      </c>
      <c r="G397">
        <v>0</v>
      </c>
      <c r="L397" t="s">
        <v>7</v>
      </c>
      <c r="M397" t="s">
        <v>8</v>
      </c>
      <c r="N397" t="s">
        <v>7</v>
      </c>
      <c r="P397">
        <f t="shared" si="974"/>
        <v>0.43193997856377037</v>
      </c>
      <c r="Q397">
        <f t="shared" si="975"/>
        <v>7748.1894405144267</v>
      </c>
      <c r="R397">
        <f t="shared" si="976"/>
        <v>-838127.44867444702</v>
      </c>
      <c r="S397">
        <f t="shared" si="977"/>
        <v>-8.38127448674447</v>
      </c>
      <c r="T397">
        <f t="shared" si="978"/>
        <v>-8.3812744867444704E-3</v>
      </c>
    </row>
    <row r="398" spans="1:20" x14ac:dyDescent="0.25">
      <c r="A398" s="5">
        <v>44195</v>
      </c>
      <c r="B398">
        <v>17.510999999999999</v>
      </c>
      <c r="C398">
        <v>18.035</v>
      </c>
      <c r="D398">
        <v>16.36</v>
      </c>
      <c r="E398">
        <v>16.71</v>
      </c>
      <c r="F398">
        <v>33867.093000000001</v>
      </c>
      <c r="G398">
        <v>0</v>
      </c>
      <c r="L398" t="s">
        <v>7</v>
      </c>
      <c r="M398" t="s">
        <v>8</v>
      </c>
      <c r="N398" t="s">
        <v>7</v>
      </c>
      <c r="P398">
        <f t="shared" si="974"/>
        <v>-0.58208955223880443</v>
      </c>
      <c r="Q398">
        <f t="shared" si="975"/>
        <v>-19713.68099999995</v>
      </c>
      <c r="R398">
        <f t="shared" si="976"/>
        <v>-845875.63811496145</v>
      </c>
      <c r="S398">
        <f t="shared" si="977"/>
        <v>-8.4587563811496143</v>
      </c>
      <c r="T398">
        <f t="shared" si="978"/>
        <v>-8.4587563811496149E-3</v>
      </c>
    </row>
    <row r="399" spans="1:20" x14ac:dyDescent="0.25">
      <c r="A399" s="5">
        <v>44194</v>
      </c>
      <c r="B399">
        <v>16.123999999999999</v>
      </c>
      <c r="C399">
        <v>18.472999999999999</v>
      </c>
      <c r="D399">
        <v>16.123000000000001</v>
      </c>
      <c r="E399">
        <v>17.501999999999999</v>
      </c>
      <c r="F399">
        <v>95314.850999999995</v>
      </c>
      <c r="G399">
        <v>0</v>
      </c>
      <c r="L399" t="s">
        <v>8</v>
      </c>
      <c r="M399" t="s">
        <v>8</v>
      </c>
      <c r="N399" t="s">
        <v>7</v>
      </c>
      <c r="P399">
        <f t="shared" si="974"/>
        <v>0.17361702127659492</v>
      </c>
      <c r="Q399">
        <f t="shared" si="975"/>
        <v>16548.280514042475</v>
      </c>
      <c r="R399">
        <f t="shared" si="976"/>
        <v>-826161.95711496146</v>
      </c>
      <c r="S399">
        <f t="shared" si="977"/>
        <v>-8.2616195711496143</v>
      </c>
      <c r="T399">
        <f t="shared" si="978"/>
        <v>-8.261619571149615E-3</v>
      </c>
    </row>
    <row r="400" spans="1:20" x14ac:dyDescent="0.25">
      <c r="A400" s="5">
        <v>44193</v>
      </c>
      <c r="B400">
        <v>15.75</v>
      </c>
      <c r="C400">
        <v>17.5</v>
      </c>
      <c r="D400">
        <v>15.641</v>
      </c>
      <c r="E400">
        <v>16.123000000000001</v>
      </c>
      <c r="F400">
        <v>43466.771000000001</v>
      </c>
      <c r="G400">
        <v>0</v>
      </c>
      <c r="L400" t="s">
        <v>8</v>
      </c>
      <c r="M400" t="s">
        <v>8</v>
      </c>
      <c r="N400" t="s">
        <v>7</v>
      </c>
      <c r="P400">
        <f t="shared" si="974"/>
        <v>-0.48144163528778794</v>
      </c>
      <c r="Q400">
        <f t="shared" si="975"/>
        <v>-20926.713310919797</v>
      </c>
      <c r="R400">
        <f t="shared" si="976"/>
        <v>-842710.23762900394</v>
      </c>
      <c r="S400">
        <f t="shared" si="977"/>
        <v>-8.4271023762900388</v>
      </c>
      <c r="T400">
        <f t="shared" si="978"/>
        <v>-8.4271023762900396E-3</v>
      </c>
    </row>
    <row r="401" spans="1:20" x14ac:dyDescent="0.25">
      <c r="A401" s="5">
        <v>44192</v>
      </c>
      <c r="B401">
        <v>15.992000000000001</v>
      </c>
      <c r="C401">
        <v>16.795000000000002</v>
      </c>
      <c r="D401">
        <v>15.074999999999999</v>
      </c>
      <c r="E401">
        <v>15.701000000000001</v>
      </c>
      <c r="F401">
        <v>31724.324000000001</v>
      </c>
      <c r="G401">
        <v>0</v>
      </c>
      <c r="L401" t="s">
        <v>7</v>
      </c>
      <c r="M401" t="s">
        <v>8</v>
      </c>
      <c r="N401" t="s">
        <v>7</v>
      </c>
      <c r="P401">
        <f t="shared" si="974"/>
        <v>-0.27209302325581358</v>
      </c>
      <c r="Q401">
        <f t="shared" si="975"/>
        <v>-8631.9672279069655</v>
      </c>
      <c r="R401">
        <f t="shared" si="976"/>
        <v>-821783.52431808412</v>
      </c>
      <c r="S401">
        <f t="shared" si="977"/>
        <v>-8.2178352431808417</v>
      </c>
      <c r="T401">
        <f t="shared" si="978"/>
        <v>-8.2178352431808415E-3</v>
      </c>
    </row>
    <row r="402" spans="1:20" x14ac:dyDescent="0.25">
      <c r="A402" s="5">
        <v>44191</v>
      </c>
      <c r="B402">
        <v>16.61</v>
      </c>
      <c r="C402">
        <v>16.818000000000001</v>
      </c>
      <c r="D402">
        <v>15.449</v>
      </c>
      <c r="E402">
        <v>15.996</v>
      </c>
      <c r="F402">
        <v>17003.163</v>
      </c>
      <c r="G402">
        <v>0</v>
      </c>
      <c r="L402" t="s">
        <v>7</v>
      </c>
      <c r="M402" t="s">
        <v>8</v>
      </c>
      <c r="N402" t="s">
        <v>7</v>
      </c>
      <c r="P402">
        <f t="shared" si="974"/>
        <v>-0.2008765522279036</v>
      </c>
      <c r="Q402">
        <f t="shared" si="975"/>
        <v>-3415.5367604090579</v>
      </c>
      <c r="R402">
        <f t="shared" si="976"/>
        <v>-813151.5570901772</v>
      </c>
      <c r="S402">
        <f t="shared" si="977"/>
        <v>-8.1315155709017723</v>
      </c>
      <c r="T402">
        <f t="shared" si="978"/>
        <v>-8.1315155709017727E-3</v>
      </c>
    </row>
    <row r="403" spans="1:20" x14ac:dyDescent="0.25">
      <c r="A403" s="5">
        <v>44190</v>
      </c>
      <c r="B403">
        <v>15.833</v>
      </c>
      <c r="C403">
        <v>17.408999999999999</v>
      </c>
      <c r="D403">
        <v>15.829000000000001</v>
      </c>
      <c r="E403">
        <v>16.632000000000001</v>
      </c>
      <c r="F403">
        <v>48783.008999999998</v>
      </c>
      <c r="G403">
        <v>0</v>
      </c>
      <c r="L403" t="s">
        <v>8</v>
      </c>
      <c r="M403" t="s">
        <v>8</v>
      </c>
      <c r="N403" t="s">
        <v>7</v>
      </c>
      <c r="P403">
        <f t="shared" si="974"/>
        <v>1.6455696202533787E-2</v>
      </c>
      <c r="Q403">
        <f t="shared" si="975"/>
        <v>802.75837594947154</v>
      </c>
      <c r="R403">
        <f t="shared" si="976"/>
        <v>-809736.02032976819</v>
      </c>
      <c r="S403">
        <f t="shared" si="977"/>
        <v>-8.097360203297681</v>
      </c>
      <c r="T403">
        <f t="shared" si="978"/>
        <v>-8.0973602032976804E-3</v>
      </c>
    </row>
    <row r="404" spans="1:20" x14ac:dyDescent="0.25">
      <c r="A404" s="5">
        <v>44189</v>
      </c>
      <c r="B404">
        <v>14.154</v>
      </c>
      <c r="C404">
        <v>15.9</v>
      </c>
      <c r="D404">
        <v>13.8</v>
      </c>
      <c r="E404">
        <v>15.813000000000001</v>
      </c>
      <c r="F404">
        <v>34035.614999999998</v>
      </c>
      <c r="G404">
        <v>0</v>
      </c>
      <c r="L404" t="s">
        <v>8</v>
      </c>
      <c r="M404" t="s">
        <v>7</v>
      </c>
      <c r="N404" t="s">
        <v>7</v>
      </c>
      <c r="P404">
        <f t="shared" si="974"/>
        <v>0.91714285714285737</v>
      </c>
      <c r="Q404">
        <f t="shared" si="975"/>
        <v>31215.521185714293</v>
      </c>
      <c r="R404">
        <f t="shared" si="976"/>
        <v>-810538.77870571765</v>
      </c>
      <c r="S404">
        <f t="shared" si="977"/>
        <v>-8.1053877870571771</v>
      </c>
      <c r="T404">
        <f t="shared" si="978"/>
        <v>-8.1053877870571767E-3</v>
      </c>
    </row>
    <row r="405" spans="1:20" x14ac:dyDescent="0.25">
      <c r="A405" s="5">
        <v>44188</v>
      </c>
      <c r="B405">
        <v>17.221</v>
      </c>
      <c r="C405">
        <v>17.268000000000001</v>
      </c>
      <c r="D405">
        <v>13.917999999999999</v>
      </c>
      <c r="E405">
        <v>14.167999999999999</v>
      </c>
      <c r="F405">
        <v>48428.74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-0.85074626865671643</v>
      </c>
      <c r="Q405">
        <f t="shared" si="975"/>
        <v>-41200.569850746266</v>
      </c>
      <c r="R405">
        <f t="shared" si="976"/>
        <v>-841754.29989143193</v>
      </c>
      <c r="S405">
        <f t="shared" si="977"/>
        <v>-8.4175429989143193</v>
      </c>
      <c r="T405">
        <f t="shared" si="978"/>
        <v>-8.4175429989143194E-3</v>
      </c>
    </row>
    <row r="406" spans="1:20" x14ac:dyDescent="0.25">
      <c r="A406" s="5">
        <v>44187</v>
      </c>
      <c r="B406">
        <v>17.613</v>
      </c>
      <c r="C406">
        <v>18.09</v>
      </c>
      <c r="D406">
        <v>16.696999999999999</v>
      </c>
      <c r="E406">
        <v>17.268999999999998</v>
      </c>
      <c r="F406">
        <v>48695.999000000003</v>
      </c>
      <c r="G406">
        <v>0</v>
      </c>
      <c r="L406" t="s">
        <v>8</v>
      </c>
      <c r="M406" t="s">
        <v>7</v>
      </c>
      <c r="N406" t="s">
        <v>7</v>
      </c>
      <c r="P406">
        <f t="shared" si="974"/>
        <v>-0.17875089734386376</v>
      </c>
      <c r="Q406">
        <f t="shared" si="975"/>
        <v>-8704.4535183058924</v>
      </c>
      <c r="R406">
        <f t="shared" si="976"/>
        <v>-800553.73004068562</v>
      </c>
      <c r="S406">
        <f t="shared" si="977"/>
        <v>-8.0055373004068571</v>
      </c>
      <c r="T406">
        <f t="shared" si="978"/>
        <v>-8.0055373004068574E-3</v>
      </c>
    </row>
    <row r="407" spans="1:20" x14ac:dyDescent="0.25">
      <c r="A407" s="5">
        <v>44186</v>
      </c>
      <c r="B407">
        <v>17.613</v>
      </c>
      <c r="C407">
        <v>20</v>
      </c>
      <c r="D407">
        <v>16.814</v>
      </c>
      <c r="E407">
        <v>17.556000000000001</v>
      </c>
      <c r="F407">
        <v>121296.39599999999</v>
      </c>
      <c r="G407">
        <v>0</v>
      </c>
      <c r="L407" t="s">
        <v>7</v>
      </c>
      <c r="M407" t="s">
        <v>7</v>
      </c>
      <c r="N407" t="s">
        <v>7</v>
      </c>
      <c r="P407">
        <f t="shared" si="974"/>
        <v>-0.53421217827997436</v>
      </c>
      <c r="Q407">
        <f t="shared" si="975"/>
        <v>-64798.011924670362</v>
      </c>
      <c r="R407">
        <f t="shared" si="976"/>
        <v>-791849.27652237972</v>
      </c>
      <c r="S407">
        <f t="shared" si="977"/>
        <v>-7.9184927652237969</v>
      </c>
      <c r="T407">
        <f t="shared" si="978"/>
        <v>-7.9184927652237967E-3</v>
      </c>
    </row>
    <row r="408" spans="1:20" x14ac:dyDescent="0.25">
      <c r="A408" s="5">
        <v>44185</v>
      </c>
      <c r="B408">
        <v>19.609000000000002</v>
      </c>
      <c r="C408">
        <v>19.79</v>
      </c>
      <c r="D408">
        <v>17.170999999999999</v>
      </c>
      <c r="E408">
        <v>17.573</v>
      </c>
      <c r="F408">
        <v>93744.023000000001</v>
      </c>
      <c r="G408">
        <v>0</v>
      </c>
      <c r="L408" t="s">
        <v>7</v>
      </c>
      <c r="M408" t="s">
        <v>7</v>
      </c>
      <c r="N408" t="s">
        <v>7</v>
      </c>
      <c r="P408">
        <f t="shared" si="974"/>
        <v>-0.69301260022909428</v>
      </c>
      <c r="Q408">
        <f t="shared" si="975"/>
        <v>-64965.789135166022</v>
      </c>
      <c r="R408">
        <f t="shared" si="976"/>
        <v>-727051.26459770941</v>
      </c>
      <c r="S408">
        <f t="shared" si="977"/>
        <v>-7.2705126459770941</v>
      </c>
      <c r="T408">
        <f t="shared" si="978"/>
        <v>-7.2705126459770945E-3</v>
      </c>
    </row>
    <row r="409" spans="1:20" x14ac:dyDescent="0.25">
      <c r="A409" s="5">
        <v>44184</v>
      </c>
      <c r="B409">
        <v>19.613</v>
      </c>
      <c r="C409">
        <v>23.1</v>
      </c>
      <c r="D409">
        <v>18.2</v>
      </c>
      <c r="E409">
        <v>19.614000000000001</v>
      </c>
      <c r="F409">
        <v>466406.435</v>
      </c>
      <c r="G409">
        <v>0</v>
      </c>
      <c r="L409" t="s">
        <v>7</v>
      </c>
      <c r="M409" t="s">
        <v>7</v>
      </c>
      <c r="N409" t="s">
        <v>7</v>
      </c>
      <c r="P409">
        <f t="shared" si="974"/>
        <v>-0.42285714285714249</v>
      </c>
      <c r="Q409">
        <f t="shared" si="975"/>
        <v>-197223.29251428554</v>
      </c>
      <c r="R409">
        <f t="shared" si="976"/>
        <v>-662085.47546254343</v>
      </c>
      <c r="S409">
        <f t="shared" si="977"/>
        <v>-6.6208547546254346</v>
      </c>
      <c r="T409">
        <f t="shared" si="978"/>
        <v>-6.6208547546254349E-3</v>
      </c>
    </row>
    <row r="410" spans="1:20" x14ac:dyDescent="0.25">
      <c r="A410" s="5">
        <v>44183</v>
      </c>
      <c r="B410">
        <v>16.013000000000002</v>
      </c>
      <c r="C410">
        <v>35.86</v>
      </c>
      <c r="D410">
        <v>15.744</v>
      </c>
      <c r="E410">
        <v>19.617000000000001</v>
      </c>
      <c r="F410">
        <v>1228666.469</v>
      </c>
      <c r="G410">
        <v>0</v>
      </c>
      <c r="L410" t="s">
        <v>8</v>
      </c>
      <c r="M410" t="s">
        <v>8</v>
      </c>
      <c r="N410" t="s">
        <v>8</v>
      </c>
      <c r="P410">
        <f t="shared" si="974"/>
        <v>-0.61493338635911698</v>
      </c>
      <c r="Q410">
        <f t="shared" si="975"/>
        <v>-755548.03248806903</v>
      </c>
      <c r="R410">
        <f t="shared" si="976"/>
        <v>-464862.18294825789</v>
      </c>
      <c r="S410">
        <f t="shared" si="977"/>
        <v>-4.648621829482579</v>
      </c>
      <c r="T410">
        <f t="shared" si="978"/>
        <v>-4.6486218294825793E-3</v>
      </c>
    </row>
    <row r="411" spans="1:20" x14ac:dyDescent="0.25">
      <c r="A411" s="5">
        <v>44182</v>
      </c>
      <c r="B411">
        <v>16.395</v>
      </c>
      <c r="C411">
        <v>16.811</v>
      </c>
      <c r="D411">
        <v>15.417999999999999</v>
      </c>
      <c r="E411">
        <v>16.068999999999999</v>
      </c>
      <c r="F411">
        <v>48478.506999999998</v>
      </c>
      <c r="G411">
        <v>0</v>
      </c>
      <c r="L411" t="s">
        <v>8</v>
      </c>
      <c r="M411" t="s">
        <v>7</v>
      </c>
      <c r="N411" t="s">
        <v>8</v>
      </c>
      <c r="P411">
        <f t="shared" si="974"/>
        <v>-6.5326633165829887E-2</v>
      </c>
      <c r="Q411">
        <f t="shared" si="975"/>
        <v>-3166.9376432161162</v>
      </c>
      <c r="R411">
        <f t="shared" si="976"/>
        <v>290685.84953981114</v>
      </c>
      <c r="S411">
        <f t="shared" si="977"/>
        <v>2.9068584953981116</v>
      </c>
      <c r="T411">
        <f t="shared" si="978"/>
        <v>2.9068584953981114E-3</v>
      </c>
    </row>
    <row r="412" spans="1:20" x14ac:dyDescent="0.25">
      <c r="A412" s="5">
        <v>44181</v>
      </c>
      <c r="B412">
        <v>15.976000000000001</v>
      </c>
      <c r="C412">
        <v>16.396000000000001</v>
      </c>
      <c r="D412">
        <v>15.092000000000001</v>
      </c>
      <c r="E412">
        <v>16.396000000000001</v>
      </c>
      <c r="F412">
        <v>28775.710999999999</v>
      </c>
      <c r="G412">
        <v>0</v>
      </c>
      <c r="L412" t="s">
        <v>7</v>
      </c>
      <c r="M412" t="s">
        <v>7</v>
      </c>
      <c r="N412" t="s">
        <v>8</v>
      </c>
      <c r="P412">
        <f t="shared" si="974"/>
        <v>1</v>
      </c>
      <c r="Q412">
        <f t="shared" si="975"/>
        <v>28775.710999999999</v>
      </c>
      <c r="R412">
        <f t="shared" si="976"/>
        <v>293852.78718302725</v>
      </c>
      <c r="S412">
        <f t="shared" si="977"/>
        <v>2.9385278718302725</v>
      </c>
      <c r="T412">
        <f t="shared" si="978"/>
        <v>2.9385278718302727E-3</v>
      </c>
    </row>
    <row r="413" spans="1:20" x14ac:dyDescent="0.25">
      <c r="A413" s="5">
        <v>44180</v>
      </c>
      <c r="B413">
        <v>15.837</v>
      </c>
      <c r="C413">
        <v>16.395</v>
      </c>
      <c r="D413">
        <v>15.532999999999999</v>
      </c>
      <c r="E413">
        <v>16.062999999999999</v>
      </c>
      <c r="F413">
        <v>27985.682000000001</v>
      </c>
      <c r="G413">
        <v>0</v>
      </c>
      <c r="L413" t="s">
        <v>8</v>
      </c>
      <c r="M413" t="s">
        <v>7</v>
      </c>
      <c r="N413" t="s">
        <v>8</v>
      </c>
      <c r="P413">
        <f t="shared" si="974"/>
        <v>0.22969837587006797</v>
      </c>
      <c r="Q413">
        <f t="shared" si="975"/>
        <v>6428.2657030161954</v>
      </c>
      <c r="R413">
        <f t="shared" si="976"/>
        <v>265077.07618302724</v>
      </c>
      <c r="S413">
        <f t="shared" si="977"/>
        <v>2.6507707618302723</v>
      </c>
      <c r="T413">
        <f t="shared" si="978"/>
        <v>2.6507707618302723E-3</v>
      </c>
    </row>
    <row r="414" spans="1:20" x14ac:dyDescent="0.25">
      <c r="A414" s="5">
        <v>44179</v>
      </c>
      <c r="B414">
        <v>15.443</v>
      </c>
      <c r="C414">
        <v>15.999000000000001</v>
      </c>
      <c r="D414">
        <v>14.96</v>
      </c>
      <c r="E414">
        <v>15.848000000000001</v>
      </c>
      <c r="F414">
        <v>20504.312000000002</v>
      </c>
      <c r="G414">
        <v>0</v>
      </c>
      <c r="L414" t="s">
        <v>8</v>
      </c>
      <c r="M414" t="s">
        <v>7</v>
      </c>
      <c r="N414" t="s">
        <v>8</v>
      </c>
      <c r="P414">
        <f t="shared" si="974"/>
        <v>0.7093358999037539</v>
      </c>
      <c r="Q414">
        <f t="shared" si="975"/>
        <v>14544.444604427341</v>
      </c>
      <c r="R414">
        <f t="shared" si="976"/>
        <v>258648.81048001102</v>
      </c>
      <c r="S414">
        <f t="shared" si="977"/>
        <v>2.58648810480011</v>
      </c>
      <c r="T414">
        <f t="shared" si="978"/>
        <v>2.5864881048001101E-3</v>
      </c>
    </row>
    <row r="415" spans="1:20" x14ac:dyDescent="0.25">
      <c r="A415" s="5">
        <v>44178</v>
      </c>
      <c r="B415">
        <v>15.433999999999999</v>
      </c>
      <c r="C415">
        <v>15.601000000000001</v>
      </c>
      <c r="D415">
        <v>14.95</v>
      </c>
      <c r="E415">
        <v>15.439</v>
      </c>
      <c r="F415">
        <v>14868.985000000001</v>
      </c>
      <c r="G415">
        <v>0</v>
      </c>
      <c r="L415" t="s">
        <v>8</v>
      </c>
      <c r="M415" t="s">
        <v>7</v>
      </c>
      <c r="N415" t="s">
        <v>8</v>
      </c>
      <c r="P415">
        <f t="shared" si="974"/>
        <v>0.5023041474654365</v>
      </c>
      <c r="Q415">
        <f t="shared" si="975"/>
        <v>7468.752834101364</v>
      </c>
      <c r="R415">
        <f t="shared" si="976"/>
        <v>244104.36587558367</v>
      </c>
      <c r="S415">
        <f t="shared" si="977"/>
        <v>2.4410436587558366</v>
      </c>
      <c r="T415">
        <f t="shared" si="978"/>
        <v>2.4410436587558367E-3</v>
      </c>
    </row>
    <row r="416" spans="1:20" x14ac:dyDescent="0.25">
      <c r="A416" s="5">
        <v>44177</v>
      </c>
      <c r="B416">
        <v>14.401</v>
      </c>
      <c r="C416">
        <v>15.614000000000001</v>
      </c>
      <c r="D416">
        <v>14.4</v>
      </c>
      <c r="E416">
        <v>15.557</v>
      </c>
      <c r="F416">
        <v>15751.24</v>
      </c>
      <c r="G416">
        <v>0</v>
      </c>
      <c r="L416" t="s">
        <v>8</v>
      </c>
      <c r="M416" t="s">
        <v>7</v>
      </c>
      <c r="N416" t="s">
        <v>8</v>
      </c>
      <c r="P416">
        <f t="shared" si="974"/>
        <v>0.90609555189456281</v>
      </c>
      <c r="Q416">
        <f t="shared" si="975"/>
        <v>14272.128500823714</v>
      </c>
      <c r="R416">
        <f t="shared" si="976"/>
        <v>236635.61304148231</v>
      </c>
      <c r="S416">
        <f t="shared" si="977"/>
        <v>2.3663561304148231</v>
      </c>
      <c r="T416">
        <f t="shared" si="978"/>
        <v>2.3663561304148231E-3</v>
      </c>
    </row>
    <row r="417" spans="1:20" x14ac:dyDescent="0.25">
      <c r="A417" s="5">
        <v>44176</v>
      </c>
      <c r="B417">
        <v>15.308</v>
      </c>
      <c r="C417">
        <v>15.308</v>
      </c>
      <c r="D417">
        <v>14.189</v>
      </c>
      <c r="E417">
        <v>14.47</v>
      </c>
      <c r="F417">
        <v>9674.0319999999992</v>
      </c>
      <c r="G417">
        <v>0</v>
      </c>
      <c r="L417" t="s">
        <v>7</v>
      </c>
      <c r="M417" t="s">
        <v>7</v>
      </c>
      <c r="N417" t="s">
        <v>8</v>
      </c>
      <c r="P417">
        <f t="shared" si="974"/>
        <v>-0.49776586237712128</v>
      </c>
      <c r="Q417">
        <f t="shared" si="975"/>
        <v>-4815.4028811438666</v>
      </c>
      <c r="R417">
        <f t="shared" si="976"/>
        <v>222363.4845406586</v>
      </c>
      <c r="S417">
        <f t="shared" si="977"/>
        <v>2.2236348454065857</v>
      </c>
      <c r="T417">
        <f t="shared" si="978"/>
        <v>2.2236348454065858E-3</v>
      </c>
    </row>
    <row r="418" spans="1:20" x14ac:dyDescent="0.25">
      <c r="A418" s="5">
        <v>44175</v>
      </c>
      <c r="B418">
        <v>15.686</v>
      </c>
      <c r="C418">
        <v>16.29</v>
      </c>
      <c r="D418">
        <v>14.727</v>
      </c>
      <c r="E418">
        <v>15.31</v>
      </c>
      <c r="F418">
        <v>12209.199000000001</v>
      </c>
      <c r="G418">
        <v>0</v>
      </c>
      <c r="L418" t="s">
        <v>8</v>
      </c>
      <c r="M418" t="s">
        <v>7</v>
      </c>
      <c r="N418" t="s">
        <v>8</v>
      </c>
      <c r="P418">
        <f t="shared" si="974"/>
        <v>-0.25399872040946819</v>
      </c>
      <c r="Q418">
        <f t="shared" si="975"/>
        <v>-3101.1209232245587</v>
      </c>
      <c r="R418">
        <f t="shared" si="976"/>
        <v>227178.88742180247</v>
      </c>
      <c r="S418">
        <f t="shared" si="977"/>
        <v>2.2717888742180246</v>
      </c>
      <c r="T418">
        <f t="shared" si="978"/>
        <v>2.2717888742180246E-3</v>
      </c>
    </row>
    <row r="419" spans="1:20" x14ac:dyDescent="0.25">
      <c r="A419" s="5">
        <v>44174</v>
      </c>
      <c r="B419">
        <v>15.127000000000001</v>
      </c>
      <c r="C419">
        <v>15.69</v>
      </c>
      <c r="D419">
        <v>14.276</v>
      </c>
      <c r="E419">
        <v>15.689</v>
      </c>
      <c r="F419">
        <v>30831.439999999999</v>
      </c>
      <c r="G419">
        <v>0</v>
      </c>
      <c r="L419" t="s">
        <v>7</v>
      </c>
      <c r="M419" t="s">
        <v>7</v>
      </c>
      <c r="N419" t="s">
        <v>8</v>
      </c>
      <c r="P419">
        <f t="shared" si="974"/>
        <v>0.99858557284299931</v>
      </c>
      <c r="Q419">
        <f t="shared" si="975"/>
        <v>30787.831173974562</v>
      </c>
      <c r="R419">
        <f t="shared" si="976"/>
        <v>230280.00834502702</v>
      </c>
      <c r="S419">
        <f t="shared" si="977"/>
        <v>2.3028000834502702</v>
      </c>
      <c r="T419">
        <f t="shared" si="978"/>
        <v>2.3028000834502704E-3</v>
      </c>
    </row>
    <row r="420" spans="1:20" x14ac:dyDescent="0.25">
      <c r="A420" s="5">
        <v>44173</v>
      </c>
      <c r="B420">
        <v>16.466000000000001</v>
      </c>
      <c r="C420">
        <v>18</v>
      </c>
      <c r="D420">
        <v>15.119</v>
      </c>
      <c r="E420">
        <v>15.125</v>
      </c>
      <c r="F420">
        <v>33640.923000000003</v>
      </c>
      <c r="G420">
        <v>0</v>
      </c>
      <c r="L420" t="s">
        <v>7</v>
      </c>
      <c r="M420" t="s">
        <v>7</v>
      </c>
      <c r="N420" t="s">
        <v>8</v>
      </c>
      <c r="P420">
        <f t="shared" si="974"/>
        <v>-0.99583477959041988</v>
      </c>
      <c r="Q420">
        <f t="shared" si="975"/>
        <v>-33500.801140923286</v>
      </c>
      <c r="R420">
        <f t="shared" si="976"/>
        <v>199492.17717105246</v>
      </c>
      <c r="S420">
        <f t="shared" si="977"/>
        <v>1.9949217717105245</v>
      </c>
      <c r="T420">
        <f t="shared" si="978"/>
        <v>1.9949217717105247E-3</v>
      </c>
    </row>
    <row r="421" spans="1:20" x14ac:dyDescent="0.25">
      <c r="A421" s="5">
        <v>44172</v>
      </c>
      <c r="B421">
        <v>16.856000000000002</v>
      </c>
      <c r="C421">
        <v>17.2</v>
      </c>
      <c r="D421">
        <v>15.699</v>
      </c>
      <c r="E421">
        <v>16.465</v>
      </c>
      <c r="F421">
        <v>32777.974999999999</v>
      </c>
      <c r="G421">
        <v>0</v>
      </c>
      <c r="L421" t="s">
        <v>7</v>
      </c>
      <c r="M421" t="s">
        <v>8</v>
      </c>
      <c r="N421" t="s">
        <v>8</v>
      </c>
      <c r="P421">
        <f t="shared" si="974"/>
        <v>2.0652898067955092E-2</v>
      </c>
      <c r="Q421">
        <f t="shared" si="975"/>
        <v>676.96017654898026</v>
      </c>
      <c r="R421">
        <f t="shared" si="976"/>
        <v>232992.97831197575</v>
      </c>
      <c r="S421">
        <f t="shared" si="977"/>
        <v>2.3299297831197574</v>
      </c>
      <c r="T421">
        <f t="shared" si="978"/>
        <v>2.3299297831197575E-3</v>
      </c>
    </row>
    <row r="422" spans="1:20" x14ac:dyDescent="0.25">
      <c r="A422" s="5">
        <v>44171</v>
      </c>
      <c r="B422">
        <v>16.577999999999999</v>
      </c>
      <c r="C422">
        <v>18.257000000000001</v>
      </c>
      <c r="D422">
        <v>16.295000000000002</v>
      </c>
      <c r="E422">
        <v>16.920999999999999</v>
      </c>
      <c r="F422">
        <v>119507.306</v>
      </c>
      <c r="G422">
        <v>0</v>
      </c>
      <c r="L422" t="s">
        <v>8</v>
      </c>
      <c r="M422" t="s">
        <v>8</v>
      </c>
      <c r="N422" t="s">
        <v>8</v>
      </c>
      <c r="P422">
        <f t="shared" si="974"/>
        <v>-0.36187563710499721</v>
      </c>
      <c r="Q422">
        <f t="shared" si="975"/>
        <v>-43246.782497451852</v>
      </c>
      <c r="R422">
        <f t="shared" si="976"/>
        <v>232316.01813542677</v>
      </c>
      <c r="S422">
        <f t="shared" si="977"/>
        <v>2.3231601813542677</v>
      </c>
      <c r="T422">
        <f t="shared" si="978"/>
        <v>2.3231601813542679E-3</v>
      </c>
    </row>
    <row r="423" spans="1:20" x14ac:dyDescent="0.25">
      <c r="A423" s="5">
        <v>44170</v>
      </c>
      <c r="B423">
        <v>14.707000000000001</v>
      </c>
      <c r="C423">
        <v>17.2</v>
      </c>
      <c r="D423">
        <v>14.443</v>
      </c>
      <c r="E423">
        <v>16.613</v>
      </c>
      <c r="F423">
        <v>51013.561000000002</v>
      </c>
      <c r="G423">
        <v>0</v>
      </c>
      <c r="L423" t="s">
        <v>7</v>
      </c>
      <c r="M423" t="s">
        <v>7</v>
      </c>
      <c r="N423" t="s">
        <v>8</v>
      </c>
      <c r="P423">
        <f t="shared" si="974"/>
        <v>0.57417482771128048</v>
      </c>
      <c r="Q423">
        <f t="shared" si="975"/>
        <v>29290.702598113898</v>
      </c>
      <c r="R423">
        <f t="shared" si="976"/>
        <v>275562.80063287861</v>
      </c>
      <c r="S423">
        <f t="shared" si="977"/>
        <v>2.7556280063287861</v>
      </c>
      <c r="T423">
        <f t="shared" si="978"/>
        <v>2.755628006328786E-3</v>
      </c>
    </row>
    <row r="424" spans="1:20" x14ac:dyDescent="0.25">
      <c r="A424" s="5">
        <v>44169</v>
      </c>
      <c r="B424">
        <v>16.317</v>
      </c>
      <c r="C424">
        <v>16.724</v>
      </c>
      <c r="D424">
        <v>14.637</v>
      </c>
      <c r="E424">
        <v>14.715999999999999</v>
      </c>
      <c r="F424">
        <v>33085.555999999997</v>
      </c>
      <c r="G424">
        <v>0</v>
      </c>
      <c r="L424" t="s">
        <v>7</v>
      </c>
      <c r="M424" t="s">
        <v>8</v>
      </c>
      <c r="N424" t="s">
        <v>8</v>
      </c>
      <c r="P424">
        <f t="shared" si="974"/>
        <v>-0.9242932438907534</v>
      </c>
      <c r="Q424">
        <f t="shared" si="975"/>
        <v>-30580.755881169178</v>
      </c>
      <c r="R424">
        <f t="shared" si="976"/>
        <v>246272.0980347647</v>
      </c>
      <c r="S424">
        <f t="shared" si="977"/>
        <v>2.4627209803476471</v>
      </c>
      <c r="T424">
        <f t="shared" si="978"/>
        <v>2.4627209803476471E-3</v>
      </c>
    </row>
    <row r="425" spans="1:20" x14ac:dyDescent="0.25">
      <c r="A425" s="5">
        <v>44168</v>
      </c>
      <c r="B425">
        <v>15.818</v>
      </c>
      <c r="C425">
        <v>17.201000000000001</v>
      </c>
      <c r="D425">
        <v>15.76</v>
      </c>
      <c r="E425">
        <v>16.335999999999999</v>
      </c>
      <c r="F425">
        <v>42550.063999999998</v>
      </c>
      <c r="G425">
        <v>0</v>
      </c>
      <c r="L425" t="s">
        <v>8</v>
      </c>
      <c r="M425" t="s">
        <v>8</v>
      </c>
      <c r="N425" t="s">
        <v>8</v>
      </c>
      <c r="P425">
        <f t="shared" si="974"/>
        <v>-0.20055517002082104</v>
      </c>
      <c r="Q425">
        <f t="shared" si="975"/>
        <v>-8533.635319916817</v>
      </c>
      <c r="R425">
        <f t="shared" si="976"/>
        <v>276852.85391593387</v>
      </c>
      <c r="S425">
        <f t="shared" si="977"/>
        <v>2.7685285391593388</v>
      </c>
      <c r="T425">
        <f t="shared" si="978"/>
        <v>2.7685285391593388E-3</v>
      </c>
    </row>
    <row r="426" spans="1:20" x14ac:dyDescent="0.25">
      <c r="A426" s="5">
        <v>44167</v>
      </c>
      <c r="B426">
        <v>15.05</v>
      </c>
      <c r="C426">
        <v>16.100000000000001</v>
      </c>
      <c r="D426">
        <v>14.795999999999999</v>
      </c>
      <c r="E426">
        <v>15.91</v>
      </c>
      <c r="F426">
        <v>20914.587</v>
      </c>
      <c r="G426">
        <v>0</v>
      </c>
      <c r="L426" t="s">
        <v>8</v>
      </c>
      <c r="M426" t="s">
        <v>7</v>
      </c>
      <c r="N426" t="s">
        <v>8</v>
      </c>
      <c r="P426">
        <f t="shared" si="974"/>
        <v>0.70858895705521319</v>
      </c>
      <c r="Q426">
        <f t="shared" si="975"/>
        <v>14819.845389570519</v>
      </c>
      <c r="R426">
        <f t="shared" si="976"/>
        <v>285386.48923585069</v>
      </c>
      <c r="S426">
        <f t="shared" si="977"/>
        <v>2.8538648923585068</v>
      </c>
      <c r="T426">
        <f t="shared" si="978"/>
        <v>2.8538648923585068E-3</v>
      </c>
    </row>
    <row r="427" spans="1:20" x14ac:dyDescent="0.25">
      <c r="A427" s="5">
        <v>44166</v>
      </c>
      <c r="B427">
        <v>15.439</v>
      </c>
      <c r="C427">
        <v>15.935</v>
      </c>
      <c r="D427">
        <v>14.456</v>
      </c>
      <c r="E427">
        <v>15.05</v>
      </c>
      <c r="F427">
        <v>18536.839</v>
      </c>
      <c r="G427">
        <v>0</v>
      </c>
      <c r="L427" t="s">
        <v>8</v>
      </c>
      <c r="M427" t="s">
        <v>7</v>
      </c>
      <c r="N427" t="s">
        <v>8</v>
      </c>
      <c r="P427">
        <f t="shared" si="974"/>
        <v>-0.19675456389452226</v>
      </c>
      <c r="Q427">
        <f t="shared" si="975"/>
        <v>-3647.2076734279722</v>
      </c>
      <c r="R427">
        <f t="shared" si="976"/>
        <v>270566.64384628017</v>
      </c>
      <c r="S427">
        <f t="shared" si="977"/>
        <v>2.7056664384628015</v>
      </c>
      <c r="T427">
        <f t="shared" si="978"/>
        <v>2.7056664384628015E-3</v>
      </c>
    </row>
    <row r="428" spans="1:20" x14ac:dyDescent="0.25">
      <c r="A428" s="5">
        <v>44165</v>
      </c>
      <c r="B428">
        <v>15.212999999999999</v>
      </c>
      <c r="C428">
        <v>15.537000000000001</v>
      </c>
      <c r="D428">
        <v>14.657</v>
      </c>
      <c r="E428">
        <v>15.37</v>
      </c>
      <c r="F428">
        <v>14656.355</v>
      </c>
      <c r="G428">
        <v>0</v>
      </c>
      <c r="L428" t="s">
        <v>8</v>
      </c>
      <c r="M428" t="s">
        <v>7</v>
      </c>
      <c r="N428" t="s">
        <v>8</v>
      </c>
      <c r="P428">
        <f t="shared" si="974"/>
        <v>0.62045454545454215</v>
      </c>
      <c r="Q428">
        <f t="shared" si="975"/>
        <v>9093.602079545406</v>
      </c>
      <c r="R428">
        <f t="shared" si="976"/>
        <v>274213.85151970817</v>
      </c>
      <c r="S428">
        <f t="shared" si="977"/>
        <v>2.7421385151970816</v>
      </c>
      <c r="T428">
        <f t="shared" si="978"/>
        <v>2.7421385151970815E-3</v>
      </c>
    </row>
    <row r="429" spans="1:20" x14ac:dyDescent="0.25">
      <c r="A429" s="5">
        <v>44164</v>
      </c>
      <c r="B429">
        <v>15.281000000000001</v>
      </c>
      <c r="C429">
        <v>15.462</v>
      </c>
      <c r="D429">
        <v>14.827999999999999</v>
      </c>
      <c r="E429">
        <v>15.233000000000001</v>
      </c>
      <c r="F429">
        <v>10575.769</v>
      </c>
      <c r="G429">
        <v>0</v>
      </c>
      <c r="L429" t="s">
        <v>8</v>
      </c>
      <c r="M429" t="s">
        <v>7</v>
      </c>
      <c r="N429" t="s">
        <v>8</v>
      </c>
      <c r="P429">
        <f t="shared" si="974"/>
        <v>0.27760252365930888</v>
      </c>
      <c r="Q429">
        <f t="shared" si="975"/>
        <v>2935.8601640378856</v>
      </c>
      <c r="R429">
        <f t="shared" si="976"/>
        <v>265120.24944016279</v>
      </c>
      <c r="S429">
        <f t="shared" si="977"/>
        <v>2.6512024944016281</v>
      </c>
      <c r="T429">
        <f t="shared" si="978"/>
        <v>2.6512024944016282E-3</v>
      </c>
    </row>
    <row r="430" spans="1:20" x14ac:dyDescent="0.25">
      <c r="A430" s="5">
        <v>44163</v>
      </c>
      <c r="B430">
        <v>14.585000000000001</v>
      </c>
      <c r="C430">
        <v>15.561</v>
      </c>
      <c r="D430">
        <v>14.519</v>
      </c>
      <c r="E430">
        <v>15.28</v>
      </c>
      <c r="F430">
        <v>15258.727000000001</v>
      </c>
      <c r="G430">
        <v>0</v>
      </c>
      <c r="L430" t="s">
        <v>8</v>
      </c>
      <c r="M430" t="s">
        <v>7</v>
      </c>
      <c r="N430" t="s">
        <v>8</v>
      </c>
      <c r="P430">
        <f t="shared" si="974"/>
        <v>0.46065259117082413</v>
      </c>
      <c r="Q430">
        <f t="shared" si="975"/>
        <v>7028.9721305182165</v>
      </c>
      <c r="R430">
        <f t="shared" si="976"/>
        <v>262184.38927612489</v>
      </c>
      <c r="S430">
        <f t="shared" si="977"/>
        <v>2.6218438927612491</v>
      </c>
      <c r="T430">
        <f t="shared" si="978"/>
        <v>2.621843892761249E-3</v>
      </c>
    </row>
    <row r="431" spans="1:20" x14ac:dyDescent="0.25">
      <c r="A431" s="5">
        <v>44162</v>
      </c>
      <c r="B431">
        <v>14.664</v>
      </c>
      <c r="C431">
        <v>15.058</v>
      </c>
      <c r="D431">
        <v>14.093</v>
      </c>
      <c r="E431">
        <v>14.664999999999999</v>
      </c>
      <c r="F431">
        <v>13249.478999999999</v>
      </c>
      <c r="G431">
        <v>0</v>
      </c>
      <c r="L431" t="s">
        <v>8</v>
      </c>
      <c r="M431" t="s">
        <v>7</v>
      </c>
      <c r="N431" t="s">
        <v>8</v>
      </c>
      <c r="P431">
        <f t="shared" si="974"/>
        <v>0.18549222797927309</v>
      </c>
      <c r="Q431">
        <f t="shared" si="975"/>
        <v>2457.6753792745913</v>
      </c>
      <c r="R431">
        <f t="shared" si="976"/>
        <v>255155.41714560668</v>
      </c>
      <c r="S431">
        <f t="shared" si="977"/>
        <v>2.551554171456067</v>
      </c>
      <c r="T431">
        <f t="shared" si="978"/>
        <v>2.5515541714560669E-3</v>
      </c>
    </row>
    <row r="432" spans="1:20" x14ac:dyDescent="0.25">
      <c r="A432" s="5">
        <v>44161</v>
      </c>
      <c r="B432">
        <v>16.167999999999999</v>
      </c>
      <c r="C432">
        <v>16.666</v>
      </c>
      <c r="D432">
        <v>13.7</v>
      </c>
      <c r="E432">
        <v>14.523999999999999</v>
      </c>
      <c r="F432">
        <v>51533.838000000003</v>
      </c>
      <c r="G432">
        <v>0</v>
      </c>
      <c r="L432" t="s">
        <v>7</v>
      </c>
      <c r="M432" t="s">
        <v>7</v>
      </c>
      <c r="N432" t="s">
        <v>8</v>
      </c>
      <c r="P432">
        <f t="shared" si="974"/>
        <v>-0.44436952124072854</v>
      </c>
      <c r="Q432">
        <f t="shared" si="975"/>
        <v>-22900.066919757264</v>
      </c>
      <c r="R432">
        <f t="shared" si="976"/>
        <v>252697.7417663321</v>
      </c>
      <c r="S432">
        <f t="shared" si="977"/>
        <v>2.5269774176633208</v>
      </c>
      <c r="T432">
        <f t="shared" si="978"/>
        <v>2.5269774176633207E-3</v>
      </c>
    </row>
    <row r="433" spans="1:20" x14ac:dyDescent="0.25">
      <c r="A433" s="5">
        <v>44160</v>
      </c>
      <c r="B433">
        <v>17.361999999999998</v>
      </c>
      <c r="C433">
        <v>17.777000000000001</v>
      </c>
      <c r="D433">
        <v>15.843999999999999</v>
      </c>
      <c r="E433">
        <v>16.18</v>
      </c>
      <c r="F433">
        <v>66729.346000000005</v>
      </c>
      <c r="G433">
        <v>0</v>
      </c>
      <c r="L433" t="s">
        <v>7</v>
      </c>
      <c r="M433" t="s">
        <v>8</v>
      </c>
      <c r="N433" t="s">
        <v>8</v>
      </c>
      <c r="P433">
        <f t="shared" si="974"/>
        <v>-0.65235385411277802</v>
      </c>
      <c r="Q433">
        <f t="shared" si="975"/>
        <v>-43531.146045525093</v>
      </c>
      <c r="R433">
        <f t="shared" si="976"/>
        <v>275597.80868608935</v>
      </c>
      <c r="S433">
        <f t="shared" si="977"/>
        <v>2.7559780868608934</v>
      </c>
      <c r="T433">
        <f t="shared" si="978"/>
        <v>2.7559780868608936E-3</v>
      </c>
    </row>
    <row r="434" spans="1:20" x14ac:dyDescent="0.25">
      <c r="A434" s="5">
        <v>44159</v>
      </c>
      <c r="B434">
        <v>15.837</v>
      </c>
      <c r="C434">
        <v>17.75</v>
      </c>
      <c r="D434">
        <v>15.6</v>
      </c>
      <c r="E434">
        <v>17.448</v>
      </c>
      <c r="F434">
        <v>94013.804999999993</v>
      </c>
      <c r="G434">
        <v>0</v>
      </c>
      <c r="L434" t="s">
        <v>8</v>
      </c>
      <c r="M434" t="s">
        <v>8</v>
      </c>
      <c r="N434" t="s">
        <v>8</v>
      </c>
      <c r="P434">
        <f t="shared" si="974"/>
        <v>0.71906976744186091</v>
      </c>
      <c r="Q434">
        <f t="shared" si="975"/>
        <v>67602.484897674454</v>
      </c>
      <c r="R434">
        <f t="shared" si="976"/>
        <v>319128.95473161445</v>
      </c>
      <c r="S434">
        <f t="shared" si="977"/>
        <v>3.1912895473161447</v>
      </c>
      <c r="T434">
        <f t="shared" si="978"/>
        <v>3.1912895473161446E-3</v>
      </c>
    </row>
    <row r="435" spans="1:20" x14ac:dyDescent="0.25">
      <c r="A435" s="5">
        <v>44158</v>
      </c>
      <c r="B435">
        <v>15.236000000000001</v>
      </c>
      <c r="C435">
        <v>15.9</v>
      </c>
      <c r="D435">
        <v>14.929</v>
      </c>
      <c r="E435">
        <v>15.728</v>
      </c>
      <c r="F435">
        <v>20801.417000000001</v>
      </c>
      <c r="G435">
        <v>0</v>
      </c>
      <c r="L435" t="s">
        <v>7</v>
      </c>
      <c r="M435" t="s">
        <v>8</v>
      </c>
      <c r="N435" t="s">
        <v>8</v>
      </c>
      <c r="P435">
        <f t="shared" si="974"/>
        <v>0.64572605561276919</v>
      </c>
      <c r="Q435">
        <f t="shared" si="975"/>
        <v>13432.016950566403</v>
      </c>
      <c r="R435">
        <f t="shared" si="976"/>
        <v>251526.46983393998</v>
      </c>
      <c r="S435">
        <f t="shared" si="977"/>
        <v>2.5152646983393998</v>
      </c>
      <c r="T435">
        <f t="shared" si="978"/>
        <v>2.5152646983393999E-3</v>
      </c>
    </row>
    <row r="436" spans="1:20" x14ac:dyDescent="0.25">
      <c r="A436" s="5">
        <v>44157</v>
      </c>
      <c r="B436">
        <v>15.387</v>
      </c>
      <c r="C436">
        <v>16.7</v>
      </c>
      <c r="D436">
        <v>14.332000000000001</v>
      </c>
      <c r="E436">
        <v>15.207000000000001</v>
      </c>
      <c r="F436">
        <v>31007.073</v>
      </c>
      <c r="G436">
        <v>0</v>
      </c>
      <c r="L436" t="s">
        <v>8</v>
      </c>
      <c r="M436" t="s">
        <v>8</v>
      </c>
      <c r="N436" t="s">
        <v>8</v>
      </c>
      <c r="P436">
        <f t="shared" si="974"/>
        <v>-0.26097972972972927</v>
      </c>
      <c r="Q436">
        <f t="shared" si="975"/>
        <v>-8092.2175312499858</v>
      </c>
      <c r="R436">
        <f t="shared" si="976"/>
        <v>238094.45288337357</v>
      </c>
      <c r="S436">
        <f t="shared" si="977"/>
        <v>2.3809445288337359</v>
      </c>
      <c r="T436">
        <f t="shared" si="978"/>
        <v>2.3809445288337358E-3</v>
      </c>
    </row>
    <row r="437" spans="1:20" x14ac:dyDescent="0.25">
      <c r="A437" s="5">
        <v>44156</v>
      </c>
      <c r="B437">
        <v>14.266</v>
      </c>
      <c r="C437">
        <v>15.407</v>
      </c>
      <c r="D437">
        <v>14.214</v>
      </c>
      <c r="E437">
        <v>15.257999999999999</v>
      </c>
      <c r="F437">
        <v>28270.481</v>
      </c>
      <c r="G437">
        <v>0</v>
      </c>
      <c r="L437" t="s">
        <v>8</v>
      </c>
      <c r="M437" t="s">
        <v>8</v>
      </c>
      <c r="N437" t="s">
        <v>7</v>
      </c>
      <c r="P437">
        <f t="shared" si="974"/>
        <v>0.75020955574182568</v>
      </c>
      <c r="Q437">
        <f t="shared" si="975"/>
        <v>21208.784991617722</v>
      </c>
      <c r="R437">
        <f t="shared" si="976"/>
        <v>246186.67041462354</v>
      </c>
      <c r="S437">
        <f t="shared" si="977"/>
        <v>2.4618667041462352</v>
      </c>
      <c r="T437">
        <f t="shared" si="978"/>
        <v>2.4618667041462353E-3</v>
      </c>
    </row>
    <row r="438" spans="1:20" x14ac:dyDescent="0.25">
      <c r="A438" s="5">
        <v>44155</v>
      </c>
      <c r="B438">
        <v>14.129</v>
      </c>
      <c r="C438">
        <v>14.55</v>
      </c>
      <c r="D438">
        <v>13.981</v>
      </c>
      <c r="E438">
        <v>14.266</v>
      </c>
      <c r="F438">
        <v>35478.036999999997</v>
      </c>
      <c r="G438">
        <v>0</v>
      </c>
      <c r="L438" t="s">
        <v>7</v>
      </c>
      <c r="M438" t="s">
        <v>8</v>
      </c>
      <c r="N438" t="s">
        <v>7</v>
      </c>
      <c r="P438">
        <f t="shared" si="974"/>
        <v>1.7574692442872484E-3</v>
      </c>
      <c r="Q438">
        <f t="shared" si="975"/>
        <v>62.351558875185034</v>
      </c>
      <c r="R438">
        <f t="shared" si="976"/>
        <v>224977.88542300582</v>
      </c>
      <c r="S438">
        <f t="shared" si="977"/>
        <v>2.2497788542300583</v>
      </c>
      <c r="T438">
        <f t="shared" si="978"/>
        <v>2.2497788542300582E-3</v>
      </c>
    </row>
    <row r="439" spans="1:20" x14ac:dyDescent="0.25">
      <c r="A439" s="5">
        <v>44154</v>
      </c>
      <c r="B439">
        <v>14.754</v>
      </c>
      <c r="C439">
        <v>14.833</v>
      </c>
      <c r="D439">
        <v>13.851000000000001</v>
      </c>
      <c r="E439">
        <v>14.129</v>
      </c>
      <c r="F439">
        <v>10839.716</v>
      </c>
      <c r="G439">
        <v>0</v>
      </c>
      <c r="L439" t="s">
        <v>7</v>
      </c>
      <c r="M439" t="s">
        <v>8</v>
      </c>
      <c r="N439" t="s">
        <v>7</v>
      </c>
      <c r="P439">
        <f t="shared" si="974"/>
        <v>-0.43380855397148904</v>
      </c>
      <c r="Q439">
        <f t="shared" si="975"/>
        <v>-4702.3615234216131</v>
      </c>
      <c r="R439">
        <f t="shared" si="976"/>
        <v>224915.53386413064</v>
      </c>
      <c r="S439">
        <f t="shared" si="977"/>
        <v>2.2491553386413066</v>
      </c>
      <c r="T439">
        <f t="shared" si="978"/>
        <v>2.2491553386413065E-3</v>
      </c>
    </row>
    <row r="440" spans="1:20" x14ac:dyDescent="0.25">
      <c r="A440" s="5">
        <v>44153</v>
      </c>
      <c r="B440">
        <v>14.78</v>
      </c>
      <c r="C440">
        <v>15.1</v>
      </c>
      <c r="D440">
        <v>13.814</v>
      </c>
      <c r="E440">
        <v>14.79</v>
      </c>
      <c r="F440">
        <v>31002.51</v>
      </c>
      <c r="G440">
        <v>0</v>
      </c>
      <c r="L440" t="s">
        <v>8</v>
      </c>
      <c r="M440" t="s">
        <v>8</v>
      </c>
      <c r="N440" t="s">
        <v>7</v>
      </c>
      <c r="P440">
        <f t="shared" si="974"/>
        <v>0.51788491446345164</v>
      </c>
      <c r="Q440">
        <f t="shared" si="975"/>
        <v>16055.732239502304</v>
      </c>
      <c r="R440">
        <f t="shared" si="976"/>
        <v>229617.89538755227</v>
      </c>
      <c r="S440">
        <f t="shared" si="977"/>
        <v>2.2961789538755228</v>
      </c>
      <c r="T440">
        <f t="shared" si="978"/>
        <v>2.2961789538755227E-3</v>
      </c>
    </row>
    <row r="441" spans="1:20" x14ac:dyDescent="0.25">
      <c r="A441" s="5">
        <v>44152</v>
      </c>
      <c r="B441">
        <v>13.941000000000001</v>
      </c>
      <c r="C441">
        <v>14.935</v>
      </c>
      <c r="D441">
        <v>13.872999999999999</v>
      </c>
      <c r="E441">
        <v>14.754</v>
      </c>
      <c r="F441">
        <v>13087.462</v>
      </c>
      <c r="G441">
        <v>0</v>
      </c>
      <c r="L441" t="s">
        <v>8</v>
      </c>
      <c r="M441" t="s">
        <v>8</v>
      </c>
      <c r="N441" t="s">
        <v>7</v>
      </c>
      <c r="P441">
        <f t="shared" si="974"/>
        <v>0.65913370998116627</v>
      </c>
      <c r="Q441">
        <f t="shared" si="975"/>
        <v>8626.3873822975347</v>
      </c>
      <c r="R441">
        <f t="shared" si="976"/>
        <v>213562.16314804996</v>
      </c>
      <c r="S441">
        <f t="shared" si="977"/>
        <v>2.1356216314804994</v>
      </c>
      <c r="T441">
        <f t="shared" si="978"/>
        <v>2.1356216314804993E-3</v>
      </c>
    </row>
    <row r="442" spans="1:20" x14ac:dyDescent="0.25">
      <c r="A442" s="5">
        <v>44151</v>
      </c>
      <c r="B442">
        <v>13.917999999999999</v>
      </c>
      <c r="C442">
        <v>14.167</v>
      </c>
      <c r="D442">
        <v>13.638999999999999</v>
      </c>
      <c r="E442">
        <v>14.061999999999999</v>
      </c>
      <c r="F442">
        <v>7149.5659999999998</v>
      </c>
      <c r="G442">
        <v>0</v>
      </c>
      <c r="L442" t="s">
        <v>7</v>
      </c>
      <c r="M442" t="s">
        <v>8</v>
      </c>
      <c r="N442" t="s">
        <v>7</v>
      </c>
      <c r="P442">
        <f t="shared" si="974"/>
        <v>0.60227272727272596</v>
      </c>
      <c r="Q442">
        <f t="shared" si="975"/>
        <v>4305.9886136363539</v>
      </c>
      <c r="R442">
        <f t="shared" si="976"/>
        <v>204935.77576575242</v>
      </c>
      <c r="S442">
        <f t="shared" si="977"/>
        <v>2.0493577576575244</v>
      </c>
      <c r="T442">
        <f t="shared" si="978"/>
        <v>2.0493577576575243E-3</v>
      </c>
    </row>
    <row r="443" spans="1:20" x14ac:dyDescent="0.25">
      <c r="A443" s="5">
        <v>44150</v>
      </c>
      <c r="B443">
        <v>13.816000000000001</v>
      </c>
      <c r="C443">
        <v>13.938000000000001</v>
      </c>
      <c r="D443">
        <v>13.472</v>
      </c>
      <c r="E443">
        <v>13.835000000000001</v>
      </c>
      <c r="F443">
        <v>4906.2569999999996</v>
      </c>
      <c r="G443">
        <v>0</v>
      </c>
      <c r="L443" t="s">
        <v>7</v>
      </c>
      <c r="M443" t="s">
        <v>8</v>
      </c>
      <c r="N443" t="s">
        <v>7</v>
      </c>
      <c r="P443">
        <f t="shared" si="974"/>
        <v>0.55793991416309219</v>
      </c>
      <c r="Q443">
        <f t="shared" si="975"/>
        <v>2737.3966094420698</v>
      </c>
      <c r="R443">
        <f t="shared" si="976"/>
        <v>200629.78715211607</v>
      </c>
      <c r="S443">
        <f t="shared" si="977"/>
        <v>2.0062978715211606</v>
      </c>
      <c r="T443">
        <f t="shared" si="978"/>
        <v>2.0062978715211606E-3</v>
      </c>
    </row>
    <row r="444" spans="1:20" x14ac:dyDescent="0.25">
      <c r="A444" s="5">
        <v>44149</v>
      </c>
      <c r="B444">
        <v>14.144</v>
      </c>
      <c r="C444">
        <v>14.167</v>
      </c>
      <c r="D444">
        <v>13.468999999999999</v>
      </c>
      <c r="E444">
        <v>13.77</v>
      </c>
      <c r="F444">
        <v>7944.1390000000001</v>
      </c>
      <c r="G444">
        <v>0</v>
      </c>
      <c r="L444" t="s">
        <v>7</v>
      </c>
      <c r="M444" t="s">
        <v>8</v>
      </c>
      <c r="N444" t="s">
        <v>7</v>
      </c>
      <c r="P444">
        <f t="shared" si="974"/>
        <v>-0.13753581661891121</v>
      </c>
      <c r="Q444">
        <f t="shared" si="975"/>
        <v>-1092.6036446991407</v>
      </c>
      <c r="R444">
        <f t="shared" si="976"/>
        <v>197892.39054267399</v>
      </c>
      <c r="S444">
        <f t="shared" si="977"/>
        <v>1.97892390542674</v>
      </c>
      <c r="T444">
        <f t="shared" si="978"/>
        <v>1.9789239054267401E-3</v>
      </c>
    </row>
    <row r="445" spans="1:20" x14ac:dyDescent="0.25">
      <c r="A445" s="5">
        <v>44148</v>
      </c>
      <c r="B445">
        <v>13.805</v>
      </c>
      <c r="C445">
        <v>15.263999999999999</v>
      </c>
      <c r="D445">
        <v>13.531000000000001</v>
      </c>
      <c r="E445">
        <v>14.144</v>
      </c>
      <c r="F445">
        <v>29532.237000000001</v>
      </c>
      <c r="G445">
        <v>0</v>
      </c>
      <c r="L445" t="s">
        <v>8</v>
      </c>
      <c r="M445" t="s">
        <v>8</v>
      </c>
      <c r="N445" t="s">
        <v>7</v>
      </c>
      <c r="P445">
        <f t="shared" si="974"/>
        <v>-0.29255626081938835</v>
      </c>
      <c r="Q445">
        <f t="shared" si="975"/>
        <v>-8639.8408303519918</v>
      </c>
      <c r="R445">
        <f t="shared" si="976"/>
        <v>198984.99418737314</v>
      </c>
      <c r="S445">
        <f t="shared" si="977"/>
        <v>1.9898499418737314</v>
      </c>
      <c r="T445">
        <f t="shared" si="978"/>
        <v>1.9898499418737315E-3</v>
      </c>
    </row>
    <row r="446" spans="1:20" x14ac:dyDescent="0.25">
      <c r="A446" s="5">
        <v>44147</v>
      </c>
      <c r="B446">
        <v>14.29</v>
      </c>
      <c r="C446">
        <v>14.529</v>
      </c>
      <c r="D446">
        <v>13.502000000000001</v>
      </c>
      <c r="E446">
        <v>13.736000000000001</v>
      </c>
      <c r="F446">
        <v>14808.075000000001</v>
      </c>
      <c r="G446">
        <v>0</v>
      </c>
      <c r="L446" t="s">
        <v>7</v>
      </c>
      <c r="M446" t="s">
        <v>8</v>
      </c>
      <c r="N446" t="s">
        <v>7</v>
      </c>
      <c r="P446">
        <f t="shared" si="974"/>
        <v>-0.54430379746835411</v>
      </c>
      <c r="Q446">
        <f t="shared" si="975"/>
        <v>-8060.091455696198</v>
      </c>
      <c r="R446">
        <f t="shared" si="976"/>
        <v>207624.83501772513</v>
      </c>
      <c r="S446">
        <f t="shared" si="977"/>
        <v>2.0762483501772513</v>
      </c>
      <c r="T446">
        <f t="shared" si="978"/>
        <v>2.0762483501772515E-3</v>
      </c>
    </row>
    <row r="447" spans="1:20" x14ac:dyDescent="0.25">
      <c r="A447" s="5">
        <v>44146</v>
      </c>
      <c r="B447">
        <v>13.994</v>
      </c>
      <c r="C447">
        <v>14.615</v>
      </c>
      <c r="D447">
        <v>13.879</v>
      </c>
      <c r="E447">
        <v>14.29</v>
      </c>
      <c r="F447">
        <v>12764.663</v>
      </c>
      <c r="G447">
        <v>0</v>
      </c>
      <c r="L447" t="s">
        <v>8</v>
      </c>
      <c r="M447" t="s">
        <v>8</v>
      </c>
      <c r="N447" t="s">
        <v>7</v>
      </c>
      <c r="P447">
        <f t="shared" si="974"/>
        <v>0.1168478260869544</v>
      </c>
      <c r="Q447">
        <f t="shared" si="975"/>
        <v>1491.5231222825817</v>
      </c>
      <c r="R447">
        <f t="shared" si="976"/>
        <v>215684.92647342134</v>
      </c>
      <c r="S447">
        <f t="shared" si="977"/>
        <v>2.1568492647342135</v>
      </c>
      <c r="T447">
        <f t="shared" si="978"/>
        <v>2.1568492647342135E-3</v>
      </c>
    </row>
    <row r="448" spans="1:20" x14ac:dyDescent="0.25">
      <c r="A448" s="5">
        <v>44145</v>
      </c>
      <c r="B448">
        <v>13.6</v>
      </c>
      <c r="C448">
        <v>14.124000000000001</v>
      </c>
      <c r="D448">
        <v>13.429</v>
      </c>
      <c r="E448">
        <v>13.89</v>
      </c>
      <c r="F448">
        <v>13738.085999999999</v>
      </c>
      <c r="G448">
        <v>0</v>
      </c>
      <c r="L448" t="s">
        <v>8</v>
      </c>
      <c r="M448" t="s">
        <v>8</v>
      </c>
      <c r="N448" t="s">
        <v>7</v>
      </c>
      <c r="P448">
        <f t="shared" si="974"/>
        <v>0.32661870503597151</v>
      </c>
      <c r="Q448">
        <f t="shared" si="975"/>
        <v>4487.1158589928091</v>
      </c>
      <c r="R448">
        <f t="shared" si="976"/>
        <v>214193.40335113875</v>
      </c>
      <c r="S448">
        <f t="shared" si="977"/>
        <v>2.1419340335113874</v>
      </c>
      <c r="T448">
        <f t="shared" si="978"/>
        <v>2.1419340335113875E-3</v>
      </c>
    </row>
    <row r="449" spans="1:20" x14ac:dyDescent="0.25">
      <c r="A449" s="5">
        <v>44144</v>
      </c>
      <c r="B449">
        <v>13.481999999999999</v>
      </c>
      <c r="C449">
        <v>14</v>
      </c>
      <c r="D449">
        <v>12.917999999999999</v>
      </c>
      <c r="E449">
        <v>13.516999999999999</v>
      </c>
      <c r="F449">
        <v>11532.534</v>
      </c>
      <c r="G449">
        <v>0</v>
      </c>
      <c r="L449" t="s">
        <v>8</v>
      </c>
      <c r="M449" t="s">
        <v>8</v>
      </c>
      <c r="N449" t="s">
        <v>7</v>
      </c>
      <c r="P449">
        <f t="shared" si="974"/>
        <v>0.10720887245840996</v>
      </c>
      <c r="Q449">
        <f t="shared" si="975"/>
        <v>1236.3899667282765</v>
      </c>
      <c r="R449">
        <f t="shared" si="976"/>
        <v>209706.28749214596</v>
      </c>
      <c r="S449">
        <f t="shared" si="977"/>
        <v>2.0970628749214595</v>
      </c>
      <c r="T449">
        <f t="shared" si="978"/>
        <v>2.0970628749214593E-3</v>
      </c>
    </row>
    <row r="450" spans="1:20" x14ac:dyDescent="0.25">
      <c r="A450" s="5">
        <v>44143</v>
      </c>
      <c r="B450">
        <v>13.135</v>
      </c>
      <c r="C450">
        <v>13.59</v>
      </c>
      <c r="D450">
        <v>12.961</v>
      </c>
      <c r="E450">
        <v>13.59</v>
      </c>
      <c r="F450">
        <v>4694.567</v>
      </c>
      <c r="G450">
        <v>0</v>
      </c>
      <c r="L450" t="s">
        <v>7</v>
      </c>
      <c r="M450" t="s">
        <v>8</v>
      </c>
      <c r="N450" t="s">
        <v>7</v>
      </c>
      <c r="P450">
        <f t="shared" si="974"/>
        <v>1</v>
      </c>
      <c r="Q450">
        <f t="shared" si="975"/>
        <v>4694.567</v>
      </c>
      <c r="R450">
        <f t="shared" si="976"/>
        <v>208469.89752541768</v>
      </c>
      <c r="S450">
        <f t="shared" si="977"/>
        <v>2.0846989752541769</v>
      </c>
      <c r="T450">
        <f t="shared" si="978"/>
        <v>2.0846989752541767E-3</v>
      </c>
    </row>
    <row r="451" spans="1:20" x14ac:dyDescent="0.25">
      <c r="A451" s="5">
        <v>44142</v>
      </c>
      <c r="B451">
        <v>13.773</v>
      </c>
      <c r="C451">
        <v>14.298999999999999</v>
      </c>
      <c r="D451">
        <v>12.817</v>
      </c>
      <c r="E451">
        <v>13.113</v>
      </c>
      <c r="F451">
        <v>13810.062</v>
      </c>
      <c r="G451">
        <v>0</v>
      </c>
      <c r="L451" t="s">
        <v>8</v>
      </c>
      <c r="M451" t="s">
        <v>8</v>
      </c>
      <c r="N451" t="s">
        <v>7</v>
      </c>
      <c r="P451">
        <f t="shared" si="974"/>
        <v>-0.60053981106612753</v>
      </c>
      <c r="Q451">
        <f t="shared" si="975"/>
        <v>-8293.4920242915068</v>
      </c>
      <c r="R451">
        <f t="shared" si="976"/>
        <v>203775.33052541767</v>
      </c>
      <c r="S451">
        <f t="shared" si="977"/>
        <v>2.0377533052541765</v>
      </c>
      <c r="T451">
        <f t="shared" si="978"/>
        <v>2.0377533052541763E-3</v>
      </c>
    </row>
    <row r="452" spans="1:20" x14ac:dyDescent="0.25">
      <c r="A452" s="5">
        <v>44141</v>
      </c>
      <c r="B452">
        <v>13.109</v>
      </c>
      <c r="C452">
        <v>14.138</v>
      </c>
      <c r="D452">
        <v>13.02</v>
      </c>
      <c r="E452">
        <v>13.778</v>
      </c>
      <c r="F452">
        <v>57584.212</v>
      </c>
      <c r="G452">
        <v>0</v>
      </c>
      <c r="L452" t="s">
        <v>8</v>
      </c>
      <c r="M452" t="s">
        <v>8</v>
      </c>
      <c r="N452" t="s">
        <v>7</v>
      </c>
      <c r="P452">
        <f t="shared" si="974"/>
        <v>0.35599284436493861</v>
      </c>
      <c r="Q452">
        <f t="shared" si="975"/>
        <v>20499.567420393629</v>
      </c>
      <c r="R452">
        <f t="shared" si="976"/>
        <v>212068.82254970918</v>
      </c>
      <c r="S452">
        <f t="shared" si="977"/>
        <v>2.1206882254970916</v>
      </c>
      <c r="T452">
        <f t="shared" si="978"/>
        <v>2.1206882254970914E-3</v>
      </c>
    </row>
    <row r="453" spans="1:20" x14ac:dyDescent="0.25">
      <c r="A453" s="5">
        <v>44140</v>
      </c>
      <c r="B453">
        <v>12.997999999999999</v>
      </c>
      <c r="C453">
        <v>13.175000000000001</v>
      </c>
      <c r="D453">
        <v>12.5</v>
      </c>
      <c r="E453">
        <v>13.051</v>
      </c>
      <c r="F453">
        <v>8695.7520000000004</v>
      </c>
      <c r="G453">
        <v>0</v>
      </c>
      <c r="L453" t="s">
        <v>8</v>
      </c>
      <c r="M453" t="s">
        <v>8</v>
      </c>
      <c r="N453" t="s">
        <v>7</v>
      </c>
      <c r="P453">
        <f t="shared" si="974"/>
        <v>0.63259259259259137</v>
      </c>
      <c r="Q453">
        <f t="shared" si="975"/>
        <v>5500.8683022222122</v>
      </c>
      <c r="R453">
        <f t="shared" si="976"/>
        <v>191569.25512931554</v>
      </c>
      <c r="S453">
        <f t="shared" si="977"/>
        <v>1.9156925512931555</v>
      </c>
      <c r="T453">
        <f t="shared" si="978"/>
        <v>1.9156925512931555E-3</v>
      </c>
    </row>
    <row r="454" spans="1:20" x14ac:dyDescent="0.25">
      <c r="A454" s="5">
        <v>44139</v>
      </c>
      <c r="B454">
        <v>13.204000000000001</v>
      </c>
      <c r="C454">
        <v>13.237</v>
      </c>
      <c r="D454">
        <v>12.388999999999999</v>
      </c>
      <c r="E454">
        <v>13</v>
      </c>
      <c r="F454">
        <v>14106.632</v>
      </c>
      <c r="G454">
        <v>0</v>
      </c>
      <c r="L454" t="s">
        <v>8</v>
      </c>
      <c r="M454" t="s">
        <v>8</v>
      </c>
      <c r="N454" t="s">
        <v>7</v>
      </c>
      <c r="P454">
        <f t="shared" ref="P454:P517" si="979">IF(C454=D454,0,((E454-D454)-(C454-E454))/(C454-D454))</f>
        <v>0.44103773584905687</v>
      </c>
      <c r="Q454">
        <f t="shared" ref="Q454:Q517" si="980">F454*P454</f>
        <v>6221.5570377358526</v>
      </c>
      <c r="R454">
        <f t="shared" ref="R454:R517" si="981">R455+Q454</f>
        <v>186068.38682709332</v>
      </c>
      <c r="S454">
        <f t="shared" ref="S454:S517" si="982">R454/100000</f>
        <v>1.8606838682709332</v>
      </c>
      <c r="T454">
        <f t="shared" ref="T454:T517" si="983">S454/1000</f>
        <v>1.8606838682709331E-3</v>
      </c>
    </row>
    <row r="455" spans="1:20" x14ac:dyDescent="0.25">
      <c r="A455" s="5">
        <v>44138</v>
      </c>
      <c r="B455">
        <v>12.340999999999999</v>
      </c>
      <c r="C455">
        <v>13.558999999999999</v>
      </c>
      <c r="D455">
        <v>12.164</v>
      </c>
      <c r="E455">
        <v>13.227</v>
      </c>
      <c r="F455">
        <v>31236.734</v>
      </c>
      <c r="G455">
        <v>0</v>
      </c>
      <c r="L455" t="s">
        <v>7</v>
      </c>
      <c r="M455" t="s">
        <v>8</v>
      </c>
      <c r="N455" t="s">
        <v>7</v>
      </c>
      <c r="P455">
        <f t="shared" si="979"/>
        <v>0.52401433691756405</v>
      </c>
      <c r="Q455">
        <f t="shared" si="980"/>
        <v>16368.496454480328</v>
      </c>
      <c r="R455">
        <f t="shared" si="981"/>
        <v>179846.82978935746</v>
      </c>
      <c r="S455">
        <f t="shared" si="982"/>
        <v>1.7984682978935747</v>
      </c>
      <c r="T455">
        <f t="shared" si="983"/>
        <v>1.7984682978935747E-3</v>
      </c>
    </row>
    <row r="456" spans="1:20" x14ac:dyDescent="0.25">
      <c r="A456" s="5">
        <v>44137</v>
      </c>
      <c r="B456">
        <v>12.61</v>
      </c>
      <c r="C456">
        <v>14.048999999999999</v>
      </c>
      <c r="D456">
        <v>12.247</v>
      </c>
      <c r="E456">
        <v>12.375</v>
      </c>
      <c r="F456">
        <v>20377.102999999999</v>
      </c>
      <c r="G456">
        <v>0</v>
      </c>
      <c r="L456" t="s">
        <v>8</v>
      </c>
      <c r="M456" t="s">
        <v>8</v>
      </c>
      <c r="N456" t="s">
        <v>7</v>
      </c>
      <c r="P456">
        <f t="shared" si="979"/>
        <v>-0.85793562708102089</v>
      </c>
      <c r="Q456">
        <f t="shared" si="980"/>
        <v>-17482.242640399552</v>
      </c>
      <c r="R456">
        <f t="shared" si="981"/>
        <v>163478.33333487713</v>
      </c>
      <c r="S456">
        <f t="shared" si="982"/>
        <v>1.6347833333487714</v>
      </c>
      <c r="T456">
        <f t="shared" si="983"/>
        <v>1.6347833333487714E-3</v>
      </c>
    </row>
    <row r="457" spans="1:20" x14ac:dyDescent="0.25">
      <c r="A457" s="5">
        <v>44136</v>
      </c>
      <c r="B457">
        <v>12.468</v>
      </c>
      <c r="C457">
        <v>12.798</v>
      </c>
      <c r="D457">
        <v>12.255000000000001</v>
      </c>
      <c r="E457">
        <v>12.6</v>
      </c>
      <c r="F457">
        <v>3079.116</v>
      </c>
      <c r="G457">
        <v>0</v>
      </c>
      <c r="L457" t="s">
        <v>8</v>
      </c>
      <c r="M457" t="s">
        <v>7</v>
      </c>
      <c r="N457" t="s">
        <v>7</v>
      </c>
      <c r="P457">
        <f t="shared" si="979"/>
        <v>0.27071823204419643</v>
      </c>
      <c r="Q457">
        <f t="shared" si="980"/>
        <v>833.57283977899795</v>
      </c>
      <c r="R457">
        <f t="shared" si="981"/>
        <v>180960.57597527668</v>
      </c>
      <c r="S457">
        <f t="shared" si="982"/>
        <v>1.8096057597527668</v>
      </c>
      <c r="T457">
        <f t="shared" si="983"/>
        <v>1.8096057597527669E-3</v>
      </c>
    </row>
    <row r="458" spans="1:20" x14ac:dyDescent="0.25">
      <c r="A458" s="5">
        <v>44135</v>
      </c>
      <c r="B458">
        <v>12.436</v>
      </c>
      <c r="C458">
        <v>12.694000000000001</v>
      </c>
      <c r="D458">
        <v>12.141999999999999</v>
      </c>
      <c r="E458">
        <v>12.497999999999999</v>
      </c>
      <c r="F458">
        <v>2991.721</v>
      </c>
      <c r="G458">
        <v>0</v>
      </c>
      <c r="L458" t="s">
        <v>8</v>
      </c>
      <c r="M458" t="s">
        <v>7</v>
      </c>
      <c r="N458" t="s">
        <v>7</v>
      </c>
      <c r="P458">
        <f t="shared" si="979"/>
        <v>0.28985507246376441</v>
      </c>
      <c r="Q458">
        <f t="shared" si="980"/>
        <v>867.16550724636568</v>
      </c>
      <c r="R458">
        <f t="shared" si="981"/>
        <v>180127.00313549768</v>
      </c>
      <c r="S458">
        <f t="shared" si="982"/>
        <v>1.8012700313549768</v>
      </c>
      <c r="T458">
        <f t="shared" si="983"/>
        <v>1.8012700313549768E-3</v>
      </c>
    </row>
    <row r="459" spans="1:20" x14ac:dyDescent="0.25">
      <c r="A459" s="5">
        <v>44134</v>
      </c>
      <c r="B459">
        <v>12.412000000000001</v>
      </c>
      <c r="C459">
        <v>12.617000000000001</v>
      </c>
      <c r="D459">
        <v>11.779</v>
      </c>
      <c r="E459">
        <v>12.43</v>
      </c>
      <c r="F459">
        <v>19347.294000000002</v>
      </c>
      <c r="G459">
        <v>0</v>
      </c>
      <c r="L459" t="s">
        <v>7</v>
      </c>
      <c r="M459" t="s">
        <v>7</v>
      </c>
      <c r="N459" t="s">
        <v>7</v>
      </c>
      <c r="P459">
        <f t="shared" si="979"/>
        <v>0.55369928400954427</v>
      </c>
      <c r="Q459">
        <f t="shared" si="980"/>
        <v>10712.582835322153</v>
      </c>
      <c r="R459">
        <f t="shared" si="981"/>
        <v>179259.83762825132</v>
      </c>
      <c r="S459">
        <f t="shared" si="982"/>
        <v>1.7925983762825133</v>
      </c>
      <c r="T459">
        <f t="shared" si="983"/>
        <v>1.7925983762825132E-3</v>
      </c>
    </row>
    <row r="460" spans="1:20" x14ac:dyDescent="0.25">
      <c r="A460" s="5">
        <v>44133</v>
      </c>
      <c r="B460">
        <v>12.436</v>
      </c>
      <c r="C460">
        <v>13.569000000000001</v>
      </c>
      <c r="D460">
        <v>12.375999999999999</v>
      </c>
      <c r="E460">
        <v>12.420999999999999</v>
      </c>
      <c r="F460">
        <v>20353.550999999999</v>
      </c>
      <c r="G460">
        <v>0</v>
      </c>
      <c r="L460" t="s">
        <v>8</v>
      </c>
      <c r="M460" t="s">
        <v>7</v>
      </c>
      <c r="N460" t="s">
        <v>7</v>
      </c>
      <c r="P460">
        <f t="shared" si="979"/>
        <v>-0.92455993294216288</v>
      </c>
      <c r="Q460">
        <f t="shared" si="980"/>
        <v>-18818.077747694893</v>
      </c>
      <c r="R460">
        <f t="shared" si="981"/>
        <v>168547.25479292916</v>
      </c>
      <c r="S460">
        <f t="shared" si="982"/>
        <v>1.6854725479292916</v>
      </c>
      <c r="T460">
        <f t="shared" si="983"/>
        <v>1.6854725479292915E-3</v>
      </c>
    </row>
    <row r="461" spans="1:20" x14ac:dyDescent="0.25">
      <c r="A461" s="5">
        <v>44132</v>
      </c>
      <c r="B461">
        <v>13.137</v>
      </c>
      <c r="C461">
        <v>13.196</v>
      </c>
      <c r="D461">
        <v>12.243</v>
      </c>
      <c r="E461">
        <v>12.4</v>
      </c>
      <c r="F461">
        <v>3836.8310000000001</v>
      </c>
      <c r="G461">
        <v>0</v>
      </c>
      <c r="L461" t="s">
        <v>7</v>
      </c>
      <c r="M461" t="s">
        <v>7</v>
      </c>
      <c r="N461" t="s">
        <v>7</v>
      </c>
      <c r="P461">
        <f t="shared" si="979"/>
        <v>-0.67051416579223477</v>
      </c>
      <c r="Q461">
        <f t="shared" si="980"/>
        <v>-2572.6495372507861</v>
      </c>
      <c r="R461">
        <f t="shared" si="981"/>
        <v>187365.33254062405</v>
      </c>
      <c r="S461">
        <f t="shared" si="982"/>
        <v>1.8736533254062404</v>
      </c>
      <c r="T461">
        <f t="shared" si="983"/>
        <v>1.8736533254062404E-3</v>
      </c>
    </row>
    <row r="462" spans="1:20" x14ac:dyDescent="0.25">
      <c r="A462" s="5">
        <v>44131</v>
      </c>
      <c r="B462">
        <v>13.026999999999999</v>
      </c>
      <c r="C462">
        <v>13.388</v>
      </c>
      <c r="D462">
        <v>12.86</v>
      </c>
      <c r="E462">
        <v>13.141</v>
      </c>
      <c r="F462">
        <v>4336.8530000000001</v>
      </c>
      <c r="G462">
        <v>0</v>
      </c>
      <c r="L462" t="s">
        <v>7</v>
      </c>
      <c r="M462" t="s">
        <v>7</v>
      </c>
      <c r="N462" t="s">
        <v>7</v>
      </c>
      <c r="P462">
        <f t="shared" si="979"/>
        <v>6.4393939393940655E-2</v>
      </c>
      <c r="Q462">
        <f t="shared" si="980"/>
        <v>279.26704924242972</v>
      </c>
      <c r="R462">
        <f t="shared" si="981"/>
        <v>189937.98207787483</v>
      </c>
      <c r="S462">
        <f t="shared" si="982"/>
        <v>1.8993798207787482</v>
      </c>
      <c r="T462">
        <f t="shared" si="983"/>
        <v>1.8993798207787482E-3</v>
      </c>
    </row>
    <row r="463" spans="1:20" x14ac:dyDescent="0.25">
      <c r="A463" s="5">
        <v>44130</v>
      </c>
      <c r="B463">
        <v>13.288</v>
      </c>
      <c r="C463">
        <v>13.411</v>
      </c>
      <c r="D463">
        <v>12.98</v>
      </c>
      <c r="E463">
        <v>13.105</v>
      </c>
      <c r="F463">
        <v>3665.64</v>
      </c>
      <c r="G463">
        <v>0</v>
      </c>
      <c r="L463" t="s">
        <v>7</v>
      </c>
      <c r="M463" t="s">
        <v>7</v>
      </c>
      <c r="N463" t="s">
        <v>7</v>
      </c>
      <c r="P463">
        <f t="shared" si="979"/>
        <v>-0.4199535962877019</v>
      </c>
      <c r="Q463">
        <f t="shared" si="980"/>
        <v>-1539.3987006960515</v>
      </c>
      <c r="R463">
        <f t="shared" si="981"/>
        <v>189658.7150286324</v>
      </c>
      <c r="S463">
        <f t="shared" si="982"/>
        <v>1.8965871502863241</v>
      </c>
      <c r="T463">
        <f t="shared" si="983"/>
        <v>1.8965871502863241E-3</v>
      </c>
    </row>
    <row r="464" spans="1:20" x14ac:dyDescent="0.25">
      <c r="A464" s="5">
        <v>44129</v>
      </c>
      <c r="B464">
        <v>13.5</v>
      </c>
      <c r="C464">
        <v>13.599</v>
      </c>
      <c r="D464">
        <v>13.249000000000001</v>
      </c>
      <c r="E464">
        <v>13.37</v>
      </c>
      <c r="F464">
        <v>3393.4960000000001</v>
      </c>
      <c r="G464">
        <v>0</v>
      </c>
      <c r="L464" t="s">
        <v>7</v>
      </c>
      <c r="M464" t="s">
        <v>7</v>
      </c>
      <c r="N464" t="s">
        <v>7</v>
      </c>
      <c r="P464">
        <f t="shared" si="979"/>
        <v>-0.30857142857143549</v>
      </c>
      <c r="Q464">
        <f t="shared" si="980"/>
        <v>-1047.1359085714521</v>
      </c>
      <c r="R464">
        <f t="shared" si="981"/>
        <v>191198.11372932844</v>
      </c>
      <c r="S464">
        <f t="shared" si="982"/>
        <v>1.9119811372932844</v>
      </c>
      <c r="T464">
        <f t="shared" si="983"/>
        <v>1.9119811372932845E-3</v>
      </c>
    </row>
    <row r="465" spans="1:20" x14ac:dyDescent="0.25">
      <c r="A465" s="5">
        <v>44128</v>
      </c>
      <c r="B465">
        <v>13.606</v>
      </c>
      <c r="C465">
        <v>13.698</v>
      </c>
      <c r="D465">
        <v>13.388999999999999</v>
      </c>
      <c r="E465">
        <v>13.491</v>
      </c>
      <c r="F465">
        <v>4068.7429999999999</v>
      </c>
      <c r="G465">
        <v>0</v>
      </c>
      <c r="L465" t="s">
        <v>7</v>
      </c>
      <c r="M465" t="s">
        <v>7</v>
      </c>
      <c r="N465" t="s">
        <v>7</v>
      </c>
      <c r="P465">
        <f t="shared" si="979"/>
        <v>-0.33980582524271868</v>
      </c>
      <c r="Q465">
        <f t="shared" si="980"/>
        <v>-1382.5825728155348</v>
      </c>
      <c r="R465">
        <f t="shared" si="981"/>
        <v>192245.24963789989</v>
      </c>
      <c r="S465">
        <f t="shared" si="982"/>
        <v>1.9224524963789988</v>
      </c>
      <c r="T465">
        <f t="shared" si="983"/>
        <v>1.9224524963789989E-3</v>
      </c>
    </row>
    <row r="466" spans="1:20" x14ac:dyDescent="0.25">
      <c r="A466" s="5">
        <v>44127</v>
      </c>
      <c r="B466">
        <v>13.707000000000001</v>
      </c>
      <c r="C466">
        <v>13.715</v>
      </c>
      <c r="D466">
        <v>13.407999999999999</v>
      </c>
      <c r="E466">
        <v>13.582000000000001</v>
      </c>
      <c r="F466">
        <v>4211.4229999999998</v>
      </c>
      <c r="G466">
        <v>0</v>
      </c>
      <c r="L466" t="s">
        <v>7</v>
      </c>
      <c r="M466" t="s">
        <v>7</v>
      </c>
      <c r="N466" t="s">
        <v>7</v>
      </c>
      <c r="P466">
        <f t="shared" si="979"/>
        <v>0.13355048859935537</v>
      </c>
      <c r="Q466">
        <f t="shared" si="980"/>
        <v>562.43759934856291</v>
      </c>
      <c r="R466">
        <f t="shared" si="981"/>
        <v>193627.83221071542</v>
      </c>
      <c r="S466">
        <f t="shared" si="982"/>
        <v>1.9362783221071542</v>
      </c>
      <c r="T466">
        <f t="shared" si="983"/>
        <v>1.9362783221071541E-3</v>
      </c>
    </row>
    <row r="467" spans="1:20" x14ac:dyDescent="0.25">
      <c r="A467" s="5">
        <v>44126</v>
      </c>
      <c r="B467">
        <v>13.566000000000001</v>
      </c>
      <c r="C467">
        <v>13.821999999999999</v>
      </c>
      <c r="D467">
        <v>13.441000000000001</v>
      </c>
      <c r="E467">
        <v>13.709</v>
      </c>
      <c r="F467">
        <v>13025.382</v>
      </c>
      <c r="G467">
        <v>0</v>
      </c>
      <c r="L467" t="s">
        <v>7</v>
      </c>
      <c r="M467" t="s">
        <v>7</v>
      </c>
      <c r="N467" t="s">
        <v>7</v>
      </c>
      <c r="P467">
        <f t="shared" si="979"/>
        <v>0.40682414698162728</v>
      </c>
      <c r="Q467">
        <f t="shared" si="980"/>
        <v>5299.0399212598422</v>
      </c>
      <c r="R467">
        <f t="shared" si="981"/>
        <v>193065.39461136685</v>
      </c>
      <c r="S467">
        <f t="shared" si="982"/>
        <v>1.9306539461136685</v>
      </c>
      <c r="T467">
        <f t="shared" si="983"/>
        <v>1.9306539461136684E-3</v>
      </c>
    </row>
    <row r="468" spans="1:20" x14ac:dyDescent="0.25">
      <c r="A468" s="5">
        <v>44125</v>
      </c>
      <c r="B468">
        <v>12.964</v>
      </c>
      <c r="C468">
        <v>13.698</v>
      </c>
      <c r="D468">
        <v>12.948</v>
      </c>
      <c r="E468">
        <v>13.468</v>
      </c>
      <c r="F468">
        <v>6712.558</v>
      </c>
      <c r="G468">
        <v>0</v>
      </c>
      <c r="L468" t="s">
        <v>7</v>
      </c>
      <c r="M468" t="s">
        <v>7</v>
      </c>
      <c r="N468" t="s">
        <v>7</v>
      </c>
      <c r="P468">
        <f t="shared" si="979"/>
        <v>0.38666666666666555</v>
      </c>
      <c r="Q468">
        <f t="shared" si="980"/>
        <v>2595.5224266666592</v>
      </c>
      <c r="R468">
        <f t="shared" si="981"/>
        <v>187766.35469010699</v>
      </c>
      <c r="S468">
        <f t="shared" si="982"/>
        <v>1.8776635469010698</v>
      </c>
      <c r="T468">
        <f t="shared" si="983"/>
        <v>1.8776635469010699E-3</v>
      </c>
    </row>
    <row r="469" spans="1:20" x14ac:dyDescent="0.25">
      <c r="A469" s="5">
        <v>44124</v>
      </c>
      <c r="B469">
        <v>13.593</v>
      </c>
      <c r="C469">
        <v>13.667</v>
      </c>
      <c r="D469">
        <v>12.939</v>
      </c>
      <c r="E469">
        <v>13.048999999999999</v>
      </c>
      <c r="F469">
        <v>4647.9309999999996</v>
      </c>
      <c r="G469">
        <v>0</v>
      </c>
      <c r="L469" t="s">
        <v>7</v>
      </c>
      <c r="M469" t="s">
        <v>7</v>
      </c>
      <c r="N469" t="s">
        <v>7</v>
      </c>
      <c r="P469">
        <f t="shared" si="979"/>
        <v>-0.69780219780219921</v>
      </c>
      <c r="Q469">
        <f t="shared" si="980"/>
        <v>-3243.3364670329734</v>
      </c>
      <c r="R469">
        <f t="shared" si="981"/>
        <v>185170.83226344033</v>
      </c>
      <c r="S469">
        <f t="shared" si="982"/>
        <v>1.8517083226344033</v>
      </c>
      <c r="T469">
        <f t="shared" si="983"/>
        <v>1.8517083226344032E-3</v>
      </c>
    </row>
    <row r="470" spans="1:20" x14ac:dyDescent="0.25">
      <c r="A470" s="5">
        <v>44123</v>
      </c>
      <c r="B470">
        <v>13.586</v>
      </c>
      <c r="C470">
        <v>13.696999999999999</v>
      </c>
      <c r="D470">
        <v>13.412000000000001</v>
      </c>
      <c r="E470">
        <v>13.593999999999999</v>
      </c>
      <c r="F470">
        <v>4603.5259999999998</v>
      </c>
      <c r="G470">
        <v>0</v>
      </c>
      <c r="L470" t="s">
        <v>7</v>
      </c>
      <c r="M470" t="s">
        <v>7</v>
      </c>
      <c r="N470" t="s">
        <v>7</v>
      </c>
      <c r="P470">
        <f t="shared" si="979"/>
        <v>0.27719298245613788</v>
      </c>
      <c r="Q470">
        <f t="shared" si="980"/>
        <v>1276.0651017543746</v>
      </c>
      <c r="R470">
        <f t="shared" si="981"/>
        <v>188414.16873047329</v>
      </c>
      <c r="S470">
        <f t="shared" si="982"/>
        <v>1.884141687304733</v>
      </c>
      <c r="T470">
        <f t="shared" si="983"/>
        <v>1.8841416873047331E-3</v>
      </c>
    </row>
    <row r="471" spans="1:20" x14ac:dyDescent="0.25">
      <c r="A471" s="5">
        <v>44122</v>
      </c>
      <c r="B471">
        <v>13.59</v>
      </c>
      <c r="C471">
        <v>13.657999999999999</v>
      </c>
      <c r="D471">
        <v>13.45</v>
      </c>
      <c r="E471">
        <v>13.634</v>
      </c>
      <c r="F471">
        <v>1592.761</v>
      </c>
      <c r="G471">
        <v>0</v>
      </c>
      <c r="L471" t="s">
        <v>7</v>
      </c>
      <c r="M471" t="s">
        <v>7</v>
      </c>
      <c r="N471" t="s">
        <v>7</v>
      </c>
      <c r="P471">
        <f t="shared" si="979"/>
        <v>0.76923076923077782</v>
      </c>
      <c r="Q471">
        <f t="shared" si="980"/>
        <v>1225.200769230783</v>
      </c>
      <c r="R471">
        <f t="shared" si="981"/>
        <v>187138.10362871891</v>
      </c>
      <c r="S471">
        <f t="shared" si="982"/>
        <v>1.871381036287189</v>
      </c>
      <c r="T471">
        <f t="shared" si="983"/>
        <v>1.8713810362871891E-3</v>
      </c>
    </row>
    <row r="472" spans="1:20" x14ac:dyDescent="0.25">
      <c r="A472" s="5">
        <v>44121</v>
      </c>
      <c r="B472">
        <v>13.542</v>
      </c>
      <c r="C472">
        <v>13.698</v>
      </c>
      <c r="D472">
        <v>13.464</v>
      </c>
      <c r="E472">
        <v>13.59</v>
      </c>
      <c r="F472">
        <v>2634.567</v>
      </c>
      <c r="G472">
        <v>0</v>
      </c>
      <c r="L472" t="s">
        <v>7</v>
      </c>
      <c r="M472" t="s">
        <v>7</v>
      </c>
      <c r="N472" t="s">
        <v>7</v>
      </c>
      <c r="P472">
        <f t="shared" si="979"/>
        <v>7.6923076923072251E-2</v>
      </c>
      <c r="Q472">
        <f t="shared" si="980"/>
        <v>202.65899999998769</v>
      </c>
      <c r="R472">
        <f t="shared" si="981"/>
        <v>185912.90285948812</v>
      </c>
      <c r="S472">
        <f t="shared" si="982"/>
        <v>1.8591290285948812</v>
      </c>
      <c r="T472">
        <f t="shared" si="983"/>
        <v>1.8591290285948812E-3</v>
      </c>
    </row>
    <row r="473" spans="1:20" x14ac:dyDescent="0.25">
      <c r="A473" s="5">
        <v>44120</v>
      </c>
      <c r="B473">
        <v>13.738</v>
      </c>
      <c r="C473">
        <v>13.984999999999999</v>
      </c>
      <c r="D473">
        <v>13.25</v>
      </c>
      <c r="E473">
        <v>13.541</v>
      </c>
      <c r="F473">
        <v>6836.491</v>
      </c>
      <c r="G473">
        <v>0</v>
      </c>
      <c r="L473" t="s">
        <v>7</v>
      </c>
      <c r="M473" t="s">
        <v>7</v>
      </c>
      <c r="N473" t="s">
        <v>7</v>
      </c>
      <c r="P473">
        <f t="shared" si="979"/>
        <v>-0.20816326530612084</v>
      </c>
      <c r="Q473">
        <f t="shared" si="980"/>
        <v>-1423.1062897959073</v>
      </c>
      <c r="R473">
        <f t="shared" si="981"/>
        <v>185710.24385948814</v>
      </c>
      <c r="S473">
        <f t="shared" si="982"/>
        <v>1.8571024385948813</v>
      </c>
      <c r="T473">
        <f t="shared" si="983"/>
        <v>1.8571024385948813E-3</v>
      </c>
    </row>
    <row r="474" spans="1:20" x14ac:dyDescent="0.25">
      <c r="A474" s="5">
        <v>44119</v>
      </c>
      <c r="B474">
        <v>14.009</v>
      </c>
      <c r="C474">
        <v>14.097</v>
      </c>
      <c r="D474">
        <v>13.692</v>
      </c>
      <c r="E474">
        <v>13.737</v>
      </c>
      <c r="F474">
        <v>2093.5569999999998</v>
      </c>
      <c r="G474">
        <v>0</v>
      </c>
      <c r="L474" t="s">
        <v>7</v>
      </c>
      <c r="M474" t="s">
        <v>7</v>
      </c>
      <c r="N474" t="s">
        <v>7</v>
      </c>
      <c r="P474">
        <f t="shared" si="979"/>
        <v>-0.77777777777777779</v>
      </c>
      <c r="Q474">
        <f t="shared" si="980"/>
        <v>-1628.3221111111109</v>
      </c>
      <c r="R474">
        <f t="shared" si="981"/>
        <v>187133.35014928406</v>
      </c>
      <c r="S474">
        <f t="shared" si="982"/>
        <v>1.8713335014928405</v>
      </c>
      <c r="T474">
        <f t="shared" si="983"/>
        <v>1.8713335014928405E-3</v>
      </c>
    </row>
    <row r="475" spans="1:20" x14ac:dyDescent="0.25">
      <c r="A475" s="5">
        <v>44118</v>
      </c>
      <c r="B475">
        <v>14.178000000000001</v>
      </c>
      <c r="C475">
        <v>15.3</v>
      </c>
      <c r="D475">
        <v>13.25</v>
      </c>
      <c r="E475">
        <v>14.005000000000001</v>
      </c>
      <c r="F475">
        <v>16837.546999999999</v>
      </c>
      <c r="G475">
        <v>0</v>
      </c>
      <c r="L475" t="s">
        <v>8</v>
      </c>
      <c r="M475" t="s">
        <v>7</v>
      </c>
      <c r="N475" t="s">
        <v>7</v>
      </c>
      <c r="P475">
        <f t="shared" si="979"/>
        <v>-0.26341463414634098</v>
      </c>
      <c r="Q475">
        <f t="shared" si="980"/>
        <v>-4435.2562829268209</v>
      </c>
      <c r="R475">
        <f t="shared" si="981"/>
        <v>188761.67226039516</v>
      </c>
      <c r="S475">
        <f t="shared" si="982"/>
        <v>1.8876167226039517</v>
      </c>
      <c r="T475">
        <f t="shared" si="983"/>
        <v>1.8876167226039517E-3</v>
      </c>
    </row>
    <row r="476" spans="1:20" x14ac:dyDescent="0.25">
      <c r="A476" s="5">
        <v>44117</v>
      </c>
      <c r="B476">
        <v>14.378</v>
      </c>
      <c r="C476">
        <v>14.406000000000001</v>
      </c>
      <c r="D476">
        <v>14</v>
      </c>
      <c r="E476">
        <v>14.17</v>
      </c>
      <c r="F476">
        <v>4517.8739999999998</v>
      </c>
      <c r="G476">
        <v>0</v>
      </c>
      <c r="L476" t="s">
        <v>8</v>
      </c>
      <c r="M476" t="s">
        <v>7</v>
      </c>
      <c r="N476" t="s">
        <v>7</v>
      </c>
      <c r="P476">
        <f t="shared" si="979"/>
        <v>-0.16256157635468135</v>
      </c>
      <c r="Q476">
        <f t="shared" si="980"/>
        <v>-734.43271921182964</v>
      </c>
      <c r="R476">
        <f t="shared" si="981"/>
        <v>193196.92854332199</v>
      </c>
      <c r="S476">
        <f t="shared" si="982"/>
        <v>1.93196928543322</v>
      </c>
      <c r="T476">
        <f t="shared" si="983"/>
        <v>1.93196928543322E-3</v>
      </c>
    </row>
    <row r="477" spans="1:20" x14ac:dyDescent="0.25">
      <c r="A477" s="5">
        <v>44116</v>
      </c>
      <c r="B477">
        <v>14.37</v>
      </c>
      <c r="C477">
        <v>14.696999999999999</v>
      </c>
      <c r="D477">
        <v>14.098000000000001</v>
      </c>
      <c r="E477">
        <v>14.35</v>
      </c>
      <c r="F477">
        <v>9138.4439999999995</v>
      </c>
      <c r="G477">
        <v>0</v>
      </c>
      <c r="L477" t="s">
        <v>8</v>
      </c>
      <c r="M477" t="s">
        <v>7</v>
      </c>
      <c r="N477" t="s">
        <v>7</v>
      </c>
      <c r="P477">
        <f t="shared" si="979"/>
        <v>-0.15859766277128695</v>
      </c>
      <c r="Q477">
        <f t="shared" si="980"/>
        <v>-1449.3358597662905</v>
      </c>
      <c r="R477">
        <f t="shared" si="981"/>
        <v>193931.36126253381</v>
      </c>
      <c r="S477">
        <f t="shared" si="982"/>
        <v>1.9393136126253381</v>
      </c>
      <c r="T477">
        <f t="shared" si="983"/>
        <v>1.9393136126253381E-3</v>
      </c>
    </row>
    <row r="478" spans="1:20" x14ac:dyDescent="0.25">
      <c r="A478" s="5">
        <v>44115</v>
      </c>
      <c r="B478">
        <v>14.366</v>
      </c>
      <c r="C478">
        <v>14.643000000000001</v>
      </c>
      <c r="D478">
        <v>14.064</v>
      </c>
      <c r="E478">
        <v>14.375999999999999</v>
      </c>
      <c r="F478">
        <v>8794.8160000000007</v>
      </c>
      <c r="G478">
        <v>0</v>
      </c>
      <c r="L478" t="s">
        <v>8</v>
      </c>
      <c r="M478" t="s">
        <v>7</v>
      </c>
      <c r="N478" t="s">
        <v>7</v>
      </c>
      <c r="P478">
        <f t="shared" si="979"/>
        <v>7.7720207253882734E-2</v>
      </c>
      <c r="Q478">
        <f t="shared" si="980"/>
        <v>683.53492227976403</v>
      </c>
      <c r="R478">
        <f t="shared" si="981"/>
        <v>195380.6971223001</v>
      </c>
      <c r="S478">
        <f t="shared" si="982"/>
        <v>1.9538069712230011</v>
      </c>
      <c r="T478">
        <f t="shared" si="983"/>
        <v>1.9538069712230011E-3</v>
      </c>
    </row>
    <row r="479" spans="1:20" x14ac:dyDescent="0.25">
      <c r="A479" s="5">
        <v>44114</v>
      </c>
      <c r="B479">
        <v>14.371</v>
      </c>
      <c r="C479">
        <v>14.856</v>
      </c>
      <c r="D479">
        <v>14.239000000000001</v>
      </c>
      <c r="E479">
        <v>14.348000000000001</v>
      </c>
      <c r="F479">
        <v>12795.278</v>
      </c>
      <c r="G479">
        <v>0</v>
      </c>
      <c r="L479" t="s">
        <v>8</v>
      </c>
      <c r="M479" t="s">
        <v>7</v>
      </c>
      <c r="N479" t="s">
        <v>7</v>
      </c>
      <c r="P479">
        <f t="shared" si="979"/>
        <v>-0.64667747163695255</v>
      </c>
      <c r="Q479">
        <f t="shared" si="980"/>
        <v>-8274.4180259319237</v>
      </c>
      <c r="R479">
        <f t="shared" si="981"/>
        <v>194697.16220002034</v>
      </c>
      <c r="S479">
        <f t="shared" si="982"/>
        <v>1.9469716220002034</v>
      </c>
      <c r="T479">
        <f t="shared" si="983"/>
        <v>1.9469716220002033E-3</v>
      </c>
    </row>
    <row r="480" spans="1:20" x14ac:dyDescent="0.25">
      <c r="A480" s="5">
        <v>44113</v>
      </c>
      <c r="B480">
        <v>13.648999999999999</v>
      </c>
      <c r="C480">
        <v>14.4</v>
      </c>
      <c r="D480">
        <v>13.275</v>
      </c>
      <c r="E480">
        <v>14.374000000000001</v>
      </c>
      <c r="F480">
        <v>13416.079</v>
      </c>
      <c r="G480">
        <v>0</v>
      </c>
      <c r="L480" t="s">
        <v>8</v>
      </c>
      <c r="M480" t="s">
        <v>7</v>
      </c>
      <c r="N480" t="s">
        <v>7</v>
      </c>
      <c r="P480">
        <f t="shared" si="979"/>
        <v>0.95377777777777817</v>
      </c>
      <c r="Q480">
        <f t="shared" si="980"/>
        <v>12795.958015111117</v>
      </c>
      <c r="R480">
        <f t="shared" si="981"/>
        <v>202971.58022595226</v>
      </c>
      <c r="S480">
        <f t="shared" si="982"/>
        <v>2.0297158022595228</v>
      </c>
      <c r="T480">
        <f t="shared" si="983"/>
        <v>2.0297158022595228E-3</v>
      </c>
    </row>
    <row r="481" spans="1:20" x14ac:dyDescent="0.25">
      <c r="A481" s="5">
        <v>44112</v>
      </c>
      <c r="B481">
        <v>13.253</v>
      </c>
      <c r="C481">
        <v>13.662000000000001</v>
      </c>
      <c r="D481">
        <v>12.901999999999999</v>
      </c>
      <c r="E481">
        <v>13.574999999999999</v>
      </c>
      <c r="F481">
        <v>4527.9350000000004</v>
      </c>
      <c r="G481">
        <v>0</v>
      </c>
      <c r="L481" t="s">
        <v>8</v>
      </c>
      <c r="M481" t="s">
        <v>7</v>
      </c>
      <c r="N481" t="s">
        <v>7</v>
      </c>
      <c r="P481">
        <f t="shared" si="979"/>
        <v>0.77105263157894388</v>
      </c>
      <c r="Q481">
        <f t="shared" si="980"/>
        <v>3491.2761973684055</v>
      </c>
      <c r="R481">
        <f t="shared" si="981"/>
        <v>190175.62221084113</v>
      </c>
      <c r="S481">
        <f t="shared" si="982"/>
        <v>1.9017562221084112</v>
      </c>
      <c r="T481">
        <f t="shared" si="983"/>
        <v>1.9017562221084112E-3</v>
      </c>
    </row>
    <row r="482" spans="1:20" x14ac:dyDescent="0.25">
      <c r="A482" s="5">
        <v>44111</v>
      </c>
      <c r="B482">
        <v>13.106</v>
      </c>
      <c r="C482">
        <v>13.714</v>
      </c>
      <c r="D482">
        <v>12.75</v>
      </c>
      <c r="E482">
        <v>13.188000000000001</v>
      </c>
      <c r="F482">
        <v>10458.209000000001</v>
      </c>
      <c r="G482">
        <v>0</v>
      </c>
      <c r="L482" t="s">
        <v>7</v>
      </c>
      <c r="M482" t="s">
        <v>7</v>
      </c>
      <c r="N482" t="s">
        <v>7</v>
      </c>
      <c r="P482">
        <f t="shared" si="979"/>
        <v>-9.1286307053941029E-2</v>
      </c>
      <c r="Q482">
        <f t="shared" si="980"/>
        <v>-954.6912780082896</v>
      </c>
      <c r="R482">
        <f t="shared" si="981"/>
        <v>186684.34601347274</v>
      </c>
      <c r="S482">
        <f t="shared" si="982"/>
        <v>1.8668434601347275</v>
      </c>
      <c r="T482">
        <f t="shared" si="983"/>
        <v>1.8668434601347274E-3</v>
      </c>
    </row>
    <row r="483" spans="1:20" x14ac:dyDescent="0.25">
      <c r="A483" s="5">
        <v>44110</v>
      </c>
      <c r="B483">
        <v>14.048999999999999</v>
      </c>
      <c r="C483">
        <v>14.061</v>
      </c>
      <c r="D483">
        <v>12.991</v>
      </c>
      <c r="E483">
        <v>13.13</v>
      </c>
      <c r="F483">
        <v>12132.523999999999</v>
      </c>
      <c r="G483">
        <v>0</v>
      </c>
      <c r="L483" t="s">
        <v>7</v>
      </c>
      <c r="M483" t="s">
        <v>7</v>
      </c>
      <c r="N483" t="s">
        <v>7</v>
      </c>
      <c r="P483">
        <f t="shared" si="979"/>
        <v>-0.74018691588784846</v>
      </c>
      <c r="Q483">
        <f t="shared" si="980"/>
        <v>-8980.3355214953026</v>
      </c>
      <c r="R483">
        <f t="shared" si="981"/>
        <v>187639.03729148101</v>
      </c>
      <c r="S483">
        <f t="shared" si="982"/>
        <v>1.8763903729148101</v>
      </c>
      <c r="T483">
        <f t="shared" si="983"/>
        <v>1.8763903729148101E-3</v>
      </c>
    </row>
    <row r="484" spans="1:20" x14ac:dyDescent="0.25">
      <c r="A484" s="5">
        <v>44109</v>
      </c>
      <c r="B484">
        <v>13.852</v>
      </c>
      <c r="C484">
        <v>14.51</v>
      </c>
      <c r="D484">
        <v>13.781000000000001</v>
      </c>
      <c r="E484">
        <v>14.047000000000001</v>
      </c>
      <c r="F484">
        <v>7848.701</v>
      </c>
      <c r="G484">
        <v>0</v>
      </c>
      <c r="L484" t="s">
        <v>8</v>
      </c>
      <c r="M484" t="s">
        <v>7</v>
      </c>
      <c r="N484" t="s">
        <v>7</v>
      </c>
      <c r="P484">
        <f t="shared" si="979"/>
        <v>-0.27023319615912123</v>
      </c>
      <c r="Q484">
        <f t="shared" si="980"/>
        <v>-2120.979556927291</v>
      </c>
      <c r="R484">
        <f t="shared" si="981"/>
        <v>196619.3728129763</v>
      </c>
      <c r="S484">
        <f t="shared" si="982"/>
        <v>1.966193728129763</v>
      </c>
      <c r="T484">
        <f t="shared" si="983"/>
        <v>1.9661937281297628E-3</v>
      </c>
    </row>
    <row r="485" spans="1:20" x14ac:dyDescent="0.25">
      <c r="A485" s="5">
        <v>44108</v>
      </c>
      <c r="B485">
        <v>13.797000000000001</v>
      </c>
      <c r="C485">
        <v>13.932</v>
      </c>
      <c r="D485">
        <v>13.5</v>
      </c>
      <c r="E485">
        <v>13.898</v>
      </c>
      <c r="F485">
        <v>3868.0920000000001</v>
      </c>
      <c r="G485">
        <v>0</v>
      </c>
      <c r="L485" t="s">
        <v>8</v>
      </c>
      <c r="M485" t="s">
        <v>7</v>
      </c>
      <c r="N485" t="s">
        <v>7</v>
      </c>
      <c r="P485">
        <f t="shared" si="979"/>
        <v>0.84259259259258956</v>
      </c>
      <c r="Q485">
        <f t="shared" si="980"/>
        <v>3259.2256666666549</v>
      </c>
      <c r="R485">
        <f t="shared" si="981"/>
        <v>198740.35236990359</v>
      </c>
      <c r="S485">
        <f t="shared" si="982"/>
        <v>1.9874035236990359</v>
      </c>
      <c r="T485">
        <f t="shared" si="983"/>
        <v>1.987403523699036E-3</v>
      </c>
    </row>
    <row r="486" spans="1:20" x14ac:dyDescent="0.25">
      <c r="A486" s="5">
        <v>44107</v>
      </c>
      <c r="B486">
        <v>13.343999999999999</v>
      </c>
      <c r="C486">
        <v>14.144</v>
      </c>
      <c r="D486">
        <v>13.343</v>
      </c>
      <c r="E486">
        <v>13.901</v>
      </c>
      <c r="F486">
        <v>6955.23</v>
      </c>
      <c r="G486">
        <v>0</v>
      </c>
      <c r="L486" t="s">
        <v>8</v>
      </c>
      <c r="M486" t="s">
        <v>7</v>
      </c>
      <c r="N486" t="s">
        <v>7</v>
      </c>
      <c r="P486">
        <f t="shared" si="979"/>
        <v>0.39325842696629143</v>
      </c>
      <c r="Q486">
        <f t="shared" si="980"/>
        <v>2735.202808988759</v>
      </c>
      <c r="R486">
        <f t="shared" si="981"/>
        <v>195481.12670323692</v>
      </c>
      <c r="S486">
        <f t="shared" si="982"/>
        <v>1.9548112670323692</v>
      </c>
      <c r="T486">
        <f t="shared" si="983"/>
        <v>1.9548112670323692E-3</v>
      </c>
    </row>
    <row r="487" spans="1:20" x14ac:dyDescent="0.25">
      <c r="A487" s="5">
        <v>44106</v>
      </c>
      <c r="B487">
        <v>13.94</v>
      </c>
      <c r="C487">
        <v>14.086</v>
      </c>
      <c r="D487">
        <v>12.913</v>
      </c>
      <c r="E487">
        <v>13.407999999999999</v>
      </c>
      <c r="F487">
        <v>11293.659</v>
      </c>
      <c r="G487">
        <v>0</v>
      </c>
      <c r="L487" t="s">
        <v>7</v>
      </c>
      <c r="M487" t="s">
        <v>7</v>
      </c>
      <c r="N487" t="s">
        <v>7</v>
      </c>
      <c r="P487">
        <f t="shared" si="979"/>
        <v>-0.15601023017902949</v>
      </c>
      <c r="Q487">
        <f t="shared" si="980"/>
        <v>-1761.9263401534679</v>
      </c>
      <c r="R487">
        <f t="shared" si="981"/>
        <v>192745.92389424818</v>
      </c>
      <c r="S487">
        <f t="shared" si="982"/>
        <v>1.9274592389424818</v>
      </c>
      <c r="T487">
        <f t="shared" si="983"/>
        <v>1.9274592389424818E-3</v>
      </c>
    </row>
    <row r="488" spans="1:20" x14ac:dyDescent="0.25">
      <c r="A488" s="5">
        <v>44105</v>
      </c>
      <c r="B488">
        <v>14.305999999999999</v>
      </c>
      <c r="C488">
        <v>14.662000000000001</v>
      </c>
      <c r="D488">
        <v>13.567</v>
      </c>
      <c r="E488">
        <v>13.951000000000001</v>
      </c>
      <c r="F488">
        <v>12144.450999999999</v>
      </c>
      <c r="G488">
        <v>0</v>
      </c>
      <c r="L488" t="s">
        <v>7</v>
      </c>
      <c r="M488" t="s">
        <v>8</v>
      </c>
      <c r="N488" t="s">
        <v>7</v>
      </c>
      <c r="P488">
        <f t="shared" si="979"/>
        <v>-0.29863013698630114</v>
      </c>
      <c r="Q488">
        <f t="shared" si="980"/>
        <v>-3626.6990657534216</v>
      </c>
      <c r="R488">
        <f t="shared" si="981"/>
        <v>194507.85023440165</v>
      </c>
      <c r="S488">
        <f t="shared" si="982"/>
        <v>1.9450785023440165</v>
      </c>
      <c r="T488">
        <f t="shared" si="983"/>
        <v>1.9450785023440165E-3</v>
      </c>
    </row>
    <row r="489" spans="1:20" x14ac:dyDescent="0.25">
      <c r="A489" s="5">
        <v>44104</v>
      </c>
      <c r="B489">
        <v>14.06</v>
      </c>
      <c r="C489">
        <v>14.438000000000001</v>
      </c>
      <c r="D489">
        <v>13.891</v>
      </c>
      <c r="E489">
        <v>14.196</v>
      </c>
      <c r="F489">
        <v>6092.4610000000002</v>
      </c>
      <c r="G489">
        <v>0</v>
      </c>
      <c r="L489" t="s">
        <v>7</v>
      </c>
      <c r="M489" t="s">
        <v>8</v>
      </c>
      <c r="N489" t="s">
        <v>7</v>
      </c>
      <c r="P489">
        <f t="shared" si="979"/>
        <v>0.11517367458866319</v>
      </c>
      <c r="Q489">
        <f t="shared" si="980"/>
        <v>701.69112065812158</v>
      </c>
      <c r="R489">
        <f t="shared" si="981"/>
        <v>198134.54930015508</v>
      </c>
      <c r="S489">
        <f t="shared" si="982"/>
        <v>1.9813454930015508</v>
      </c>
      <c r="T489">
        <f t="shared" si="983"/>
        <v>1.9813454930015508E-3</v>
      </c>
    </row>
    <row r="490" spans="1:20" x14ac:dyDescent="0.25">
      <c r="A490" s="5">
        <v>44103</v>
      </c>
      <c r="B490">
        <v>14.27</v>
      </c>
      <c r="C490">
        <v>14.375999999999999</v>
      </c>
      <c r="D490">
        <v>13.862</v>
      </c>
      <c r="E490">
        <v>14.134</v>
      </c>
      <c r="F490">
        <v>9610.768</v>
      </c>
      <c r="G490">
        <v>0</v>
      </c>
      <c r="L490" t="s">
        <v>7</v>
      </c>
      <c r="M490" t="s">
        <v>8</v>
      </c>
      <c r="N490" t="s">
        <v>7</v>
      </c>
      <c r="P490">
        <f t="shared" si="979"/>
        <v>5.8365758754866097E-2</v>
      </c>
      <c r="Q490">
        <f t="shared" si="980"/>
        <v>560.93976653698689</v>
      </c>
      <c r="R490">
        <f t="shared" si="981"/>
        <v>197432.85817949695</v>
      </c>
      <c r="S490">
        <f t="shared" si="982"/>
        <v>1.9743285817949694</v>
      </c>
      <c r="T490">
        <f t="shared" si="983"/>
        <v>1.9743285817949694E-3</v>
      </c>
    </row>
    <row r="491" spans="1:20" x14ac:dyDescent="0.25">
      <c r="A491" s="5">
        <v>44102</v>
      </c>
      <c r="B491">
        <v>14.131</v>
      </c>
      <c r="C491">
        <v>14.647</v>
      </c>
      <c r="D491">
        <v>13.917</v>
      </c>
      <c r="E491">
        <v>14.321</v>
      </c>
      <c r="F491">
        <v>11203.267</v>
      </c>
      <c r="G491">
        <v>0</v>
      </c>
      <c r="L491" t="s">
        <v>7</v>
      </c>
      <c r="M491" t="s">
        <v>8</v>
      </c>
      <c r="N491" t="s">
        <v>7</v>
      </c>
      <c r="P491">
        <f t="shared" si="979"/>
        <v>0.10684931506849227</v>
      </c>
      <c r="Q491">
        <f t="shared" si="980"/>
        <v>1197.0614054794421</v>
      </c>
      <c r="R491">
        <f t="shared" si="981"/>
        <v>196871.91841295996</v>
      </c>
      <c r="S491">
        <f t="shared" si="982"/>
        <v>1.9687191841295997</v>
      </c>
      <c r="T491">
        <f t="shared" si="983"/>
        <v>1.9687191841295999E-3</v>
      </c>
    </row>
    <row r="492" spans="1:20" x14ac:dyDescent="0.25">
      <c r="A492" s="5">
        <v>44101</v>
      </c>
      <c r="B492">
        <v>14.427</v>
      </c>
      <c r="C492">
        <v>14.696999999999999</v>
      </c>
      <c r="D492">
        <v>13.752000000000001</v>
      </c>
      <c r="E492">
        <v>14.131</v>
      </c>
      <c r="F492">
        <v>9235.8700000000008</v>
      </c>
      <c r="G492">
        <v>0</v>
      </c>
      <c r="L492" t="s">
        <v>7</v>
      </c>
      <c r="M492" t="s">
        <v>8</v>
      </c>
      <c r="N492" t="s">
        <v>7</v>
      </c>
      <c r="P492">
        <f t="shared" si="979"/>
        <v>-0.19788359788359755</v>
      </c>
      <c r="Q492">
        <f t="shared" si="980"/>
        <v>-1827.6271851851823</v>
      </c>
      <c r="R492">
        <f t="shared" si="981"/>
        <v>195674.85700748052</v>
      </c>
      <c r="S492">
        <f t="shared" si="982"/>
        <v>1.9567485700748051</v>
      </c>
      <c r="T492">
        <f t="shared" si="983"/>
        <v>1.956748570074805E-3</v>
      </c>
    </row>
    <row r="493" spans="1:20" x14ac:dyDescent="0.25">
      <c r="A493" s="5">
        <v>44100</v>
      </c>
      <c r="B493">
        <v>14.119</v>
      </c>
      <c r="C493">
        <v>14.805999999999999</v>
      </c>
      <c r="D493">
        <v>13.959</v>
      </c>
      <c r="E493">
        <v>14.523</v>
      </c>
      <c r="F493">
        <v>20618.541000000001</v>
      </c>
      <c r="G493">
        <v>0</v>
      </c>
      <c r="L493" t="s">
        <v>8</v>
      </c>
      <c r="M493" t="s">
        <v>8</v>
      </c>
      <c r="N493" t="s">
        <v>7</v>
      </c>
      <c r="P493">
        <f t="shared" si="979"/>
        <v>0.331759149940969</v>
      </c>
      <c r="Q493">
        <f t="shared" si="980"/>
        <v>6840.3896351830172</v>
      </c>
      <c r="R493">
        <f t="shared" si="981"/>
        <v>197502.4841926657</v>
      </c>
      <c r="S493">
        <f t="shared" si="982"/>
        <v>1.9750248419266569</v>
      </c>
      <c r="T493">
        <f t="shared" si="983"/>
        <v>1.975024841926657E-3</v>
      </c>
    </row>
    <row r="494" spans="1:20" x14ac:dyDescent="0.25">
      <c r="A494" s="5">
        <v>44099</v>
      </c>
      <c r="B494">
        <v>14.321</v>
      </c>
      <c r="C494">
        <v>14.536</v>
      </c>
      <c r="D494">
        <v>13.435</v>
      </c>
      <c r="E494">
        <v>14.116</v>
      </c>
      <c r="F494">
        <v>38317.025999999998</v>
      </c>
      <c r="G494">
        <v>0</v>
      </c>
      <c r="L494" t="s">
        <v>7</v>
      </c>
      <c r="M494" t="s">
        <v>8</v>
      </c>
      <c r="N494" t="s">
        <v>7</v>
      </c>
      <c r="P494">
        <f t="shared" si="979"/>
        <v>0.23705722070844637</v>
      </c>
      <c r="Q494">
        <f t="shared" si="980"/>
        <v>9083.3276893732782</v>
      </c>
      <c r="R494">
        <f t="shared" si="981"/>
        <v>190662.09455748269</v>
      </c>
      <c r="S494">
        <f t="shared" si="982"/>
        <v>1.9066209455748269</v>
      </c>
      <c r="T494">
        <f t="shared" si="983"/>
        <v>1.9066209455748269E-3</v>
      </c>
    </row>
    <row r="495" spans="1:20" x14ac:dyDescent="0.25">
      <c r="A495" s="5">
        <v>44098</v>
      </c>
      <c r="B495">
        <v>12.576000000000001</v>
      </c>
      <c r="C495">
        <v>15.933</v>
      </c>
      <c r="D495">
        <v>12.391999999999999</v>
      </c>
      <c r="E495">
        <v>14.321</v>
      </c>
      <c r="F495">
        <v>92186.475999999995</v>
      </c>
      <c r="G495">
        <v>0</v>
      </c>
      <c r="L495" t="s">
        <v>8</v>
      </c>
      <c r="M495" t="s">
        <v>8</v>
      </c>
      <c r="N495" t="s">
        <v>7</v>
      </c>
      <c r="P495">
        <f t="shared" si="979"/>
        <v>8.9522733691047768E-2</v>
      </c>
      <c r="Q495">
        <f t="shared" si="980"/>
        <v>8252.7853408641658</v>
      </c>
      <c r="R495">
        <f t="shared" si="981"/>
        <v>181578.76686810941</v>
      </c>
      <c r="S495">
        <f t="shared" si="982"/>
        <v>1.8157876686810941</v>
      </c>
      <c r="T495">
        <f t="shared" si="983"/>
        <v>1.8157876686810941E-3</v>
      </c>
    </row>
    <row r="496" spans="1:20" x14ac:dyDescent="0.25">
      <c r="A496" s="5">
        <v>44097</v>
      </c>
      <c r="B496">
        <v>13.625</v>
      </c>
      <c r="C496">
        <v>14.779</v>
      </c>
      <c r="D496">
        <v>12.545</v>
      </c>
      <c r="E496">
        <v>12.545</v>
      </c>
      <c r="F496">
        <v>27100.132000000001</v>
      </c>
      <c r="G496">
        <v>0</v>
      </c>
      <c r="L496" t="s">
        <v>8</v>
      </c>
      <c r="M496" t="s">
        <v>7</v>
      </c>
      <c r="N496" t="s">
        <v>7</v>
      </c>
      <c r="P496">
        <f t="shared" si="979"/>
        <v>-1</v>
      </c>
      <c r="Q496">
        <f t="shared" si="980"/>
        <v>-27100.132000000001</v>
      </c>
      <c r="R496">
        <f t="shared" si="981"/>
        <v>173325.98152724525</v>
      </c>
      <c r="S496">
        <f t="shared" si="982"/>
        <v>1.7332598152724525</v>
      </c>
      <c r="T496">
        <f t="shared" si="983"/>
        <v>1.7332598152724526E-3</v>
      </c>
    </row>
    <row r="497" spans="1:20" x14ac:dyDescent="0.25">
      <c r="A497" s="5">
        <v>44096</v>
      </c>
      <c r="B497">
        <v>13.208</v>
      </c>
      <c r="C497">
        <v>13.846</v>
      </c>
      <c r="D497">
        <v>12.938000000000001</v>
      </c>
      <c r="E497">
        <v>13.621</v>
      </c>
      <c r="F497">
        <v>15582.22</v>
      </c>
      <c r="G497">
        <v>0</v>
      </c>
      <c r="L497" t="s">
        <v>8</v>
      </c>
      <c r="M497" t="s">
        <v>7</v>
      </c>
      <c r="N497" t="s">
        <v>7</v>
      </c>
      <c r="P497">
        <f t="shared" si="979"/>
        <v>0.50440528634361281</v>
      </c>
      <c r="Q497">
        <f t="shared" si="980"/>
        <v>7859.7541409691703</v>
      </c>
      <c r="R497">
        <f t="shared" si="981"/>
        <v>200426.11352724527</v>
      </c>
      <c r="S497">
        <f t="shared" si="982"/>
        <v>2.0042611352724529</v>
      </c>
      <c r="T497">
        <f t="shared" si="983"/>
        <v>2.0042611352724528E-3</v>
      </c>
    </row>
    <row r="498" spans="1:20" x14ac:dyDescent="0.25">
      <c r="A498" s="5">
        <v>44095</v>
      </c>
      <c r="B498">
        <v>14.661</v>
      </c>
      <c r="C498">
        <v>14.718999999999999</v>
      </c>
      <c r="D498">
        <v>12.856999999999999</v>
      </c>
      <c r="E498">
        <v>13.207000000000001</v>
      </c>
      <c r="F498">
        <v>25824.793000000001</v>
      </c>
      <c r="G498">
        <v>0</v>
      </c>
      <c r="L498" t="s">
        <v>7</v>
      </c>
      <c r="M498" t="s">
        <v>7</v>
      </c>
      <c r="N498" t="s">
        <v>7</v>
      </c>
      <c r="P498">
        <f t="shared" si="979"/>
        <v>-0.62406015037593832</v>
      </c>
      <c r="Q498">
        <f t="shared" si="980"/>
        <v>-16116.224203007479</v>
      </c>
      <c r="R498">
        <f t="shared" si="981"/>
        <v>192566.3593862761</v>
      </c>
      <c r="S498">
        <f t="shared" si="982"/>
        <v>1.9256635938627611</v>
      </c>
      <c r="T498">
        <f t="shared" si="983"/>
        <v>1.925663593862761E-3</v>
      </c>
    </row>
    <row r="499" spans="1:20" x14ac:dyDescent="0.25">
      <c r="A499" s="5">
        <v>44094</v>
      </c>
      <c r="B499">
        <v>15.02</v>
      </c>
      <c r="C499">
        <v>15.083</v>
      </c>
      <c r="D499">
        <v>14.35</v>
      </c>
      <c r="E499">
        <v>14.698</v>
      </c>
      <c r="F499">
        <v>8812.1229999999996</v>
      </c>
      <c r="G499">
        <v>0</v>
      </c>
      <c r="L499" t="s">
        <v>7</v>
      </c>
      <c r="M499" t="s">
        <v>7</v>
      </c>
      <c r="N499" t="s">
        <v>7</v>
      </c>
      <c r="P499">
        <f t="shared" si="979"/>
        <v>-5.0477489768075041E-2</v>
      </c>
      <c r="Q499">
        <f t="shared" si="980"/>
        <v>-444.81384856751873</v>
      </c>
      <c r="R499">
        <f t="shared" si="981"/>
        <v>208682.58358928357</v>
      </c>
      <c r="S499">
        <f t="shared" si="982"/>
        <v>2.0868258358928355</v>
      </c>
      <c r="T499">
        <f t="shared" si="983"/>
        <v>2.0868258358928355E-3</v>
      </c>
    </row>
    <row r="500" spans="1:20" x14ac:dyDescent="0.25">
      <c r="A500" s="5">
        <v>44093</v>
      </c>
      <c r="B500">
        <v>14.909000000000001</v>
      </c>
      <c r="C500">
        <v>15.103</v>
      </c>
      <c r="D500">
        <v>14.784000000000001</v>
      </c>
      <c r="E500">
        <v>15.058999999999999</v>
      </c>
      <c r="F500">
        <v>7084.5159999999996</v>
      </c>
      <c r="G500">
        <v>0</v>
      </c>
      <c r="L500" t="s">
        <v>7</v>
      </c>
      <c r="M500" t="s">
        <v>7</v>
      </c>
      <c r="N500" t="s">
        <v>7</v>
      </c>
      <c r="P500">
        <f t="shared" si="979"/>
        <v>0.72413793103447888</v>
      </c>
      <c r="Q500">
        <f t="shared" si="980"/>
        <v>5130.1667586206622</v>
      </c>
      <c r="R500">
        <f t="shared" si="981"/>
        <v>209127.39743785109</v>
      </c>
      <c r="S500">
        <f t="shared" si="982"/>
        <v>2.0912739743785109</v>
      </c>
      <c r="T500">
        <f t="shared" si="983"/>
        <v>2.0912739743785109E-3</v>
      </c>
    </row>
    <row r="501" spans="1:20" x14ac:dyDescent="0.25">
      <c r="A501" s="5">
        <v>44092</v>
      </c>
      <c r="B501">
        <v>15.375</v>
      </c>
      <c r="C501">
        <v>15.548999999999999</v>
      </c>
      <c r="D501">
        <v>14.73</v>
      </c>
      <c r="E501">
        <v>14.965999999999999</v>
      </c>
      <c r="F501">
        <v>15499.397000000001</v>
      </c>
      <c r="G501">
        <v>0</v>
      </c>
      <c r="L501" t="s">
        <v>7</v>
      </c>
      <c r="M501" t="s">
        <v>7</v>
      </c>
      <c r="N501" t="s">
        <v>7</v>
      </c>
      <c r="P501">
        <f t="shared" si="979"/>
        <v>-0.42368742368742579</v>
      </c>
      <c r="Q501">
        <f t="shared" si="980"/>
        <v>-6566.8995836386166</v>
      </c>
      <c r="R501">
        <f t="shared" si="981"/>
        <v>203997.23067923042</v>
      </c>
      <c r="S501">
        <f t="shared" si="982"/>
        <v>2.0399723067923041</v>
      </c>
      <c r="T501">
        <f t="shared" si="983"/>
        <v>2.0399723067923039E-3</v>
      </c>
    </row>
    <row r="502" spans="1:20" x14ac:dyDescent="0.25">
      <c r="A502" s="5">
        <v>44091</v>
      </c>
      <c r="B502">
        <v>15.664999999999999</v>
      </c>
      <c r="C502">
        <v>15.867000000000001</v>
      </c>
      <c r="D502">
        <v>15.042</v>
      </c>
      <c r="E502">
        <v>15.31</v>
      </c>
      <c r="F502">
        <v>19491.981</v>
      </c>
      <c r="G502">
        <v>0</v>
      </c>
      <c r="L502" t="s">
        <v>8</v>
      </c>
      <c r="M502" t="s">
        <v>7</v>
      </c>
      <c r="N502" t="s">
        <v>7</v>
      </c>
      <c r="P502">
        <f t="shared" si="979"/>
        <v>-0.35030303030302951</v>
      </c>
      <c r="Q502">
        <f t="shared" si="980"/>
        <v>-6828.1000109090755</v>
      </c>
      <c r="R502">
        <f t="shared" si="981"/>
        <v>210564.13026286903</v>
      </c>
      <c r="S502">
        <f t="shared" si="982"/>
        <v>2.1056413026286904</v>
      </c>
      <c r="T502">
        <f t="shared" si="983"/>
        <v>2.1056413026286904E-3</v>
      </c>
    </row>
    <row r="503" spans="1:20" x14ac:dyDescent="0.25">
      <c r="A503" s="5">
        <v>44090</v>
      </c>
      <c r="B503">
        <v>15.597</v>
      </c>
      <c r="C503">
        <v>15.872</v>
      </c>
      <c r="D503">
        <v>14.693</v>
      </c>
      <c r="E503">
        <v>15.763</v>
      </c>
      <c r="F503">
        <v>14508.585999999999</v>
      </c>
      <c r="G503">
        <v>0</v>
      </c>
      <c r="L503" t="s">
        <v>7</v>
      </c>
      <c r="M503" t="s">
        <v>7</v>
      </c>
      <c r="N503" t="s">
        <v>7</v>
      </c>
      <c r="P503">
        <f t="shared" si="979"/>
        <v>0.81509754028838</v>
      </c>
      <c r="Q503">
        <f t="shared" si="980"/>
        <v>11825.912761662425</v>
      </c>
      <c r="R503">
        <f t="shared" si="981"/>
        <v>217392.23027377811</v>
      </c>
      <c r="S503">
        <f t="shared" si="982"/>
        <v>2.1739223027377812</v>
      </c>
      <c r="T503">
        <f t="shared" si="983"/>
        <v>2.173922302737781E-3</v>
      </c>
    </row>
    <row r="504" spans="1:20" x14ac:dyDescent="0.25">
      <c r="A504" s="5">
        <v>44089</v>
      </c>
      <c r="B504">
        <v>16.283999999999999</v>
      </c>
      <c r="C504">
        <v>16.623999999999999</v>
      </c>
      <c r="D504">
        <v>15.382999999999999</v>
      </c>
      <c r="E504">
        <v>15.647</v>
      </c>
      <c r="F504">
        <v>30967.544999999998</v>
      </c>
      <c r="G504">
        <v>0</v>
      </c>
      <c r="L504" t="s">
        <v>7</v>
      </c>
      <c r="M504" t="s">
        <v>8</v>
      </c>
      <c r="N504" t="s">
        <v>7</v>
      </c>
      <c r="P504">
        <f t="shared" si="979"/>
        <v>-0.57453666398065883</v>
      </c>
      <c r="Q504">
        <f t="shared" si="980"/>
        <v>-17791.989995970929</v>
      </c>
      <c r="R504">
        <f t="shared" si="981"/>
        <v>205566.3175121157</v>
      </c>
      <c r="S504">
        <f t="shared" si="982"/>
        <v>2.0556631751211571</v>
      </c>
      <c r="T504">
        <f t="shared" si="983"/>
        <v>2.0556631751211573E-3</v>
      </c>
    </row>
    <row r="505" spans="1:20" x14ac:dyDescent="0.25">
      <c r="A505" s="5">
        <v>44088</v>
      </c>
      <c r="B505">
        <v>16.699000000000002</v>
      </c>
      <c r="C505">
        <v>17.428000000000001</v>
      </c>
      <c r="D505">
        <v>16.166</v>
      </c>
      <c r="E505">
        <v>16.326000000000001</v>
      </c>
      <c r="F505">
        <v>22869.603999999999</v>
      </c>
      <c r="G505">
        <v>0</v>
      </c>
      <c r="L505" t="s">
        <v>8</v>
      </c>
      <c r="M505" t="s">
        <v>8</v>
      </c>
      <c r="N505" t="s">
        <v>7</v>
      </c>
      <c r="P505">
        <f t="shared" si="979"/>
        <v>-0.74643423137876375</v>
      </c>
      <c r="Q505">
        <f t="shared" si="980"/>
        <v>-17070.6552836767</v>
      </c>
      <c r="R505">
        <f t="shared" si="981"/>
        <v>223358.30750808661</v>
      </c>
      <c r="S505">
        <f t="shared" si="982"/>
        <v>2.2335830750808663</v>
      </c>
      <c r="T505">
        <f t="shared" si="983"/>
        <v>2.2335830750808664E-3</v>
      </c>
    </row>
    <row r="506" spans="1:20" x14ac:dyDescent="0.25">
      <c r="A506" s="5">
        <v>44087</v>
      </c>
      <c r="B506">
        <v>17.669</v>
      </c>
      <c r="C506">
        <v>18.257000000000001</v>
      </c>
      <c r="D506">
        <v>16.239999999999998</v>
      </c>
      <c r="E506">
        <v>16.55</v>
      </c>
      <c r="F506">
        <v>23493.13</v>
      </c>
      <c r="G506">
        <v>0</v>
      </c>
      <c r="L506" t="s">
        <v>7</v>
      </c>
      <c r="M506" t="s">
        <v>8</v>
      </c>
      <c r="N506" t="s">
        <v>7</v>
      </c>
      <c r="P506">
        <f t="shared" si="979"/>
        <v>-0.69261279127416775</v>
      </c>
      <c r="Q506">
        <f t="shared" si="980"/>
        <v>-16271.64234506689</v>
      </c>
      <c r="R506">
        <f t="shared" si="981"/>
        <v>240428.9627917633</v>
      </c>
      <c r="S506">
        <f t="shared" si="982"/>
        <v>2.4042896279176329</v>
      </c>
      <c r="T506">
        <f t="shared" si="983"/>
        <v>2.4042896279176328E-3</v>
      </c>
    </row>
    <row r="507" spans="1:20" x14ac:dyDescent="0.25">
      <c r="A507" s="5">
        <v>44086</v>
      </c>
      <c r="B507">
        <v>17.882000000000001</v>
      </c>
      <c r="C507">
        <v>18.533999999999999</v>
      </c>
      <c r="D507">
        <v>17.434999999999999</v>
      </c>
      <c r="E507">
        <v>17.742000000000001</v>
      </c>
      <c r="F507">
        <v>33535.087</v>
      </c>
      <c r="G507">
        <v>0</v>
      </c>
      <c r="L507" t="s">
        <v>8</v>
      </c>
      <c r="M507" t="s">
        <v>8</v>
      </c>
      <c r="N507" t="s">
        <v>7</v>
      </c>
      <c r="P507">
        <f t="shared" si="979"/>
        <v>-0.44131028207460943</v>
      </c>
      <c r="Q507">
        <f t="shared" si="980"/>
        <v>-14799.378703366567</v>
      </c>
      <c r="R507">
        <f t="shared" si="981"/>
        <v>256700.60513683019</v>
      </c>
      <c r="S507">
        <f t="shared" si="982"/>
        <v>2.5670060513683017</v>
      </c>
      <c r="T507">
        <f t="shared" si="983"/>
        <v>2.5670060513683017E-3</v>
      </c>
    </row>
    <row r="508" spans="1:20" x14ac:dyDescent="0.25">
      <c r="A508" s="5">
        <v>44085</v>
      </c>
      <c r="B508">
        <v>16.744</v>
      </c>
      <c r="C508">
        <v>18.548999999999999</v>
      </c>
      <c r="D508">
        <v>16.021000000000001</v>
      </c>
      <c r="E508">
        <v>17.957000000000001</v>
      </c>
      <c r="F508">
        <v>56612.358999999997</v>
      </c>
      <c r="G508">
        <v>0</v>
      </c>
      <c r="L508" t="s">
        <v>8</v>
      </c>
      <c r="M508" t="s">
        <v>8</v>
      </c>
      <c r="N508" t="s">
        <v>7</v>
      </c>
      <c r="P508">
        <f t="shared" si="979"/>
        <v>0.53164556962025389</v>
      </c>
      <c r="Q508">
        <f t="shared" si="980"/>
        <v>30097.709848101305</v>
      </c>
      <c r="R508">
        <f t="shared" si="981"/>
        <v>271499.98384019674</v>
      </c>
      <c r="S508">
        <f t="shared" si="982"/>
        <v>2.7149998384019676</v>
      </c>
      <c r="T508">
        <f t="shared" si="983"/>
        <v>2.7149998384019677E-3</v>
      </c>
    </row>
    <row r="509" spans="1:20" x14ac:dyDescent="0.25">
      <c r="A509" s="5">
        <v>44084</v>
      </c>
      <c r="B509">
        <v>16.177</v>
      </c>
      <c r="C509">
        <v>16.829999999999998</v>
      </c>
      <c r="D509">
        <v>15.989000000000001</v>
      </c>
      <c r="E509">
        <v>16.75</v>
      </c>
      <c r="F509">
        <v>14557.29</v>
      </c>
      <c r="G509">
        <v>0</v>
      </c>
      <c r="L509" t="s">
        <v>8</v>
      </c>
      <c r="M509" t="s">
        <v>8</v>
      </c>
      <c r="N509" t="s">
        <v>7</v>
      </c>
      <c r="P509">
        <f t="shared" si="979"/>
        <v>0.80975029726516401</v>
      </c>
      <c r="Q509">
        <f t="shared" si="980"/>
        <v>11787.7699048752</v>
      </c>
      <c r="R509">
        <f t="shared" si="981"/>
        <v>241402.27399209543</v>
      </c>
      <c r="S509">
        <f t="shared" si="982"/>
        <v>2.4140227399209544</v>
      </c>
      <c r="T509">
        <f t="shared" si="983"/>
        <v>2.4140227399209544E-3</v>
      </c>
    </row>
    <row r="510" spans="1:20" x14ac:dyDescent="0.25">
      <c r="A510" s="5">
        <v>44083</v>
      </c>
      <c r="B510">
        <v>15.115</v>
      </c>
      <c r="C510">
        <v>16.391999999999999</v>
      </c>
      <c r="D510">
        <v>14.913</v>
      </c>
      <c r="E510">
        <v>16.292000000000002</v>
      </c>
      <c r="F510">
        <v>8739.6949999999997</v>
      </c>
      <c r="G510">
        <v>0</v>
      </c>
      <c r="L510" t="s">
        <v>7</v>
      </c>
      <c r="M510" t="s">
        <v>8</v>
      </c>
      <c r="N510" t="s">
        <v>7</v>
      </c>
      <c r="P510">
        <f t="shared" si="979"/>
        <v>0.86477349560514138</v>
      </c>
      <c r="Q510">
        <f t="shared" si="980"/>
        <v>7557.8565956727762</v>
      </c>
      <c r="R510">
        <f t="shared" si="981"/>
        <v>229614.50408722024</v>
      </c>
      <c r="S510">
        <f t="shared" si="982"/>
        <v>2.2961450408722022</v>
      </c>
      <c r="T510">
        <f t="shared" si="983"/>
        <v>2.2961450408722022E-3</v>
      </c>
    </row>
    <row r="511" spans="1:20" x14ac:dyDescent="0.25">
      <c r="A511" s="5">
        <v>44082</v>
      </c>
      <c r="B511">
        <v>15.865</v>
      </c>
      <c r="C511">
        <v>16.850999999999999</v>
      </c>
      <c r="D511">
        <v>14.837</v>
      </c>
      <c r="E511">
        <v>15.205</v>
      </c>
      <c r="F511">
        <v>13106.764999999999</v>
      </c>
      <c r="G511">
        <v>0</v>
      </c>
      <c r="L511" t="s">
        <v>8</v>
      </c>
      <c r="M511" t="s">
        <v>8</v>
      </c>
      <c r="N511" t="s">
        <v>7</v>
      </c>
      <c r="P511">
        <f t="shared" si="979"/>
        <v>-0.63455809334657354</v>
      </c>
      <c r="Q511">
        <f t="shared" si="980"/>
        <v>-8317.0038083416021</v>
      </c>
      <c r="R511">
        <f t="shared" si="981"/>
        <v>222056.64749154745</v>
      </c>
      <c r="S511">
        <f t="shared" si="982"/>
        <v>2.2205664749154743</v>
      </c>
      <c r="T511">
        <f t="shared" si="983"/>
        <v>2.2205664749154743E-3</v>
      </c>
    </row>
    <row r="512" spans="1:20" x14ac:dyDescent="0.25">
      <c r="A512" s="5">
        <v>44081</v>
      </c>
      <c r="B512">
        <v>15.797000000000001</v>
      </c>
      <c r="C512">
        <v>16.257000000000001</v>
      </c>
      <c r="D512">
        <v>14.500999999999999</v>
      </c>
      <c r="E512">
        <v>15.863</v>
      </c>
      <c r="F512">
        <v>11721.009</v>
      </c>
      <c r="G512">
        <v>0</v>
      </c>
      <c r="L512" t="s">
        <v>7</v>
      </c>
      <c r="M512" t="s">
        <v>8</v>
      </c>
      <c r="N512" t="s">
        <v>7</v>
      </c>
      <c r="P512">
        <f t="shared" si="979"/>
        <v>0.55125284738040836</v>
      </c>
      <c r="Q512">
        <f t="shared" si="980"/>
        <v>6461.2395854213928</v>
      </c>
      <c r="R512">
        <f t="shared" si="981"/>
        <v>230373.65129988905</v>
      </c>
      <c r="S512">
        <f t="shared" si="982"/>
        <v>2.3037365129988907</v>
      </c>
      <c r="T512">
        <f t="shared" si="983"/>
        <v>2.3037365129988906E-3</v>
      </c>
    </row>
    <row r="513" spans="1:20" x14ac:dyDescent="0.25">
      <c r="A513" s="5">
        <v>44080</v>
      </c>
      <c r="B513">
        <v>15.311999999999999</v>
      </c>
      <c r="C513">
        <v>16.332999999999998</v>
      </c>
      <c r="D513">
        <v>14.497999999999999</v>
      </c>
      <c r="E513">
        <v>15.813000000000001</v>
      </c>
      <c r="F513">
        <v>12865.808000000001</v>
      </c>
      <c r="G513">
        <v>0</v>
      </c>
      <c r="L513" t="s">
        <v>8</v>
      </c>
      <c r="M513" t="s">
        <v>8</v>
      </c>
      <c r="N513" t="s">
        <v>7</v>
      </c>
      <c r="P513">
        <f t="shared" si="979"/>
        <v>0.43324250681199122</v>
      </c>
      <c r="Q513">
        <f t="shared" si="980"/>
        <v>5574.0149100817716</v>
      </c>
      <c r="R513">
        <f t="shared" si="981"/>
        <v>223912.41171446766</v>
      </c>
      <c r="S513">
        <f t="shared" si="982"/>
        <v>2.2391241171446765</v>
      </c>
      <c r="T513">
        <f t="shared" si="983"/>
        <v>2.2391241171446767E-3</v>
      </c>
    </row>
    <row r="514" spans="1:20" x14ac:dyDescent="0.25">
      <c r="A514" s="5">
        <v>44079</v>
      </c>
      <c r="B514">
        <v>16.733000000000001</v>
      </c>
      <c r="C514">
        <v>18</v>
      </c>
      <c r="D514">
        <v>13.885999999999999</v>
      </c>
      <c r="E514">
        <v>15.301</v>
      </c>
      <c r="F514">
        <v>31398.19</v>
      </c>
      <c r="G514">
        <v>0</v>
      </c>
      <c r="L514" t="s">
        <v>7</v>
      </c>
      <c r="M514" t="s">
        <v>7</v>
      </c>
      <c r="N514" t="s">
        <v>7</v>
      </c>
      <c r="P514">
        <f t="shared" si="979"/>
        <v>-0.31210500729217272</v>
      </c>
      <c r="Q514">
        <f t="shared" si="980"/>
        <v>-9799.532318911024</v>
      </c>
      <c r="R514">
        <f t="shared" si="981"/>
        <v>218338.39680438588</v>
      </c>
      <c r="S514">
        <f t="shared" si="982"/>
        <v>2.1833839680438589</v>
      </c>
      <c r="T514">
        <f t="shared" si="983"/>
        <v>2.1833839680438587E-3</v>
      </c>
    </row>
    <row r="515" spans="1:20" x14ac:dyDescent="0.25">
      <c r="A515" s="5">
        <v>44078</v>
      </c>
      <c r="B515">
        <v>15.695</v>
      </c>
      <c r="C515">
        <v>17.78</v>
      </c>
      <c r="D515">
        <v>15.295</v>
      </c>
      <c r="E515">
        <v>16.808</v>
      </c>
      <c r="F515">
        <v>27513.126</v>
      </c>
      <c r="G515">
        <v>0</v>
      </c>
      <c r="L515" t="s">
        <v>7</v>
      </c>
      <c r="M515" t="s">
        <v>7</v>
      </c>
      <c r="N515" t="s">
        <v>7</v>
      </c>
      <c r="P515">
        <f t="shared" si="979"/>
        <v>0.21770623742454662</v>
      </c>
      <c r="Q515">
        <f t="shared" si="980"/>
        <v>5989.7791412474662</v>
      </c>
      <c r="R515">
        <f t="shared" si="981"/>
        <v>228137.9291232969</v>
      </c>
      <c r="S515">
        <f t="shared" si="982"/>
        <v>2.2813792912329691</v>
      </c>
      <c r="T515">
        <f t="shared" si="983"/>
        <v>2.2813792912329692E-3</v>
      </c>
    </row>
    <row r="516" spans="1:20" x14ac:dyDescent="0.25">
      <c r="A516" s="5">
        <v>44077</v>
      </c>
      <c r="B516">
        <v>20.411999999999999</v>
      </c>
      <c r="C516">
        <v>20.641999999999999</v>
      </c>
      <c r="D516">
        <v>15.494999999999999</v>
      </c>
      <c r="E516">
        <v>15.712999999999999</v>
      </c>
      <c r="F516">
        <v>50170.548999999999</v>
      </c>
      <c r="G516">
        <v>0</v>
      </c>
      <c r="L516" t="s">
        <v>7</v>
      </c>
      <c r="M516" t="s">
        <v>7</v>
      </c>
      <c r="N516" t="s">
        <v>7</v>
      </c>
      <c r="P516">
        <f t="shared" si="979"/>
        <v>-0.91529046046240525</v>
      </c>
      <c r="Q516">
        <f t="shared" si="980"/>
        <v>-45920.624895861663</v>
      </c>
      <c r="R516">
        <f t="shared" si="981"/>
        <v>222148.14998204942</v>
      </c>
      <c r="S516">
        <f t="shared" si="982"/>
        <v>2.2214814998204941</v>
      </c>
      <c r="T516">
        <f t="shared" si="983"/>
        <v>2.221481499820494E-3</v>
      </c>
    </row>
    <row r="517" spans="1:20" x14ac:dyDescent="0.25">
      <c r="A517" s="5">
        <v>44076</v>
      </c>
      <c r="B517">
        <v>21.77</v>
      </c>
      <c r="C517">
        <v>22.03</v>
      </c>
      <c r="D517">
        <v>19.954000000000001</v>
      </c>
      <c r="E517">
        <v>20.488</v>
      </c>
      <c r="F517">
        <v>24157.495999999999</v>
      </c>
      <c r="G517">
        <v>0</v>
      </c>
      <c r="L517" t="s">
        <v>7</v>
      </c>
      <c r="M517" t="s">
        <v>7</v>
      </c>
      <c r="N517" t="s">
        <v>7</v>
      </c>
      <c r="P517">
        <f t="shared" si="979"/>
        <v>-0.48554913294797802</v>
      </c>
      <c r="Q517">
        <f t="shared" si="980"/>
        <v>-11729.651236994247</v>
      </c>
      <c r="R517">
        <f t="shared" si="981"/>
        <v>268068.77487791108</v>
      </c>
      <c r="S517">
        <f t="shared" si="982"/>
        <v>2.680687748779111</v>
      </c>
      <c r="T517">
        <f t="shared" si="983"/>
        <v>2.6806877487791109E-3</v>
      </c>
    </row>
    <row r="518" spans="1:20" x14ac:dyDescent="0.25">
      <c r="A518" s="5">
        <v>44075</v>
      </c>
      <c r="B518">
        <v>21.754000000000001</v>
      </c>
      <c r="C518">
        <v>22.428000000000001</v>
      </c>
      <c r="D518">
        <v>21.279</v>
      </c>
      <c r="E518">
        <v>21.626999999999999</v>
      </c>
      <c r="F518">
        <v>18950.396000000001</v>
      </c>
      <c r="G518">
        <v>0</v>
      </c>
      <c r="L518" t="s">
        <v>8</v>
      </c>
      <c r="M518" t="s">
        <v>7</v>
      </c>
      <c r="N518" t="s">
        <v>7</v>
      </c>
      <c r="P518">
        <f t="shared" ref="P518:P581" si="984">IF(C518=D518,0,((E518-D518)-(C518-E518))/(C518-D518))</f>
        <v>-0.39425587467363149</v>
      </c>
      <c r="Q518">
        <f t="shared" ref="Q518:Q581" si="985">F518*P518</f>
        <v>-7471.3049503916882</v>
      </c>
      <c r="R518">
        <f t="shared" ref="R518:R581" si="986">R519+Q518</f>
        <v>279798.42611490533</v>
      </c>
      <c r="S518">
        <f t="shared" ref="S518:S581" si="987">R518/100000</f>
        <v>2.7979842611490535</v>
      </c>
      <c r="T518">
        <f t="shared" ref="T518:T581" si="988">S518/1000</f>
        <v>2.7979842611490537E-3</v>
      </c>
    </row>
    <row r="519" spans="1:20" x14ac:dyDescent="0.25">
      <c r="A519" s="5">
        <v>44074</v>
      </c>
      <c r="B519">
        <v>22.298999999999999</v>
      </c>
      <c r="C519">
        <v>22.449000000000002</v>
      </c>
      <c r="D519">
        <v>21.698</v>
      </c>
      <c r="E519">
        <v>21.890999999999998</v>
      </c>
      <c r="F519">
        <v>9016.4249999999993</v>
      </c>
      <c r="G519">
        <v>0</v>
      </c>
      <c r="L519" t="s">
        <v>8</v>
      </c>
      <c r="M519" t="s">
        <v>7</v>
      </c>
      <c r="N519" t="s">
        <v>7</v>
      </c>
      <c r="P519">
        <f t="shared" si="984"/>
        <v>-0.48601864181092536</v>
      </c>
      <c r="Q519">
        <f t="shared" si="985"/>
        <v>-4382.150632490072</v>
      </c>
      <c r="R519">
        <f t="shared" si="986"/>
        <v>287269.73106529703</v>
      </c>
      <c r="S519">
        <f t="shared" si="987"/>
        <v>2.8726973106529705</v>
      </c>
      <c r="T519">
        <f t="shared" si="988"/>
        <v>2.8726973106529704E-3</v>
      </c>
    </row>
    <row r="520" spans="1:20" x14ac:dyDescent="0.25">
      <c r="A520" s="5">
        <v>44073</v>
      </c>
      <c r="B520">
        <v>22.503</v>
      </c>
      <c r="C520">
        <v>22.681000000000001</v>
      </c>
      <c r="D520">
        <v>20.946999999999999</v>
      </c>
      <c r="E520">
        <v>22.366</v>
      </c>
      <c r="F520">
        <v>20418.366999999998</v>
      </c>
      <c r="G520">
        <v>0</v>
      </c>
      <c r="L520" t="s">
        <v>7</v>
      </c>
      <c r="M520" t="s">
        <v>7</v>
      </c>
      <c r="N520" t="s">
        <v>7</v>
      </c>
      <c r="P520">
        <f t="shared" si="984"/>
        <v>0.6366782006920404</v>
      </c>
      <c r="Q520">
        <f t="shared" si="985"/>
        <v>12999.929162629734</v>
      </c>
      <c r="R520">
        <f t="shared" si="986"/>
        <v>291651.88169778709</v>
      </c>
      <c r="S520">
        <f t="shared" si="987"/>
        <v>2.9165188169778711</v>
      </c>
      <c r="T520">
        <f t="shared" si="988"/>
        <v>2.9165188169778711E-3</v>
      </c>
    </row>
    <row r="521" spans="1:20" x14ac:dyDescent="0.25">
      <c r="A521" s="5">
        <v>44072</v>
      </c>
      <c r="B521">
        <v>22.338999999999999</v>
      </c>
      <c r="C521">
        <v>22.818000000000001</v>
      </c>
      <c r="D521">
        <v>21.712</v>
      </c>
      <c r="E521">
        <v>22.556000000000001</v>
      </c>
      <c r="F521">
        <v>14879.28</v>
      </c>
      <c r="G521">
        <v>0</v>
      </c>
      <c r="L521" t="s">
        <v>8</v>
      </c>
      <c r="M521" t="s">
        <v>7</v>
      </c>
      <c r="N521" t="s">
        <v>7</v>
      </c>
      <c r="P521">
        <f t="shared" si="984"/>
        <v>0.5262206148282097</v>
      </c>
      <c r="Q521">
        <f t="shared" si="985"/>
        <v>7829.7838698010846</v>
      </c>
      <c r="R521">
        <f t="shared" si="986"/>
        <v>278651.95253515732</v>
      </c>
      <c r="S521">
        <f t="shared" si="987"/>
        <v>2.7865195253515731</v>
      </c>
      <c r="T521">
        <f t="shared" si="988"/>
        <v>2.7865195253515729E-3</v>
      </c>
    </row>
    <row r="522" spans="1:20" x14ac:dyDescent="0.25">
      <c r="A522" s="5">
        <v>44071</v>
      </c>
      <c r="B522">
        <v>21.3</v>
      </c>
      <c r="C522">
        <v>22.609000000000002</v>
      </c>
      <c r="D522">
        <v>20.951000000000001</v>
      </c>
      <c r="E522">
        <v>22.324999999999999</v>
      </c>
      <c r="F522">
        <v>15545.174000000001</v>
      </c>
      <c r="G522">
        <v>0</v>
      </c>
      <c r="L522" t="s">
        <v>8</v>
      </c>
      <c r="M522" t="s">
        <v>7</v>
      </c>
      <c r="N522" t="s">
        <v>7</v>
      </c>
      <c r="P522">
        <f t="shared" si="984"/>
        <v>0.65741857659830849</v>
      </c>
      <c r="Q522">
        <f t="shared" si="985"/>
        <v>10219.686164053033</v>
      </c>
      <c r="R522">
        <f t="shared" si="986"/>
        <v>270822.16866535624</v>
      </c>
      <c r="S522">
        <f t="shared" si="987"/>
        <v>2.7082216866535624</v>
      </c>
      <c r="T522">
        <f t="shared" si="988"/>
        <v>2.7082216866535624E-3</v>
      </c>
    </row>
    <row r="523" spans="1:20" x14ac:dyDescent="0.25">
      <c r="A523" s="5">
        <v>44070</v>
      </c>
      <c r="B523">
        <v>22.626000000000001</v>
      </c>
      <c r="C523">
        <v>23.138000000000002</v>
      </c>
      <c r="D523">
        <v>20.81</v>
      </c>
      <c r="E523">
        <v>21.3</v>
      </c>
      <c r="F523">
        <v>33275.972999999998</v>
      </c>
      <c r="G523">
        <v>0</v>
      </c>
      <c r="L523" t="s">
        <v>7</v>
      </c>
      <c r="M523" t="s">
        <v>7</v>
      </c>
      <c r="N523" t="s">
        <v>7</v>
      </c>
      <c r="P523">
        <f t="shared" si="984"/>
        <v>-0.57903780068728405</v>
      </c>
      <c r="Q523">
        <f t="shared" si="985"/>
        <v>-19268.046221649445</v>
      </c>
      <c r="R523">
        <f t="shared" si="986"/>
        <v>260602.4825013032</v>
      </c>
      <c r="S523">
        <f t="shared" si="987"/>
        <v>2.6060248250130318</v>
      </c>
      <c r="T523">
        <f t="shared" si="988"/>
        <v>2.6060248250130316E-3</v>
      </c>
    </row>
    <row r="524" spans="1:20" x14ac:dyDescent="0.25">
      <c r="A524" s="5">
        <v>44069</v>
      </c>
      <c r="B524">
        <v>21.631</v>
      </c>
      <c r="C524">
        <v>23.456</v>
      </c>
      <c r="D524">
        <v>21.003</v>
      </c>
      <c r="E524">
        <v>22.509</v>
      </c>
      <c r="F524">
        <v>31520.165000000001</v>
      </c>
      <c r="G524">
        <v>0</v>
      </c>
      <c r="L524" t="s">
        <v>8</v>
      </c>
      <c r="M524" t="s">
        <v>7</v>
      </c>
      <c r="N524" t="s">
        <v>7</v>
      </c>
      <c r="P524">
        <f t="shared" si="984"/>
        <v>0.22788422339991896</v>
      </c>
      <c r="Q524">
        <f t="shared" si="985"/>
        <v>7182.9483224623064</v>
      </c>
      <c r="R524">
        <f t="shared" si="986"/>
        <v>279870.52872295264</v>
      </c>
      <c r="S524">
        <f t="shared" si="987"/>
        <v>2.7987052872295264</v>
      </c>
      <c r="T524">
        <f t="shared" si="988"/>
        <v>2.7987052872295265E-3</v>
      </c>
    </row>
    <row r="525" spans="1:20" x14ac:dyDescent="0.25">
      <c r="A525" s="5">
        <v>44068</v>
      </c>
      <c r="B525">
        <v>23.588000000000001</v>
      </c>
      <c r="C525">
        <v>23.757999999999999</v>
      </c>
      <c r="D525">
        <v>20.395</v>
      </c>
      <c r="E525">
        <v>21.678000000000001</v>
      </c>
      <c r="F525">
        <v>34858.618000000002</v>
      </c>
      <c r="G525">
        <v>0</v>
      </c>
      <c r="L525" t="s">
        <v>7</v>
      </c>
      <c r="M525" t="s">
        <v>7</v>
      </c>
      <c r="N525" t="s">
        <v>7</v>
      </c>
      <c r="P525">
        <f t="shared" si="984"/>
        <v>-0.23699078203984453</v>
      </c>
      <c r="Q525">
        <f t="shared" si="985"/>
        <v>-8261.1711406482009</v>
      </c>
      <c r="R525">
        <f t="shared" si="986"/>
        <v>272687.58040049032</v>
      </c>
      <c r="S525">
        <f t="shared" si="987"/>
        <v>2.7268758040049033</v>
      </c>
      <c r="T525">
        <f t="shared" si="988"/>
        <v>2.7268758040049032E-3</v>
      </c>
    </row>
    <row r="526" spans="1:20" x14ac:dyDescent="0.25">
      <c r="A526" s="5">
        <v>44067</v>
      </c>
      <c r="B526">
        <v>23.661000000000001</v>
      </c>
      <c r="C526">
        <v>24.332999999999998</v>
      </c>
      <c r="D526">
        <v>20.966000000000001</v>
      </c>
      <c r="E526">
        <v>23.602</v>
      </c>
      <c r="F526">
        <v>60721.618000000002</v>
      </c>
      <c r="G526">
        <v>0</v>
      </c>
      <c r="L526" t="s">
        <v>7</v>
      </c>
      <c r="M526" t="s">
        <v>7</v>
      </c>
      <c r="N526" t="s">
        <v>7</v>
      </c>
      <c r="P526">
        <f t="shared" si="984"/>
        <v>0.5657855657855666</v>
      </c>
      <c r="Q526">
        <f t="shared" si="985"/>
        <v>34355.414995545048</v>
      </c>
      <c r="R526">
        <f t="shared" si="986"/>
        <v>280948.75154113851</v>
      </c>
      <c r="S526">
        <f t="shared" si="987"/>
        <v>2.809487515411385</v>
      </c>
      <c r="T526">
        <f t="shared" si="988"/>
        <v>2.8094875154113848E-3</v>
      </c>
    </row>
    <row r="527" spans="1:20" x14ac:dyDescent="0.25">
      <c r="A527" s="5">
        <v>44066</v>
      </c>
      <c r="B527">
        <v>24.684999999999999</v>
      </c>
      <c r="C527">
        <v>24.933</v>
      </c>
      <c r="D527">
        <v>23.141999999999999</v>
      </c>
      <c r="E527">
        <v>23.661999999999999</v>
      </c>
      <c r="F527">
        <v>49564.601000000002</v>
      </c>
      <c r="G527">
        <v>0</v>
      </c>
      <c r="L527" t="s">
        <v>8</v>
      </c>
      <c r="M527" t="s">
        <v>7</v>
      </c>
      <c r="N527" t="s">
        <v>8</v>
      </c>
      <c r="P527">
        <f t="shared" si="984"/>
        <v>-0.41931881630374152</v>
      </c>
      <c r="Q527">
        <f t="shared" si="985"/>
        <v>-20783.369821887245</v>
      </c>
      <c r="R527">
        <f t="shared" si="986"/>
        <v>246593.33654559345</v>
      </c>
      <c r="S527">
        <f t="shared" si="987"/>
        <v>2.4659333654559346</v>
      </c>
      <c r="T527">
        <f t="shared" si="988"/>
        <v>2.4659333654559346E-3</v>
      </c>
    </row>
    <row r="528" spans="1:20" x14ac:dyDescent="0.25">
      <c r="A528" s="5">
        <v>44065</v>
      </c>
      <c r="B528">
        <v>27.545000000000002</v>
      </c>
      <c r="C528">
        <v>30</v>
      </c>
      <c r="D528">
        <v>22.771000000000001</v>
      </c>
      <c r="E528">
        <v>24.588000000000001</v>
      </c>
      <c r="F528">
        <v>326134.533</v>
      </c>
      <c r="G528">
        <v>0</v>
      </c>
      <c r="L528" t="s">
        <v>7</v>
      </c>
      <c r="M528" t="s">
        <v>7</v>
      </c>
      <c r="N528" t="s">
        <v>8</v>
      </c>
      <c r="P528">
        <f t="shared" si="984"/>
        <v>-0.4973025314704661</v>
      </c>
      <c r="Q528">
        <f t="shared" si="985"/>
        <v>-162187.52886083827</v>
      </c>
      <c r="R528">
        <f t="shared" si="986"/>
        <v>267376.70636748069</v>
      </c>
      <c r="S528">
        <f t="shared" si="987"/>
        <v>2.673767063674807</v>
      </c>
      <c r="T528">
        <f t="shared" si="988"/>
        <v>2.6737670636748068E-3</v>
      </c>
    </row>
    <row r="529" spans="1:20" x14ac:dyDescent="0.25">
      <c r="A529" s="5">
        <v>44064</v>
      </c>
      <c r="B529">
        <v>20.693000000000001</v>
      </c>
      <c r="C529">
        <v>29.99</v>
      </c>
      <c r="D529">
        <v>20.63</v>
      </c>
      <c r="E529">
        <v>27.637</v>
      </c>
      <c r="F529">
        <v>370712.53600000002</v>
      </c>
      <c r="G529">
        <v>0</v>
      </c>
      <c r="L529" t="s">
        <v>8</v>
      </c>
      <c r="M529" t="s">
        <v>8</v>
      </c>
      <c r="N529" t="s">
        <v>8</v>
      </c>
      <c r="P529">
        <f t="shared" si="984"/>
        <v>0.49722222222222262</v>
      </c>
      <c r="Q529">
        <f t="shared" si="985"/>
        <v>184326.51095555571</v>
      </c>
      <c r="R529">
        <f t="shared" si="986"/>
        <v>429564.23522831895</v>
      </c>
      <c r="S529">
        <f t="shared" si="987"/>
        <v>4.2956423522831892</v>
      </c>
      <c r="T529">
        <f t="shared" si="988"/>
        <v>4.2956423522831893E-3</v>
      </c>
    </row>
    <row r="530" spans="1:20" x14ac:dyDescent="0.25">
      <c r="A530" s="5">
        <v>44063</v>
      </c>
      <c r="B530">
        <v>19.899000000000001</v>
      </c>
      <c r="C530">
        <v>21.102</v>
      </c>
      <c r="D530">
        <v>19.437000000000001</v>
      </c>
      <c r="E530">
        <v>20.562999999999999</v>
      </c>
      <c r="F530">
        <v>19129.88</v>
      </c>
      <c r="G530">
        <v>0</v>
      </c>
      <c r="L530" t="s">
        <v>8</v>
      </c>
      <c r="M530" t="s">
        <v>7</v>
      </c>
      <c r="N530" t="s">
        <v>8</v>
      </c>
      <c r="P530">
        <f t="shared" si="984"/>
        <v>0.35255255255255047</v>
      </c>
      <c r="Q530">
        <f t="shared" si="985"/>
        <v>6744.2880240239847</v>
      </c>
      <c r="R530">
        <f t="shared" si="986"/>
        <v>245237.72427276327</v>
      </c>
      <c r="S530">
        <f t="shared" si="987"/>
        <v>2.4523772427276329</v>
      </c>
      <c r="T530">
        <f t="shared" si="988"/>
        <v>2.4523772427276331E-3</v>
      </c>
    </row>
    <row r="531" spans="1:20" x14ac:dyDescent="0.25">
      <c r="A531" s="5">
        <v>44062</v>
      </c>
      <c r="B531">
        <v>21.010999999999999</v>
      </c>
      <c r="C531">
        <v>21.213999999999999</v>
      </c>
      <c r="D531">
        <v>19.396999999999998</v>
      </c>
      <c r="E531">
        <v>19.75</v>
      </c>
      <c r="F531">
        <v>22340.528999999999</v>
      </c>
      <c r="G531">
        <v>0</v>
      </c>
      <c r="L531" t="s">
        <v>7</v>
      </c>
      <c r="M531" t="s">
        <v>7</v>
      </c>
      <c r="N531" t="s">
        <v>8</v>
      </c>
      <c r="P531">
        <f t="shared" si="984"/>
        <v>-0.61144744083654212</v>
      </c>
      <c r="Q531">
        <f t="shared" si="985"/>
        <v>-13660.059283984552</v>
      </c>
      <c r="R531">
        <f t="shared" si="986"/>
        <v>238493.43624873928</v>
      </c>
      <c r="S531">
        <f t="shared" si="987"/>
        <v>2.3849343624873929</v>
      </c>
      <c r="T531">
        <f t="shared" si="988"/>
        <v>2.384934362487393E-3</v>
      </c>
    </row>
    <row r="532" spans="1:20" x14ac:dyDescent="0.25">
      <c r="A532" s="5">
        <v>44061</v>
      </c>
      <c r="B532">
        <v>21.878</v>
      </c>
      <c r="C532">
        <v>22.146000000000001</v>
      </c>
      <c r="D532">
        <v>20.178000000000001</v>
      </c>
      <c r="E532">
        <v>20.954999999999998</v>
      </c>
      <c r="F532">
        <v>28452.278999999999</v>
      </c>
      <c r="G532">
        <v>0</v>
      </c>
      <c r="L532" t="s">
        <v>7</v>
      </c>
      <c r="M532" t="s">
        <v>8</v>
      </c>
      <c r="N532" t="s">
        <v>8</v>
      </c>
      <c r="P532">
        <f t="shared" si="984"/>
        <v>-0.21036585365853913</v>
      </c>
      <c r="Q532">
        <f t="shared" si="985"/>
        <v>-5985.3879603659261</v>
      </c>
      <c r="R532">
        <f t="shared" si="986"/>
        <v>252153.49553272384</v>
      </c>
      <c r="S532">
        <f t="shared" si="987"/>
        <v>2.5215349553272386</v>
      </c>
      <c r="T532">
        <f t="shared" si="988"/>
        <v>2.5215349553272385E-3</v>
      </c>
    </row>
    <row r="533" spans="1:20" x14ac:dyDescent="0.25">
      <c r="A533" s="5">
        <v>44060</v>
      </c>
      <c r="B533">
        <v>22.446999999999999</v>
      </c>
      <c r="C533">
        <v>22.766999999999999</v>
      </c>
      <c r="D533">
        <v>21.652999999999999</v>
      </c>
      <c r="E533">
        <v>21.882000000000001</v>
      </c>
      <c r="F533">
        <v>23347.628000000001</v>
      </c>
      <c r="G533">
        <v>0</v>
      </c>
      <c r="L533" t="s">
        <v>7</v>
      </c>
      <c r="M533" t="s">
        <v>8</v>
      </c>
      <c r="N533" t="s">
        <v>8</v>
      </c>
      <c r="P533">
        <f t="shared" si="984"/>
        <v>-0.58886894075403484</v>
      </c>
      <c r="Q533">
        <f t="shared" si="985"/>
        <v>-13748.692969479245</v>
      </c>
      <c r="R533">
        <f t="shared" si="986"/>
        <v>258138.88349308976</v>
      </c>
      <c r="S533">
        <f t="shared" si="987"/>
        <v>2.5813888349308978</v>
      </c>
      <c r="T533">
        <f t="shared" si="988"/>
        <v>2.5813888349308979E-3</v>
      </c>
    </row>
    <row r="534" spans="1:20" x14ac:dyDescent="0.25">
      <c r="A534" s="5">
        <v>44059</v>
      </c>
      <c r="B534">
        <v>22.433</v>
      </c>
      <c r="C534">
        <v>22.762</v>
      </c>
      <c r="D534">
        <v>21.501999999999999</v>
      </c>
      <c r="E534">
        <v>22.504000000000001</v>
      </c>
      <c r="F534">
        <v>24501.8</v>
      </c>
      <c r="G534">
        <v>0</v>
      </c>
      <c r="L534" t="s">
        <v>7</v>
      </c>
      <c r="M534" t="s">
        <v>8</v>
      </c>
      <c r="N534" t="s">
        <v>8</v>
      </c>
      <c r="P534">
        <f t="shared" si="984"/>
        <v>0.59047619047619238</v>
      </c>
      <c r="Q534">
        <f t="shared" si="985"/>
        <v>14467.72952380957</v>
      </c>
      <c r="R534">
        <f t="shared" si="986"/>
        <v>271887.57646256901</v>
      </c>
      <c r="S534">
        <f t="shared" si="987"/>
        <v>2.71887576462569</v>
      </c>
      <c r="T534">
        <f t="shared" si="988"/>
        <v>2.71887576462569E-3</v>
      </c>
    </row>
    <row r="535" spans="1:20" x14ac:dyDescent="0.25">
      <c r="A535" s="5">
        <v>44058</v>
      </c>
      <c r="B535">
        <v>21.765000000000001</v>
      </c>
      <c r="C535">
        <v>23</v>
      </c>
      <c r="D535">
        <v>21.248999999999999</v>
      </c>
      <c r="E535">
        <v>22.31</v>
      </c>
      <c r="F535">
        <v>57734.61</v>
      </c>
      <c r="G535">
        <v>0</v>
      </c>
      <c r="L535" t="s">
        <v>8</v>
      </c>
      <c r="M535" t="s">
        <v>8</v>
      </c>
      <c r="N535" t="s">
        <v>8</v>
      </c>
      <c r="P535">
        <f t="shared" si="984"/>
        <v>0.21187892632781177</v>
      </c>
      <c r="Q535">
        <f t="shared" si="985"/>
        <v>12232.747178754946</v>
      </c>
      <c r="R535">
        <f t="shared" si="986"/>
        <v>257419.84693875941</v>
      </c>
      <c r="S535">
        <f t="shared" si="987"/>
        <v>2.5741984693875941</v>
      </c>
      <c r="T535">
        <f t="shared" si="988"/>
        <v>2.5741984693875941E-3</v>
      </c>
    </row>
    <row r="536" spans="1:20" x14ac:dyDescent="0.25">
      <c r="A536" s="5">
        <v>44057</v>
      </c>
      <c r="B536">
        <v>20.922000000000001</v>
      </c>
      <c r="C536">
        <v>22</v>
      </c>
      <c r="D536">
        <v>20.709</v>
      </c>
      <c r="E536">
        <v>21.844000000000001</v>
      </c>
      <c r="F536">
        <v>46573.735000000001</v>
      </c>
      <c r="G536">
        <v>0</v>
      </c>
      <c r="L536" t="s">
        <v>8</v>
      </c>
      <c r="M536" t="s">
        <v>8</v>
      </c>
      <c r="N536" t="s">
        <v>8</v>
      </c>
      <c r="P536">
        <f t="shared" si="984"/>
        <v>0.75832687838884782</v>
      </c>
      <c r="Q536">
        <f t="shared" si="985"/>
        <v>35318.115077459428</v>
      </c>
      <c r="R536">
        <f t="shared" si="986"/>
        <v>245187.09976000446</v>
      </c>
      <c r="S536">
        <f t="shared" si="987"/>
        <v>2.4518709976000448</v>
      </c>
      <c r="T536">
        <f t="shared" si="988"/>
        <v>2.4518709976000448E-3</v>
      </c>
    </row>
    <row r="537" spans="1:20" x14ac:dyDescent="0.25">
      <c r="A537" s="5">
        <v>44056</v>
      </c>
      <c r="B537">
        <v>20.402000000000001</v>
      </c>
      <c r="C537">
        <v>21.58</v>
      </c>
      <c r="D537">
        <v>19.805</v>
      </c>
      <c r="E537">
        <v>20.998999999999999</v>
      </c>
      <c r="F537">
        <v>64735.500999999997</v>
      </c>
      <c r="G537">
        <v>0</v>
      </c>
      <c r="L537" t="s">
        <v>8</v>
      </c>
      <c r="M537" t="s">
        <v>8</v>
      </c>
      <c r="N537" t="s">
        <v>8</v>
      </c>
      <c r="P537">
        <f t="shared" si="984"/>
        <v>0.34535211267605637</v>
      </c>
      <c r="Q537">
        <f t="shared" si="985"/>
        <v>22356.542035492959</v>
      </c>
      <c r="R537">
        <f t="shared" si="986"/>
        <v>209868.98468254504</v>
      </c>
      <c r="S537">
        <f t="shared" si="987"/>
        <v>2.0986898468254505</v>
      </c>
      <c r="T537">
        <f t="shared" si="988"/>
        <v>2.0986898468254504E-3</v>
      </c>
    </row>
    <row r="538" spans="1:20" x14ac:dyDescent="0.25">
      <c r="A538" s="5">
        <v>44055</v>
      </c>
      <c r="B538">
        <v>20.398</v>
      </c>
      <c r="C538">
        <v>20.524000000000001</v>
      </c>
      <c r="D538">
        <v>19.648</v>
      </c>
      <c r="E538">
        <v>20.52</v>
      </c>
      <c r="F538">
        <v>34369.131000000001</v>
      </c>
      <c r="G538">
        <v>0</v>
      </c>
      <c r="L538" t="s">
        <v>7</v>
      </c>
      <c r="M538" t="s">
        <v>8</v>
      </c>
      <c r="N538" t="s">
        <v>8</v>
      </c>
      <c r="P538">
        <f t="shared" si="984"/>
        <v>0.9908675799086728</v>
      </c>
      <c r="Q538">
        <f t="shared" si="985"/>
        <v>34055.257657534145</v>
      </c>
      <c r="R538">
        <f t="shared" si="986"/>
        <v>187512.44264705208</v>
      </c>
      <c r="S538">
        <f t="shared" si="987"/>
        <v>1.8751244264705209</v>
      </c>
      <c r="T538">
        <f t="shared" si="988"/>
        <v>1.8751244264705209E-3</v>
      </c>
    </row>
    <row r="539" spans="1:20" x14ac:dyDescent="0.25">
      <c r="A539" s="5">
        <v>44054</v>
      </c>
      <c r="B539">
        <v>21.242999999999999</v>
      </c>
      <c r="C539">
        <v>21.311</v>
      </c>
      <c r="D539">
        <v>19.754999999999999</v>
      </c>
      <c r="E539">
        <v>20.263000000000002</v>
      </c>
      <c r="F539">
        <v>37664.529000000002</v>
      </c>
      <c r="G539">
        <v>0</v>
      </c>
      <c r="L539" t="s">
        <v>7</v>
      </c>
      <c r="M539" t="s">
        <v>8</v>
      </c>
      <c r="N539" t="s">
        <v>8</v>
      </c>
      <c r="P539">
        <f t="shared" si="984"/>
        <v>-0.3470437017994828</v>
      </c>
      <c r="Q539">
        <f t="shared" si="985"/>
        <v>-13071.237570693973</v>
      </c>
      <c r="R539">
        <f t="shared" si="986"/>
        <v>153457.18498951793</v>
      </c>
      <c r="S539">
        <f t="shared" si="987"/>
        <v>1.5345718498951793</v>
      </c>
      <c r="T539">
        <f t="shared" si="988"/>
        <v>1.5345718498951792E-3</v>
      </c>
    </row>
    <row r="540" spans="1:20" x14ac:dyDescent="0.25">
      <c r="A540" s="5">
        <v>44053</v>
      </c>
      <c r="B540">
        <v>22.02</v>
      </c>
      <c r="C540">
        <v>22.245999999999999</v>
      </c>
      <c r="D540">
        <v>20.5</v>
      </c>
      <c r="E540">
        <v>21.11</v>
      </c>
      <c r="F540">
        <v>67110.985000000001</v>
      </c>
      <c r="G540">
        <v>0</v>
      </c>
      <c r="L540" t="s">
        <v>7</v>
      </c>
      <c r="M540" t="s">
        <v>8</v>
      </c>
      <c r="N540" t="s">
        <v>8</v>
      </c>
      <c r="P540">
        <f t="shared" si="984"/>
        <v>-0.30126002290950754</v>
      </c>
      <c r="Q540">
        <f t="shared" si="985"/>
        <v>-20217.856878579616</v>
      </c>
      <c r="R540">
        <f t="shared" si="986"/>
        <v>166528.42256021191</v>
      </c>
      <c r="S540">
        <f t="shared" si="987"/>
        <v>1.6652842256021192</v>
      </c>
      <c r="T540">
        <f t="shared" si="988"/>
        <v>1.6652842256021192E-3</v>
      </c>
    </row>
    <row r="541" spans="1:20" x14ac:dyDescent="0.25">
      <c r="A541" s="5">
        <v>44052</v>
      </c>
      <c r="B541">
        <v>21.291</v>
      </c>
      <c r="C541">
        <v>22.07</v>
      </c>
      <c r="D541">
        <v>20.77</v>
      </c>
      <c r="E541">
        <v>22.02</v>
      </c>
      <c r="F541">
        <v>41749.597999999998</v>
      </c>
      <c r="G541">
        <v>0</v>
      </c>
      <c r="L541" t="s">
        <v>8</v>
      </c>
      <c r="M541" t="s">
        <v>8</v>
      </c>
      <c r="N541" t="s">
        <v>8</v>
      </c>
      <c r="P541">
        <f t="shared" si="984"/>
        <v>0.92307692307692202</v>
      </c>
      <c r="Q541">
        <f t="shared" si="985"/>
        <v>38538.090461538413</v>
      </c>
      <c r="R541">
        <f t="shared" si="986"/>
        <v>186746.27943879153</v>
      </c>
      <c r="S541">
        <f t="shared" si="987"/>
        <v>1.8674627943879154</v>
      </c>
      <c r="T541">
        <f t="shared" si="988"/>
        <v>1.8674627943879153E-3</v>
      </c>
    </row>
    <row r="542" spans="1:20" x14ac:dyDescent="0.25">
      <c r="A542" s="5">
        <v>44051</v>
      </c>
      <c r="B542">
        <v>20.72</v>
      </c>
      <c r="C542">
        <v>21.292999999999999</v>
      </c>
      <c r="D542">
        <v>20.675999999999998</v>
      </c>
      <c r="E542">
        <v>21.277999999999999</v>
      </c>
      <c r="F542">
        <v>16084.187</v>
      </c>
      <c r="G542">
        <v>0</v>
      </c>
      <c r="L542" t="s">
        <v>8</v>
      </c>
      <c r="M542" t="s">
        <v>8</v>
      </c>
      <c r="N542" t="s">
        <v>8</v>
      </c>
      <c r="P542">
        <f t="shared" si="984"/>
        <v>0.95137763371150552</v>
      </c>
      <c r="Q542">
        <f t="shared" si="985"/>
        <v>15302.135768233358</v>
      </c>
      <c r="R542">
        <f t="shared" si="986"/>
        <v>148208.18897725313</v>
      </c>
      <c r="S542">
        <f t="shared" si="987"/>
        <v>1.4820818897725312</v>
      </c>
      <c r="T542">
        <f t="shared" si="988"/>
        <v>1.4820818897725312E-3</v>
      </c>
    </row>
    <row r="543" spans="1:20" x14ac:dyDescent="0.25">
      <c r="A543" s="5">
        <v>44050</v>
      </c>
      <c r="B543">
        <v>21.646000000000001</v>
      </c>
      <c r="C543">
        <v>21.7</v>
      </c>
      <c r="D543">
        <v>19.693999999999999</v>
      </c>
      <c r="E543">
        <v>20.809000000000001</v>
      </c>
      <c r="F543">
        <v>31673.673999999999</v>
      </c>
      <c r="G543">
        <v>0</v>
      </c>
      <c r="L543" t="s">
        <v>7</v>
      </c>
      <c r="M543" t="s">
        <v>8</v>
      </c>
      <c r="N543" t="s">
        <v>8</v>
      </c>
      <c r="P543">
        <f t="shared" si="984"/>
        <v>0.11166500498504672</v>
      </c>
      <c r="Q543">
        <f t="shared" si="985"/>
        <v>3536.8409651047446</v>
      </c>
      <c r="R543">
        <f t="shared" si="986"/>
        <v>132906.05320901977</v>
      </c>
      <c r="S543">
        <f t="shared" si="987"/>
        <v>1.3290605320901976</v>
      </c>
      <c r="T543">
        <f t="shared" si="988"/>
        <v>1.3290605320901976E-3</v>
      </c>
    </row>
    <row r="544" spans="1:20" x14ac:dyDescent="0.25">
      <c r="A544" s="5">
        <v>44049</v>
      </c>
      <c r="B544">
        <v>20.908000000000001</v>
      </c>
      <c r="C544">
        <v>21.673999999999999</v>
      </c>
      <c r="D544">
        <v>20.399999999999999</v>
      </c>
      <c r="E544">
        <v>21.646999999999998</v>
      </c>
      <c r="F544">
        <v>46207.084000000003</v>
      </c>
      <c r="G544">
        <v>0</v>
      </c>
      <c r="L544" t="s">
        <v>8</v>
      </c>
      <c r="M544" t="s">
        <v>8</v>
      </c>
      <c r="N544" t="s">
        <v>8</v>
      </c>
      <c r="P544">
        <f t="shared" si="984"/>
        <v>0.95761381475667029</v>
      </c>
      <c r="Q544">
        <f t="shared" si="985"/>
        <v>44248.541978021909</v>
      </c>
      <c r="R544">
        <f t="shared" si="986"/>
        <v>129369.21224391501</v>
      </c>
      <c r="S544">
        <f t="shared" si="987"/>
        <v>1.2936921224391502</v>
      </c>
      <c r="T544">
        <f t="shared" si="988"/>
        <v>1.2936921224391501E-3</v>
      </c>
    </row>
    <row r="545" spans="1:20" x14ac:dyDescent="0.25">
      <c r="A545" s="5">
        <v>44048</v>
      </c>
      <c r="B545">
        <v>20.631</v>
      </c>
      <c r="C545">
        <v>21.071000000000002</v>
      </c>
      <c r="D545">
        <v>20.228999999999999</v>
      </c>
      <c r="E545">
        <v>20.908000000000001</v>
      </c>
      <c r="F545">
        <v>16256.659</v>
      </c>
      <c r="G545">
        <v>0</v>
      </c>
      <c r="L545" t="s">
        <v>7</v>
      </c>
      <c r="M545" t="s">
        <v>8</v>
      </c>
      <c r="N545" t="s">
        <v>8</v>
      </c>
      <c r="P545">
        <f t="shared" si="984"/>
        <v>0.61282660332541616</v>
      </c>
      <c r="Q545">
        <f t="shared" si="985"/>
        <v>9962.5131163895567</v>
      </c>
      <c r="R545">
        <f t="shared" si="986"/>
        <v>85120.670265893103</v>
      </c>
      <c r="S545">
        <f t="shared" si="987"/>
        <v>0.85120670265893106</v>
      </c>
      <c r="T545">
        <f t="shared" si="988"/>
        <v>8.5120670265893101E-4</v>
      </c>
    </row>
    <row r="546" spans="1:20" x14ac:dyDescent="0.25">
      <c r="A546" s="5">
        <v>44047</v>
      </c>
      <c r="B546">
        <v>20.440999999999999</v>
      </c>
      <c r="C546">
        <v>21.8</v>
      </c>
      <c r="D546">
        <v>20.3</v>
      </c>
      <c r="E546">
        <v>20.678000000000001</v>
      </c>
      <c r="F546">
        <v>47906.131999999998</v>
      </c>
      <c r="G546">
        <v>0</v>
      </c>
      <c r="L546" t="s">
        <v>8</v>
      </c>
      <c r="M546" t="s">
        <v>8</v>
      </c>
      <c r="N546" t="s">
        <v>8</v>
      </c>
      <c r="P546">
        <f t="shared" si="984"/>
        <v>-0.49599999999999983</v>
      </c>
      <c r="Q546">
        <f t="shared" si="985"/>
        <v>-23761.441471999991</v>
      </c>
      <c r="R546">
        <f t="shared" si="986"/>
        <v>75158.157149503546</v>
      </c>
      <c r="S546">
        <f t="shared" si="987"/>
        <v>0.75158157149503546</v>
      </c>
      <c r="T546">
        <f t="shared" si="988"/>
        <v>7.5158157149503551E-4</v>
      </c>
    </row>
    <row r="547" spans="1:20" x14ac:dyDescent="0.25">
      <c r="A547" s="5">
        <v>44046</v>
      </c>
      <c r="B547">
        <v>18.931999999999999</v>
      </c>
      <c r="C547">
        <v>21.135000000000002</v>
      </c>
      <c r="D547">
        <v>18.773</v>
      </c>
      <c r="E547">
        <v>20.373999999999999</v>
      </c>
      <c r="F547">
        <v>31347.475999999999</v>
      </c>
      <c r="G547">
        <v>0</v>
      </c>
      <c r="L547" t="s">
        <v>8</v>
      </c>
      <c r="M547" t="s">
        <v>8</v>
      </c>
      <c r="N547" t="s">
        <v>8</v>
      </c>
      <c r="P547">
        <f t="shared" si="984"/>
        <v>0.35563082133784746</v>
      </c>
      <c r="Q547">
        <f t="shared" si="985"/>
        <v>11148.128636748461</v>
      </c>
      <c r="R547">
        <f t="shared" si="986"/>
        <v>98919.598621503537</v>
      </c>
      <c r="S547">
        <f t="shared" si="987"/>
        <v>0.98919598621503535</v>
      </c>
      <c r="T547">
        <f t="shared" si="988"/>
        <v>9.8919598621503542E-4</v>
      </c>
    </row>
    <row r="548" spans="1:20" x14ac:dyDescent="0.25">
      <c r="A548" s="5">
        <v>44045</v>
      </c>
      <c r="B548">
        <v>20.605</v>
      </c>
      <c r="C548">
        <v>21.071000000000002</v>
      </c>
      <c r="D548">
        <v>4.8</v>
      </c>
      <c r="E548">
        <v>18.946000000000002</v>
      </c>
      <c r="F548">
        <v>38321.241000000002</v>
      </c>
      <c r="G548">
        <v>0</v>
      </c>
      <c r="L548" t="s">
        <v>7</v>
      </c>
      <c r="M548" t="s">
        <v>7</v>
      </c>
      <c r="N548" t="s">
        <v>7</v>
      </c>
      <c r="P548">
        <f t="shared" si="984"/>
        <v>0.73879909040624425</v>
      </c>
      <c r="Q548">
        <f t="shared" si="985"/>
        <v>28311.697994038474</v>
      </c>
      <c r="R548">
        <f t="shared" si="986"/>
        <v>87771.46998475508</v>
      </c>
      <c r="S548">
        <f t="shared" si="987"/>
        <v>0.87771469984755079</v>
      </c>
      <c r="T548">
        <f t="shared" si="988"/>
        <v>8.7771469984755082E-4</v>
      </c>
    </row>
    <row r="549" spans="1:20" x14ac:dyDescent="0.25">
      <c r="A549" s="5">
        <v>44044</v>
      </c>
      <c r="B549">
        <v>19.847000000000001</v>
      </c>
      <c r="C549">
        <v>21</v>
      </c>
      <c r="D549">
        <v>19.698</v>
      </c>
      <c r="E549">
        <v>20.6</v>
      </c>
      <c r="F549">
        <v>37176.595000000001</v>
      </c>
      <c r="G549">
        <v>0</v>
      </c>
      <c r="L549" t="s">
        <v>7</v>
      </c>
      <c r="M549" t="s">
        <v>7</v>
      </c>
      <c r="N549" t="s">
        <v>8</v>
      </c>
      <c r="P549">
        <f t="shared" si="984"/>
        <v>0.38556067588325854</v>
      </c>
      <c r="Q549">
        <f t="shared" si="985"/>
        <v>14333.833095238171</v>
      </c>
      <c r="R549">
        <f t="shared" si="986"/>
        <v>59459.771990716603</v>
      </c>
      <c r="S549">
        <f t="shared" si="987"/>
        <v>0.59459771990716603</v>
      </c>
      <c r="T549">
        <f t="shared" si="988"/>
        <v>5.9459771990716598E-4</v>
      </c>
    </row>
    <row r="550" spans="1:20" x14ac:dyDescent="0.25">
      <c r="A550" s="5">
        <v>44043</v>
      </c>
      <c r="B550">
        <v>20.221</v>
      </c>
      <c r="C550">
        <v>20.49</v>
      </c>
      <c r="D550">
        <v>19.654</v>
      </c>
      <c r="E550">
        <v>19.802</v>
      </c>
      <c r="F550">
        <v>21766.686000000002</v>
      </c>
      <c r="G550">
        <v>0</v>
      </c>
      <c r="L550" t="s">
        <v>7</v>
      </c>
      <c r="M550" t="s">
        <v>7</v>
      </c>
      <c r="N550" t="s">
        <v>8</v>
      </c>
      <c r="P550">
        <f t="shared" si="984"/>
        <v>-0.64593301435406714</v>
      </c>
      <c r="Q550">
        <f t="shared" si="985"/>
        <v>-14059.821100478473</v>
      </c>
      <c r="R550">
        <f t="shared" si="986"/>
        <v>45125.93889547843</v>
      </c>
      <c r="S550">
        <f t="shared" si="987"/>
        <v>0.45125938895478429</v>
      </c>
      <c r="T550">
        <f t="shared" si="988"/>
        <v>4.5125938895478431E-4</v>
      </c>
    </row>
    <row r="551" spans="1:20" x14ac:dyDescent="0.25">
      <c r="A551" s="5">
        <v>44042</v>
      </c>
      <c r="B551">
        <v>19.995999999999999</v>
      </c>
      <c r="C551">
        <v>21.172999999999998</v>
      </c>
      <c r="D551">
        <v>19.89</v>
      </c>
      <c r="E551">
        <v>20.149000000000001</v>
      </c>
      <c r="F551">
        <v>38589.131999999998</v>
      </c>
      <c r="G551">
        <v>0</v>
      </c>
      <c r="L551" t="s">
        <v>7</v>
      </c>
      <c r="M551" t="s">
        <v>7</v>
      </c>
      <c r="N551" t="s">
        <v>8</v>
      </c>
      <c r="P551">
        <f t="shared" si="984"/>
        <v>-0.59625876851130033</v>
      </c>
      <c r="Q551">
        <f t="shared" si="985"/>
        <v>-23009.108324240009</v>
      </c>
      <c r="R551">
        <f t="shared" si="986"/>
        <v>59185.759995956905</v>
      </c>
      <c r="S551">
        <f t="shared" si="987"/>
        <v>0.5918575999595691</v>
      </c>
      <c r="T551">
        <f t="shared" si="988"/>
        <v>5.9185759995956911E-4</v>
      </c>
    </row>
    <row r="552" spans="1:20" x14ac:dyDescent="0.25">
      <c r="A552" s="5">
        <v>44041</v>
      </c>
      <c r="B552">
        <v>21.472000000000001</v>
      </c>
      <c r="C552">
        <v>21.626999999999999</v>
      </c>
      <c r="D552">
        <v>19.928999999999998</v>
      </c>
      <c r="E552">
        <v>20.145</v>
      </c>
      <c r="F552">
        <v>45555.425999999999</v>
      </c>
      <c r="G552">
        <v>0</v>
      </c>
      <c r="L552" t="s">
        <v>7</v>
      </c>
      <c r="M552" t="s">
        <v>7</v>
      </c>
      <c r="N552" t="s">
        <v>8</v>
      </c>
      <c r="P552">
        <f t="shared" si="984"/>
        <v>-0.7455830388692567</v>
      </c>
      <c r="Q552">
        <f t="shared" si="985"/>
        <v>-33965.35295406355</v>
      </c>
      <c r="R552">
        <f t="shared" si="986"/>
        <v>82194.868320196911</v>
      </c>
      <c r="S552">
        <f t="shared" si="987"/>
        <v>0.82194868320196912</v>
      </c>
      <c r="T552">
        <f t="shared" si="988"/>
        <v>8.2194868320196914E-4</v>
      </c>
    </row>
    <row r="553" spans="1:20" x14ac:dyDescent="0.25">
      <c r="A553" s="5">
        <v>44040</v>
      </c>
      <c r="B553">
        <v>20.45</v>
      </c>
      <c r="C553">
        <v>22.245999999999999</v>
      </c>
      <c r="D553">
        <v>19.524000000000001</v>
      </c>
      <c r="E553">
        <v>21.45</v>
      </c>
      <c r="F553">
        <v>119222.52899999999</v>
      </c>
      <c r="G553">
        <v>0</v>
      </c>
      <c r="L553" t="s">
        <v>8</v>
      </c>
      <c r="M553" t="s">
        <v>7</v>
      </c>
      <c r="N553" t="s">
        <v>8</v>
      </c>
      <c r="P553">
        <f t="shared" si="984"/>
        <v>0.41513592946362965</v>
      </c>
      <c r="Q553">
        <f t="shared" si="985"/>
        <v>49493.55538941954</v>
      </c>
      <c r="R553">
        <f t="shared" si="986"/>
        <v>116160.22127426046</v>
      </c>
      <c r="S553">
        <f t="shared" si="987"/>
        <v>1.1616022127426047</v>
      </c>
      <c r="T553">
        <f t="shared" si="988"/>
        <v>1.1616022127426046E-3</v>
      </c>
    </row>
    <row r="554" spans="1:20" x14ac:dyDescent="0.25">
      <c r="A554" s="5">
        <v>44039</v>
      </c>
      <c r="B554">
        <v>22.454000000000001</v>
      </c>
      <c r="C554">
        <v>23.62</v>
      </c>
      <c r="D554">
        <v>19.372</v>
      </c>
      <c r="E554">
        <v>20.391999999999999</v>
      </c>
      <c r="F554">
        <v>64799.743999999999</v>
      </c>
      <c r="G554">
        <v>0</v>
      </c>
      <c r="L554" t="s">
        <v>7</v>
      </c>
      <c r="M554" t="s">
        <v>7</v>
      </c>
      <c r="N554" t="s">
        <v>8</v>
      </c>
      <c r="P554">
        <f t="shared" si="984"/>
        <v>-0.51977401129943535</v>
      </c>
      <c r="Q554">
        <f t="shared" si="985"/>
        <v>-33681.222870056517</v>
      </c>
      <c r="R554">
        <f t="shared" si="986"/>
        <v>66666.665884840928</v>
      </c>
      <c r="S554">
        <f t="shared" si="987"/>
        <v>0.66666665884840925</v>
      </c>
      <c r="T554">
        <f t="shared" si="988"/>
        <v>6.6666665884840921E-4</v>
      </c>
    </row>
    <row r="555" spans="1:20" x14ac:dyDescent="0.25">
      <c r="A555" s="5">
        <v>44038</v>
      </c>
      <c r="B555">
        <v>23.015999999999998</v>
      </c>
      <c r="C555">
        <v>23.018000000000001</v>
      </c>
      <c r="D555">
        <v>21.382999999999999</v>
      </c>
      <c r="E555">
        <v>22.443999999999999</v>
      </c>
      <c r="F555">
        <v>42638.491999999998</v>
      </c>
      <c r="G555">
        <v>0</v>
      </c>
      <c r="L555" t="s">
        <v>7</v>
      </c>
      <c r="M555" t="s">
        <v>7</v>
      </c>
      <c r="N555" t="s">
        <v>8</v>
      </c>
      <c r="P555">
        <f t="shared" si="984"/>
        <v>0.29785932721712405</v>
      </c>
      <c r="Q555">
        <f t="shared" si="985"/>
        <v>12700.272540672726</v>
      </c>
      <c r="R555">
        <f t="shared" si="986"/>
        <v>100347.88875489745</v>
      </c>
      <c r="S555">
        <f t="shared" si="987"/>
        <v>1.0034788875489744</v>
      </c>
      <c r="T555">
        <f t="shared" si="988"/>
        <v>1.0034788875489743E-3</v>
      </c>
    </row>
    <row r="556" spans="1:20" x14ac:dyDescent="0.25">
      <c r="A556" s="5">
        <v>44037</v>
      </c>
      <c r="B556">
        <v>23.13</v>
      </c>
      <c r="C556">
        <v>24.373999999999999</v>
      </c>
      <c r="D556">
        <v>22.85</v>
      </c>
      <c r="E556">
        <v>22.965</v>
      </c>
      <c r="F556">
        <v>43101.79</v>
      </c>
      <c r="G556">
        <v>0</v>
      </c>
      <c r="L556" t="s">
        <v>8</v>
      </c>
      <c r="M556" t="s">
        <v>8</v>
      </c>
      <c r="N556" t="s">
        <v>8</v>
      </c>
      <c r="P556">
        <f t="shared" si="984"/>
        <v>-0.84908136482939811</v>
      </c>
      <c r="Q556">
        <f t="shared" si="985"/>
        <v>-36596.926679790107</v>
      </c>
      <c r="R556">
        <f t="shared" si="986"/>
        <v>87647.616214224719</v>
      </c>
      <c r="S556">
        <f t="shared" si="987"/>
        <v>0.87647616214224722</v>
      </c>
      <c r="T556">
        <f t="shared" si="988"/>
        <v>8.7647616214224717E-4</v>
      </c>
    </row>
    <row r="557" spans="1:20" x14ac:dyDescent="0.25">
      <c r="A557" s="5">
        <v>44036</v>
      </c>
      <c r="B557">
        <v>22.687999999999999</v>
      </c>
      <c r="C557">
        <v>24.398</v>
      </c>
      <c r="D557">
        <v>22.376000000000001</v>
      </c>
      <c r="E557">
        <v>23.116</v>
      </c>
      <c r="F557">
        <v>66401.793999999994</v>
      </c>
      <c r="G557">
        <v>0</v>
      </c>
      <c r="L557" t="s">
        <v>8</v>
      </c>
      <c r="M557" t="s">
        <v>8</v>
      </c>
      <c r="N557" t="s">
        <v>8</v>
      </c>
      <c r="P557">
        <f t="shared" si="984"/>
        <v>-0.26805143422354205</v>
      </c>
      <c r="Q557">
        <f t="shared" si="985"/>
        <v>-17799.096116716188</v>
      </c>
      <c r="R557">
        <f t="shared" si="986"/>
        <v>124244.54289401483</v>
      </c>
      <c r="S557">
        <f t="shared" si="987"/>
        <v>1.2424454289401483</v>
      </c>
      <c r="T557">
        <f t="shared" si="988"/>
        <v>1.2424454289401484E-3</v>
      </c>
    </row>
    <row r="558" spans="1:20" x14ac:dyDescent="0.25">
      <c r="A558" s="5">
        <v>44035</v>
      </c>
      <c r="B558">
        <v>23.498000000000001</v>
      </c>
      <c r="C558">
        <v>23.9</v>
      </c>
      <c r="D558">
        <v>22.106000000000002</v>
      </c>
      <c r="E558">
        <v>22.628</v>
      </c>
      <c r="F558">
        <v>83523.388000000006</v>
      </c>
      <c r="G558">
        <v>0</v>
      </c>
      <c r="L558" t="s">
        <v>7</v>
      </c>
      <c r="M558" t="s">
        <v>8</v>
      </c>
      <c r="N558" t="s">
        <v>8</v>
      </c>
      <c r="P558">
        <f t="shared" si="984"/>
        <v>-0.41806020066889704</v>
      </c>
      <c r="Q558">
        <f t="shared" si="985"/>
        <v>-34917.804347826153</v>
      </c>
      <c r="R558">
        <f t="shared" si="986"/>
        <v>142043.63901073101</v>
      </c>
      <c r="S558">
        <f t="shared" si="987"/>
        <v>1.42043639010731</v>
      </c>
      <c r="T558">
        <f t="shared" si="988"/>
        <v>1.4204363901073101E-3</v>
      </c>
    </row>
    <row r="559" spans="1:20" x14ac:dyDescent="0.25">
      <c r="A559" s="5">
        <v>44034</v>
      </c>
      <c r="B559">
        <v>23.504999999999999</v>
      </c>
      <c r="C559">
        <v>25.548999999999999</v>
      </c>
      <c r="D559">
        <v>23.100999999999999</v>
      </c>
      <c r="E559">
        <v>23.533000000000001</v>
      </c>
      <c r="F559">
        <v>136432.951</v>
      </c>
      <c r="G559">
        <v>0</v>
      </c>
      <c r="L559" t="s">
        <v>8</v>
      </c>
      <c r="M559" t="s">
        <v>8</v>
      </c>
      <c r="N559" t="s">
        <v>8</v>
      </c>
      <c r="P559">
        <f t="shared" si="984"/>
        <v>-0.64705882352941002</v>
      </c>
      <c r="Q559">
        <f t="shared" si="985"/>
        <v>-88280.144764705648</v>
      </c>
      <c r="R559">
        <f t="shared" si="986"/>
        <v>176961.44335855715</v>
      </c>
      <c r="S559">
        <f t="shared" si="987"/>
        <v>1.7696144335855715</v>
      </c>
      <c r="T559">
        <f t="shared" si="988"/>
        <v>1.7696144335855714E-3</v>
      </c>
    </row>
    <row r="560" spans="1:20" x14ac:dyDescent="0.25">
      <c r="A560" s="5">
        <v>44033</v>
      </c>
      <c r="B560">
        <v>19.341999999999999</v>
      </c>
      <c r="C560">
        <v>24.2</v>
      </c>
      <c r="D560">
        <v>19.337</v>
      </c>
      <c r="E560">
        <v>23.504999999999999</v>
      </c>
      <c r="F560">
        <v>155719.88699999999</v>
      </c>
      <c r="G560">
        <v>0</v>
      </c>
      <c r="L560" t="s">
        <v>8</v>
      </c>
      <c r="M560" t="s">
        <v>8</v>
      </c>
      <c r="N560" t="s">
        <v>8</v>
      </c>
      <c r="P560">
        <f t="shared" si="984"/>
        <v>0.71416820892453203</v>
      </c>
      <c r="Q560">
        <f t="shared" si="985"/>
        <v>111210.19279272051</v>
      </c>
      <c r="R560">
        <f t="shared" si="986"/>
        <v>265241.5881232628</v>
      </c>
      <c r="S560">
        <f t="shared" si="987"/>
        <v>2.6524158812326282</v>
      </c>
      <c r="T560">
        <f t="shared" si="988"/>
        <v>2.6524158812326281E-3</v>
      </c>
    </row>
    <row r="561" spans="1:104" x14ac:dyDescent="0.25">
      <c r="A561" s="5">
        <v>44032</v>
      </c>
      <c r="B561">
        <v>19.055</v>
      </c>
      <c r="C561">
        <v>19.887</v>
      </c>
      <c r="D561">
        <v>18.847999999999999</v>
      </c>
      <c r="E561">
        <v>19.384</v>
      </c>
      <c r="F561">
        <v>47015.457999999999</v>
      </c>
      <c r="G561">
        <v>0</v>
      </c>
      <c r="L561" t="s">
        <v>8</v>
      </c>
      <c r="M561" t="s">
        <v>7</v>
      </c>
      <c r="N561" t="s">
        <v>8</v>
      </c>
      <c r="P561">
        <f t="shared" si="984"/>
        <v>3.1761308950915501E-2</v>
      </c>
      <c r="Q561">
        <f t="shared" si="985"/>
        <v>1493.2724870067918</v>
      </c>
      <c r="R561">
        <f t="shared" si="986"/>
        <v>154031.39533054229</v>
      </c>
      <c r="S561">
        <f t="shared" si="987"/>
        <v>1.5403139533054229</v>
      </c>
      <c r="T561">
        <f t="shared" si="988"/>
        <v>1.5403139533054229E-3</v>
      </c>
      <c r="CZ561" t="s">
        <v>7</v>
      </c>
    </row>
    <row r="562" spans="1:104" x14ac:dyDescent="0.25">
      <c r="A562" s="5">
        <v>44031</v>
      </c>
      <c r="B562">
        <v>19.34</v>
      </c>
      <c r="C562">
        <v>19.504999999999999</v>
      </c>
      <c r="D562">
        <v>18.809000000000001</v>
      </c>
      <c r="E562">
        <v>19.056000000000001</v>
      </c>
      <c r="F562">
        <v>24668.552</v>
      </c>
      <c r="G562">
        <v>0</v>
      </c>
      <c r="L562" t="s">
        <v>8</v>
      </c>
      <c r="M562" t="s">
        <v>7</v>
      </c>
      <c r="N562" t="s">
        <v>8</v>
      </c>
      <c r="P562">
        <f t="shared" si="984"/>
        <v>-0.29022988505746949</v>
      </c>
      <c r="Q562">
        <f t="shared" si="985"/>
        <v>-7159.551011494209</v>
      </c>
      <c r="R562">
        <f t="shared" si="986"/>
        <v>152538.1228435355</v>
      </c>
      <c r="S562">
        <f t="shared" si="987"/>
        <v>1.525381228435355</v>
      </c>
      <c r="T562">
        <f t="shared" si="988"/>
        <v>1.525381228435355E-3</v>
      </c>
      <c r="CZ562" t="s">
        <v>7</v>
      </c>
    </row>
    <row r="563" spans="1:104" x14ac:dyDescent="0.25">
      <c r="A563" s="5">
        <v>44030</v>
      </c>
      <c r="B563">
        <v>19.14</v>
      </c>
      <c r="C563">
        <v>19.673999999999999</v>
      </c>
      <c r="D563">
        <v>18.548999999999999</v>
      </c>
      <c r="E563">
        <v>19.341000000000001</v>
      </c>
      <c r="F563">
        <v>36550.008999999998</v>
      </c>
      <c r="G563">
        <v>0</v>
      </c>
      <c r="L563" t="s">
        <v>8</v>
      </c>
      <c r="M563" t="s">
        <v>7</v>
      </c>
      <c r="N563" t="s">
        <v>8</v>
      </c>
      <c r="P563">
        <f t="shared" si="984"/>
        <v>0.4080000000000028</v>
      </c>
      <c r="Q563">
        <f t="shared" si="985"/>
        <v>14912.403672000102</v>
      </c>
      <c r="R563">
        <f t="shared" si="986"/>
        <v>159697.67385502972</v>
      </c>
      <c r="S563">
        <f t="shared" si="987"/>
        <v>1.5969767385502971</v>
      </c>
      <c r="T563">
        <f t="shared" si="988"/>
        <v>1.596976738550297E-3</v>
      </c>
      <c r="CZ563" t="s">
        <v>7</v>
      </c>
    </row>
    <row r="564" spans="1:104" x14ac:dyDescent="0.25">
      <c r="A564" s="5">
        <v>44029</v>
      </c>
      <c r="B564">
        <v>19.148</v>
      </c>
      <c r="C564">
        <v>19.331</v>
      </c>
      <c r="D564">
        <v>18.852</v>
      </c>
      <c r="E564">
        <v>19.167999999999999</v>
      </c>
      <c r="F564">
        <v>18739.349999999999</v>
      </c>
      <c r="G564">
        <v>0</v>
      </c>
      <c r="L564" t="s">
        <v>8</v>
      </c>
      <c r="M564" t="s">
        <v>7</v>
      </c>
      <c r="N564" t="s">
        <v>8</v>
      </c>
      <c r="P564">
        <f t="shared" si="984"/>
        <v>0.31941544885177231</v>
      </c>
      <c r="Q564">
        <f t="shared" si="985"/>
        <v>5985.6378914404586</v>
      </c>
      <c r="R564">
        <f t="shared" si="986"/>
        <v>144785.27018302961</v>
      </c>
      <c r="S564">
        <f t="shared" si="987"/>
        <v>1.4478527018302962</v>
      </c>
      <c r="T564">
        <f t="shared" si="988"/>
        <v>1.4478527018302963E-3</v>
      </c>
    </row>
    <row r="565" spans="1:104" x14ac:dyDescent="0.25">
      <c r="A565" s="5">
        <v>44028</v>
      </c>
      <c r="B565">
        <v>19.434999999999999</v>
      </c>
      <c r="C565">
        <v>20.094000000000001</v>
      </c>
      <c r="D565">
        <v>17.384</v>
      </c>
      <c r="E565">
        <v>19.152999999999999</v>
      </c>
      <c r="F565">
        <v>77831.903000000006</v>
      </c>
      <c r="G565">
        <v>0</v>
      </c>
      <c r="L565" t="s">
        <v>7</v>
      </c>
      <c r="M565" t="s">
        <v>7</v>
      </c>
      <c r="N565" t="s">
        <v>8</v>
      </c>
      <c r="P565">
        <f t="shared" si="984"/>
        <v>0.30553505535055187</v>
      </c>
      <c r="Q565">
        <f t="shared" si="985"/>
        <v>23780.374791143786</v>
      </c>
      <c r="R565">
        <f t="shared" si="986"/>
        <v>138799.63229158917</v>
      </c>
      <c r="S565">
        <f t="shared" si="987"/>
        <v>1.3879963229158916</v>
      </c>
      <c r="T565">
        <f t="shared" si="988"/>
        <v>1.3879963229158916E-3</v>
      </c>
    </row>
    <row r="566" spans="1:104" x14ac:dyDescent="0.25">
      <c r="A566" s="5">
        <v>44027</v>
      </c>
      <c r="B566">
        <v>20.062000000000001</v>
      </c>
      <c r="C566">
        <v>20.506</v>
      </c>
      <c r="D566">
        <v>19.065000000000001</v>
      </c>
      <c r="E566">
        <v>19.419</v>
      </c>
      <c r="F566">
        <v>60288.205000000002</v>
      </c>
      <c r="G566">
        <v>0</v>
      </c>
      <c r="L566" t="s">
        <v>8</v>
      </c>
      <c r="M566" t="s">
        <v>8</v>
      </c>
      <c r="N566" t="s">
        <v>8</v>
      </c>
      <c r="P566">
        <f t="shared" si="984"/>
        <v>-0.50867453157529563</v>
      </c>
      <c r="Q566">
        <f t="shared" si="985"/>
        <v>-30667.074437890398</v>
      </c>
      <c r="R566">
        <f t="shared" si="986"/>
        <v>115019.25750044538</v>
      </c>
      <c r="S566">
        <f t="shared" si="987"/>
        <v>1.1501925750044539</v>
      </c>
      <c r="T566">
        <f t="shared" si="988"/>
        <v>1.150192575004454E-3</v>
      </c>
    </row>
    <row r="567" spans="1:104" x14ac:dyDescent="0.25">
      <c r="A567" s="5">
        <v>44026</v>
      </c>
      <c r="B567">
        <v>18.771999999999998</v>
      </c>
      <c r="C567">
        <v>20.358000000000001</v>
      </c>
      <c r="D567">
        <v>17.943999999999999</v>
      </c>
      <c r="E567">
        <v>20.027000000000001</v>
      </c>
      <c r="F567">
        <v>60727.697</v>
      </c>
      <c r="G567">
        <v>0</v>
      </c>
      <c r="L567" t="s">
        <v>7</v>
      </c>
      <c r="M567" t="s">
        <v>8</v>
      </c>
      <c r="N567" t="s">
        <v>8</v>
      </c>
      <c r="P567">
        <f t="shared" si="984"/>
        <v>0.72576636288318197</v>
      </c>
      <c r="Q567">
        <f t="shared" si="985"/>
        <v>44074.119777961918</v>
      </c>
      <c r="R567">
        <f t="shared" si="986"/>
        <v>145686.33193833579</v>
      </c>
      <c r="S567">
        <f t="shared" si="987"/>
        <v>1.4568633193833578</v>
      </c>
      <c r="T567">
        <f t="shared" si="988"/>
        <v>1.4568633193833577E-3</v>
      </c>
    </row>
    <row r="568" spans="1:104" x14ac:dyDescent="0.25">
      <c r="A568" s="5">
        <v>44025</v>
      </c>
      <c r="B568">
        <v>19.536000000000001</v>
      </c>
      <c r="C568">
        <v>19.850000000000001</v>
      </c>
      <c r="D568">
        <v>18.43</v>
      </c>
      <c r="E568">
        <v>18.797000000000001</v>
      </c>
      <c r="F568">
        <v>30055.725999999999</v>
      </c>
      <c r="G568">
        <v>0</v>
      </c>
      <c r="L568" t="s">
        <v>7</v>
      </c>
      <c r="M568" t="s">
        <v>8</v>
      </c>
      <c r="N568" t="s">
        <v>8</v>
      </c>
      <c r="P568">
        <f t="shared" si="984"/>
        <v>-0.48309859154929513</v>
      </c>
      <c r="Q568">
        <f t="shared" si="985"/>
        <v>-14519.878898591529</v>
      </c>
      <c r="R568">
        <f t="shared" si="986"/>
        <v>101612.21216037388</v>
      </c>
      <c r="S568">
        <f t="shared" si="987"/>
        <v>1.0161221216037388</v>
      </c>
      <c r="T568">
        <f t="shared" si="988"/>
        <v>1.0161221216037387E-3</v>
      </c>
    </row>
    <row r="569" spans="1:104" x14ac:dyDescent="0.25">
      <c r="A569" s="5">
        <v>44024</v>
      </c>
      <c r="B569">
        <v>19.366</v>
      </c>
      <c r="C569">
        <v>20.024000000000001</v>
      </c>
      <c r="D569">
        <v>19.225999999999999</v>
      </c>
      <c r="E569">
        <v>19.536000000000001</v>
      </c>
      <c r="F569">
        <v>20701.499</v>
      </c>
      <c r="G569">
        <v>0</v>
      </c>
      <c r="L569" t="s">
        <v>8</v>
      </c>
      <c r="M569" t="s">
        <v>8</v>
      </c>
      <c r="N569" t="s">
        <v>8</v>
      </c>
      <c r="P569">
        <f t="shared" si="984"/>
        <v>-0.22305764411027176</v>
      </c>
      <c r="Q569">
        <f t="shared" si="985"/>
        <v>-4617.6275964911465</v>
      </c>
      <c r="R569">
        <f t="shared" si="986"/>
        <v>116132.09105896541</v>
      </c>
      <c r="S569">
        <f t="shared" si="987"/>
        <v>1.161320910589654</v>
      </c>
      <c r="T569">
        <f t="shared" si="988"/>
        <v>1.161320910589654E-3</v>
      </c>
    </row>
    <row r="570" spans="1:104" x14ac:dyDescent="0.25">
      <c r="A570" s="5">
        <v>44023</v>
      </c>
      <c r="B570">
        <v>19.242000000000001</v>
      </c>
      <c r="C570">
        <v>19.420000000000002</v>
      </c>
      <c r="D570">
        <v>18.838000000000001</v>
      </c>
      <c r="E570">
        <v>19.366</v>
      </c>
      <c r="F570">
        <v>21812.587</v>
      </c>
      <c r="G570">
        <v>0</v>
      </c>
      <c r="L570" t="s">
        <v>8</v>
      </c>
      <c r="M570" t="s">
        <v>8</v>
      </c>
      <c r="N570" t="s">
        <v>8</v>
      </c>
      <c r="P570">
        <f t="shared" si="984"/>
        <v>0.81443298969071487</v>
      </c>
      <c r="Q570">
        <f t="shared" si="985"/>
        <v>17764.89044329882</v>
      </c>
      <c r="R570">
        <f t="shared" si="986"/>
        <v>120749.71865545656</v>
      </c>
      <c r="S570">
        <f t="shared" si="987"/>
        <v>1.2074971865545656</v>
      </c>
      <c r="T570">
        <f t="shared" si="988"/>
        <v>1.2074971865545657E-3</v>
      </c>
    </row>
    <row r="571" spans="1:104" x14ac:dyDescent="0.25">
      <c r="A571" s="5">
        <v>44022</v>
      </c>
      <c r="B571">
        <v>19.260999999999999</v>
      </c>
      <c r="C571">
        <v>19.933</v>
      </c>
      <c r="D571">
        <v>18.399999999999999</v>
      </c>
      <c r="E571">
        <v>19.242000000000001</v>
      </c>
      <c r="F571">
        <v>25857.602999999999</v>
      </c>
      <c r="G571">
        <v>0</v>
      </c>
      <c r="L571" t="s">
        <v>8</v>
      </c>
      <c r="M571" t="s">
        <v>8</v>
      </c>
      <c r="N571" t="s">
        <v>8</v>
      </c>
      <c r="P571">
        <f t="shared" si="984"/>
        <v>9.84996738421417E-2</v>
      </c>
      <c r="Q571">
        <f t="shared" si="985"/>
        <v>2546.9654618395848</v>
      </c>
      <c r="R571">
        <f t="shared" si="986"/>
        <v>102984.82821215774</v>
      </c>
      <c r="S571">
        <f t="shared" si="987"/>
        <v>1.0298482821215773</v>
      </c>
      <c r="T571">
        <f t="shared" si="988"/>
        <v>1.0298482821215773E-3</v>
      </c>
    </row>
    <row r="572" spans="1:104" x14ac:dyDescent="0.25">
      <c r="A572" s="5">
        <v>44021</v>
      </c>
      <c r="B572">
        <v>20.285</v>
      </c>
      <c r="C572">
        <v>20.285</v>
      </c>
      <c r="D572">
        <v>18.38</v>
      </c>
      <c r="E572">
        <v>19.231000000000002</v>
      </c>
      <c r="F572">
        <v>39632.457000000002</v>
      </c>
      <c r="G572">
        <v>0</v>
      </c>
      <c r="L572" t="s">
        <v>7</v>
      </c>
      <c r="M572" t="s">
        <v>8</v>
      </c>
      <c r="N572" t="s">
        <v>8</v>
      </c>
      <c r="P572">
        <f t="shared" si="984"/>
        <v>-0.10656167979002401</v>
      </c>
      <c r="Q572">
        <f t="shared" si="985"/>
        <v>-4223.3011921258958</v>
      </c>
      <c r="R572">
        <f t="shared" si="986"/>
        <v>100437.86275031815</v>
      </c>
      <c r="S572">
        <f t="shared" si="987"/>
        <v>1.0043786275031814</v>
      </c>
      <c r="T572">
        <f t="shared" si="988"/>
        <v>1.0043786275031814E-3</v>
      </c>
    </row>
    <row r="573" spans="1:104" x14ac:dyDescent="0.25">
      <c r="A573" s="5">
        <v>44020</v>
      </c>
      <c r="B573">
        <v>19.931000000000001</v>
      </c>
      <c r="C573">
        <v>21.14</v>
      </c>
      <c r="D573">
        <v>19.263000000000002</v>
      </c>
      <c r="E573">
        <v>20.331</v>
      </c>
      <c r="F573">
        <v>62533.237000000001</v>
      </c>
      <c r="G573">
        <v>0</v>
      </c>
      <c r="L573" t="s">
        <v>8</v>
      </c>
      <c r="M573" t="s">
        <v>8</v>
      </c>
      <c r="N573" t="s">
        <v>8</v>
      </c>
      <c r="P573">
        <f t="shared" si="984"/>
        <v>0.13798614810868243</v>
      </c>
      <c r="Q573">
        <f t="shared" si="985"/>
        <v>8628.7205023973402</v>
      </c>
      <c r="R573">
        <f t="shared" si="986"/>
        <v>104661.16394244405</v>
      </c>
      <c r="S573">
        <f t="shared" si="987"/>
        <v>1.0466116394244405</v>
      </c>
      <c r="T573">
        <f t="shared" si="988"/>
        <v>1.0466116394244405E-3</v>
      </c>
    </row>
    <row r="574" spans="1:104" x14ac:dyDescent="0.25">
      <c r="A574" s="5">
        <v>44019</v>
      </c>
      <c r="B574">
        <v>19.056000000000001</v>
      </c>
      <c r="C574">
        <v>19.931999999999999</v>
      </c>
      <c r="D574">
        <v>18.79</v>
      </c>
      <c r="E574">
        <v>19.931000000000001</v>
      </c>
      <c r="F574">
        <v>34070.767999999996</v>
      </c>
      <c r="G574">
        <v>0</v>
      </c>
      <c r="L574" t="s">
        <v>8</v>
      </c>
      <c r="M574" t="s">
        <v>8</v>
      </c>
      <c r="N574" t="s">
        <v>8</v>
      </c>
      <c r="P574">
        <f t="shared" si="984"/>
        <v>0.99824868651489029</v>
      </c>
      <c r="Q574">
        <f t="shared" si="985"/>
        <v>34011.099404553555</v>
      </c>
      <c r="R574">
        <f t="shared" si="986"/>
        <v>96032.443440046714</v>
      </c>
      <c r="S574">
        <f t="shared" si="987"/>
        <v>0.96032443440046711</v>
      </c>
      <c r="T574">
        <f t="shared" si="988"/>
        <v>9.6032443440046712E-4</v>
      </c>
    </row>
    <row r="575" spans="1:104" x14ac:dyDescent="0.25">
      <c r="A575" s="5">
        <v>44018</v>
      </c>
      <c r="B575">
        <v>18.291</v>
      </c>
      <c r="C575">
        <v>19.577999999999999</v>
      </c>
      <c r="D575">
        <v>18.167000000000002</v>
      </c>
      <c r="E575">
        <v>19.001000000000001</v>
      </c>
      <c r="F575">
        <v>51270.874000000003</v>
      </c>
      <c r="G575">
        <v>0</v>
      </c>
      <c r="L575" t="s">
        <v>8</v>
      </c>
      <c r="M575" t="s">
        <v>8</v>
      </c>
      <c r="N575" t="s">
        <v>8</v>
      </c>
      <c r="P575">
        <f t="shared" si="984"/>
        <v>0.18214032600992336</v>
      </c>
      <c r="Q575">
        <f t="shared" si="985"/>
        <v>9338.4937051737033</v>
      </c>
      <c r="R575">
        <f t="shared" si="986"/>
        <v>62021.344035493152</v>
      </c>
      <c r="S575">
        <f t="shared" si="987"/>
        <v>0.62021344035493153</v>
      </c>
      <c r="T575">
        <f t="shared" si="988"/>
        <v>6.2021344035493155E-4</v>
      </c>
    </row>
    <row r="576" spans="1:104" x14ac:dyDescent="0.25">
      <c r="A576" s="5">
        <v>44017</v>
      </c>
      <c r="B576">
        <v>18.899999999999999</v>
      </c>
      <c r="C576">
        <v>19.053999999999998</v>
      </c>
      <c r="D576">
        <v>17.510999999999999</v>
      </c>
      <c r="E576">
        <v>18.190999999999999</v>
      </c>
      <c r="F576">
        <v>34383.137999999999</v>
      </c>
      <c r="G576">
        <v>0</v>
      </c>
      <c r="L576" t="s">
        <v>7</v>
      </c>
      <c r="M576" t="s">
        <v>8</v>
      </c>
      <c r="N576" t="s">
        <v>8</v>
      </c>
      <c r="P576">
        <f t="shared" si="984"/>
        <v>-0.11860012961762795</v>
      </c>
      <c r="Q576">
        <f t="shared" si="985"/>
        <v>-4077.8446234607886</v>
      </c>
      <c r="R576">
        <f t="shared" si="986"/>
        <v>52682.850330319445</v>
      </c>
      <c r="S576">
        <f t="shared" si="987"/>
        <v>0.52682850330319442</v>
      </c>
      <c r="T576">
        <f t="shared" si="988"/>
        <v>5.2682850330319439E-4</v>
      </c>
    </row>
    <row r="577" spans="1:20" x14ac:dyDescent="0.25">
      <c r="A577" s="5">
        <v>44016</v>
      </c>
      <c r="B577">
        <v>18.13</v>
      </c>
      <c r="C577">
        <v>19.667999999999999</v>
      </c>
      <c r="D577">
        <v>18.13</v>
      </c>
      <c r="E577">
        <v>18.928000000000001</v>
      </c>
      <c r="F577">
        <v>67663.372000000003</v>
      </c>
      <c r="G577">
        <v>0</v>
      </c>
      <c r="L577" t="s">
        <v>8</v>
      </c>
      <c r="M577" t="s">
        <v>8</v>
      </c>
      <c r="N577" t="s">
        <v>8</v>
      </c>
      <c r="P577">
        <f t="shared" si="984"/>
        <v>3.7711313394020396E-2</v>
      </c>
      <c r="Q577">
        <f t="shared" si="985"/>
        <v>2551.6746267881849</v>
      </c>
      <c r="R577">
        <f t="shared" si="986"/>
        <v>56760.694953780236</v>
      </c>
      <c r="S577">
        <f t="shared" si="987"/>
        <v>0.56760694953780233</v>
      </c>
      <c r="T577">
        <f t="shared" si="988"/>
        <v>5.6760694953780235E-4</v>
      </c>
    </row>
    <row r="578" spans="1:20" x14ac:dyDescent="0.25">
      <c r="A578" s="5">
        <v>44015</v>
      </c>
      <c r="B578">
        <v>16.835000000000001</v>
      </c>
      <c r="C578">
        <v>18.53</v>
      </c>
      <c r="D578">
        <v>16.742999999999999</v>
      </c>
      <c r="E578">
        <v>18.170000000000002</v>
      </c>
      <c r="F578">
        <v>35757.78</v>
      </c>
      <c r="G578">
        <v>0</v>
      </c>
      <c r="L578" t="s">
        <v>8</v>
      </c>
      <c r="M578" t="s">
        <v>7</v>
      </c>
      <c r="N578" t="s">
        <v>8</v>
      </c>
      <c r="P578">
        <f t="shared" si="984"/>
        <v>0.59709009513150657</v>
      </c>
      <c r="Q578">
        <f t="shared" si="985"/>
        <v>21350.616261891482</v>
      </c>
      <c r="R578">
        <f t="shared" si="986"/>
        <v>54209.020326992053</v>
      </c>
      <c r="S578">
        <f t="shared" si="987"/>
        <v>0.54209020326992052</v>
      </c>
      <c r="T578">
        <f t="shared" si="988"/>
        <v>5.4209020326992049E-4</v>
      </c>
    </row>
    <row r="579" spans="1:20" x14ac:dyDescent="0.25">
      <c r="A579" s="5">
        <v>44014</v>
      </c>
      <c r="B579">
        <v>16.855</v>
      </c>
      <c r="C579">
        <v>17.422999999999998</v>
      </c>
      <c r="D579">
        <v>16.353000000000002</v>
      </c>
      <c r="E579">
        <v>16.835000000000001</v>
      </c>
      <c r="F579">
        <v>41072.658000000003</v>
      </c>
      <c r="G579">
        <v>0</v>
      </c>
      <c r="L579" t="s">
        <v>8</v>
      </c>
      <c r="M579" t="s">
        <v>7</v>
      </c>
      <c r="N579" t="s">
        <v>8</v>
      </c>
      <c r="P579">
        <f t="shared" si="984"/>
        <v>-9.9065420560746187E-2</v>
      </c>
      <c r="Q579">
        <f t="shared" si="985"/>
        <v>-4068.8801383176965</v>
      </c>
      <c r="R579">
        <f t="shared" si="986"/>
        <v>32858.404065100571</v>
      </c>
      <c r="S579">
        <f t="shared" si="987"/>
        <v>0.32858404065100572</v>
      </c>
      <c r="T579">
        <f t="shared" si="988"/>
        <v>3.2858404065100571E-4</v>
      </c>
    </row>
    <row r="580" spans="1:20" x14ac:dyDescent="0.25">
      <c r="A580" s="5">
        <v>44013</v>
      </c>
      <c r="B580">
        <v>16.3</v>
      </c>
      <c r="C580">
        <v>17.247</v>
      </c>
      <c r="D580">
        <v>16.128</v>
      </c>
      <c r="E580">
        <v>16.844999999999999</v>
      </c>
      <c r="F580">
        <v>23303.455999999998</v>
      </c>
      <c r="G580">
        <v>0</v>
      </c>
      <c r="L580" t="s">
        <v>7</v>
      </c>
      <c r="M580" t="s">
        <v>7</v>
      </c>
      <c r="N580" t="s">
        <v>8</v>
      </c>
      <c r="P580">
        <f t="shared" si="984"/>
        <v>0.28150134048257175</v>
      </c>
      <c r="Q580">
        <f t="shared" si="985"/>
        <v>6559.9541018766295</v>
      </c>
      <c r="R580">
        <f t="shared" si="986"/>
        <v>36927.284203418269</v>
      </c>
      <c r="S580">
        <f t="shared" si="987"/>
        <v>0.3692728420341827</v>
      </c>
      <c r="T580">
        <f t="shared" si="988"/>
        <v>3.6927284203418269E-4</v>
      </c>
    </row>
    <row r="581" spans="1:20" x14ac:dyDescent="0.25">
      <c r="A581" s="5">
        <v>44012</v>
      </c>
      <c r="B581">
        <v>16.960999999999999</v>
      </c>
      <c r="C581">
        <v>17.600999999999999</v>
      </c>
      <c r="D581">
        <v>16.233000000000001</v>
      </c>
      <c r="E581">
        <v>16.329999999999998</v>
      </c>
      <c r="F581">
        <v>17382.941999999999</v>
      </c>
      <c r="G581">
        <v>0</v>
      </c>
      <c r="L581" t="s">
        <v>8</v>
      </c>
      <c r="M581" t="s">
        <v>7</v>
      </c>
      <c r="N581" t="s">
        <v>8</v>
      </c>
      <c r="P581">
        <f t="shared" si="984"/>
        <v>-0.85818713450292716</v>
      </c>
      <c r="Q581">
        <f t="shared" si="985"/>
        <v>-14917.81718421058</v>
      </c>
      <c r="R581">
        <f t="shared" si="986"/>
        <v>30367.330101541636</v>
      </c>
      <c r="S581">
        <f t="shared" si="987"/>
        <v>0.30367330101541634</v>
      </c>
      <c r="T581">
        <f t="shared" si="988"/>
        <v>3.0367330101541633E-4</v>
      </c>
    </row>
    <row r="582" spans="1:20" x14ac:dyDescent="0.25">
      <c r="A582" s="5">
        <v>44011</v>
      </c>
      <c r="B582">
        <v>16.03</v>
      </c>
      <c r="C582">
        <v>16.989000000000001</v>
      </c>
      <c r="D582">
        <v>15.944000000000001</v>
      </c>
      <c r="E582">
        <v>16.963999999999999</v>
      </c>
      <c r="F582">
        <v>30678.937999999998</v>
      </c>
      <c r="G582">
        <v>0</v>
      </c>
      <c r="L582" t="s">
        <v>8</v>
      </c>
      <c r="M582" t="s">
        <v>7</v>
      </c>
      <c r="N582" t="s">
        <v>8</v>
      </c>
      <c r="P582">
        <f t="shared" ref="P582:P645" si="989">IF(C582=D582,0,((E582-D582)-(C582-E582))/(C582-D582))</f>
        <v>0.95215311004784275</v>
      </c>
      <c r="Q582">
        <f t="shared" ref="Q582:Q645" si="990">F582*P582</f>
        <v>29211.046229664942</v>
      </c>
      <c r="R582">
        <f t="shared" ref="R582:R645" si="991">R583+Q582</f>
        <v>45285.147285752217</v>
      </c>
      <c r="S582">
        <f t="shared" ref="S582:S645" si="992">R582/100000</f>
        <v>0.45285147285752214</v>
      </c>
      <c r="T582">
        <f t="shared" ref="T582:T645" si="993">S582/1000</f>
        <v>4.5285147285752212E-4</v>
      </c>
    </row>
    <row r="583" spans="1:20" x14ac:dyDescent="0.25">
      <c r="A583" s="5">
        <v>44010</v>
      </c>
      <c r="B583">
        <v>16.059000000000001</v>
      </c>
      <c r="C583">
        <v>16.689</v>
      </c>
      <c r="D583">
        <v>15.635999999999999</v>
      </c>
      <c r="E583">
        <v>15.894</v>
      </c>
      <c r="F583">
        <v>13778.009</v>
      </c>
      <c r="G583">
        <v>0</v>
      </c>
      <c r="L583" t="s">
        <v>7</v>
      </c>
      <c r="M583" t="s">
        <v>7</v>
      </c>
      <c r="N583" t="s">
        <v>8</v>
      </c>
      <c r="P583">
        <f t="shared" si="989"/>
        <v>-0.50997150997150864</v>
      </c>
      <c r="Q583">
        <f t="shared" si="990"/>
        <v>-7026.3920541310354</v>
      </c>
      <c r="R583">
        <f t="shared" si="991"/>
        <v>16074.101056087275</v>
      </c>
      <c r="S583">
        <f t="shared" si="992"/>
        <v>0.16074101056087275</v>
      </c>
      <c r="T583">
        <f t="shared" si="993"/>
        <v>1.6074101056087276E-4</v>
      </c>
    </row>
    <row r="584" spans="1:20" x14ac:dyDescent="0.25">
      <c r="A584" s="5">
        <v>44009</v>
      </c>
      <c r="B584">
        <v>17.654</v>
      </c>
      <c r="C584">
        <v>17.96</v>
      </c>
      <c r="D584">
        <v>15.478</v>
      </c>
      <c r="E584">
        <v>16.138999999999999</v>
      </c>
      <c r="F584">
        <v>38859.353000000003</v>
      </c>
      <c r="G584">
        <v>0</v>
      </c>
      <c r="L584" t="s">
        <v>8</v>
      </c>
      <c r="M584" t="s">
        <v>7</v>
      </c>
      <c r="N584" t="s">
        <v>8</v>
      </c>
      <c r="P584">
        <f t="shared" si="989"/>
        <v>-0.46736502820306264</v>
      </c>
      <c r="Q584">
        <f t="shared" si="990"/>
        <v>-18161.502610797768</v>
      </c>
      <c r="R584">
        <f t="shared" si="991"/>
        <v>23100.493110218311</v>
      </c>
      <c r="S584">
        <f t="shared" si="992"/>
        <v>0.23100493110218312</v>
      </c>
      <c r="T584">
        <f t="shared" si="993"/>
        <v>2.3100493110218311E-4</v>
      </c>
    </row>
    <row r="585" spans="1:20" x14ac:dyDescent="0.25">
      <c r="A585" s="5">
        <v>44008</v>
      </c>
      <c r="B585">
        <v>16.181999999999999</v>
      </c>
      <c r="C585">
        <v>17.838999999999999</v>
      </c>
      <c r="D585">
        <v>15.612</v>
      </c>
      <c r="E585">
        <v>17.686</v>
      </c>
      <c r="F585">
        <v>20841.252</v>
      </c>
      <c r="G585">
        <v>0</v>
      </c>
      <c r="L585" t="s">
        <v>7</v>
      </c>
      <c r="M585" t="s">
        <v>7</v>
      </c>
      <c r="N585" t="s">
        <v>8</v>
      </c>
      <c r="P585">
        <f t="shared" si="989"/>
        <v>0.86259541984732935</v>
      </c>
      <c r="Q585">
        <f t="shared" si="990"/>
        <v>17977.568519083994</v>
      </c>
      <c r="R585">
        <f t="shared" si="991"/>
        <v>41261.995721016079</v>
      </c>
      <c r="S585">
        <f t="shared" si="992"/>
        <v>0.41261995721016081</v>
      </c>
      <c r="T585">
        <f t="shared" si="993"/>
        <v>4.1261995721016083E-4</v>
      </c>
    </row>
    <row r="586" spans="1:20" x14ac:dyDescent="0.25">
      <c r="A586" s="5">
        <v>44007</v>
      </c>
      <c r="B586">
        <v>16.899000000000001</v>
      </c>
      <c r="C586">
        <v>16.931000000000001</v>
      </c>
      <c r="D586">
        <v>15.83</v>
      </c>
      <c r="E586">
        <v>16.145</v>
      </c>
      <c r="F586">
        <v>14729.388000000001</v>
      </c>
      <c r="G586">
        <v>0</v>
      </c>
      <c r="L586" t="s">
        <v>7</v>
      </c>
      <c r="M586" t="s">
        <v>7</v>
      </c>
      <c r="N586" t="s">
        <v>8</v>
      </c>
      <c r="P586">
        <f t="shared" si="989"/>
        <v>-0.42779291553133653</v>
      </c>
      <c r="Q586">
        <f t="shared" si="990"/>
        <v>-6301.1278365122826</v>
      </c>
      <c r="R586">
        <f t="shared" si="991"/>
        <v>23284.427201932089</v>
      </c>
      <c r="S586">
        <f t="shared" si="992"/>
        <v>0.2328442720193209</v>
      </c>
      <c r="T586">
        <f t="shared" si="993"/>
        <v>2.328442720193209E-4</v>
      </c>
    </row>
    <row r="587" spans="1:20" x14ac:dyDescent="0.25">
      <c r="A587" s="5">
        <v>44006</v>
      </c>
      <c r="B587">
        <v>17.574999999999999</v>
      </c>
      <c r="C587">
        <v>17.838000000000001</v>
      </c>
      <c r="D587">
        <v>16.227</v>
      </c>
      <c r="E587">
        <v>16.898</v>
      </c>
      <c r="F587">
        <v>30881.120999999999</v>
      </c>
      <c r="G587">
        <v>0</v>
      </c>
      <c r="L587" t="s">
        <v>7</v>
      </c>
      <c r="M587" t="s">
        <v>8</v>
      </c>
      <c r="N587" t="s">
        <v>8</v>
      </c>
      <c r="P587">
        <f t="shared" si="989"/>
        <v>-0.16697703289882171</v>
      </c>
      <c r="Q587">
        <f t="shared" si="990"/>
        <v>-5156.4379571694935</v>
      </c>
      <c r="R587">
        <f t="shared" si="991"/>
        <v>29585.55503844437</v>
      </c>
      <c r="S587">
        <f t="shared" si="992"/>
        <v>0.29585555038444372</v>
      </c>
      <c r="T587">
        <f t="shared" si="993"/>
        <v>2.9585555038444373E-4</v>
      </c>
    </row>
    <row r="588" spans="1:20" x14ac:dyDescent="0.25">
      <c r="A588" s="5">
        <v>44005</v>
      </c>
      <c r="B588">
        <v>18.221</v>
      </c>
      <c r="C588">
        <v>18.997</v>
      </c>
      <c r="D588">
        <v>17.399999999999999</v>
      </c>
      <c r="E588">
        <v>17.574999999999999</v>
      </c>
      <c r="F588">
        <v>28154.433000000001</v>
      </c>
      <c r="G588">
        <v>0</v>
      </c>
      <c r="L588" t="s">
        <v>8</v>
      </c>
      <c r="M588" t="s">
        <v>8</v>
      </c>
      <c r="N588" t="s">
        <v>8</v>
      </c>
      <c r="P588">
        <f t="shared" si="989"/>
        <v>-0.78083907326236623</v>
      </c>
      <c r="Q588">
        <f t="shared" si="990"/>
        <v>-21984.081371947381</v>
      </c>
      <c r="R588">
        <f t="shared" si="991"/>
        <v>34741.992995613866</v>
      </c>
      <c r="S588">
        <f t="shared" si="992"/>
        <v>0.34741992995613868</v>
      </c>
      <c r="T588">
        <f t="shared" si="993"/>
        <v>3.474199299561387E-4</v>
      </c>
    </row>
    <row r="589" spans="1:20" x14ac:dyDescent="0.25">
      <c r="A589" s="5">
        <v>44004</v>
      </c>
      <c r="B589">
        <v>17.835000000000001</v>
      </c>
      <c r="C589">
        <v>18.295999999999999</v>
      </c>
      <c r="D589">
        <v>17.521999999999998</v>
      </c>
      <c r="E589">
        <v>18.233000000000001</v>
      </c>
      <c r="F589">
        <v>23473.348000000002</v>
      </c>
      <c r="G589">
        <v>0</v>
      </c>
      <c r="L589" t="s">
        <v>7</v>
      </c>
      <c r="M589" t="s">
        <v>8</v>
      </c>
      <c r="N589" t="s">
        <v>8</v>
      </c>
      <c r="P589">
        <f t="shared" si="989"/>
        <v>0.83720930232558455</v>
      </c>
      <c r="Q589">
        <f t="shared" si="990"/>
        <v>19652.105302325657</v>
      </c>
      <c r="R589">
        <f t="shared" si="991"/>
        <v>56726.074367561247</v>
      </c>
      <c r="S589">
        <f t="shared" si="992"/>
        <v>0.56726074367561241</v>
      </c>
      <c r="T589">
        <f t="shared" si="993"/>
        <v>5.672607436756124E-4</v>
      </c>
    </row>
    <row r="590" spans="1:20" x14ac:dyDescent="0.25">
      <c r="A590" s="5">
        <v>44003</v>
      </c>
      <c r="B590">
        <v>17.695</v>
      </c>
      <c r="C590">
        <v>18.189</v>
      </c>
      <c r="D590">
        <v>17.213000000000001</v>
      </c>
      <c r="E590">
        <v>17.835000000000001</v>
      </c>
      <c r="F590">
        <v>29724.896000000001</v>
      </c>
      <c r="G590">
        <v>0</v>
      </c>
      <c r="L590" t="s">
        <v>7</v>
      </c>
      <c r="M590" t="s">
        <v>8</v>
      </c>
      <c r="N590" t="s">
        <v>8</v>
      </c>
      <c r="P590">
        <f t="shared" si="989"/>
        <v>0.2745901639344272</v>
      </c>
      <c r="Q590">
        <f t="shared" si="990"/>
        <v>8162.1640655737992</v>
      </c>
      <c r="R590">
        <f t="shared" si="991"/>
        <v>37073.969065235593</v>
      </c>
      <c r="S590">
        <f t="shared" si="992"/>
        <v>0.37073969065235596</v>
      </c>
      <c r="T590">
        <f t="shared" si="993"/>
        <v>3.7073969065235597E-4</v>
      </c>
    </row>
    <row r="591" spans="1:20" x14ac:dyDescent="0.25">
      <c r="A591" s="5">
        <v>44002</v>
      </c>
      <c r="B591">
        <v>18.655999999999999</v>
      </c>
      <c r="C591">
        <v>19.449000000000002</v>
      </c>
      <c r="D591">
        <v>17.3</v>
      </c>
      <c r="E591">
        <v>17.695</v>
      </c>
      <c r="F591">
        <v>67820.759000000005</v>
      </c>
      <c r="G591">
        <v>0</v>
      </c>
      <c r="L591" t="s">
        <v>8</v>
      </c>
      <c r="M591" t="s">
        <v>8</v>
      </c>
      <c r="N591" t="s">
        <v>8</v>
      </c>
      <c r="P591">
        <f t="shared" si="989"/>
        <v>-0.63238715681712476</v>
      </c>
      <c r="Q591">
        <f t="shared" si="990"/>
        <v>-42888.976957189429</v>
      </c>
      <c r="R591">
        <f t="shared" si="991"/>
        <v>28911.804999661792</v>
      </c>
      <c r="S591">
        <f t="shared" si="992"/>
        <v>0.28911804999661794</v>
      </c>
      <c r="T591">
        <f t="shared" si="993"/>
        <v>2.8911804999661795E-4</v>
      </c>
    </row>
    <row r="592" spans="1:20" x14ac:dyDescent="0.25">
      <c r="A592" s="5">
        <v>44001</v>
      </c>
      <c r="B592">
        <v>16.373000000000001</v>
      </c>
      <c r="C592">
        <v>18.818999999999999</v>
      </c>
      <c r="D592">
        <v>15.887</v>
      </c>
      <c r="E592">
        <v>18.681000000000001</v>
      </c>
      <c r="F592">
        <v>59250.868000000002</v>
      </c>
      <c r="G592">
        <v>0</v>
      </c>
      <c r="L592" t="s">
        <v>8</v>
      </c>
      <c r="M592" t="s">
        <v>8</v>
      </c>
      <c r="N592" t="s">
        <v>8</v>
      </c>
      <c r="P592">
        <f t="shared" si="989"/>
        <v>0.90586630286493985</v>
      </c>
      <c r="Q592">
        <f t="shared" si="990"/>
        <v>53673.364736698575</v>
      </c>
      <c r="R592">
        <f t="shared" si="991"/>
        <v>71800.78195685122</v>
      </c>
      <c r="S592">
        <f t="shared" si="992"/>
        <v>0.71800781956851223</v>
      </c>
      <c r="T592">
        <f t="shared" si="993"/>
        <v>7.1800781956851223E-4</v>
      </c>
    </row>
    <row r="593" spans="1:20" x14ac:dyDescent="0.25">
      <c r="A593" s="5">
        <v>44000</v>
      </c>
      <c r="B593">
        <v>16</v>
      </c>
      <c r="C593">
        <v>16.677</v>
      </c>
      <c r="D593">
        <v>15.436</v>
      </c>
      <c r="E593">
        <v>16.373999999999999</v>
      </c>
      <c r="F593">
        <v>34726.885999999999</v>
      </c>
      <c r="G593">
        <v>0</v>
      </c>
      <c r="L593" t="s">
        <v>8</v>
      </c>
      <c r="M593" t="s">
        <v>7</v>
      </c>
      <c r="N593" t="s">
        <v>8</v>
      </c>
      <c r="P593">
        <f t="shared" si="989"/>
        <v>0.51168412570507504</v>
      </c>
      <c r="Q593">
        <f t="shared" si="990"/>
        <v>17769.196301369811</v>
      </c>
      <c r="R593">
        <f t="shared" si="991"/>
        <v>18127.417220152653</v>
      </c>
      <c r="S593">
        <f t="shared" si="992"/>
        <v>0.18127417220152653</v>
      </c>
      <c r="T593">
        <f t="shared" si="993"/>
        <v>1.8127417220152652E-4</v>
      </c>
    </row>
    <row r="594" spans="1:20" x14ac:dyDescent="0.25">
      <c r="A594" s="5">
        <v>43999</v>
      </c>
      <c r="B594">
        <v>15.696999999999999</v>
      </c>
      <c r="C594">
        <v>16.475999999999999</v>
      </c>
      <c r="D594">
        <v>15.32</v>
      </c>
      <c r="E594">
        <v>16.024000000000001</v>
      </c>
      <c r="F594">
        <v>28974.601999999999</v>
      </c>
      <c r="G594">
        <v>0</v>
      </c>
      <c r="L594" t="s">
        <v>8</v>
      </c>
      <c r="M594" t="s">
        <v>7</v>
      </c>
      <c r="N594" t="s">
        <v>8</v>
      </c>
      <c r="P594">
        <f t="shared" si="989"/>
        <v>0.21799307958477743</v>
      </c>
      <c r="Q594">
        <f t="shared" si="990"/>
        <v>6316.2627197232514</v>
      </c>
      <c r="R594">
        <f t="shared" si="991"/>
        <v>358.220918782843</v>
      </c>
      <c r="S594">
        <f t="shared" si="992"/>
        <v>3.5822091878284302E-3</v>
      </c>
      <c r="T594">
        <f t="shared" si="993"/>
        <v>3.5822091878284302E-6</v>
      </c>
    </row>
    <row r="595" spans="1:20" x14ac:dyDescent="0.25">
      <c r="A595" s="5">
        <v>43998</v>
      </c>
      <c r="B595">
        <v>15.186</v>
      </c>
      <c r="C595">
        <v>16.018000000000001</v>
      </c>
      <c r="D595">
        <v>15.144</v>
      </c>
      <c r="E595">
        <v>15.641999999999999</v>
      </c>
      <c r="F595">
        <v>11643.052</v>
      </c>
      <c r="G595">
        <v>0</v>
      </c>
      <c r="L595" t="s">
        <v>8</v>
      </c>
      <c r="M595" t="s">
        <v>7</v>
      </c>
      <c r="N595" t="s">
        <v>8</v>
      </c>
      <c r="P595">
        <f t="shared" si="989"/>
        <v>0.1395881006864966</v>
      </c>
      <c r="Q595">
        <f t="shared" si="990"/>
        <v>1625.2315148741156</v>
      </c>
      <c r="R595">
        <f t="shared" si="991"/>
        <v>-5958.0418009404084</v>
      </c>
      <c r="S595">
        <f t="shared" si="992"/>
        <v>-5.9580418009404085E-2</v>
      </c>
      <c r="T595">
        <f t="shared" si="993"/>
        <v>-5.9580418009404084E-5</v>
      </c>
    </row>
    <row r="596" spans="1:20" x14ac:dyDescent="0.25">
      <c r="A596" s="5">
        <v>43997</v>
      </c>
      <c r="B596">
        <v>15.531000000000001</v>
      </c>
      <c r="C596">
        <v>16.172999999999998</v>
      </c>
      <c r="D596">
        <v>14.445</v>
      </c>
      <c r="E596">
        <v>15.329000000000001</v>
      </c>
      <c r="F596">
        <v>21442.819</v>
      </c>
      <c r="G596">
        <v>0</v>
      </c>
      <c r="L596" t="s">
        <v>7</v>
      </c>
      <c r="M596" t="s">
        <v>7</v>
      </c>
      <c r="N596" t="s">
        <v>8</v>
      </c>
      <c r="P596">
        <f t="shared" si="989"/>
        <v>2.3148148148149739E-2</v>
      </c>
      <c r="Q596">
        <f t="shared" si="990"/>
        <v>496.36155092596005</v>
      </c>
      <c r="R596">
        <f t="shared" si="991"/>
        <v>-7583.2733158145238</v>
      </c>
      <c r="S596">
        <f t="shared" si="992"/>
        <v>-7.5832733158145232E-2</v>
      </c>
      <c r="T596">
        <f t="shared" si="993"/>
        <v>-7.5832733158145239E-5</v>
      </c>
    </row>
    <row r="597" spans="1:20" x14ac:dyDescent="0.25">
      <c r="A597" s="5">
        <v>43996</v>
      </c>
      <c r="B597">
        <v>16.792999999999999</v>
      </c>
      <c r="C597">
        <v>17.167999999999999</v>
      </c>
      <c r="D597">
        <v>15.321</v>
      </c>
      <c r="E597">
        <v>15.535</v>
      </c>
      <c r="F597">
        <v>29096.240000000002</v>
      </c>
      <c r="G597">
        <v>0</v>
      </c>
      <c r="L597" t="s">
        <v>7</v>
      </c>
      <c r="M597" t="s">
        <v>8</v>
      </c>
      <c r="N597" t="s">
        <v>8</v>
      </c>
      <c r="P597">
        <f t="shared" si="989"/>
        <v>-0.76827287493232221</v>
      </c>
      <c r="Q597">
        <f t="shared" si="990"/>
        <v>-22353.851954520833</v>
      </c>
      <c r="R597">
        <f t="shared" si="991"/>
        <v>-8079.6348667404836</v>
      </c>
      <c r="S597">
        <f t="shared" si="992"/>
        <v>-8.079634866740483E-2</v>
      </c>
      <c r="T597">
        <f t="shared" si="993"/>
        <v>-8.0796348667404834E-5</v>
      </c>
    </row>
    <row r="598" spans="1:20" x14ac:dyDescent="0.25">
      <c r="A598" s="5">
        <v>43995</v>
      </c>
      <c r="B598">
        <v>14.984</v>
      </c>
      <c r="C598">
        <v>17.233000000000001</v>
      </c>
      <c r="D598">
        <v>14.3</v>
      </c>
      <c r="E598">
        <v>16.792000000000002</v>
      </c>
      <c r="F598">
        <v>41615.146000000001</v>
      </c>
      <c r="G598">
        <v>0</v>
      </c>
      <c r="L598" t="s">
        <v>8</v>
      </c>
      <c r="M598" t="s">
        <v>8</v>
      </c>
      <c r="N598" t="s">
        <v>8</v>
      </c>
      <c r="P598">
        <f t="shared" si="989"/>
        <v>0.69928400954654013</v>
      </c>
      <c r="Q598">
        <f t="shared" si="990"/>
        <v>29100.806152744663</v>
      </c>
      <c r="R598">
        <f t="shared" si="991"/>
        <v>14274.217087780349</v>
      </c>
      <c r="S598">
        <f t="shared" si="992"/>
        <v>0.1427421708778035</v>
      </c>
      <c r="T598">
        <f t="shared" si="993"/>
        <v>1.4274217087780351E-4</v>
      </c>
    </row>
    <row r="599" spans="1:20" x14ac:dyDescent="0.25">
      <c r="A599" s="5">
        <v>43994</v>
      </c>
      <c r="B599">
        <v>14.324999999999999</v>
      </c>
      <c r="C599">
        <v>16.988</v>
      </c>
      <c r="D599">
        <v>14.324999999999999</v>
      </c>
      <c r="E599">
        <v>14.984</v>
      </c>
      <c r="F599">
        <v>29355.544000000002</v>
      </c>
      <c r="G599">
        <v>0</v>
      </c>
      <c r="P599">
        <f t="shared" si="989"/>
        <v>-0.50506947052196727</v>
      </c>
      <c r="Q599">
        <f t="shared" si="990"/>
        <v>-14826.589064964313</v>
      </c>
      <c r="R599">
        <f t="shared" si="991"/>
        <v>-14826.589064964313</v>
      </c>
      <c r="S599">
        <f t="shared" si="992"/>
        <v>-0.14826589064964313</v>
      </c>
      <c r="T599">
        <f t="shared" si="993"/>
        <v>-1.4826589064964314E-4</v>
      </c>
    </row>
    <row r="600" spans="1:20" x14ac:dyDescent="0.25">
      <c r="A600" s="5"/>
      <c r="C600"/>
      <c r="D600"/>
      <c r="P600">
        <f t="shared" si="989"/>
        <v>0</v>
      </c>
      <c r="Q600">
        <f t="shared" si="990"/>
        <v>0</v>
      </c>
      <c r="R600">
        <f t="shared" si="991"/>
        <v>0</v>
      </c>
      <c r="S600">
        <f t="shared" si="992"/>
        <v>0</v>
      </c>
      <c r="T600">
        <f t="shared" si="993"/>
        <v>0</v>
      </c>
    </row>
    <row r="601" spans="1:20" x14ac:dyDescent="0.25">
      <c r="A601" s="5"/>
      <c r="C601"/>
      <c r="D601"/>
      <c r="P601">
        <f t="shared" si="989"/>
        <v>0</v>
      </c>
      <c r="Q601">
        <f t="shared" si="990"/>
        <v>0</v>
      </c>
      <c r="R601">
        <f t="shared" si="991"/>
        <v>0</v>
      </c>
      <c r="S601">
        <f t="shared" si="992"/>
        <v>0</v>
      </c>
      <c r="T601">
        <f t="shared" si="993"/>
        <v>0</v>
      </c>
    </row>
    <row r="602" spans="1:20" x14ac:dyDescent="0.25">
      <c r="A602" s="5"/>
      <c r="C602"/>
      <c r="D602"/>
      <c r="P602">
        <f t="shared" si="989"/>
        <v>0</v>
      </c>
      <c r="Q602">
        <f t="shared" si="990"/>
        <v>0</v>
      </c>
      <c r="R602">
        <f t="shared" si="991"/>
        <v>0</v>
      </c>
      <c r="S602">
        <f t="shared" si="992"/>
        <v>0</v>
      </c>
      <c r="T602">
        <f t="shared" si="993"/>
        <v>0</v>
      </c>
    </row>
    <row r="603" spans="1:20" x14ac:dyDescent="0.25">
      <c r="A603" s="5"/>
      <c r="C603"/>
      <c r="D603"/>
      <c r="P603">
        <f t="shared" si="989"/>
        <v>0</v>
      </c>
      <c r="Q603">
        <f t="shared" si="990"/>
        <v>0</v>
      </c>
      <c r="R603">
        <f t="shared" si="991"/>
        <v>0</v>
      </c>
      <c r="S603">
        <f t="shared" si="992"/>
        <v>0</v>
      </c>
      <c r="T603">
        <f t="shared" si="993"/>
        <v>0</v>
      </c>
    </row>
    <row r="604" spans="1:20" x14ac:dyDescent="0.25">
      <c r="A604" s="5"/>
      <c r="C604"/>
      <c r="D604"/>
      <c r="P604">
        <f t="shared" si="989"/>
        <v>0</v>
      </c>
      <c r="Q604">
        <f t="shared" si="990"/>
        <v>0</v>
      </c>
      <c r="R604">
        <f t="shared" si="991"/>
        <v>0</v>
      </c>
      <c r="S604">
        <f t="shared" si="992"/>
        <v>0</v>
      </c>
      <c r="T604">
        <f t="shared" si="993"/>
        <v>0</v>
      </c>
    </row>
    <row r="605" spans="1:20" x14ac:dyDescent="0.25">
      <c r="A605" s="5"/>
      <c r="C605"/>
      <c r="D605"/>
      <c r="P605">
        <f t="shared" si="989"/>
        <v>0</v>
      </c>
      <c r="Q605">
        <f t="shared" si="990"/>
        <v>0</v>
      </c>
      <c r="R605">
        <f t="shared" si="991"/>
        <v>0</v>
      </c>
      <c r="S605">
        <f t="shared" si="992"/>
        <v>0</v>
      </c>
      <c r="T605">
        <f t="shared" si="993"/>
        <v>0</v>
      </c>
    </row>
    <row r="606" spans="1:20" x14ac:dyDescent="0.25">
      <c r="A606" s="5"/>
      <c r="C606"/>
      <c r="D606"/>
      <c r="P606">
        <f t="shared" si="989"/>
        <v>0</v>
      </c>
      <c r="Q606">
        <f t="shared" si="990"/>
        <v>0</v>
      </c>
      <c r="R606">
        <f t="shared" si="991"/>
        <v>0</v>
      </c>
      <c r="S606">
        <f t="shared" si="992"/>
        <v>0</v>
      </c>
      <c r="T606">
        <f t="shared" si="993"/>
        <v>0</v>
      </c>
    </row>
    <row r="607" spans="1:20" x14ac:dyDescent="0.25">
      <c r="A607" s="5"/>
      <c r="C607"/>
      <c r="D607"/>
      <c r="P607">
        <f t="shared" si="989"/>
        <v>0</v>
      </c>
      <c r="Q607">
        <f t="shared" si="990"/>
        <v>0</v>
      </c>
      <c r="R607">
        <f t="shared" si="991"/>
        <v>0</v>
      </c>
      <c r="S607">
        <f t="shared" si="992"/>
        <v>0</v>
      </c>
      <c r="T607">
        <f t="shared" si="993"/>
        <v>0</v>
      </c>
    </row>
    <row r="608" spans="1:20" x14ac:dyDescent="0.25">
      <c r="A608" s="5"/>
      <c r="C608"/>
      <c r="D608"/>
      <c r="P608">
        <f t="shared" si="989"/>
        <v>0</v>
      </c>
      <c r="Q608">
        <f t="shared" si="990"/>
        <v>0</v>
      </c>
      <c r="R608">
        <f t="shared" si="991"/>
        <v>0</v>
      </c>
      <c r="S608">
        <f t="shared" si="992"/>
        <v>0</v>
      </c>
      <c r="T608">
        <f t="shared" si="993"/>
        <v>0</v>
      </c>
    </row>
    <row r="609" spans="1:20" x14ac:dyDescent="0.25">
      <c r="A609" s="5"/>
      <c r="C609"/>
      <c r="D609"/>
      <c r="P609">
        <f t="shared" si="989"/>
        <v>0</v>
      </c>
      <c r="Q609">
        <f t="shared" si="990"/>
        <v>0</v>
      </c>
      <c r="R609">
        <f t="shared" si="991"/>
        <v>0</v>
      </c>
      <c r="S609">
        <f t="shared" si="992"/>
        <v>0</v>
      </c>
      <c r="T609">
        <f t="shared" si="993"/>
        <v>0</v>
      </c>
    </row>
    <row r="610" spans="1:20" x14ac:dyDescent="0.25">
      <c r="A610" s="5"/>
      <c r="C610"/>
      <c r="D610"/>
      <c r="P610">
        <f t="shared" si="989"/>
        <v>0</v>
      </c>
      <c r="Q610">
        <f t="shared" si="990"/>
        <v>0</v>
      </c>
      <c r="R610">
        <f t="shared" si="991"/>
        <v>0</v>
      </c>
      <c r="S610">
        <f t="shared" si="992"/>
        <v>0</v>
      </c>
      <c r="T610">
        <f t="shared" si="993"/>
        <v>0</v>
      </c>
    </row>
    <row r="611" spans="1:20" x14ac:dyDescent="0.25">
      <c r="A611" s="5"/>
      <c r="C611"/>
      <c r="D611"/>
      <c r="P611">
        <f t="shared" si="989"/>
        <v>0</v>
      </c>
      <c r="Q611">
        <f t="shared" si="990"/>
        <v>0</v>
      </c>
      <c r="R611">
        <f t="shared" si="991"/>
        <v>0</v>
      </c>
      <c r="S611">
        <f t="shared" si="992"/>
        <v>0</v>
      </c>
      <c r="T611">
        <f t="shared" si="993"/>
        <v>0</v>
      </c>
    </row>
    <row r="612" spans="1:20" x14ac:dyDescent="0.25">
      <c r="A612" s="5"/>
      <c r="C612"/>
      <c r="D612"/>
      <c r="P612">
        <f t="shared" si="989"/>
        <v>0</v>
      </c>
      <c r="Q612">
        <f t="shared" si="990"/>
        <v>0</v>
      </c>
      <c r="R612">
        <f t="shared" si="991"/>
        <v>0</v>
      </c>
      <c r="S612">
        <f t="shared" si="992"/>
        <v>0</v>
      </c>
      <c r="T612">
        <f t="shared" si="993"/>
        <v>0</v>
      </c>
    </row>
    <row r="613" spans="1:20" x14ac:dyDescent="0.25">
      <c r="A613" s="5"/>
      <c r="C613"/>
      <c r="D613"/>
      <c r="P613">
        <f t="shared" si="989"/>
        <v>0</v>
      </c>
      <c r="Q613">
        <f t="shared" si="990"/>
        <v>0</v>
      </c>
      <c r="R613">
        <f t="shared" si="991"/>
        <v>0</v>
      </c>
      <c r="S613">
        <f t="shared" si="992"/>
        <v>0</v>
      </c>
      <c r="T613">
        <f t="shared" si="993"/>
        <v>0</v>
      </c>
    </row>
    <row r="614" spans="1:20" x14ac:dyDescent="0.25">
      <c r="A614" s="5"/>
      <c r="C614"/>
      <c r="D614"/>
      <c r="P614">
        <f t="shared" si="989"/>
        <v>0</v>
      </c>
      <c r="Q614">
        <f t="shared" si="990"/>
        <v>0</v>
      </c>
      <c r="R614">
        <f t="shared" si="991"/>
        <v>0</v>
      </c>
      <c r="S614">
        <f t="shared" si="992"/>
        <v>0</v>
      </c>
      <c r="T614">
        <f t="shared" si="993"/>
        <v>0</v>
      </c>
    </row>
    <row r="615" spans="1:20" x14ac:dyDescent="0.25">
      <c r="A615" s="5"/>
      <c r="C615"/>
      <c r="D615"/>
      <c r="P615">
        <f t="shared" si="989"/>
        <v>0</v>
      </c>
      <c r="Q615">
        <f t="shared" si="990"/>
        <v>0</v>
      </c>
      <c r="R615">
        <f t="shared" si="991"/>
        <v>0</v>
      </c>
      <c r="S615">
        <f t="shared" si="992"/>
        <v>0</v>
      </c>
      <c r="T615">
        <f t="shared" si="993"/>
        <v>0</v>
      </c>
    </row>
    <row r="616" spans="1:20" x14ac:dyDescent="0.25">
      <c r="A616" s="5"/>
      <c r="C616"/>
      <c r="D616"/>
      <c r="P616">
        <f t="shared" si="989"/>
        <v>0</v>
      </c>
      <c r="Q616">
        <f t="shared" si="990"/>
        <v>0</v>
      </c>
      <c r="R616">
        <f t="shared" si="991"/>
        <v>0</v>
      </c>
      <c r="S616">
        <f t="shared" si="992"/>
        <v>0</v>
      </c>
      <c r="T616">
        <f t="shared" si="993"/>
        <v>0</v>
      </c>
    </row>
    <row r="617" spans="1:20" x14ac:dyDescent="0.25">
      <c r="A617" s="5"/>
      <c r="C617"/>
      <c r="D617"/>
      <c r="P617">
        <f t="shared" si="989"/>
        <v>0</v>
      </c>
      <c r="Q617">
        <f t="shared" si="990"/>
        <v>0</v>
      </c>
      <c r="R617">
        <f t="shared" si="991"/>
        <v>0</v>
      </c>
      <c r="S617">
        <f t="shared" si="992"/>
        <v>0</v>
      </c>
      <c r="T617">
        <f t="shared" si="993"/>
        <v>0</v>
      </c>
    </row>
    <row r="618" spans="1:20" x14ac:dyDescent="0.25">
      <c r="A618" s="5"/>
      <c r="C618"/>
      <c r="D618"/>
      <c r="P618">
        <f t="shared" si="989"/>
        <v>0</v>
      </c>
      <c r="Q618">
        <f t="shared" si="990"/>
        <v>0</v>
      </c>
      <c r="R618">
        <f t="shared" si="991"/>
        <v>0</v>
      </c>
      <c r="S618">
        <f t="shared" si="992"/>
        <v>0</v>
      </c>
      <c r="T618">
        <f t="shared" si="993"/>
        <v>0</v>
      </c>
    </row>
    <row r="619" spans="1:20" x14ac:dyDescent="0.25">
      <c r="A619" s="5"/>
      <c r="C619"/>
      <c r="D619"/>
      <c r="P619">
        <f t="shared" si="989"/>
        <v>0</v>
      </c>
      <c r="Q619">
        <f t="shared" si="990"/>
        <v>0</v>
      </c>
      <c r="R619">
        <f t="shared" si="991"/>
        <v>0</v>
      </c>
      <c r="S619">
        <f t="shared" si="992"/>
        <v>0</v>
      </c>
      <c r="T619">
        <f t="shared" si="993"/>
        <v>0</v>
      </c>
    </row>
    <row r="620" spans="1:20" x14ac:dyDescent="0.25">
      <c r="A620" s="5"/>
      <c r="C620"/>
      <c r="D620"/>
      <c r="P620">
        <f t="shared" si="989"/>
        <v>0</v>
      </c>
      <c r="Q620">
        <f t="shared" si="990"/>
        <v>0</v>
      </c>
      <c r="R620">
        <f t="shared" si="991"/>
        <v>0</v>
      </c>
      <c r="S620">
        <f t="shared" si="992"/>
        <v>0</v>
      </c>
      <c r="T620">
        <f t="shared" si="993"/>
        <v>0</v>
      </c>
    </row>
    <row r="621" spans="1:20" x14ac:dyDescent="0.25">
      <c r="A621" s="5"/>
      <c r="C621"/>
      <c r="D621"/>
      <c r="P621">
        <f t="shared" si="989"/>
        <v>0</v>
      </c>
      <c r="Q621">
        <f t="shared" si="990"/>
        <v>0</v>
      </c>
      <c r="R621">
        <f t="shared" si="991"/>
        <v>0</v>
      </c>
      <c r="S621">
        <f t="shared" si="992"/>
        <v>0</v>
      </c>
      <c r="T621">
        <f t="shared" si="993"/>
        <v>0</v>
      </c>
    </row>
    <row r="622" spans="1:20" x14ac:dyDescent="0.25">
      <c r="A622" s="5"/>
      <c r="C622"/>
      <c r="D622"/>
      <c r="P622">
        <f t="shared" si="989"/>
        <v>0</v>
      </c>
      <c r="Q622">
        <f t="shared" si="990"/>
        <v>0</v>
      </c>
      <c r="R622">
        <f t="shared" si="991"/>
        <v>0</v>
      </c>
      <c r="S622">
        <f t="shared" si="992"/>
        <v>0</v>
      </c>
      <c r="T622">
        <f t="shared" si="993"/>
        <v>0</v>
      </c>
    </row>
    <row r="623" spans="1:20" x14ac:dyDescent="0.25">
      <c r="A623" s="5"/>
      <c r="C623"/>
      <c r="D623"/>
      <c r="P623">
        <f t="shared" si="989"/>
        <v>0</v>
      </c>
      <c r="Q623">
        <f t="shared" si="990"/>
        <v>0</v>
      </c>
      <c r="R623">
        <f t="shared" si="991"/>
        <v>0</v>
      </c>
      <c r="S623">
        <f t="shared" si="992"/>
        <v>0</v>
      </c>
      <c r="T623">
        <f t="shared" si="993"/>
        <v>0</v>
      </c>
    </row>
    <row r="624" spans="1:20" x14ac:dyDescent="0.25">
      <c r="A624" s="5"/>
      <c r="C624"/>
      <c r="D624"/>
      <c r="P624">
        <f t="shared" si="989"/>
        <v>0</v>
      </c>
      <c r="Q624">
        <f t="shared" si="990"/>
        <v>0</v>
      </c>
      <c r="R624">
        <f t="shared" si="991"/>
        <v>0</v>
      </c>
      <c r="S624">
        <f t="shared" si="992"/>
        <v>0</v>
      </c>
      <c r="T624">
        <f t="shared" si="993"/>
        <v>0</v>
      </c>
    </row>
    <row r="625" spans="1:20" x14ac:dyDescent="0.25">
      <c r="A625" s="5"/>
      <c r="C625"/>
      <c r="D625"/>
      <c r="P625">
        <f t="shared" si="989"/>
        <v>0</v>
      </c>
      <c r="Q625">
        <f t="shared" si="990"/>
        <v>0</v>
      </c>
      <c r="R625">
        <f t="shared" si="991"/>
        <v>0</v>
      </c>
      <c r="S625">
        <f t="shared" si="992"/>
        <v>0</v>
      </c>
      <c r="T625">
        <f t="shared" si="993"/>
        <v>0</v>
      </c>
    </row>
    <row r="626" spans="1:20" x14ac:dyDescent="0.25">
      <c r="A626" s="5"/>
      <c r="C626"/>
      <c r="D626"/>
      <c r="P626">
        <f t="shared" si="989"/>
        <v>0</v>
      </c>
      <c r="Q626">
        <f t="shared" si="990"/>
        <v>0</v>
      </c>
      <c r="R626">
        <f t="shared" si="991"/>
        <v>0</v>
      </c>
      <c r="S626">
        <f t="shared" si="992"/>
        <v>0</v>
      </c>
      <c r="T626">
        <f t="shared" si="993"/>
        <v>0</v>
      </c>
    </row>
    <row r="627" spans="1:20" x14ac:dyDescent="0.25">
      <c r="A627" s="5"/>
      <c r="C627"/>
      <c r="D627"/>
      <c r="P627">
        <f t="shared" si="989"/>
        <v>0</v>
      </c>
      <c r="Q627">
        <f t="shared" si="990"/>
        <v>0</v>
      </c>
      <c r="R627">
        <f t="shared" si="991"/>
        <v>0</v>
      </c>
      <c r="S627">
        <f t="shared" si="992"/>
        <v>0</v>
      </c>
      <c r="T627">
        <f t="shared" si="993"/>
        <v>0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JL460" sqref="JL460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$A$459</v>
      </c>
      <c r="D111" s="1" t="str">
        <f>ADDRESS(C121-1,D121,1,1)</f>
        <v>$JL$459</v>
      </c>
      <c r="E111"/>
    </row>
    <row r="112" spans="1:5" x14ac:dyDescent="0.25">
      <c r="A112" s="7">
        <v>12164.144957890772</v>
      </c>
      <c r="C112" s="1" t="str">
        <f>ADDRESS(C121,1,1,1)</f>
        <v>$A$460</v>
      </c>
      <c r="D112" s="1" t="str">
        <f>ADDRESS(C121,D121-1,1,1)</f>
        <v>$JK$460</v>
      </c>
      <c r="E112"/>
    </row>
    <row r="113" spans="1:5" x14ac:dyDescent="0.25">
      <c r="A113" s="7">
        <v>11925.63231165762</v>
      </c>
      <c r="C113" s="1" t="str">
        <f>ADDRESS(C121+1,1,1,1)</f>
        <v>$A$461</v>
      </c>
      <c r="D113" s="1" t="str">
        <f>ADDRESS(C121-1,D121+1,1,1)</f>
        <v>$JM$459</v>
      </c>
    </row>
    <row r="114" spans="1:5" x14ac:dyDescent="0.25">
      <c r="A114" s="7">
        <v>11691.796383978059</v>
      </c>
      <c r="C114" s="1" t="str">
        <f>ADDRESS(C121,D121,1,1)</f>
        <v>$JL$460</v>
      </c>
      <c r="D114" s="1" t="str">
        <f>ADDRESS(C121+1,D121+1,1,1)</f>
        <v>$JM$461</v>
      </c>
    </row>
    <row r="115" spans="1:5" x14ac:dyDescent="0.25">
      <c r="A115" s="7">
        <v>11462.545474488292</v>
      </c>
      <c r="C115" s="1" t="str">
        <f>ADDRESS(C121+1,D121,1,1)</f>
        <v>$JL$461</v>
      </c>
    </row>
    <row r="116" spans="1:5" x14ac:dyDescent="0.25">
      <c r="A116" s="7">
        <v>11237.789680870874</v>
      </c>
      <c r="C116" s="1">
        <f>C117-1</f>
        <v>459</v>
      </c>
    </row>
    <row r="117" spans="1:5" x14ac:dyDescent="0.25">
      <c r="A117" s="7">
        <v>11017.440863598895</v>
      </c>
      <c r="C117" s="1">
        <f>C121</f>
        <v>460</v>
      </c>
      <c r="D117" s="1">
        <f>D121</f>
        <v>272</v>
      </c>
    </row>
    <row r="118" spans="1:5" x14ac:dyDescent="0.25">
      <c r="A118" s="7">
        <v>10801.412611371465</v>
      </c>
      <c r="C118" s="1">
        <f>C117+1</f>
        <v>461</v>
      </c>
      <c r="D118" s="1">
        <f>D117+1</f>
        <v>273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460</v>
      </c>
      <c r="D121" s="19">
        <v>272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R460</v>
      </c>
      <c r="D123" s="1" t="str">
        <f>"C"&amp;D121</f>
        <v>C272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12.36578848729541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138" x14ac:dyDescent="0.25">
      <c r="A369" s="7">
        <v>74.961357735566622</v>
      </c>
      <c r="B369"/>
      <c r="C369"/>
      <c r="D369"/>
      <c r="E369"/>
    </row>
    <row r="370" spans="1:138" x14ac:dyDescent="0.25">
      <c r="A370" s="7">
        <v>73.491527191731976</v>
      </c>
      <c r="B370"/>
      <c r="C370"/>
      <c r="D370"/>
      <c r="E370"/>
    </row>
    <row r="371" spans="1:138" x14ac:dyDescent="0.25">
      <c r="A371" s="7">
        <v>72.050516854639184</v>
      </c>
      <c r="B371"/>
      <c r="C371"/>
      <c r="D371"/>
      <c r="E371"/>
    </row>
    <row r="372" spans="1:138" x14ac:dyDescent="0.25">
      <c r="A372" s="7">
        <v>70.637761622195271</v>
      </c>
      <c r="B372"/>
      <c r="C372"/>
      <c r="D372"/>
      <c r="E372"/>
    </row>
    <row r="373" spans="1:138" x14ac:dyDescent="0.25">
      <c r="A373" s="7">
        <v>69.252707472740454</v>
      </c>
      <c r="B373"/>
      <c r="C373"/>
      <c r="D373"/>
      <c r="E373"/>
    </row>
    <row r="374" spans="1:138" x14ac:dyDescent="0.25">
      <c r="A374" s="7">
        <v>67.894811247784759</v>
      </c>
      <c r="B374"/>
      <c r="C374"/>
      <c r="D374"/>
      <c r="E374"/>
    </row>
    <row r="375" spans="1:138" x14ac:dyDescent="0.25">
      <c r="A375" s="7">
        <v>66.563540439004669</v>
      </c>
      <c r="B375"/>
      <c r="C375"/>
      <c r="D375"/>
      <c r="E375"/>
    </row>
    <row r="376" spans="1:138" x14ac:dyDescent="0.25">
      <c r="A376" s="7">
        <v>65.258372979416336</v>
      </c>
      <c r="B376"/>
      <c r="C376"/>
      <c r="D376"/>
      <c r="E376"/>
    </row>
    <row r="377" spans="1:138" x14ac:dyDescent="0.25">
      <c r="A377" s="7">
        <v>63.978797038643471</v>
      </c>
      <c r="B377"/>
      <c r="C377"/>
      <c r="D377"/>
      <c r="E377"/>
    </row>
    <row r="378" spans="1:138" x14ac:dyDescent="0.25">
      <c r="A378" s="7">
        <v>62.724310822199477</v>
      </c>
      <c r="B378"/>
      <c r="C378"/>
      <c r="D378"/>
      <c r="E378"/>
    </row>
    <row r="379" spans="1:138" x14ac:dyDescent="0.25">
      <c r="A379" s="7">
        <v>61.494422374705366</v>
      </c>
      <c r="B379"/>
      <c r="C379"/>
      <c r="D379"/>
      <c r="E379"/>
    </row>
    <row r="380" spans="1:138" x14ac:dyDescent="0.25">
      <c r="A380" s="7">
        <v>60.288649386966043</v>
      </c>
      <c r="B380"/>
      <c r="C380"/>
      <c r="D380"/>
      <c r="E380"/>
    </row>
    <row r="381" spans="1:138" x14ac:dyDescent="0.25">
      <c r="A381" s="7">
        <v>59.106519006829451</v>
      </c>
      <c r="B381"/>
      <c r="C381"/>
      <c r="D381"/>
      <c r="E381"/>
      <c r="EG381" s="27" t="s">
        <v>8</v>
      </c>
    </row>
    <row r="382" spans="1:138" x14ac:dyDescent="0.25">
      <c r="A382" s="7">
        <v>57.947567653754362</v>
      </c>
      <c r="B382"/>
      <c r="C382"/>
      <c r="D382"/>
      <c r="E382"/>
      <c r="EG382" s="27" t="s">
        <v>8</v>
      </c>
      <c r="EH382" s="27" t="s">
        <v>7</v>
      </c>
    </row>
    <row r="383" spans="1:138" x14ac:dyDescent="0.25">
      <c r="A383" s="7">
        <v>56.811340837014079</v>
      </c>
      <c r="B383"/>
      <c r="C383"/>
      <c r="D383"/>
      <c r="E383"/>
      <c r="EG383" s="27" t="s">
        <v>8</v>
      </c>
      <c r="EH383" s="27" t="s">
        <v>7</v>
      </c>
    </row>
    <row r="384" spans="1:138" x14ac:dyDescent="0.25">
      <c r="A384" s="7">
        <v>55.69739297746478</v>
      </c>
      <c r="B384"/>
      <c r="C384"/>
      <c r="D384"/>
      <c r="E384"/>
      <c r="EG384" s="27" t="s">
        <v>8</v>
      </c>
      <c r="EH384" s="27" t="s">
        <v>7</v>
      </c>
    </row>
    <row r="385" spans="1:154" x14ac:dyDescent="0.25">
      <c r="A385" s="7">
        <v>54.605287232808607</v>
      </c>
      <c r="B385"/>
      <c r="C385"/>
      <c r="D385"/>
      <c r="E385"/>
      <c r="EG385" s="27" t="s">
        <v>8</v>
      </c>
      <c r="EH385" s="27" t="s">
        <v>7</v>
      </c>
    </row>
    <row r="386" spans="1:154" x14ac:dyDescent="0.25">
      <c r="A386" s="7">
        <v>53.534595326282947</v>
      </c>
      <c r="B386"/>
      <c r="C386"/>
      <c r="D386"/>
      <c r="E386"/>
      <c r="EG386" s="27" t="s">
        <v>8</v>
      </c>
      <c r="EH386" s="27" t="s">
        <v>7</v>
      </c>
      <c r="EK386" s="27" t="s">
        <v>8</v>
      </c>
    </row>
    <row r="387" spans="1:154" x14ac:dyDescent="0.25">
      <c r="A387" s="7">
        <v>52.484897378708773</v>
      </c>
      <c r="B387"/>
      <c r="C387"/>
      <c r="D387"/>
      <c r="E387"/>
      <c r="EG387" s="27" t="s">
        <v>8</v>
      </c>
      <c r="EH387" s="27" t="s">
        <v>7</v>
      </c>
      <c r="EI387" s="27" t="s">
        <v>8</v>
      </c>
      <c r="EK387" s="27" t="s">
        <v>8</v>
      </c>
      <c r="EL387" s="27" t="s">
        <v>7</v>
      </c>
      <c r="EU387" s="27" t="s">
        <v>8</v>
      </c>
    </row>
    <row r="388" spans="1:154" x14ac:dyDescent="0.25">
      <c r="A388" s="7">
        <v>51.455781743832127</v>
      </c>
      <c r="B388"/>
      <c r="C388"/>
      <c r="D388"/>
      <c r="E388"/>
      <c r="EG388" s="27" t="s">
        <v>8</v>
      </c>
      <c r="EH388" s="27" t="s">
        <v>7</v>
      </c>
      <c r="EI388" s="27" t="s">
        <v>8</v>
      </c>
      <c r="EJ388" s="27" t="s">
        <v>7</v>
      </c>
      <c r="EK388" s="27" t="s">
        <v>8</v>
      </c>
      <c r="EL388" s="27" t="s">
        <v>7</v>
      </c>
      <c r="EU388" s="27" t="s">
        <v>8</v>
      </c>
      <c r="EV388" s="27" t="s">
        <v>7</v>
      </c>
    </row>
    <row r="389" spans="1:154" x14ac:dyDescent="0.25">
      <c r="A389" s="7">
        <v>50.446844846894244</v>
      </c>
      <c r="B389"/>
      <c r="C389"/>
      <c r="D389"/>
      <c r="E389"/>
      <c r="EG389" s="27" t="s">
        <v>8</v>
      </c>
      <c r="EH389" s="27" t="s">
        <v>7</v>
      </c>
      <c r="EI389" s="27" t="s">
        <v>8</v>
      </c>
      <c r="EJ389" s="27" t="s">
        <v>7</v>
      </c>
      <c r="EK389" s="27" t="s">
        <v>8</v>
      </c>
      <c r="EL389" s="27" t="s">
        <v>7</v>
      </c>
      <c r="EU389" s="27" t="s">
        <v>8</v>
      </c>
      <c r="EV389" s="27" t="s">
        <v>7</v>
      </c>
    </row>
    <row r="390" spans="1:154" x14ac:dyDescent="0.25">
      <c r="A390" s="7">
        <v>49.457691026366902</v>
      </c>
      <c r="B390"/>
      <c r="C390"/>
      <c r="D390"/>
      <c r="E390"/>
      <c r="EG390" s="27" t="s">
        <v>8</v>
      </c>
      <c r="EH390" s="27" t="s">
        <v>7</v>
      </c>
      <c r="EI390" s="27" t="s">
        <v>8</v>
      </c>
      <c r="EJ390" s="27" t="s">
        <v>7</v>
      </c>
      <c r="EK390" s="27" t="s">
        <v>8</v>
      </c>
      <c r="EL390" s="27" t="s">
        <v>7</v>
      </c>
      <c r="EU390" s="27" t="s">
        <v>8</v>
      </c>
      <c r="EV390" s="27" t="s">
        <v>7</v>
      </c>
    </row>
    <row r="391" spans="1:154" x14ac:dyDescent="0.25">
      <c r="A391" s="7">
        <v>48.487932378791079</v>
      </c>
      <c r="B391"/>
      <c r="C391"/>
      <c r="D391"/>
      <c r="E391"/>
      <c r="EG391" s="27" t="s">
        <v>8</v>
      </c>
      <c r="EH391" s="27" t="s">
        <v>7</v>
      </c>
      <c r="EI391" s="27" t="s">
        <v>8</v>
      </c>
      <c r="EJ391" s="27" t="s">
        <v>7</v>
      </c>
      <c r="EK391" s="27" t="s">
        <v>8</v>
      </c>
      <c r="EL391" s="27" t="s">
        <v>7</v>
      </c>
      <c r="EU391" s="27" t="s">
        <v>8</v>
      </c>
      <c r="EV391" s="27" t="s">
        <v>7</v>
      </c>
    </row>
    <row r="392" spans="1:154" x14ac:dyDescent="0.25">
      <c r="A392" s="7">
        <v>47.537188606657921</v>
      </c>
      <c r="B392"/>
      <c r="C392"/>
      <c r="D392"/>
      <c r="E392"/>
      <c r="EG392" s="27" t="s">
        <v>8</v>
      </c>
      <c r="EH392" s="27" t="s">
        <v>7</v>
      </c>
      <c r="EI392" s="27" t="s">
        <v>8</v>
      </c>
      <c r="EJ392" s="27" t="s">
        <v>7</v>
      </c>
      <c r="EK392" s="27" t="s">
        <v>8</v>
      </c>
      <c r="EL392" s="27" t="s">
        <v>7</v>
      </c>
      <c r="EU392" s="27" t="s">
        <v>8</v>
      </c>
      <c r="EV392" s="27" t="s">
        <v>7</v>
      </c>
    </row>
    <row r="393" spans="1:154" x14ac:dyDescent="0.25">
      <c r="A393" s="7">
        <v>46.605086869272469</v>
      </c>
      <c r="B393"/>
      <c r="C393"/>
      <c r="D393"/>
      <c r="E393"/>
      <c r="EG393" s="27" t="s">
        <v>8</v>
      </c>
      <c r="EH393" s="27" t="s">
        <v>7</v>
      </c>
      <c r="EJ393" s="27" t="s">
        <v>7</v>
      </c>
      <c r="EL393" s="27" t="s">
        <v>7</v>
      </c>
      <c r="EU393" s="27" t="s">
        <v>8</v>
      </c>
      <c r="EV393" s="27" t="s">
        <v>7</v>
      </c>
    </row>
    <row r="394" spans="1:154" x14ac:dyDescent="0.25">
      <c r="A394" s="7">
        <v>45.691261636541633</v>
      </c>
      <c r="B394"/>
      <c r="C394"/>
      <c r="D394"/>
      <c r="E394"/>
      <c r="EG394" s="27" t="s">
        <v>8</v>
      </c>
      <c r="EL394" s="27" t="s">
        <v>7</v>
      </c>
      <c r="EU394" s="27" t="s">
        <v>8</v>
      </c>
      <c r="EV394" s="27" t="s">
        <v>7</v>
      </c>
      <c r="EW394" s="27" t="s">
        <v>8</v>
      </c>
    </row>
    <row r="395" spans="1:154" x14ac:dyDescent="0.25">
      <c r="A395" s="7">
        <v>44.795354545629053</v>
      </c>
      <c r="B395"/>
      <c r="C395"/>
      <c r="D395"/>
      <c r="E395"/>
      <c r="DK395" s="27" t="s">
        <v>8</v>
      </c>
      <c r="EC395" s="27" t="s">
        <v>8</v>
      </c>
      <c r="EG395" s="27" t="s">
        <v>8</v>
      </c>
      <c r="EL395" s="27" t="s">
        <v>7</v>
      </c>
      <c r="EU395" s="27" t="s">
        <v>8</v>
      </c>
      <c r="EV395" s="27" t="s">
        <v>7</v>
      </c>
      <c r="EW395" s="27" t="s">
        <v>8</v>
      </c>
      <c r="EX395" s="27" t="s">
        <v>7</v>
      </c>
    </row>
    <row r="396" spans="1:154" x14ac:dyDescent="0.25">
      <c r="A396" s="7">
        <v>43.917014260420636</v>
      </c>
      <c r="B396"/>
      <c r="C396"/>
      <c r="D396"/>
      <c r="E396"/>
      <c r="DK396" s="27" t="s">
        <v>8</v>
      </c>
      <c r="DL396" s="27" t="s">
        <v>7</v>
      </c>
      <c r="EC396" s="27" t="s">
        <v>8</v>
      </c>
      <c r="ED396" s="27" t="s">
        <v>7</v>
      </c>
      <c r="EG396" s="27" t="s">
        <v>8</v>
      </c>
      <c r="EL396" s="27" t="s">
        <v>7</v>
      </c>
      <c r="ES396" s="27" t="s">
        <v>8</v>
      </c>
      <c r="EU396" s="27" t="s">
        <v>8</v>
      </c>
      <c r="EV396" s="27" t="s">
        <v>7</v>
      </c>
      <c r="EW396" s="27" t="s">
        <v>8</v>
      </c>
      <c r="EX396" s="27" t="s">
        <v>7</v>
      </c>
    </row>
    <row r="397" spans="1:154" x14ac:dyDescent="0.25">
      <c r="A397" s="7">
        <v>43.055896333745721</v>
      </c>
      <c r="B397"/>
      <c r="C397"/>
      <c r="D397"/>
      <c r="E397"/>
      <c r="DK397" s="27" t="s">
        <v>8</v>
      </c>
      <c r="DL397" s="27" t="s">
        <v>7</v>
      </c>
      <c r="EC397" s="27" t="s">
        <v>8</v>
      </c>
      <c r="ED397" s="27" t="s">
        <v>7</v>
      </c>
      <c r="EG397" s="27" t="s">
        <v>8</v>
      </c>
      <c r="EL397" s="27" t="s">
        <v>7</v>
      </c>
      <c r="ES397" s="27" t="s">
        <v>8</v>
      </c>
      <c r="ET397" s="27" t="s">
        <v>7</v>
      </c>
      <c r="EU397" s="27" t="s">
        <v>8</v>
      </c>
      <c r="EV397" s="27" t="s">
        <v>7</v>
      </c>
      <c r="EW397" s="27" t="s">
        <v>8</v>
      </c>
      <c r="EX397" s="27" t="s">
        <v>7</v>
      </c>
    </row>
    <row r="398" spans="1:154" x14ac:dyDescent="0.25">
      <c r="A398" s="7">
        <v>42.211663072299729</v>
      </c>
      <c r="B398"/>
      <c r="C398"/>
      <c r="D398"/>
      <c r="E398"/>
      <c r="DK398" s="27" t="s">
        <v>8</v>
      </c>
      <c r="DL398" s="27" t="s">
        <v>7</v>
      </c>
      <c r="EC398" s="27" t="s">
        <v>8</v>
      </c>
      <c r="ED398" s="27" t="s">
        <v>7</v>
      </c>
      <c r="EG398" s="27" t="s">
        <v>8</v>
      </c>
      <c r="EL398" s="27" t="s">
        <v>7</v>
      </c>
      <c r="EQ398" s="27" t="s">
        <v>8</v>
      </c>
      <c r="ES398" s="27" t="s">
        <v>8</v>
      </c>
      <c r="ET398" s="27" t="s">
        <v>7</v>
      </c>
      <c r="EU398" s="27" t="s">
        <v>8</v>
      </c>
      <c r="EV398" s="27" t="s">
        <v>7</v>
      </c>
      <c r="EW398" s="27" t="s">
        <v>8</v>
      </c>
      <c r="EX398" s="27" t="s">
        <v>7</v>
      </c>
    </row>
    <row r="399" spans="1:154" x14ac:dyDescent="0.25">
      <c r="A399" s="7">
        <v>41.383983404215421</v>
      </c>
      <c r="B399"/>
      <c r="C399"/>
      <c r="D399"/>
      <c r="E399"/>
      <c r="DK399" s="27" t="s">
        <v>8</v>
      </c>
      <c r="DL399" s="27" t="s">
        <v>7</v>
      </c>
      <c r="EA399" s="27" t="s">
        <v>8</v>
      </c>
      <c r="EC399" s="27" t="s">
        <v>8</v>
      </c>
      <c r="ED399" s="27" t="s">
        <v>7</v>
      </c>
      <c r="EG399" s="27" t="s">
        <v>8</v>
      </c>
      <c r="EL399" s="27" t="s">
        <v>7</v>
      </c>
      <c r="EQ399" s="27" t="s">
        <v>8</v>
      </c>
      <c r="ER399" s="27" t="s">
        <v>7</v>
      </c>
      <c r="ES399" s="27" t="s">
        <v>8</v>
      </c>
      <c r="ET399" s="27" t="s">
        <v>7</v>
      </c>
      <c r="EU399" s="27" t="s">
        <v>8</v>
      </c>
      <c r="EV399" s="27" t="s">
        <v>7</v>
      </c>
      <c r="EW399" s="27" t="s">
        <v>8</v>
      </c>
      <c r="EX399" s="27" t="s">
        <v>7</v>
      </c>
    </row>
    <row r="400" spans="1:154" x14ac:dyDescent="0.25">
      <c r="A400" s="7">
        <v>40.572532749230803</v>
      </c>
      <c r="B400"/>
      <c r="C400"/>
      <c r="D400"/>
      <c r="E400"/>
      <c r="DK400" s="27" t="s">
        <v>8</v>
      </c>
      <c r="DL400" s="27" t="s">
        <v>7</v>
      </c>
      <c r="EA400" s="27" t="s">
        <v>8</v>
      </c>
      <c r="EB400" s="27" t="s">
        <v>7</v>
      </c>
      <c r="EC400" s="27" t="s">
        <v>8</v>
      </c>
      <c r="ED400" s="27" t="s">
        <v>7</v>
      </c>
      <c r="EE400" s="27" t="s">
        <v>8</v>
      </c>
      <c r="EG400" s="27" t="s">
        <v>8</v>
      </c>
      <c r="EL400" s="27" t="s">
        <v>7</v>
      </c>
      <c r="EQ400" s="27" t="s">
        <v>8</v>
      </c>
      <c r="ER400" s="27" t="s">
        <v>7</v>
      </c>
      <c r="ES400" s="27" t="s">
        <v>8</v>
      </c>
      <c r="ET400" s="27" t="s">
        <v>7</v>
      </c>
      <c r="EU400" s="27" t="s">
        <v>8</v>
      </c>
      <c r="EV400" s="27" t="s">
        <v>7</v>
      </c>
      <c r="EW400" s="27" t="s">
        <v>8</v>
      </c>
      <c r="EX400" s="27" t="s">
        <v>7</v>
      </c>
    </row>
    <row r="401" spans="1:212" x14ac:dyDescent="0.25">
      <c r="A401" s="7">
        <v>39.776992891402749</v>
      </c>
      <c r="B401"/>
      <c r="C401"/>
      <c r="D401"/>
      <c r="E401"/>
      <c r="DK401" s="27" t="s">
        <v>8</v>
      </c>
      <c r="DL401" s="27" t="s">
        <v>7</v>
      </c>
      <c r="EA401" s="27" t="s">
        <v>8</v>
      </c>
      <c r="EB401" s="27" t="s">
        <v>7</v>
      </c>
      <c r="EC401" s="27" t="s">
        <v>8</v>
      </c>
      <c r="ED401" s="27" t="s">
        <v>7</v>
      </c>
      <c r="EE401" s="27" t="s">
        <v>8</v>
      </c>
      <c r="EF401" s="27" t="s">
        <v>7</v>
      </c>
      <c r="EG401" s="27" t="s">
        <v>8</v>
      </c>
      <c r="EL401" s="27" t="s">
        <v>7</v>
      </c>
      <c r="EM401" s="27" t="s">
        <v>8</v>
      </c>
      <c r="EQ401" s="27" t="s">
        <v>8</v>
      </c>
      <c r="ER401" s="27" t="s">
        <v>7</v>
      </c>
      <c r="ET401" s="27" t="s">
        <v>7</v>
      </c>
      <c r="EU401" s="27" t="s">
        <v>8</v>
      </c>
      <c r="EV401" s="27" t="s">
        <v>7</v>
      </c>
      <c r="EW401" s="27" t="s">
        <v>8</v>
      </c>
      <c r="EX401" s="27" t="s">
        <v>7</v>
      </c>
    </row>
    <row r="402" spans="1:212" x14ac:dyDescent="0.25">
      <c r="A402" s="7">
        <v>38.997051854316418</v>
      </c>
      <c r="B402"/>
      <c r="C402"/>
      <c r="D402"/>
      <c r="E402"/>
      <c r="DK402" s="27" t="s">
        <v>8</v>
      </c>
      <c r="DL402" s="27" t="s">
        <v>7</v>
      </c>
      <c r="EA402" s="27" t="s">
        <v>8</v>
      </c>
      <c r="EB402" s="27" t="s">
        <v>7</v>
      </c>
      <c r="EC402" s="27" t="s">
        <v>8</v>
      </c>
      <c r="ED402" s="27" t="s">
        <v>7</v>
      </c>
      <c r="EE402" s="27" t="s">
        <v>8</v>
      </c>
      <c r="EF402" s="27" t="s">
        <v>7</v>
      </c>
      <c r="EG402" s="27" t="s">
        <v>8</v>
      </c>
      <c r="EL402" s="27" t="s">
        <v>7</v>
      </c>
      <c r="EM402" s="27" t="s">
        <v>8</v>
      </c>
      <c r="EN402" s="27" t="s">
        <v>7</v>
      </c>
      <c r="EO402" s="27" t="s">
        <v>8</v>
      </c>
      <c r="EQ402" s="27" t="s">
        <v>8</v>
      </c>
      <c r="ET402" s="27" t="s">
        <v>7</v>
      </c>
      <c r="EU402" s="27" t="s">
        <v>8</v>
      </c>
      <c r="EV402" s="27" t="s">
        <v>7</v>
      </c>
      <c r="EW402" s="27" t="s">
        <v>8</v>
      </c>
      <c r="EX402" s="27" t="s">
        <v>7</v>
      </c>
      <c r="EY402" s="27" t="s">
        <v>8</v>
      </c>
    </row>
    <row r="403" spans="1:212" x14ac:dyDescent="0.25">
      <c r="A403" s="7">
        <v>38.232403778741585</v>
      </c>
      <c r="B403"/>
      <c r="C403"/>
      <c r="D403"/>
      <c r="E403"/>
      <c r="DK403" s="27" t="s">
        <v>8</v>
      </c>
      <c r="DL403" s="27" t="s">
        <v>7</v>
      </c>
      <c r="EA403" s="27" t="s">
        <v>8</v>
      </c>
      <c r="EB403" s="27" t="s">
        <v>7</v>
      </c>
      <c r="EC403" s="27" t="s">
        <v>8</v>
      </c>
      <c r="ED403" s="27" t="s">
        <v>7</v>
      </c>
      <c r="EF403" s="27" t="s">
        <v>7</v>
      </c>
      <c r="EG403" s="27" t="s">
        <v>8</v>
      </c>
      <c r="EL403" s="27" t="s">
        <v>7</v>
      </c>
      <c r="EM403" s="27" t="s">
        <v>8</v>
      </c>
      <c r="EN403" s="27" t="s">
        <v>7</v>
      </c>
      <c r="EO403" s="27" t="s">
        <v>8</v>
      </c>
      <c r="EP403" s="27" t="s">
        <v>7</v>
      </c>
      <c r="EQ403" s="27" t="s">
        <v>8</v>
      </c>
      <c r="ET403" s="27" t="s">
        <v>7</v>
      </c>
      <c r="EV403" s="27" t="s">
        <v>7</v>
      </c>
      <c r="EW403" s="27" t="s">
        <v>8</v>
      </c>
      <c r="EX403" s="27" t="s">
        <v>7</v>
      </c>
      <c r="EY403" s="27" t="s">
        <v>8</v>
      </c>
      <c r="EZ403" s="27" t="s">
        <v>7</v>
      </c>
    </row>
    <row r="404" spans="1:212" x14ac:dyDescent="0.25">
      <c r="A404" s="7">
        <v>37.48274880268783</v>
      </c>
      <c r="B404"/>
      <c r="C404"/>
      <c r="D404"/>
      <c r="E404"/>
      <c r="DK404" s="27" t="s">
        <v>8</v>
      </c>
      <c r="DL404" s="27" t="s">
        <v>7</v>
      </c>
      <c r="EA404" s="27" t="s">
        <v>8</v>
      </c>
      <c r="EB404" s="27" t="s">
        <v>7</v>
      </c>
      <c r="EC404" s="27" t="s">
        <v>8</v>
      </c>
      <c r="EF404" s="27" t="s">
        <v>7</v>
      </c>
      <c r="EG404" s="27" t="s">
        <v>8</v>
      </c>
      <c r="EL404" s="27" t="s">
        <v>7</v>
      </c>
      <c r="EM404" s="27" t="s">
        <v>8</v>
      </c>
      <c r="EN404" s="27" t="s">
        <v>7</v>
      </c>
      <c r="EO404" s="27" t="s">
        <v>8</v>
      </c>
      <c r="EP404" s="27" t="s">
        <v>7</v>
      </c>
      <c r="EQ404" s="27" t="s">
        <v>8</v>
      </c>
      <c r="EV404" s="27" t="s">
        <v>7</v>
      </c>
      <c r="EX404" s="27" t="s">
        <v>7</v>
      </c>
      <c r="EY404" s="27" t="s">
        <v>8</v>
      </c>
      <c r="EZ404" s="27" t="s">
        <v>7</v>
      </c>
    </row>
    <row r="405" spans="1:212" x14ac:dyDescent="0.25">
      <c r="A405" s="7">
        <v>36.747792943811596</v>
      </c>
      <c r="B405"/>
      <c r="C405"/>
      <c r="D405"/>
      <c r="E405"/>
      <c r="DI405" s="27" t="s">
        <v>8</v>
      </c>
      <c r="DK405" s="27" t="s">
        <v>8</v>
      </c>
      <c r="DL405" s="27" t="s">
        <v>7</v>
      </c>
      <c r="EA405" s="27" t="s">
        <v>8</v>
      </c>
      <c r="EB405" s="27" t="s">
        <v>7</v>
      </c>
      <c r="EC405" s="27" t="s">
        <v>8</v>
      </c>
      <c r="EF405" s="27" t="s">
        <v>7</v>
      </c>
      <c r="EL405" s="27" t="s">
        <v>7</v>
      </c>
      <c r="EM405" s="27" t="s">
        <v>8</v>
      </c>
      <c r="EN405" s="27" t="s">
        <v>7</v>
      </c>
      <c r="EO405" s="27" t="s">
        <v>8</v>
      </c>
      <c r="EP405" s="27" t="s">
        <v>7</v>
      </c>
      <c r="EQ405" s="27" t="s">
        <v>8</v>
      </c>
      <c r="EX405" s="27" t="s">
        <v>7</v>
      </c>
      <c r="EY405" s="27" t="s">
        <v>8</v>
      </c>
      <c r="EZ405" s="27" t="s">
        <v>7</v>
      </c>
    </row>
    <row r="406" spans="1:212" x14ac:dyDescent="0.25">
      <c r="A406" s="7">
        <v>36.027247984129012</v>
      </c>
      <c r="B406"/>
      <c r="C406"/>
      <c r="D406"/>
      <c r="E406"/>
      <c r="DI406" s="27" t="s">
        <v>8</v>
      </c>
      <c r="DJ406" s="27" t="s">
        <v>7</v>
      </c>
      <c r="DK406" s="27" t="s">
        <v>8</v>
      </c>
      <c r="DL406" s="27" t="s">
        <v>7</v>
      </c>
      <c r="EA406" s="27" t="s">
        <v>8</v>
      </c>
      <c r="EB406" s="27" t="s">
        <v>7</v>
      </c>
      <c r="EC406" s="27" t="s">
        <v>8</v>
      </c>
      <c r="EL406" s="27" t="s">
        <v>7</v>
      </c>
      <c r="EM406" s="27" t="s">
        <v>8</v>
      </c>
      <c r="EN406" s="27" t="s">
        <v>7</v>
      </c>
      <c r="EO406" s="27" t="s">
        <v>8</v>
      </c>
      <c r="EP406" s="27" t="s">
        <v>7</v>
      </c>
      <c r="EQ406" s="27" t="s">
        <v>8</v>
      </c>
      <c r="EX406" s="27" t="s">
        <v>7</v>
      </c>
      <c r="EY406" s="27" t="s">
        <v>8</v>
      </c>
      <c r="EZ406" s="27" t="s">
        <v>7</v>
      </c>
      <c r="GG406" s="27" t="s">
        <v>8</v>
      </c>
    </row>
    <row r="407" spans="1:212" x14ac:dyDescent="0.25">
      <c r="A407" s="7">
        <v>35.320831356989224</v>
      </c>
      <c r="B407"/>
      <c r="C407"/>
      <c r="D407"/>
      <c r="E407"/>
      <c r="CK407" s="27" t="s">
        <v>8</v>
      </c>
      <c r="DI407" s="27" t="s">
        <v>8</v>
      </c>
      <c r="DJ407" s="27" t="s">
        <v>7</v>
      </c>
      <c r="DK407" s="27" t="s">
        <v>8</v>
      </c>
      <c r="DL407" s="27" t="s">
        <v>7</v>
      </c>
      <c r="EA407" s="27" t="s">
        <v>8</v>
      </c>
      <c r="EB407" s="27" t="s">
        <v>7</v>
      </c>
      <c r="EC407" s="27" t="s">
        <v>8</v>
      </c>
      <c r="EL407" s="27" t="s">
        <v>7</v>
      </c>
      <c r="EM407" s="27" t="s">
        <v>8</v>
      </c>
      <c r="EN407" s="27" t="s">
        <v>7</v>
      </c>
      <c r="EO407" s="27" t="s">
        <v>8</v>
      </c>
      <c r="EP407" s="27" t="s">
        <v>7</v>
      </c>
      <c r="EQ407" s="27" t="s">
        <v>8</v>
      </c>
      <c r="EX407" s="27" t="s">
        <v>7</v>
      </c>
      <c r="EY407" s="27" t="s">
        <v>8</v>
      </c>
      <c r="EZ407" s="27" t="s">
        <v>7</v>
      </c>
      <c r="GG407" s="27" t="s">
        <v>8</v>
      </c>
      <c r="GH407" s="27" t="s">
        <v>7</v>
      </c>
      <c r="HC407" s="27" t="s">
        <v>8</v>
      </c>
    </row>
    <row r="408" spans="1:212" x14ac:dyDescent="0.25">
      <c r="A408" s="7">
        <v>34.628266036263945</v>
      </c>
      <c r="B408"/>
      <c r="C408"/>
      <c r="D408"/>
      <c r="E408"/>
      <c r="CK408" s="27" t="s">
        <v>8</v>
      </c>
      <c r="CL408" s="27" t="s">
        <v>7</v>
      </c>
      <c r="DI408" s="27" t="s">
        <v>8</v>
      </c>
      <c r="DJ408" s="27" t="s">
        <v>7</v>
      </c>
      <c r="DK408" s="27" t="s">
        <v>8</v>
      </c>
      <c r="DL408" s="27" t="s">
        <v>7</v>
      </c>
      <c r="DU408" s="27" t="s">
        <v>8</v>
      </c>
      <c r="DY408" s="27" t="s">
        <v>8</v>
      </c>
      <c r="EA408" s="27" t="s">
        <v>8</v>
      </c>
      <c r="EB408" s="27" t="s">
        <v>7</v>
      </c>
      <c r="EC408" s="27" t="s">
        <v>8</v>
      </c>
      <c r="EL408" s="27" t="s">
        <v>7</v>
      </c>
      <c r="EN408" s="27" t="s">
        <v>7</v>
      </c>
      <c r="EO408" s="27" t="s">
        <v>8</v>
      </c>
      <c r="EP408" s="27" t="s">
        <v>7</v>
      </c>
      <c r="EQ408" s="27" t="s">
        <v>8</v>
      </c>
      <c r="EX408" s="27" t="s">
        <v>7</v>
      </c>
      <c r="EY408" s="27" t="s">
        <v>8</v>
      </c>
      <c r="EZ408" s="27" t="s">
        <v>7</v>
      </c>
      <c r="GG408" s="27" t="s">
        <v>8</v>
      </c>
      <c r="GH408" s="27" t="s">
        <v>7</v>
      </c>
      <c r="HA408" s="27" t="s">
        <v>8</v>
      </c>
      <c r="HC408" s="27" t="s">
        <v>8</v>
      </c>
      <c r="HD408" s="27" t="s">
        <v>7</v>
      </c>
    </row>
    <row r="409" spans="1:212" x14ac:dyDescent="0.25">
      <c r="A409" s="7">
        <v>33.949280427709752</v>
      </c>
      <c r="B409"/>
      <c r="C409"/>
      <c r="D409"/>
      <c r="E409"/>
      <c r="CK409" s="27" t="s">
        <v>8</v>
      </c>
      <c r="CL409" s="27" t="s">
        <v>7</v>
      </c>
      <c r="DI409" s="27" t="s">
        <v>8</v>
      </c>
      <c r="DJ409" s="27" t="s">
        <v>7</v>
      </c>
      <c r="DK409" s="27" t="s">
        <v>8</v>
      </c>
      <c r="DL409" s="27" t="s">
        <v>7</v>
      </c>
      <c r="DQ409" s="27" t="s">
        <v>8</v>
      </c>
      <c r="DU409" s="27" t="s">
        <v>8</v>
      </c>
      <c r="DV409" s="27" t="s">
        <v>7</v>
      </c>
      <c r="DY409" s="27" t="s">
        <v>8</v>
      </c>
      <c r="DZ409" s="27" t="s">
        <v>7</v>
      </c>
      <c r="EA409" s="27" t="s">
        <v>8</v>
      </c>
      <c r="EB409" s="27" t="s">
        <v>7</v>
      </c>
      <c r="EC409" s="27" t="s">
        <v>8</v>
      </c>
      <c r="EN409" s="27" t="s">
        <v>7</v>
      </c>
      <c r="EO409" s="27" t="s">
        <v>8</v>
      </c>
      <c r="EP409" s="27" t="s">
        <v>7</v>
      </c>
      <c r="EX409" s="27" t="s">
        <v>7</v>
      </c>
      <c r="EZ409" s="27" t="s">
        <v>7</v>
      </c>
      <c r="FA409" s="27" t="s">
        <v>8</v>
      </c>
      <c r="GG409" s="27" t="s">
        <v>8</v>
      </c>
      <c r="GH409" s="27" t="s">
        <v>7</v>
      </c>
      <c r="HA409" s="27" t="s">
        <v>8</v>
      </c>
      <c r="HB409" s="27" t="s">
        <v>7</v>
      </c>
      <c r="HC409" s="27" t="s">
        <v>8</v>
      </c>
      <c r="HD409" s="27" t="s">
        <v>7</v>
      </c>
    </row>
    <row r="410" spans="1:212" x14ac:dyDescent="0.25">
      <c r="A410" s="7">
        <v>33.28360826246054</v>
      </c>
      <c r="B410"/>
      <c r="C410"/>
      <c r="D410"/>
      <c r="E410"/>
      <c r="CK410" s="27" t="s">
        <v>8</v>
      </c>
      <c r="CL410" s="27" t="s">
        <v>7</v>
      </c>
      <c r="DI410" s="27" t="s">
        <v>8</v>
      </c>
      <c r="DJ410" s="27" t="s">
        <v>7</v>
      </c>
      <c r="DK410" s="27" t="s">
        <v>8</v>
      </c>
      <c r="DL410" s="27" t="s">
        <v>7</v>
      </c>
      <c r="DQ410" s="27" t="s">
        <v>8</v>
      </c>
      <c r="DR410" s="27" t="s">
        <v>7</v>
      </c>
      <c r="DU410" s="27" t="s">
        <v>8</v>
      </c>
      <c r="DV410" s="27" t="s">
        <v>7</v>
      </c>
      <c r="DY410" s="27" t="s">
        <v>8</v>
      </c>
      <c r="DZ410" s="27" t="s">
        <v>7</v>
      </c>
      <c r="EA410" s="27" t="s">
        <v>8</v>
      </c>
      <c r="EB410" s="27" t="s">
        <v>7</v>
      </c>
      <c r="EC410" s="27" t="s">
        <v>8</v>
      </c>
      <c r="EN410" s="27" t="s">
        <v>7</v>
      </c>
      <c r="EO410" s="27" t="s">
        <v>8</v>
      </c>
      <c r="EZ410" s="27" t="s">
        <v>7</v>
      </c>
      <c r="FA410" s="27" t="s">
        <v>8</v>
      </c>
      <c r="FB410" s="27" t="s">
        <v>7</v>
      </c>
      <c r="GG410" s="27" t="s">
        <v>8</v>
      </c>
      <c r="GH410" s="27" t="s">
        <v>7</v>
      </c>
      <c r="HA410" s="27" t="s">
        <v>8</v>
      </c>
      <c r="HB410" s="27" t="s">
        <v>7</v>
      </c>
      <c r="HC410" s="27" t="s">
        <v>8</v>
      </c>
      <c r="HD410" s="27" t="s">
        <v>7</v>
      </c>
    </row>
    <row r="411" spans="1:212" x14ac:dyDescent="0.25">
      <c r="A411" s="7">
        <v>32.630988492608374</v>
      </c>
      <c r="B411"/>
      <c r="C411"/>
      <c r="D411"/>
      <c r="E411"/>
      <c r="CK411" s="27" t="s">
        <v>8</v>
      </c>
      <c r="CL411" s="27" t="s">
        <v>7</v>
      </c>
      <c r="DI411" s="27" t="s">
        <v>8</v>
      </c>
      <c r="DJ411" s="27" t="s">
        <v>7</v>
      </c>
      <c r="DK411" s="27" t="s">
        <v>8</v>
      </c>
      <c r="DL411" s="27" t="s">
        <v>7</v>
      </c>
      <c r="DQ411" s="27" t="s">
        <v>8</v>
      </c>
      <c r="DR411" s="27" t="s">
        <v>7</v>
      </c>
      <c r="DU411" s="27" t="s">
        <v>8</v>
      </c>
      <c r="DV411" s="27" t="s">
        <v>7</v>
      </c>
      <c r="DW411" s="27" t="s">
        <v>8</v>
      </c>
      <c r="DY411" s="27" t="s">
        <v>8</v>
      </c>
      <c r="DZ411" s="27" t="s">
        <v>7</v>
      </c>
      <c r="EA411" s="27" t="s">
        <v>8</v>
      </c>
      <c r="EB411" s="27" t="s">
        <v>7</v>
      </c>
      <c r="EC411" s="27" t="s">
        <v>8</v>
      </c>
      <c r="EN411" s="27" t="s">
        <v>7</v>
      </c>
      <c r="EO411" s="27" t="s">
        <v>8</v>
      </c>
      <c r="EZ411" s="27" t="s">
        <v>7</v>
      </c>
      <c r="FA411" s="27" t="s">
        <v>8</v>
      </c>
      <c r="FB411" s="27" t="s">
        <v>7</v>
      </c>
      <c r="GG411" s="27" t="s">
        <v>8</v>
      </c>
      <c r="GH411" s="27" t="s">
        <v>7</v>
      </c>
      <c r="HA411" s="27" t="s">
        <v>8</v>
      </c>
      <c r="HB411" s="27" t="s">
        <v>7</v>
      </c>
      <c r="HC411" s="27" t="s">
        <v>8</v>
      </c>
      <c r="HD411" s="27" t="s">
        <v>7</v>
      </c>
    </row>
    <row r="412" spans="1:212" x14ac:dyDescent="0.25">
      <c r="A412" s="7">
        <v>31.99116518883174</v>
      </c>
      <c r="B412"/>
      <c r="C412"/>
      <c r="D412"/>
      <c r="E412"/>
      <c r="CK412" s="27" t="s">
        <v>8</v>
      </c>
      <c r="CL412" s="27" t="s">
        <v>7</v>
      </c>
      <c r="DI412" s="27" t="s">
        <v>8</v>
      </c>
      <c r="DJ412" s="27" t="s">
        <v>7</v>
      </c>
      <c r="DK412" s="27" t="s">
        <v>8</v>
      </c>
      <c r="DL412" s="27" t="s">
        <v>7</v>
      </c>
      <c r="DQ412" s="27" t="s">
        <v>8</v>
      </c>
      <c r="DR412" s="27" t="s">
        <v>7</v>
      </c>
      <c r="DU412" s="27" t="s">
        <v>8</v>
      </c>
      <c r="DV412" s="27" t="s">
        <v>7</v>
      </c>
      <c r="DW412" s="27" t="s">
        <v>8</v>
      </c>
      <c r="DX412" s="27" t="s">
        <v>7</v>
      </c>
      <c r="DY412" s="27" t="s">
        <v>8</v>
      </c>
      <c r="DZ412" s="27" t="s">
        <v>7</v>
      </c>
      <c r="EA412" s="27" t="s">
        <v>8</v>
      </c>
      <c r="EB412" s="27" t="s">
        <v>7</v>
      </c>
      <c r="EC412" s="27" t="s">
        <v>8</v>
      </c>
      <c r="EN412" s="27" t="s">
        <v>7</v>
      </c>
      <c r="EO412" s="27" t="s">
        <v>8</v>
      </c>
      <c r="EZ412" s="27" t="s">
        <v>7</v>
      </c>
      <c r="FA412" s="27" t="s">
        <v>8</v>
      </c>
      <c r="FB412" s="27" t="s">
        <v>7</v>
      </c>
      <c r="FC412" s="27" t="s">
        <v>8</v>
      </c>
      <c r="GG412" s="27" t="s">
        <v>8</v>
      </c>
      <c r="GH412" s="27" t="s">
        <v>7</v>
      </c>
      <c r="HA412" s="27" t="s">
        <v>8</v>
      </c>
      <c r="HB412" s="27" t="s">
        <v>7</v>
      </c>
      <c r="HC412" s="27" t="s">
        <v>8</v>
      </c>
      <c r="HD412" s="27" t="s">
        <v>7</v>
      </c>
    </row>
    <row r="413" spans="1:212" x14ac:dyDescent="0.25">
      <c r="A413" s="7">
        <v>31.363887440031117</v>
      </c>
      <c r="B413"/>
      <c r="C413"/>
      <c r="D413"/>
      <c r="E413"/>
      <c r="CK413" s="27" t="s">
        <v>8</v>
      </c>
      <c r="CL413" s="27" t="s">
        <v>7</v>
      </c>
      <c r="DI413" s="27" t="s">
        <v>8</v>
      </c>
      <c r="DJ413" s="27" t="s">
        <v>7</v>
      </c>
      <c r="DK413" s="27" t="s">
        <v>8</v>
      </c>
      <c r="DL413" s="27" t="s">
        <v>7</v>
      </c>
      <c r="DM413" s="27" t="s">
        <v>8</v>
      </c>
      <c r="DO413" s="27" t="s">
        <v>8</v>
      </c>
      <c r="DQ413" s="27" t="s">
        <v>8</v>
      </c>
      <c r="DR413" s="27" t="s">
        <v>7</v>
      </c>
      <c r="DU413" s="27" t="s">
        <v>8</v>
      </c>
      <c r="DV413" s="27" t="s">
        <v>7</v>
      </c>
      <c r="DW413" s="27" t="s">
        <v>8</v>
      </c>
      <c r="DX413" s="27" t="s">
        <v>7</v>
      </c>
      <c r="DY413" s="27" t="s">
        <v>8</v>
      </c>
      <c r="DZ413" s="27" t="s">
        <v>7</v>
      </c>
      <c r="EA413" s="27" t="s">
        <v>8</v>
      </c>
      <c r="EB413" s="27" t="s">
        <v>7</v>
      </c>
      <c r="EC413" s="27" t="s">
        <v>8</v>
      </c>
      <c r="EN413" s="27" t="s">
        <v>7</v>
      </c>
      <c r="EO413" s="27" t="s">
        <v>8</v>
      </c>
      <c r="EZ413" s="27" t="s">
        <v>7</v>
      </c>
      <c r="FA413" s="27" t="s">
        <v>8</v>
      </c>
      <c r="FB413" s="27" t="s">
        <v>7</v>
      </c>
      <c r="FC413" s="27" t="s">
        <v>8</v>
      </c>
      <c r="FD413" s="27" t="s">
        <v>7</v>
      </c>
      <c r="GG413" s="27" t="s">
        <v>8</v>
      </c>
      <c r="GH413" s="27" t="s">
        <v>7</v>
      </c>
      <c r="HA413" s="27" t="s">
        <v>8</v>
      </c>
      <c r="HB413" s="27" t="s">
        <v>7</v>
      </c>
      <c r="HC413" s="27" t="s">
        <v>8</v>
      </c>
      <c r="HD413" s="27" t="s">
        <v>7</v>
      </c>
    </row>
    <row r="414" spans="1:212" x14ac:dyDescent="0.25">
      <c r="A414" s="7">
        <v>30.748909254932467</v>
      </c>
      <c r="B414"/>
      <c r="C414"/>
      <c r="D414"/>
      <c r="E414"/>
      <c r="CK414" s="27" t="s">
        <v>8</v>
      </c>
      <c r="CL414" s="27" t="s">
        <v>7</v>
      </c>
      <c r="DI414" s="27" t="s">
        <v>8</v>
      </c>
      <c r="DJ414" s="27" t="s">
        <v>7</v>
      </c>
      <c r="DK414" s="27" t="s">
        <v>8</v>
      </c>
      <c r="DL414" s="27" t="s">
        <v>7</v>
      </c>
      <c r="DM414" s="27" t="s">
        <v>8</v>
      </c>
      <c r="DN414" s="27" t="s">
        <v>7</v>
      </c>
      <c r="DO414" s="27" t="s">
        <v>8</v>
      </c>
      <c r="DP414" s="27" t="s">
        <v>7</v>
      </c>
      <c r="DQ414" s="27" t="s">
        <v>8</v>
      </c>
      <c r="DR414" s="27" t="s">
        <v>7</v>
      </c>
      <c r="DS414" s="27" t="s">
        <v>8</v>
      </c>
      <c r="DU414" s="27" t="s">
        <v>8</v>
      </c>
      <c r="DV414" s="27" t="s">
        <v>7</v>
      </c>
      <c r="DW414" s="27" t="s">
        <v>8</v>
      </c>
      <c r="DX414" s="27" t="s">
        <v>7</v>
      </c>
      <c r="DY414" s="27" t="s">
        <v>8</v>
      </c>
      <c r="DZ414" s="27" t="s">
        <v>7</v>
      </c>
      <c r="EA414" s="27" t="s">
        <v>8</v>
      </c>
      <c r="EB414" s="27" t="s">
        <v>7</v>
      </c>
      <c r="EC414" s="27" t="s">
        <v>8</v>
      </c>
      <c r="EN414" s="27" t="s">
        <v>7</v>
      </c>
      <c r="EO414" s="27" t="s">
        <v>8</v>
      </c>
      <c r="EZ414" s="27" t="s">
        <v>7</v>
      </c>
      <c r="FA414" s="27" t="s">
        <v>8</v>
      </c>
      <c r="FB414" s="27" t="s">
        <v>7</v>
      </c>
      <c r="FC414" s="27" t="s">
        <v>8</v>
      </c>
      <c r="FD414" s="27" t="s">
        <v>7</v>
      </c>
      <c r="GG414" s="27" t="s">
        <v>8</v>
      </c>
      <c r="GH414" s="27" t="s">
        <v>7</v>
      </c>
      <c r="GW414" s="27" t="s">
        <v>8</v>
      </c>
      <c r="HA414" s="27" t="s">
        <v>8</v>
      </c>
      <c r="HB414" s="27" t="s">
        <v>7</v>
      </c>
      <c r="HC414" s="27" t="s">
        <v>8</v>
      </c>
      <c r="HD414" s="27" t="s">
        <v>7</v>
      </c>
    </row>
    <row r="415" spans="1:212" x14ac:dyDescent="0.25">
      <c r="A415" s="7">
        <v>30.145989465620065</v>
      </c>
      <c r="B415"/>
      <c r="C415"/>
      <c r="D415"/>
      <c r="E415"/>
      <c r="CK415" s="27" t="s">
        <v>8</v>
      </c>
      <c r="CL415" s="27" t="s">
        <v>7</v>
      </c>
      <c r="DI415" s="27" t="s">
        <v>8</v>
      </c>
      <c r="DJ415" s="27" t="s">
        <v>7</v>
      </c>
      <c r="DK415" s="27" t="s">
        <v>8</v>
      </c>
      <c r="DL415" s="27" t="s">
        <v>7</v>
      </c>
      <c r="DM415" s="27" t="s">
        <v>8</v>
      </c>
      <c r="DN415" s="27" t="s">
        <v>7</v>
      </c>
      <c r="DO415" s="27" t="s">
        <v>8</v>
      </c>
      <c r="DP415" s="27" t="s">
        <v>7</v>
      </c>
      <c r="DQ415" s="27" t="s">
        <v>8</v>
      </c>
      <c r="DR415" s="27" t="s">
        <v>7</v>
      </c>
      <c r="DS415" s="27" t="s">
        <v>8</v>
      </c>
      <c r="DT415" s="27" t="s">
        <v>7</v>
      </c>
      <c r="DU415" s="27" t="s">
        <v>8</v>
      </c>
      <c r="DV415" s="27" t="s">
        <v>7</v>
      </c>
      <c r="DX415" s="27" t="s">
        <v>7</v>
      </c>
      <c r="DY415" s="27" t="s">
        <v>8</v>
      </c>
      <c r="DZ415" s="27" t="s">
        <v>7</v>
      </c>
      <c r="EA415" s="27" t="s">
        <v>8</v>
      </c>
      <c r="EB415" s="27" t="s">
        <v>7</v>
      </c>
      <c r="EN415" s="27" t="s">
        <v>7</v>
      </c>
      <c r="EO415" s="27" t="s">
        <v>8</v>
      </c>
      <c r="EZ415" s="27" t="s">
        <v>7</v>
      </c>
      <c r="FA415" s="27" t="s">
        <v>8</v>
      </c>
      <c r="FB415" s="27" t="s">
        <v>7</v>
      </c>
      <c r="FC415" s="27" t="s">
        <v>8</v>
      </c>
      <c r="FD415" s="27" t="s">
        <v>7</v>
      </c>
      <c r="GG415" s="27" t="s">
        <v>8</v>
      </c>
      <c r="GH415" s="27" t="s">
        <v>7</v>
      </c>
      <c r="GU415" s="27" t="s">
        <v>8</v>
      </c>
      <c r="GW415" s="27" t="s">
        <v>8</v>
      </c>
      <c r="GX415" s="27" t="s">
        <v>7</v>
      </c>
      <c r="HA415" s="27" t="s">
        <v>8</v>
      </c>
      <c r="HB415" s="27" t="s">
        <v>7</v>
      </c>
      <c r="HC415" s="27" t="s">
        <v>8</v>
      </c>
      <c r="HD415" s="27" t="s">
        <v>7</v>
      </c>
    </row>
    <row r="416" spans="1:212" x14ac:dyDescent="0.25">
      <c r="A416" s="7">
        <v>29.55489163296085</v>
      </c>
      <c r="B416"/>
      <c r="C416"/>
      <c r="D416"/>
      <c r="E416"/>
      <c r="AK416" s="27" t="s">
        <v>8</v>
      </c>
      <c r="CK416" s="27" t="s">
        <v>8</v>
      </c>
      <c r="CL416" s="27" t="s">
        <v>7</v>
      </c>
      <c r="DI416" s="27" t="s">
        <v>8</v>
      </c>
      <c r="DJ416" s="27" t="s">
        <v>7</v>
      </c>
      <c r="DK416" s="27" t="s">
        <v>8</v>
      </c>
      <c r="DL416" s="27" t="s">
        <v>7</v>
      </c>
      <c r="DM416" s="27" t="s">
        <v>8</v>
      </c>
      <c r="DN416" s="27" t="s">
        <v>7</v>
      </c>
      <c r="DO416" s="27" t="s">
        <v>8</v>
      </c>
      <c r="DP416" s="27" t="s">
        <v>7</v>
      </c>
      <c r="DQ416" s="27" t="s">
        <v>8</v>
      </c>
      <c r="DR416" s="27" t="s">
        <v>7</v>
      </c>
      <c r="DS416" s="27" t="s">
        <v>8</v>
      </c>
      <c r="DT416" s="27" t="s">
        <v>7</v>
      </c>
      <c r="DU416" s="27" t="s">
        <v>8</v>
      </c>
      <c r="DX416" s="27" t="s">
        <v>7</v>
      </c>
      <c r="DY416" s="27" t="s">
        <v>8</v>
      </c>
      <c r="DZ416" s="27" t="s">
        <v>7</v>
      </c>
      <c r="EN416" s="27" t="s">
        <v>7</v>
      </c>
      <c r="EO416" s="27" t="s">
        <v>8</v>
      </c>
      <c r="EZ416" s="27" t="s">
        <v>7</v>
      </c>
      <c r="FB416" s="27" t="s">
        <v>7</v>
      </c>
      <c r="FC416" s="27" t="s">
        <v>8</v>
      </c>
      <c r="FD416" s="27" t="s">
        <v>7</v>
      </c>
      <c r="GG416" s="27" t="s">
        <v>8</v>
      </c>
      <c r="GH416" s="27" t="s">
        <v>7</v>
      </c>
      <c r="GU416" s="27" t="s">
        <v>8</v>
      </c>
      <c r="GV416" s="27" t="s">
        <v>7</v>
      </c>
      <c r="GW416" s="27" t="s">
        <v>8</v>
      </c>
      <c r="GX416" s="27" t="s">
        <v>7</v>
      </c>
      <c r="GY416" s="27" t="s">
        <v>8</v>
      </c>
      <c r="HA416" s="27" t="s">
        <v>8</v>
      </c>
      <c r="HB416" s="27" t="s">
        <v>7</v>
      </c>
      <c r="HC416" s="27" t="s">
        <v>8</v>
      </c>
      <c r="HD416" s="27" t="s">
        <v>7</v>
      </c>
    </row>
    <row r="417" spans="1:260" x14ac:dyDescent="0.25">
      <c r="A417" s="7">
        <v>28.975383953883185</v>
      </c>
      <c r="B417"/>
      <c r="C417"/>
      <c r="D417"/>
      <c r="E417"/>
      <c r="AK417" s="27" t="s">
        <v>8</v>
      </c>
      <c r="AL417" s="27" t="s">
        <v>7</v>
      </c>
      <c r="CK417" s="27" t="s">
        <v>8</v>
      </c>
      <c r="CL417" s="27" t="s">
        <v>7</v>
      </c>
      <c r="DI417" s="27" t="s">
        <v>8</v>
      </c>
      <c r="DJ417" s="27" t="s">
        <v>7</v>
      </c>
      <c r="DK417" s="27" t="s">
        <v>8</v>
      </c>
      <c r="DL417" s="27" t="s">
        <v>7</v>
      </c>
      <c r="DM417" s="27" t="s">
        <v>8</v>
      </c>
      <c r="DN417" s="27" t="s">
        <v>7</v>
      </c>
      <c r="DO417" s="27" t="s">
        <v>8</v>
      </c>
      <c r="DP417" s="27" t="s">
        <v>7</v>
      </c>
      <c r="DQ417" s="27" t="s">
        <v>8</v>
      </c>
      <c r="DR417" s="27" t="s">
        <v>7</v>
      </c>
      <c r="DS417" s="27" t="s">
        <v>8</v>
      </c>
      <c r="DT417" s="27" t="s">
        <v>7</v>
      </c>
      <c r="DU417" s="27" t="s">
        <v>8</v>
      </c>
      <c r="DX417" s="27" t="s">
        <v>7</v>
      </c>
      <c r="DY417" s="27" t="s">
        <v>8</v>
      </c>
      <c r="EN417" s="27" t="s">
        <v>7</v>
      </c>
      <c r="EO417" s="27" t="s">
        <v>8</v>
      </c>
      <c r="FB417" s="27" t="s">
        <v>7</v>
      </c>
      <c r="FC417" s="27" t="s">
        <v>8</v>
      </c>
      <c r="FD417" s="27" t="s">
        <v>7</v>
      </c>
      <c r="GG417" s="27" t="s">
        <v>8</v>
      </c>
      <c r="GH417" s="27" t="s">
        <v>7</v>
      </c>
      <c r="GM417" s="27" t="s">
        <v>8</v>
      </c>
      <c r="GS417" s="27" t="s">
        <v>8</v>
      </c>
      <c r="GU417" s="27" t="s">
        <v>8</v>
      </c>
      <c r="GV417" s="27" t="s">
        <v>7</v>
      </c>
      <c r="GW417" s="27" t="s">
        <v>8</v>
      </c>
      <c r="GX417" s="27" t="s">
        <v>7</v>
      </c>
      <c r="GY417" s="27" t="s">
        <v>8</v>
      </c>
      <c r="GZ417" s="27" t="s">
        <v>7</v>
      </c>
      <c r="HA417" s="27" t="s">
        <v>8</v>
      </c>
      <c r="HB417" s="27" t="s">
        <v>7</v>
      </c>
      <c r="HC417" s="27" t="s">
        <v>8</v>
      </c>
      <c r="HD417" s="27" t="s">
        <v>7</v>
      </c>
    </row>
    <row r="418" spans="1:260" x14ac:dyDescent="0.25">
      <c r="A418" s="7">
        <v>28.407239170473709</v>
      </c>
      <c r="B418"/>
      <c r="C418"/>
      <c r="D418"/>
      <c r="E418"/>
      <c r="AK418" s="27" t="s">
        <v>8</v>
      </c>
      <c r="AL418" s="27" t="s">
        <v>7</v>
      </c>
      <c r="CK418" s="27" t="s">
        <v>8</v>
      </c>
      <c r="CL418" s="27" t="s">
        <v>7</v>
      </c>
      <c r="DI418" s="27" t="s">
        <v>8</v>
      </c>
      <c r="DJ418" s="27" t="s">
        <v>7</v>
      </c>
      <c r="DK418" s="27" t="s">
        <v>8</v>
      </c>
      <c r="DL418" s="27" t="s">
        <v>7</v>
      </c>
      <c r="DM418" s="27" t="s">
        <v>8</v>
      </c>
      <c r="DN418" s="27" t="s">
        <v>7</v>
      </c>
      <c r="DO418" s="27" t="s">
        <v>8</v>
      </c>
      <c r="DP418" s="27" t="s">
        <v>7</v>
      </c>
      <c r="DQ418" s="27" t="s">
        <v>8</v>
      </c>
      <c r="DR418" s="27" t="s">
        <v>7</v>
      </c>
      <c r="DT418" s="27" t="s">
        <v>7</v>
      </c>
      <c r="DU418" s="27" t="s">
        <v>8</v>
      </c>
      <c r="DX418" s="27" t="s">
        <v>7</v>
      </c>
      <c r="DY418" s="27" t="s">
        <v>8</v>
      </c>
      <c r="EN418" s="27" t="s">
        <v>7</v>
      </c>
      <c r="EO418" s="27" t="s">
        <v>8</v>
      </c>
      <c r="FB418" s="27" t="s">
        <v>7</v>
      </c>
      <c r="FC418" s="27" t="s">
        <v>8</v>
      </c>
      <c r="FD418" s="27" t="s">
        <v>7</v>
      </c>
      <c r="FE418" s="27" t="s">
        <v>8</v>
      </c>
      <c r="GG418" s="27" t="s">
        <v>8</v>
      </c>
      <c r="GH418" s="27" t="s">
        <v>7</v>
      </c>
      <c r="GM418" s="27" t="s">
        <v>8</v>
      </c>
      <c r="GN418" s="27" t="s">
        <v>7</v>
      </c>
      <c r="GS418" s="27" t="s">
        <v>8</v>
      </c>
      <c r="GT418" s="27" t="s">
        <v>7</v>
      </c>
      <c r="GU418" s="27" t="s">
        <v>8</v>
      </c>
      <c r="GV418" s="27" t="s">
        <v>7</v>
      </c>
      <c r="GW418" s="27" t="s">
        <v>8</v>
      </c>
      <c r="GX418" s="27" t="s">
        <v>7</v>
      </c>
      <c r="GY418" s="27" t="s">
        <v>8</v>
      </c>
      <c r="GZ418" s="27" t="s">
        <v>7</v>
      </c>
      <c r="HA418" s="27" t="s">
        <v>8</v>
      </c>
      <c r="HB418" s="27" t="s">
        <v>7</v>
      </c>
      <c r="HC418" s="27" t="s">
        <v>8</v>
      </c>
      <c r="HD418" s="27" t="s">
        <v>7</v>
      </c>
      <c r="HW418" s="27" t="s">
        <v>8</v>
      </c>
    </row>
    <row r="419" spans="1:260" x14ac:dyDescent="0.25">
      <c r="A419" s="7">
        <v>27.850234480856578</v>
      </c>
      <c r="B419"/>
      <c r="C419"/>
      <c r="D419"/>
      <c r="E419"/>
      <c r="AK419" s="27" t="s">
        <v>8</v>
      </c>
      <c r="AL419" s="27" t="s">
        <v>7</v>
      </c>
      <c r="CK419" s="27" t="s">
        <v>8</v>
      </c>
      <c r="CL419" s="27" t="s">
        <v>7</v>
      </c>
      <c r="DI419" s="27" t="s">
        <v>8</v>
      </c>
      <c r="DJ419" s="27" t="s">
        <v>7</v>
      </c>
      <c r="DL419" s="27" t="s">
        <v>7</v>
      </c>
      <c r="DM419" s="27" t="s">
        <v>8</v>
      </c>
      <c r="DN419" s="27" t="s">
        <v>7</v>
      </c>
      <c r="DO419" s="27" t="s">
        <v>8</v>
      </c>
      <c r="DP419" s="27" t="s">
        <v>7</v>
      </c>
      <c r="DQ419" s="27" t="s">
        <v>8</v>
      </c>
      <c r="DT419" s="27" t="s">
        <v>7</v>
      </c>
      <c r="DU419" s="27" t="s">
        <v>8</v>
      </c>
      <c r="DX419" s="27" t="s">
        <v>7</v>
      </c>
      <c r="EN419" s="27" t="s">
        <v>7</v>
      </c>
      <c r="EO419" s="27" t="s">
        <v>8</v>
      </c>
      <c r="FB419" s="27" t="s">
        <v>7</v>
      </c>
      <c r="FC419" s="27" t="s">
        <v>8</v>
      </c>
      <c r="FD419" s="27" t="s">
        <v>7</v>
      </c>
      <c r="FE419" s="27" t="s">
        <v>8</v>
      </c>
      <c r="FF419" s="27" t="s">
        <v>7</v>
      </c>
      <c r="GG419" s="27" t="s">
        <v>8</v>
      </c>
      <c r="GH419" s="27" t="s">
        <v>7</v>
      </c>
      <c r="GI419" s="27" t="s">
        <v>8</v>
      </c>
      <c r="GM419" s="27" t="s">
        <v>8</v>
      </c>
      <c r="GN419" s="27" t="s">
        <v>7</v>
      </c>
      <c r="GS419" s="27" t="s">
        <v>8</v>
      </c>
      <c r="GT419" s="27" t="s">
        <v>7</v>
      </c>
      <c r="GU419" s="27" t="s">
        <v>8</v>
      </c>
      <c r="GV419" s="27" t="s">
        <v>7</v>
      </c>
      <c r="GW419" s="27" t="s">
        <v>8</v>
      </c>
      <c r="GX419" s="27" t="s">
        <v>7</v>
      </c>
      <c r="GY419" s="27" t="s">
        <v>8</v>
      </c>
      <c r="GZ419" s="27" t="s">
        <v>7</v>
      </c>
      <c r="HA419" s="27" t="s">
        <v>8</v>
      </c>
      <c r="HB419" s="27" t="s">
        <v>7</v>
      </c>
      <c r="HC419" s="27" t="s">
        <v>8</v>
      </c>
      <c r="HD419" s="27" t="s">
        <v>7</v>
      </c>
      <c r="HW419" s="27" t="s">
        <v>8</v>
      </c>
      <c r="HX419" s="27" t="s">
        <v>7</v>
      </c>
    </row>
    <row r="420" spans="1:260" x14ac:dyDescent="0.25">
      <c r="A420" s="7">
        <v>27.304151451820175</v>
      </c>
      <c r="B420"/>
      <c r="C420"/>
      <c r="D420"/>
      <c r="E420"/>
      <c r="AK420" s="27" t="s">
        <v>8</v>
      </c>
      <c r="AL420" s="27" t="s">
        <v>7</v>
      </c>
      <c r="CK420" s="27" t="s">
        <v>8</v>
      </c>
      <c r="CL420" s="27" t="s">
        <v>7</v>
      </c>
      <c r="DI420" s="27" t="s">
        <v>8</v>
      </c>
      <c r="DL420" s="27" t="s">
        <v>7</v>
      </c>
      <c r="DM420" s="27" t="s">
        <v>8</v>
      </c>
      <c r="DN420" s="27" t="s">
        <v>7</v>
      </c>
      <c r="DO420" s="27" t="s">
        <v>8</v>
      </c>
      <c r="DP420" s="27" t="s">
        <v>7</v>
      </c>
      <c r="DQ420" s="27" t="s">
        <v>8</v>
      </c>
      <c r="DT420" s="27" t="s">
        <v>7</v>
      </c>
      <c r="EN420" s="27" t="s">
        <v>7</v>
      </c>
      <c r="EO420" s="27" t="s">
        <v>8</v>
      </c>
      <c r="FB420" s="27" t="s">
        <v>7</v>
      </c>
      <c r="FC420" s="27" t="s">
        <v>8</v>
      </c>
      <c r="FD420" s="27" t="s">
        <v>7</v>
      </c>
      <c r="FE420" s="27" t="s">
        <v>8</v>
      </c>
      <c r="FF420" s="27" t="s">
        <v>7</v>
      </c>
      <c r="FI420" s="27" t="s">
        <v>8</v>
      </c>
      <c r="GG420" s="27" t="s">
        <v>8</v>
      </c>
      <c r="GH420" s="27" t="s">
        <v>7</v>
      </c>
      <c r="GI420" s="27" t="s">
        <v>8</v>
      </c>
      <c r="GJ420" s="27" t="s">
        <v>7</v>
      </c>
      <c r="GK420" s="27" t="s">
        <v>8</v>
      </c>
      <c r="GM420" s="27" t="s">
        <v>8</v>
      </c>
      <c r="GN420" s="27" t="s">
        <v>7</v>
      </c>
      <c r="GS420" s="27" t="s">
        <v>8</v>
      </c>
      <c r="GT420" s="27" t="s">
        <v>7</v>
      </c>
      <c r="GU420" s="27" t="s">
        <v>8</v>
      </c>
      <c r="GV420" s="27" t="s">
        <v>7</v>
      </c>
      <c r="GW420" s="27" t="s">
        <v>8</v>
      </c>
      <c r="GX420" s="27" t="s">
        <v>7</v>
      </c>
      <c r="GY420" s="27" t="s">
        <v>8</v>
      </c>
      <c r="GZ420" s="27" t="s">
        <v>7</v>
      </c>
      <c r="HB420" s="27" t="s">
        <v>7</v>
      </c>
      <c r="HD420" s="27" t="s">
        <v>7</v>
      </c>
      <c r="HE420" s="27" t="s">
        <v>8</v>
      </c>
      <c r="HG420" s="27" t="s">
        <v>8</v>
      </c>
      <c r="HW420" s="27" t="s">
        <v>8</v>
      </c>
      <c r="HX420" s="27" t="s">
        <v>7</v>
      </c>
    </row>
    <row r="421" spans="1:260" x14ac:dyDescent="0.25">
      <c r="A421" s="7">
        <v>26.768775933157034</v>
      </c>
      <c r="B421"/>
      <c r="C421"/>
      <c r="D421"/>
      <c r="E421"/>
      <c r="AK421" s="27" t="s">
        <v>8</v>
      </c>
      <c r="AL421" s="27" t="s">
        <v>7</v>
      </c>
      <c r="CK421" s="27" t="s">
        <v>8</v>
      </c>
      <c r="CL421" s="27" t="s">
        <v>7</v>
      </c>
      <c r="DI421" s="27" t="s">
        <v>8</v>
      </c>
      <c r="DL421" s="27" t="s">
        <v>7</v>
      </c>
      <c r="DM421" s="27" t="s">
        <v>8</v>
      </c>
      <c r="DN421" s="27" t="s">
        <v>7</v>
      </c>
      <c r="DO421" s="27" t="s">
        <v>8</v>
      </c>
      <c r="DP421" s="27" t="s">
        <v>7</v>
      </c>
      <c r="DQ421" s="27" t="s">
        <v>8</v>
      </c>
      <c r="EN421" s="27" t="s">
        <v>7</v>
      </c>
      <c r="FB421" s="27" t="s">
        <v>7</v>
      </c>
      <c r="FC421" s="27" t="s">
        <v>8</v>
      </c>
      <c r="FD421" s="27" t="s">
        <v>7</v>
      </c>
      <c r="FE421" s="27" t="s">
        <v>8</v>
      </c>
      <c r="FF421" s="27" t="s">
        <v>7</v>
      </c>
      <c r="FI421" s="27" t="s">
        <v>8</v>
      </c>
      <c r="FJ421" s="27" t="s">
        <v>7</v>
      </c>
      <c r="GG421" s="27" t="s">
        <v>8</v>
      </c>
      <c r="GH421" s="27" t="s">
        <v>7</v>
      </c>
      <c r="GI421" s="27" t="s">
        <v>8</v>
      </c>
      <c r="GJ421" s="27" t="s">
        <v>7</v>
      </c>
      <c r="GK421" s="27" t="s">
        <v>8</v>
      </c>
      <c r="GL421" s="27" t="s">
        <v>7</v>
      </c>
      <c r="GM421" s="27" t="s">
        <v>8</v>
      </c>
      <c r="GN421" s="27" t="s">
        <v>7</v>
      </c>
      <c r="GO421" s="27" t="s">
        <v>8</v>
      </c>
      <c r="GQ421" s="27" t="s">
        <v>8</v>
      </c>
      <c r="GS421" s="27" t="s">
        <v>8</v>
      </c>
      <c r="GT421" s="27" t="s">
        <v>7</v>
      </c>
      <c r="GU421" s="27" t="s">
        <v>8</v>
      </c>
      <c r="GV421" s="27" t="s">
        <v>7</v>
      </c>
      <c r="GW421" s="27" t="s">
        <v>8</v>
      </c>
      <c r="GX421" s="27" t="s">
        <v>7</v>
      </c>
      <c r="GY421" s="27" t="s">
        <v>8</v>
      </c>
      <c r="HD421" s="27" t="s">
        <v>7</v>
      </c>
      <c r="HE421" s="27" t="s">
        <v>8</v>
      </c>
      <c r="HF421" s="27" t="s">
        <v>7</v>
      </c>
      <c r="HG421" s="27" t="s">
        <v>8</v>
      </c>
      <c r="HH421" s="27" t="s">
        <v>7</v>
      </c>
      <c r="HI421" s="27" t="s">
        <v>8</v>
      </c>
      <c r="HW421" s="27" t="s">
        <v>8</v>
      </c>
      <c r="HX421" s="27" t="s">
        <v>7</v>
      </c>
      <c r="IC421" s="27" t="s">
        <v>8</v>
      </c>
      <c r="II421" s="27" t="s">
        <v>8</v>
      </c>
    </row>
    <row r="422" spans="1:260" x14ac:dyDescent="0.25">
      <c r="A422" s="7">
        <v>26.243897973683367</v>
      </c>
      <c r="B422"/>
      <c r="C422"/>
      <c r="D422"/>
      <c r="E422"/>
      <c r="AK422" s="27" t="s">
        <v>8</v>
      </c>
      <c r="AL422" s="27" t="s">
        <v>7</v>
      </c>
      <c r="CK422" s="27" t="s">
        <v>8</v>
      </c>
      <c r="CL422" s="27" t="s">
        <v>7</v>
      </c>
      <c r="DI422" s="27" t="s">
        <v>8</v>
      </c>
      <c r="DL422" s="27" t="s">
        <v>7</v>
      </c>
      <c r="DM422" s="27" t="s">
        <v>8</v>
      </c>
      <c r="DN422" s="27" t="s">
        <v>7</v>
      </c>
      <c r="DO422" s="27" t="s">
        <v>8</v>
      </c>
      <c r="DP422" s="27" t="s">
        <v>7</v>
      </c>
      <c r="DQ422" s="27" t="s">
        <v>8</v>
      </c>
      <c r="FB422" s="27" t="s">
        <v>7</v>
      </c>
      <c r="FC422" s="27" t="s">
        <v>8</v>
      </c>
      <c r="FD422" s="27" t="s">
        <v>7</v>
      </c>
      <c r="FE422" s="27" t="s">
        <v>8</v>
      </c>
      <c r="FF422" s="27" t="s">
        <v>7</v>
      </c>
      <c r="FI422" s="27" t="s">
        <v>8</v>
      </c>
      <c r="FJ422" s="27" t="s">
        <v>7</v>
      </c>
      <c r="GG422" s="27" t="s">
        <v>8</v>
      </c>
      <c r="GH422" s="27" t="s">
        <v>7</v>
      </c>
      <c r="GI422" s="27" t="s">
        <v>8</v>
      </c>
      <c r="GJ422" s="27" t="s">
        <v>7</v>
      </c>
      <c r="GK422" s="27" t="s">
        <v>8</v>
      </c>
      <c r="GL422" s="27" t="s">
        <v>7</v>
      </c>
      <c r="GM422" s="27" t="s">
        <v>8</v>
      </c>
      <c r="GN422" s="27" t="s">
        <v>7</v>
      </c>
      <c r="GO422" s="27" t="s">
        <v>8</v>
      </c>
      <c r="GP422" s="27" t="s">
        <v>7</v>
      </c>
      <c r="GQ422" s="27" t="s">
        <v>8</v>
      </c>
      <c r="GR422" s="27" t="s">
        <v>7</v>
      </c>
      <c r="GS422" s="27" t="s">
        <v>8</v>
      </c>
      <c r="GT422" s="27" t="s">
        <v>7</v>
      </c>
      <c r="GV422" s="27" t="s">
        <v>7</v>
      </c>
      <c r="GW422" s="27" t="s">
        <v>8</v>
      </c>
      <c r="GX422" s="27" t="s">
        <v>7</v>
      </c>
      <c r="GY422" s="27" t="s">
        <v>8</v>
      </c>
      <c r="HD422" s="27" t="s">
        <v>7</v>
      </c>
      <c r="HE422" s="27" t="s">
        <v>8</v>
      </c>
      <c r="HF422" s="27" t="s">
        <v>7</v>
      </c>
      <c r="HG422" s="27" t="s">
        <v>8</v>
      </c>
      <c r="HH422" s="27" t="s">
        <v>7</v>
      </c>
      <c r="HI422" s="27" t="s">
        <v>8</v>
      </c>
      <c r="HJ422" s="27" t="s">
        <v>7</v>
      </c>
      <c r="HU422" s="27" t="s">
        <v>8</v>
      </c>
      <c r="HW422" s="27" t="s">
        <v>8</v>
      </c>
      <c r="HX422" s="27" t="s">
        <v>7</v>
      </c>
      <c r="IC422" s="27" t="s">
        <v>8</v>
      </c>
      <c r="ID422" s="27" t="s">
        <v>7</v>
      </c>
      <c r="II422" s="27" t="s">
        <v>8</v>
      </c>
      <c r="IJ422" s="27" t="s">
        <v>7</v>
      </c>
    </row>
    <row r="423" spans="1:260" x14ac:dyDescent="0.25">
      <c r="A423" s="7">
        <v>25.729311738905263</v>
      </c>
      <c r="B423"/>
      <c r="C423"/>
      <c r="D423"/>
      <c r="E423"/>
      <c r="AK423" s="27" t="s">
        <v>8</v>
      </c>
      <c r="AL423" s="27" t="s">
        <v>7</v>
      </c>
      <c r="CK423" s="27" t="s">
        <v>8</v>
      </c>
      <c r="CL423" s="27" t="s">
        <v>7</v>
      </c>
      <c r="DG423" s="27" t="s">
        <v>8</v>
      </c>
      <c r="DI423" s="27" t="s">
        <v>8</v>
      </c>
      <c r="DL423" s="27" t="s">
        <v>7</v>
      </c>
      <c r="DM423" s="27" t="s">
        <v>8</v>
      </c>
      <c r="DN423" s="27" t="s">
        <v>7</v>
      </c>
      <c r="DO423" s="27" t="s">
        <v>8</v>
      </c>
      <c r="DP423" s="27" t="s">
        <v>7</v>
      </c>
      <c r="DQ423" s="27" t="s">
        <v>8</v>
      </c>
      <c r="FB423" s="27" t="s">
        <v>7</v>
      </c>
      <c r="FC423" s="27" t="s">
        <v>8</v>
      </c>
      <c r="FD423" s="27" t="s">
        <v>7</v>
      </c>
      <c r="FE423" s="27" t="s">
        <v>8</v>
      </c>
      <c r="FF423" s="27" t="s">
        <v>7</v>
      </c>
      <c r="FI423" s="27" t="s">
        <v>8</v>
      </c>
      <c r="FJ423" s="27" t="s">
        <v>7</v>
      </c>
      <c r="GG423" s="27" t="s">
        <v>8</v>
      </c>
      <c r="GH423" s="27" t="s">
        <v>7</v>
      </c>
      <c r="GI423" s="27" t="s">
        <v>8</v>
      </c>
      <c r="GJ423" s="27" t="s">
        <v>7</v>
      </c>
      <c r="GK423" s="27" t="s">
        <v>8</v>
      </c>
      <c r="GL423" s="27" t="s">
        <v>7</v>
      </c>
      <c r="GM423" s="27" t="s">
        <v>8</v>
      </c>
      <c r="GN423" s="27" t="s">
        <v>7</v>
      </c>
      <c r="GO423" s="27" t="s">
        <v>8</v>
      </c>
      <c r="GP423" s="27" t="s">
        <v>7</v>
      </c>
      <c r="GQ423" s="27" t="s">
        <v>8</v>
      </c>
      <c r="GR423" s="27" t="s">
        <v>7</v>
      </c>
      <c r="GS423" s="27" t="s">
        <v>8</v>
      </c>
      <c r="GV423" s="27" t="s">
        <v>7</v>
      </c>
      <c r="GW423" s="27" t="s">
        <v>8</v>
      </c>
      <c r="GX423" s="27" t="s">
        <v>7</v>
      </c>
      <c r="HD423" s="27" t="s">
        <v>7</v>
      </c>
      <c r="HE423" s="27" t="s">
        <v>8</v>
      </c>
      <c r="HF423" s="27" t="s">
        <v>7</v>
      </c>
      <c r="HG423" s="27" t="s">
        <v>8</v>
      </c>
      <c r="HH423" s="27" t="s">
        <v>7</v>
      </c>
      <c r="HI423" s="27" t="s">
        <v>8</v>
      </c>
      <c r="HJ423" s="27" t="s">
        <v>7</v>
      </c>
      <c r="HU423" s="27" t="s">
        <v>8</v>
      </c>
      <c r="HV423" s="27" t="s">
        <v>7</v>
      </c>
      <c r="HW423" s="27" t="s">
        <v>8</v>
      </c>
      <c r="HX423" s="27" t="s">
        <v>7</v>
      </c>
      <c r="IA423" s="27" t="s">
        <v>8</v>
      </c>
      <c r="IC423" s="27" t="s">
        <v>8</v>
      </c>
      <c r="ID423" s="27" t="s">
        <v>7</v>
      </c>
      <c r="IE423" s="27" t="s">
        <v>8</v>
      </c>
      <c r="IG423" s="27" t="s">
        <v>8</v>
      </c>
      <c r="II423" s="27" t="s">
        <v>8</v>
      </c>
      <c r="IJ423" s="27" t="s">
        <v>7</v>
      </c>
    </row>
    <row r="424" spans="1:260" x14ac:dyDescent="0.25">
      <c r="A424" s="7">
        <v>25.224815430299277</v>
      </c>
      <c r="B424"/>
      <c r="C424"/>
      <c r="D424"/>
      <c r="E424"/>
      <c r="W424" s="27" t="s">
        <v>8</v>
      </c>
      <c r="AK424" s="27" t="s">
        <v>8</v>
      </c>
      <c r="AL424" s="27" t="s">
        <v>7</v>
      </c>
      <c r="CK424" s="27" t="s">
        <v>8</v>
      </c>
      <c r="CL424" s="27" t="s">
        <v>7</v>
      </c>
      <c r="DG424" s="27" t="s">
        <v>8</v>
      </c>
      <c r="DH424" s="27" t="s">
        <v>7</v>
      </c>
      <c r="DI424" s="27" t="s">
        <v>8</v>
      </c>
      <c r="DL424" s="27" t="s">
        <v>7</v>
      </c>
      <c r="DM424" s="27" t="s">
        <v>8</v>
      </c>
      <c r="DN424" s="27" t="s">
        <v>7</v>
      </c>
      <c r="DO424" s="27" t="s">
        <v>8</v>
      </c>
      <c r="DP424" s="27" t="s">
        <v>7</v>
      </c>
      <c r="DQ424" s="27" t="s">
        <v>8</v>
      </c>
      <c r="FB424" s="27" t="s">
        <v>7</v>
      </c>
      <c r="FC424" s="27" t="s">
        <v>8</v>
      </c>
      <c r="FD424" s="27" t="s">
        <v>7</v>
      </c>
      <c r="FE424" s="27" t="s">
        <v>8</v>
      </c>
      <c r="FF424" s="27" t="s">
        <v>7</v>
      </c>
      <c r="FI424" s="27" t="s">
        <v>8</v>
      </c>
      <c r="FJ424" s="27" t="s">
        <v>7</v>
      </c>
      <c r="FK424" s="27" t="s">
        <v>8</v>
      </c>
      <c r="GE424" s="27" t="s">
        <v>8</v>
      </c>
      <c r="GG424" s="27" t="s">
        <v>8</v>
      </c>
      <c r="GH424" s="27" t="s">
        <v>7</v>
      </c>
      <c r="GI424" s="27" t="s">
        <v>8</v>
      </c>
      <c r="GJ424" s="27" t="s">
        <v>7</v>
      </c>
      <c r="GK424" s="27" t="s">
        <v>8</v>
      </c>
      <c r="GL424" s="27" t="s">
        <v>7</v>
      </c>
      <c r="GM424" s="27" t="s">
        <v>8</v>
      </c>
      <c r="GN424" s="27" t="s">
        <v>7</v>
      </c>
      <c r="GO424" s="27" t="s">
        <v>8</v>
      </c>
      <c r="GP424" s="27" t="s">
        <v>7</v>
      </c>
      <c r="GQ424" s="27" t="s">
        <v>8</v>
      </c>
      <c r="GR424" s="27" t="s">
        <v>7</v>
      </c>
      <c r="GV424" s="27" t="s">
        <v>7</v>
      </c>
      <c r="HD424" s="27" t="s">
        <v>7</v>
      </c>
      <c r="HE424" s="27" t="s">
        <v>8</v>
      </c>
      <c r="HF424" s="27" t="s">
        <v>7</v>
      </c>
      <c r="HG424" s="27" t="s">
        <v>8</v>
      </c>
      <c r="HH424" s="27" t="s">
        <v>7</v>
      </c>
      <c r="HI424" s="27" t="s">
        <v>8</v>
      </c>
      <c r="HJ424" s="27" t="s">
        <v>7</v>
      </c>
      <c r="HS424" s="27" t="s">
        <v>8</v>
      </c>
      <c r="HU424" s="27" t="s">
        <v>8</v>
      </c>
      <c r="HV424" s="27" t="s">
        <v>7</v>
      </c>
      <c r="HW424" s="27" t="s">
        <v>8</v>
      </c>
      <c r="HX424" s="27" t="s">
        <v>7</v>
      </c>
      <c r="HY424" s="27" t="s">
        <v>8</v>
      </c>
      <c r="IA424" s="27" t="s">
        <v>8</v>
      </c>
      <c r="IB424" s="27" t="s">
        <v>7</v>
      </c>
      <c r="IC424" s="27" t="s">
        <v>8</v>
      </c>
      <c r="ID424" s="27" t="s">
        <v>7</v>
      </c>
      <c r="IE424" s="27" t="s">
        <v>8</v>
      </c>
      <c r="IF424" s="27" t="s">
        <v>7</v>
      </c>
      <c r="IG424" s="27" t="s">
        <v>8</v>
      </c>
      <c r="IH424" s="27" t="s">
        <v>7</v>
      </c>
      <c r="II424" s="27" t="s">
        <v>8</v>
      </c>
      <c r="IJ424" s="27" t="s">
        <v>7</v>
      </c>
    </row>
    <row r="425" spans="1:260" x14ac:dyDescent="0.25">
      <c r="A425" s="7">
        <v>24.73021120617576</v>
      </c>
      <c r="B425"/>
      <c r="C425"/>
      <c r="D425"/>
      <c r="E425"/>
      <c r="W425" s="27" t="s">
        <v>8</v>
      </c>
      <c r="X425" s="27" t="s">
        <v>7</v>
      </c>
      <c r="AK425" s="27" t="s">
        <v>8</v>
      </c>
      <c r="AL425" s="27" t="s">
        <v>7</v>
      </c>
      <c r="AM425" s="27" t="s">
        <v>8</v>
      </c>
      <c r="CK425" s="27" t="s">
        <v>8</v>
      </c>
      <c r="CL425" s="27" t="s">
        <v>7</v>
      </c>
      <c r="DG425" s="27" t="s">
        <v>8</v>
      </c>
      <c r="DH425" s="27" t="s">
        <v>7</v>
      </c>
      <c r="DI425" s="27" t="s">
        <v>8</v>
      </c>
      <c r="DL425" s="27" t="s">
        <v>7</v>
      </c>
      <c r="DM425" s="27" t="s">
        <v>8</v>
      </c>
      <c r="DN425" s="27" t="s">
        <v>7</v>
      </c>
      <c r="DO425" s="27" t="s">
        <v>8</v>
      </c>
      <c r="DP425" s="27" t="s">
        <v>7</v>
      </c>
      <c r="DQ425" s="27" t="s">
        <v>8</v>
      </c>
      <c r="FB425" s="27" t="s">
        <v>7</v>
      </c>
      <c r="FC425" s="27" t="s">
        <v>8</v>
      </c>
      <c r="FD425" s="27" t="s">
        <v>7</v>
      </c>
      <c r="FE425" s="27" t="s">
        <v>8</v>
      </c>
      <c r="FF425" s="27" t="s">
        <v>7</v>
      </c>
      <c r="FI425" s="27" t="s">
        <v>8</v>
      </c>
      <c r="FJ425" s="27" t="s">
        <v>7</v>
      </c>
      <c r="FK425" s="27" t="s">
        <v>8</v>
      </c>
      <c r="FL425" s="27" t="s">
        <v>7</v>
      </c>
      <c r="GE425" s="27" t="s">
        <v>8</v>
      </c>
      <c r="GF425" s="27" t="s">
        <v>7</v>
      </c>
      <c r="GG425" s="27" t="s">
        <v>8</v>
      </c>
      <c r="GH425" s="27" t="s">
        <v>7</v>
      </c>
      <c r="GI425" s="27" t="s">
        <v>8</v>
      </c>
      <c r="GJ425" s="27" t="s">
        <v>7</v>
      </c>
      <c r="GL425" s="27" t="s">
        <v>7</v>
      </c>
      <c r="GM425" s="27" t="s">
        <v>8</v>
      </c>
      <c r="GN425" s="27" t="s">
        <v>7</v>
      </c>
      <c r="GO425" s="27" t="s">
        <v>8</v>
      </c>
      <c r="GP425" s="27" t="s">
        <v>7</v>
      </c>
      <c r="HD425" s="27" t="s">
        <v>7</v>
      </c>
      <c r="HE425" s="27" t="s">
        <v>8</v>
      </c>
      <c r="HF425" s="27" t="s">
        <v>7</v>
      </c>
      <c r="HH425" s="27" t="s">
        <v>7</v>
      </c>
      <c r="HI425" s="27" t="s">
        <v>8</v>
      </c>
      <c r="HJ425" s="27" t="s">
        <v>7</v>
      </c>
      <c r="HS425" s="27" t="s">
        <v>8</v>
      </c>
      <c r="HT425" s="27" t="s">
        <v>7</v>
      </c>
      <c r="HU425" s="27" t="s">
        <v>8</v>
      </c>
      <c r="HV425" s="27" t="s">
        <v>7</v>
      </c>
      <c r="HX425" s="27" t="s">
        <v>7</v>
      </c>
      <c r="HY425" s="27" t="s">
        <v>8</v>
      </c>
      <c r="HZ425" s="27" t="s">
        <v>7</v>
      </c>
      <c r="IA425" s="27" t="s">
        <v>8</v>
      </c>
      <c r="IB425" s="27" t="s">
        <v>7</v>
      </c>
      <c r="IC425" s="27" t="s">
        <v>8</v>
      </c>
      <c r="ID425" s="27" t="s">
        <v>7</v>
      </c>
      <c r="IE425" s="27" t="s">
        <v>8</v>
      </c>
      <c r="IF425" s="27" t="s">
        <v>7</v>
      </c>
      <c r="IG425" s="27" t="s">
        <v>8</v>
      </c>
      <c r="IH425" s="27" t="s">
        <v>7</v>
      </c>
      <c r="II425" s="27" t="s">
        <v>8</v>
      </c>
      <c r="IJ425" s="27" t="s">
        <v>7</v>
      </c>
    </row>
    <row r="426" spans="1:260" x14ac:dyDescent="0.25">
      <c r="A426" s="7">
        <v>24.24530510409388</v>
      </c>
      <c r="B426"/>
      <c r="C426"/>
      <c r="D426"/>
      <c r="E426"/>
      <c r="W426" s="27" t="s">
        <v>8</v>
      </c>
      <c r="X426" s="27" t="s">
        <v>7</v>
      </c>
      <c r="Y426" s="27" t="s">
        <v>8</v>
      </c>
      <c r="AK426" s="27" t="s">
        <v>8</v>
      </c>
      <c r="AL426" s="27" t="s">
        <v>7</v>
      </c>
      <c r="AM426" s="27" t="s">
        <v>8</v>
      </c>
      <c r="AN426" s="27" t="s">
        <v>7</v>
      </c>
      <c r="CK426" s="27" t="s">
        <v>8</v>
      </c>
      <c r="CL426" s="27" t="s">
        <v>7</v>
      </c>
      <c r="DG426" s="27" t="s">
        <v>8</v>
      </c>
      <c r="DH426" s="27" t="s">
        <v>7</v>
      </c>
      <c r="DI426" s="27" t="s">
        <v>8</v>
      </c>
      <c r="DL426" s="27" t="s">
        <v>7</v>
      </c>
      <c r="DM426" s="27" t="s">
        <v>8</v>
      </c>
      <c r="DN426" s="27" t="s">
        <v>7</v>
      </c>
      <c r="DO426" s="27" t="s">
        <v>8</v>
      </c>
      <c r="DP426" s="27" t="s">
        <v>7</v>
      </c>
      <c r="DQ426" s="27" t="s">
        <v>8</v>
      </c>
      <c r="FB426" s="27" t="s">
        <v>7</v>
      </c>
      <c r="FC426" s="27" t="s">
        <v>8</v>
      </c>
      <c r="FD426" s="27" t="s">
        <v>7</v>
      </c>
      <c r="FE426" s="27" t="s">
        <v>8</v>
      </c>
      <c r="FF426" s="27" t="s">
        <v>7</v>
      </c>
      <c r="FG426" s="27" t="s">
        <v>8</v>
      </c>
      <c r="FI426" s="27" t="s">
        <v>8</v>
      </c>
      <c r="FJ426" s="27" t="s">
        <v>7</v>
      </c>
      <c r="FK426" s="27" t="s">
        <v>8</v>
      </c>
      <c r="FL426" s="27" t="s">
        <v>7</v>
      </c>
      <c r="FM426" s="27" t="s">
        <v>8</v>
      </c>
      <c r="GE426" s="27" t="s">
        <v>8</v>
      </c>
      <c r="GF426" s="27" t="s">
        <v>7</v>
      </c>
      <c r="GG426" s="27" t="s">
        <v>8</v>
      </c>
      <c r="GH426" s="27" t="s">
        <v>7</v>
      </c>
      <c r="GL426" s="27" t="s">
        <v>7</v>
      </c>
      <c r="GN426" s="27" t="s">
        <v>7</v>
      </c>
      <c r="HD426" s="27" t="s">
        <v>7</v>
      </c>
      <c r="HE426" s="27" t="s">
        <v>8</v>
      </c>
      <c r="HH426" s="27" t="s">
        <v>7</v>
      </c>
      <c r="HI426" s="27" t="s">
        <v>8</v>
      </c>
      <c r="HJ426" s="27" t="s">
        <v>7</v>
      </c>
      <c r="HQ426" s="27" t="s">
        <v>8</v>
      </c>
      <c r="HS426" s="27" t="s">
        <v>8</v>
      </c>
      <c r="HT426" s="27" t="s">
        <v>7</v>
      </c>
      <c r="HU426" s="27" t="s">
        <v>8</v>
      </c>
      <c r="HX426" s="27" t="s">
        <v>7</v>
      </c>
      <c r="HY426" s="27" t="s">
        <v>8</v>
      </c>
      <c r="HZ426" s="27" t="s">
        <v>7</v>
      </c>
      <c r="IA426" s="27" t="s">
        <v>8</v>
      </c>
      <c r="IB426" s="27" t="s">
        <v>7</v>
      </c>
      <c r="IC426" s="27" t="s">
        <v>8</v>
      </c>
      <c r="ID426" s="27" t="s">
        <v>7</v>
      </c>
      <c r="IE426" s="27" t="s">
        <v>8</v>
      </c>
      <c r="IF426" s="27" t="s">
        <v>7</v>
      </c>
      <c r="IH426" s="27" t="s">
        <v>7</v>
      </c>
      <c r="II426" s="27" t="s">
        <v>8</v>
      </c>
      <c r="IJ426" s="27" t="s">
        <v>7</v>
      </c>
      <c r="IM426" s="27" t="s">
        <v>8</v>
      </c>
    </row>
    <row r="427" spans="1:260" x14ac:dyDescent="0.25">
      <c r="A427" s="7">
        <v>23.769906964797922</v>
      </c>
      <c r="B427"/>
      <c r="C427"/>
      <c r="D427"/>
      <c r="E427"/>
      <c r="W427" s="27" t="s">
        <v>8</v>
      </c>
      <c r="X427" s="27" t="s">
        <v>7</v>
      </c>
      <c r="Y427" s="27" t="s">
        <v>8</v>
      </c>
      <c r="Z427" s="27" t="s">
        <v>7</v>
      </c>
      <c r="AK427" s="27" t="s">
        <v>8</v>
      </c>
      <c r="AL427" s="27" t="s">
        <v>7</v>
      </c>
      <c r="AM427" s="27" t="s">
        <v>8</v>
      </c>
      <c r="AN427" s="27" t="s">
        <v>7</v>
      </c>
      <c r="CK427" s="27" t="s">
        <v>8</v>
      </c>
      <c r="CL427" s="27" t="s">
        <v>7</v>
      </c>
      <c r="DG427" s="27" t="s">
        <v>8</v>
      </c>
      <c r="DH427" s="27" t="s">
        <v>7</v>
      </c>
      <c r="DI427" s="27" t="s">
        <v>8</v>
      </c>
      <c r="DL427" s="27" t="s">
        <v>7</v>
      </c>
      <c r="DM427" s="27" t="s">
        <v>8</v>
      </c>
      <c r="DN427" s="27" t="s">
        <v>7</v>
      </c>
      <c r="DO427" s="27" t="s">
        <v>8</v>
      </c>
      <c r="DP427" s="27" t="s">
        <v>7</v>
      </c>
      <c r="DQ427" s="27" t="s">
        <v>8</v>
      </c>
      <c r="FB427" s="27" t="s">
        <v>7</v>
      </c>
      <c r="FC427" s="27" t="s">
        <v>8</v>
      </c>
      <c r="FD427" s="27" t="s">
        <v>7</v>
      </c>
      <c r="FE427" s="27" t="s">
        <v>8</v>
      </c>
      <c r="FF427" s="27" t="s">
        <v>7</v>
      </c>
      <c r="FG427" s="27" t="s">
        <v>8</v>
      </c>
      <c r="FH427" s="27" t="s">
        <v>7</v>
      </c>
      <c r="FI427" s="27" t="s">
        <v>8</v>
      </c>
      <c r="FJ427" s="27" t="s">
        <v>7</v>
      </c>
      <c r="FK427" s="27" t="s">
        <v>8</v>
      </c>
      <c r="FL427" s="27" t="s">
        <v>7</v>
      </c>
      <c r="FM427" s="27" t="s">
        <v>8</v>
      </c>
      <c r="FN427" s="27" t="s">
        <v>7</v>
      </c>
      <c r="GE427" s="27" t="s">
        <v>8</v>
      </c>
      <c r="GF427" s="27" t="s">
        <v>7</v>
      </c>
      <c r="GG427" s="27" t="s">
        <v>8</v>
      </c>
      <c r="HD427" s="27" t="s">
        <v>7</v>
      </c>
      <c r="HE427" s="27" t="s">
        <v>8</v>
      </c>
      <c r="HH427" s="27" t="s">
        <v>7</v>
      </c>
      <c r="HJ427" s="27" t="s">
        <v>7</v>
      </c>
      <c r="HQ427" s="27" t="s">
        <v>8</v>
      </c>
      <c r="HR427" s="27" t="s">
        <v>7</v>
      </c>
      <c r="HS427" s="27" t="s">
        <v>8</v>
      </c>
      <c r="HT427" s="27" t="s">
        <v>7</v>
      </c>
      <c r="HX427" s="27" t="s">
        <v>7</v>
      </c>
      <c r="HY427" s="27" t="s">
        <v>8</v>
      </c>
      <c r="HZ427" s="27" t="s">
        <v>7</v>
      </c>
      <c r="IA427" s="27" t="s">
        <v>8</v>
      </c>
      <c r="IB427" s="27" t="s">
        <v>7</v>
      </c>
      <c r="IC427" s="27" t="s">
        <v>8</v>
      </c>
      <c r="ID427" s="27" t="s">
        <v>7</v>
      </c>
      <c r="IH427" s="27" t="s">
        <v>7</v>
      </c>
      <c r="IJ427" s="27" t="s">
        <v>7</v>
      </c>
      <c r="IK427" s="27" t="s">
        <v>8</v>
      </c>
      <c r="IM427" s="27" t="s">
        <v>8</v>
      </c>
      <c r="IN427" s="27" t="s">
        <v>7</v>
      </c>
    </row>
    <row r="428" spans="1:260" x14ac:dyDescent="0.25">
      <c r="A428" s="7">
        <v>23.303830357645023</v>
      </c>
      <c r="B428"/>
      <c r="C428"/>
      <c r="D428"/>
      <c r="E428"/>
      <c r="W428" s="27" t="s">
        <v>8</v>
      </c>
      <c r="X428" s="27" t="s">
        <v>7</v>
      </c>
      <c r="Y428" s="27" t="s">
        <v>8</v>
      </c>
      <c r="Z428" s="27" t="s">
        <v>7</v>
      </c>
      <c r="AK428" s="27" t="s">
        <v>8</v>
      </c>
      <c r="AL428" s="27" t="s">
        <v>7</v>
      </c>
      <c r="AM428" s="27" t="s">
        <v>8</v>
      </c>
      <c r="AN428" s="27" t="s">
        <v>7</v>
      </c>
      <c r="AO428" s="27" t="s">
        <v>8</v>
      </c>
      <c r="CK428" s="27" t="s">
        <v>8</v>
      </c>
      <c r="CL428" s="27" t="s">
        <v>7</v>
      </c>
      <c r="CW428" s="27" t="s">
        <v>8</v>
      </c>
      <c r="DG428" s="27" t="s">
        <v>8</v>
      </c>
      <c r="DH428" s="27" t="s">
        <v>7</v>
      </c>
      <c r="DI428" s="27" t="s">
        <v>8</v>
      </c>
      <c r="DL428" s="27" t="s">
        <v>7</v>
      </c>
      <c r="DM428" s="27" t="s">
        <v>8</v>
      </c>
      <c r="DN428" s="27" t="s">
        <v>7</v>
      </c>
      <c r="DP428" s="27" t="s">
        <v>7</v>
      </c>
      <c r="FB428" s="27" t="s">
        <v>7</v>
      </c>
      <c r="FC428" s="27" t="s">
        <v>8</v>
      </c>
      <c r="FD428" s="27" t="s">
        <v>7</v>
      </c>
      <c r="FE428" s="27" t="s">
        <v>8</v>
      </c>
      <c r="FF428" s="27" t="s">
        <v>7</v>
      </c>
      <c r="FG428" s="27" t="s">
        <v>8</v>
      </c>
      <c r="FH428" s="27" t="s">
        <v>7</v>
      </c>
      <c r="FI428" s="27" t="s">
        <v>8</v>
      </c>
      <c r="FJ428" s="27" t="s">
        <v>7</v>
      </c>
      <c r="FK428" s="27" t="s">
        <v>8</v>
      </c>
      <c r="FL428" s="27" t="s">
        <v>7</v>
      </c>
      <c r="FM428" s="27" t="s">
        <v>8</v>
      </c>
      <c r="FN428" s="27" t="s">
        <v>7</v>
      </c>
      <c r="GE428" s="27" t="s">
        <v>8</v>
      </c>
      <c r="GF428" s="27" t="s">
        <v>7</v>
      </c>
      <c r="GG428" s="27" t="s">
        <v>8</v>
      </c>
      <c r="HD428" s="27" t="s">
        <v>7</v>
      </c>
      <c r="HE428" s="27" t="s">
        <v>8</v>
      </c>
      <c r="HJ428" s="27" t="s">
        <v>7</v>
      </c>
      <c r="HQ428" s="27" t="s">
        <v>8</v>
      </c>
      <c r="HR428" s="27" t="s">
        <v>7</v>
      </c>
      <c r="HS428" s="27" t="s">
        <v>8</v>
      </c>
      <c r="HX428" s="27" t="s">
        <v>7</v>
      </c>
      <c r="HY428" s="27" t="s">
        <v>8</v>
      </c>
      <c r="HZ428" s="27" t="s">
        <v>7</v>
      </c>
      <c r="IA428" s="27" t="s">
        <v>8</v>
      </c>
      <c r="IB428" s="27" t="s">
        <v>7</v>
      </c>
      <c r="IC428" s="27" t="s">
        <v>8</v>
      </c>
      <c r="IJ428" s="27" t="s">
        <v>7</v>
      </c>
      <c r="IK428" s="27" t="s">
        <v>8</v>
      </c>
      <c r="IL428" s="27" t="s">
        <v>7</v>
      </c>
      <c r="IM428" s="27" t="s">
        <v>8</v>
      </c>
      <c r="IN428" s="27" t="s">
        <v>7</v>
      </c>
    </row>
    <row r="429" spans="1:260" x14ac:dyDescent="0.25">
      <c r="A429" s="7">
        <v>22.84689250749512</v>
      </c>
      <c r="B429"/>
      <c r="C429"/>
      <c r="D429"/>
      <c r="E429"/>
      <c r="W429" s="27" t="s">
        <v>8</v>
      </c>
      <c r="X429" s="27" t="s">
        <v>7</v>
      </c>
      <c r="Y429" s="27" t="s">
        <v>8</v>
      </c>
      <c r="Z429" s="27" t="s">
        <v>7</v>
      </c>
      <c r="AI429" s="27" t="s">
        <v>8</v>
      </c>
      <c r="AK429" s="27" t="s">
        <v>8</v>
      </c>
      <c r="AL429" s="27" t="s">
        <v>7</v>
      </c>
      <c r="AN429" s="27" t="s">
        <v>7</v>
      </c>
      <c r="AO429" s="27" t="s">
        <v>8</v>
      </c>
      <c r="AP429" s="27" t="s">
        <v>7</v>
      </c>
      <c r="CK429" s="27" t="s">
        <v>8</v>
      </c>
      <c r="CL429" s="27" t="s">
        <v>7</v>
      </c>
      <c r="CW429" s="27" t="s">
        <v>8</v>
      </c>
      <c r="CX429" s="27" t="s">
        <v>7</v>
      </c>
      <c r="DG429" s="27" t="s">
        <v>8</v>
      </c>
      <c r="DH429" s="27" t="s">
        <v>7</v>
      </c>
      <c r="DI429" s="27" t="s">
        <v>8</v>
      </c>
      <c r="DL429" s="27" t="s">
        <v>7</v>
      </c>
      <c r="DM429" s="27" t="s">
        <v>8</v>
      </c>
      <c r="FB429" s="27" t="s">
        <v>7</v>
      </c>
      <c r="FC429" s="27" t="s">
        <v>8</v>
      </c>
      <c r="FD429" s="27" t="s">
        <v>7</v>
      </c>
      <c r="FE429" s="27" t="s">
        <v>8</v>
      </c>
      <c r="FF429" s="27" t="s">
        <v>7</v>
      </c>
      <c r="FG429" s="27" t="s">
        <v>8</v>
      </c>
      <c r="FH429" s="27" t="s">
        <v>7</v>
      </c>
      <c r="FJ429" s="27" t="s">
        <v>7</v>
      </c>
      <c r="FL429" s="27" t="s">
        <v>7</v>
      </c>
      <c r="FM429" s="27" t="s">
        <v>8</v>
      </c>
      <c r="FN429" s="27" t="s">
        <v>7</v>
      </c>
      <c r="GE429" s="27" t="s">
        <v>8</v>
      </c>
      <c r="GF429" s="27" t="s">
        <v>7</v>
      </c>
      <c r="GG429" s="27" t="s">
        <v>8</v>
      </c>
      <c r="HD429" s="27" t="s">
        <v>7</v>
      </c>
      <c r="HJ429" s="27" t="s">
        <v>7</v>
      </c>
      <c r="HM429" s="27" t="s">
        <v>8</v>
      </c>
      <c r="HQ429" s="27" t="s">
        <v>8</v>
      </c>
      <c r="HR429" s="27" t="s">
        <v>7</v>
      </c>
      <c r="HX429" s="27" t="s">
        <v>7</v>
      </c>
      <c r="HZ429" s="27" t="s">
        <v>7</v>
      </c>
      <c r="IB429" s="27" t="s">
        <v>7</v>
      </c>
      <c r="IC429" s="27" t="s">
        <v>8</v>
      </c>
      <c r="IJ429" s="27" t="s">
        <v>7</v>
      </c>
      <c r="IK429" s="27" t="s">
        <v>8</v>
      </c>
      <c r="IL429" s="27" t="s">
        <v>7</v>
      </c>
      <c r="IM429" s="27" t="s">
        <v>8</v>
      </c>
      <c r="IN429" s="27" t="s">
        <v>7</v>
      </c>
      <c r="IO429" s="27" t="s">
        <v>8</v>
      </c>
    </row>
    <row r="430" spans="1:260" x14ac:dyDescent="0.25">
      <c r="A430" s="7">
        <v>22.398914223034431</v>
      </c>
      <c r="B430"/>
      <c r="C430"/>
      <c r="D430"/>
      <c r="E430"/>
      <c r="W430" s="27" t="s">
        <v>8</v>
      </c>
      <c r="X430" s="27" t="s">
        <v>7</v>
      </c>
      <c r="Z430" s="27" t="s">
        <v>7</v>
      </c>
      <c r="AI430" s="27" t="s">
        <v>8</v>
      </c>
      <c r="AJ430" s="27" t="s">
        <v>7</v>
      </c>
      <c r="AK430" s="27" t="s">
        <v>8</v>
      </c>
      <c r="AN430" s="27" t="s">
        <v>7</v>
      </c>
      <c r="AO430" s="27" t="s">
        <v>8</v>
      </c>
      <c r="AP430" s="27" t="s">
        <v>7</v>
      </c>
      <c r="AQ430" s="27" t="s">
        <v>8</v>
      </c>
      <c r="AS430" s="27" t="s">
        <v>8</v>
      </c>
      <c r="CK430" s="27" t="s">
        <v>8</v>
      </c>
      <c r="CL430" s="27" t="s">
        <v>7</v>
      </c>
      <c r="CW430" s="27" t="s">
        <v>8</v>
      </c>
      <c r="CX430" s="27" t="s">
        <v>7</v>
      </c>
      <c r="DA430" s="27" t="s">
        <v>8</v>
      </c>
      <c r="DG430" s="27" t="s">
        <v>8</v>
      </c>
      <c r="DH430" s="27" t="s">
        <v>7</v>
      </c>
      <c r="DI430" s="27" t="s">
        <v>8</v>
      </c>
      <c r="DL430" s="27" t="s">
        <v>7</v>
      </c>
      <c r="DM430" s="27" t="s">
        <v>8</v>
      </c>
      <c r="FB430" s="27" t="s">
        <v>7</v>
      </c>
      <c r="FC430" s="27" t="s">
        <v>8</v>
      </c>
      <c r="FD430" s="27" t="s">
        <v>7</v>
      </c>
      <c r="FE430" s="27" t="s">
        <v>8</v>
      </c>
      <c r="FF430" s="27" t="s">
        <v>7</v>
      </c>
      <c r="FG430" s="27" t="s">
        <v>8</v>
      </c>
      <c r="FL430" s="27" t="s">
        <v>7</v>
      </c>
      <c r="FM430" s="27" t="s">
        <v>8</v>
      </c>
      <c r="FN430" s="27" t="s">
        <v>7</v>
      </c>
      <c r="GE430" s="27" t="s">
        <v>8</v>
      </c>
      <c r="GF430" s="27" t="s">
        <v>7</v>
      </c>
      <c r="GG430" s="27" t="s">
        <v>8</v>
      </c>
      <c r="HJ430" s="27" t="s">
        <v>7</v>
      </c>
      <c r="HM430" s="27" t="s">
        <v>8</v>
      </c>
      <c r="HN430" s="27" t="s">
        <v>7</v>
      </c>
      <c r="HQ430" s="27" t="s">
        <v>8</v>
      </c>
      <c r="IB430" s="27" t="s">
        <v>7</v>
      </c>
      <c r="IC430" s="27" t="s">
        <v>8</v>
      </c>
      <c r="IJ430" s="27" t="s">
        <v>7</v>
      </c>
      <c r="IK430" s="27" t="s">
        <v>8</v>
      </c>
      <c r="IL430" s="27" t="s">
        <v>7</v>
      </c>
      <c r="IM430" s="27" t="s">
        <v>8</v>
      </c>
      <c r="IN430" s="27" t="s">
        <v>7</v>
      </c>
      <c r="IO430" s="27" t="s">
        <v>8</v>
      </c>
      <c r="IP430" s="27" t="s">
        <v>7</v>
      </c>
    </row>
    <row r="431" spans="1:260" x14ac:dyDescent="0.25">
      <c r="A431" s="7">
        <v>21.959719826504344</v>
      </c>
      <c r="B431"/>
      <c r="C431"/>
      <c r="D431"/>
      <c r="E431"/>
      <c r="W431" s="27" t="s">
        <v>8</v>
      </c>
      <c r="Z431" s="27" t="s">
        <v>7</v>
      </c>
      <c r="AA431" s="27" t="s">
        <v>8</v>
      </c>
      <c r="AG431" s="27" t="s">
        <v>8</v>
      </c>
      <c r="AI431" s="27" t="s">
        <v>8</v>
      </c>
      <c r="AJ431" s="27" t="s">
        <v>7</v>
      </c>
      <c r="AK431" s="27" t="s">
        <v>8</v>
      </c>
      <c r="AN431" s="27" t="s">
        <v>7</v>
      </c>
      <c r="AO431" s="27" t="s">
        <v>8</v>
      </c>
      <c r="AP431" s="27" t="s">
        <v>7</v>
      </c>
      <c r="AQ431" s="27" t="s">
        <v>8</v>
      </c>
      <c r="AR431" s="27" t="s">
        <v>7</v>
      </c>
      <c r="AS431" s="27" t="s">
        <v>8</v>
      </c>
      <c r="AT431" s="27" t="s">
        <v>7</v>
      </c>
      <c r="CK431" s="27" t="s">
        <v>8</v>
      </c>
      <c r="CL431" s="27" t="s">
        <v>7</v>
      </c>
      <c r="CU431" s="27" t="s">
        <v>8</v>
      </c>
      <c r="CW431" s="27" t="s">
        <v>8</v>
      </c>
      <c r="CX431" s="27" t="s">
        <v>7</v>
      </c>
      <c r="DA431" s="27" t="s">
        <v>8</v>
      </c>
      <c r="DB431" s="27" t="s">
        <v>7</v>
      </c>
      <c r="DG431" s="27" t="s">
        <v>8</v>
      </c>
      <c r="DH431" s="27" t="s">
        <v>7</v>
      </c>
      <c r="DI431" s="27" t="s">
        <v>8</v>
      </c>
      <c r="DL431" s="27" t="s">
        <v>7</v>
      </c>
      <c r="DM431" s="27" t="s">
        <v>8</v>
      </c>
      <c r="FB431" s="27" t="s">
        <v>7</v>
      </c>
      <c r="FC431" s="27" t="s">
        <v>8</v>
      </c>
      <c r="FD431" s="27" t="s">
        <v>7</v>
      </c>
      <c r="FE431" s="27" t="s">
        <v>8</v>
      </c>
      <c r="FF431" s="27" t="s">
        <v>7</v>
      </c>
      <c r="FG431" s="27" t="s">
        <v>8</v>
      </c>
      <c r="FL431" s="27" t="s">
        <v>7</v>
      </c>
      <c r="FM431" s="27" t="s">
        <v>8</v>
      </c>
      <c r="FN431" s="27" t="s">
        <v>7</v>
      </c>
      <c r="GE431" s="27" t="s">
        <v>8</v>
      </c>
      <c r="GF431" s="27" t="s">
        <v>7</v>
      </c>
      <c r="GG431" s="27" t="s">
        <v>8</v>
      </c>
      <c r="HJ431" s="27" t="s">
        <v>7</v>
      </c>
      <c r="HK431" s="27" t="s">
        <v>8</v>
      </c>
      <c r="HM431" s="27" t="s">
        <v>8</v>
      </c>
      <c r="HN431" s="27" t="s">
        <v>7</v>
      </c>
      <c r="HQ431" s="27" t="s">
        <v>8</v>
      </c>
      <c r="IB431" s="27" t="s">
        <v>7</v>
      </c>
      <c r="IC431" s="27" t="s">
        <v>8</v>
      </c>
      <c r="IJ431" s="27" t="s">
        <v>7</v>
      </c>
      <c r="IL431" s="27" t="s">
        <v>7</v>
      </c>
      <c r="IM431" s="27" t="s">
        <v>8</v>
      </c>
      <c r="IN431" s="27" t="s">
        <v>7</v>
      </c>
      <c r="IO431" s="27" t="s">
        <v>8</v>
      </c>
      <c r="IP431" s="27" t="s">
        <v>7</v>
      </c>
      <c r="IY431" s="27" t="s">
        <v>8</v>
      </c>
    </row>
    <row r="432" spans="1:260" x14ac:dyDescent="0.25">
      <c r="A432" s="7">
        <v>21.52913708480818</v>
      </c>
      <c r="B432"/>
      <c r="C432"/>
      <c r="D432"/>
      <c r="E432"/>
      <c r="W432" s="27" t="s">
        <v>8</v>
      </c>
      <c r="Z432" s="27" t="s">
        <v>7</v>
      </c>
      <c r="AA432" s="27" t="s">
        <v>8</v>
      </c>
      <c r="AB432" s="27" t="s">
        <v>7</v>
      </c>
      <c r="AC432" s="27" t="s">
        <v>8</v>
      </c>
      <c r="AE432" s="27" t="s">
        <v>8</v>
      </c>
      <c r="AG432" s="27" t="s">
        <v>8</v>
      </c>
      <c r="AH432" s="27" t="s">
        <v>7</v>
      </c>
      <c r="AI432" s="27" t="s">
        <v>8</v>
      </c>
      <c r="AJ432" s="27" t="s">
        <v>7</v>
      </c>
      <c r="AK432" s="27" t="s">
        <v>8</v>
      </c>
      <c r="AN432" s="27" t="s">
        <v>7</v>
      </c>
      <c r="AO432" s="27" t="s">
        <v>8</v>
      </c>
      <c r="AP432" s="27" t="s">
        <v>7</v>
      </c>
      <c r="AQ432" s="27" t="s">
        <v>8</v>
      </c>
      <c r="AR432" s="27" t="s">
        <v>7</v>
      </c>
      <c r="AS432" s="27" t="s">
        <v>8</v>
      </c>
      <c r="AT432" s="27" t="s">
        <v>7</v>
      </c>
      <c r="CK432" s="27" t="s">
        <v>8</v>
      </c>
      <c r="CL432" s="27" t="s">
        <v>7</v>
      </c>
      <c r="CU432" s="27" t="s">
        <v>8</v>
      </c>
      <c r="CV432" s="27" t="s">
        <v>7</v>
      </c>
      <c r="CW432" s="27" t="s">
        <v>8</v>
      </c>
      <c r="CX432" s="27" t="s">
        <v>7</v>
      </c>
      <c r="DA432" s="27" t="s">
        <v>8</v>
      </c>
      <c r="DB432" s="27" t="s">
        <v>7</v>
      </c>
      <c r="DG432" s="27" t="s">
        <v>8</v>
      </c>
      <c r="DH432" s="27" t="s">
        <v>7</v>
      </c>
      <c r="DI432" s="27" t="s">
        <v>8</v>
      </c>
      <c r="DL432" s="27" t="s">
        <v>7</v>
      </c>
      <c r="DM432" s="27" t="s">
        <v>8</v>
      </c>
      <c r="FB432" s="27" t="s">
        <v>7</v>
      </c>
      <c r="FC432" s="27" t="s">
        <v>8</v>
      </c>
      <c r="FD432" s="27" t="s">
        <v>7</v>
      </c>
      <c r="FE432" s="27" t="s">
        <v>8</v>
      </c>
      <c r="FF432" s="27" t="s">
        <v>7</v>
      </c>
      <c r="FL432" s="27" t="s">
        <v>7</v>
      </c>
      <c r="FM432" s="27" t="s">
        <v>8</v>
      </c>
      <c r="FN432" s="27" t="s">
        <v>7</v>
      </c>
      <c r="FO432" s="27" t="s">
        <v>8</v>
      </c>
      <c r="GE432" s="27" t="s">
        <v>8</v>
      </c>
      <c r="GF432" s="27" t="s">
        <v>7</v>
      </c>
      <c r="GG432" s="27" t="s">
        <v>8</v>
      </c>
      <c r="HJ432" s="27" t="s">
        <v>7</v>
      </c>
      <c r="HK432" s="27" t="s">
        <v>8</v>
      </c>
      <c r="HL432" s="27" t="s">
        <v>7</v>
      </c>
      <c r="HM432" s="27" t="s">
        <v>8</v>
      </c>
      <c r="HN432" s="27" t="s">
        <v>7</v>
      </c>
      <c r="HQ432" s="27" t="s">
        <v>8</v>
      </c>
      <c r="IB432" s="27" t="s">
        <v>7</v>
      </c>
      <c r="IL432" s="27" t="s">
        <v>7</v>
      </c>
      <c r="IM432" s="27" t="s">
        <v>8</v>
      </c>
      <c r="IN432" s="27" t="s">
        <v>7</v>
      </c>
      <c r="IO432" s="27" t="s">
        <v>8</v>
      </c>
      <c r="IP432" s="27" t="s">
        <v>7</v>
      </c>
      <c r="IY432" s="27" t="s">
        <v>8</v>
      </c>
      <c r="IZ432" s="27" t="s">
        <v>7</v>
      </c>
    </row>
    <row r="433" spans="1:268" x14ac:dyDescent="0.25">
      <c r="A433" s="7">
        <v>21.106997141968804</v>
      </c>
      <c r="B433"/>
      <c r="C433"/>
      <c r="D433"/>
      <c r="E433"/>
      <c r="Q433" s="27" t="s">
        <v>8</v>
      </c>
      <c r="W433" s="27" t="s">
        <v>8</v>
      </c>
      <c r="Z433" s="27" t="s">
        <v>7</v>
      </c>
      <c r="AA433" s="27" t="s">
        <v>8</v>
      </c>
      <c r="AB433" s="27" t="s">
        <v>7</v>
      </c>
      <c r="AC433" s="27" t="s">
        <v>8</v>
      </c>
      <c r="AD433" s="27" t="s">
        <v>7</v>
      </c>
      <c r="AE433" s="27" t="s">
        <v>8</v>
      </c>
      <c r="AF433" s="27" t="s">
        <v>7</v>
      </c>
      <c r="AG433" s="27" t="s">
        <v>8</v>
      </c>
      <c r="AH433" s="27" t="s">
        <v>7</v>
      </c>
      <c r="AI433" s="27" t="s">
        <v>8</v>
      </c>
      <c r="AJ433" s="27" t="s">
        <v>7</v>
      </c>
      <c r="AK433" s="27" t="s">
        <v>8</v>
      </c>
      <c r="AN433" s="27" t="s">
        <v>7</v>
      </c>
      <c r="AO433" s="27" t="s">
        <v>8</v>
      </c>
      <c r="AP433" s="27" t="s">
        <v>7</v>
      </c>
      <c r="AR433" s="27" t="s">
        <v>7</v>
      </c>
      <c r="AT433" s="27" t="s">
        <v>7</v>
      </c>
      <c r="CK433" s="27" t="s">
        <v>8</v>
      </c>
      <c r="CL433" s="27" t="s">
        <v>7</v>
      </c>
      <c r="CU433" s="27" t="s">
        <v>8</v>
      </c>
      <c r="CV433" s="27" t="s">
        <v>7</v>
      </c>
      <c r="CW433" s="27" t="s">
        <v>8</v>
      </c>
      <c r="CX433" s="27" t="s">
        <v>7</v>
      </c>
      <c r="DA433" s="27" t="s">
        <v>8</v>
      </c>
      <c r="DB433" s="27" t="s">
        <v>7</v>
      </c>
      <c r="DG433" s="27" t="s">
        <v>8</v>
      </c>
      <c r="DH433" s="27" t="s">
        <v>7</v>
      </c>
      <c r="DI433" s="27" t="s">
        <v>8</v>
      </c>
      <c r="DL433" s="27" t="s">
        <v>7</v>
      </c>
      <c r="DM433" s="27" t="s">
        <v>8</v>
      </c>
      <c r="FB433" s="27" t="s">
        <v>7</v>
      </c>
      <c r="FC433" s="27" t="s">
        <v>8</v>
      </c>
      <c r="FD433" s="27" t="s">
        <v>7</v>
      </c>
      <c r="FE433" s="27" t="s">
        <v>8</v>
      </c>
      <c r="FL433" s="27" t="s">
        <v>7</v>
      </c>
      <c r="FM433" s="27" t="s">
        <v>8</v>
      </c>
      <c r="FN433" s="27" t="s">
        <v>7</v>
      </c>
      <c r="FO433" s="27" t="s">
        <v>8</v>
      </c>
      <c r="FP433" s="27" t="s">
        <v>7</v>
      </c>
      <c r="GC433" s="27" t="s">
        <v>8</v>
      </c>
      <c r="GE433" s="27" t="s">
        <v>8</v>
      </c>
      <c r="GF433" s="27" t="s">
        <v>7</v>
      </c>
      <c r="GG433" s="27" t="s">
        <v>8</v>
      </c>
      <c r="HJ433" s="27" t="s">
        <v>7</v>
      </c>
      <c r="HK433" s="27" t="s">
        <v>8</v>
      </c>
      <c r="HL433" s="27" t="s">
        <v>7</v>
      </c>
      <c r="HM433" s="27" t="s">
        <v>8</v>
      </c>
      <c r="HN433" s="27" t="s">
        <v>7</v>
      </c>
      <c r="HO433" s="27" t="s">
        <v>8</v>
      </c>
      <c r="HQ433" s="27" t="s">
        <v>8</v>
      </c>
      <c r="IL433" s="27" t="s">
        <v>7</v>
      </c>
      <c r="IN433" s="27" t="s">
        <v>7</v>
      </c>
      <c r="IO433" s="27" t="s">
        <v>8</v>
      </c>
      <c r="IP433" s="27" t="s">
        <v>7</v>
      </c>
      <c r="IY433" s="27" t="s">
        <v>8</v>
      </c>
      <c r="IZ433" s="27" t="s">
        <v>7</v>
      </c>
    </row>
    <row r="434" spans="1:268" x14ac:dyDescent="0.25">
      <c r="A434" s="7">
        <v>20.693134452910591</v>
      </c>
      <c r="B434"/>
      <c r="C434"/>
      <c r="D434"/>
      <c r="E434"/>
      <c r="Q434" s="27" t="s">
        <v>8</v>
      </c>
      <c r="R434" s="27" t="s">
        <v>7</v>
      </c>
      <c r="W434" s="27" t="s">
        <v>8</v>
      </c>
      <c r="Z434" s="27" t="s">
        <v>7</v>
      </c>
      <c r="AA434" s="27" t="s">
        <v>8</v>
      </c>
      <c r="AB434" s="27" t="s">
        <v>7</v>
      </c>
      <c r="AC434" s="27" t="s">
        <v>8</v>
      </c>
      <c r="AD434" s="27" t="s">
        <v>7</v>
      </c>
      <c r="AE434" s="27" t="s">
        <v>8</v>
      </c>
      <c r="AF434" s="27" t="s">
        <v>7</v>
      </c>
      <c r="AG434" s="27" t="s">
        <v>8</v>
      </c>
      <c r="AH434" s="27" t="s">
        <v>7</v>
      </c>
      <c r="AI434" s="27" t="s">
        <v>8</v>
      </c>
      <c r="AJ434" s="27" t="s">
        <v>7</v>
      </c>
      <c r="AK434" s="27" t="s">
        <v>8</v>
      </c>
      <c r="AN434" s="27" t="s">
        <v>7</v>
      </c>
      <c r="AT434" s="27" t="s">
        <v>7</v>
      </c>
      <c r="CK434" s="27" t="s">
        <v>8</v>
      </c>
      <c r="CL434" s="27" t="s">
        <v>7</v>
      </c>
      <c r="CU434" s="27" t="s">
        <v>8</v>
      </c>
      <c r="CV434" s="27" t="s">
        <v>7</v>
      </c>
      <c r="CW434" s="27" t="s">
        <v>8</v>
      </c>
      <c r="CX434" s="27" t="s">
        <v>7</v>
      </c>
      <c r="DA434" s="27" t="s">
        <v>8</v>
      </c>
      <c r="DB434" s="27" t="s">
        <v>7</v>
      </c>
      <c r="DC434" s="27" t="s">
        <v>8</v>
      </c>
      <c r="DG434" s="27" t="s">
        <v>8</v>
      </c>
      <c r="DH434" s="27" t="s">
        <v>7</v>
      </c>
      <c r="DI434" s="27" t="s">
        <v>8</v>
      </c>
      <c r="DL434" s="27" t="s">
        <v>7</v>
      </c>
      <c r="FB434" s="27" t="s">
        <v>7</v>
      </c>
      <c r="FC434" s="27" t="s">
        <v>8</v>
      </c>
      <c r="FD434" s="27" t="s">
        <v>7</v>
      </c>
      <c r="FE434" s="27" t="s">
        <v>8</v>
      </c>
      <c r="FL434" s="27" t="s">
        <v>7</v>
      </c>
      <c r="FM434" s="27" t="s">
        <v>8</v>
      </c>
      <c r="FN434" s="27" t="s">
        <v>7</v>
      </c>
      <c r="FO434" s="27" t="s">
        <v>8</v>
      </c>
      <c r="FP434" s="27" t="s">
        <v>7</v>
      </c>
      <c r="GC434" s="27" t="s">
        <v>8</v>
      </c>
      <c r="GD434" s="27" t="s">
        <v>7</v>
      </c>
      <c r="GE434" s="27" t="s">
        <v>8</v>
      </c>
      <c r="GF434" s="27" t="s">
        <v>7</v>
      </c>
      <c r="GG434" s="27" t="s">
        <v>8</v>
      </c>
      <c r="HJ434" s="27" t="s">
        <v>7</v>
      </c>
      <c r="HK434" s="27" t="s">
        <v>8</v>
      </c>
      <c r="HL434" s="27" t="s">
        <v>7</v>
      </c>
      <c r="HM434" s="27" t="s">
        <v>8</v>
      </c>
      <c r="HN434" s="27" t="s">
        <v>7</v>
      </c>
      <c r="HO434" s="27" t="s">
        <v>8</v>
      </c>
      <c r="HP434" s="27" t="s">
        <v>7</v>
      </c>
      <c r="HQ434" s="27" t="s">
        <v>8</v>
      </c>
      <c r="IN434" s="27" t="s">
        <v>7</v>
      </c>
      <c r="IP434" s="27" t="s">
        <v>7</v>
      </c>
      <c r="IS434" s="27" t="s">
        <v>8</v>
      </c>
      <c r="IY434" s="27" t="s">
        <v>8</v>
      </c>
      <c r="IZ434" s="27" t="s">
        <v>7</v>
      </c>
    </row>
    <row r="435" spans="1:268" x14ac:dyDescent="0.25">
      <c r="A435" s="7">
        <v>20.287386718539796</v>
      </c>
      <c r="B435"/>
      <c r="C435"/>
      <c r="D435"/>
      <c r="E435"/>
      <c r="Q435" s="27" t="s">
        <v>8</v>
      </c>
      <c r="R435" s="27" t="s">
        <v>7</v>
      </c>
      <c r="U435" s="27" t="s">
        <v>8</v>
      </c>
      <c r="W435" s="27" t="s">
        <v>8</v>
      </c>
      <c r="Z435" s="27" t="s">
        <v>7</v>
      </c>
      <c r="AA435" s="27" t="s">
        <v>8</v>
      </c>
      <c r="AB435" s="27" t="s">
        <v>7</v>
      </c>
      <c r="AC435" s="27" t="s">
        <v>8</v>
      </c>
      <c r="AD435" s="27" t="s">
        <v>7</v>
      </c>
      <c r="AF435" s="27" t="s">
        <v>7</v>
      </c>
      <c r="AG435" s="27" t="s">
        <v>8</v>
      </c>
      <c r="AH435" s="27" t="s">
        <v>7</v>
      </c>
      <c r="AI435" s="27" t="s">
        <v>8</v>
      </c>
      <c r="AJ435" s="27" t="s">
        <v>7</v>
      </c>
      <c r="AK435" s="27" t="s">
        <v>8</v>
      </c>
      <c r="AT435" s="27" t="s">
        <v>7</v>
      </c>
      <c r="CK435" s="27" t="s">
        <v>8</v>
      </c>
      <c r="CL435" s="27" t="s">
        <v>7</v>
      </c>
      <c r="CU435" s="27" t="s">
        <v>8</v>
      </c>
      <c r="CV435" s="27" t="s">
        <v>7</v>
      </c>
      <c r="CW435" s="27" t="s">
        <v>8</v>
      </c>
      <c r="CX435" s="27" t="s">
        <v>7</v>
      </c>
      <c r="CY435" s="27" t="s">
        <v>8</v>
      </c>
      <c r="DA435" s="27" t="s">
        <v>8</v>
      </c>
      <c r="DB435" s="27" t="s">
        <v>7</v>
      </c>
      <c r="DC435" s="27" t="s">
        <v>8</v>
      </c>
      <c r="DD435" s="27" t="s">
        <v>7</v>
      </c>
      <c r="DG435" s="27" t="s">
        <v>8</v>
      </c>
      <c r="DH435" s="27" t="s">
        <v>7</v>
      </c>
      <c r="DI435" s="27" t="s">
        <v>8</v>
      </c>
      <c r="FB435" s="27" t="s">
        <v>7</v>
      </c>
      <c r="FC435" s="27" t="s">
        <v>8</v>
      </c>
      <c r="FD435" s="27" t="s">
        <v>7</v>
      </c>
      <c r="FE435" s="27" t="s">
        <v>8</v>
      </c>
      <c r="FL435" s="27" t="s">
        <v>7</v>
      </c>
      <c r="FM435" s="27" t="s">
        <v>8</v>
      </c>
      <c r="FN435" s="27" t="s">
        <v>7</v>
      </c>
      <c r="FO435" s="27" t="s">
        <v>8</v>
      </c>
      <c r="FP435" s="27" t="s">
        <v>7</v>
      </c>
      <c r="GC435" s="27" t="s">
        <v>8</v>
      </c>
      <c r="GD435" s="27" t="s">
        <v>7</v>
      </c>
      <c r="GE435" s="27" t="s">
        <v>8</v>
      </c>
      <c r="GF435" s="27" t="s">
        <v>7</v>
      </c>
      <c r="GG435" s="27" t="s">
        <v>8</v>
      </c>
      <c r="HJ435" s="27" t="s">
        <v>7</v>
      </c>
      <c r="HK435" s="27" t="s">
        <v>8</v>
      </c>
      <c r="HL435" s="27" t="s">
        <v>7</v>
      </c>
      <c r="HM435" s="27" t="s">
        <v>8</v>
      </c>
      <c r="HN435" s="27" t="s">
        <v>7</v>
      </c>
      <c r="HO435" s="27" t="s">
        <v>8</v>
      </c>
      <c r="HP435" s="27" t="s">
        <v>7</v>
      </c>
      <c r="HQ435" s="27" t="s">
        <v>8</v>
      </c>
      <c r="IP435" s="27" t="s">
        <v>7</v>
      </c>
      <c r="IQ435" s="27" t="s">
        <v>8</v>
      </c>
      <c r="IS435" s="27" t="s">
        <v>8</v>
      </c>
      <c r="IT435" s="27" t="s">
        <v>7</v>
      </c>
      <c r="IY435" s="27" t="s">
        <v>8</v>
      </c>
      <c r="IZ435" s="27" t="s">
        <v>7</v>
      </c>
      <c r="JC435" s="27" t="s">
        <v>8</v>
      </c>
    </row>
    <row r="436" spans="1:268" x14ac:dyDescent="0.25">
      <c r="A436" s="7">
        <v>19.889594822097838</v>
      </c>
      <c r="B436"/>
      <c r="C436"/>
      <c r="D436"/>
      <c r="E436"/>
      <c r="Q436" s="27" t="s">
        <v>8</v>
      </c>
      <c r="R436" s="27" t="s">
        <v>7</v>
      </c>
      <c r="S436" s="27" t="s">
        <v>8</v>
      </c>
      <c r="U436" s="27" t="s">
        <v>8</v>
      </c>
      <c r="V436" s="27" t="s">
        <v>7</v>
      </c>
      <c r="W436" s="27" t="s">
        <v>8</v>
      </c>
      <c r="Z436" s="27" t="s">
        <v>7</v>
      </c>
      <c r="AA436" s="27" t="s">
        <v>8</v>
      </c>
      <c r="AB436" s="27" t="s">
        <v>7</v>
      </c>
      <c r="AC436" s="27" t="s">
        <v>8</v>
      </c>
      <c r="AF436" s="27" t="s">
        <v>7</v>
      </c>
      <c r="AH436" s="27" t="s">
        <v>7</v>
      </c>
      <c r="AJ436" s="27" t="s">
        <v>7</v>
      </c>
      <c r="AK436" s="27" t="s">
        <v>8</v>
      </c>
      <c r="AT436" s="27" t="s">
        <v>7</v>
      </c>
      <c r="CK436" s="27" t="s">
        <v>8</v>
      </c>
      <c r="CL436" s="27" t="s">
        <v>7</v>
      </c>
      <c r="CU436" s="27" t="s">
        <v>8</v>
      </c>
      <c r="CV436" s="27" t="s">
        <v>7</v>
      </c>
      <c r="CW436" s="27" t="s">
        <v>8</v>
      </c>
      <c r="CX436" s="27" t="s">
        <v>7</v>
      </c>
      <c r="CY436" s="27" t="s">
        <v>8</v>
      </c>
      <c r="CZ436" s="27" t="s">
        <v>7</v>
      </c>
      <c r="DA436" s="27" t="s">
        <v>8</v>
      </c>
      <c r="DB436" s="27" t="s">
        <v>7</v>
      </c>
      <c r="DC436" s="27" t="s">
        <v>8</v>
      </c>
      <c r="DD436" s="27" t="s">
        <v>7</v>
      </c>
      <c r="DE436" s="27" t="s">
        <v>8</v>
      </c>
      <c r="DG436" s="27" t="s">
        <v>8</v>
      </c>
      <c r="DH436" s="27" t="s">
        <v>7</v>
      </c>
      <c r="FB436" s="27" t="s">
        <v>7</v>
      </c>
      <c r="FC436" s="27" t="s">
        <v>8</v>
      </c>
      <c r="FD436" s="27" t="s">
        <v>7</v>
      </c>
      <c r="FE436" s="27" t="s">
        <v>8</v>
      </c>
      <c r="FL436" s="27" t="s">
        <v>7</v>
      </c>
      <c r="FM436" s="27" t="s">
        <v>8</v>
      </c>
      <c r="FN436" s="27" t="s">
        <v>7</v>
      </c>
      <c r="FO436" s="27" t="s">
        <v>8</v>
      </c>
      <c r="FP436" s="27" t="s">
        <v>7</v>
      </c>
      <c r="GC436" s="27" t="s">
        <v>8</v>
      </c>
      <c r="GD436" s="27" t="s">
        <v>7</v>
      </c>
      <c r="GE436" s="27" t="s">
        <v>8</v>
      </c>
      <c r="GF436" s="27" t="s">
        <v>7</v>
      </c>
      <c r="GG436" s="27" t="s">
        <v>8</v>
      </c>
      <c r="HJ436" s="27" t="s">
        <v>7</v>
      </c>
      <c r="HK436" s="27" t="s">
        <v>8</v>
      </c>
      <c r="HL436" s="27" t="s">
        <v>7</v>
      </c>
      <c r="HM436" s="27" t="s">
        <v>8</v>
      </c>
      <c r="HN436" s="27" t="s">
        <v>7</v>
      </c>
      <c r="HO436" s="27" t="s">
        <v>8</v>
      </c>
      <c r="HP436" s="27" t="s">
        <v>7</v>
      </c>
      <c r="HQ436" s="27" t="s">
        <v>8</v>
      </c>
      <c r="IP436" s="27" t="s">
        <v>7</v>
      </c>
      <c r="IQ436" s="27" t="s">
        <v>8</v>
      </c>
      <c r="IR436" s="27" t="s">
        <v>7</v>
      </c>
      <c r="IS436" s="27" t="s">
        <v>8</v>
      </c>
      <c r="IT436" s="27" t="s">
        <v>7</v>
      </c>
      <c r="IY436" s="27" t="s">
        <v>8</v>
      </c>
      <c r="IZ436" s="27" t="s">
        <v>7</v>
      </c>
      <c r="JA436" s="27" t="s">
        <v>8</v>
      </c>
      <c r="JC436" s="27" t="s">
        <v>8</v>
      </c>
      <c r="JD436" s="27" t="s">
        <v>7</v>
      </c>
      <c r="JE436" s="27" t="s">
        <v>8</v>
      </c>
    </row>
    <row r="437" spans="1:268" x14ac:dyDescent="0.25">
      <c r="A437" s="7">
        <v>19.499602766762585</v>
      </c>
      <c r="B437"/>
      <c r="C437"/>
      <c r="D437"/>
      <c r="E437"/>
      <c r="O437" s="27" t="s">
        <v>8</v>
      </c>
      <c r="Q437" s="27" t="s">
        <v>8</v>
      </c>
      <c r="R437" s="27" t="s">
        <v>7</v>
      </c>
      <c r="S437" s="27" t="s">
        <v>8</v>
      </c>
      <c r="T437" s="27" t="s">
        <v>7</v>
      </c>
      <c r="U437" s="27" t="s">
        <v>8</v>
      </c>
      <c r="V437" s="27" t="s">
        <v>7</v>
      </c>
      <c r="W437" s="27" t="s">
        <v>8</v>
      </c>
      <c r="Z437" s="27" t="s">
        <v>7</v>
      </c>
      <c r="AB437" s="27" t="s">
        <v>7</v>
      </c>
      <c r="AC437" s="27" t="s">
        <v>8</v>
      </c>
      <c r="AJ437" s="27" t="s">
        <v>7</v>
      </c>
      <c r="AT437" s="27" t="s">
        <v>7</v>
      </c>
      <c r="CK437" s="27" t="s">
        <v>8</v>
      </c>
      <c r="CL437" s="27" t="s">
        <v>7</v>
      </c>
      <c r="CU437" s="27" t="s">
        <v>8</v>
      </c>
      <c r="CV437" s="27" t="s">
        <v>7</v>
      </c>
      <c r="CW437" s="27" t="s">
        <v>8</v>
      </c>
      <c r="CX437" s="27" t="s">
        <v>7</v>
      </c>
      <c r="CY437" s="27" t="s">
        <v>8</v>
      </c>
      <c r="CZ437" s="27" t="s">
        <v>7</v>
      </c>
      <c r="DA437" s="27" t="s">
        <v>8</v>
      </c>
      <c r="DB437" s="27" t="s">
        <v>7</v>
      </c>
      <c r="DC437" s="27" t="s">
        <v>8</v>
      </c>
      <c r="DD437" s="27" t="s">
        <v>7</v>
      </c>
      <c r="DE437" s="27" t="s">
        <v>8</v>
      </c>
      <c r="DF437" s="27" t="s">
        <v>7</v>
      </c>
      <c r="DG437" s="27" t="s">
        <v>8</v>
      </c>
      <c r="FB437" s="27" t="s">
        <v>7</v>
      </c>
      <c r="FC437" s="27" t="s">
        <v>8</v>
      </c>
      <c r="FD437" s="27" t="s">
        <v>7</v>
      </c>
      <c r="FE437" s="27" t="s">
        <v>8</v>
      </c>
      <c r="FL437" s="27" t="s">
        <v>7</v>
      </c>
      <c r="FM437" s="27" t="s">
        <v>8</v>
      </c>
      <c r="FN437" s="27" t="s">
        <v>7</v>
      </c>
      <c r="FO437" s="27" t="s">
        <v>8</v>
      </c>
      <c r="FP437" s="27" t="s">
        <v>7</v>
      </c>
      <c r="GC437" s="27" t="s">
        <v>8</v>
      </c>
      <c r="GD437" s="27" t="s">
        <v>7</v>
      </c>
      <c r="GE437" s="27" t="s">
        <v>8</v>
      </c>
      <c r="GF437" s="27" t="s">
        <v>7</v>
      </c>
      <c r="GG437" s="27" t="s">
        <v>8</v>
      </c>
      <c r="HJ437" s="27" t="s">
        <v>7</v>
      </c>
      <c r="HK437" s="27" t="s">
        <v>8</v>
      </c>
      <c r="HL437" s="27" t="s">
        <v>7</v>
      </c>
      <c r="HM437" s="27" t="s">
        <v>8</v>
      </c>
      <c r="HN437" s="27" t="s">
        <v>7</v>
      </c>
      <c r="HP437" s="27" t="s">
        <v>7</v>
      </c>
      <c r="HQ437" s="27" t="s">
        <v>8</v>
      </c>
      <c r="IP437" s="27" t="s">
        <v>7</v>
      </c>
      <c r="IQ437" s="27" t="s">
        <v>8</v>
      </c>
      <c r="IR437" s="27" t="s">
        <v>7</v>
      </c>
      <c r="IS437" s="27" t="s">
        <v>8</v>
      </c>
      <c r="IT437" s="27" t="s">
        <v>7</v>
      </c>
      <c r="IY437" s="27" t="s">
        <v>8</v>
      </c>
      <c r="IZ437" s="27" t="s">
        <v>7</v>
      </c>
      <c r="JA437" s="27" t="s">
        <v>8</v>
      </c>
      <c r="JB437" s="27" t="s">
        <v>7</v>
      </c>
      <c r="JC437" s="27" t="s">
        <v>8</v>
      </c>
      <c r="JD437" s="27" t="s">
        <v>7</v>
      </c>
      <c r="JE437" s="27" t="s">
        <v>8</v>
      </c>
      <c r="JF437" s="27" t="s">
        <v>7</v>
      </c>
    </row>
    <row r="438" spans="1:268" x14ac:dyDescent="0.25">
      <c r="A438" s="7">
        <v>19.117257614473122</v>
      </c>
      <c r="B438"/>
      <c r="C438"/>
      <c r="D438"/>
      <c r="E438"/>
      <c r="G438" s="27" t="s">
        <v>8</v>
      </c>
      <c r="O438" s="27" t="s">
        <v>8</v>
      </c>
      <c r="P438" s="27" t="s">
        <v>7</v>
      </c>
      <c r="Q438" s="27" t="s">
        <v>8</v>
      </c>
      <c r="R438" s="27" t="s">
        <v>7</v>
      </c>
      <c r="S438" s="27" t="s">
        <v>8</v>
      </c>
      <c r="T438" s="27" t="s">
        <v>7</v>
      </c>
      <c r="U438" s="27" t="s">
        <v>8</v>
      </c>
      <c r="V438" s="27" t="s">
        <v>7</v>
      </c>
      <c r="W438" s="27" t="s">
        <v>8</v>
      </c>
      <c r="AB438" s="27" t="s">
        <v>7</v>
      </c>
      <c r="AC438" s="27" t="s">
        <v>8</v>
      </c>
      <c r="AT438" s="27" t="s">
        <v>7</v>
      </c>
      <c r="CK438" s="27" t="s">
        <v>8</v>
      </c>
      <c r="CL438" s="27" t="s">
        <v>7</v>
      </c>
      <c r="CU438" s="27" t="s">
        <v>8</v>
      </c>
      <c r="CV438" s="27" t="s">
        <v>7</v>
      </c>
      <c r="CW438" s="27" t="s">
        <v>8</v>
      </c>
      <c r="CX438" s="27" t="s">
        <v>7</v>
      </c>
      <c r="CY438" s="27" t="s">
        <v>8</v>
      </c>
      <c r="CZ438" s="27" t="s">
        <v>7</v>
      </c>
      <c r="DA438" s="27" t="s">
        <v>8</v>
      </c>
      <c r="DB438" s="27" t="s">
        <v>7</v>
      </c>
      <c r="DC438" s="27" t="s">
        <v>8</v>
      </c>
      <c r="DD438" s="27" t="s">
        <v>7</v>
      </c>
      <c r="DE438" s="27" t="s">
        <v>8</v>
      </c>
      <c r="DF438" s="27" t="s">
        <v>7</v>
      </c>
      <c r="DG438" s="27" t="s">
        <v>8</v>
      </c>
      <c r="FB438" s="27" t="s">
        <v>7</v>
      </c>
      <c r="FC438" s="27" t="s">
        <v>8</v>
      </c>
      <c r="FD438" s="27" t="s">
        <v>7</v>
      </c>
      <c r="FE438" s="27" t="s">
        <v>8</v>
      </c>
      <c r="FL438" s="27" t="s">
        <v>7</v>
      </c>
      <c r="FN438" s="27" t="s">
        <v>7</v>
      </c>
      <c r="FO438" s="27" t="s">
        <v>8</v>
      </c>
      <c r="FP438" s="27" t="s">
        <v>7</v>
      </c>
      <c r="GC438" s="27" t="s">
        <v>8</v>
      </c>
      <c r="GD438" s="27" t="s">
        <v>7</v>
      </c>
      <c r="GE438" s="27" t="s">
        <v>8</v>
      </c>
      <c r="GF438" s="27" t="s">
        <v>7</v>
      </c>
      <c r="GG438" s="27" t="s">
        <v>8</v>
      </c>
      <c r="HJ438" s="27" t="s">
        <v>7</v>
      </c>
      <c r="HL438" s="27" t="s">
        <v>7</v>
      </c>
      <c r="HP438" s="27" t="s">
        <v>7</v>
      </c>
      <c r="HQ438" s="27" t="s">
        <v>8</v>
      </c>
      <c r="IP438" s="27" t="s">
        <v>7</v>
      </c>
      <c r="IQ438" s="27" t="s">
        <v>8</v>
      </c>
      <c r="IR438" s="27" t="s">
        <v>7</v>
      </c>
      <c r="IS438" s="27" t="s">
        <v>8</v>
      </c>
      <c r="IT438" s="27" t="s">
        <v>7</v>
      </c>
      <c r="IY438" s="27" t="s">
        <v>8</v>
      </c>
      <c r="IZ438" s="27" t="s">
        <v>7</v>
      </c>
      <c r="JA438" s="27" t="s">
        <v>8</v>
      </c>
      <c r="JB438" s="27" t="s">
        <v>7</v>
      </c>
      <c r="JC438" s="27" t="s">
        <v>8</v>
      </c>
      <c r="JD438" s="27" t="s">
        <v>7</v>
      </c>
      <c r="JE438" s="27" t="s">
        <v>8</v>
      </c>
      <c r="JF438" s="27" t="s">
        <v>7</v>
      </c>
    </row>
    <row r="439" spans="1:268" x14ac:dyDescent="0.25">
      <c r="A439" s="7">
        <v>18.74240942595404</v>
      </c>
      <c r="B439"/>
      <c r="C439"/>
      <c r="D439"/>
      <c r="E439"/>
      <c r="G439" s="27" t="s">
        <v>8</v>
      </c>
      <c r="H439" s="27" t="s">
        <v>7</v>
      </c>
      <c r="I439" s="27" t="s">
        <v>8</v>
      </c>
      <c r="O439" s="27" t="s">
        <v>8</v>
      </c>
      <c r="P439" s="27" t="s">
        <v>7</v>
      </c>
      <c r="Q439" s="27" t="s">
        <v>8</v>
      </c>
      <c r="R439" s="27" t="s">
        <v>7</v>
      </c>
      <c r="T439" s="27" t="s">
        <v>7</v>
      </c>
      <c r="U439" s="27" t="s">
        <v>8</v>
      </c>
      <c r="V439" s="27" t="s">
        <v>7</v>
      </c>
      <c r="W439" s="27" t="s">
        <v>8</v>
      </c>
      <c r="AB439" s="27" t="s">
        <v>7</v>
      </c>
      <c r="AC439" s="27" t="s">
        <v>8</v>
      </c>
      <c r="AT439" s="27" t="s">
        <v>7</v>
      </c>
      <c r="CK439" s="27" t="s">
        <v>8</v>
      </c>
      <c r="CL439" s="27" t="s">
        <v>7</v>
      </c>
      <c r="CU439" s="27" t="s">
        <v>8</v>
      </c>
      <c r="CV439" s="27" t="s">
        <v>7</v>
      </c>
      <c r="CW439" s="27" t="s">
        <v>8</v>
      </c>
      <c r="CX439" s="27" t="s">
        <v>7</v>
      </c>
      <c r="CY439" s="27" t="s">
        <v>8</v>
      </c>
      <c r="CZ439" s="27" t="s">
        <v>7</v>
      </c>
      <c r="DA439" s="27" t="s">
        <v>8</v>
      </c>
      <c r="DB439" s="27" t="s">
        <v>7</v>
      </c>
      <c r="DC439" s="27" t="s">
        <v>8</v>
      </c>
      <c r="DD439" s="27" t="s">
        <v>7</v>
      </c>
      <c r="DE439" s="27" t="s">
        <v>8</v>
      </c>
      <c r="DF439" s="27" t="s">
        <v>7</v>
      </c>
      <c r="DG439" s="27" t="s">
        <v>8</v>
      </c>
      <c r="FB439" s="27" t="s">
        <v>7</v>
      </c>
      <c r="FC439" s="27" t="s">
        <v>8</v>
      </c>
      <c r="FD439" s="27" t="s">
        <v>7</v>
      </c>
      <c r="FE439" s="27" t="s">
        <v>8</v>
      </c>
      <c r="FN439" s="27" t="s">
        <v>7</v>
      </c>
      <c r="FO439" s="27" t="s">
        <v>8</v>
      </c>
      <c r="FP439" s="27" t="s">
        <v>7</v>
      </c>
      <c r="GC439" s="27" t="s">
        <v>8</v>
      </c>
      <c r="GD439" s="27" t="s">
        <v>7</v>
      </c>
      <c r="GE439" s="27" t="s">
        <v>8</v>
      </c>
      <c r="GF439" s="27" t="s">
        <v>7</v>
      </c>
      <c r="GG439" s="27" t="s">
        <v>8</v>
      </c>
      <c r="HP439" s="27" t="s">
        <v>7</v>
      </c>
      <c r="HQ439" s="27" t="s">
        <v>8</v>
      </c>
      <c r="IP439" s="27" t="s">
        <v>7</v>
      </c>
      <c r="IQ439" s="27" t="s">
        <v>8</v>
      </c>
      <c r="IR439" s="27" t="s">
        <v>7</v>
      </c>
      <c r="IS439" s="27" t="s">
        <v>8</v>
      </c>
      <c r="IT439" s="27" t="s">
        <v>7</v>
      </c>
      <c r="IY439" s="27" t="s">
        <v>8</v>
      </c>
      <c r="IZ439" s="27" t="s">
        <v>7</v>
      </c>
      <c r="JB439" s="27" t="s">
        <v>7</v>
      </c>
      <c r="JC439" s="27" t="s">
        <v>8</v>
      </c>
      <c r="JD439" s="27" t="s">
        <v>7</v>
      </c>
      <c r="JE439" s="27" t="s">
        <v>8</v>
      </c>
      <c r="JF439" s="27" t="s">
        <v>7</v>
      </c>
    </row>
    <row r="440" spans="1:268" x14ac:dyDescent="0.25">
      <c r="A440" s="7">
        <v>18.374911201915726</v>
      </c>
      <c r="B440"/>
      <c r="C440"/>
      <c r="D440"/>
      <c r="E440"/>
      <c r="G440" s="27" t="s">
        <v>8</v>
      </c>
      <c r="H440" s="27" t="s">
        <v>7</v>
      </c>
      <c r="I440" s="27" t="s">
        <v>8</v>
      </c>
      <c r="J440" s="27" t="s">
        <v>7</v>
      </c>
      <c r="O440" s="27" t="s">
        <v>8</v>
      </c>
      <c r="P440" s="27" t="s">
        <v>7</v>
      </c>
      <c r="Q440" s="27" t="s">
        <v>8</v>
      </c>
      <c r="T440" s="27" t="s">
        <v>7</v>
      </c>
      <c r="U440" s="27" t="s">
        <v>8</v>
      </c>
      <c r="V440" s="27" t="s">
        <v>7</v>
      </c>
      <c r="W440" s="27" t="s">
        <v>8</v>
      </c>
      <c r="AB440" s="27" t="s">
        <v>7</v>
      </c>
      <c r="AC440" s="27" t="s">
        <v>8</v>
      </c>
      <c r="AT440" s="27" t="s">
        <v>7</v>
      </c>
      <c r="AY440" s="27" t="s">
        <v>8</v>
      </c>
      <c r="CK440" s="27" t="s">
        <v>8</v>
      </c>
      <c r="CL440" s="27" t="s">
        <v>7</v>
      </c>
      <c r="CQ440" s="27" t="s">
        <v>8</v>
      </c>
      <c r="CU440" s="27" t="s">
        <v>8</v>
      </c>
      <c r="CV440" s="27" t="s">
        <v>7</v>
      </c>
      <c r="CW440" s="27" t="s">
        <v>8</v>
      </c>
      <c r="CX440" s="27" t="s">
        <v>7</v>
      </c>
      <c r="CY440" s="27" t="s">
        <v>8</v>
      </c>
      <c r="CZ440" s="27" t="s">
        <v>7</v>
      </c>
      <c r="DB440" s="27" t="s">
        <v>7</v>
      </c>
      <c r="DC440" s="27" t="s">
        <v>8</v>
      </c>
      <c r="DD440" s="27" t="s">
        <v>7</v>
      </c>
      <c r="DE440" s="27" t="s">
        <v>8</v>
      </c>
      <c r="DF440" s="27" t="s">
        <v>7</v>
      </c>
      <c r="DG440" s="27" t="s">
        <v>8</v>
      </c>
      <c r="FB440" s="27" t="s">
        <v>7</v>
      </c>
      <c r="FC440" s="27" t="s">
        <v>8</v>
      </c>
      <c r="FD440" s="27" t="s">
        <v>7</v>
      </c>
      <c r="FE440" s="27" t="s">
        <v>8</v>
      </c>
      <c r="FN440" s="27" t="s">
        <v>7</v>
      </c>
      <c r="FO440" s="27" t="s">
        <v>8</v>
      </c>
      <c r="FP440" s="27" t="s">
        <v>7</v>
      </c>
      <c r="FY440" s="27" t="s">
        <v>8</v>
      </c>
      <c r="GC440" s="27" t="s">
        <v>8</v>
      </c>
      <c r="GD440" s="27" t="s">
        <v>7</v>
      </c>
      <c r="GE440" s="27" t="s">
        <v>8</v>
      </c>
      <c r="GF440" s="27" t="s">
        <v>7</v>
      </c>
      <c r="GG440" s="27" t="s">
        <v>8</v>
      </c>
      <c r="HP440" s="27" t="s">
        <v>7</v>
      </c>
      <c r="HQ440" s="27" t="s">
        <v>8</v>
      </c>
      <c r="IP440" s="27" t="s">
        <v>7</v>
      </c>
      <c r="IQ440" s="27" t="s">
        <v>8</v>
      </c>
      <c r="IR440" s="27" t="s">
        <v>7</v>
      </c>
      <c r="IS440" s="27" t="s">
        <v>8</v>
      </c>
      <c r="IT440" s="27" t="s">
        <v>7</v>
      </c>
      <c r="IY440" s="27" t="s">
        <v>8</v>
      </c>
      <c r="JB440" s="27" t="s">
        <v>7</v>
      </c>
      <c r="JC440" s="27" t="s">
        <v>8</v>
      </c>
      <c r="JD440" s="27" t="s">
        <v>7</v>
      </c>
      <c r="JE440" s="27" t="s">
        <v>8</v>
      </c>
      <c r="JF440" s="27" t="s">
        <v>7</v>
      </c>
    </row>
    <row r="441" spans="1:268" x14ac:dyDescent="0.25">
      <c r="A441" s="7">
        <v>18.014618825407574</v>
      </c>
      <c r="B441"/>
      <c r="C441"/>
      <c r="D441"/>
      <c r="E441"/>
      <c r="G441" s="27" t="s">
        <v>8</v>
      </c>
      <c r="H441" s="27" t="s">
        <v>7</v>
      </c>
      <c r="I441" s="27" t="s">
        <v>8</v>
      </c>
      <c r="J441" s="27" t="s">
        <v>7</v>
      </c>
      <c r="O441" s="27" t="s">
        <v>8</v>
      </c>
      <c r="P441" s="27" t="s">
        <v>7</v>
      </c>
      <c r="Q441" s="27" t="s">
        <v>8</v>
      </c>
      <c r="T441" s="27" t="s">
        <v>7</v>
      </c>
      <c r="V441" s="27" t="s">
        <v>7</v>
      </c>
      <c r="W441" s="27" t="s">
        <v>8</v>
      </c>
      <c r="AB441" s="27" t="s">
        <v>7</v>
      </c>
      <c r="AC441" s="27" t="s">
        <v>8</v>
      </c>
      <c r="AT441" s="27" t="s">
        <v>7</v>
      </c>
      <c r="AY441" s="27" t="s">
        <v>8</v>
      </c>
      <c r="AZ441" s="27" t="s">
        <v>7</v>
      </c>
      <c r="CE441" s="27" t="s">
        <v>8</v>
      </c>
      <c r="CK441" s="27" t="s">
        <v>8</v>
      </c>
      <c r="CL441" s="27" t="s">
        <v>7</v>
      </c>
      <c r="CM441" s="27" t="s">
        <v>8</v>
      </c>
      <c r="CQ441" s="27" t="s">
        <v>8</v>
      </c>
      <c r="CR441" s="27" t="s">
        <v>7</v>
      </c>
      <c r="CU441" s="27" t="s">
        <v>8</v>
      </c>
      <c r="CV441" s="27" t="s">
        <v>7</v>
      </c>
      <c r="CW441" s="27" t="s">
        <v>8</v>
      </c>
      <c r="CX441" s="27" t="s">
        <v>7</v>
      </c>
      <c r="CY441" s="27" t="s">
        <v>8</v>
      </c>
      <c r="DB441" s="27" t="s">
        <v>7</v>
      </c>
      <c r="DC441" s="27" t="s">
        <v>8</v>
      </c>
      <c r="DD441" s="27" t="s">
        <v>7</v>
      </c>
      <c r="DE441" s="27" t="s">
        <v>8</v>
      </c>
      <c r="DF441" s="27" t="s">
        <v>7</v>
      </c>
      <c r="FB441" s="27" t="s">
        <v>7</v>
      </c>
      <c r="FC441" s="27" t="s">
        <v>8</v>
      </c>
      <c r="FD441" s="27" t="s">
        <v>7</v>
      </c>
      <c r="FE441" s="27" t="s">
        <v>8</v>
      </c>
      <c r="FN441" s="27" t="s">
        <v>7</v>
      </c>
      <c r="FP441" s="27" t="s">
        <v>7</v>
      </c>
      <c r="FY441" s="27" t="s">
        <v>8</v>
      </c>
      <c r="FZ441" s="27" t="s">
        <v>7</v>
      </c>
      <c r="GC441" s="27" t="s">
        <v>8</v>
      </c>
      <c r="GD441" s="27" t="s">
        <v>7</v>
      </c>
      <c r="GE441" s="27" t="s">
        <v>8</v>
      </c>
      <c r="GF441" s="27" t="s">
        <v>7</v>
      </c>
      <c r="GG441" s="27" t="s">
        <v>8</v>
      </c>
      <c r="HP441" s="27" t="s">
        <v>7</v>
      </c>
      <c r="IP441" s="27" t="s">
        <v>7</v>
      </c>
      <c r="IQ441" s="27" t="s">
        <v>8</v>
      </c>
      <c r="IR441" s="27" t="s">
        <v>7</v>
      </c>
      <c r="IS441" s="27" t="s">
        <v>8</v>
      </c>
      <c r="IT441" s="27" t="s">
        <v>7</v>
      </c>
      <c r="IU441" s="27" t="s">
        <v>8</v>
      </c>
      <c r="IY441" s="27" t="s">
        <v>8</v>
      </c>
      <c r="JB441" s="27" t="s">
        <v>7</v>
      </c>
      <c r="JC441" s="27" t="s">
        <v>8</v>
      </c>
      <c r="JD441" s="27" t="s">
        <v>7</v>
      </c>
      <c r="JE441" s="27" t="s">
        <v>8</v>
      </c>
      <c r="JF441" s="27" t="s">
        <v>7</v>
      </c>
    </row>
    <row r="442" spans="1:268" x14ac:dyDescent="0.25">
      <c r="A442" s="7">
        <v>17.661391005301542</v>
      </c>
      <c r="B442"/>
      <c r="C442"/>
      <c r="D442"/>
      <c r="E442"/>
      <c r="G442" s="27" t="s">
        <v>8</v>
      </c>
      <c r="H442" s="27" t="s">
        <v>7</v>
      </c>
      <c r="I442" s="27" t="s">
        <v>8</v>
      </c>
      <c r="J442" s="27" t="s">
        <v>7</v>
      </c>
      <c r="K442" s="27" t="s">
        <v>8</v>
      </c>
      <c r="O442" s="27" t="s">
        <v>8</v>
      </c>
      <c r="P442" s="27" t="s">
        <v>7</v>
      </c>
      <c r="V442" s="27" t="s">
        <v>7</v>
      </c>
      <c r="AB442" s="27" t="s">
        <v>7</v>
      </c>
      <c r="AC442" s="27" t="s">
        <v>8</v>
      </c>
      <c r="AT442" s="27" t="s">
        <v>7</v>
      </c>
      <c r="AY442" s="27" t="s">
        <v>8</v>
      </c>
      <c r="AZ442" s="27" t="s">
        <v>7</v>
      </c>
      <c r="CA442" s="27" t="s">
        <v>8</v>
      </c>
      <c r="CE442" s="27" t="s">
        <v>8</v>
      </c>
      <c r="CF442" s="27" t="s">
        <v>7</v>
      </c>
      <c r="CK442" s="27" t="s">
        <v>8</v>
      </c>
      <c r="CL442" s="27" t="s">
        <v>7</v>
      </c>
      <c r="CM442" s="27" t="s">
        <v>8</v>
      </c>
      <c r="CN442" s="27" t="s">
        <v>7</v>
      </c>
      <c r="CQ442" s="27" t="s">
        <v>8</v>
      </c>
      <c r="CR442" s="27" t="s">
        <v>7</v>
      </c>
      <c r="CU442" s="27" t="s">
        <v>8</v>
      </c>
      <c r="CV442" s="27" t="s">
        <v>7</v>
      </c>
      <c r="CW442" s="27" t="s">
        <v>8</v>
      </c>
      <c r="CX442" s="27" t="s">
        <v>7</v>
      </c>
      <c r="CY442" s="27" t="s">
        <v>8</v>
      </c>
      <c r="DB442" s="27" t="s">
        <v>7</v>
      </c>
      <c r="DC442" s="27" t="s">
        <v>8</v>
      </c>
      <c r="DD442" s="27" t="s">
        <v>7</v>
      </c>
      <c r="DE442" s="27" t="s">
        <v>8</v>
      </c>
      <c r="FB442" s="27" t="s">
        <v>7</v>
      </c>
      <c r="FC442" s="27" t="s">
        <v>8</v>
      </c>
      <c r="FD442" s="27" t="s">
        <v>7</v>
      </c>
      <c r="FE442" s="27" t="s">
        <v>8</v>
      </c>
      <c r="FP442" s="27" t="s">
        <v>7</v>
      </c>
      <c r="FY442" s="27" t="s">
        <v>8</v>
      </c>
      <c r="FZ442" s="27" t="s">
        <v>7</v>
      </c>
      <c r="GC442" s="27" t="s">
        <v>8</v>
      </c>
      <c r="GD442" s="27" t="s">
        <v>7</v>
      </c>
      <c r="GE442" s="27" t="s">
        <v>8</v>
      </c>
      <c r="GF442" s="27" t="s">
        <v>7</v>
      </c>
      <c r="GG442" s="27" t="s">
        <v>8</v>
      </c>
      <c r="IP442" s="27" t="s">
        <v>7</v>
      </c>
      <c r="IQ442" s="27" t="s">
        <v>8</v>
      </c>
      <c r="IR442" s="27" t="s">
        <v>7</v>
      </c>
      <c r="IS442" s="27" t="s">
        <v>8</v>
      </c>
      <c r="IT442" s="27" t="s">
        <v>7</v>
      </c>
      <c r="IU442" s="27" t="s">
        <v>8</v>
      </c>
      <c r="IV442" s="27" t="s">
        <v>7</v>
      </c>
      <c r="IY442" s="27" t="s">
        <v>8</v>
      </c>
      <c r="JB442" s="27" t="s">
        <v>7</v>
      </c>
      <c r="JC442" s="27" t="s">
        <v>8</v>
      </c>
      <c r="JD442" s="27" t="s">
        <v>7</v>
      </c>
      <c r="JE442" s="27" t="s">
        <v>8</v>
      </c>
      <c r="JF442" s="27" t="s">
        <v>7</v>
      </c>
      <c r="JG442" s="27" t="s">
        <v>8</v>
      </c>
    </row>
    <row r="443" spans="1:268" x14ac:dyDescent="0.25">
      <c r="A443" s="7">
        <v>17.315089220883866</v>
      </c>
      <c r="B443"/>
      <c r="C443"/>
      <c r="D443"/>
      <c r="E443"/>
      <c r="G443" s="27" t="s">
        <v>8</v>
      </c>
      <c r="H443" s="27" t="s">
        <v>7</v>
      </c>
      <c r="J443" s="27" t="s">
        <v>7</v>
      </c>
      <c r="K443" s="27" t="s">
        <v>8</v>
      </c>
      <c r="L443" s="27" t="s">
        <v>7</v>
      </c>
      <c r="M443" s="27" t="s">
        <v>8</v>
      </c>
      <c r="O443" s="27" t="s">
        <v>8</v>
      </c>
      <c r="AB443" s="27" t="s">
        <v>7</v>
      </c>
      <c r="AC443" s="27" t="s">
        <v>8</v>
      </c>
      <c r="AT443" s="27" t="s">
        <v>7</v>
      </c>
      <c r="AY443" s="27" t="s">
        <v>8</v>
      </c>
      <c r="AZ443" s="27" t="s">
        <v>7</v>
      </c>
      <c r="BA443" s="27" t="s">
        <v>8</v>
      </c>
      <c r="CA443" s="27" t="s">
        <v>8</v>
      </c>
      <c r="CB443" s="27" t="s">
        <v>7</v>
      </c>
      <c r="CE443" s="27" t="s">
        <v>8</v>
      </c>
      <c r="CF443" s="27" t="s">
        <v>7</v>
      </c>
      <c r="CK443" s="27" t="s">
        <v>8</v>
      </c>
      <c r="CL443" s="27" t="s">
        <v>7</v>
      </c>
      <c r="CM443" s="27" t="s">
        <v>8</v>
      </c>
      <c r="CN443" s="27" t="s">
        <v>7</v>
      </c>
      <c r="CO443" s="27" t="s">
        <v>8</v>
      </c>
      <c r="CQ443" s="27" t="s">
        <v>8</v>
      </c>
      <c r="CR443" s="27" t="s">
        <v>7</v>
      </c>
      <c r="CS443" s="27" t="s">
        <v>8</v>
      </c>
      <c r="CU443" s="27" t="s">
        <v>8</v>
      </c>
      <c r="CV443" s="27" t="s">
        <v>7</v>
      </c>
      <c r="CX443" s="27" t="s">
        <v>7</v>
      </c>
      <c r="CY443" s="27" t="s">
        <v>8</v>
      </c>
      <c r="DB443" s="27" t="s">
        <v>7</v>
      </c>
      <c r="DC443" s="27" t="s">
        <v>8</v>
      </c>
      <c r="DD443" s="27" t="s">
        <v>7</v>
      </c>
      <c r="FB443" s="27" t="s">
        <v>7</v>
      </c>
      <c r="FC443" s="27" t="s">
        <v>8</v>
      </c>
      <c r="FD443" s="27" t="s">
        <v>7</v>
      </c>
      <c r="FE443" s="27" t="s">
        <v>8</v>
      </c>
      <c r="FP443" s="27" t="s">
        <v>7</v>
      </c>
      <c r="FQ443" s="27" t="s">
        <v>8</v>
      </c>
      <c r="FW443" s="27" t="s">
        <v>8</v>
      </c>
      <c r="FY443" s="27" t="s">
        <v>8</v>
      </c>
      <c r="FZ443" s="27" t="s">
        <v>7</v>
      </c>
      <c r="GC443" s="27" t="s">
        <v>8</v>
      </c>
      <c r="GD443" s="27" t="s">
        <v>7</v>
      </c>
      <c r="GE443" s="27" t="s">
        <v>8</v>
      </c>
      <c r="GF443" s="27" t="s">
        <v>7</v>
      </c>
      <c r="GG443" s="27" t="s">
        <v>8</v>
      </c>
      <c r="IP443" s="27" t="s">
        <v>7</v>
      </c>
      <c r="IQ443" s="27" t="s">
        <v>8</v>
      </c>
      <c r="IR443" s="27" t="s">
        <v>7</v>
      </c>
      <c r="IS443" s="27" t="s">
        <v>8</v>
      </c>
      <c r="IT443" s="27" t="s">
        <v>7</v>
      </c>
      <c r="IU443" s="27" t="s">
        <v>8</v>
      </c>
      <c r="IV443" s="27" t="s">
        <v>7</v>
      </c>
      <c r="IY443" s="27" t="s">
        <v>8</v>
      </c>
      <c r="JB443" s="27" t="s">
        <v>7</v>
      </c>
      <c r="JC443" s="27" t="s">
        <v>8</v>
      </c>
      <c r="JD443" s="27" t="s">
        <v>7</v>
      </c>
      <c r="JE443" s="27" t="s">
        <v>8</v>
      </c>
      <c r="JF443" s="27" t="s">
        <v>7</v>
      </c>
      <c r="JG443" s="27" t="s">
        <v>8</v>
      </c>
      <c r="JH443" s="27" t="s">
        <v>7</v>
      </c>
    </row>
    <row r="444" spans="1:268" x14ac:dyDescent="0.25">
      <c r="A444" s="7">
        <v>16.975577667533202</v>
      </c>
      <c r="B444"/>
      <c r="C444"/>
      <c r="D444"/>
      <c r="E444" t="s">
        <v>8</v>
      </c>
      <c r="G444" s="27" t="s">
        <v>8</v>
      </c>
      <c r="J444" s="27" t="s">
        <v>7</v>
      </c>
      <c r="K444" s="27" t="s">
        <v>8</v>
      </c>
      <c r="L444" s="27" t="s">
        <v>7</v>
      </c>
      <c r="M444" s="27" t="s">
        <v>8</v>
      </c>
      <c r="N444" s="27" t="s">
        <v>7</v>
      </c>
      <c r="O444" s="27" t="s">
        <v>8</v>
      </c>
      <c r="AB444" s="27" t="s">
        <v>7</v>
      </c>
      <c r="AC444" s="27" t="s">
        <v>8</v>
      </c>
      <c r="AT444" s="27" t="s">
        <v>7</v>
      </c>
      <c r="AY444" s="27" t="s">
        <v>8</v>
      </c>
      <c r="AZ444" s="27" t="s">
        <v>7</v>
      </c>
      <c r="BA444" s="27" t="s">
        <v>8</v>
      </c>
      <c r="BB444" s="27" t="s">
        <v>7</v>
      </c>
      <c r="CA444" s="27" t="s">
        <v>8</v>
      </c>
      <c r="CB444" s="27" t="s">
        <v>7</v>
      </c>
      <c r="CC444" s="27" t="s">
        <v>8</v>
      </c>
      <c r="CE444" s="27" t="s">
        <v>8</v>
      </c>
      <c r="CF444" s="27" t="s">
        <v>7</v>
      </c>
      <c r="CK444" s="27" t="s">
        <v>8</v>
      </c>
      <c r="CL444" s="27" t="s">
        <v>7</v>
      </c>
      <c r="CN444" s="27" t="s">
        <v>7</v>
      </c>
      <c r="CO444" s="27" t="s">
        <v>8</v>
      </c>
      <c r="CP444" s="27" t="s">
        <v>7</v>
      </c>
      <c r="CQ444" s="27" t="s">
        <v>8</v>
      </c>
      <c r="CR444" s="27" t="s">
        <v>7</v>
      </c>
      <c r="CS444" s="27" t="s">
        <v>8</v>
      </c>
      <c r="CT444" s="27" t="s">
        <v>7</v>
      </c>
      <c r="CU444" s="27" t="s">
        <v>8</v>
      </c>
      <c r="CX444" s="27" t="s">
        <v>7</v>
      </c>
      <c r="CY444" s="27" t="s">
        <v>8</v>
      </c>
      <c r="DB444" s="27" t="s">
        <v>7</v>
      </c>
      <c r="DC444" s="27" t="s">
        <v>8</v>
      </c>
      <c r="FB444" s="27" t="s">
        <v>7</v>
      </c>
      <c r="FC444" s="27" t="s">
        <v>8</v>
      </c>
      <c r="FD444" s="27" t="s">
        <v>7</v>
      </c>
      <c r="FP444" s="27" t="s">
        <v>7</v>
      </c>
      <c r="FQ444" s="27" t="s">
        <v>8</v>
      </c>
      <c r="FR444" s="27" t="s">
        <v>7</v>
      </c>
      <c r="FW444" s="27" t="s">
        <v>8</v>
      </c>
      <c r="FX444" s="27" t="s">
        <v>7</v>
      </c>
      <c r="FY444" s="27" t="s">
        <v>8</v>
      </c>
      <c r="FZ444" s="27" t="s">
        <v>7</v>
      </c>
      <c r="GC444" s="27" t="s">
        <v>8</v>
      </c>
      <c r="GD444" s="27" t="s">
        <v>7</v>
      </c>
      <c r="GF444" s="27" t="s">
        <v>7</v>
      </c>
      <c r="GG444" s="27" t="s">
        <v>8</v>
      </c>
      <c r="IP444" s="27" t="s">
        <v>7</v>
      </c>
      <c r="IQ444" s="27" t="s">
        <v>8</v>
      </c>
      <c r="IR444" s="27" t="s">
        <v>7</v>
      </c>
      <c r="IS444" s="27" t="s">
        <v>8</v>
      </c>
      <c r="IT444" s="27" t="s">
        <v>7</v>
      </c>
      <c r="IV444" s="27" t="s">
        <v>7</v>
      </c>
      <c r="IW444" s="27" t="s">
        <v>8</v>
      </c>
      <c r="IY444" s="27" t="s">
        <v>8</v>
      </c>
      <c r="JB444" s="27" t="s">
        <v>7</v>
      </c>
      <c r="JD444" s="27" t="s">
        <v>7</v>
      </c>
      <c r="JE444" s="27" t="s">
        <v>8</v>
      </c>
      <c r="JF444" s="27" t="s">
        <v>7</v>
      </c>
      <c r="JG444" s="27" t="s">
        <v>8</v>
      </c>
      <c r="JH444" s="27" t="s">
        <v>7</v>
      </c>
    </row>
    <row r="445" spans="1:268" x14ac:dyDescent="0.25">
      <c r="A445" s="7">
        <v>16.642723203463923</v>
      </c>
      <c r="B445"/>
      <c r="C445"/>
      <c r="D445"/>
      <c r="E445" t="s">
        <v>8</v>
      </c>
      <c r="F445" s="27" t="s">
        <v>7</v>
      </c>
      <c r="G445" s="27" t="s">
        <v>8</v>
      </c>
      <c r="J445" s="27" t="s">
        <v>7</v>
      </c>
      <c r="K445" s="27" t="s">
        <v>8</v>
      </c>
      <c r="L445" s="27" t="s">
        <v>7</v>
      </c>
      <c r="M445" s="27" t="s">
        <v>8</v>
      </c>
      <c r="N445" s="27" t="s">
        <v>7</v>
      </c>
      <c r="O445" s="27" t="s">
        <v>8</v>
      </c>
      <c r="AB445" s="27" t="s">
        <v>7</v>
      </c>
      <c r="AC445" s="27" t="s">
        <v>8</v>
      </c>
      <c r="AT445" s="27" t="s">
        <v>7</v>
      </c>
      <c r="AW445" s="27" t="s">
        <v>8</v>
      </c>
      <c r="AY445" s="27" t="s">
        <v>8</v>
      </c>
      <c r="AZ445" s="27" t="s">
        <v>7</v>
      </c>
      <c r="BA445" s="27" t="s">
        <v>8</v>
      </c>
      <c r="BB445" s="27" t="s">
        <v>7</v>
      </c>
      <c r="BY445" s="27" t="s">
        <v>8</v>
      </c>
      <c r="CA445" s="27" t="s">
        <v>8</v>
      </c>
      <c r="CB445" s="27" t="s">
        <v>7</v>
      </c>
      <c r="CC445" s="27" t="s">
        <v>8</v>
      </c>
      <c r="CD445" s="27" t="s">
        <v>7</v>
      </c>
      <c r="CE445" s="27" t="s">
        <v>8</v>
      </c>
      <c r="CF445" s="27" t="s">
        <v>7</v>
      </c>
      <c r="CK445" s="27" t="s">
        <v>8</v>
      </c>
      <c r="CN445" s="27" t="s">
        <v>7</v>
      </c>
      <c r="CO445" s="27" t="s">
        <v>8</v>
      </c>
      <c r="CP445" s="27" t="s">
        <v>7</v>
      </c>
      <c r="CQ445" s="27" t="s">
        <v>8</v>
      </c>
      <c r="CR445" s="27" t="s">
        <v>7</v>
      </c>
      <c r="CS445" s="27" t="s">
        <v>8</v>
      </c>
      <c r="CT445" s="27" t="s">
        <v>7</v>
      </c>
      <c r="CU445" s="27" t="s">
        <v>8</v>
      </c>
      <c r="CX445" s="27" t="s">
        <v>7</v>
      </c>
      <c r="DB445" s="27" t="s">
        <v>7</v>
      </c>
      <c r="FB445" s="27" t="s">
        <v>7</v>
      </c>
      <c r="FC445" s="27" t="s">
        <v>8</v>
      </c>
      <c r="FP445" s="27" t="s">
        <v>7</v>
      </c>
      <c r="FQ445" s="27" t="s">
        <v>8</v>
      </c>
      <c r="FR445" s="27" t="s">
        <v>7</v>
      </c>
      <c r="FW445" s="27" t="s">
        <v>8</v>
      </c>
      <c r="FX445" s="27" t="s">
        <v>7</v>
      </c>
      <c r="FY445" s="27" t="s">
        <v>8</v>
      </c>
      <c r="FZ445" s="27" t="s">
        <v>7</v>
      </c>
      <c r="GC445" s="27" t="s">
        <v>8</v>
      </c>
      <c r="GF445" s="27" t="s">
        <v>7</v>
      </c>
      <c r="GG445" s="27" t="s">
        <v>8</v>
      </c>
      <c r="IP445" s="27" t="s">
        <v>7</v>
      </c>
      <c r="IQ445" s="27" t="s">
        <v>8</v>
      </c>
      <c r="IR445" s="27" t="s">
        <v>7</v>
      </c>
      <c r="IS445" s="27" t="s">
        <v>8</v>
      </c>
      <c r="IV445" s="27" t="s">
        <v>7</v>
      </c>
      <c r="IW445" s="27" t="s">
        <v>8</v>
      </c>
      <c r="IX445" s="27" t="s">
        <v>7</v>
      </c>
      <c r="IY445" s="27" t="s">
        <v>8</v>
      </c>
      <c r="JD445" s="27" t="s">
        <v>7</v>
      </c>
      <c r="JE445" s="27" t="s">
        <v>8</v>
      </c>
      <c r="JF445" s="27" t="s">
        <v>7</v>
      </c>
      <c r="JG445" s="27" t="s">
        <v>8</v>
      </c>
      <c r="JH445" s="27" t="s">
        <v>7</v>
      </c>
    </row>
    <row r="446" spans="1:268" x14ac:dyDescent="0.25">
      <c r="A446" s="7">
        <v>16.316395297513651</v>
      </c>
      <c r="B446"/>
      <c r="C446"/>
      <c r="D446"/>
      <c r="E446" t="s">
        <v>8</v>
      </c>
      <c r="F446" s="27" t="s">
        <v>7</v>
      </c>
      <c r="G446" s="27" t="s">
        <v>8</v>
      </c>
      <c r="J446" s="27" t="s">
        <v>7</v>
      </c>
      <c r="K446" s="27" t="s">
        <v>8</v>
      </c>
      <c r="L446" s="27" t="s">
        <v>7</v>
      </c>
      <c r="M446" s="27" t="s">
        <v>8</v>
      </c>
      <c r="N446" s="27" t="s">
        <v>7</v>
      </c>
      <c r="AB446" s="27" t="s">
        <v>7</v>
      </c>
      <c r="AC446" s="27" t="s">
        <v>8</v>
      </c>
      <c r="AT446" s="27" t="s">
        <v>7</v>
      </c>
      <c r="AU446" s="27" t="s">
        <v>8</v>
      </c>
      <c r="AW446" s="27" t="s">
        <v>8</v>
      </c>
      <c r="AX446" s="27" t="s">
        <v>7</v>
      </c>
      <c r="AY446" s="27" t="s">
        <v>8</v>
      </c>
      <c r="AZ446" s="27" t="s">
        <v>7</v>
      </c>
      <c r="BB446" s="27" t="s">
        <v>7</v>
      </c>
      <c r="BY446" s="27" t="s">
        <v>8</v>
      </c>
      <c r="BZ446" s="27" t="s">
        <v>7</v>
      </c>
      <c r="CA446" s="27" t="s">
        <v>8</v>
      </c>
      <c r="CB446" s="27" t="s">
        <v>7</v>
      </c>
      <c r="CC446" s="27" t="s">
        <v>8</v>
      </c>
      <c r="CD446" s="27" t="s">
        <v>7</v>
      </c>
      <c r="CE446" s="27" t="s">
        <v>8</v>
      </c>
      <c r="CF446" s="27" t="s">
        <v>7</v>
      </c>
      <c r="CI446" s="27" t="s">
        <v>8</v>
      </c>
      <c r="CK446" s="27" t="s">
        <v>8</v>
      </c>
      <c r="CN446" s="27" t="s">
        <v>7</v>
      </c>
      <c r="CO446" s="27" t="s">
        <v>8</v>
      </c>
      <c r="CP446" s="27" t="s">
        <v>7</v>
      </c>
      <c r="CQ446" s="27" t="s">
        <v>8</v>
      </c>
      <c r="CR446" s="27" t="s">
        <v>7</v>
      </c>
      <c r="CS446" s="27" t="s">
        <v>8</v>
      </c>
      <c r="CT446" s="27" t="s">
        <v>7</v>
      </c>
      <c r="CU446" s="27" t="s">
        <v>8</v>
      </c>
      <c r="FB446" s="27" t="s">
        <v>7</v>
      </c>
      <c r="FC446" s="27" t="s">
        <v>8</v>
      </c>
      <c r="FP446" s="27" t="s">
        <v>7</v>
      </c>
      <c r="FR446" s="27" t="s">
        <v>7</v>
      </c>
      <c r="FW446" s="27" t="s">
        <v>8</v>
      </c>
      <c r="FX446" s="27" t="s">
        <v>7</v>
      </c>
      <c r="FY446" s="27" t="s">
        <v>8</v>
      </c>
      <c r="FZ446" s="27" t="s">
        <v>7</v>
      </c>
      <c r="GC446" s="27" t="s">
        <v>8</v>
      </c>
      <c r="GF446" s="27" t="s">
        <v>7</v>
      </c>
      <c r="GG446" s="27" t="s">
        <v>8</v>
      </c>
      <c r="IP446" s="27" t="s">
        <v>7</v>
      </c>
      <c r="IQ446" s="27" t="s">
        <v>8</v>
      </c>
      <c r="IR446" s="27" t="s">
        <v>7</v>
      </c>
      <c r="IS446" s="27" t="s">
        <v>8</v>
      </c>
      <c r="IV446" s="27" t="s">
        <v>7</v>
      </c>
      <c r="IW446" s="27" t="s">
        <v>8</v>
      </c>
      <c r="IX446" s="27" t="s">
        <v>7</v>
      </c>
      <c r="IY446" s="27" t="s">
        <v>8</v>
      </c>
      <c r="JD446" s="27" t="s">
        <v>7</v>
      </c>
      <c r="JE446" s="27" t="s">
        <v>8</v>
      </c>
      <c r="JF446" s="27" t="s">
        <v>7</v>
      </c>
      <c r="JH446" s="27" t="s">
        <v>7</v>
      </c>
    </row>
    <row r="447" spans="1:268" x14ac:dyDescent="0.25">
      <c r="A447" s="7">
        <v>15.996465977954561</v>
      </c>
      <c r="B447"/>
      <c r="C447"/>
      <c r="D447"/>
      <c r="E447" t="s">
        <v>8</v>
      </c>
      <c r="F447" s="27" t="s">
        <v>7</v>
      </c>
      <c r="G447" s="27" t="s">
        <v>8</v>
      </c>
      <c r="J447" s="27" t="s">
        <v>7</v>
      </c>
      <c r="K447" s="27" t="s">
        <v>8</v>
      </c>
      <c r="L447" s="27" t="s">
        <v>7</v>
      </c>
      <c r="M447" s="27" t="s">
        <v>8</v>
      </c>
      <c r="AB447" s="27" t="s">
        <v>7</v>
      </c>
      <c r="AC447" s="27" t="s">
        <v>8</v>
      </c>
      <c r="AT447" s="27" t="s">
        <v>7</v>
      </c>
      <c r="AU447" s="27" t="s">
        <v>8</v>
      </c>
      <c r="AV447" s="27" t="s">
        <v>7</v>
      </c>
      <c r="AW447" s="27" t="s">
        <v>8</v>
      </c>
      <c r="AX447" s="27" t="s">
        <v>7</v>
      </c>
      <c r="AY447" s="27" t="s">
        <v>8</v>
      </c>
      <c r="BB447" s="27" t="s">
        <v>7</v>
      </c>
      <c r="BY447" s="27" t="s">
        <v>8</v>
      </c>
      <c r="BZ447" s="27" t="s">
        <v>7</v>
      </c>
      <c r="CA447" s="27" t="s">
        <v>8</v>
      </c>
      <c r="CB447" s="27" t="s">
        <v>7</v>
      </c>
      <c r="CC447" s="27" t="s">
        <v>8</v>
      </c>
      <c r="CD447" s="27" t="s">
        <v>7</v>
      </c>
      <c r="CE447" s="27" t="s">
        <v>8</v>
      </c>
      <c r="CF447" s="27" t="s">
        <v>7</v>
      </c>
      <c r="CG447" s="27" t="s">
        <v>8</v>
      </c>
      <c r="CI447" s="27" t="s">
        <v>8</v>
      </c>
      <c r="CJ447" s="27" t="s">
        <v>7</v>
      </c>
      <c r="CK447" s="27" t="s">
        <v>8</v>
      </c>
      <c r="CN447" s="27" t="s">
        <v>7</v>
      </c>
      <c r="CO447" s="27" t="s">
        <v>8</v>
      </c>
      <c r="CP447" s="27" t="s">
        <v>7</v>
      </c>
      <c r="CQ447" s="27" t="s">
        <v>8</v>
      </c>
      <c r="CR447" s="27" t="s">
        <v>7</v>
      </c>
      <c r="CT447" s="27" t="s">
        <v>7</v>
      </c>
      <c r="CU447" s="27" t="s">
        <v>8</v>
      </c>
      <c r="FB447" s="27" t="s">
        <v>7</v>
      </c>
      <c r="FC447" s="27" t="s">
        <v>8</v>
      </c>
      <c r="FR447" s="27" t="s">
        <v>7</v>
      </c>
      <c r="FU447" s="27" t="s">
        <v>8</v>
      </c>
      <c r="FW447" s="27" t="s">
        <v>8</v>
      </c>
      <c r="FX447" s="27" t="s">
        <v>7</v>
      </c>
      <c r="FZ447" s="27" t="s">
        <v>7</v>
      </c>
      <c r="GC447" s="27" t="s">
        <v>8</v>
      </c>
      <c r="GF447" s="27" t="s">
        <v>7</v>
      </c>
      <c r="GG447" s="27" t="s">
        <v>8</v>
      </c>
      <c r="IP447" s="27" t="s">
        <v>7</v>
      </c>
      <c r="IQ447" s="27" t="s">
        <v>8</v>
      </c>
      <c r="IR447" s="27" t="s">
        <v>7</v>
      </c>
      <c r="IS447" s="27" t="s">
        <v>8</v>
      </c>
      <c r="IV447" s="27" t="s">
        <v>7</v>
      </c>
      <c r="IW447" s="27" t="s">
        <v>8</v>
      </c>
      <c r="IX447" s="27" t="s">
        <v>7</v>
      </c>
      <c r="IY447" s="27" t="s">
        <v>8</v>
      </c>
      <c r="JD447" s="27" t="s">
        <v>7</v>
      </c>
      <c r="JE447" s="27" t="s">
        <v>8</v>
      </c>
      <c r="JH447" s="27" t="s">
        <v>7</v>
      </c>
    </row>
    <row r="448" spans="1:268" x14ac:dyDescent="0.25">
      <c r="A448" s="7">
        <v>15.682809782308393</v>
      </c>
      <c r="B448"/>
      <c r="C448"/>
      <c r="D448"/>
      <c r="E448" t="s">
        <v>8</v>
      </c>
      <c r="F448" s="27" t="s">
        <v>7</v>
      </c>
      <c r="G448" s="27" t="s">
        <v>8</v>
      </c>
      <c r="J448" s="27" t="s">
        <v>7</v>
      </c>
      <c r="L448" s="27" t="s">
        <v>7</v>
      </c>
      <c r="AB448" s="27" t="s">
        <v>7</v>
      </c>
      <c r="AC448" s="27" t="s">
        <v>8</v>
      </c>
      <c r="AT448" s="27" t="s">
        <v>7</v>
      </c>
      <c r="AU448" s="27" t="s">
        <v>8</v>
      </c>
      <c r="AV448" s="27" t="s">
        <v>7</v>
      </c>
      <c r="AW448" s="27" t="s">
        <v>8</v>
      </c>
      <c r="AX448" s="27" t="s">
        <v>7</v>
      </c>
      <c r="AY448" s="27" t="s">
        <v>8</v>
      </c>
      <c r="BB448" s="27" t="s">
        <v>7</v>
      </c>
      <c r="BC448" s="27" t="s">
        <v>8</v>
      </c>
      <c r="BE448" s="27" t="s">
        <v>8</v>
      </c>
      <c r="BY448" s="27" t="s">
        <v>8</v>
      </c>
      <c r="BZ448" s="27" t="s">
        <v>7</v>
      </c>
      <c r="CA448" s="27" t="s">
        <v>8</v>
      </c>
      <c r="CB448" s="27" t="s">
        <v>7</v>
      </c>
      <c r="CC448" s="27" t="s">
        <v>8</v>
      </c>
      <c r="CD448" s="27" t="s">
        <v>7</v>
      </c>
      <c r="CE448" s="27" t="s">
        <v>8</v>
      </c>
      <c r="CF448" s="27" t="s">
        <v>7</v>
      </c>
      <c r="CG448" s="27" t="s">
        <v>8</v>
      </c>
      <c r="CH448" s="27" t="s">
        <v>7</v>
      </c>
      <c r="CI448" s="27" t="s">
        <v>8</v>
      </c>
      <c r="CJ448" s="27" t="s">
        <v>7</v>
      </c>
      <c r="CK448" s="27" t="s">
        <v>8</v>
      </c>
      <c r="CN448" s="27" t="s">
        <v>7</v>
      </c>
      <c r="CO448" s="27" t="s">
        <v>8</v>
      </c>
      <c r="CP448" s="27" t="s">
        <v>7</v>
      </c>
      <c r="CQ448" s="27" t="s">
        <v>8</v>
      </c>
      <c r="CT448" s="27" t="s">
        <v>7</v>
      </c>
      <c r="FB448" s="27" t="s">
        <v>7</v>
      </c>
      <c r="FR448" s="27" t="s">
        <v>7</v>
      </c>
      <c r="FU448" s="27" t="s">
        <v>8</v>
      </c>
      <c r="FV448" s="27" t="s">
        <v>7</v>
      </c>
      <c r="FW448" s="27" t="s">
        <v>8</v>
      </c>
      <c r="FZ448" s="27" t="s">
        <v>7</v>
      </c>
      <c r="GA448" s="27" t="s">
        <v>8</v>
      </c>
      <c r="GC448" s="27" t="s">
        <v>8</v>
      </c>
      <c r="GF448" s="18" t="s">
        <v>7</v>
      </c>
      <c r="GG448" s="27" t="s">
        <v>8</v>
      </c>
      <c r="IP448" s="27" t="s">
        <v>7</v>
      </c>
      <c r="IR448" s="27" t="s">
        <v>7</v>
      </c>
      <c r="IV448" s="27" t="s">
        <v>7</v>
      </c>
      <c r="IW448" s="27" t="s">
        <v>8</v>
      </c>
      <c r="IX448" s="27" t="s">
        <v>7</v>
      </c>
      <c r="JD448" s="27" t="s">
        <v>7</v>
      </c>
      <c r="JE448" s="27" t="s">
        <v>8</v>
      </c>
      <c r="JH448" s="27" t="s">
        <v>7</v>
      </c>
    </row>
    <row r="449" spans="1:272" x14ac:dyDescent="0.25">
      <c r="A449" s="7">
        <v>15.375303708145482</v>
      </c>
      <c r="B449"/>
      <c r="C449"/>
      <c r="D449"/>
      <c r="E449" t="s">
        <v>8</v>
      </c>
      <c r="F449" s="27" t="s">
        <v>7</v>
      </c>
      <c r="G449" s="27" t="s">
        <v>8</v>
      </c>
      <c r="AB449" s="27" t="s">
        <v>7</v>
      </c>
      <c r="AC449" s="27" t="s">
        <v>8</v>
      </c>
      <c r="AT449" s="27" t="s">
        <v>7</v>
      </c>
      <c r="AU449" s="27" t="s">
        <v>8</v>
      </c>
      <c r="AV449" s="27" t="s">
        <v>7</v>
      </c>
      <c r="AW449" s="27" t="s">
        <v>8</v>
      </c>
      <c r="AX449" s="27" t="s">
        <v>7</v>
      </c>
      <c r="AY449" s="27" t="s">
        <v>8</v>
      </c>
      <c r="BB449" s="27" t="s">
        <v>7</v>
      </c>
      <c r="BC449" s="27" t="s">
        <v>8</v>
      </c>
      <c r="BD449" s="27" t="s">
        <v>7</v>
      </c>
      <c r="BE449" s="27" t="s">
        <v>8</v>
      </c>
      <c r="BF449" s="27" t="s">
        <v>7</v>
      </c>
      <c r="BY449" s="27" t="s">
        <v>8</v>
      </c>
      <c r="BZ449" s="27" t="s">
        <v>7</v>
      </c>
      <c r="CA449" s="27" t="s">
        <v>8</v>
      </c>
      <c r="CB449" s="27" t="s">
        <v>7</v>
      </c>
      <c r="CC449" s="27" t="s">
        <v>8</v>
      </c>
      <c r="CD449" s="27" t="s">
        <v>7</v>
      </c>
      <c r="CE449" s="27" t="s">
        <v>8</v>
      </c>
      <c r="CF449" s="27" t="s">
        <v>7</v>
      </c>
      <c r="CG449" s="27" t="s">
        <v>8</v>
      </c>
      <c r="CH449" s="27" t="s">
        <v>7</v>
      </c>
      <c r="CI449" s="27" t="s">
        <v>8</v>
      </c>
      <c r="CJ449" s="27" t="s">
        <v>7</v>
      </c>
      <c r="CN449" s="27" t="s">
        <v>7</v>
      </c>
      <c r="CO449" s="27" t="s">
        <v>8</v>
      </c>
      <c r="CP449" s="27" t="s">
        <v>7</v>
      </c>
      <c r="FR449" s="27" t="s">
        <v>7</v>
      </c>
      <c r="FU449" s="27" t="s">
        <v>8</v>
      </c>
      <c r="FV449" s="27" t="s">
        <v>7</v>
      </c>
      <c r="FW449" s="27" t="s">
        <v>8</v>
      </c>
      <c r="FZ449" s="27" t="s">
        <v>7</v>
      </c>
      <c r="GA449" s="27" t="s">
        <v>8</v>
      </c>
      <c r="GB449" s="27" t="s">
        <v>7</v>
      </c>
      <c r="GC449" s="27" t="s">
        <v>8</v>
      </c>
      <c r="GF449" s="27" t="s">
        <v>7</v>
      </c>
      <c r="GG449" s="27" t="s">
        <v>8</v>
      </c>
      <c r="IV449" s="27" t="s">
        <v>7</v>
      </c>
      <c r="JD449" s="27" t="s">
        <v>7</v>
      </c>
      <c r="JE449" s="27" t="s">
        <v>8</v>
      </c>
      <c r="JH449" s="27" t="s">
        <v>7</v>
      </c>
    </row>
    <row r="450" spans="1:272" x14ac:dyDescent="0.25">
      <c r="A450" s="7">
        <v>15.073827164848511</v>
      </c>
      <c r="B450"/>
      <c r="C450"/>
      <c r="D450"/>
      <c r="E450" t="s">
        <v>8</v>
      </c>
      <c r="F450" s="27" t="s">
        <v>7</v>
      </c>
      <c r="G450" s="27" t="s">
        <v>8</v>
      </c>
      <c r="AB450" s="27" t="s">
        <v>7</v>
      </c>
      <c r="AC450" s="27" t="s">
        <v>8</v>
      </c>
      <c r="AT450" s="27" t="s">
        <v>7</v>
      </c>
      <c r="AU450" s="27" t="s">
        <v>8</v>
      </c>
      <c r="AV450" s="27" t="s">
        <v>7</v>
      </c>
      <c r="AW450" s="27" t="s">
        <v>8</v>
      </c>
      <c r="AX450" s="27" t="s">
        <v>7</v>
      </c>
      <c r="BB450" s="27" t="s">
        <v>7</v>
      </c>
      <c r="BC450" s="27" t="s">
        <v>8</v>
      </c>
      <c r="BD450" s="27" t="s">
        <v>7</v>
      </c>
      <c r="BE450" s="27" t="s">
        <v>8</v>
      </c>
      <c r="BF450" s="27" t="s">
        <v>7</v>
      </c>
      <c r="BK450" s="27" t="s">
        <v>8</v>
      </c>
      <c r="BU450" s="27" t="s">
        <v>8</v>
      </c>
      <c r="BW450" s="27" t="s">
        <v>8</v>
      </c>
      <c r="BY450" s="27" t="s">
        <v>8</v>
      </c>
      <c r="BZ450" s="27" t="s">
        <v>7</v>
      </c>
      <c r="CB450" s="27" t="s">
        <v>7</v>
      </c>
      <c r="CC450" s="27" t="s">
        <v>8</v>
      </c>
      <c r="CD450" s="27" t="s">
        <v>7</v>
      </c>
      <c r="CE450" s="27" t="s">
        <v>8</v>
      </c>
      <c r="CF450" s="27" t="s">
        <v>7</v>
      </c>
      <c r="CG450" s="27" t="s">
        <v>8</v>
      </c>
      <c r="CH450" s="27" t="s">
        <v>7</v>
      </c>
      <c r="CI450" s="27" t="s">
        <v>8</v>
      </c>
      <c r="CN450" s="27" t="s">
        <v>7</v>
      </c>
      <c r="CO450" s="27" t="s">
        <v>8</v>
      </c>
      <c r="FR450" s="27" t="s">
        <v>7</v>
      </c>
      <c r="FU450" s="27" t="s">
        <v>8</v>
      </c>
      <c r="FV450" s="27" t="s">
        <v>7</v>
      </c>
      <c r="FW450" s="27" t="s">
        <v>8</v>
      </c>
      <c r="FZ450" s="27" t="s">
        <v>7</v>
      </c>
      <c r="GA450" s="27" t="s">
        <v>8</v>
      </c>
      <c r="GB450" s="27" t="s">
        <v>7</v>
      </c>
      <c r="GC450" s="27" t="s">
        <v>8</v>
      </c>
      <c r="GF450" s="27" t="s">
        <v>7</v>
      </c>
      <c r="GG450" s="27" t="s">
        <v>8</v>
      </c>
      <c r="JD450" s="27" t="s">
        <v>7</v>
      </c>
      <c r="JE450" s="27" t="s">
        <v>8</v>
      </c>
      <c r="JH450" s="27" t="s">
        <v>7</v>
      </c>
    </row>
    <row r="451" spans="1:272" x14ac:dyDescent="0.25">
      <c r="A451" s="7">
        <v>14.77826192632207</v>
      </c>
      <c r="B451"/>
      <c r="C451"/>
      <c r="D451"/>
      <c r="E451" t="s">
        <v>8</v>
      </c>
      <c r="F451" s="27" t="s">
        <v>7</v>
      </c>
      <c r="G451" s="27" t="s">
        <v>8</v>
      </c>
      <c r="AB451" s="27" t="s">
        <v>7</v>
      </c>
      <c r="AC451" s="27" t="s">
        <v>8</v>
      </c>
      <c r="AT451" s="27" t="s">
        <v>7</v>
      </c>
      <c r="AU451" s="27" t="s">
        <v>8</v>
      </c>
      <c r="AV451" s="27" t="s">
        <v>7</v>
      </c>
      <c r="BB451" s="27" t="s">
        <v>7</v>
      </c>
      <c r="BD451" s="27" t="s">
        <v>7</v>
      </c>
      <c r="BE451" s="27" t="s">
        <v>8</v>
      </c>
      <c r="BF451" s="27" t="s">
        <v>7</v>
      </c>
      <c r="BG451" s="27" t="s">
        <v>8</v>
      </c>
      <c r="BK451" s="27" t="s">
        <v>8</v>
      </c>
      <c r="BL451" s="27" t="s">
        <v>7</v>
      </c>
      <c r="BU451" s="27" t="s">
        <v>8</v>
      </c>
      <c r="BV451" s="27" t="s">
        <v>7</v>
      </c>
      <c r="BW451" s="27" t="s">
        <v>8</v>
      </c>
      <c r="BX451" s="27" t="s">
        <v>7</v>
      </c>
      <c r="BY451" s="27" t="s">
        <v>8</v>
      </c>
      <c r="CB451" s="27" t="s">
        <v>7</v>
      </c>
      <c r="CC451" s="27" t="s">
        <v>8</v>
      </c>
      <c r="CD451" s="27" t="s">
        <v>7</v>
      </c>
      <c r="CE451" s="27" t="s">
        <v>8</v>
      </c>
      <c r="CF451" s="27" t="s">
        <v>7</v>
      </c>
      <c r="CG451" s="27" t="s">
        <v>8</v>
      </c>
      <c r="CH451" s="27" t="s">
        <v>7</v>
      </c>
      <c r="CI451" s="27" t="s">
        <v>8</v>
      </c>
      <c r="CN451" s="27" t="s">
        <v>7</v>
      </c>
      <c r="CO451" s="27" t="s">
        <v>8</v>
      </c>
      <c r="FR451" s="27" t="s">
        <v>7</v>
      </c>
      <c r="FU451" s="27" t="s">
        <v>8</v>
      </c>
      <c r="FV451" s="27" t="s">
        <v>7</v>
      </c>
      <c r="FZ451" s="27" t="s">
        <v>7</v>
      </c>
      <c r="GA451" s="27" t="s">
        <v>8</v>
      </c>
      <c r="GB451" s="27" t="s">
        <v>7</v>
      </c>
      <c r="GF451" s="27" t="s">
        <v>7</v>
      </c>
      <c r="GG451" s="27" t="s">
        <v>8</v>
      </c>
      <c r="JD451" s="27" t="s">
        <v>7</v>
      </c>
      <c r="JH451" s="27" t="s">
        <v>7</v>
      </c>
    </row>
    <row r="452" spans="1:272" x14ac:dyDescent="0.25">
      <c r="A452" s="7">
        <v>14.488492084629481</v>
      </c>
      <c r="B452"/>
      <c r="C452"/>
      <c r="D452"/>
      <c r="E452" t="s">
        <v>8</v>
      </c>
      <c r="F452" s="27" t="s">
        <v>7</v>
      </c>
      <c r="AB452" s="27" t="s">
        <v>7</v>
      </c>
      <c r="AC452" s="27" t="s">
        <v>8</v>
      </c>
      <c r="AT452" s="27" t="s">
        <v>7</v>
      </c>
      <c r="AU452" s="27" t="s">
        <v>8</v>
      </c>
      <c r="BD452" s="27" t="s">
        <v>7</v>
      </c>
      <c r="BE452" s="27" t="s">
        <v>8</v>
      </c>
      <c r="BF452" s="27" t="s">
        <v>7</v>
      </c>
      <c r="BG452" s="27" t="s">
        <v>8</v>
      </c>
      <c r="BH452" s="27" t="s">
        <v>7</v>
      </c>
      <c r="BI452" s="27" t="s">
        <v>8</v>
      </c>
      <c r="BK452" s="27" t="s">
        <v>8</v>
      </c>
      <c r="BL452" s="27" t="s">
        <v>7</v>
      </c>
      <c r="BS452" s="27" t="s">
        <v>8</v>
      </c>
      <c r="BU452" s="27" t="s">
        <v>8</v>
      </c>
      <c r="BV452" s="27" t="s">
        <v>7</v>
      </c>
      <c r="BW452" s="27" t="s">
        <v>8</v>
      </c>
      <c r="BX452" s="27" t="s">
        <v>7</v>
      </c>
      <c r="BY452" s="27" t="s">
        <v>8</v>
      </c>
      <c r="CB452" s="27" t="s">
        <v>7</v>
      </c>
      <c r="CC452" s="27" t="s">
        <v>8</v>
      </c>
      <c r="CD452" s="27" t="s">
        <v>7</v>
      </c>
      <c r="CF452" s="27" t="s">
        <v>7</v>
      </c>
      <c r="CH452" s="27" t="s">
        <v>7</v>
      </c>
      <c r="CI452" s="27" t="s">
        <v>8</v>
      </c>
      <c r="CN452" s="27" t="s">
        <v>7</v>
      </c>
      <c r="CO452" s="27" t="s">
        <v>8</v>
      </c>
      <c r="FR452" s="27" t="s">
        <v>7</v>
      </c>
      <c r="FU452" s="27" t="s">
        <v>8</v>
      </c>
      <c r="FZ452" s="27" t="s">
        <v>7</v>
      </c>
      <c r="GF452" s="27" t="s">
        <v>7</v>
      </c>
      <c r="GG452" s="27" t="s">
        <v>8</v>
      </c>
      <c r="JH452" s="27" t="s">
        <v>7</v>
      </c>
      <c r="JK452" s="27" t="s">
        <v>8</v>
      </c>
    </row>
    <row r="453" spans="1:272" x14ac:dyDescent="0.25">
      <c r="A453" s="7">
        <v>14.204404004538707</v>
      </c>
      <c r="B453"/>
      <c r="C453"/>
      <c r="D453"/>
      <c r="E453" t="s">
        <v>8</v>
      </c>
      <c r="AB453" s="27" t="s">
        <v>7</v>
      </c>
      <c r="AC453" s="27" t="s">
        <v>8</v>
      </c>
      <c r="AT453" s="27" t="s">
        <v>7</v>
      </c>
      <c r="AU453" s="27" t="s">
        <v>8</v>
      </c>
      <c r="BD453" s="27" t="s">
        <v>7</v>
      </c>
      <c r="BE453" s="27" t="s">
        <v>8</v>
      </c>
      <c r="BF453" s="27" t="s">
        <v>7</v>
      </c>
      <c r="BG453" s="27" t="s">
        <v>8</v>
      </c>
      <c r="BH453" s="27" t="s">
        <v>7</v>
      </c>
      <c r="BI453" s="27" t="s">
        <v>8</v>
      </c>
      <c r="BJ453" s="27" t="s">
        <v>7</v>
      </c>
      <c r="BK453" s="27" t="s">
        <v>8</v>
      </c>
      <c r="BL453" s="27" t="s">
        <v>7</v>
      </c>
      <c r="BQ453" s="27" t="s">
        <v>8</v>
      </c>
      <c r="BS453" s="27" t="s">
        <v>8</v>
      </c>
      <c r="BT453" s="27" t="s">
        <v>7</v>
      </c>
      <c r="BU453" s="27" t="s">
        <v>8</v>
      </c>
      <c r="BV453" s="27" t="s">
        <v>7</v>
      </c>
      <c r="BW453" s="27" t="s">
        <v>8</v>
      </c>
      <c r="BX453" s="27" t="s">
        <v>7</v>
      </c>
      <c r="BY453" s="27" t="s">
        <v>8</v>
      </c>
      <c r="CB453" s="27" t="s">
        <v>7</v>
      </c>
      <c r="CC453" s="27" t="s">
        <v>8</v>
      </c>
      <c r="CH453" s="27" t="s">
        <v>7</v>
      </c>
      <c r="CN453" s="27" t="s">
        <v>7</v>
      </c>
      <c r="CO453" s="27" t="s">
        <v>8</v>
      </c>
      <c r="FR453" s="27" t="s">
        <v>7</v>
      </c>
      <c r="FU453" s="27" t="s">
        <v>8</v>
      </c>
      <c r="GF453" s="27" t="s">
        <v>7</v>
      </c>
      <c r="GG453" s="27" t="s">
        <v>8</v>
      </c>
      <c r="JH453" s="27" t="s">
        <v>7</v>
      </c>
      <c r="JK453" s="27" t="s">
        <v>8</v>
      </c>
      <c r="JL453" s="27" t="s">
        <v>7</v>
      </c>
    </row>
    <row r="454" spans="1:272" x14ac:dyDescent="0.25">
      <c r="A454" s="7">
        <v>13.925886278959517</v>
      </c>
      <c r="B454"/>
      <c r="C454"/>
      <c r="D454"/>
      <c r="E454" t="s">
        <v>8</v>
      </c>
      <c r="AB454" s="27" t="s">
        <v>7</v>
      </c>
      <c r="AC454" s="27" t="s">
        <v>8</v>
      </c>
      <c r="AT454" s="27" t="s">
        <v>7</v>
      </c>
      <c r="BD454" s="27" t="s">
        <v>7</v>
      </c>
      <c r="BE454" s="27" t="s">
        <v>8</v>
      </c>
      <c r="BF454" s="27" t="s">
        <v>7</v>
      </c>
      <c r="BG454" s="27" t="s">
        <v>8</v>
      </c>
      <c r="BH454" s="27" t="s">
        <v>7</v>
      </c>
      <c r="BI454" s="27" t="s">
        <v>8</v>
      </c>
      <c r="BJ454" s="27" t="s">
        <v>7</v>
      </c>
      <c r="BK454" s="27" t="s">
        <v>8</v>
      </c>
      <c r="BL454" s="27" t="s">
        <v>7</v>
      </c>
      <c r="BO454" s="27" t="s">
        <v>8</v>
      </c>
      <c r="BQ454" s="27" t="s">
        <v>8</v>
      </c>
      <c r="BR454" s="27" t="s">
        <v>7</v>
      </c>
      <c r="BS454" s="27" t="s">
        <v>8</v>
      </c>
      <c r="BT454" s="27" t="s">
        <v>7</v>
      </c>
      <c r="BU454" s="27" t="s">
        <v>8</v>
      </c>
      <c r="BV454" s="27" t="s">
        <v>7</v>
      </c>
      <c r="BW454" s="27" t="s">
        <v>8</v>
      </c>
      <c r="BX454" s="27" t="s">
        <v>7</v>
      </c>
      <c r="CB454" s="27" t="s">
        <v>7</v>
      </c>
      <c r="CN454" s="27" t="s">
        <v>7</v>
      </c>
      <c r="FR454" s="27" t="s">
        <v>7</v>
      </c>
      <c r="FU454" s="27" t="s">
        <v>8</v>
      </c>
      <c r="GF454" s="27" t="s">
        <v>7</v>
      </c>
      <c r="JH454" s="27" t="s">
        <v>7</v>
      </c>
      <c r="JK454" s="27" t="s">
        <v>8</v>
      </c>
      <c r="JL454" s="27" t="s">
        <v>7</v>
      </c>
    </row>
    <row r="455" spans="1:272" x14ac:dyDescent="0.25">
      <c r="A455" s="7">
        <v>13.652829685254428</v>
      </c>
      <c r="B455"/>
      <c r="C455"/>
      <c r="D455"/>
      <c r="E455" t="s">
        <v>8</v>
      </c>
      <c r="AB455" s="27" t="s">
        <v>7</v>
      </c>
      <c r="AC455" s="27" t="s">
        <v>8</v>
      </c>
      <c r="BD455" s="27" t="s">
        <v>7</v>
      </c>
      <c r="BE455" s="27" t="s">
        <v>8</v>
      </c>
      <c r="BF455" s="27" t="s">
        <v>7</v>
      </c>
      <c r="BH455" s="27" t="s">
        <v>7</v>
      </c>
      <c r="BI455" s="27" t="s">
        <v>8</v>
      </c>
      <c r="BJ455" s="27" t="s">
        <v>7</v>
      </c>
      <c r="BK455" s="27" t="s">
        <v>8</v>
      </c>
      <c r="BL455" s="27" t="s">
        <v>7</v>
      </c>
      <c r="BO455" s="27" t="s">
        <v>8</v>
      </c>
      <c r="BP455" s="27" t="s">
        <v>7</v>
      </c>
      <c r="BQ455" s="27" t="s">
        <v>8</v>
      </c>
      <c r="BR455" s="27" t="s">
        <v>7</v>
      </c>
      <c r="BS455" s="27" t="s">
        <v>8</v>
      </c>
      <c r="BT455" s="27" t="s">
        <v>7</v>
      </c>
      <c r="BV455" s="27" t="s">
        <v>7</v>
      </c>
      <c r="FR455" s="27" t="s">
        <v>7</v>
      </c>
      <c r="FU455" s="27" t="s">
        <v>8</v>
      </c>
      <c r="JH455" s="27" t="s">
        <v>7</v>
      </c>
      <c r="JK455" s="27" t="s">
        <v>8</v>
      </c>
      <c r="JL455" s="27" t="s">
        <v>7</v>
      </c>
    </row>
    <row r="456" spans="1:272" x14ac:dyDescent="0.25">
      <c r="A456" s="7">
        <v>13.385127142406303</v>
      </c>
      <c r="B456"/>
      <c r="C456"/>
      <c r="D456"/>
      <c r="E456" t="s">
        <v>8</v>
      </c>
      <c r="AB456" s="27" t="s">
        <v>7</v>
      </c>
      <c r="AC456" s="27" t="s">
        <v>8</v>
      </c>
      <c r="BD456" s="27" t="s">
        <v>7</v>
      </c>
      <c r="BE456" s="27" t="s">
        <v>8</v>
      </c>
      <c r="BH456" s="27" t="s">
        <v>7</v>
      </c>
      <c r="BI456" s="27" t="s">
        <v>8</v>
      </c>
      <c r="BJ456" s="27" t="s">
        <v>7</v>
      </c>
      <c r="BK456" s="27" t="s">
        <v>8</v>
      </c>
      <c r="BL456" s="27" t="s">
        <v>7</v>
      </c>
      <c r="BM456" s="27" t="s">
        <v>8</v>
      </c>
      <c r="BO456" s="27" t="s">
        <v>8</v>
      </c>
      <c r="BP456" s="27" t="s">
        <v>7</v>
      </c>
      <c r="BQ456" s="27" t="s">
        <v>8</v>
      </c>
      <c r="BR456" s="27" t="s">
        <v>7</v>
      </c>
      <c r="BS456" s="27" t="s">
        <v>8</v>
      </c>
      <c r="FR456" s="27" t="s">
        <v>7</v>
      </c>
      <c r="FS456" s="27" t="s">
        <v>8</v>
      </c>
      <c r="FU456" s="27" t="s">
        <v>8</v>
      </c>
      <c r="JH456" s="27" t="s">
        <v>7</v>
      </c>
      <c r="JK456" s="27" t="s">
        <v>8</v>
      </c>
      <c r="JL456" s="27" t="s">
        <v>7</v>
      </c>
    </row>
    <row r="457" spans="1:272" x14ac:dyDescent="0.25">
      <c r="A457" s="7">
        <v>13.122673669025787</v>
      </c>
      <c r="B457"/>
      <c r="C457"/>
      <c r="D457"/>
      <c r="E457" t="s">
        <v>8</v>
      </c>
      <c r="AB457" s="27" t="s">
        <v>7</v>
      </c>
      <c r="AC457" s="27" t="s">
        <v>8</v>
      </c>
      <c r="BD457" s="27" t="s">
        <v>7</v>
      </c>
      <c r="BE457" s="27" t="s">
        <v>8</v>
      </c>
      <c r="BH457" s="27" t="s">
        <v>7</v>
      </c>
      <c r="BJ457" s="27" t="s">
        <v>7</v>
      </c>
      <c r="BK457" s="27" t="s">
        <v>8</v>
      </c>
      <c r="BL457" s="27" t="s">
        <v>7</v>
      </c>
      <c r="BM457" s="27" t="s">
        <v>8</v>
      </c>
      <c r="BN457" s="27" t="s">
        <v>7</v>
      </c>
      <c r="BO457" s="27" t="s">
        <v>8</v>
      </c>
      <c r="BP457" s="27" t="s">
        <v>7</v>
      </c>
      <c r="BQ457" s="27" t="s">
        <v>8</v>
      </c>
      <c r="BR457" s="27" t="s">
        <v>7</v>
      </c>
      <c r="FR457" s="27" t="s">
        <v>7</v>
      </c>
      <c r="FS457" s="27" t="s">
        <v>8</v>
      </c>
      <c r="FT457" s="27" t="s">
        <v>7</v>
      </c>
      <c r="FU457" s="27" t="s">
        <v>8</v>
      </c>
      <c r="JH457" s="27" t="s">
        <v>7</v>
      </c>
      <c r="JI457" s="27" t="s">
        <v>8</v>
      </c>
      <c r="JK457" s="27" t="s">
        <v>8</v>
      </c>
      <c r="JL457" s="27" t="s">
        <v>7</v>
      </c>
    </row>
    <row r="458" spans="1:272" x14ac:dyDescent="0.25">
      <c r="A458" s="7">
        <v>12.865366342182144</v>
      </c>
      <c r="B458"/>
      <c r="C458"/>
      <c r="D458"/>
      <c r="E458" t="s">
        <v>8</v>
      </c>
      <c r="AB458" s="27" t="s">
        <v>7</v>
      </c>
      <c r="AC458" s="27" t="s">
        <v>8</v>
      </c>
      <c r="BD458" s="27" t="s">
        <v>7</v>
      </c>
      <c r="BJ458" s="27" t="s">
        <v>7</v>
      </c>
      <c r="BL458" s="27" t="s">
        <v>7</v>
      </c>
      <c r="BM458" s="27" t="s">
        <v>8</v>
      </c>
      <c r="BN458" s="27" t="s">
        <v>7</v>
      </c>
      <c r="BO458" s="27" t="s">
        <v>8</v>
      </c>
      <c r="BP458" s="27" t="s">
        <v>7</v>
      </c>
      <c r="BQ458" s="27" t="s">
        <v>8</v>
      </c>
      <c r="FR458" s="27" t="s">
        <v>7</v>
      </c>
      <c r="FS458" s="27" t="s">
        <v>8</v>
      </c>
      <c r="FT458" s="27" t="s">
        <v>7</v>
      </c>
      <c r="FU458" s="27" t="s">
        <v>8</v>
      </c>
      <c r="JH458" s="27" t="s">
        <v>7</v>
      </c>
      <c r="JI458" s="27" t="s">
        <v>8</v>
      </c>
      <c r="JJ458" s="27" t="s">
        <v>7</v>
      </c>
      <c r="JK458" s="27" t="s">
        <v>8</v>
      </c>
      <c r="JL458" s="27" t="s">
        <v>7</v>
      </c>
    </row>
    <row r="459" spans="1:272" x14ac:dyDescent="0.25">
      <c r="A459" s="7">
        <v>12.613104257041318</v>
      </c>
      <c r="B459"/>
      <c r="C459"/>
      <c r="D459"/>
      <c r="E459" t="s">
        <v>8</v>
      </c>
      <c r="AB459" s="27" t="s">
        <v>7</v>
      </c>
      <c r="AC459" s="27" t="s">
        <v>8</v>
      </c>
      <c r="BL459" s="27" t="s">
        <v>7</v>
      </c>
      <c r="BM459" s="27" t="s">
        <v>8</v>
      </c>
      <c r="BN459" s="27" t="s">
        <v>7</v>
      </c>
      <c r="BO459" s="27" t="s">
        <v>8</v>
      </c>
      <c r="BP459" s="27" t="s">
        <v>7</v>
      </c>
      <c r="BQ459" s="27" t="s">
        <v>8</v>
      </c>
      <c r="FR459" s="27" t="s">
        <v>7</v>
      </c>
      <c r="FS459" s="27" t="s">
        <v>8</v>
      </c>
      <c r="FT459" s="27" t="s">
        <v>7</v>
      </c>
      <c r="FU459" s="27" t="s">
        <v>8</v>
      </c>
      <c r="JH459" s="27" t="s">
        <v>7</v>
      </c>
      <c r="JI459" s="27" t="s">
        <v>8</v>
      </c>
      <c r="JJ459" s="27" t="s">
        <v>7</v>
      </c>
      <c r="JK459" s="27" t="s">
        <v>8</v>
      </c>
      <c r="JL459" s="27" t="s">
        <v>7</v>
      </c>
    </row>
    <row r="460" spans="1:272" x14ac:dyDescent="0.25">
      <c r="A460" s="7">
        <v>12.36578848729541</v>
      </c>
      <c r="B460"/>
      <c r="C460"/>
      <c r="D460"/>
      <c r="E460" t="s">
        <v>8</v>
      </c>
      <c r="AB460" s="27" t="s">
        <v>7</v>
      </c>
      <c r="AC460" s="27" t="s">
        <v>8</v>
      </c>
      <c r="BL460" s="27" t="s">
        <v>7</v>
      </c>
      <c r="BN460" s="27" t="s">
        <v>7</v>
      </c>
      <c r="BO460" s="27" t="s">
        <v>8</v>
      </c>
      <c r="BP460" s="27" t="s">
        <v>7</v>
      </c>
      <c r="FR460" s="27" t="s">
        <v>7</v>
      </c>
      <c r="FS460" s="27" t="s">
        <v>8</v>
      </c>
      <c r="FT460" s="27" t="s">
        <v>7</v>
      </c>
      <c r="FU460" s="27" t="s">
        <v>8</v>
      </c>
      <c r="JH460" s="27" t="s">
        <v>7</v>
      </c>
      <c r="JI460" s="27" t="s">
        <v>8</v>
      </c>
      <c r="JJ460" s="27" t="s">
        <v>7</v>
      </c>
      <c r="JK460" s="27" t="s">
        <v>8</v>
      </c>
      <c r="JL460" s="27" t="s">
        <v>7</v>
      </c>
    </row>
    <row r="461" spans="1:272" x14ac:dyDescent="0.25">
      <c r="A461" s="7">
        <v>12.123322046368049</v>
      </c>
      <c r="B461"/>
      <c r="C461"/>
      <c r="D461"/>
      <c r="E461" t="s">
        <v>8</v>
      </c>
      <c r="AB461" s="27" t="s">
        <v>7</v>
      </c>
      <c r="AC461" s="27" t="s">
        <v>8</v>
      </c>
      <c r="BN461" s="27" t="s">
        <v>7</v>
      </c>
      <c r="BO461" s="27" t="s">
        <v>8</v>
      </c>
      <c r="FR461" s="27" t="s">
        <v>7</v>
      </c>
      <c r="FS461" s="27" t="s">
        <v>8</v>
      </c>
      <c r="FT461" s="27" t="s">
        <v>7</v>
      </c>
      <c r="FU461" s="27" t="s">
        <v>8</v>
      </c>
      <c r="JH461" s="27" t="s">
        <v>7</v>
      </c>
      <c r="JI461" s="27" t="s">
        <v>8</v>
      </c>
      <c r="JJ461" s="27" t="s">
        <v>7</v>
      </c>
      <c r="JK461" s="27" t="s">
        <v>8</v>
      </c>
    </row>
    <row r="462" spans="1:272" x14ac:dyDescent="0.25">
      <c r="A462" s="7">
        <v>11.88560984938044</v>
      </c>
      <c r="B462"/>
      <c r="C462"/>
      <c r="D462"/>
      <c r="E462" t="s">
        <v>8</v>
      </c>
      <c r="AB462" s="27" t="s">
        <v>7</v>
      </c>
      <c r="AC462" s="27" t="s">
        <v>8</v>
      </c>
      <c r="BN462" s="27" t="s">
        <v>7</v>
      </c>
      <c r="FR462" s="27" t="s">
        <v>7</v>
      </c>
      <c r="FS462" s="27" t="s">
        <v>8</v>
      </c>
      <c r="FT462" s="27" t="s">
        <v>7</v>
      </c>
      <c r="FU462" s="27" t="s">
        <v>8</v>
      </c>
      <c r="JH462" s="27" t="s">
        <v>7</v>
      </c>
      <c r="JI462" s="27" t="s">
        <v>8</v>
      </c>
      <c r="JJ462" s="27" t="s">
        <v>7</v>
      </c>
      <c r="JK462" s="27" t="s">
        <v>8</v>
      </c>
    </row>
    <row r="463" spans="1:272" x14ac:dyDescent="0.25">
      <c r="A463" s="7">
        <v>11.652558675863176</v>
      </c>
      <c r="B463"/>
      <c r="C463"/>
      <c r="D463"/>
      <c r="E463" t="s">
        <v>8</v>
      </c>
      <c r="AB463" s="27" t="s">
        <v>7</v>
      </c>
      <c r="AC463" s="27" t="s">
        <v>8</v>
      </c>
      <c r="FR463" s="27" t="s">
        <v>7</v>
      </c>
      <c r="FS463" s="27" t="s">
        <v>8</v>
      </c>
      <c r="FT463" s="27" t="s">
        <v>7</v>
      </c>
      <c r="FU463" s="27" t="s">
        <v>8</v>
      </c>
      <c r="JH463" s="27" t="s">
        <v>7</v>
      </c>
      <c r="JI463" s="27" t="s">
        <v>8</v>
      </c>
      <c r="JJ463" s="27" t="s">
        <v>7</v>
      </c>
    </row>
    <row r="464" spans="1:272" x14ac:dyDescent="0.25">
      <c r="A464" s="7">
        <v>11.424077133199193</v>
      </c>
      <c r="B464"/>
      <c r="C464"/>
      <c r="D464"/>
      <c r="E464" t="s">
        <v>8</v>
      </c>
      <c r="AB464" s="27" t="s">
        <v>7</v>
      </c>
      <c r="AC464" s="27" t="s">
        <v>8</v>
      </c>
      <c r="FR464" s="27" t="s">
        <v>7</v>
      </c>
      <c r="FS464" s="27" t="s">
        <v>8</v>
      </c>
      <c r="FT464" s="27" t="s">
        <v>7</v>
      </c>
      <c r="FU464" s="27" t="s">
        <v>8</v>
      </c>
      <c r="JH464" s="27" t="s">
        <v>7</v>
      </c>
    </row>
    <row r="465" spans="1:177" x14ac:dyDescent="0.25">
      <c r="A465" s="7">
        <v>11.200075620783522</v>
      </c>
      <c r="B465"/>
      <c r="C465"/>
      <c r="D465"/>
      <c r="E465" t="s">
        <v>8</v>
      </c>
      <c r="AB465" s="27" t="s">
        <v>7</v>
      </c>
      <c r="AC465" s="27" t="s">
        <v>8</v>
      </c>
      <c r="FR465" s="27" t="s">
        <v>7</v>
      </c>
      <c r="FS465" s="27" t="s">
        <v>8</v>
      </c>
      <c r="FT465" s="27" t="s">
        <v>7</v>
      </c>
      <c r="FU465" s="27" t="s">
        <v>8</v>
      </c>
    </row>
    <row r="466" spans="1:177" x14ac:dyDescent="0.25">
      <c r="A466" s="7">
        <v>10.980466294885806</v>
      </c>
      <c r="B466"/>
      <c r="C466"/>
      <c r="D466"/>
      <c r="E466" t="s">
        <v>8</v>
      </c>
      <c r="AB466" s="27" t="s">
        <v>7</v>
      </c>
      <c r="AC466" s="27" t="s">
        <v>8</v>
      </c>
      <c r="FR466" s="27" t="s">
        <v>7</v>
      </c>
      <c r="FS466" s="27" t="s">
        <v>8</v>
      </c>
      <c r="FT466" s="27" t="s">
        <v>7</v>
      </c>
    </row>
    <row r="467" spans="1:177" x14ac:dyDescent="0.25">
      <c r="A467" s="7">
        <v>10.765163034201771</v>
      </c>
      <c r="B467"/>
      <c r="C467"/>
      <c r="D467"/>
      <c r="E467" t="s">
        <v>8</v>
      </c>
      <c r="AB467" s="27" t="s">
        <v>7</v>
      </c>
      <c r="AC467" s="27" t="s">
        <v>8</v>
      </c>
      <c r="FR467" s="27" t="s">
        <v>7</v>
      </c>
      <c r="FS467" s="27" t="s">
        <v>8</v>
      </c>
    </row>
    <row r="468" spans="1:177" x14ac:dyDescent="0.25">
      <c r="A468" s="7">
        <v>10.554081406080169</v>
      </c>
      <c r="B468"/>
      <c r="C468"/>
      <c r="D468"/>
      <c r="E468" t="s">
        <v>8</v>
      </c>
      <c r="AB468" s="27" t="s">
        <v>7</v>
      </c>
      <c r="AC468" s="27" t="s">
        <v>8</v>
      </c>
      <c r="FR468" s="27" t="s">
        <v>7</v>
      </c>
      <c r="FS468" s="27" t="s">
        <v>8</v>
      </c>
    </row>
    <row r="469" spans="1:177" x14ac:dyDescent="0.25">
      <c r="A469" s="7">
        <v>10.34713863341193</v>
      </c>
      <c r="B469"/>
      <c r="C469"/>
      <c r="D469"/>
      <c r="E469" t="s">
        <v>8</v>
      </c>
      <c r="AB469" s="27" t="s">
        <v>7</v>
      </c>
      <c r="AC469" s="27" t="s">
        <v>8</v>
      </c>
      <c r="FR469" s="27" t="s">
        <v>7</v>
      </c>
      <c r="FS469" s="27" t="s">
        <v>8</v>
      </c>
    </row>
    <row r="470" spans="1:177" x14ac:dyDescent="0.25">
      <c r="A470" s="7">
        <v>10.14425356216856</v>
      </c>
      <c r="B470"/>
      <c r="C470"/>
      <c r="D470"/>
      <c r="E470" t="s">
        <v>8</v>
      </c>
      <c r="AB470" s="27" t="s">
        <v>7</v>
      </c>
      <c r="AC470" s="27" t="s">
        <v>8</v>
      </c>
      <c r="FR470" s="27" t="s">
        <v>7</v>
      </c>
      <c r="FS470" s="27" t="s">
        <v>8</v>
      </c>
    </row>
    <row r="471" spans="1:177" x14ac:dyDescent="0.25">
      <c r="A471" s="7">
        <v>9.9453466295770188</v>
      </c>
      <c r="B471"/>
      <c r="C471"/>
      <c r="D471"/>
      <c r="E471" t="s">
        <v>8</v>
      </c>
      <c r="AB471" s="27" t="s">
        <v>7</v>
      </c>
      <c r="AC471" s="27" t="s">
        <v>8</v>
      </c>
      <c r="FR471" s="27" t="s">
        <v>7</v>
      </c>
      <c r="FS471" s="27" t="s">
        <v>8</v>
      </c>
    </row>
    <row r="472" spans="1:177" x14ac:dyDescent="0.25">
      <c r="A472" s="7">
        <v>9.7503398329186464</v>
      </c>
      <c r="B472"/>
      <c r="C472"/>
      <c r="D472"/>
      <c r="E472" t="s">
        <v>8</v>
      </c>
      <c r="AB472" s="27" t="s">
        <v>7</v>
      </c>
      <c r="AC472" s="27" t="s">
        <v>8</v>
      </c>
      <c r="FR472" s="27" t="s">
        <v>7</v>
      </c>
      <c r="FS472" s="27" t="s">
        <v>8</v>
      </c>
    </row>
    <row r="473" spans="1:177" x14ac:dyDescent="0.25">
      <c r="A473" s="7">
        <v>9.5591566989398498</v>
      </c>
      <c r="B473"/>
      <c r="C473"/>
      <c r="D473"/>
      <c r="E473" t="s">
        <v>8</v>
      </c>
      <c r="AB473" s="27" t="s">
        <v>7</v>
      </c>
      <c r="AC473" s="27" t="s">
        <v>8</v>
      </c>
      <c r="FR473" s="27" t="s">
        <v>7</v>
      </c>
    </row>
    <row r="474" spans="1:177" x14ac:dyDescent="0.25">
      <c r="A474" s="7">
        <v>9.3717222538625968</v>
      </c>
      <c r="B474"/>
      <c r="C474"/>
      <c r="D474"/>
      <c r="E474" t="s">
        <v>8</v>
      </c>
      <c r="AB474" s="27" t="s">
        <v>7</v>
      </c>
      <c r="AC474" s="27" t="s">
        <v>8</v>
      </c>
    </row>
    <row r="475" spans="1:177" x14ac:dyDescent="0.25">
      <c r="A475" s="7">
        <v>9.1879629939829375</v>
      </c>
      <c r="B475"/>
      <c r="C475"/>
      <c r="D475"/>
      <c r="E475" t="s">
        <v>8</v>
      </c>
      <c r="AB475" s="27" t="s">
        <v>7</v>
      </c>
      <c r="AC475" s="27" t="s">
        <v>8</v>
      </c>
    </row>
    <row r="476" spans="1:177" x14ac:dyDescent="0.25">
      <c r="A476" s="7">
        <v>9.0078068568460168</v>
      </c>
      <c r="B476"/>
      <c r="C476"/>
      <c r="D476"/>
      <c r="E476" t="s">
        <v>8</v>
      </c>
      <c r="AB476" s="27" t="s">
        <v>7</v>
      </c>
      <c r="AC476" s="27" t="s">
        <v>8</v>
      </c>
    </row>
    <row r="477" spans="1:177" x14ac:dyDescent="0.25">
      <c r="A477" s="7">
        <v>8.8311831929862912</v>
      </c>
      <c r="B477"/>
      <c r="C477"/>
      <c r="D477"/>
      <c r="E477" t="s">
        <v>8</v>
      </c>
      <c r="AB477" s="27" t="s">
        <v>7</v>
      </c>
      <c r="AC477" s="27" t="s">
        <v>8</v>
      </c>
    </row>
    <row r="478" spans="1:177" x14ac:dyDescent="0.25">
      <c r="A478" s="7">
        <v>8.6580227382218542</v>
      </c>
      <c r="B478"/>
      <c r="C478"/>
      <c r="D478"/>
      <c r="E478" t="s">
        <v>8</v>
      </c>
      <c r="AB478" s="27" t="s">
        <v>7</v>
      </c>
      <c r="AC478" s="27" t="s">
        <v>8</v>
      </c>
    </row>
    <row r="479" spans="1:177" x14ac:dyDescent="0.25">
      <c r="A479" s="7">
        <v>8.4882575864920131</v>
      </c>
      <c r="B479"/>
      <c r="C479"/>
      <c r="D479"/>
      <c r="E479" t="s">
        <v>8</v>
      </c>
      <c r="AB479" s="27" t="s">
        <v>7</v>
      </c>
      <c r="AC479" s="27" t="s">
        <v>8</v>
      </c>
    </row>
    <row r="480" spans="1:177" x14ac:dyDescent="0.25">
      <c r="A480" s="7">
        <v>8.3218211632274635</v>
      </c>
      <c r="B480"/>
      <c r="C480"/>
      <c r="D480"/>
      <c r="E480" t="s">
        <v>8</v>
      </c>
      <c r="AB480" s="27" t="s">
        <v>7</v>
      </c>
      <c r="AC480" s="27" t="s">
        <v>8</v>
      </c>
    </row>
    <row r="481" spans="1:29" x14ac:dyDescent="0.25">
      <c r="A481" s="7">
        <v>8.1586481992426112</v>
      </c>
      <c r="B481"/>
      <c r="C481"/>
      <c r="D481"/>
      <c r="E481" t="s">
        <v>8</v>
      </c>
      <c r="AB481" s="27" t="s">
        <v>7</v>
      </c>
      <c r="AC481" s="27" t="s">
        <v>8</v>
      </c>
    </row>
    <row r="482" spans="1:29" x14ac:dyDescent="0.25">
      <c r="A482" s="7">
        <v>7.9986747051398144</v>
      </c>
      <c r="B482"/>
      <c r="C482"/>
      <c r="D482"/>
      <c r="E482" t="s">
        <v>8</v>
      </c>
      <c r="AB482" s="27" t="s">
        <v>7</v>
      </c>
      <c r="AC482" s="27" t="s">
        <v>8</v>
      </c>
    </row>
    <row r="483" spans="1:29" x14ac:dyDescent="0.25">
      <c r="A483" s="7">
        <v>7.8418379462155041</v>
      </c>
      <c r="B483"/>
      <c r="C483"/>
      <c r="D483"/>
      <c r="E483" t="s">
        <v>8</v>
      </c>
      <c r="AB483" s="27" t="s">
        <v>7</v>
      </c>
      <c r="AC483" s="27" t="s">
        <v>8</v>
      </c>
    </row>
    <row r="484" spans="1:29" x14ac:dyDescent="0.25">
      <c r="A484" s="7">
        <v>7.688076417858337</v>
      </c>
      <c r="B484"/>
      <c r="C484"/>
      <c r="D484"/>
      <c r="E484" t="s">
        <v>8</v>
      </c>
      <c r="AB484" s="27" t="s">
        <v>7</v>
      </c>
      <c r="AC484" s="27" t="s">
        <v>8</v>
      </c>
    </row>
    <row r="485" spans="1:29" x14ac:dyDescent="0.25">
      <c r="A485" s="7">
        <v>7.5373298214297417</v>
      </c>
      <c r="B485"/>
      <c r="C485"/>
      <c r="D485"/>
      <c r="E485" t="s">
        <v>8</v>
      </c>
      <c r="AB485" s="27" t="s">
        <v>7</v>
      </c>
      <c r="AC485" s="27" t="s">
        <v>8</v>
      </c>
    </row>
    <row r="486" spans="1:29" x14ac:dyDescent="0.25">
      <c r="A486" s="7">
        <v>7.389539040617394</v>
      </c>
      <c r="B486"/>
      <c r="C486"/>
      <c r="D486"/>
      <c r="E486" t="s">
        <v>8</v>
      </c>
      <c r="AB486" s="27" t="s">
        <v>7</v>
      </c>
      <c r="AC486" s="27" t="s">
        <v>8</v>
      </c>
    </row>
    <row r="487" spans="1:29" x14ac:dyDescent="0.25">
      <c r="A487" s="7">
        <v>7.2446461182523469</v>
      </c>
      <c r="B487"/>
      <c r="C487"/>
      <c r="D487"/>
      <c r="E487" t="s">
        <v>8</v>
      </c>
      <c r="AB487" s="27" t="s">
        <v>7</v>
      </c>
      <c r="AC487" s="27" t="s">
        <v>8</v>
      </c>
    </row>
    <row r="488" spans="1:29" x14ac:dyDescent="0.25">
      <c r="A488" s="7">
        <v>7.1025942335807324</v>
      </c>
      <c r="B488"/>
      <c r="C488"/>
      <c r="D488"/>
      <c r="E488" t="s">
        <v>8</v>
      </c>
      <c r="AB488" s="27" t="s">
        <v>7</v>
      </c>
      <c r="AC488" s="27" t="s">
        <v>8</v>
      </c>
    </row>
    <row r="489" spans="1:29" x14ac:dyDescent="0.25">
      <c r="A489" s="7">
        <v>6.9633276799811101</v>
      </c>
      <c r="B489"/>
      <c r="C489"/>
      <c r="D489"/>
      <c r="E489" t="s">
        <v>8</v>
      </c>
      <c r="AB489" s="27" t="s">
        <v>7</v>
      </c>
      <c r="AC489" s="27" t="s">
        <v>8</v>
      </c>
    </row>
    <row r="490" spans="1:29" x14ac:dyDescent="0.25">
      <c r="A490" s="7">
        <v>6.8267918431187349</v>
      </c>
      <c r="B490"/>
      <c r="C490"/>
      <c r="D490"/>
      <c r="E490" t="s">
        <v>8</v>
      </c>
      <c r="AB490" s="27" t="s">
        <v>7</v>
      </c>
      <c r="AC490" s="27" t="s">
        <v>8</v>
      </c>
    </row>
    <row r="491" spans="1:29" x14ac:dyDescent="0.25">
      <c r="A491" s="7">
        <v>6.692933179528171</v>
      </c>
      <c r="B491"/>
      <c r="C491"/>
      <c r="D491"/>
      <c r="E491" t="s">
        <v>8</v>
      </c>
      <c r="AB491" s="27" t="s">
        <v>7</v>
      </c>
      <c r="AC491" s="27" t="s">
        <v>8</v>
      </c>
    </row>
    <row r="492" spans="1:29" x14ac:dyDescent="0.25">
      <c r="A492" s="7">
        <v>6.5616991956158541</v>
      </c>
      <c r="B492"/>
      <c r="C492"/>
      <c r="D492"/>
      <c r="E492" t="s">
        <v>8</v>
      </c>
      <c r="AB492" s="27" t="s">
        <v>7</v>
      </c>
      <c r="AC492" s="27" t="s">
        <v>8</v>
      </c>
    </row>
    <row r="493" spans="1:29" x14ac:dyDescent="0.25">
      <c r="A493" s="7">
        <v>6.4330384270743668</v>
      </c>
      <c r="B493"/>
      <c r="C493"/>
      <c r="D493"/>
      <c r="E493" t="s">
        <v>8</v>
      </c>
      <c r="AB493" s="27" t="s">
        <v>7</v>
      </c>
      <c r="AC493" s="27" t="s">
        <v>8</v>
      </c>
    </row>
    <row r="494" spans="1:29" x14ac:dyDescent="0.25">
      <c r="A494" s="7">
        <v>6.3069004187003594</v>
      </c>
      <c r="B494"/>
      <c r="C494"/>
      <c r="D494"/>
      <c r="E494" t="s">
        <v>8</v>
      </c>
      <c r="AB494" s="27" t="s">
        <v>7</v>
      </c>
      <c r="AC494" s="27" t="s">
        <v>8</v>
      </c>
    </row>
    <row r="495" spans="1:29" x14ac:dyDescent="0.25">
      <c r="A495" s="7">
        <v>6.1832357046081956</v>
      </c>
      <c r="B495"/>
      <c r="C495"/>
      <c r="D495"/>
      <c r="E495" t="s">
        <v>8</v>
      </c>
      <c r="AB495" s="27" t="s">
        <v>7</v>
      </c>
      <c r="AC495" s="27" t="s">
        <v>8</v>
      </c>
    </row>
    <row r="496" spans="1:29" x14ac:dyDescent="0.25">
      <c r="A496" s="7">
        <v>6.0619957888315641</v>
      </c>
      <c r="B496"/>
      <c r="C496"/>
      <c r="D496"/>
      <c r="E496" t="s">
        <v>8</v>
      </c>
      <c r="AB496" s="27" t="s">
        <v>7</v>
      </c>
      <c r="AC496" s="27" t="s">
        <v>8</v>
      </c>
    </row>
    <row r="497" spans="1:29" x14ac:dyDescent="0.25">
      <c r="A497" s="7">
        <v>5.9431331263054545</v>
      </c>
      <c r="B497"/>
      <c r="C497"/>
      <c r="D497"/>
      <c r="E497" t="s">
        <v>8</v>
      </c>
      <c r="AB497" s="27" t="s">
        <v>7</v>
      </c>
      <c r="AC497" s="27" t="s">
        <v>8</v>
      </c>
    </row>
    <row r="498" spans="1:29" x14ac:dyDescent="0.25">
      <c r="A498" s="7">
        <v>5.8266011042210337</v>
      </c>
      <c r="B498"/>
      <c r="C498"/>
      <c r="D498"/>
      <c r="E498" t="s">
        <v>8</v>
      </c>
      <c r="AB498" s="27" t="s">
        <v>7</v>
      </c>
      <c r="AC498" s="27" t="s">
        <v>8</v>
      </c>
    </row>
    <row r="499" spans="1:29" x14ac:dyDescent="0.25">
      <c r="A499" s="7">
        <v>5.7123540237461112</v>
      </c>
      <c r="B499"/>
      <c r="C499"/>
      <c r="D499"/>
      <c r="E499" t="s">
        <v>8</v>
      </c>
      <c r="AB499" s="27" t="s">
        <v>7</v>
      </c>
      <c r="AC499" s="27" t="s">
        <v>8</v>
      </c>
    </row>
    <row r="500" spans="1:29" x14ac:dyDescent="0.25">
      <c r="A500" s="7">
        <v>5.6003470821040304</v>
      </c>
      <c r="B500"/>
      <c r="C500"/>
      <c r="D500"/>
      <c r="E500" t="s">
        <v>8</v>
      </c>
      <c r="AB500" s="27" t="s">
        <v>7</v>
      </c>
      <c r="AC500" s="27" t="s">
        <v>8</v>
      </c>
    </row>
    <row r="501" spans="1:29" x14ac:dyDescent="0.25">
      <c r="A501" s="7">
        <v>5.4905363550039512</v>
      </c>
      <c r="B501"/>
      <c r="C501"/>
      <c r="D501"/>
      <c r="E501" t="s">
        <v>8</v>
      </c>
      <c r="AB501" s="27" t="s">
        <v>7</v>
      </c>
      <c r="AC501" s="27" t="s">
        <v>8</v>
      </c>
    </row>
    <row r="502" spans="1:29" x14ac:dyDescent="0.25">
      <c r="A502" s="7">
        <v>5.3828787794156385</v>
      </c>
      <c r="B502"/>
      <c r="C502"/>
      <c r="D502"/>
      <c r="E502" t="s">
        <v>8</v>
      </c>
      <c r="AB502" s="27" t="s">
        <v>7</v>
      </c>
      <c r="AC502" s="27" t="s">
        <v>8</v>
      </c>
    </row>
    <row r="503" spans="1:29" x14ac:dyDescent="0.25">
      <c r="A503" s="7">
        <v>5.2773321366819985</v>
      </c>
      <c r="B503"/>
      <c r="C503"/>
      <c r="D503"/>
      <c r="E503" t="s">
        <v>8</v>
      </c>
      <c r="AB503" s="27" t="s">
        <v>7</v>
      </c>
      <c r="AC503" s="27" t="s">
        <v>8</v>
      </c>
    </row>
    <row r="504" spans="1:29" x14ac:dyDescent="0.25">
      <c r="A504" s="7">
        <v>5.1738550359627435</v>
      </c>
      <c r="B504"/>
      <c r="C504"/>
      <c r="D504"/>
      <c r="E504" t="s">
        <v>8</v>
      </c>
      <c r="AB504" s="27" t="s">
        <v>7</v>
      </c>
      <c r="AC504" s="27" t="s">
        <v>8</v>
      </c>
    </row>
    <row r="505" spans="1:29" x14ac:dyDescent="0.25">
      <c r="A505" s="7">
        <v>5.07240689800269</v>
      </c>
      <c r="B505"/>
      <c r="C505"/>
      <c r="D505"/>
      <c r="E505" t="s">
        <v>8</v>
      </c>
      <c r="AB505" s="27" t="s">
        <v>7</v>
      </c>
      <c r="AC505" s="27" t="s">
        <v>8</v>
      </c>
    </row>
    <row r="506" spans="1:29" x14ac:dyDescent="0.25">
      <c r="A506" s="7">
        <v>4.9729479392183231</v>
      </c>
      <c r="B506"/>
      <c r="C506"/>
      <c r="D506"/>
      <c r="E506" t="s">
        <v>8</v>
      </c>
      <c r="AB506" s="27" t="s">
        <v>7</v>
      </c>
      <c r="AC506" s="27" t="s">
        <v>8</v>
      </c>
    </row>
    <row r="507" spans="1:29" x14ac:dyDescent="0.25">
      <c r="A507" s="7">
        <v>4.8754391560963954</v>
      </c>
      <c r="B507"/>
      <c r="C507"/>
      <c r="D507"/>
      <c r="E507" t="s">
        <v>8</v>
      </c>
      <c r="AB507" s="27" t="s">
        <v>7</v>
      </c>
    </row>
    <row r="508" spans="1:29" x14ac:dyDescent="0.25">
      <c r="A508" s="7">
        <v>4.7798423098984264</v>
      </c>
      <c r="B508"/>
      <c r="C508"/>
      <c r="D508"/>
      <c r="E508" t="s">
        <v>8</v>
      </c>
    </row>
    <row r="509" spans="1:29" x14ac:dyDescent="0.25">
      <c r="A509" s="7">
        <v>4.6861199116651235</v>
      </c>
      <c r="B509"/>
      <c r="C509"/>
      <c r="D509"/>
      <c r="E509" t="s">
        <v>8</v>
      </c>
    </row>
    <row r="510" spans="1:29" x14ac:dyDescent="0.25">
      <c r="A510" s="7">
        <v>4.5942352075148269</v>
      </c>
      <c r="B510"/>
      <c r="C510"/>
      <c r="D510"/>
      <c r="E510" t="s">
        <v>8</v>
      </c>
    </row>
    <row r="511" spans="1:29" x14ac:dyDescent="0.25">
      <c r="A511" s="7">
        <v>4.5041521642302227</v>
      </c>
      <c r="B511"/>
      <c r="C511"/>
      <c r="D511"/>
      <c r="E511" t="s">
        <v>8</v>
      </c>
    </row>
    <row r="512" spans="1:29" x14ac:dyDescent="0.25">
      <c r="A512" s="7">
        <v>4.4158354551276693</v>
      </c>
      <c r="B512"/>
      <c r="C512"/>
      <c r="D512"/>
      <c r="E512" t="s">
        <v>8</v>
      </c>
    </row>
    <row r="513" spans="1:5" x14ac:dyDescent="0.25">
      <c r="A513" s="7">
        <v>4.3292504462035977</v>
      </c>
      <c r="B513"/>
      <c r="C513"/>
      <c r="D513"/>
      <c r="E513" t="s">
        <v>8</v>
      </c>
    </row>
    <row r="514" spans="1:5" x14ac:dyDescent="0.25">
      <c r="A514" s="7">
        <v>4.2443631825525463</v>
      </c>
      <c r="B514"/>
      <c r="C514"/>
      <c r="D514"/>
      <c r="E514" t="s">
        <v>8</v>
      </c>
    </row>
    <row r="515" spans="1:5" x14ac:dyDescent="0.25">
      <c r="A515" s="7">
        <v>4.1611403750515157</v>
      </c>
      <c r="B515"/>
      <c r="C515"/>
      <c r="D515"/>
      <c r="E515" t="s">
        <v>8</v>
      </c>
    </row>
    <row r="516" spans="1:5" x14ac:dyDescent="0.25">
      <c r="A516" s="7">
        <v>4.0795493873054074</v>
      </c>
      <c r="B516"/>
      <c r="C516"/>
      <c r="D516"/>
      <c r="E516" t="s">
        <v>8</v>
      </c>
    </row>
    <row r="517" spans="1:5" x14ac:dyDescent="0.25">
      <c r="A517" s="7">
        <v>3.9995582228484383</v>
      </c>
      <c r="B517"/>
      <c r="C517"/>
      <c r="D517"/>
      <c r="E517" t="s">
        <v>8</v>
      </c>
    </row>
    <row r="518" spans="1:5" x14ac:dyDescent="0.25">
      <c r="A518" s="7">
        <v>3.9211355125965079</v>
      </c>
      <c r="B518"/>
      <c r="C518"/>
      <c r="D518"/>
      <c r="E518" t="s">
        <v>8</v>
      </c>
    </row>
    <row r="519" spans="1:5" x14ac:dyDescent="0.25">
      <c r="A519" s="7">
        <v>3.844250502545596</v>
      </c>
      <c r="B519"/>
      <c r="C519"/>
      <c r="D519"/>
      <c r="E519" t="s">
        <v>8</v>
      </c>
    </row>
    <row r="520" spans="1:5" x14ac:dyDescent="0.25">
      <c r="A520" s="7">
        <v>3.7688730417113687</v>
      </c>
      <c r="B520"/>
      <c r="C520"/>
      <c r="D520"/>
      <c r="E520" t="s">
        <v>8</v>
      </c>
    </row>
    <row r="521" spans="1:5" x14ac:dyDescent="0.25">
      <c r="A521" s="7">
        <v>3.6949735703052635</v>
      </c>
      <c r="B521"/>
      <c r="C521"/>
      <c r="D521"/>
      <c r="E521" t="s">
        <v>8</v>
      </c>
    </row>
    <row r="522" spans="1:5" x14ac:dyDescent="0.25">
      <c r="A522" s="7">
        <v>3.6225231081424152</v>
      </c>
      <c r="B522"/>
      <c r="C522"/>
      <c r="D522"/>
      <c r="E522" t="s">
        <v>8</v>
      </c>
    </row>
    <row r="523" spans="1:5" x14ac:dyDescent="0.25">
      <c r="A523" s="7">
        <v>3.5514932432768775</v>
      </c>
      <c r="B523"/>
      <c r="C523"/>
      <c r="D523"/>
      <c r="E523" t="s">
        <v>8</v>
      </c>
    </row>
    <row r="524" spans="1:5" x14ac:dyDescent="0.25">
      <c r="A524" s="7">
        <v>3.4818561208596837</v>
      </c>
      <c r="B524"/>
      <c r="C524"/>
      <c r="D524"/>
      <c r="E524" t="s">
        <v>8</v>
      </c>
    </row>
    <row r="525" spans="1:5" x14ac:dyDescent="0.25">
      <c r="A525" s="7">
        <v>3.4135844322153761</v>
      </c>
      <c r="B525"/>
      <c r="C525"/>
      <c r="D525"/>
      <c r="E525" t="s">
        <v>8</v>
      </c>
    </row>
    <row r="526" spans="1:5" x14ac:dyDescent="0.25">
      <c r="A526" s="7">
        <v>3.3466514041327216</v>
      </c>
      <c r="B526"/>
      <c r="C526"/>
      <c r="D526"/>
      <c r="E526" t="s">
        <v>8</v>
      </c>
    </row>
    <row r="527" spans="1:5" x14ac:dyDescent="0.25">
      <c r="A527" s="7">
        <v>3.2810307883654133</v>
      </c>
      <c r="B527"/>
      <c r="C527"/>
      <c r="D527"/>
      <c r="E527" t="s">
        <v>8</v>
      </c>
    </row>
    <row r="528" spans="1:5" x14ac:dyDescent="0.25">
      <c r="A528" s="7">
        <v>3.2166968513386403</v>
      </c>
      <c r="B528"/>
      <c r="C528"/>
      <c r="D528"/>
      <c r="E528" t="s">
        <v>8</v>
      </c>
    </row>
    <row r="529" spans="1:5" x14ac:dyDescent="0.25">
      <c r="A529" s="7">
        <v>3.1536243640574906</v>
      </c>
      <c r="B529"/>
      <c r="C529"/>
      <c r="D529"/>
      <c r="E529" t="s">
        <v>8</v>
      </c>
    </row>
    <row r="530" spans="1:5" x14ac:dyDescent="0.25">
      <c r="A530" s="7">
        <v>3.0917885922132262</v>
      </c>
      <c r="B530"/>
      <c r="C530"/>
      <c r="D530"/>
      <c r="E530" t="s">
        <v>8</v>
      </c>
    </row>
    <row r="531" spans="1:5" x14ac:dyDescent="0.25">
      <c r="A531" s="7">
        <v>3.0311652864835552</v>
      </c>
      <c r="B531"/>
      <c r="C531"/>
      <c r="D531"/>
      <c r="E531" t="s">
        <v>8</v>
      </c>
    </row>
    <row r="532" spans="1:5" x14ac:dyDescent="0.25">
      <c r="A532" s="7">
        <v>2.9717306730230932</v>
      </c>
      <c r="B532"/>
      <c r="C532"/>
      <c r="D532"/>
      <c r="E532" t="s">
        <v>8</v>
      </c>
    </row>
    <row r="533" spans="1:5" x14ac:dyDescent="0.25">
      <c r="A533" s="7">
        <v>2.9134614441402875</v>
      </c>
      <c r="B533"/>
      <c r="C533"/>
      <c r="D533"/>
      <c r="E533" t="s">
        <v>8</v>
      </c>
    </row>
    <row r="534" spans="1:5" x14ac:dyDescent="0.25">
      <c r="A534" s="7">
        <v>2.8563347491571447</v>
      </c>
      <c r="B534"/>
      <c r="C534"/>
      <c r="D534"/>
      <c r="E534" t="s">
        <v>8</v>
      </c>
    </row>
    <row r="535" spans="1:5" x14ac:dyDescent="0.25">
      <c r="A535" s="7">
        <v>2.8003281854481812</v>
      </c>
      <c r="B535"/>
      <c r="C535"/>
      <c r="D535"/>
      <c r="E535" t="s">
        <v>8</v>
      </c>
    </row>
    <row r="536" spans="1:5" x14ac:dyDescent="0.25">
      <c r="A536" s="7">
        <v>2.7454197896550796</v>
      </c>
      <c r="B536"/>
      <c r="C536"/>
      <c r="D536"/>
      <c r="E536" t="s">
        <v>8</v>
      </c>
    </row>
    <row r="537" spans="1:5" x14ac:dyDescent="0.25">
      <c r="A537" s="7">
        <v>2.6915880290736074</v>
      </c>
      <c r="B537"/>
      <c r="C537"/>
      <c r="D537"/>
      <c r="E537" t="s">
        <v>8</v>
      </c>
    </row>
    <row r="538" spans="1:5" x14ac:dyDescent="0.25">
      <c r="A538" s="7">
        <v>2.6388117932094191</v>
      </c>
      <c r="B538"/>
      <c r="C538"/>
      <c r="D538"/>
      <c r="E538" t="s">
        <v>8</v>
      </c>
    </row>
    <row r="539" spans="1:5" x14ac:dyDescent="0.25">
      <c r="A539" s="7">
        <v>2.5870703854994304</v>
      </c>
      <c r="B539"/>
      <c r="C539"/>
      <c r="D539"/>
      <c r="E539" t="s">
        <v>8</v>
      </c>
    </row>
    <row r="540" spans="1:5" x14ac:dyDescent="0.25">
      <c r="A540" s="7">
        <v>2.53634351519552</v>
      </c>
      <c r="B540"/>
      <c r="C540"/>
      <c r="D540"/>
      <c r="E540" t="s">
        <v>8</v>
      </c>
    </row>
    <row r="541" spans="1:5" x14ac:dyDescent="0.25">
      <c r="A541" s="7">
        <v>2.4866112894073726</v>
      </c>
      <c r="B541"/>
      <c r="C541"/>
      <c r="D541"/>
      <c r="E541" t="s">
        <v>8</v>
      </c>
    </row>
    <row r="542" spans="1:5" x14ac:dyDescent="0.25">
      <c r="A542" s="7">
        <v>2.4378542053013459</v>
      </c>
      <c r="B542"/>
      <c r="C542"/>
      <c r="D542"/>
      <c r="E542" t="s">
        <v>8</v>
      </c>
    </row>
    <row r="543" spans="1:5" x14ac:dyDescent="0.25">
      <c r="A543" s="7">
        <v>2.3900531424522997</v>
      </c>
      <c r="B543"/>
      <c r="C543"/>
      <c r="D543"/>
      <c r="E543" t="s">
        <v>8</v>
      </c>
    </row>
    <row r="544" spans="1:5" x14ac:dyDescent="0.25">
      <c r="A544" s="7">
        <v>2.343189355345392</v>
      </c>
      <c r="B544"/>
      <c r="C544"/>
      <c r="D544"/>
      <c r="E544" t="s">
        <v>8</v>
      </c>
    </row>
    <row r="545" spans="1:5" x14ac:dyDescent="0.25">
      <c r="A545" s="7">
        <v>2.2972444660248938</v>
      </c>
      <c r="B545"/>
      <c r="C545"/>
      <c r="D545"/>
      <c r="E545" t="s">
        <v>8</v>
      </c>
    </row>
    <row r="546" spans="1:5" x14ac:dyDescent="0.25">
      <c r="A546" s="7">
        <v>2.252200456887151</v>
      </c>
      <c r="B546"/>
      <c r="C546"/>
      <c r="D546"/>
      <c r="E546" t="s">
        <v>8</v>
      </c>
    </row>
    <row r="547" spans="1:5" x14ac:dyDescent="0.25">
      <c r="A547" s="7">
        <v>2.208039663614854</v>
      </c>
      <c r="B547"/>
      <c r="C547"/>
      <c r="D547"/>
      <c r="E547" t="s">
        <v>8</v>
      </c>
    </row>
    <row r="548" spans="1:5" x14ac:dyDescent="0.25">
      <c r="A548" s="7">
        <v>2.1647447682498568</v>
      </c>
      <c r="B548"/>
      <c r="C548"/>
      <c r="D548"/>
      <c r="E548" t="s">
        <v>8</v>
      </c>
    </row>
    <row r="549" spans="1:5" x14ac:dyDescent="0.25">
      <c r="A549" s="7">
        <v>2.1222987924018204</v>
      </c>
      <c r="B549"/>
      <c r="C549"/>
      <c r="D549"/>
      <c r="E549" t="s">
        <v>8</v>
      </c>
    </row>
    <row r="550" spans="1:5" x14ac:dyDescent="0.25">
      <c r="A550" s="7">
        <v>2.0806850905900198</v>
      </c>
      <c r="B550"/>
      <c r="C550"/>
      <c r="D550"/>
      <c r="E550" t="s">
        <v>8</v>
      </c>
    </row>
    <row r="551" spans="1:5" x14ac:dyDescent="0.25">
      <c r="A551" s="7">
        <v>2.0398873437157055</v>
      </c>
      <c r="B551"/>
      <c r="C551"/>
      <c r="D551"/>
      <c r="E551" t="s">
        <v>8</v>
      </c>
    </row>
    <row r="552" spans="1:5" x14ac:dyDescent="0.25">
      <c r="A552" s="7">
        <v>1.9998895526624565</v>
      </c>
      <c r="B552"/>
      <c r="C552"/>
      <c r="D552"/>
      <c r="E552" t="s">
        <v>8</v>
      </c>
    </row>
    <row r="553" spans="1:5" x14ac:dyDescent="0.25">
      <c r="A553" s="7">
        <v>1.9606760320220162</v>
      </c>
      <c r="B553"/>
      <c r="C553"/>
      <c r="D553"/>
      <c r="E553" t="s">
        <v>8</v>
      </c>
    </row>
    <row r="554" spans="1:5" x14ac:dyDescent="0.25">
      <c r="A554" s="7">
        <v>1.9222314039431532</v>
      </c>
      <c r="B554"/>
      <c r="C554"/>
      <c r="D554"/>
      <c r="E554" t="s">
        <v>8</v>
      </c>
    </row>
    <row r="555" spans="1:5" x14ac:dyDescent="0.25">
      <c r="A555" s="7">
        <v>1.8845405921011305</v>
      </c>
      <c r="B555"/>
      <c r="C555"/>
      <c r="D555"/>
      <c r="E555" t="s">
        <v>8</v>
      </c>
    </row>
    <row r="556" spans="1:5" x14ac:dyDescent="0.25">
      <c r="A556" s="7">
        <v>1.8475888157854219</v>
      </c>
      <c r="B556"/>
      <c r="C556"/>
      <c r="D556"/>
      <c r="E556" t="s">
        <v>8</v>
      </c>
    </row>
    <row r="557" spans="1:5" x14ac:dyDescent="0.25">
      <c r="A557" s="7">
        <v>1.8113615841033548</v>
      </c>
      <c r="B557"/>
      <c r="C557"/>
      <c r="D557"/>
      <c r="E557" t="s">
        <v>8</v>
      </c>
    </row>
    <row r="558" spans="1:5" x14ac:dyDescent="0.25">
      <c r="A558" s="7">
        <v>1.7758446902974065</v>
      </c>
      <c r="B558"/>
      <c r="C558"/>
      <c r="D558"/>
      <c r="E558" t="s">
        <v>8</v>
      </c>
    </row>
    <row r="559" spans="1:5" x14ac:dyDescent="0.25">
      <c r="A559" s="7">
        <v>1.7410242061739281</v>
      </c>
      <c r="B559"/>
      <c r="C559"/>
      <c r="D559"/>
      <c r="E559" t="s">
        <v>8</v>
      </c>
    </row>
    <row r="560" spans="1:5" x14ac:dyDescent="0.25">
      <c r="A560" s="7">
        <v>1.7068864766411058</v>
      </c>
      <c r="B560"/>
      <c r="C560"/>
      <c r="D560"/>
      <c r="E560" t="s">
        <v>8</v>
      </c>
    </row>
    <row r="561" spans="1:5" x14ac:dyDescent="0.25">
      <c r="A561" s="7">
        <v>1.6734181143540252</v>
      </c>
      <c r="B561"/>
      <c r="C561"/>
      <c r="D561"/>
      <c r="E561" t="s">
        <v>8</v>
      </c>
    </row>
    <row r="562" spans="1:5" x14ac:dyDescent="0.25">
      <c r="A562" s="7">
        <v>1.6406059944647307</v>
      </c>
      <c r="B562"/>
      <c r="C562"/>
      <c r="D562"/>
      <c r="E562" t="s">
        <v>8</v>
      </c>
    </row>
    <row r="563" spans="1:5" x14ac:dyDescent="0.25">
      <c r="A563" s="7">
        <v>1.6084372494752261</v>
      </c>
      <c r="B563"/>
      <c r="C563"/>
      <c r="D563"/>
      <c r="E563" t="s">
        <v>8</v>
      </c>
    </row>
    <row r="564" spans="1:5" x14ac:dyDescent="0.25">
      <c r="A564" s="7">
        <v>1.5768992641913981</v>
      </c>
      <c r="B564"/>
      <c r="C564"/>
      <c r="D564"/>
      <c r="E564" t="s">
        <v>8</v>
      </c>
    </row>
    <row r="565" spans="1:5" x14ac:dyDescent="0.25">
      <c r="A565" s="7">
        <v>1.5459796707758806</v>
      </c>
      <c r="B565"/>
      <c r="C565"/>
      <c r="D565"/>
      <c r="E565" t="s">
        <v>8</v>
      </c>
    </row>
    <row r="566" spans="1:5" x14ac:dyDescent="0.25">
      <c r="A566" s="7">
        <v>1.5156663438979221</v>
      </c>
      <c r="B566"/>
      <c r="C566"/>
      <c r="D566"/>
      <c r="E566" t="s">
        <v>8</v>
      </c>
    </row>
    <row r="567" spans="1:5" x14ac:dyDescent="0.25">
      <c r="A567" s="7">
        <v>1.4859473959783549</v>
      </c>
      <c r="B567"/>
      <c r="C567"/>
      <c r="D567"/>
      <c r="E567" t="s">
        <v>8</v>
      </c>
    </row>
    <row r="568" spans="1:5" x14ac:dyDescent="0.25">
      <c r="A568" s="7">
        <v>1.4568111725277988</v>
      </c>
      <c r="B568"/>
      <c r="C568"/>
      <c r="D568"/>
      <c r="E568" t="s">
        <v>8</v>
      </c>
    </row>
    <row r="569" spans="1:5" x14ac:dyDescent="0.25">
      <c r="A569" s="7">
        <v>1.4282462475762734</v>
      </c>
      <c r="B569"/>
      <c r="C569"/>
      <c r="D569"/>
      <c r="E569" t="s">
        <v>8</v>
      </c>
    </row>
    <row r="570" spans="1:5" x14ac:dyDescent="0.25">
      <c r="A570" s="7">
        <v>1.4002414191924248</v>
      </c>
      <c r="B570"/>
      <c r="C570"/>
      <c r="D570"/>
      <c r="E570" t="s">
        <v>8</v>
      </c>
    </row>
    <row r="571" spans="1:5" x14ac:dyDescent="0.25">
      <c r="A571" s="7">
        <v>1.3727857050906125</v>
      </c>
      <c r="B571"/>
      <c r="C571"/>
      <c r="D571"/>
      <c r="E571" t="s">
        <v>8</v>
      </c>
    </row>
    <row r="572" spans="1:5" x14ac:dyDescent="0.25">
      <c r="A572" s="7">
        <v>1.3458683383241299</v>
      </c>
      <c r="B572"/>
      <c r="C572"/>
      <c r="D572"/>
      <c r="E572" t="s">
        <v>8</v>
      </c>
    </row>
    <row r="573" spans="1:5" x14ac:dyDescent="0.25">
      <c r="A573" s="7">
        <v>1.3194787630628724</v>
      </c>
      <c r="B573"/>
      <c r="C573"/>
      <c r="D573"/>
      <c r="E573" t="s">
        <v>8</v>
      </c>
    </row>
    <row r="574" spans="1:5" x14ac:dyDescent="0.25">
      <c r="A574" s="7">
        <v>1.2936066304537963</v>
      </c>
      <c r="B574"/>
      <c r="C574"/>
      <c r="D574"/>
      <c r="E574" t="s">
        <v>8</v>
      </c>
    </row>
    <row r="575" spans="1:5" x14ac:dyDescent="0.25">
      <c r="A575" s="7">
        <v>1.2682417945625455</v>
      </c>
      <c r="B575"/>
      <c r="C575"/>
      <c r="D575"/>
      <c r="E575" t="s">
        <v>8</v>
      </c>
    </row>
    <row r="576" spans="1:5" x14ac:dyDescent="0.25">
      <c r="A576" s="7">
        <v>1.2433743083946525</v>
      </c>
      <c r="B576"/>
      <c r="C576"/>
      <c r="D576"/>
      <c r="E576" t="s">
        <v>8</v>
      </c>
    </row>
    <row r="577" spans="1:5" x14ac:dyDescent="0.25">
      <c r="A577" s="7">
        <v>1.2189944199947573</v>
      </c>
      <c r="B577"/>
      <c r="C577"/>
      <c r="D577"/>
      <c r="E577" t="s">
        <v>8</v>
      </c>
    </row>
    <row r="578" spans="1:5" x14ac:dyDescent="0.25">
      <c r="A578" s="7">
        <v>1.1950925686223111</v>
      </c>
      <c r="B578"/>
      <c r="C578"/>
      <c r="D578"/>
      <c r="E578" t="s">
        <v>8</v>
      </c>
    </row>
    <row r="579" spans="1:5" x14ac:dyDescent="0.25">
      <c r="A579" s="7">
        <v>1.1716593810022657</v>
      </c>
      <c r="B579"/>
      <c r="C579"/>
      <c r="D579"/>
      <c r="E579" t="s">
        <v>8</v>
      </c>
    </row>
    <row r="580" spans="1:5" x14ac:dyDescent="0.25">
      <c r="A580" s="7">
        <v>1.14868566764928</v>
      </c>
      <c r="B580"/>
      <c r="C580"/>
      <c r="D580"/>
      <c r="E580" t="s">
        <v>8</v>
      </c>
    </row>
    <row r="581" spans="1:5" x14ac:dyDescent="0.25">
      <c r="A581" s="7">
        <v>1.1261624192640001</v>
      </c>
      <c r="B581"/>
      <c r="C581"/>
      <c r="D581"/>
      <c r="E581" t="s">
        <v>8</v>
      </c>
    </row>
    <row r="582" spans="1:5" x14ac:dyDescent="0.25">
      <c r="A582" s="7">
        <v>1.1040808032</v>
      </c>
      <c r="B582"/>
      <c r="C582"/>
      <c r="D582"/>
      <c r="E582" t="s">
        <v>8</v>
      </c>
    </row>
    <row r="583" spans="1:5" x14ac:dyDescent="0.25">
      <c r="A583" s="7">
        <v>1.08243216</v>
      </c>
      <c r="B583"/>
      <c r="C583"/>
      <c r="D583"/>
      <c r="E583" t="s">
        <v>8</v>
      </c>
    </row>
    <row r="584" spans="1:5" x14ac:dyDescent="0.25">
      <c r="A584" s="7">
        <v>1.0612079999999999</v>
      </c>
      <c r="B584"/>
      <c r="C584"/>
      <c r="D584"/>
      <c r="E584" t="s">
        <v>8</v>
      </c>
    </row>
    <row r="585" spans="1:5" x14ac:dyDescent="0.25">
      <c r="A585" s="7">
        <v>1.0404</v>
      </c>
      <c r="B585"/>
      <c r="C585"/>
      <c r="D585"/>
      <c r="E585" t="s">
        <v>8</v>
      </c>
    </row>
    <row r="586" spans="1:5" x14ac:dyDescent="0.25">
      <c r="A586" s="7">
        <v>1.02</v>
      </c>
      <c r="B586"/>
      <c r="C586"/>
      <c r="D586"/>
      <c r="E586" t="s">
        <v>8</v>
      </c>
    </row>
    <row r="587" spans="1:5" x14ac:dyDescent="0.25">
      <c r="A587" s="7">
        <v>1</v>
      </c>
      <c r="B587"/>
      <c r="C587"/>
      <c r="D587"/>
      <c r="E587" s="29" t="s">
        <v>8</v>
      </c>
    </row>
    <row r="588" spans="1:5" x14ac:dyDescent="0.25">
      <c r="A588" s="7">
        <v>0.98039215686274506</v>
      </c>
      <c r="B588"/>
      <c r="C588"/>
      <c r="D588"/>
      <c r="E588"/>
    </row>
    <row r="589" spans="1:5" x14ac:dyDescent="0.25">
      <c r="A589" s="7">
        <v>0.96116878123798544</v>
      </c>
      <c r="B589"/>
      <c r="C589"/>
      <c r="D589"/>
      <c r="E589"/>
    </row>
    <row r="590" spans="1:5" x14ac:dyDescent="0.25">
      <c r="A590" s="7">
        <v>0.94232233454704462</v>
      </c>
      <c r="B590"/>
      <c r="C590"/>
      <c r="D590"/>
      <c r="E590"/>
    </row>
    <row r="591" spans="1:5" x14ac:dyDescent="0.25">
      <c r="A591" s="7">
        <v>0.92384542602651432</v>
      </c>
      <c r="B591"/>
      <c r="C591"/>
      <c r="D591"/>
      <c r="E591"/>
    </row>
    <row r="592" spans="1:5" x14ac:dyDescent="0.25">
      <c r="A592" s="7">
        <v>0.90573080982991594</v>
      </c>
      <c r="B592"/>
      <c r="C592"/>
      <c r="D592"/>
      <c r="E592"/>
    </row>
    <row r="593" spans="1:5" x14ac:dyDescent="0.25">
      <c r="A593" s="7">
        <v>0.8879713821861922</v>
      </c>
      <c r="B593"/>
      <c r="C593"/>
      <c r="D593"/>
      <c r="E593"/>
    </row>
    <row r="594" spans="1:5" x14ac:dyDescent="0.25">
      <c r="A594" s="7">
        <v>0.87056017861391399</v>
      </c>
      <c r="B594"/>
      <c r="C594"/>
      <c r="D594"/>
      <c r="E594"/>
    </row>
    <row r="595" spans="1:5" x14ac:dyDescent="0.25">
      <c r="A595" s="7">
        <v>0.85349037119011173</v>
      </c>
      <c r="B595"/>
      <c r="C595"/>
      <c r="D595"/>
      <c r="E595"/>
    </row>
    <row r="596" spans="1:5" x14ac:dyDescent="0.25">
      <c r="A596" s="7">
        <v>0.83675526587265858</v>
      </c>
      <c r="B596"/>
      <c r="C596"/>
      <c r="D596"/>
      <c r="E596"/>
    </row>
    <row r="597" spans="1:5" x14ac:dyDescent="0.25">
      <c r="A597" s="7">
        <v>0.82034829987515545</v>
      </c>
      <c r="B597"/>
      <c r="C597"/>
      <c r="D597"/>
      <c r="E597"/>
    </row>
    <row r="598" spans="1:5" x14ac:dyDescent="0.25">
      <c r="A598" s="7">
        <v>0.80426303909328967</v>
      </c>
      <c r="B598"/>
      <c r="C598"/>
      <c r="D598"/>
      <c r="E598"/>
    </row>
    <row r="599" spans="1:5" x14ac:dyDescent="0.25">
      <c r="A599" s="7">
        <v>0.78849317558165644</v>
      </c>
      <c r="B599"/>
      <c r="C599"/>
      <c r="D599"/>
      <c r="E599"/>
    </row>
    <row r="600" spans="1:5" x14ac:dyDescent="0.25">
      <c r="A600" s="7">
        <v>0.77303252508005538</v>
      </c>
      <c r="B600"/>
      <c r="C600"/>
      <c r="D600"/>
      <c r="E600"/>
    </row>
    <row r="601" spans="1:5" x14ac:dyDescent="0.25">
      <c r="A601" s="7">
        <v>0.75787502458828959</v>
      </c>
      <c r="B601"/>
      <c r="C601"/>
      <c r="D601"/>
      <c r="E601"/>
    </row>
    <row r="602" spans="1:5" x14ac:dyDescent="0.25">
      <c r="A602" s="7">
        <v>0.74301472998851925</v>
      </c>
      <c r="B602"/>
      <c r="C602"/>
      <c r="D602"/>
      <c r="E602"/>
    </row>
    <row r="603" spans="1:5" x14ac:dyDescent="0.25">
      <c r="A603" s="7">
        <v>0.72844581371423456</v>
      </c>
      <c r="B603"/>
      <c r="C603"/>
      <c r="D603"/>
      <c r="E603"/>
    </row>
    <row r="604" spans="1:5" x14ac:dyDescent="0.25">
      <c r="A604" s="7">
        <v>0.71416256246493581</v>
      </c>
      <c r="B604"/>
      <c r="C604"/>
      <c r="D604"/>
      <c r="E604"/>
    </row>
    <row r="605" spans="1:5" x14ac:dyDescent="0.25">
      <c r="A605" s="7">
        <v>0.7001593749656233</v>
      </c>
      <c r="B605"/>
      <c r="C605"/>
      <c r="D605"/>
      <c r="E605"/>
    </row>
    <row r="606" spans="1:5" x14ac:dyDescent="0.25">
      <c r="A606" s="7">
        <v>0.68643075977021883</v>
      </c>
      <c r="B606"/>
      <c r="C606"/>
      <c r="D606"/>
      <c r="E606"/>
    </row>
    <row r="607" spans="1:5" x14ac:dyDescent="0.25">
      <c r="A607" s="7">
        <v>0.67297133310805768</v>
      </c>
      <c r="B607"/>
      <c r="C607"/>
      <c r="D607"/>
      <c r="E607"/>
    </row>
    <row r="608" spans="1:5" x14ac:dyDescent="0.25">
      <c r="A608" s="7">
        <v>0.65977581677260566</v>
      </c>
      <c r="B608"/>
      <c r="C608"/>
      <c r="D608"/>
      <c r="E608"/>
    </row>
    <row r="609" spans="1:5" x14ac:dyDescent="0.25">
      <c r="A609" s="7">
        <v>0.64683903605157422</v>
      </c>
      <c r="B609"/>
      <c r="C609"/>
      <c r="D609"/>
      <c r="E609"/>
    </row>
    <row r="610" spans="1:5" x14ac:dyDescent="0.25">
      <c r="A610" s="7">
        <v>0.63415591769762181</v>
      </c>
      <c r="B610"/>
      <c r="C610"/>
      <c r="D610"/>
      <c r="E610"/>
    </row>
    <row r="611" spans="1:5" x14ac:dyDescent="0.25">
      <c r="A611" s="7">
        <v>0.62172148793884496</v>
      </c>
      <c r="B611"/>
      <c r="C611"/>
      <c r="D611"/>
      <c r="E611"/>
    </row>
    <row r="612" spans="1:5" x14ac:dyDescent="0.25">
      <c r="A612" s="7">
        <v>0.60953087052827937</v>
      </c>
      <c r="B612"/>
      <c r="C612"/>
      <c r="D612"/>
      <c r="E612"/>
    </row>
    <row r="613" spans="1:5" x14ac:dyDescent="0.25">
      <c r="A613" s="7">
        <v>0.59757928483164646</v>
      </c>
      <c r="B613"/>
      <c r="C613"/>
      <c r="D613"/>
      <c r="E613"/>
    </row>
    <row r="614" spans="1:5" x14ac:dyDescent="0.25">
      <c r="A614" s="7">
        <v>0.58586204395259456</v>
      </c>
      <c r="B614"/>
      <c r="C614"/>
      <c r="D614"/>
      <c r="E614"/>
    </row>
    <row r="615" spans="1:5" x14ac:dyDescent="0.25">
      <c r="A615" s="7">
        <v>0.57437455289470052</v>
      </c>
      <c r="B615"/>
      <c r="C615"/>
      <c r="D615"/>
      <c r="E615"/>
    </row>
    <row r="616" spans="1:5" x14ac:dyDescent="0.25">
      <c r="A616" s="7">
        <v>0.56311230675951029</v>
      </c>
      <c r="B616"/>
      <c r="C616"/>
      <c r="D616"/>
      <c r="E616"/>
    </row>
    <row r="617" spans="1:5" x14ac:dyDescent="0.25">
      <c r="A617" s="7">
        <v>0.55207088897991208</v>
      </c>
      <c r="B617"/>
      <c r="C617"/>
      <c r="D617"/>
      <c r="E617"/>
    </row>
    <row r="618" spans="1:5" x14ac:dyDescent="0.25">
      <c r="A618" s="7">
        <v>0.54124596958814908</v>
      </c>
      <c r="B618"/>
      <c r="C618"/>
      <c r="D618"/>
      <c r="E618"/>
    </row>
    <row r="619" spans="1:5" x14ac:dyDescent="0.25">
      <c r="A619" s="7">
        <v>0.53063330351779314</v>
      </c>
      <c r="B619"/>
      <c r="C619"/>
      <c r="D619"/>
      <c r="E619"/>
    </row>
    <row r="620" spans="1:5" x14ac:dyDescent="0.25">
      <c r="A620" s="7">
        <v>0.52022872893901284</v>
      </c>
      <c r="B620"/>
      <c r="C620"/>
      <c r="D620"/>
      <c r="E620"/>
    </row>
    <row r="621" spans="1:5" x14ac:dyDescent="0.25">
      <c r="A621" s="7">
        <v>0.51002816562648323</v>
      </c>
      <c r="B621"/>
      <c r="C621"/>
      <c r="D621"/>
      <c r="E621"/>
    </row>
    <row r="622" spans="1:5" x14ac:dyDescent="0.25">
      <c r="A622" s="7">
        <v>0.50002761335929735</v>
      </c>
      <c r="B622"/>
      <c r="C622"/>
      <c r="D622"/>
      <c r="E622"/>
    </row>
    <row r="623" spans="1:5" x14ac:dyDescent="0.25">
      <c r="A623" s="7">
        <v>0.49022315035225228</v>
      </c>
      <c r="B623"/>
      <c r="C623"/>
      <c r="D623"/>
      <c r="E623"/>
    </row>
    <row r="624" spans="1:5" x14ac:dyDescent="0.25">
      <c r="A624" s="7">
        <v>0.48061093171789437</v>
      </c>
      <c r="B624"/>
      <c r="C624"/>
      <c r="D624"/>
      <c r="E624"/>
    </row>
    <row r="625" spans="1:5" x14ac:dyDescent="0.25">
      <c r="A625" s="7">
        <v>0.47118718795871994</v>
      </c>
      <c r="B625"/>
      <c r="C625"/>
      <c r="D625"/>
      <c r="E625"/>
    </row>
    <row r="626" spans="1:5" x14ac:dyDescent="0.25">
      <c r="A626" s="7">
        <v>0.46194822348894116</v>
      </c>
      <c r="B626"/>
      <c r="C626"/>
      <c r="D626"/>
      <c r="E626"/>
    </row>
    <row r="627" spans="1:5" x14ac:dyDescent="0.25">
      <c r="A627" s="7">
        <v>0.45289041518523643</v>
      </c>
      <c r="B627"/>
      <c r="C627"/>
      <c r="D627"/>
      <c r="E627"/>
    </row>
    <row r="628" spans="1:5" x14ac:dyDescent="0.25">
      <c r="A628" s="7">
        <v>0.44401021096591808</v>
      </c>
      <c r="B628"/>
      <c r="C628"/>
      <c r="D628"/>
      <c r="E628"/>
    </row>
    <row r="629" spans="1:5" x14ac:dyDescent="0.25">
      <c r="A629" s="7">
        <v>0.4353041283979589</v>
      </c>
      <c r="B629"/>
      <c r="C629"/>
      <c r="D629"/>
      <c r="E629"/>
    </row>
    <row r="630" spans="1:5" x14ac:dyDescent="0.25">
      <c r="A630" s="7">
        <v>0.4267687533313323</v>
      </c>
      <c r="B630"/>
      <c r="C630"/>
      <c r="D630"/>
      <c r="E630"/>
    </row>
    <row r="631" spans="1:5" x14ac:dyDescent="0.25">
      <c r="A631" s="7">
        <v>0.41840073856012971</v>
      </c>
      <c r="B631"/>
      <c r="C631"/>
      <c r="D631"/>
      <c r="E631"/>
    </row>
    <row r="632" spans="1:5" x14ac:dyDescent="0.25">
      <c r="A632" s="7">
        <v>0.41019680250993112</v>
      </c>
      <c r="B632"/>
      <c r="C632"/>
      <c r="D632"/>
      <c r="E632"/>
    </row>
    <row r="633" spans="1:5" x14ac:dyDescent="0.25">
      <c r="A633" s="7">
        <v>0.40215372795091286</v>
      </c>
      <c r="B633"/>
      <c r="C633"/>
      <c r="D633"/>
      <c r="E633"/>
    </row>
    <row r="634" spans="1:5" x14ac:dyDescent="0.25">
      <c r="A634" s="7">
        <v>0.39426836073618904</v>
      </c>
      <c r="B634"/>
      <c r="C634"/>
      <c r="D634"/>
      <c r="E634"/>
    </row>
    <row r="635" spans="1:5" x14ac:dyDescent="0.25">
      <c r="A635" s="7">
        <v>0.38653760856489122</v>
      </c>
      <c r="B635"/>
      <c r="C635"/>
      <c r="D635"/>
      <c r="E635"/>
    </row>
    <row r="636" spans="1:5" x14ac:dyDescent="0.25">
      <c r="A636" s="7">
        <v>0.37895843976950117</v>
      </c>
      <c r="B636"/>
      <c r="C636"/>
      <c r="D636"/>
      <c r="E636"/>
    </row>
    <row r="637" spans="1:5" x14ac:dyDescent="0.25">
      <c r="A637" s="7">
        <v>0.37152788212696197</v>
      </c>
      <c r="B637"/>
      <c r="C637"/>
      <c r="D637"/>
      <c r="E637"/>
    </row>
    <row r="638" spans="1:5" x14ac:dyDescent="0.25">
      <c r="A638" s="7">
        <v>0.36424302169310002</v>
      </c>
      <c r="B638"/>
      <c r="C638"/>
      <c r="D638"/>
      <c r="E638"/>
    </row>
    <row r="639" spans="1:5" x14ac:dyDescent="0.25">
      <c r="A639" s="7">
        <v>0.35710100165990194</v>
      </c>
      <c r="B639"/>
      <c r="C639"/>
      <c r="D639"/>
      <c r="E639"/>
    </row>
    <row r="640" spans="1:5" x14ac:dyDescent="0.25">
      <c r="A640" s="7">
        <v>0.35009902123519804</v>
      </c>
      <c r="B640"/>
      <c r="C640"/>
      <c r="D640"/>
      <c r="E640"/>
    </row>
    <row r="641" spans="1:5" x14ac:dyDescent="0.25">
      <c r="A641" s="7">
        <v>0.34323433454431179</v>
      </c>
      <c r="B641"/>
      <c r="C641"/>
      <c r="D641"/>
      <c r="E641"/>
    </row>
    <row r="642" spans="1:5" x14ac:dyDescent="0.25">
      <c r="A642" s="7">
        <v>0.33650424955324681</v>
      </c>
      <c r="B642"/>
      <c r="C642"/>
      <c r="D642"/>
      <c r="E642"/>
    </row>
    <row r="643" spans="1:5" x14ac:dyDescent="0.25">
      <c r="A643" s="7">
        <v>0.3299061270129871</v>
      </c>
      <c r="B643"/>
      <c r="C643"/>
      <c r="D643"/>
      <c r="E643"/>
    </row>
    <row r="644" spans="1:5" x14ac:dyDescent="0.25">
      <c r="A644" s="7">
        <v>0.32343737942449713</v>
      </c>
      <c r="B644"/>
      <c r="C644"/>
      <c r="D644"/>
      <c r="E644"/>
    </row>
    <row r="645" spans="1:5" x14ac:dyDescent="0.25">
      <c r="A645" s="7">
        <v>0.31709547002401678</v>
      </c>
      <c r="B645"/>
      <c r="C645"/>
      <c r="D645"/>
      <c r="E645"/>
    </row>
    <row r="646" spans="1:5" x14ac:dyDescent="0.25">
      <c r="A646" s="7">
        <v>0.31087791178825175</v>
      </c>
      <c r="B646"/>
      <c r="C646"/>
      <c r="D646"/>
      <c r="E646"/>
    </row>
    <row r="647" spans="1:5" x14ac:dyDescent="0.25">
      <c r="A647" s="7">
        <v>0.30478226645907036</v>
      </c>
      <c r="B647"/>
      <c r="C647"/>
      <c r="D647"/>
      <c r="E647"/>
    </row>
    <row r="648" spans="1:5" x14ac:dyDescent="0.25">
      <c r="A648" s="7">
        <v>0.29880614358732388</v>
      </c>
      <c r="B648"/>
      <c r="C648"/>
      <c r="D648"/>
      <c r="E648"/>
    </row>
    <row r="649" spans="1:5" x14ac:dyDescent="0.25">
      <c r="A649" s="7">
        <v>0.2929471995954156</v>
      </c>
      <c r="B649"/>
      <c r="C649"/>
      <c r="D649"/>
      <c r="E649"/>
    </row>
    <row r="650" spans="1:5" x14ac:dyDescent="0.25">
      <c r="A650" s="7">
        <v>0.28720313685825055</v>
      </c>
      <c r="B650"/>
      <c r="C650"/>
      <c r="D650"/>
      <c r="E650"/>
    </row>
    <row r="651" spans="1:5" x14ac:dyDescent="0.25">
      <c r="A651" s="7">
        <v>0.28157170280220645</v>
      </c>
      <c r="B651"/>
      <c r="C651"/>
      <c r="D651"/>
      <c r="E651"/>
    </row>
    <row r="652" spans="1:5" x14ac:dyDescent="0.25">
      <c r="A652" s="7">
        <v>0.27605068902177105</v>
      </c>
      <c r="B652"/>
      <c r="C652"/>
      <c r="D652"/>
      <c r="E652"/>
    </row>
    <row r="653" spans="1:5" x14ac:dyDescent="0.25">
      <c r="A653" s="7">
        <v>0.27063793041350104</v>
      </c>
      <c r="B653"/>
      <c r="C653"/>
      <c r="D653"/>
      <c r="E653"/>
    </row>
    <row r="654" spans="1:5" x14ac:dyDescent="0.25">
      <c r="A654" s="7">
        <v>0.26533130432696184</v>
      </c>
      <c r="B654"/>
      <c r="C654"/>
      <c r="D654"/>
      <c r="E654"/>
    </row>
    <row r="655" spans="1:5" x14ac:dyDescent="0.25">
      <c r="A655" s="7">
        <v>0.26012872973231554</v>
      </c>
      <c r="B655"/>
      <c r="C655"/>
      <c r="D655"/>
      <c r="E655"/>
    </row>
    <row r="656" spans="1:5" x14ac:dyDescent="0.25">
      <c r="A656" s="7">
        <v>0.25502816640423093</v>
      </c>
      <c r="B656"/>
      <c r="C656"/>
      <c r="D656"/>
      <c r="E656"/>
    </row>
    <row r="657" spans="1:5" x14ac:dyDescent="0.25">
      <c r="A657" s="7">
        <v>0.25002761412179503</v>
      </c>
      <c r="B657"/>
      <c r="C657"/>
      <c r="D657"/>
      <c r="E657"/>
    </row>
    <row r="658" spans="1:5" x14ac:dyDescent="0.25">
      <c r="A658" s="7">
        <v>0.24512511188411276</v>
      </c>
      <c r="B658"/>
      <c r="C658"/>
      <c r="D658"/>
      <c r="E658"/>
    </row>
    <row r="659" spans="1:5" x14ac:dyDescent="0.25">
      <c r="A659" s="7">
        <v>0.24031873714128701</v>
      </c>
      <c r="B659"/>
      <c r="C659"/>
      <c r="D659"/>
      <c r="E659"/>
    </row>
    <row r="660" spans="1:5" x14ac:dyDescent="0.25">
      <c r="A660" s="7">
        <v>0.23560660504047748</v>
      </c>
      <c r="B660"/>
      <c r="C660"/>
      <c r="D660"/>
      <c r="E660"/>
    </row>
    <row r="661" spans="1:5" x14ac:dyDescent="0.25">
      <c r="A661" s="7">
        <v>0.23098686768674265</v>
      </c>
      <c r="B661"/>
      <c r="C661"/>
      <c r="D661"/>
      <c r="E661"/>
    </row>
    <row r="662" spans="1:5" x14ac:dyDescent="0.25">
      <c r="A662" s="7">
        <v>0.22645771341837515</v>
      </c>
      <c r="B662"/>
      <c r="C662"/>
      <c r="D662"/>
      <c r="E662"/>
    </row>
    <row r="663" spans="1:5" x14ac:dyDescent="0.25">
      <c r="A663" s="7">
        <v>0.22201736609644623</v>
      </c>
      <c r="B663"/>
      <c r="C663"/>
      <c r="D663"/>
      <c r="E663"/>
    </row>
    <row r="664" spans="1:5" x14ac:dyDescent="0.25">
      <c r="A664" s="7">
        <v>0.21766408440828061</v>
      </c>
      <c r="B664"/>
      <c r="C664"/>
      <c r="D664"/>
      <c r="E664"/>
    </row>
    <row r="665" spans="1:5" x14ac:dyDescent="0.25">
      <c r="A665" s="7">
        <v>0.21339616118458882</v>
      </c>
      <c r="B665"/>
      <c r="C665"/>
      <c r="D665"/>
      <c r="E665"/>
    </row>
    <row r="666" spans="1:5" x14ac:dyDescent="0.25">
      <c r="A666" s="7">
        <v>0.20921192272998904</v>
      </c>
      <c r="B666"/>
      <c r="C666"/>
      <c r="D666"/>
      <c r="E666"/>
    </row>
    <row r="667" spans="1:5" x14ac:dyDescent="0.25">
      <c r="A667" s="7">
        <v>0.20510972816665593</v>
      </c>
      <c r="B667"/>
      <c r="C667"/>
      <c r="D667"/>
      <c r="E667"/>
    </row>
    <row r="668" spans="1:5" x14ac:dyDescent="0.25">
      <c r="A668" s="7">
        <v>0.20108796879083912</v>
      </c>
      <c r="B668"/>
      <c r="C668"/>
      <c r="D668"/>
      <c r="E668"/>
    </row>
    <row r="669" spans="1:5" x14ac:dyDescent="0.25">
      <c r="A669" s="7">
        <v>0.19714506744199917</v>
      </c>
      <c r="B669"/>
      <c r="C669"/>
      <c r="D669"/>
      <c r="E669"/>
    </row>
    <row r="670" spans="1:5" x14ac:dyDescent="0.25">
      <c r="A670" s="7">
        <v>0.19327947788431293</v>
      </c>
      <c r="B670"/>
      <c r="C670"/>
      <c r="D670"/>
      <c r="E670"/>
    </row>
    <row r="671" spans="1:5" x14ac:dyDescent="0.25">
      <c r="A671" s="7">
        <v>0.18948968420030682</v>
      </c>
      <c r="B671"/>
      <c r="C671"/>
      <c r="D671"/>
      <c r="E671"/>
    </row>
    <row r="672" spans="1:5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1000" operator="equal">
      <formula>$U$1</formula>
    </cfRule>
    <cfRule type="cellIs" dxfId="89" priority="1001" operator="equal">
      <formula>$S$1</formula>
    </cfRule>
  </conditionalFormatting>
  <conditionalFormatting sqref="D27">
    <cfRule type="cellIs" dxfId="88" priority="998" operator="equal">
      <formula>$S$1</formula>
    </cfRule>
    <cfRule type="cellIs" dxfId="87" priority="999" operator="equal">
      <formula>$U$1</formula>
    </cfRule>
  </conditionalFormatting>
  <conditionalFormatting sqref="C164">
    <cfRule type="cellIs" dxfId="86" priority="996" operator="equal">
      <formula>$U$1</formula>
    </cfRule>
    <cfRule type="cellIs" dxfId="85" priority="997" operator="equal">
      <formula>$S$1</formula>
    </cfRule>
  </conditionalFormatting>
  <conditionalFormatting sqref="D164">
    <cfRule type="cellIs" dxfId="84" priority="994" operator="equal">
      <formula>$S$1</formula>
    </cfRule>
    <cfRule type="cellIs" dxfId="83" priority="995" operator="equal">
      <formula>$U$1</formula>
    </cfRule>
  </conditionalFormatting>
  <conditionalFormatting sqref="C55">
    <cfRule type="cellIs" dxfId="82" priority="992" operator="equal">
      <formula>$U$1</formula>
    </cfRule>
    <cfRule type="cellIs" dxfId="81" priority="993" operator="equal">
      <formula>$S$1</formula>
    </cfRule>
  </conditionalFormatting>
  <conditionalFormatting sqref="D55">
    <cfRule type="cellIs" dxfId="80" priority="990" operator="equal">
      <formula>$S$1</formula>
    </cfRule>
    <cfRule type="cellIs" dxfId="79" priority="991" operator="equal">
      <formula>$U$1</formula>
    </cfRule>
  </conditionalFormatting>
  <conditionalFormatting sqref="C89">
    <cfRule type="cellIs" dxfId="78" priority="988" operator="equal">
      <formula>$U$1</formula>
    </cfRule>
    <cfRule type="cellIs" dxfId="77" priority="989" operator="equal">
      <formula>$S$1</formula>
    </cfRule>
  </conditionalFormatting>
  <conditionalFormatting sqref="D89">
    <cfRule type="cellIs" dxfId="76" priority="986" operator="equal">
      <formula>$S$1</formula>
    </cfRule>
    <cfRule type="cellIs" dxfId="75" priority="987" operator="equal">
      <formula>$U$1</formula>
    </cfRule>
  </conditionalFormatting>
  <conditionalFormatting sqref="C136">
    <cfRule type="cellIs" dxfId="74" priority="984" operator="equal">
      <formula>$U$1</formula>
    </cfRule>
    <cfRule type="cellIs" dxfId="73" priority="985" operator="equal">
      <formula>$S$1</formula>
    </cfRule>
  </conditionalFormatting>
  <conditionalFormatting sqref="D136">
    <cfRule type="cellIs" dxfId="72" priority="982" operator="equal">
      <formula>$S$1</formula>
    </cfRule>
    <cfRule type="cellIs" dxfId="71" priority="983" operator="equal">
      <formula>$U$1</formula>
    </cfRule>
  </conditionalFormatting>
  <conditionalFormatting sqref="C1">
    <cfRule type="cellIs" dxfId="70" priority="981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157" zoomScale="90" zoomScaleNormal="90" workbookViewId="0">
      <pane xSplit="4" topLeftCell="AO1" activePane="topRight" state="frozen"/>
      <selection activeCell="A109" sqref="A109"/>
      <selection pane="topRight" activeCell="DD188" sqref="DD188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$A$187</v>
      </c>
      <c r="D111" s="1" t="str">
        <f>ADDRESS(C121-1,D121,1,1)</f>
        <v>$DD$187</v>
      </c>
      <c r="E111"/>
    </row>
    <row r="112" spans="1:5" x14ac:dyDescent="0.25">
      <c r="A112" s="30">
        <v>515.50191262726139</v>
      </c>
      <c r="C112" s="1" t="str">
        <f>ADDRESS(C121,1,1,1)</f>
        <v>$A$188</v>
      </c>
      <c r="D112" s="1" t="str">
        <f>ADDRESS(C121,D121-1,1,1)</f>
        <v>$DC$188</v>
      </c>
      <c r="E112"/>
    </row>
    <row r="113" spans="1:5" x14ac:dyDescent="0.25">
      <c r="A113" s="30">
        <v>490.95420250215363</v>
      </c>
      <c r="C113" s="1" t="str">
        <f>ADDRESS(C121+1,1,1,1)</f>
        <v>$A$189</v>
      </c>
      <c r="D113" s="1" t="str">
        <f>ADDRESS(C121-1,D121+1,1,1)</f>
        <v>$DE$187</v>
      </c>
    </row>
    <row r="114" spans="1:5" x14ac:dyDescent="0.25">
      <c r="A114" s="30">
        <v>467.57543095443202</v>
      </c>
      <c r="C114" s="1" t="str">
        <f>ADDRESS(C121,D121,1,1)</f>
        <v>$DD$188</v>
      </c>
      <c r="D114" s="1" t="str">
        <f>ADDRESS(C121+1,D121+1,1,1)</f>
        <v>$DE$189</v>
      </c>
    </row>
    <row r="115" spans="1:5" x14ac:dyDescent="0.25">
      <c r="A115" s="30">
        <v>445.30993424231622</v>
      </c>
      <c r="C115" s="1" t="str">
        <f>ADDRESS(C121+1,D121,1,1)</f>
        <v>$DD$189</v>
      </c>
    </row>
    <row r="116" spans="1:5" x14ac:dyDescent="0.25">
      <c r="A116" s="30">
        <v>424.10469927839637</v>
      </c>
      <c r="C116" s="1">
        <f>C117-1</f>
        <v>187</v>
      </c>
    </row>
    <row r="117" spans="1:5" x14ac:dyDescent="0.25">
      <c r="A117" s="30">
        <v>403.9092374079965</v>
      </c>
      <c r="C117" s="1">
        <f>C121</f>
        <v>188</v>
      </c>
      <c r="D117" s="1">
        <f>D121</f>
        <v>108</v>
      </c>
    </row>
    <row r="118" spans="1:5" x14ac:dyDescent="0.25">
      <c r="A118" s="30">
        <v>384.6754641980919</v>
      </c>
      <c r="C118" s="1">
        <f>C117+1</f>
        <v>189</v>
      </c>
      <c r="D118" s="1">
        <f>D117+1</f>
        <v>109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188</v>
      </c>
      <c r="D121" s="19">
        <v>108</v>
      </c>
      <c r="E121" s="19"/>
    </row>
    <row r="122" spans="1:5" x14ac:dyDescent="0.25">
      <c r="A122" s="30">
        <v>316.47345638748612</v>
      </c>
      <c r="C122" s="1" t="str">
        <f>INDEX(1:1048576,C117,D117)</f>
        <v>O</v>
      </c>
    </row>
    <row r="123" spans="1:5" x14ac:dyDescent="0.25">
      <c r="A123" s="30">
        <v>301.40329179760585</v>
      </c>
      <c r="C123" s="1" t="str">
        <f>"R"&amp;C121</f>
        <v>R188</v>
      </c>
      <c r="D123" s="1" t="str">
        <f>"C"&amp;D121</f>
        <v>C108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12.64280826379346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O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>O</v>
      </c>
      <c r="D136" s="1" t="str">
        <f>IF(C133=$U$1,IF(C130&gt;(C127*1.05),$U$1,IF(D130&lt;(C127*0.863837598531476),$S$1,"")),"")</f>
        <v/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8" x14ac:dyDescent="0.25">
      <c r="A145" s="30">
        <v>103.03467644609493</v>
      </c>
      <c r="E145"/>
    </row>
    <row r="146" spans="1:58" x14ac:dyDescent="0.25">
      <c r="A146" s="30">
        <v>98.128263281995174</v>
      </c>
      <c r="E146"/>
    </row>
    <row r="147" spans="1:58" x14ac:dyDescent="0.25">
      <c r="A147" s="30">
        <v>93.455488839995397</v>
      </c>
      <c r="E147"/>
    </row>
    <row r="148" spans="1:58" x14ac:dyDescent="0.25">
      <c r="A148" s="30">
        <v>89.005227466662276</v>
      </c>
      <c r="E148"/>
    </row>
    <row r="149" spans="1:58" x14ac:dyDescent="0.25">
      <c r="A149" s="30">
        <v>84.766883301583121</v>
      </c>
      <c r="E149"/>
    </row>
    <row r="150" spans="1:58" x14ac:dyDescent="0.25">
      <c r="A150" s="30">
        <v>80.730365049126775</v>
      </c>
      <c r="E150"/>
    </row>
    <row r="151" spans="1:58" x14ac:dyDescent="0.25">
      <c r="A151" s="30">
        <v>76.886061951549308</v>
      </c>
      <c r="E151"/>
    </row>
    <row r="152" spans="1:58" x14ac:dyDescent="0.25">
      <c r="A152" s="30">
        <v>73.22482090623744</v>
      </c>
      <c r="E152"/>
    </row>
    <row r="153" spans="1:58" x14ac:dyDescent="0.25">
      <c r="A153" s="30">
        <v>69.737924672607079</v>
      </c>
      <c r="C153" s="7"/>
      <c r="D153"/>
      <c r="E153"/>
    </row>
    <row r="154" spans="1:58" x14ac:dyDescent="0.25">
      <c r="A154" s="30">
        <v>66.417071116768639</v>
      </c>
      <c r="E154"/>
    </row>
    <row r="155" spans="1:58" x14ac:dyDescent="0.25">
      <c r="A155" s="30">
        <v>63.254353444541557</v>
      </c>
      <c r="E155"/>
    </row>
    <row r="156" spans="1:58" x14ac:dyDescent="0.25">
      <c r="A156" s="30">
        <v>60.242241375753864</v>
      </c>
      <c r="C156"/>
      <c r="D156"/>
      <c r="E156"/>
    </row>
    <row r="157" spans="1:58" x14ac:dyDescent="0.25">
      <c r="A157" s="30">
        <v>57.373563215003678</v>
      </c>
      <c r="E157"/>
      <c r="BC157" s="31" t="s">
        <v>8</v>
      </c>
    </row>
    <row r="158" spans="1:58" x14ac:dyDescent="0.25">
      <c r="A158" s="30">
        <v>54.641488776193974</v>
      </c>
      <c r="E158"/>
      <c r="BC158" s="27" t="s">
        <v>8</v>
      </c>
      <c r="BD158" s="31" t="s">
        <v>7</v>
      </c>
    </row>
    <row r="159" spans="1:58" x14ac:dyDescent="0.25">
      <c r="A159" s="30">
        <v>52.039513120184736</v>
      </c>
      <c r="E159"/>
      <c r="BC159" s="27" t="s">
        <v>8</v>
      </c>
      <c r="BD159" s="27" t="s">
        <v>7</v>
      </c>
      <c r="BE159" s="31" t="s">
        <v>8</v>
      </c>
    </row>
    <row r="160" spans="1:58" x14ac:dyDescent="0.25">
      <c r="A160" s="30">
        <v>49.561441066842605</v>
      </c>
      <c r="C160"/>
      <c r="E160"/>
      <c r="BC160" s="27" t="s">
        <v>8</v>
      </c>
      <c r="BD160" s="27" t="s">
        <v>7</v>
      </c>
      <c r="BE160" s="27" t="s">
        <v>8</v>
      </c>
      <c r="BF160" s="31" t="s">
        <v>7</v>
      </c>
    </row>
    <row r="161" spans="1:96" x14ac:dyDescent="0.25">
      <c r="A161" s="30">
        <v>47.201372444612005</v>
      </c>
      <c r="E161"/>
      <c r="BC161" s="27" t="s">
        <v>8</v>
      </c>
      <c r="BD161" s="27" t="s">
        <v>7</v>
      </c>
      <c r="BE161" s="27" t="s">
        <v>8</v>
      </c>
      <c r="BF161" s="27" t="s">
        <v>7</v>
      </c>
      <c r="BG161" s="31"/>
    </row>
    <row r="162" spans="1:96" x14ac:dyDescent="0.25">
      <c r="A162" s="30">
        <v>44.95368804248762</v>
      </c>
      <c r="E162"/>
      <c r="AO162" s="27" t="s">
        <v>8</v>
      </c>
      <c r="BA162" s="27" t="s">
        <v>8</v>
      </c>
      <c r="BC162" s="27" t="s">
        <v>8</v>
      </c>
      <c r="BD162" s="27" t="s">
        <v>7</v>
      </c>
      <c r="BE162" s="27" t="s">
        <v>8</v>
      </c>
      <c r="BF162" s="27" t="s">
        <v>7</v>
      </c>
      <c r="BG162" s="27" t="s">
        <v>8</v>
      </c>
      <c r="BH162" s="31"/>
    </row>
    <row r="163" spans="1:96" x14ac:dyDescent="0.25">
      <c r="A163" s="30">
        <v>42.81303623094059</v>
      </c>
      <c r="E163"/>
      <c r="AO163" s="27" t="s">
        <v>8</v>
      </c>
      <c r="AP163" s="27" t="s">
        <v>7</v>
      </c>
      <c r="BA163" s="27" t="s">
        <v>8</v>
      </c>
      <c r="BB163" s="27" t="s">
        <v>7</v>
      </c>
      <c r="BC163" s="27" t="s">
        <v>8</v>
      </c>
      <c r="BD163" s="27" t="s">
        <v>7</v>
      </c>
      <c r="BE163" s="27" t="s">
        <v>8</v>
      </c>
      <c r="BF163" s="27" t="s">
        <v>7</v>
      </c>
      <c r="BG163" s="27" t="s">
        <v>8</v>
      </c>
      <c r="BH163" s="27" t="s">
        <v>7</v>
      </c>
      <c r="BI163" s="31"/>
    </row>
    <row r="164" spans="1:96" x14ac:dyDescent="0.25">
      <c r="A164" s="30">
        <v>40.774320219943419</v>
      </c>
      <c r="E164"/>
      <c r="AO164" s="27" t="s">
        <v>8</v>
      </c>
      <c r="AP164" s="27" t="s">
        <v>7</v>
      </c>
      <c r="AY164" s="27" t="s">
        <v>8</v>
      </c>
      <c r="BA164" s="27" t="s">
        <v>8</v>
      </c>
      <c r="BB164" s="27" t="s">
        <v>7</v>
      </c>
      <c r="BC164" s="27" t="s">
        <v>8</v>
      </c>
      <c r="BD164" s="27" t="s">
        <v>7</v>
      </c>
      <c r="BE164" s="27" t="s">
        <v>8</v>
      </c>
      <c r="BF164" s="27" t="s">
        <v>7</v>
      </c>
      <c r="BG164" s="27" t="s">
        <v>8</v>
      </c>
      <c r="BH164" s="27" t="s">
        <v>7</v>
      </c>
      <c r="BJ164" s="31"/>
    </row>
    <row r="165" spans="1:96" x14ac:dyDescent="0.25">
      <c r="A165" s="30">
        <v>38.832685923755633</v>
      </c>
      <c r="E165"/>
      <c r="AO165" s="27" t="s">
        <v>8</v>
      </c>
      <c r="AP165" s="27" t="s">
        <v>7</v>
      </c>
      <c r="AY165" s="27" t="s">
        <v>8</v>
      </c>
      <c r="AZ165" s="27" t="s">
        <v>7</v>
      </c>
      <c r="BA165" s="27" t="s">
        <v>8</v>
      </c>
      <c r="BB165" s="27" t="s">
        <v>7</v>
      </c>
      <c r="BC165" s="27" t="s">
        <v>8</v>
      </c>
      <c r="BD165" s="27" t="s">
        <v>7</v>
      </c>
      <c r="BE165" s="27" t="s">
        <v>8</v>
      </c>
      <c r="BF165" s="27" t="s">
        <v>7</v>
      </c>
      <c r="BG165" s="27" t="s">
        <v>8</v>
      </c>
      <c r="BH165" s="27" t="s">
        <v>7</v>
      </c>
      <c r="BK165" s="31"/>
    </row>
    <row r="166" spans="1:96" x14ac:dyDescent="0.25">
      <c r="A166" s="30">
        <v>36.983510403576794</v>
      </c>
      <c r="E166"/>
      <c r="AO166" s="27" t="s">
        <v>8</v>
      </c>
      <c r="AP166" s="27" t="s">
        <v>7</v>
      </c>
      <c r="AY166" s="27" t="s">
        <v>8</v>
      </c>
      <c r="AZ166" s="27" t="s">
        <v>7</v>
      </c>
      <c r="BA166" s="27" t="s">
        <v>8</v>
      </c>
      <c r="BB166" s="27" t="s">
        <v>7</v>
      </c>
      <c r="BD166" s="27" t="s">
        <v>7</v>
      </c>
      <c r="BE166" s="27" t="s">
        <v>8</v>
      </c>
      <c r="BF166" s="27" t="s">
        <v>7</v>
      </c>
      <c r="BH166" s="27" t="s">
        <v>7</v>
      </c>
      <c r="BL166" s="31"/>
    </row>
    <row r="167" spans="1:96" x14ac:dyDescent="0.25">
      <c r="A167" s="30">
        <v>35.222390860549325</v>
      </c>
      <c r="E167"/>
      <c r="AA167" s="27" t="s">
        <v>8</v>
      </c>
      <c r="AM167" s="27" t="s">
        <v>8</v>
      </c>
      <c r="AO167" s="27" t="s">
        <v>8</v>
      </c>
      <c r="AP167" s="27" t="s">
        <v>7</v>
      </c>
      <c r="AW167" s="27" t="s">
        <v>8</v>
      </c>
      <c r="AY167" s="27" t="s">
        <v>8</v>
      </c>
      <c r="AZ167" s="27" t="s">
        <v>7</v>
      </c>
      <c r="BA167" s="27" t="s">
        <v>8</v>
      </c>
      <c r="BD167" s="27" t="s">
        <v>7</v>
      </c>
      <c r="BE167" s="27" t="s">
        <v>8</v>
      </c>
      <c r="BH167" s="32" t="s">
        <v>7</v>
      </c>
      <c r="BM167" s="31"/>
      <c r="CA167" s="27" t="s">
        <v>8</v>
      </c>
      <c r="CI167" s="27" t="s">
        <v>8</v>
      </c>
    </row>
    <row r="168" spans="1:96" x14ac:dyDescent="0.25">
      <c r="A168" s="30">
        <v>33.545134152904119</v>
      </c>
      <c r="E168"/>
      <c r="AA168" s="27" t="s">
        <v>8</v>
      </c>
      <c r="AB168" s="27" t="s">
        <v>7</v>
      </c>
      <c r="AM168" s="27" t="s">
        <v>8</v>
      </c>
      <c r="AN168" s="27" t="s">
        <v>7</v>
      </c>
      <c r="AO168" s="27" t="s">
        <v>8</v>
      </c>
      <c r="AP168" s="27" t="s">
        <v>7</v>
      </c>
      <c r="AU168" s="27" t="s">
        <v>8</v>
      </c>
      <c r="AW168" s="27" t="s">
        <v>8</v>
      </c>
      <c r="AX168" s="27" t="s">
        <v>7</v>
      </c>
      <c r="AY168" s="27" t="s">
        <v>8</v>
      </c>
      <c r="AZ168" s="27" t="s">
        <v>7</v>
      </c>
      <c r="BA168" s="27" t="s">
        <v>8</v>
      </c>
      <c r="BD168" s="27" t="s">
        <v>7</v>
      </c>
      <c r="BE168" s="27" t="s">
        <v>8</v>
      </c>
      <c r="BH168" s="27" t="s">
        <v>7</v>
      </c>
      <c r="BN168" s="31"/>
      <c r="CA168" s="27" t="s">
        <v>8</v>
      </c>
      <c r="CB168" s="27" t="s">
        <v>7</v>
      </c>
      <c r="CG168" s="27" t="s">
        <v>8</v>
      </c>
      <c r="CI168" s="27" t="s">
        <v>8</v>
      </c>
      <c r="CJ168" s="27" t="s">
        <v>7</v>
      </c>
    </row>
    <row r="169" spans="1:96" x14ac:dyDescent="0.25">
      <c r="A169" s="30">
        <v>31.947746812289637</v>
      </c>
      <c r="E169"/>
      <c r="AA169" s="27" t="s">
        <v>8</v>
      </c>
      <c r="AB169" s="27" t="s">
        <v>7</v>
      </c>
      <c r="AM169" s="27" t="s">
        <v>8</v>
      </c>
      <c r="AN169" s="27" t="s">
        <v>7</v>
      </c>
      <c r="AO169" s="27" t="s">
        <v>8</v>
      </c>
      <c r="AP169" s="27" t="s">
        <v>7</v>
      </c>
      <c r="AQ169" s="27" t="s">
        <v>8</v>
      </c>
      <c r="AU169" s="27" t="s">
        <v>8</v>
      </c>
      <c r="AV169" s="27" t="s">
        <v>7</v>
      </c>
      <c r="AW169" s="27" t="s">
        <v>8</v>
      </c>
      <c r="AX169" s="27" t="s">
        <v>7</v>
      </c>
      <c r="AY169" s="27" t="s">
        <v>8</v>
      </c>
      <c r="AZ169" s="27" t="s">
        <v>7</v>
      </c>
      <c r="BA169" s="27" t="s">
        <v>8</v>
      </c>
      <c r="BD169" s="27" t="s">
        <v>7</v>
      </c>
      <c r="BE169" s="27" t="s">
        <v>8</v>
      </c>
      <c r="BH169" s="27" t="s">
        <v>7</v>
      </c>
      <c r="BI169" s="27" t="s">
        <v>8</v>
      </c>
      <c r="BO169" s="31"/>
      <c r="CA169" s="27" t="s">
        <v>8</v>
      </c>
      <c r="CB169" s="27" t="s">
        <v>7</v>
      </c>
      <c r="CG169" s="27" t="s">
        <v>8</v>
      </c>
      <c r="CH169" s="27" t="s">
        <v>7</v>
      </c>
      <c r="CI169" s="27" t="s">
        <v>8</v>
      </c>
      <c r="CJ169" s="27" t="s">
        <v>7</v>
      </c>
    </row>
    <row r="170" spans="1:96" x14ac:dyDescent="0.25">
      <c r="A170" s="30">
        <v>30.426425535513939</v>
      </c>
      <c r="E170"/>
      <c r="AA170" s="27" t="s">
        <v>8</v>
      </c>
      <c r="AB170" s="27" t="s">
        <v>7</v>
      </c>
      <c r="AM170" s="27" t="s">
        <v>8</v>
      </c>
      <c r="AN170" s="27" t="s">
        <v>7</v>
      </c>
      <c r="AO170" s="27" t="s">
        <v>8</v>
      </c>
      <c r="AP170" s="27" t="s">
        <v>7</v>
      </c>
      <c r="AQ170" s="27" t="s">
        <v>8</v>
      </c>
      <c r="AR170" s="27" t="s">
        <v>7</v>
      </c>
      <c r="AS170" s="27" t="s">
        <v>8</v>
      </c>
      <c r="AU170" s="27" t="s">
        <v>8</v>
      </c>
      <c r="AV170" s="27" t="s">
        <v>7</v>
      </c>
      <c r="AW170" s="27" t="s">
        <v>8</v>
      </c>
      <c r="AX170" s="27" t="s">
        <v>7</v>
      </c>
      <c r="AY170" s="27" t="s">
        <v>8</v>
      </c>
      <c r="AZ170" s="27" t="s">
        <v>7</v>
      </c>
      <c r="BD170" s="27" t="s">
        <v>7</v>
      </c>
      <c r="BE170" s="27" t="s">
        <v>8</v>
      </c>
      <c r="BH170" s="27" t="s">
        <v>7</v>
      </c>
      <c r="BI170" s="27" t="s">
        <v>8</v>
      </c>
      <c r="BJ170" s="27" t="s">
        <v>7</v>
      </c>
      <c r="BP170" s="31"/>
      <c r="CA170" s="27" t="s">
        <v>8</v>
      </c>
      <c r="CB170" s="27" t="s">
        <v>7</v>
      </c>
      <c r="CE170" s="27" t="s">
        <v>8</v>
      </c>
      <c r="CG170" s="27" t="s">
        <v>8</v>
      </c>
      <c r="CH170" s="27" t="s">
        <v>7</v>
      </c>
      <c r="CI170" s="27" t="s">
        <v>8</v>
      </c>
      <c r="CJ170" s="27" t="s">
        <v>7</v>
      </c>
    </row>
    <row r="171" spans="1:96" x14ac:dyDescent="0.25">
      <c r="A171" s="30">
        <v>28.977548129060892</v>
      </c>
      <c r="E171"/>
      <c r="O171" s="27" t="s">
        <v>8</v>
      </c>
      <c r="AA171" s="27" t="s">
        <v>8</v>
      </c>
      <c r="AB171" s="27" t="s">
        <v>7</v>
      </c>
      <c r="AM171" s="27" t="s">
        <v>8</v>
      </c>
      <c r="AN171" s="27" t="s">
        <v>7</v>
      </c>
      <c r="AO171" s="27" t="s">
        <v>8</v>
      </c>
      <c r="AP171" s="27" t="s">
        <v>7</v>
      </c>
      <c r="AQ171" s="27" t="s">
        <v>8</v>
      </c>
      <c r="AR171" s="27" t="s">
        <v>7</v>
      </c>
      <c r="AS171" s="27" t="s">
        <v>8</v>
      </c>
      <c r="AT171" s="27" t="s">
        <v>7</v>
      </c>
      <c r="AU171" s="27" t="s">
        <v>8</v>
      </c>
      <c r="AV171" s="27" t="s">
        <v>7</v>
      </c>
      <c r="AW171" s="27" t="s">
        <v>8</v>
      </c>
      <c r="AX171" s="27" t="s">
        <v>7</v>
      </c>
      <c r="BD171" s="27" t="s">
        <v>7</v>
      </c>
      <c r="BE171" s="27" t="s">
        <v>8</v>
      </c>
      <c r="BH171" s="27" t="s">
        <v>7</v>
      </c>
      <c r="BI171" s="27" t="s">
        <v>8</v>
      </c>
      <c r="BJ171" s="27" t="s">
        <v>7</v>
      </c>
      <c r="BQ171" s="31"/>
      <c r="CA171" s="27" t="s">
        <v>8</v>
      </c>
      <c r="CB171" s="27" t="s">
        <v>7</v>
      </c>
      <c r="CC171" s="27" t="s">
        <v>8</v>
      </c>
      <c r="CE171" s="27" t="s">
        <v>8</v>
      </c>
      <c r="CF171" s="27" t="s">
        <v>7</v>
      </c>
      <c r="CG171" s="27" t="s">
        <v>8</v>
      </c>
      <c r="CH171" s="27" t="s">
        <v>7</v>
      </c>
      <c r="CI171" s="27" t="s">
        <v>8</v>
      </c>
      <c r="CJ171" s="27" t="s">
        <v>7</v>
      </c>
    </row>
    <row r="172" spans="1:96" x14ac:dyDescent="0.25">
      <c r="A172" s="30">
        <v>27.597664884819896</v>
      </c>
      <c r="E172"/>
      <c r="O172" s="27" t="s">
        <v>8</v>
      </c>
      <c r="P172" s="27" t="s">
        <v>7</v>
      </c>
      <c r="AA172" s="27" t="s">
        <v>8</v>
      </c>
      <c r="AB172" s="27" t="s">
        <v>7</v>
      </c>
      <c r="AM172" s="27" t="s">
        <v>8</v>
      </c>
      <c r="AN172" s="27" t="s">
        <v>7</v>
      </c>
      <c r="AP172" s="27" t="s">
        <v>7</v>
      </c>
      <c r="AQ172" s="27" t="s">
        <v>8</v>
      </c>
      <c r="AR172" s="27" t="s">
        <v>7</v>
      </c>
      <c r="AS172" s="27" t="s">
        <v>8</v>
      </c>
      <c r="AT172" s="27" t="s">
        <v>7</v>
      </c>
      <c r="AU172" s="27" t="s">
        <v>8</v>
      </c>
      <c r="AV172" s="27" t="s">
        <v>7</v>
      </c>
      <c r="BD172" s="27" t="s">
        <v>7</v>
      </c>
      <c r="BH172" s="27" t="s">
        <v>7</v>
      </c>
      <c r="BI172" s="27" t="s">
        <v>8</v>
      </c>
      <c r="BJ172" s="27" t="s">
        <v>7</v>
      </c>
      <c r="BK172" s="27" t="s">
        <v>8</v>
      </c>
      <c r="BR172" s="31"/>
      <c r="CA172" s="27" t="s">
        <v>8</v>
      </c>
      <c r="CB172" s="27" t="s">
        <v>7</v>
      </c>
      <c r="CC172" s="27" t="s">
        <v>8</v>
      </c>
      <c r="CD172" s="27" t="s">
        <v>7</v>
      </c>
      <c r="CE172" s="27" t="s">
        <v>8</v>
      </c>
      <c r="CF172" s="27" t="s">
        <v>7</v>
      </c>
      <c r="CG172" s="27" t="s">
        <v>8</v>
      </c>
      <c r="CH172" s="27" t="s">
        <v>7</v>
      </c>
      <c r="CJ172" s="27" t="s">
        <v>7</v>
      </c>
      <c r="CK172" s="27" t="s">
        <v>8</v>
      </c>
      <c r="CO172" s="27" t="s">
        <v>8</v>
      </c>
    </row>
    <row r="173" spans="1:96" x14ac:dyDescent="0.25">
      <c r="A173" s="30">
        <v>26.283490366495137</v>
      </c>
      <c r="E173"/>
      <c r="O173" s="27" t="s">
        <v>8</v>
      </c>
      <c r="P173" s="27" t="s">
        <v>7</v>
      </c>
      <c r="AA173" s="27" t="s">
        <v>8</v>
      </c>
      <c r="AB173" s="27" t="s">
        <v>7</v>
      </c>
      <c r="AM173" s="27" t="s">
        <v>8</v>
      </c>
      <c r="AP173" s="27" t="s">
        <v>7</v>
      </c>
      <c r="AQ173" s="27" t="s">
        <v>8</v>
      </c>
      <c r="AR173" s="27" t="s">
        <v>7</v>
      </c>
      <c r="AS173" s="27" t="s">
        <v>8</v>
      </c>
      <c r="AT173" s="27" t="s">
        <v>7</v>
      </c>
      <c r="AU173" s="27" t="s">
        <v>8</v>
      </c>
      <c r="BH173" s="27" t="s">
        <v>7</v>
      </c>
      <c r="BI173" s="27" t="s">
        <v>8</v>
      </c>
      <c r="BJ173" s="27" t="s">
        <v>7</v>
      </c>
      <c r="BK173" s="27" t="s">
        <v>8</v>
      </c>
      <c r="BL173" s="27" t="s">
        <v>7</v>
      </c>
      <c r="BM173" s="27" t="s">
        <v>8</v>
      </c>
      <c r="BS173" s="31"/>
      <c r="CA173" s="33" t="s">
        <v>8</v>
      </c>
      <c r="CB173" s="27" t="s">
        <v>7</v>
      </c>
      <c r="CC173" s="27" t="s">
        <v>8</v>
      </c>
      <c r="CD173" s="27" t="s">
        <v>7</v>
      </c>
      <c r="CE173" s="27" t="s">
        <v>8</v>
      </c>
      <c r="CF173" s="27" t="s">
        <v>7</v>
      </c>
      <c r="CJ173" s="27" t="s">
        <v>7</v>
      </c>
      <c r="CK173" s="27" t="s">
        <v>8</v>
      </c>
      <c r="CL173" s="27" t="s">
        <v>7</v>
      </c>
      <c r="CO173" s="27" t="s">
        <v>8</v>
      </c>
      <c r="CP173" s="27" t="s">
        <v>7</v>
      </c>
      <c r="CQ173" s="27" t="s">
        <v>8</v>
      </c>
    </row>
    <row r="174" spans="1:96" x14ac:dyDescent="0.25">
      <c r="A174" s="30">
        <v>25.031895587138223</v>
      </c>
      <c r="E174"/>
      <c r="K174" s="27" t="s">
        <v>8</v>
      </c>
      <c r="O174" s="27" t="s">
        <v>8</v>
      </c>
      <c r="P174" s="27" t="s">
        <v>7</v>
      </c>
      <c r="AA174" s="27" t="s">
        <v>8</v>
      </c>
      <c r="AB174" s="27" t="s">
        <v>7</v>
      </c>
      <c r="AK174" s="27" t="s">
        <v>8</v>
      </c>
      <c r="AM174" s="27" t="s">
        <v>8</v>
      </c>
      <c r="AP174" s="27" t="s">
        <v>7</v>
      </c>
      <c r="AQ174" s="27" t="s">
        <v>8</v>
      </c>
      <c r="AR174" s="27" t="s">
        <v>7</v>
      </c>
      <c r="AS174" s="27" t="s">
        <v>8</v>
      </c>
      <c r="AT174" s="27" t="s">
        <v>7</v>
      </c>
      <c r="AU174" s="27" t="s">
        <v>8</v>
      </c>
      <c r="BH174" s="27" t="s">
        <v>7</v>
      </c>
      <c r="BI174" s="27" t="s">
        <v>8</v>
      </c>
      <c r="BJ174" s="27" t="s">
        <v>7</v>
      </c>
      <c r="BK174" s="27" t="s">
        <v>8</v>
      </c>
      <c r="BL174" s="27" t="s">
        <v>7</v>
      </c>
      <c r="BM174" s="27" t="s">
        <v>8</v>
      </c>
      <c r="BN174" s="27" t="s">
        <v>7</v>
      </c>
      <c r="BT174" s="31"/>
      <c r="BY174" s="27" t="s">
        <v>8</v>
      </c>
      <c r="CA174" s="27" t="s">
        <v>8</v>
      </c>
      <c r="CB174" s="27" t="s">
        <v>7</v>
      </c>
      <c r="CC174" s="27" t="s">
        <v>8</v>
      </c>
      <c r="CD174" s="27" t="s">
        <v>7</v>
      </c>
      <c r="CJ174" s="27" t="s">
        <v>7</v>
      </c>
      <c r="CK174" s="27" t="s">
        <v>8</v>
      </c>
      <c r="CL174" s="27" t="s">
        <v>7</v>
      </c>
      <c r="CO174" s="27" t="s">
        <v>8</v>
      </c>
      <c r="CP174" s="27" t="s">
        <v>7</v>
      </c>
      <c r="CQ174" s="27" t="s">
        <v>8</v>
      </c>
      <c r="CR174" s="27" t="s">
        <v>7</v>
      </c>
    </row>
    <row r="175" spans="1:96" x14ac:dyDescent="0.25">
      <c r="A175" s="30">
        <v>23.839900559179259</v>
      </c>
      <c r="E175"/>
      <c r="K175" s="27" t="s">
        <v>8</v>
      </c>
      <c r="L175" s="27" t="s">
        <v>7</v>
      </c>
      <c r="O175" s="27" t="s">
        <v>8</v>
      </c>
      <c r="P175" s="27" t="s">
        <v>7</v>
      </c>
      <c r="AA175" s="27" t="s">
        <v>8</v>
      </c>
      <c r="AB175" s="27" t="s">
        <v>7</v>
      </c>
      <c r="AK175" s="27" t="s">
        <v>8</v>
      </c>
      <c r="AL175" s="27" t="s">
        <v>7</v>
      </c>
      <c r="AM175" s="27" t="s">
        <v>8</v>
      </c>
      <c r="AP175" s="27" t="s">
        <v>7</v>
      </c>
      <c r="AQ175" s="27" t="s">
        <v>8</v>
      </c>
      <c r="AR175" s="27" t="s">
        <v>7</v>
      </c>
      <c r="AT175" s="27" t="s">
        <v>7</v>
      </c>
      <c r="BH175" s="27" t="s">
        <v>7</v>
      </c>
      <c r="BI175" s="27" t="s">
        <v>8</v>
      </c>
      <c r="BJ175" s="27" t="s">
        <v>7</v>
      </c>
      <c r="BK175" s="27" t="s">
        <v>8</v>
      </c>
      <c r="BL175" s="27" t="s">
        <v>7</v>
      </c>
      <c r="BM175" s="27" t="s">
        <v>8</v>
      </c>
      <c r="BN175" s="27" t="s">
        <v>7</v>
      </c>
      <c r="BO175" s="27" t="s">
        <v>8</v>
      </c>
      <c r="BU175" s="31"/>
      <c r="BY175" s="27" t="s">
        <v>8</v>
      </c>
      <c r="BZ175" s="27" t="s">
        <v>7</v>
      </c>
      <c r="CA175" s="27" t="s">
        <v>8</v>
      </c>
      <c r="CB175" s="27" t="s">
        <v>7</v>
      </c>
      <c r="CJ175" s="27" t="s">
        <v>7</v>
      </c>
      <c r="CL175" s="27" t="s">
        <v>7</v>
      </c>
      <c r="CO175" s="27" t="s">
        <v>8</v>
      </c>
      <c r="CP175" s="27" t="s">
        <v>7</v>
      </c>
      <c r="CQ175" s="27" t="s">
        <v>8</v>
      </c>
      <c r="CR175" s="27" t="s">
        <v>7</v>
      </c>
    </row>
    <row r="176" spans="1:96" x14ac:dyDescent="0.25">
      <c r="A176" s="30">
        <v>22.704667199218342</v>
      </c>
      <c r="E176"/>
      <c r="K176" s="27" t="s">
        <v>8</v>
      </c>
      <c r="L176" s="27" t="s">
        <v>7</v>
      </c>
      <c r="M176" s="27" t="s">
        <v>8</v>
      </c>
      <c r="O176" s="27" t="s">
        <v>8</v>
      </c>
      <c r="P176" s="27" t="s">
        <v>7</v>
      </c>
      <c r="AA176" s="27" t="s">
        <v>8</v>
      </c>
      <c r="AB176" s="27" t="s">
        <v>7</v>
      </c>
      <c r="AE176" s="27" t="s">
        <v>8</v>
      </c>
      <c r="AG176" s="27" t="s">
        <v>8</v>
      </c>
      <c r="AK176" s="27" t="s">
        <v>8</v>
      </c>
      <c r="AL176" s="27" t="s">
        <v>7</v>
      </c>
      <c r="AM176" s="27" t="s">
        <v>8</v>
      </c>
      <c r="AP176" s="27" t="s">
        <v>7</v>
      </c>
      <c r="AQ176" s="27" t="s">
        <v>8</v>
      </c>
      <c r="BH176" s="27" t="s">
        <v>7</v>
      </c>
      <c r="BI176" s="27" t="s">
        <v>8</v>
      </c>
      <c r="BJ176" s="27" t="s">
        <v>7</v>
      </c>
      <c r="BK176" s="27" t="s">
        <v>8</v>
      </c>
      <c r="BL176" s="27" t="s">
        <v>7</v>
      </c>
      <c r="BM176" s="27" t="s">
        <v>8</v>
      </c>
      <c r="BN176" s="27" t="s">
        <v>7</v>
      </c>
      <c r="BO176" s="27" t="s">
        <v>8</v>
      </c>
      <c r="BP176" s="27" t="s">
        <v>7</v>
      </c>
      <c r="BV176" s="31"/>
      <c r="BY176" s="27" t="s">
        <v>8</v>
      </c>
      <c r="BZ176" s="27" t="s">
        <v>7</v>
      </c>
      <c r="CA176" s="27" t="s">
        <v>8</v>
      </c>
      <c r="CL176" s="27" t="s">
        <v>7</v>
      </c>
      <c r="CM176" s="27" t="s">
        <v>8</v>
      </c>
      <c r="CO176" s="27" t="s">
        <v>8</v>
      </c>
      <c r="CP176" s="27" t="s">
        <v>7</v>
      </c>
      <c r="CQ176" s="27" t="s">
        <v>8</v>
      </c>
      <c r="CR176" s="27" t="s">
        <v>7</v>
      </c>
    </row>
    <row r="177" spans="1:108" x14ac:dyDescent="0.25">
      <c r="A177" s="30">
        <v>21.623492570684135</v>
      </c>
      <c r="E177"/>
      <c r="K177" s="27" t="s">
        <v>8</v>
      </c>
      <c r="L177" s="27" t="s">
        <v>7</v>
      </c>
      <c r="M177" s="27" t="s">
        <v>8</v>
      </c>
      <c r="N177" s="27" t="s">
        <v>7</v>
      </c>
      <c r="O177" s="27" t="s">
        <v>8</v>
      </c>
      <c r="P177" s="27" t="s">
        <v>7</v>
      </c>
      <c r="AA177" s="27" t="s">
        <v>8</v>
      </c>
      <c r="AB177" s="27" t="s">
        <v>7</v>
      </c>
      <c r="AC177" s="27" t="s">
        <v>8</v>
      </c>
      <c r="AE177" s="27" t="s">
        <v>8</v>
      </c>
      <c r="AF177" s="27" t="s">
        <v>7</v>
      </c>
      <c r="AG177" s="27" t="s">
        <v>8</v>
      </c>
      <c r="AH177" s="27" t="s">
        <v>7</v>
      </c>
      <c r="AK177" s="27" t="s">
        <v>8</v>
      </c>
      <c r="AL177" s="27" t="s">
        <v>7</v>
      </c>
      <c r="AM177" s="27" t="s">
        <v>8</v>
      </c>
      <c r="AP177" s="27" t="s">
        <v>7</v>
      </c>
      <c r="AQ177" s="27" t="s">
        <v>8</v>
      </c>
      <c r="BH177" s="27" t="s">
        <v>7</v>
      </c>
      <c r="BI177" s="27" t="s">
        <v>8</v>
      </c>
      <c r="BJ177" s="27" t="s">
        <v>7</v>
      </c>
      <c r="BK177" s="27" t="s">
        <v>8</v>
      </c>
      <c r="BL177" s="27" t="s">
        <v>7</v>
      </c>
      <c r="BN177" s="27" t="s">
        <v>7</v>
      </c>
      <c r="BO177" s="27" t="s">
        <v>8</v>
      </c>
      <c r="BP177" s="27" t="s">
        <v>7</v>
      </c>
      <c r="BQ177" s="27" t="s">
        <v>8</v>
      </c>
      <c r="BW177" s="31"/>
      <c r="BY177" s="27" t="s">
        <v>8</v>
      </c>
      <c r="BZ177" s="27" t="s">
        <v>7</v>
      </c>
      <c r="CA177" s="27" t="s">
        <v>8</v>
      </c>
      <c r="CL177" s="27" t="s">
        <v>7</v>
      </c>
      <c r="CM177" s="27" t="s">
        <v>8</v>
      </c>
      <c r="CN177" s="27" t="s">
        <v>7</v>
      </c>
      <c r="CO177" s="27" t="s">
        <v>8</v>
      </c>
      <c r="CP177" s="27" t="s">
        <v>7</v>
      </c>
      <c r="CR177" s="27" t="s">
        <v>7</v>
      </c>
      <c r="CW177" s="27" t="s">
        <v>8</v>
      </c>
    </row>
    <row r="178" spans="1:108" x14ac:dyDescent="0.25">
      <c r="A178" s="30">
        <v>20.593802448270605</v>
      </c>
      <c r="C178" s="7"/>
      <c r="D178"/>
      <c r="E178"/>
      <c r="I178" s="27" t="s">
        <v>8</v>
      </c>
      <c r="K178" s="27" t="s">
        <v>8</v>
      </c>
      <c r="L178" s="27" t="s">
        <v>7</v>
      </c>
      <c r="M178" s="27" t="s">
        <v>8</v>
      </c>
      <c r="N178" s="27" t="s">
        <v>7</v>
      </c>
      <c r="O178" s="27" t="s">
        <v>8</v>
      </c>
      <c r="P178" s="27" t="s">
        <v>7</v>
      </c>
      <c r="AA178" s="27" t="s">
        <v>8</v>
      </c>
      <c r="AB178" s="27" t="s">
        <v>7</v>
      </c>
      <c r="AC178" s="27" t="s">
        <v>8</v>
      </c>
      <c r="AD178" s="27" t="s">
        <v>7</v>
      </c>
      <c r="AE178" s="27" t="s">
        <v>8</v>
      </c>
      <c r="AF178" s="27" t="s">
        <v>7</v>
      </c>
      <c r="AG178" s="27" t="s">
        <v>8</v>
      </c>
      <c r="AH178" s="27" t="s">
        <v>7</v>
      </c>
      <c r="AI178" s="27" t="s">
        <v>8</v>
      </c>
      <c r="AK178" s="27" t="s">
        <v>8</v>
      </c>
      <c r="AL178" s="27" t="s">
        <v>7</v>
      </c>
      <c r="AP178" s="27" t="s">
        <v>7</v>
      </c>
      <c r="BH178" s="27" t="s">
        <v>7</v>
      </c>
      <c r="BI178" s="27" t="s">
        <v>8</v>
      </c>
      <c r="BJ178" s="27" t="s">
        <v>7</v>
      </c>
      <c r="BK178" s="27" t="s">
        <v>8</v>
      </c>
      <c r="BN178" s="27" t="s">
        <v>7</v>
      </c>
      <c r="BO178" s="27" t="s">
        <v>8</v>
      </c>
      <c r="BP178" s="27" t="s">
        <v>7</v>
      </c>
      <c r="BQ178" s="27" t="s">
        <v>8</v>
      </c>
      <c r="BR178" s="27" t="s">
        <v>7</v>
      </c>
      <c r="BW178" s="27" t="s">
        <v>8</v>
      </c>
      <c r="BX178" s="31"/>
      <c r="BY178" s="27" t="s">
        <v>8</v>
      </c>
      <c r="BZ178" s="27" t="s">
        <v>7</v>
      </c>
      <c r="CA178" s="27" t="s">
        <v>8</v>
      </c>
      <c r="CL178" s="27" t="s">
        <v>7</v>
      </c>
      <c r="CM178" s="27" t="s">
        <v>8</v>
      </c>
      <c r="CN178" s="27" t="s">
        <v>7</v>
      </c>
      <c r="CO178" s="27" t="s">
        <v>8</v>
      </c>
      <c r="CR178" s="27" t="s">
        <v>7</v>
      </c>
      <c r="CS178" s="27" t="s">
        <v>8</v>
      </c>
      <c r="CU178" s="27" t="s">
        <v>8</v>
      </c>
      <c r="CW178" s="27" t="s">
        <v>8</v>
      </c>
      <c r="CX178" s="27" t="s">
        <v>7</v>
      </c>
    </row>
    <row r="179" spans="1:108" x14ac:dyDescent="0.25">
      <c r="A179" s="30">
        <v>19.613145188829147</v>
      </c>
      <c r="E179"/>
      <c r="I179" s="27" t="s">
        <v>8</v>
      </c>
      <c r="J179" s="27" t="s">
        <v>7</v>
      </c>
      <c r="K179" s="27" t="s">
        <v>8</v>
      </c>
      <c r="L179" s="27" t="s">
        <v>7</v>
      </c>
      <c r="M179" s="27" t="s">
        <v>8</v>
      </c>
      <c r="N179" s="27" t="s">
        <v>7</v>
      </c>
      <c r="P179" s="27" t="s">
        <v>7</v>
      </c>
      <c r="AA179" s="27" t="s">
        <v>8</v>
      </c>
      <c r="AB179" s="27" t="s">
        <v>7</v>
      </c>
      <c r="AC179" s="27" t="s">
        <v>8</v>
      </c>
      <c r="AD179" s="27" t="s">
        <v>7</v>
      </c>
      <c r="AE179" s="27" t="s">
        <v>8</v>
      </c>
      <c r="AF179" s="27" t="s">
        <v>7</v>
      </c>
      <c r="AG179" s="27" t="s">
        <v>8</v>
      </c>
      <c r="AH179" s="27" t="s">
        <v>7</v>
      </c>
      <c r="AI179" s="27" t="s">
        <v>8</v>
      </c>
      <c r="AJ179" s="27" t="s">
        <v>7</v>
      </c>
      <c r="AK179" s="27" t="s">
        <v>8</v>
      </c>
      <c r="BH179" s="27" t="s">
        <v>7</v>
      </c>
      <c r="BI179" s="27" t="s">
        <v>8</v>
      </c>
      <c r="BJ179" s="27" t="s">
        <v>7</v>
      </c>
      <c r="BK179" s="27" t="s">
        <v>8</v>
      </c>
      <c r="BN179" s="27" t="s">
        <v>7</v>
      </c>
      <c r="BP179" s="27" t="s">
        <v>7</v>
      </c>
      <c r="BQ179" s="27" t="s">
        <v>8</v>
      </c>
      <c r="BR179" s="27" t="s">
        <v>7</v>
      </c>
      <c r="BW179" s="27" t="s">
        <v>8</v>
      </c>
      <c r="BX179" s="27" t="s">
        <v>7</v>
      </c>
      <c r="BY179" s="31" t="s">
        <v>8</v>
      </c>
      <c r="BZ179" s="27" t="s">
        <v>7</v>
      </c>
      <c r="CA179" s="27" t="s">
        <v>8</v>
      </c>
      <c r="CG179" s="31"/>
      <c r="CL179" s="27" t="s">
        <v>7</v>
      </c>
      <c r="CN179" s="27" t="s">
        <v>7</v>
      </c>
      <c r="CO179" s="27" t="s">
        <v>8</v>
      </c>
      <c r="CR179" s="27" t="s">
        <v>7</v>
      </c>
      <c r="CS179" s="27" t="s">
        <v>8</v>
      </c>
      <c r="CT179" s="27" t="s">
        <v>7</v>
      </c>
      <c r="CU179" s="27" t="s">
        <v>8</v>
      </c>
      <c r="CV179" s="27" t="s">
        <v>7</v>
      </c>
      <c r="CW179" s="27" t="s">
        <v>8</v>
      </c>
      <c r="CX179" s="27" t="s">
        <v>7</v>
      </c>
      <c r="CY179" s="27" t="s">
        <v>8</v>
      </c>
      <c r="DA179" s="27" t="s">
        <v>8</v>
      </c>
    </row>
    <row r="180" spans="1:108" x14ac:dyDescent="0.25">
      <c r="A180" s="30">
        <v>18.679185894122998</v>
      </c>
      <c r="E180"/>
      <c r="G180" s="27" t="s">
        <v>8</v>
      </c>
      <c r="I180" s="27" t="s">
        <v>8</v>
      </c>
      <c r="J180" s="27" t="s">
        <v>7</v>
      </c>
      <c r="K180" s="27" t="s">
        <v>8</v>
      </c>
      <c r="L180" s="27" t="s">
        <v>7</v>
      </c>
      <c r="M180" s="27" t="s">
        <v>8</v>
      </c>
      <c r="P180" s="27" t="s">
        <v>7</v>
      </c>
      <c r="AA180" s="27" t="s">
        <v>8</v>
      </c>
      <c r="AB180" s="27" t="s">
        <v>7</v>
      </c>
      <c r="AC180" s="27" t="s">
        <v>8</v>
      </c>
      <c r="AD180" s="27" t="s">
        <v>7</v>
      </c>
      <c r="AE180" s="27" t="s">
        <v>8</v>
      </c>
      <c r="AF180" s="27" t="s">
        <v>7</v>
      </c>
      <c r="AG180" s="27" t="s">
        <v>8</v>
      </c>
      <c r="AH180" s="27" t="s">
        <v>7</v>
      </c>
      <c r="AI180" s="27" t="s">
        <v>8</v>
      </c>
      <c r="AJ180" s="27" t="s">
        <v>7</v>
      </c>
      <c r="AK180" s="27" t="s">
        <v>8</v>
      </c>
      <c r="BH180" s="27" t="s">
        <v>7</v>
      </c>
      <c r="BI180" s="27" t="s">
        <v>8</v>
      </c>
      <c r="BJ180" s="27" t="s">
        <v>7</v>
      </c>
      <c r="BK180" s="27" t="s">
        <v>8</v>
      </c>
      <c r="BP180" s="27" t="s">
        <v>7</v>
      </c>
      <c r="BQ180" s="27" t="s">
        <v>8</v>
      </c>
      <c r="BR180" s="27" t="s">
        <v>7</v>
      </c>
      <c r="BW180" s="27" t="s">
        <v>8</v>
      </c>
      <c r="BX180" s="27" t="s">
        <v>7</v>
      </c>
      <c r="BY180" s="27" t="s">
        <v>8</v>
      </c>
      <c r="BZ180" s="27" t="s">
        <v>7</v>
      </c>
      <c r="CA180" s="27" t="s">
        <v>8</v>
      </c>
      <c r="CF180" s="31"/>
      <c r="CN180" s="27" t="s">
        <v>7</v>
      </c>
      <c r="CR180" s="27" t="s">
        <v>7</v>
      </c>
      <c r="CS180" s="27" t="s">
        <v>8</v>
      </c>
      <c r="CT180" s="27" t="s">
        <v>7</v>
      </c>
      <c r="CU180" s="27" t="s">
        <v>8</v>
      </c>
      <c r="CV180" s="27" t="s">
        <v>7</v>
      </c>
      <c r="CW180" s="27" t="s">
        <v>8</v>
      </c>
      <c r="CX180" s="27" t="s">
        <v>7</v>
      </c>
      <c r="CY180" s="27" t="s">
        <v>8</v>
      </c>
      <c r="CZ180" s="27" t="s">
        <v>7</v>
      </c>
      <c r="DA180" s="27" t="s">
        <v>8</v>
      </c>
      <c r="DB180" s="27" t="s">
        <v>7</v>
      </c>
    </row>
    <row r="181" spans="1:108" x14ac:dyDescent="0.25">
      <c r="A181" s="30">
        <v>17.78970085154571</v>
      </c>
      <c r="C181"/>
      <c r="D181"/>
      <c r="E181"/>
      <c r="G181" s="27" t="s">
        <v>8</v>
      </c>
      <c r="H181" s="27" t="s">
        <v>7</v>
      </c>
      <c r="I181" s="27" t="s">
        <v>8</v>
      </c>
      <c r="J181" s="27" t="s">
        <v>7</v>
      </c>
      <c r="L181" s="27" t="s">
        <v>7</v>
      </c>
      <c r="M181" s="27" t="s">
        <v>8</v>
      </c>
      <c r="P181" s="27" t="s">
        <v>7</v>
      </c>
      <c r="Q181" s="27" t="s">
        <v>8</v>
      </c>
      <c r="Y181" s="27" t="s">
        <v>8</v>
      </c>
      <c r="AA181" s="27" t="s">
        <v>8</v>
      </c>
      <c r="AB181" s="27" t="s">
        <v>7</v>
      </c>
      <c r="AC181" s="27" t="s">
        <v>8</v>
      </c>
      <c r="AD181" s="27" t="s">
        <v>7</v>
      </c>
      <c r="AF181" s="27" t="s">
        <v>7</v>
      </c>
      <c r="AG181" s="27" t="s">
        <v>8</v>
      </c>
      <c r="AH181" s="27" t="s">
        <v>7</v>
      </c>
      <c r="AI181" s="27" t="s">
        <v>8</v>
      </c>
      <c r="AJ181" s="27" t="s">
        <v>7</v>
      </c>
      <c r="BH181" s="27" t="s">
        <v>7</v>
      </c>
      <c r="BI181" s="27" t="s">
        <v>8</v>
      </c>
      <c r="BJ181" s="27" t="s">
        <v>7</v>
      </c>
      <c r="BK181" s="27" t="s">
        <v>8</v>
      </c>
      <c r="BP181" s="27" t="s">
        <v>7</v>
      </c>
      <c r="BR181" s="27" t="s">
        <v>7</v>
      </c>
      <c r="BU181" s="27" t="s">
        <v>8</v>
      </c>
      <c r="BW181" s="27" t="s">
        <v>8</v>
      </c>
      <c r="BX181" s="27" t="s">
        <v>7</v>
      </c>
      <c r="BY181" s="27" t="s">
        <v>8</v>
      </c>
      <c r="BZ181" s="27" t="s">
        <v>7</v>
      </c>
      <c r="CA181" s="27" t="s">
        <v>8</v>
      </c>
      <c r="CE181" s="31"/>
      <c r="CR181" s="27" t="s">
        <v>7</v>
      </c>
      <c r="CS181" s="27" t="s">
        <v>8</v>
      </c>
      <c r="CT181" s="27" t="s">
        <v>7</v>
      </c>
      <c r="CU181" s="27" t="s">
        <v>8</v>
      </c>
      <c r="CV181" s="27" t="s">
        <v>7</v>
      </c>
      <c r="CW181" s="27" t="s">
        <v>8</v>
      </c>
      <c r="CX181" s="27" t="s">
        <v>7</v>
      </c>
      <c r="CY181" s="27" t="s">
        <v>8</v>
      </c>
      <c r="CZ181" s="27" t="s">
        <v>7</v>
      </c>
      <c r="DA181" s="27" t="s">
        <v>8</v>
      </c>
      <c r="DB181" s="27" t="s">
        <v>7</v>
      </c>
    </row>
    <row r="182" spans="1:108" x14ac:dyDescent="0.25">
      <c r="A182" s="30">
        <v>16.942572239567344</v>
      </c>
      <c r="E182" t="s">
        <v>8</v>
      </c>
      <c r="G182" s="27" t="s">
        <v>8</v>
      </c>
      <c r="H182" s="27" t="s">
        <v>7</v>
      </c>
      <c r="I182" s="27" t="s">
        <v>8</v>
      </c>
      <c r="L182" s="27" t="s">
        <v>7</v>
      </c>
      <c r="M182" s="27" t="s">
        <v>8</v>
      </c>
      <c r="P182" s="27" t="s">
        <v>7</v>
      </c>
      <c r="Q182" s="27" t="s">
        <v>8</v>
      </c>
      <c r="R182" s="27" t="s">
        <v>7</v>
      </c>
      <c r="U182" s="27" t="s">
        <v>8</v>
      </c>
      <c r="W182" s="27" t="s">
        <v>8</v>
      </c>
      <c r="Y182" s="27" t="s">
        <v>8</v>
      </c>
      <c r="Z182" s="27" t="s">
        <v>7</v>
      </c>
      <c r="AA182" s="27" t="s">
        <v>8</v>
      </c>
      <c r="AB182" s="27" t="s">
        <v>7</v>
      </c>
      <c r="AC182" s="27" t="s">
        <v>8</v>
      </c>
      <c r="AF182" s="27" t="s">
        <v>7</v>
      </c>
      <c r="AH182" s="27" t="s">
        <v>7</v>
      </c>
      <c r="BH182" s="27" t="s">
        <v>7</v>
      </c>
      <c r="BI182" s="27" t="s">
        <v>8</v>
      </c>
      <c r="BJ182" s="27" t="s">
        <v>7</v>
      </c>
      <c r="BR182" s="27" t="s">
        <v>7</v>
      </c>
      <c r="BU182" s="27" t="s">
        <v>8</v>
      </c>
      <c r="BV182" s="27" t="s">
        <v>7</v>
      </c>
      <c r="BW182" s="27" t="s">
        <v>8</v>
      </c>
      <c r="BX182" s="27" t="s">
        <v>7</v>
      </c>
      <c r="BZ182" s="27" t="s">
        <v>7</v>
      </c>
      <c r="CA182" s="27" t="s">
        <v>8</v>
      </c>
      <c r="CD182" s="31"/>
      <c r="CR182" s="27" t="s">
        <v>7</v>
      </c>
      <c r="CS182" s="27" t="s">
        <v>8</v>
      </c>
      <c r="CT182" s="27" t="s">
        <v>7</v>
      </c>
      <c r="CU182" s="27" t="s">
        <v>8</v>
      </c>
      <c r="CV182" s="27" t="s">
        <v>7</v>
      </c>
      <c r="CW182" s="27" t="s">
        <v>8</v>
      </c>
      <c r="CX182" s="27" t="s">
        <v>7</v>
      </c>
      <c r="CZ182" s="27" t="s">
        <v>7</v>
      </c>
      <c r="DA182" s="27" t="s">
        <v>8</v>
      </c>
      <c r="DB182" s="27" t="s">
        <v>7</v>
      </c>
    </row>
    <row r="183" spans="1:108" x14ac:dyDescent="0.25">
      <c r="A183" s="30">
        <v>16.135783085302233</v>
      </c>
      <c r="E183" t="s">
        <v>8</v>
      </c>
      <c r="F183" s="27" t="s">
        <v>7</v>
      </c>
      <c r="G183" s="27" t="s">
        <v>8</v>
      </c>
      <c r="H183" s="27" t="s">
        <v>7</v>
      </c>
      <c r="L183" s="27" t="s">
        <v>7</v>
      </c>
      <c r="M183" s="27" t="s">
        <v>8</v>
      </c>
      <c r="P183" s="27" t="s">
        <v>7</v>
      </c>
      <c r="Q183" s="27" t="s">
        <v>8</v>
      </c>
      <c r="R183" s="27" t="s">
        <v>7</v>
      </c>
      <c r="U183" s="27" t="s">
        <v>8</v>
      </c>
      <c r="V183" s="27" t="s">
        <v>7</v>
      </c>
      <c r="W183" s="27" t="s">
        <v>8</v>
      </c>
      <c r="X183" s="27" t="s">
        <v>7</v>
      </c>
      <c r="Y183" s="27" t="s">
        <v>8</v>
      </c>
      <c r="Z183" s="27" t="s">
        <v>7</v>
      </c>
      <c r="AA183" s="27" t="s">
        <v>8</v>
      </c>
      <c r="AB183" s="27" t="s">
        <v>7</v>
      </c>
      <c r="AC183" s="27" t="s">
        <v>8</v>
      </c>
      <c r="BH183" s="27" t="s">
        <v>7</v>
      </c>
      <c r="BR183" s="27" t="s">
        <v>7</v>
      </c>
      <c r="BU183" s="27" t="s">
        <v>8</v>
      </c>
      <c r="BV183" s="27" t="s">
        <v>7</v>
      </c>
      <c r="BW183" s="27" t="s">
        <v>8</v>
      </c>
      <c r="BZ183" s="32" t="s">
        <v>7</v>
      </c>
      <c r="CA183" s="27" t="s">
        <v>8</v>
      </c>
      <c r="CC183" s="31"/>
      <c r="CR183" s="27" t="s">
        <v>7</v>
      </c>
      <c r="CT183" s="27" t="s">
        <v>7</v>
      </c>
      <c r="CV183" s="27" t="s">
        <v>7</v>
      </c>
      <c r="CW183" s="27" t="s">
        <v>8</v>
      </c>
      <c r="CZ183" s="27" t="s">
        <v>7</v>
      </c>
      <c r="DA183" s="27" t="s">
        <v>8</v>
      </c>
      <c r="DB183" s="27" t="s">
        <v>7</v>
      </c>
    </row>
    <row r="184" spans="1:108" x14ac:dyDescent="0.25">
      <c r="A184" s="30">
        <v>15.367412462192602</v>
      </c>
      <c r="E184" t="s">
        <v>8</v>
      </c>
      <c r="F184" s="27" t="s">
        <v>7</v>
      </c>
      <c r="G184" s="27" t="s">
        <v>8</v>
      </c>
      <c r="L184" s="27" t="s">
        <v>7</v>
      </c>
      <c r="M184" s="27" t="s">
        <v>8</v>
      </c>
      <c r="P184" s="27" t="s">
        <v>7</v>
      </c>
      <c r="Q184" s="27" t="s">
        <v>8</v>
      </c>
      <c r="R184" s="27" t="s">
        <v>7</v>
      </c>
      <c r="S184" s="27" t="s">
        <v>8</v>
      </c>
      <c r="U184" s="27" t="s">
        <v>8</v>
      </c>
      <c r="V184" s="27" t="s">
        <v>7</v>
      </c>
      <c r="W184" s="27" t="s">
        <v>8</v>
      </c>
      <c r="X184" s="27" t="s">
        <v>7</v>
      </c>
      <c r="Y184" s="27" t="s">
        <v>8</v>
      </c>
      <c r="Z184" s="27" t="s">
        <v>7</v>
      </c>
      <c r="AA184" s="27" t="s">
        <v>8</v>
      </c>
      <c r="AB184" s="27" t="s">
        <v>7</v>
      </c>
      <c r="AC184" s="27" t="s">
        <v>8</v>
      </c>
      <c r="BR184" s="27" t="s">
        <v>7</v>
      </c>
      <c r="BU184" s="27" t="s">
        <v>8</v>
      </c>
      <c r="BV184" s="27" t="s">
        <v>7</v>
      </c>
      <c r="BW184" s="27" t="s">
        <v>8</v>
      </c>
      <c r="BZ184" s="27" t="s">
        <v>7</v>
      </c>
      <c r="CA184" s="27" t="s">
        <v>8</v>
      </c>
      <c r="CB184" s="31"/>
      <c r="CV184" s="27" t="s">
        <v>7</v>
      </c>
      <c r="CZ184" s="27" t="s">
        <v>7</v>
      </c>
      <c r="DB184" s="27" t="s">
        <v>7</v>
      </c>
    </row>
    <row r="185" spans="1:108" x14ac:dyDescent="0.25">
      <c r="A185" s="30">
        <v>14.635630916373906</v>
      </c>
      <c r="C185"/>
      <c r="E185" t="s">
        <v>8</v>
      </c>
      <c r="F185" s="27" t="s">
        <v>7</v>
      </c>
      <c r="L185" s="27" t="s">
        <v>7</v>
      </c>
      <c r="M185" s="27" t="s">
        <v>8</v>
      </c>
      <c r="P185" s="27" t="s">
        <v>7</v>
      </c>
      <c r="Q185" s="27" t="s">
        <v>8</v>
      </c>
      <c r="R185" s="27" t="s">
        <v>7</v>
      </c>
      <c r="S185" s="27" t="s">
        <v>8</v>
      </c>
      <c r="T185" s="27" t="s">
        <v>7</v>
      </c>
      <c r="U185" s="27" t="s">
        <v>8</v>
      </c>
      <c r="V185" s="27" t="s">
        <v>7</v>
      </c>
      <c r="W185" s="27" t="s">
        <v>8</v>
      </c>
      <c r="X185" s="27" t="s">
        <v>7</v>
      </c>
      <c r="Z185" s="27" t="s">
        <v>7</v>
      </c>
      <c r="AB185" s="27" t="s">
        <v>7</v>
      </c>
      <c r="AC185" s="27" t="s">
        <v>8</v>
      </c>
      <c r="BR185" s="27" t="s">
        <v>7</v>
      </c>
      <c r="BU185" s="27" t="s">
        <v>8</v>
      </c>
      <c r="BV185" s="27" t="s">
        <v>7</v>
      </c>
      <c r="BZ185" s="31" t="s">
        <v>7</v>
      </c>
      <c r="CA185" s="31" t="s">
        <v>8</v>
      </c>
      <c r="DB185" s="27" t="s">
        <v>7</v>
      </c>
      <c r="DC185" s="27" t="s">
        <v>8</v>
      </c>
    </row>
    <row r="186" spans="1:108" x14ac:dyDescent="0.25">
      <c r="A186" s="30">
        <v>13.938696110832291</v>
      </c>
      <c r="E186" t="s">
        <v>8</v>
      </c>
      <c r="L186" s="27" t="s">
        <v>7</v>
      </c>
      <c r="M186" s="27" t="s">
        <v>8</v>
      </c>
      <c r="P186" s="27" t="s">
        <v>7</v>
      </c>
      <c r="R186" s="27" t="s">
        <v>7</v>
      </c>
      <c r="S186" s="27" t="s">
        <v>8</v>
      </c>
      <c r="T186" s="27" t="s">
        <v>7</v>
      </c>
      <c r="U186" s="27" t="s">
        <v>8</v>
      </c>
      <c r="V186" s="27" t="s">
        <v>7</v>
      </c>
      <c r="AB186" s="27" t="s">
        <v>7</v>
      </c>
      <c r="BR186" s="27" t="s">
        <v>7</v>
      </c>
      <c r="BU186" s="33" t="s">
        <v>8</v>
      </c>
      <c r="BY186" s="31"/>
      <c r="BZ186" s="27" t="s">
        <v>7</v>
      </c>
      <c r="DB186" s="27" t="s">
        <v>7</v>
      </c>
      <c r="DC186" s="27" t="s">
        <v>8</v>
      </c>
      <c r="DD186" s="27" t="s">
        <v>7</v>
      </c>
    </row>
    <row r="187" spans="1:108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 t="s">
        <v>8</v>
      </c>
      <c r="L187" s="27" t="s">
        <v>7</v>
      </c>
      <c r="M187" s="27" t="s">
        <v>8</v>
      </c>
      <c r="R187" s="27" t="s">
        <v>7</v>
      </c>
      <c r="S187" s="27" t="s">
        <v>8</v>
      </c>
      <c r="T187" s="27" t="s">
        <v>7</v>
      </c>
      <c r="U187" s="27" t="s">
        <v>8</v>
      </c>
      <c r="BR187" s="27" t="s">
        <v>7</v>
      </c>
      <c r="BS187" s="27" t="s">
        <v>8</v>
      </c>
      <c r="BU187" s="27" t="s">
        <v>8</v>
      </c>
      <c r="BX187" s="31"/>
      <c r="DB187" s="27" t="s">
        <v>7</v>
      </c>
      <c r="DC187" s="27" t="s">
        <v>8</v>
      </c>
      <c r="DD187" s="27" t="s">
        <v>7</v>
      </c>
    </row>
    <row r="188" spans="1:108" x14ac:dyDescent="0.25">
      <c r="A188" s="30">
        <v>12.64280826379346</v>
      </c>
      <c r="E188" t="s">
        <v>8</v>
      </c>
      <c r="L188" s="27" t="s">
        <v>7</v>
      </c>
      <c r="M188" s="27" t="s">
        <v>8</v>
      </c>
      <c r="R188" s="27" t="s">
        <v>7</v>
      </c>
      <c r="T188" s="27" t="s">
        <v>7</v>
      </c>
      <c r="U188" s="27" t="s">
        <v>8</v>
      </c>
      <c r="BR188" s="27" t="s">
        <v>7</v>
      </c>
      <c r="BS188" s="27" t="s">
        <v>8</v>
      </c>
      <c r="BT188" s="27" t="s">
        <v>7</v>
      </c>
      <c r="BU188" s="27" t="s">
        <v>8</v>
      </c>
      <c r="BW188" s="31"/>
      <c r="DB188" s="27" t="s">
        <v>7</v>
      </c>
      <c r="DC188" s="27" t="s">
        <v>8</v>
      </c>
      <c r="DD188" s="27" t="s">
        <v>7</v>
      </c>
    </row>
    <row r="189" spans="1:108" x14ac:dyDescent="0.25">
      <c r="A189" s="30">
        <v>12.04076977504139</v>
      </c>
      <c r="E189" t="s">
        <v>8</v>
      </c>
      <c r="L189" s="27" t="s">
        <v>7</v>
      </c>
      <c r="M189" s="27" t="s">
        <v>8</v>
      </c>
      <c r="T189" s="27" t="s">
        <v>7</v>
      </c>
      <c r="BR189" s="27" t="s">
        <v>7</v>
      </c>
      <c r="BS189" s="27" t="s">
        <v>8</v>
      </c>
      <c r="BT189" s="27" t="s">
        <v>7</v>
      </c>
      <c r="BU189" s="27" t="s">
        <v>8</v>
      </c>
      <c r="BV189" s="31"/>
      <c r="DB189" s="27" t="s">
        <v>7</v>
      </c>
      <c r="DC189" s="27" t="s">
        <v>8</v>
      </c>
    </row>
    <row r="190" spans="1:108" x14ac:dyDescent="0.25">
      <c r="A190" s="30">
        <v>11.467399785753704</v>
      </c>
      <c r="E190" t="s">
        <v>8</v>
      </c>
      <c r="L190" s="27" t="s">
        <v>7</v>
      </c>
      <c r="M190" s="27" t="s">
        <v>8</v>
      </c>
      <c r="BR190" s="27" t="s">
        <v>7</v>
      </c>
      <c r="BS190" s="27" t="s">
        <v>8</v>
      </c>
      <c r="BT190" s="27" t="s">
        <v>7</v>
      </c>
      <c r="BU190" s="31" t="s">
        <v>8</v>
      </c>
      <c r="DB190" s="27" t="s">
        <v>7</v>
      </c>
    </row>
    <row r="191" spans="1:108" x14ac:dyDescent="0.25">
      <c r="A191" s="30">
        <v>10.921333129289241</v>
      </c>
      <c r="E191" t="s">
        <v>8</v>
      </c>
      <c r="L191" s="27" t="s">
        <v>7</v>
      </c>
      <c r="M191" s="27" t="s">
        <v>8</v>
      </c>
      <c r="BR191" s="27" t="s">
        <v>7</v>
      </c>
      <c r="BS191" s="27" t="s">
        <v>8</v>
      </c>
      <c r="BT191" s="31" t="s">
        <v>7</v>
      </c>
    </row>
    <row r="192" spans="1:108" x14ac:dyDescent="0.25">
      <c r="A192" s="30">
        <v>10.401269646942135</v>
      </c>
      <c r="E192" t="s">
        <v>8</v>
      </c>
      <c r="L192" s="27" t="s">
        <v>7</v>
      </c>
      <c r="M192" s="27" t="s">
        <v>8</v>
      </c>
      <c r="BR192" s="27" t="s">
        <v>7</v>
      </c>
      <c r="BS192" s="31" t="s">
        <v>8</v>
      </c>
    </row>
    <row r="193" spans="1:70" x14ac:dyDescent="0.25">
      <c r="A193" s="30">
        <v>9.9059710923258422</v>
      </c>
      <c r="E193" t="s">
        <v>8</v>
      </c>
      <c r="L193" s="27" t="s">
        <v>7</v>
      </c>
      <c r="M193" s="27" t="s">
        <v>8</v>
      </c>
      <c r="BR193" s="31" t="s">
        <v>7</v>
      </c>
    </row>
    <row r="194" spans="1:70" x14ac:dyDescent="0.25">
      <c r="A194" s="30">
        <v>9.4342581831674686</v>
      </c>
      <c r="E194" t="s">
        <v>8</v>
      </c>
      <c r="L194" s="27" t="s">
        <v>7</v>
      </c>
      <c r="M194" s="27" t="s">
        <v>8</v>
      </c>
    </row>
    <row r="195" spans="1:70" x14ac:dyDescent="0.25">
      <c r="A195" s="30">
        <v>8.9850077934928265</v>
      </c>
      <c r="E195" t="s">
        <v>8</v>
      </c>
      <c r="L195" s="27" t="s">
        <v>7</v>
      </c>
      <c r="M195" s="27" t="s">
        <v>8</v>
      </c>
    </row>
    <row r="196" spans="1:70" x14ac:dyDescent="0.25">
      <c r="A196" s="30">
        <v>8.5571502795169767</v>
      </c>
      <c r="E196" t="s">
        <v>8</v>
      </c>
      <c r="L196" s="27" t="s">
        <v>7</v>
      </c>
      <c r="M196" s="27" t="s">
        <v>8</v>
      </c>
    </row>
    <row r="197" spans="1:70" x14ac:dyDescent="0.25">
      <c r="A197" s="30">
        <v>8.1496669328733109</v>
      </c>
      <c r="E197" t="s">
        <v>8</v>
      </c>
      <c r="L197" s="27" t="s">
        <v>7</v>
      </c>
      <c r="M197" s="27" t="s">
        <v>8</v>
      </c>
    </row>
    <row r="198" spans="1:70" x14ac:dyDescent="0.25">
      <c r="A198" s="30">
        <v>7.7615875551174378</v>
      </c>
      <c r="E198" t="s">
        <v>8</v>
      </c>
      <c r="L198" s="27" t="s">
        <v>7</v>
      </c>
      <c r="M198" s="27" t="s">
        <v>8</v>
      </c>
    </row>
    <row r="199" spans="1:70" x14ac:dyDescent="0.25">
      <c r="A199" s="30">
        <v>7.3919881477308929</v>
      </c>
      <c r="E199" t="s">
        <v>8</v>
      </c>
      <c r="L199" s="27" t="s">
        <v>7</v>
      </c>
      <c r="M199" s="27" t="s">
        <v>8</v>
      </c>
    </row>
    <row r="200" spans="1:70" x14ac:dyDescent="0.25">
      <c r="A200" s="30">
        <v>7.0399887121246598</v>
      </c>
      <c r="E200" t="s">
        <v>8</v>
      </c>
      <c r="L200" s="27" t="s">
        <v>7</v>
      </c>
      <c r="M200" s="27" t="s">
        <v>8</v>
      </c>
    </row>
    <row r="201" spans="1:70" x14ac:dyDescent="0.25">
      <c r="A201" s="30">
        <v>6.7047511544044376</v>
      </c>
      <c r="E201" t="s">
        <v>8</v>
      </c>
      <c r="L201" s="27" t="s">
        <v>7</v>
      </c>
      <c r="M201" s="27" t="s">
        <v>8</v>
      </c>
    </row>
    <row r="202" spans="1:70" x14ac:dyDescent="0.25">
      <c r="A202" s="30">
        <v>6.3854772899089882</v>
      </c>
      <c r="E202" t="s">
        <v>8</v>
      </c>
      <c r="L202" s="27" t="s">
        <v>7</v>
      </c>
      <c r="M202" s="27" t="s">
        <v>8</v>
      </c>
    </row>
    <row r="203" spans="1:70" x14ac:dyDescent="0.25">
      <c r="A203" s="30">
        <v>6.0814069427704647</v>
      </c>
      <c r="C203" s="7"/>
      <c r="D203"/>
      <c r="E203" t="s">
        <v>8</v>
      </c>
      <c r="L203" s="27" t="s">
        <v>7</v>
      </c>
      <c r="M203" s="27" t="s">
        <v>8</v>
      </c>
    </row>
    <row r="204" spans="1:70" x14ac:dyDescent="0.25">
      <c r="A204" s="30">
        <v>5.7918161359718709</v>
      </c>
      <c r="E204" t="s">
        <v>8</v>
      </c>
      <c r="L204" s="27" t="s">
        <v>7</v>
      </c>
      <c r="M204" s="27" t="s">
        <v>8</v>
      </c>
    </row>
    <row r="205" spans="1:70" x14ac:dyDescent="0.25">
      <c r="A205" s="30">
        <v>5.5160153675922574</v>
      </c>
      <c r="E205" t="s">
        <v>8</v>
      </c>
      <c r="L205" s="27" t="s">
        <v>7</v>
      </c>
      <c r="M205" s="27" t="s">
        <v>8</v>
      </c>
    </row>
    <row r="206" spans="1:70" x14ac:dyDescent="0.25">
      <c r="A206" s="30">
        <v>5.2533479691354827</v>
      </c>
      <c r="C206"/>
      <c r="D206"/>
      <c r="E206" t="s">
        <v>8</v>
      </c>
      <c r="L206" s="27" t="s">
        <v>7</v>
      </c>
      <c r="M206" s="27" t="s">
        <v>8</v>
      </c>
    </row>
    <row r="207" spans="1:70" x14ac:dyDescent="0.25">
      <c r="A207" s="30">
        <v>5.0031885420337927</v>
      </c>
      <c r="E207" t="s">
        <v>8</v>
      </c>
      <c r="L207" s="27" t="s">
        <v>7</v>
      </c>
    </row>
    <row r="208" spans="1:70" x14ac:dyDescent="0.25">
      <c r="A208" s="30">
        <v>4.7649414686036122</v>
      </c>
      <c r="E208" t="s">
        <v>8</v>
      </c>
    </row>
    <row r="209" spans="1:5" x14ac:dyDescent="0.25">
      <c r="A209" s="30">
        <v>4.5380394939082018</v>
      </c>
      <c r="E209" t="s">
        <v>8</v>
      </c>
    </row>
    <row r="210" spans="1:5" x14ac:dyDescent="0.25">
      <c r="A210" s="30">
        <v>4.3219423751506678</v>
      </c>
      <c r="C210"/>
      <c r="E210" t="s">
        <v>8</v>
      </c>
    </row>
    <row r="211" spans="1:5" x14ac:dyDescent="0.25">
      <c r="A211" s="30">
        <v>4.1161355953815884</v>
      </c>
      <c r="E211" t="s">
        <v>8</v>
      </c>
    </row>
    <row r="212" spans="1:5" x14ac:dyDescent="0.25">
      <c r="A212" s="30">
        <v>3.9201291384586554</v>
      </c>
      <c r="E212" t="s">
        <v>8</v>
      </c>
    </row>
    <row r="213" spans="1:5" x14ac:dyDescent="0.25">
      <c r="A213" s="30">
        <v>3.7334563223415764</v>
      </c>
      <c r="E213" t="s">
        <v>8</v>
      </c>
    </row>
    <row r="214" spans="1:5" x14ac:dyDescent="0.25">
      <c r="A214" s="30">
        <v>3.5556726879443583</v>
      </c>
      <c r="E214" t="s">
        <v>8</v>
      </c>
    </row>
    <row r="215" spans="1:5" x14ac:dyDescent="0.25">
      <c r="A215" s="30">
        <v>3.3863549408993889</v>
      </c>
      <c r="E215" t="s">
        <v>8</v>
      </c>
    </row>
    <row r="216" spans="1:5" x14ac:dyDescent="0.25">
      <c r="A216" s="30">
        <v>3.2250999437137038</v>
      </c>
      <c r="E216" t="s">
        <v>8</v>
      </c>
    </row>
    <row r="217" spans="1:5" x14ac:dyDescent="0.25">
      <c r="A217" s="30">
        <v>3.0715237559178128</v>
      </c>
      <c r="E217" t="s">
        <v>8</v>
      </c>
    </row>
    <row r="218" spans="1:5" x14ac:dyDescent="0.25">
      <c r="A218" s="30">
        <v>2.9252607199217264</v>
      </c>
      <c r="E218" t="s">
        <v>8</v>
      </c>
    </row>
    <row r="219" spans="1:5" x14ac:dyDescent="0.25">
      <c r="A219" s="30">
        <v>2.7859625904016441</v>
      </c>
      <c r="E219" t="s">
        <v>8</v>
      </c>
    </row>
    <row r="220" spans="1:5" x14ac:dyDescent="0.25">
      <c r="A220" s="30">
        <v>2.6532977051444226</v>
      </c>
      <c r="E220" t="s">
        <v>8</v>
      </c>
    </row>
    <row r="221" spans="1:5" x14ac:dyDescent="0.25">
      <c r="A221" s="30">
        <v>2.5269501953756404</v>
      </c>
      <c r="E221" t="s">
        <v>8</v>
      </c>
    </row>
    <row r="222" spans="1:5" x14ac:dyDescent="0.25">
      <c r="A222" s="30">
        <v>2.4066192336910861</v>
      </c>
      <c r="E222" t="s">
        <v>8</v>
      </c>
    </row>
    <row r="223" spans="1:5" x14ac:dyDescent="0.25">
      <c r="A223" s="30">
        <v>2.2920183178010345</v>
      </c>
      <c r="E223" t="s">
        <v>8</v>
      </c>
    </row>
    <row r="224" spans="1:5" x14ac:dyDescent="0.25">
      <c r="A224" s="30">
        <v>2.1828745883819374</v>
      </c>
      <c r="E224" t="s">
        <v>8</v>
      </c>
    </row>
    <row r="225" spans="1:5" x14ac:dyDescent="0.25">
      <c r="A225" s="30">
        <v>2.0789281794113688</v>
      </c>
      <c r="E225" t="s">
        <v>8</v>
      </c>
    </row>
    <row r="226" spans="1:5" x14ac:dyDescent="0.25">
      <c r="A226" s="30">
        <v>1.9799315994393987</v>
      </c>
      <c r="E226" t="s">
        <v>8</v>
      </c>
    </row>
    <row r="227" spans="1:5" x14ac:dyDescent="0.25">
      <c r="A227" s="30">
        <v>1.8856491423232367</v>
      </c>
      <c r="E227" t="s">
        <v>8</v>
      </c>
    </row>
    <row r="228" spans="1:5" x14ac:dyDescent="0.25">
      <c r="A228" s="30">
        <v>1.7958563260221301</v>
      </c>
      <c r="C228" s="7"/>
      <c r="D228"/>
      <c r="E228" t="s">
        <v>8</v>
      </c>
    </row>
    <row r="229" spans="1:5" x14ac:dyDescent="0.25">
      <c r="A229" s="30">
        <v>1.7103393581163142</v>
      </c>
      <c r="E229" t="s">
        <v>8</v>
      </c>
    </row>
    <row r="230" spans="1:5" x14ac:dyDescent="0.25">
      <c r="A230" s="30">
        <v>1.628894626777442</v>
      </c>
      <c r="E230" t="s">
        <v>8</v>
      </c>
    </row>
    <row r="231" spans="1:5" x14ac:dyDescent="0.25">
      <c r="A231" s="30">
        <v>1.5513282159785162</v>
      </c>
      <c r="C231"/>
      <c r="D231"/>
      <c r="E231" t="s">
        <v>8</v>
      </c>
    </row>
    <row r="232" spans="1:5" x14ac:dyDescent="0.25">
      <c r="A232" s="30">
        <v>1.477455443789063</v>
      </c>
      <c r="E232" t="s">
        <v>8</v>
      </c>
    </row>
    <row r="233" spans="1:5" x14ac:dyDescent="0.25">
      <c r="A233" s="30">
        <v>1.4071004226562505</v>
      </c>
      <c r="E233" t="s">
        <v>8</v>
      </c>
    </row>
    <row r="234" spans="1:5" x14ac:dyDescent="0.25">
      <c r="A234" s="30">
        <v>1.3400956406250004</v>
      </c>
      <c r="E234" t="s">
        <v>8</v>
      </c>
    </row>
    <row r="235" spans="1:5" x14ac:dyDescent="0.25">
      <c r="A235" s="30">
        <v>1.2762815625000004</v>
      </c>
      <c r="C235"/>
      <c r="E235" t="s">
        <v>8</v>
      </c>
    </row>
    <row r="236" spans="1:5" x14ac:dyDescent="0.25">
      <c r="A236" s="30">
        <v>1.2155062500000002</v>
      </c>
      <c r="E236" t="s">
        <v>8</v>
      </c>
    </row>
    <row r="237" spans="1:5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 t="s">
        <v>8</v>
      </c>
    </row>
    <row r="238" spans="1:5" x14ac:dyDescent="0.25">
      <c r="A238" s="30">
        <v>1.1025</v>
      </c>
      <c r="E238" t="s">
        <v>8</v>
      </c>
    </row>
    <row r="239" spans="1:5" x14ac:dyDescent="0.25">
      <c r="A239" s="30">
        <v>1.05</v>
      </c>
      <c r="E239" t="s">
        <v>8</v>
      </c>
    </row>
    <row r="240" spans="1:5" x14ac:dyDescent="0.25">
      <c r="A240" s="30">
        <v>1</v>
      </c>
      <c r="E240" s="29" t="s">
        <v>8</v>
      </c>
    </row>
    <row r="241" spans="1:5" x14ac:dyDescent="0.25">
      <c r="A241" s="30">
        <v>0.952380952380952</v>
      </c>
      <c r="B241"/>
      <c r="C241"/>
      <c r="D241"/>
      <c r="E241"/>
    </row>
    <row r="242" spans="1:5" x14ac:dyDescent="0.25">
      <c r="A242" s="30">
        <v>0.90702947845804915</v>
      </c>
      <c r="B242"/>
      <c r="C242"/>
      <c r="D242"/>
      <c r="E242"/>
    </row>
    <row r="243" spans="1:5" x14ac:dyDescent="0.25">
      <c r="A243" s="30">
        <v>0.86383759853147501</v>
      </c>
      <c r="B243"/>
      <c r="C243"/>
      <c r="D243"/>
      <c r="E243"/>
    </row>
    <row r="244" spans="1:5" x14ac:dyDescent="0.25">
      <c r="A244" s="30">
        <v>0.82270247479188063</v>
      </c>
      <c r="B244"/>
      <c r="C244"/>
      <c r="D244"/>
      <c r="E244"/>
    </row>
    <row r="245" spans="1:5" x14ac:dyDescent="0.25">
      <c r="A245" s="30">
        <v>0.78352616646845741</v>
      </c>
      <c r="B245"/>
      <c r="C245"/>
      <c r="D245"/>
      <c r="E245"/>
    </row>
    <row r="246" spans="1:5" x14ac:dyDescent="0.25">
      <c r="A246" s="30">
        <v>0.74621539663662584</v>
      </c>
      <c r="B246"/>
      <c r="C246"/>
      <c r="D246"/>
      <c r="E246"/>
    </row>
    <row r="247" spans="1:5" x14ac:dyDescent="0.25">
      <c r="A247" s="30">
        <v>0.71068133013011958</v>
      </c>
      <c r="B247"/>
      <c r="C247"/>
      <c r="D247"/>
      <c r="E247"/>
    </row>
    <row r="248" spans="1:5" x14ac:dyDescent="0.25">
      <c r="A248" s="30">
        <v>0.676839362028685</v>
      </c>
      <c r="B248"/>
      <c r="C248"/>
      <c r="D248"/>
      <c r="E248"/>
    </row>
    <row r="249" spans="1:5" x14ac:dyDescent="0.25">
      <c r="A249" s="30">
        <v>0.64460891621779492</v>
      </c>
      <c r="B249"/>
      <c r="C249"/>
      <c r="D249"/>
      <c r="E249"/>
    </row>
    <row r="250" spans="1:5" x14ac:dyDescent="0.25">
      <c r="A250" s="30">
        <v>0.61391325354075688</v>
      </c>
      <c r="B250"/>
      <c r="C250"/>
      <c r="D250"/>
      <c r="E250"/>
    </row>
    <row r="251" spans="1:5" x14ac:dyDescent="0.25">
      <c r="A251" s="30">
        <v>0.58467928908643485</v>
      </c>
      <c r="B251"/>
      <c r="C251"/>
      <c r="D251"/>
      <c r="E251"/>
    </row>
    <row r="252" spans="1:5" x14ac:dyDescent="0.25">
      <c r="A252" s="30">
        <v>0.55683741817755672</v>
      </c>
      <c r="B252"/>
      <c r="C252"/>
      <c r="D252"/>
      <c r="E252"/>
    </row>
    <row r="253" spans="1:5" x14ac:dyDescent="0.25">
      <c r="A253" s="30">
        <v>0.53032135064529184</v>
      </c>
      <c r="B253"/>
      <c r="C253"/>
      <c r="D253"/>
      <c r="E253"/>
    </row>
    <row r="254" spans="1:5" x14ac:dyDescent="0.25">
      <c r="A254" s="30">
        <v>0.50506795299551588</v>
      </c>
      <c r="B254"/>
      <c r="C254"/>
      <c r="D254"/>
      <c r="E254"/>
    </row>
    <row r="255" spans="1:5" x14ac:dyDescent="0.25">
      <c r="A255" s="30">
        <v>0.48101709809096732</v>
      </c>
      <c r="E255"/>
    </row>
    <row r="256" spans="1:5" x14ac:dyDescent="0.25">
      <c r="A256" s="30">
        <v>0.45811152199139726</v>
      </c>
      <c r="E256"/>
    </row>
    <row r="257" spans="1:5" x14ac:dyDescent="0.25">
      <c r="A257" s="30">
        <v>0.43629668761085438</v>
      </c>
      <c r="B257"/>
      <c r="C257"/>
      <c r="D257"/>
      <c r="E257"/>
    </row>
    <row r="258" spans="1:5" x14ac:dyDescent="0.25">
      <c r="A258" s="30">
        <v>0.41552065486748019</v>
      </c>
      <c r="B258"/>
      <c r="C258"/>
      <c r="D258"/>
      <c r="E258"/>
    </row>
    <row r="259" spans="1:5" x14ac:dyDescent="0.25">
      <c r="A259" s="30">
        <v>0.39573395701664765</v>
      </c>
      <c r="B259"/>
      <c r="C259"/>
      <c r="D259"/>
      <c r="E259"/>
    </row>
    <row r="260" spans="1:5" x14ac:dyDescent="0.25">
      <c r="A260" s="30">
        <v>0.37688948287299762</v>
      </c>
      <c r="B260"/>
      <c r="C260"/>
      <c r="D260"/>
      <c r="E260"/>
    </row>
    <row r="261" spans="1:5" x14ac:dyDescent="0.25">
      <c r="A261" s="30">
        <v>0.35894236464094997</v>
      </c>
      <c r="B261"/>
      <c r="C261"/>
      <c r="D261"/>
      <c r="E261"/>
    </row>
    <row r="262" spans="1:5" x14ac:dyDescent="0.25">
      <c r="A262" s="30">
        <v>0.34184987108661891</v>
      </c>
      <c r="B262"/>
      <c r="C262"/>
      <c r="D262"/>
      <c r="E262"/>
    </row>
    <row r="263" spans="1:5" x14ac:dyDescent="0.25">
      <c r="A263" s="30">
        <v>0.32557130579677979</v>
      </c>
      <c r="B263"/>
      <c r="C263"/>
      <c r="D263"/>
      <c r="E263"/>
    </row>
    <row r="264" spans="1:5" x14ac:dyDescent="0.25">
      <c r="A264" s="30">
        <v>0.3100679102826473</v>
      </c>
      <c r="B264"/>
      <c r="C264"/>
      <c r="D264"/>
      <c r="E264"/>
    </row>
    <row r="265" spans="1:5" x14ac:dyDescent="0.25">
      <c r="A265" s="30">
        <v>0.2953027716977592</v>
      </c>
      <c r="B265"/>
      <c r="C265"/>
      <c r="D265"/>
      <c r="E265"/>
    </row>
    <row r="266" spans="1:5" x14ac:dyDescent="0.25">
      <c r="A266" s="30">
        <v>0.28124073495024676</v>
      </c>
      <c r="B266"/>
      <c r="C266"/>
      <c r="D266"/>
      <c r="E266"/>
    </row>
    <row r="267" spans="1:5" x14ac:dyDescent="0.25">
      <c r="A267" s="30">
        <v>0.26784831900023492</v>
      </c>
      <c r="B267"/>
      <c r="C267"/>
      <c r="D267"/>
      <c r="E267"/>
    </row>
    <row r="268" spans="1:5" x14ac:dyDescent="0.25">
      <c r="A268" s="30">
        <v>0.25509363714308075</v>
      </c>
      <c r="B268"/>
      <c r="C268"/>
      <c r="D268"/>
      <c r="E268"/>
    </row>
    <row r="269" spans="1:5" x14ac:dyDescent="0.25">
      <c r="A269" s="30">
        <v>0.24294632108864825</v>
      </c>
      <c r="B269"/>
      <c r="C269"/>
      <c r="D269"/>
      <c r="E269"/>
    </row>
    <row r="270" spans="1:5" x14ac:dyDescent="0.25">
      <c r="A270" s="30">
        <v>0.23137744865585538</v>
      </c>
      <c r="B270"/>
      <c r="C270"/>
      <c r="D270"/>
      <c r="E270"/>
    </row>
    <row r="271" spans="1:5" x14ac:dyDescent="0.25">
      <c r="A271" s="30">
        <v>0.22035947491033836</v>
      </c>
      <c r="B271"/>
      <c r="C271"/>
      <c r="D271"/>
      <c r="E271"/>
    </row>
    <row r="272" spans="1:5" x14ac:dyDescent="0.25">
      <c r="A272" s="30">
        <v>0.20986616658127455</v>
      </c>
      <c r="B272"/>
      <c r="C272"/>
      <c r="D272"/>
      <c r="E272"/>
    </row>
    <row r="273" spans="1:5" x14ac:dyDescent="0.25">
      <c r="A273" s="30">
        <v>0.19987253960121379</v>
      </c>
      <c r="B273"/>
      <c r="C273"/>
      <c r="D273"/>
      <c r="E273"/>
    </row>
    <row r="274" spans="1:5" x14ac:dyDescent="0.25">
      <c r="A274" s="30">
        <v>0.19035479962020352</v>
      </c>
      <c r="B274"/>
      <c r="C274"/>
      <c r="D274"/>
      <c r="E274"/>
    </row>
    <row r="275" spans="1:5" x14ac:dyDescent="0.25">
      <c r="A275" s="30">
        <v>0.18129028535257471</v>
      </c>
      <c r="B275"/>
      <c r="C275"/>
      <c r="D275"/>
      <c r="E275"/>
    </row>
    <row r="276" spans="1:5" x14ac:dyDescent="0.25">
      <c r="A276" s="30">
        <v>0.17265741462149967</v>
      </c>
      <c r="B276"/>
      <c r="C276"/>
      <c r="D276"/>
      <c r="E276"/>
    </row>
    <row r="277" spans="1:5" x14ac:dyDescent="0.25">
      <c r="A277" s="30">
        <v>0.16443563297285677</v>
      </c>
      <c r="B277"/>
      <c r="C277"/>
      <c r="D277"/>
      <c r="E277"/>
    </row>
    <row r="278" spans="1:5" x14ac:dyDescent="0.25">
      <c r="A278" s="30">
        <v>0.15660536473605399</v>
      </c>
      <c r="B278"/>
      <c r="C278"/>
      <c r="D278"/>
      <c r="E278"/>
    </row>
    <row r="279" spans="1:5" x14ac:dyDescent="0.25">
      <c r="A279" s="30">
        <v>0.14914796641528946</v>
      </c>
      <c r="B279"/>
      <c r="C279"/>
      <c r="D279"/>
      <c r="E279"/>
    </row>
    <row r="280" spans="1:5" x14ac:dyDescent="0.25">
      <c r="A280" s="30">
        <v>0.14204568230027562</v>
      </c>
      <c r="B280"/>
      <c r="C280"/>
      <c r="D280"/>
      <c r="E280"/>
    </row>
    <row r="281" spans="1:5" x14ac:dyDescent="0.25">
      <c r="A281" s="30">
        <v>0.13528160219073862</v>
      </c>
      <c r="B281"/>
      <c r="C281"/>
      <c r="D281"/>
      <c r="E281"/>
    </row>
    <row r="282" spans="1:5" x14ac:dyDescent="0.25">
      <c r="A282" s="30">
        <v>0.12883962113403674</v>
      </c>
      <c r="B282"/>
      <c r="C282"/>
      <c r="D282"/>
      <c r="E282"/>
    </row>
    <row r="283" spans="1:5" x14ac:dyDescent="0.25">
      <c r="A283" s="30">
        <v>0.12270440108003494</v>
      </c>
      <c r="B283"/>
      <c r="C283"/>
      <c r="D283"/>
      <c r="E283"/>
    </row>
    <row r="284" spans="1:5" x14ac:dyDescent="0.25">
      <c r="A284" s="30">
        <v>0.11686133436193799</v>
      </c>
      <c r="B284"/>
      <c r="C284"/>
      <c r="D284"/>
      <c r="E284"/>
    </row>
    <row r="285" spans="1:5" x14ac:dyDescent="0.25">
      <c r="A285" s="30">
        <v>0.11129650891613138</v>
      </c>
      <c r="B285"/>
      <c r="C285"/>
      <c r="D285"/>
      <c r="E285"/>
    </row>
    <row r="286" spans="1:5" x14ac:dyDescent="0.25">
      <c r="A286" s="30">
        <v>0.10599667515822032</v>
      </c>
      <c r="B286"/>
      <c r="C286"/>
      <c r="D286"/>
      <c r="E286"/>
    </row>
    <row r="287" spans="1:5" x14ac:dyDescent="0.25">
      <c r="A287" s="30">
        <v>0.10094921443640027</v>
      </c>
      <c r="B287"/>
      <c r="C287"/>
      <c r="D287"/>
      <c r="E287"/>
    </row>
    <row r="288" spans="1:5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1015" operator="equal">
      <formula>$U$1</formula>
    </cfRule>
    <cfRule type="cellIs" dxfId="67" priority="1016" operator="equal">
      <formula>$S$1</formula>
    </cfRule>
  </conditionalFormatting>
  <conditionalFormatting sqref="D136">
    <cfRule type="cellIs" dxfId="66" priority="1013" operator="equal">
      <formula>$S$1</formula>
    </cfRule>
    <cfRule type="cellIs" dxfId="65" priority="1014" operator="equal">
      <formula>$U$1</formula>
    </cfRule>
  </conditionalFormatting>
  <conditionalFormatting sqref="C162">
    <cfRule type="cellIs" dxfId="64" priority="1011" operator="equal">
      <formula>$U$1</formula>
    </cfRule>
    <cfRule type="cellIs" dxfId="63" priority="1012" operator="equal">
      <formula>$S$1</formula>
    </cfRule>
  </conditionalFormatting>
  <conditionalFormatting sqref="D162">
    <cfRule type="cellIs" dxfId="62" priority="1009" operator="equal">
      <formula>$S$1</formula>
    </cfRule>
    <cfRule type="cellIs" dxfId="61" priority="1010" operator="equal">
      <formula>$U$1</formula>
    </cfRule>
  </conditionalFormatting>
  <conditionalFormatting sqref="C187">
    <cfRule type="cellIs" dxfId="60" priority="1007" operator="equal">
      <formula>$U$1</formula>
    </cfRule>
    <cfRule type="cellIs" dxfId="59" priority="1008" operator="equal">
      <formula>$S$1</formula>
    </cfRule>
  </conditionalFormatting>
  <conditionalFormatting sqref="D187">
    <cfRule type="cellIs" dxfId="58" priority="1005" operator="equal">
      <formula>$S$1</formula>
    </cfRule>
    <cfRule type="cellIs" dxfId="57" priority="1006" operator="equal">
      <formula>$U$1</formula>
    </cfRule>
  </conditionalFormatting>
  <conditionalFormatting sqref="C212">
    <cfRule type="cellIs" dxfId="56" priority="1003" operator="equal">
      <formula>$U$1</formula>
    </cfRule>
    <cfRule type="cellIs" dxfId="55" priority="1004" operator="equal">
      <formula>$S$1</formula>
    </cfRule>
  </conditionalFormatting>
  <conditionalFormatting sqref="D212">
    <cfRule type="cellIs" dxfId="54" priority="1001" operator="equal">
      <formula>$S$1</formula>
    </cfRule>
    <cfRule type="cellIs" dxfId="53" priority="1002" operator="equal">
      <formula>$U$1</formula>
    </cfRule>
  </conditionalFormatting>
  <conditionalFormatting sqref="C237">
    <cfRule type="cellIs" dxfId="52" priority="999" operator="equal">
      <formula>$U$1</formula>
    </cfRule>
    <cfRule type="cellIs" dxfId="51" priority="1000" operator="equal">
      <formula>$S$1</formula>
    </cfRule>
  </conditionalFormatting>
  <conditionalFormatting sqref="D237">
    <cfRule type="cellIs" dxfId="50" priority="997" operator="equal">
      <formula>$S$1</formula>
    </cfRule>
    <cfRule type="cellIs" dxfId="49" priority="998" operator="equal">
      <formula>$U$1</formula>
    </cfRule>
  </conditionalFormatting>
  <conditionalFormatting sqref="C106">
    <cfRule type="cellIs" dxfId="48" priority="995" operator="equal">
      <formula>$U$1</formula>
    </cfRule>
    <cfRule type="cellIs" dxfId="47" priority="996" operator="equal">
      <formula>$S$1</formula>
    </cfRule>
  </conditionalFormatting>
  <conditionalFormatting sqref="D106">
    <cfRule type="cellIs" dxfId="46" priority="993" operator="equal">
      <formula>$S$1</formula>
    </cfRule>
    <cfRule type="cellIs" dxfId="45" priority="994" operator="equal">
      <formula>$U$1</formula>
    </cfRule>
  </conditionalFormatting>
  <conditionalFormatting sqref="C81">
    <cfRule type="cellIs" dxfId="44" priority="991" operator="equal">
      <formula>$U$1</formula>
    </cfRule>
    <cfRule type="cellIs" dxfId="43" priority="992" operator="equal">
      <formula>$S$1</formula>
    </cfRule>
  </conditionalFormatting>
  <conditionalFormatting sqref="D81">
    <cfRule type="cellIs" dxfId="42" priority="989" operator="equal">
      <formula>$S$1</formula>
    </cfRule>
    <cfRule type="cellIs" dxfId="41" priority="990" operator="equal">
      <formula>$U$1</formula>
    </cfRule>
  </conditionalFormatting>
  <conditionalFormatting sqref="C56">
    <cfRule type="cellIs" dxfId="40" priority="987" operator="equal">
      <formula>$U$1</formula>
    </cfRule>
    <cfRule type="cellIs" dxfId="39" priority="988" operator="equal">
      <formula>$S$1</formula>
    </cfRule>
  </conditionalFormatting>
  <conditionalFormatting sqref="D56">
    <cfRule type="cellIs" dxfId="38" priority="985" operator="equal">
      <formula>$S$1</formula>
    </cfRule>
    <cfRule type="cellIs" dxfId="37" priority="986" operator="equal">
      <formula>$U$1</formula>
    </cfRule>
  </conditionalFormatting>
  <conditionalFormatting sqref="C31">
    <cfRule type="cellIs" dxfId="36" priority="983" operator="equal">
      <formula>$U$1</formula>
    </cfRule>
    <cfRule type="cellIs" dxfId="35" priority="984" operator="equal">
      <formula>$S$1</formula>
    </cfRule>
  </conditionalFormatting>
  <conditionalFormatting sqref="D31">
    <cfRule type="cellIs" dxfId="34" priority="981" operator="equal">
      <formula>$S$1</formula>
    </cfRule>
    <cfRule type="cellIs" dxfId="33" priority="982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92" zoomScale="90" zoomScaleNormal="90" workbookViewId="0">
      <pane xSplit="4" topLeftCell="G1" activePane="topRight" state="frozen"/>
      <selection activeCell="A109" sqref="A109"/>
      <selection pane="topRight" activeCell="AL95" sqref="AL95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23" x14ac:dyDescent="0.25">
      <c r="A65" s="30">
        <v>207.96505671840671</v>
      </c>
      <c r="E65"/>
    </row>
    <row r="66" spans="1:23" x14ac:dyDescent="0.25">
      <c r="A66" s="30">
        <v>189.05914247127882</v>
      </c>
      <c r="E66"/>
    </row>
    <row r="67" spans="1:23" x14ac:dyDescent="0.25">
      <c r="A67" s="30">
        <v>171.87194770116255</v>
      </c>
      <c r="C67" s="1" t="s">
        <v>15</v>
      </c>
      <c r="E67"/>
    </row>
    <row r="68" spans="1:23" x14ac:dyDescent="0.25">
      <c r="A68" s="30">
        <v>156.24722518287504</v>
      </c>
      <c r="C68" s="7">
        <v>0.11167815779424731</v>
      </c>
      <c r="D68"/>
      <c r="E68"/>
    </row>
    <row r="69" spans="1:23" x14ac:dyDescent="0.25">
      <c r="A69" s="30">
        <v>142.04293198443185</v>
      </c>
      <c r="E69"/>
    </row>
    <row r="70" spans="1:23" x14ac:dyDescent="0.25">
      <c r="A70" s="30">
        <v>129.1299381676653</v>
      </c>
      <c r="C70" s="1" t="s">
        <v>11</v>
      </c>
      <c r="D70" s="1" t="s">
        <v>12</v>
      </c>
      <c r="E70"/>
    </row>
    <row r="71" spans="1:23" x14ac:dyDescent="0.25">
      <c r="A71" s="30">
        <v>117.39085287969573</v>
      </c>
      <c r="C71"/>
      <c r="D71"/>
      <c r="E71"/>
    </row>
    <row r="72" spans="1:23" x14ac:dyDescent="0.25">
      <c r="A72" s="30">
        <v>106.71895716335975</v>
      </c>
      <c r="E72"/>
    </row>
    <row r="73" spans="1:23" x14ac:dyDescent="0.25">
      <c r="A73" s="30">
        <v>97.017233784872488</v>
      </c>
      <c r="C73" s="1" t="s">
        <v>13</v>
      </c>
      <c r="E73"/>
    </row>
    <row r="74" spans="1:23" x14ac:dyDescent="0.25">
      <c r="A74" s="30">
        <v>88.197485258974979</v>
      </c>
      <c r="C74" s="1">
        <f>C63</f>
        <v>0</v>
      </c>
      <c r="E74"/>
    </row>
    <row r="75" spans="1:23" x14ac:dyDescent="0.25">
      <c r="A75" s="30">
        <v>80.179532053613613</v>
      </c>
      <c r="C75"/>
      <c r="D75"/>
      <c r="E75"/>
    </row>
    <row r="76" spans="1:23" x14ac:dyDescent="0.25">
      <c r="A76" s="30">
        <v>72.890483685103277</v>
      </c>
      <c r="C76" s="1" t="s">
        <v>14</v>
      </c>
      <c r="E76"/>
    </row>
    <row r="77" spans="1:23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23" x14ac:dyDescent="0.25">
      <c r="A78" s="30">
        <v>60.240069161242367</v>
      </c>
      <c r="E78"/>
    </row>
    <row r="79" spans="1:23" x14ac:dyDescent="0.25">
      <c r="A79" s="30">
        <v>54.763699237493057</v>
      </c>
      <c r="E79"/>
      <c r="U79" s="27" t="s">
        <v>8</v>
      </c>
    </row>
    <row r="80" spans="1:23" x14ac:dyDescent="0.25">
      <c r="A80" s="30">
        <v>49.785181124993684</v>
      </c>
      <c r="E80"/>
      <c r="U80" s="27" t="s">
        <v>8</v>
      </c>
      <c r="V80" s="27" t="s">
        <v>7</v>
      </c>
      <c r="W80" s="27" t="s">
        <v>8</v>
      </c>
    </row>
    <row r="81" spans="1:38" x14ac:dyDescent="0.25">
      <c r="A81" s="30">
        <v>45.259255568176073</v>
      </c>
      <c r="E81"/>
      <c r="U81" s="27" t="s">
        <v>8</v>
      </c>
      <c r="V81" s="27" t="s">
        <v>7</v>
      </c>
      <c r="W81" s="27" t="s">
        <v>8</v>
      </c>
      <c r="X81" s="27" t="s">
        <v>7</v>
      </c>
    </row>
    <row r="82" spans="1:38" x14ac:dyDescent="0.25">
      <c r="A82" s="30">
        <v>41.144777789250973</v>
      </c>
      <c r="E82"/>
      <c r="M82" s="27" t="s">
        <v>8</v>
      </c>
      <c r="S82" s="27" t="s">
        <v>8</v>
      </c>
      <c r="U82" s="27" t="s">
        <v>8</v>
      </c>
      <c r="V82" s="27" t="s">
        <v>7</v>
      </c>
      <c r="W82" s="27" t="s">
        <v>8</v>
      </c>
      <c r="X82" s="27" t="s">
        <v>7</v>
      </c>
    </row>
    <row r="83" spans="1:38" x14ac:dyDescent="0.25">
      <c r="A83" s="30">
        <v>37.404343444773609</v>
      </c>
      <c r="E83"/>
      <c r="M83" s="27" t="s">
        <v>8</v>
      </c>
      <c r="N83" s="27" t="s">
        <v>7</v>
      </c>
      <c r="S83" s="27" t="s">
        <v>8</v>
      </c>
      <c r="T83" s="27" t="s">
        <v>7</v>
      </c>
      <c r="U83" s="27" t="s">
        <v>8</v>
      </c>
      <c r="V83" s="27" t="s">
        <v>7</v>
      </c>
      <c r="W83" s="27" t="s">
        <v>8</v>
      </c>
      <c r="X83" s="27" t="s">
        <v>7</v>
      </c>
    </row>
    <row r="84" spans="1:38" x14ac:dyDescent="0.25">
      <c r="A84" s="30">
        <v>34.003948586157826</v>
      </c>
      <c r="E84"/>
      <c r="I84" s="27" t="s">
        <v>8</v>
      </c>
      <c r="M84" s="27" t="s">
        <v>8</v>
      </c>
      <c r="N84" s="27" t="s">
        <v>7</v>
      </c>
      <c r="S84" s="27" t="s">
        <v>8</v>
      </c>
      <c r="T84" s="27" t="s">
        <v>7</v>
      </c>
      <c r="U84" s="27" t="s">
        <v>8</v>
      </c>
      <c r="V84" s="27" t="s">
        <v>7</v>
      </c>
      <c r="W84" s="27" t="s">
        <v>8</v>
      </c>
      <c r="X84" s="27" t="s">
        <v>7</v>
      </c>
      <c r="AE84" s="27" t="s">
        <v>8</v>
      </c>
      <c r="AG84" s="27" t="s">
        <v>8</v>
      </c>
    </row>
    <row r="85" spans="1:38" x14ac:dyDescent="0.25">
      <c r="A85" s="30">
        <v>30.912680532870748</v>
      </c>
      <c r="E85"/>
      <c r="I85" s="27" t="s">
        <v>8</v>
      </c>
      <c r="J85" s="27" t="s">
        <v>7</v>
      </c>
      <c r="M85" s="27" t="s">
        <v>8</v>
      </c>
      <c r="N85" s="27" t="s">
        <v>7</v>
      </c>
      <c r="O85" s="27" t="s">
        <v>8</v>
      </c>
      <c r="Q85" s="27" t="s">
        <v>8</v>
      </c>
      <c r="S85" s="27" t="s">
        <v>8</v>
      </c>
      <c r="T85" s="27" t="s">
        <v>7</v>
      </c>
      <c r="V85" s="27" t="s">
        <v>7</v>
      </c>
      <c r="W85" s="27" t="s">
        <v>8</v>
      </c>
      <c r="X85" s="27" t="s">
        <v>7</v>
      </c>
      <c r="Y85" s="27" t="s">
        <v>8</v>
      </c>
      <c r="AE85" s="27" t="s">
        <v>8</v>
      </c>
      <c r="AF85" s="27" t="s">
        <v>7</v>
      </c>
      <c r="AG85" s="27" t="s">
        <v>8</v>
      </c>
      <c r="AH85" s="27" t="s">
        <v>7</v>
      </c>
    </row>
    <row r="86" spans="1:38" x14ac:dyDescent="0.25">
      <c r="A86" s="30">
        <v>28.102436848064315</v>
      </c>
      <c r="E86"/>
      <c r="G86" s="27" t="s">
        <v>8</v>
      </c>
      <c r="I86" s="27" t="s">
        <v>8</v>
      </c>
      <c r="J86" s="27" t="s">
        <v>7</v>
      </c>
      <c r="M86" s="27" t="s">
        <v>8</v>
      </c>
      <c r="N86" s="27" t="s">
        <v>7</v>
      </c>
      <c r="O86" s="27" t="s">
        <v>8</v>
      </c>
      <c r="P86" s="27" t="s">
        <v>7</v>
      </c>
      <c r="Q86" s="27" t="s">
        <v>8</v>
      </c>
      <c r="R86" s="27" t="s">
        <v>7</v>
      </c>
      <c r="S86" s="27" t="s">
        <v>8</v>
      </c>
      <c r="V86" s="27" t="s">
        <v>7</v>
      </c>
      <c r="X86" s="27" t="s">
        <v>7</v>
      </c>
      <c r="Y86" s="27" t="s">
        <v>8</v>
      </c>
      <c r="Z86" s="27" t="s">
        <v>7</v>
      </c>
      <c r="AA86" s="27" t="s">
        <v>8</v>
      </c>
      <c r="AE86" s="27" t="s">
        <v>8</v>
      </c>
      <c r="AF86" s="27" t="s">
        <v>7</v>
      </c>
      <c r="AG86" s="27" t="s">
        <v>8</v>
      </c>
      <c r="AH86" s="27" t="s">
        <v>7</v>
      </c>
      <c r="AI86" s="27" t="s">
        <v>8</v>
      </c>
    </row>
    <row r="87" spans="1:38" x14ac:dyDescent="0.25">
      <c r="A87" s="30">
        <v>25.547669861876649</v>
      </c>
      <c r="E87" t="s">
        <v>8</v>
      </c>
      <c r="G87" s="27" t="s">
        <v>8</v>
      </c>
      <c r="H87" s="27" t="s">
        <v>7</v>
      </c>
      <c r="I87" s="27" t="s">
        <v>8</v>
      </c>
      <c r="J87" s="27" t="s">
        <v>7</v>
      </c>
      <c r="M87" s="27" t="s">
        <v>8</v>
      </c>
      <c r="N87" s="27" t="s">
        <v>7</v>
      </c>
      <c r="O87" s="27" t="s">
        <v>8</v>
      </c>
      <c r="P87" s="27" t="s">
        <v>7</v>
      </c>
      <c r="Q87" s="27" t="s">
        <v>8</v>
      </c>
      <c r="R87" s="27" t="s">
        <v>7</v>
      </c>
      <c r="S87" s="27" t="s">
        <v>8</v>
      </c>
      <c r="X87" s="27" t="s">
        <v>7</v>
      </c>
      <c r="Y87" s="27" t="s">
        <v>8</v>
      </c>
      <c r="Z87" s="27" t="s">
        <v>7</v>
      </c>
      <c r="AA87" s="27" t="s">
        <v>8</v>
      </c>
      <c r="AB87" s="27" t="s">
        <v>7</v>
      </c>
      <c r="AC87" s="27" t="s">
        <v>8</v>
      </c>
      <c r="AE87" s="27" t="s">
        <v>8</v>
      </c>
      <c r="AF87" s="27" t="s">
        <v>7</v>
      </c>
      <c r="AH87" s="27" t="s">
        <v>7</v>
      </c>
      <c r="AI87" s="27" t="s">
        <v>8</v>
      </c>
      <c r="AJ87" s="27" t="s">
        <v>7</v>
      </c>
    </row>
    <row r="88" spans="1:38" x14ac:dyDescent="0.25">
      <c r="A88" s="30">
        <v>23.225154419887861</v>
      </c>
      <c r="E88" t="s">
        <v>8</v>
      </c>
      <c r="F88" s="27" t="s">
        <v>7</v>
      </c>
      <c r="G88" s="27" t="s">
        <v>8</v>
      </c>
      <c r="H88" s="27" t="s">
        <v>7</v>
      </c>
      <c r="I88" s="27" t="s">
        <v>8</v>
      </c>
      <c r="J88" s="27" t="s">
        <v>7</v>
      </c>
      <c r="K88" s="27" t="s">
        <v>8</v>
      </c>
      <c r="M88" s="27" t="s">
        <v>8</v>
      </c>
      <c r="N88" s="27" t="s">
        <v>7</v>
      </c>
      <c r="O88" s="27" t="s">
        <v>8</v>
      </c>
      <c r="P88" s="27" t="s">
        <v>7</v>
      </c>
      <c r="R88" s="27" t="s">
        <v>7</v>
      </c>
      <c r="X88" s="27" t="s">
        <v>7</v>
      </c>
      <c r="Y88" s="27" t="s">
        <v>8</v>
      </c>
      <c r="Z88" s="27" t="s">
        <v>7</v>
      </c>
      <c r="AA88" s="27" t="s">
        <v>8</v>
      </c>
      <c r="AB88" s="27" t="s">
        <v>7</v>
      </c>
      <c r="AC88" s="27" t="s">
        <v>8</v>
      </c>
      <c r="AD88" s="27" t="s">
        <v>7</v>
      </c>
      <c r="AE88" s="27" t="s">
        <v>8</v>
      </c>
      <c r="AH88" s="27" t="s">
        <v>7</v>
      </c>
      <c r="AI88" s="27" t="s">
        <v>8</v>
      </c>
      <c r="AJ88" s="27" t="s">
        <v>7</v>
      </c>
    </row>
    <row r="89" spans="1:38" x14ac:dyDescent="0.25">
      <c r="A89" s="30">
        <v>21.113776745352599</v>
      </c>
      <c r="E89" t="s">
        <v>8</v>
      </c>
      <c r="F89" s="27" t="s">
        <v>7</v>
      </c>
      <c r="G89" s="27" t="s">
        <v>8</v>
      </c>
      <c r="H89" s="27" t="s">
        <v>7</v>
      </c>
      <c r="I89" s="27" t="s">
        <v>8</v>
      </c>
      <c r="J89" s="27" t="s">
        <v>7</v>
      </c>
      <c r="K89" s="27" t="s">
        <v>8</v>
      </c>
      <c r="L89" s="27" t="s">
        <v>7</v>
      </c>
      <c r="M89" s="27" t="s">
        <v>8</v>
      </c>
      <c r="N89" s="27" t="s">
        <v>7</v>
      </c>
      <c r="X89" s="27" t="s">
        <v>7</v>
      </c>
      <c r="Y89" s="27" t="s">
        <v>8</v>
      </c>
      <c r="Z89" s="27" t="s">
        <v>7</v>
      </c>
      <c r="AA89" s="27" t="s">
        <v>8</v>
      </c>
      <c r="AB89" s="27" t="s">
        <v>7</v>
      </c>
      <c r="AC89" s="27" t="s">
        <v>8</v>
      </c>
      <c r="AD89" s="27" t="s">
        <v>7</v>
      </c>
      <c r="AE89" s="27" t="s">
        <v>8</v>
      </c>
      <c r="AH89" s="27" t="s">
        <v>7</v>
      </c>
      <c r="AI89" s="27" t="s">
        <v>8</v>
      </c>
      <c r="AJ89" s="27" t="s">
        <v>7</v>
      </c>
      <c r="AK89" s="27" t="s">
        <v>8</v>
      </c>
    </row>
    <row r="90" spans="1:38" x14ac:dyDescent="0.25">
      <c r="A90" s="30">
        <v>19.194342495775089</v>
      </c>
      <c r="E90" t="s">
        <v>8</v>
      </c>
      <c r="F90" s="27" t="s">
        <v>7</v>
      </c>
      <c r="G90" s="27" t="s">
        <v>8</v>
      </c>
      <c r="H90" s="27" t="s">
        <v>7</v>
      </c>
      <c r="I90" s="27" t="s">
        <v>8</v>
      </c>
      <c r="J90" s="27" t="s">
        <v>7</v>
      </c>
      <c r="K90" s="27" t="s">
        <v>8</v>
      </c>
      <c r="L90" s="27" t="s">
        <v>7</v>
      </c>
      <c r="M90" s="27" t="s">
        <v>8</v>
      </c>
      <c r="X90" s="27" t="s">
        <v>7</v>
      </c>
      <c r="Y90" s="27" t="s">
        <v>8</v>
      </c>
      <c r="Z90" s="27" t="s">
        <v>7</v>
      </c>
      <c r="AA90" s="27" t="s">
        <v>8</v>
      </c>
      <c r="AB90" s="27" t="s">
        <v>7</v>
      </c>
      <c r="AC90" s="27" t="s">
        <v>8</v>
      </c>
      <c r="AD90" s="27" t="s">
        <v>7</v>
      </c>
      <c r="AE90" s="27" t="s">
        <v>8</v>
      </c>
      <c r="AH90" s="27" t="s">
        <v>7</v>
      </c>
      <c r="AJ90" s="27" t="s">
        <v>7</v>
      </c>
      <c r="AK90" s="27" t="s">
        <v>8</v>
      </c>
      <c r="AL90" s="27" t="s">
        <v>7</v>
      </c>
    </row>
    <row r="91" spans="1:38" x14ac:dyDescent="0.25">
      <c r="A91" s="30">
        <v>17.449402268886445</v>
      </c>
      <c r="E91" t="s">
        <v>8</v>
      </c>
      <c r="F91" s="27" t="s">
        <v>7</v>
      </c>
      <c r="G91" s="27" t="s">
        <v>8</v>
      </c>
      <c r="H91" s="27" t="s">
        <v>7</v>
      </c>
      <c r="I91" s="27" t="s">
        <v>8</v>
      </c>
      <c r="J91" s="27" t="s">
        <v>7</v>
      </c>
      <c r="K91" s="27" t="s">
        <v>8</v>
      </c>
      <c r="L91" s="27" t="s">
        <v>7</v>
      </c>
      <c r="X91" s="27" t="s">
        <v>7</v>
      </c>
      <c r="Y91" s="27" t="s">
        <v>8</v>
      </c>
      <c r="Z91" s="27" t="s">
        <v>7</v>
      </c>
      <c r="AB91" s="27" t="s">
        <v>7</v>
      </c>
      <c r="AC91" s="27" t="s">
        <v>8</v>
      </c>
      <c r="AD91" s="27" t="s">
        <v>7</v>
      </c>
      <c r="AE91" s="27" t="s">
        <v>8</v>
      </c>
      <c r="AJ91" s="27" t="s">
        <v>7</v>
      </c>
      <c r="AK91" s="27" t="s">
        <v>8</v>
      </c>
      <c r="AL91" s="27" t="s">
        <v>7</v>
      </c>
    </row>
    <row r="92" spans="1:38" x14ac:dyDescent="0.25">
      <c r="A92" s="30">
        <v>15.863092971714948</v>
      </c>
      <c r="C92" s="1" t="s">
        <v>15</v>
      </c>
      <c r="E92" t="s">
        <v>8</v>
      </c>
      <c r="F92" s="27" t="s">
        <v>7</v>
      </c>
      <c r="G92" s="27" t="s">
        <v>8</v>
      </c>
      <c r="H92" s="27" t="s">
        <v>7</v>
      </c>
      <c r="I92" s="27" t="s">
        <v>8</v>
      </c>
      <c r="J92" s="27" t="s">
        <v>7</v>
      </c>
      <c r="K92" s="27" t="s">
        <v>8</v>
      </c>
      <c r="X92" s="27" t="s">
        <v>7</v>
      </c>
      <c r="AB92" s="27" t="s">
        <v>7</v>
      </c>
      <c r="AC92" s="27" t="s">
        <v>8</v>
      </c>
      <c r="AD92" s="18" t="s">
        <v>7</v>
      </c>
      <c r="AE92" s="27" t="s">
        <v>8</v>
      </c>
      <c r="AJ92" s="27" t="s">
        <v>7</v>
      </c>
      <c r="AL92" s="27" t="s">
        <v>7</v>
      </c>
    </row>
    <row r="93" spans="1:38" x14ac:dyDescent="0.25">
      <c r="A93" s="30">
        <v>14.420993610649951</v>
      </c>
      <c r="C93" s="7">
        <v>0.11167815779424731</v>
      </c>
      <c r="D93"/>
      <c r="E93" t="s">
        <v>8</v>
      </c>
      <c r="F93" s="27" t="s">
        <v>7</v>
      </c>
      <c r="G93" s="27" t="s">
        <v>8</v>
      </c>
      <c r="H93" s="27" t="s">
        <v>7</v>
      </c>
      <c r="I93" s="27" t="s">
        <v>8</v>
      </c>
      <c r="J93" s="27" t="s">
        <v>7</v>
      </c>
      <c r="AB93" s="27" t="s">
        <v>7</v>
      </c>
      <c r="AC93" s="27" t="s">
        <v>8</v>
      </c>
      <c r="AD93" s="27" t="s">
        <v>7</v>
      </c>
      <c r="AL93" s="27" t="s">
        <v>7</v>
      </c>
    </row>
    <row r="94" spans="1:38" x14ac:dyDescent="0.25">
      <c r="A94" s="30">
        <v>13.109994191499954</v>
      </c>
      <c r="E94" t="s">
        <v>8</v>
      </c>
      <c r="F94" s="27" t="s">
        <v>7</v>
      </c>
      <c r="G94" s="27" t="s">
        <v>8</v>
      </c>
      <c r="H94" s="27" t="s">
        <v>7</v>
      </c>
      <c r="I94" s="27" t="s">
        <v>8</v>
      </c>
      <c r="AB94" s="27" t="s">
        <v>7</v>
      </c>
      <c r="AC94" s="27" t="s">
        <v>8</v>
      </c>
      <c r="AL94" s="27" t="s">
        <v>7</v>
      </c>
    </row>
    <row r="95" spans="1:38" x14ac:dyDescent="0.25">
      <c r="A95" s="30">
        <v>11.918176537727231</v>
      </c>
      <c r="C95" s="1" t="s">
        <v>11</v>
      </c>
      <c r="D95" s="1" t="s">
        <v>12</v>
      </c>
      <c r="E95" t="s">
        <v>8</v>
      </c>
      <c r="F95" s="27" t="s">
        <v>7</v>
      </c>
      <c r="G95" s="27" t="s">
        <v>8</v>
      </c>
      <c r="H95" s="27" t="s">
        <v>7</v>
      </c>
      <c r="AB95" s="27" t="s">
        <v>7</v>
      </c>
      <c r="AC95" s="27" t="s">
        <v>8</v>
      </c>
      <c r="AL95" s="27" t="s">
        <v>7</v>
      </c>
    </row>
    <row r="96" spans="1:38" x14ac:dyDescent="0.25">
      <c r="A96" s="30">
        <v>10.834705943388391</v>
      </c>
      <c r="C96"/>
      <c r="D96"/>
      <c r="E96" t="s">
        <v>8</v>
      </c>
      <c r="F96" s="27" t="s">
        <v>7</v>
      </c>
      <c r="G96" s="27" t="s">
        <v>8</v>
      </c>
      <c r="AB96" s="27" t="s">
        <v>7</v>
      </c>
      <c r="AC96" s="27" t="s">
        <v>8</v>
      </c>
    </row>
    <row r="97" spans="1:28" x14ac:dyDescent="0.25">
      <c r="A97" s="30">
        <v>9.849732675807628</v>
      </c>
      <c r="E97" t="s">
        <v>8</v>
      </c>
      <c r="F97" s="27" t="s">
        <v>7</v>
      </c>
      <c r="G97" s="27" t="s">
        <v>8</v>
      </c>
      <c r="AB97" s="27" t="s">
        <v>7</v>
      </c>
    </row>
    <row r="98" spans="1:28" x14ac:dyDescent="0.25">
      <c r="A98" s="30">
        <v>8.9543024325523888</v>
      </c>
      <c r="C98" s="1" t="s">
        <v>13</v>
      </c>
      <c r="E98" t="s">
        <v>8</v>
      </c>
      <c r="F98" s="27" t="s">
        <v>7</v>
      </c>
      <c r="G98" s="27" t="s">
        <v>8</v>
      </c>
    </row>
    <row r="99" spans="1:28" x14ac:dyDescent="0.25">
      <c r="A99" s="30">
        <v>8.140274938683989</v>
      </c>
      <c r="C99" s="1">
        <f>C88</f>
        <v>0</v>
      </c>
      <c r="E99" t="s">
        <v>8</v>
      </c>
      <c r="F99" s="27" t="s">
        <v>7</v>
      </c>
      <c r="G99" s="27" t="s">
        <v>8</v>
      </c>
    </row>
    <row r="100" spans="1:28" x14ac:dyDescent="0.25">
      <c r="A100" s="30">
        <v>7.4002499442581717</v>
      </c>
      <c r="C100"/>
      <c r="D100"/>
      <c r="E100" t="s">
        <v>8</v>
      </c>
      <c r="F100" s="27" t="s">
        <v>7</v>
      </c>
      <c r="G100" s="27" t="s">
        <v>8</v>
      </c>
    </row>
    <row r="101" spans="1:28" x14ac:dyDescent="0.25">
      <c r="A101" s="30">
        <v>6.72749994932561</v>
      </c>
      <c r="C101" s="1" t="s">
        <v>14</v>
      </c>
      <c r="E101" t="s">
        <v>8</v>
      </c>
      <c r="F101" s="27" t="s">
        <v>7</v>
      </c>
      <c r="G101" s="27" t="s">
        <v>8</v>
      </c>
    </row>
    <row r="102" spans="1:28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 t="s">
        <v>8</v>
      </c>
      <c r="F102" s="27" t="s">
        <v>7</v>
      </c>
      <c r="G102" s="27" t="s">
        <v>8</v>
      </c>
    </row>
    <row r="103" spans="1:28" x14ac:dyDescent="0.25">
      <c r="A103" s="30">
        <v>5.5599173134922388</v>
      </c>
      <c r="E103" t="s">
        <v>8</v>
      </c>
      <c r="F103" s="27" t="s">
        <v>7</v>
      </c>
      <c r="G103" s="27" t="s">
        <v>8</v>
      </c>
    </row>
    <row r="104" spans="1:28" x14ac:dyDescent="0.25">
      <c r="A104" s="30">
        <v>5.0544702849929442</v>
      </c>
      <c r="E104" t="s">
        <v>8</v>
      </c>
      <c r="F104" s="27" t="s">
        <v>7</v>
      </c>
    </row>
    <row r="105" spans="1:28" x14ac:dyDescent="0.25">
      <c r="A105" s="30">
        <v>4.594972986357222</v>
      </c>
      <c r="E105" t="s">
        <v>8</v>
      </c>
    </row>
    <row r="106" spans="1:28" x14ac:dyDescent="0.25">
      <c r="A106" s="30">
        <v>4.1772481694156562</v>
      </c>
      <c r="E106" t="s">
        <v>8</v>
      </c>
    </row>
    <row r="107" spans="1:28" x14ac:dyDescent="0.25">
      <c r="A107" s="30">
        <v>3.7974983358324148</v>
      </c>
      <c r="E107" t="s">
        <v>8</v>
      </c>
    </row>
    <row r="108" spans="1:28" x14ac:dyDescent="0.25">
      <c r="A108" s="30">
        <v>3.4522712143931042</v>
      </c>
      <c r="E108" t="s">
        <v>8</v>
      </c>
    </row>
    <row r="109" spans="1:28" x14ac:dyDescent="0.25">
      <c r="A109" s="30">
        <v>3.1384283767210035</v>
      </c>
      <c r="E109" t="s">
        <v>8</v>
      </c>
    </row>
    <row r="110" spans="1:28" x14ac:dyDescent="0.25">
      <c r="A110" s="30">
        <v>2.8531167061100029</v>
      </c>
      <c r="E110" t="s">
        <v>8</v>
      </c>
    </row>
    <row r="111" spans="1:28" x14ac:dyDescent="0.25">
      <c r="A111" s="30">
        <v>2.5937424601000023</v>
      </c>
      <c r="C111" s="1" t="str">
        <f>ADDRESS(C121-1,1,1,1)</f>
        <v>$A$94</v>
      </c>
      <c r="D111" s="1" t="str">
        <f>ADDRESS(C121-1,D121,1,1)</f>
        <v>$AL$94</v>
      </c>
      <c r="E111" t="s">
        <v>8</v>
      </c>
    </row>
    <row r="112" spans="1:28" x14ac:dyDescent="0.25">
      <c r="A112" s="30">
        <v>2.3579476910000019</v>
      </c>
      <c r="C112" s="1" t="str">
        <f>ADDRESS(C121,1,1,1)</f>
        <v>$A$95</v>
      </c>
      <c r="D112" s="1" t="str">
        <f>ADDRESS(C121,D121-1,1,1)</f>
        <v>$AK$95</v>
      </c>
      <c r="E112" t="s">
        <v>8</v>
      </c>
    </row>
    <row r="113" spans="1:5" x14ac:dyDescent="0.25">
      <c r="A113" s="30">
        <v>2.1435888100000016</v>
      </c>
      <c r="C113" s="1" t="str">
        <f>ADDRESS(C121+1,1,1,1)</f>
        <v>$A$96</v>
      </c>
      <c r="D113" s="1" t="str">
        <f>ADDRESS(C121-1,D121+1,1,1)</f>
        <v>$AM$94</v>
      </c>
      <c r="E113" s="1" t="s">
        <v>8</v>
      </c>
    </row>
    <row r="114" spans="1:5" x14ac:dyDescent="0.25">
      <c r="A114" s="30">
        <v>1.9487171000000014</v>
      </c>
      <c r="C114" s="1" t="str">
        <f>ADDRESS(C121,D121,1,1)</f>
        <v>$AL$95</v>
      </c>
      <c r="D114" s="1" t="str">
        <f>ADDRESS(C121+1,D121+1,1,1)</f>
        <v>$AM$96</v>
      </c>
      <c r="E114" s="1" t="s">
        <v>8</v>
      </c>
    </row>
    <row r="115" spans="1:5" x14ac:dyDescent="0.25">
      <c r="A115" s="30">
        <v>1.7715610000000011</v>
      </c>
      <c r="C115" s="1" t="str">
        <f>ADDRESS(C121+1,D121,1,1)</f>
        <v>$AL$96</v>
      </c>
      <c r="E115" s="1" t="s">
        <v>8</v>
      </c>
    </row>
    <row r="116" spans="1:5" x14ac:dyDescent="0.25">
      <c r="A116" s="30">
        <v>1.6105100000000008</v>
      </c>
      <c r="C116" s="1">
        <f>C117-1</f>
        <v>94</v>
      </c>
      <c r="E116" s="1" t="s">
        <v>8</v>
      </c>
    </row>
    <row r="117" spans="1:5" x14ac:dyDescent="0.25">
      <c r="A117" s="30">
        <v>1.4641000000000006</v>
      </c>
      <c r="C117" s="1">
        <f>C121</f>
        <v>95</v>
      </c>
      <c r="D117" s="1">
        <f>D121</f>
        <v>38</v>
      </c>
      <c r="E117" s="1" t="s">
        <v>8</v>
      </c>
    </row>
    <row r="118" spans="1:5" x14ac:dyDescent="0.25">
      <c r="A118" s="30">
        <v>1.3310000000000004</v>
      </c>
      <c r="C118" s="1">
        <f>C117+1</f>
        <v>96</v>
      </c>
      <c r="D118" s="1">
        <f>D117+1</f>
        <v>39</v>
      </c>
      <c r="E118" s="1" t="s">
        <v>8</v>
      </c>
    </row>
    <row r="119" spans="1:5" x14ac:dyDescent="0.25">
      <c r="A119" s="30">
        <v>1.2100000000000002</v>
      </c>
      <c r="E119" s="1" t="s">
        <v>8</v>
      </c>
    </row>
    <row r="120" spans="1:5" x14ac:dyDescent="0.25">
      <c r="A120" s="30">
        <v>1.1000000000000001</v>
      </c>
      <c r="C120" s="1" t="s">
        <v>9</v>
      </c>
      <c r="E120" s="1" t="s">
        <v>8</v>
      </c>
    </row>
    <row r="121" spans="1:5" x14ac:dyDescent="0.25">
      <c r="A121" s="30">
        <v>1</v>
      </c>
      <c r="C121" s="18">
        <v>95</v>
      </c>
      <c r="D121" s="19">
        <v>38</v>
      </c>
      <c r="E121" s="18" t="s">
        <v>8</v>
      </c>
    </row>
    <row r="122" spans="1:5" x14ac:dyDescent="0.25">
      <c r="A122" s="30">
        <v>0.90909090909090895</v>
      </c>
      <c r="C122" s="1" t="str">
        <f>INDEX(1:1048576,C117,D117)</f>
        <v>O</v>
      </c>
    </row>
    <row r="123" spans="1:5" x14ac:dyDescent="0.25">
      <c r="A123" s="30">
        <v>0.82644628099173523</v>
      </c>
      <c r="C123" s="1" t="str">
        <f>"R"&amp;C121</f>
        <v>R95</v>
      </c>
      <c r="D123" s="1" t="str">
        <f>"C"&amp;D121</f>
        <v>C38</v>
      </c>
    </row>
    <row r="124" spans="1:5" x14ac:dyDescent="0.25">
      <c r="A124" s="30">
        <v>0.75131480090157732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0.68301345536507019</v>
      </c>
    </row>
    <row r="126" spans="1:5" x14ac:dyDescent="0.25">
      <c r="A126" s="30">
        <v>0.6209213230591546</v>
      </c>
      <c r="C126" s="1" t="s">
        <v>10</v>
      </c>
    </row>
    <row r="127" spans="1:5" x14ac:dyDescent="0.25">
      <c r="A127" s="30">
        <v>0.56447393005377677</v>
      </c>
      <c r="C127" s="30">
        <v>11.918176537727231</v>
      </c>
      <c r="D127"/>
    </row>
    <row r="128" spans="1:5" x14ac:dyDescent="0.25">
      <c r="A128" s="30">
        <v>0.51315811823070612</v>
      </c>
    </row>
    <row r="129" spans="1:5" x14ac:dyDescent="0.25">
      <c r="A129" s="30">
        <v>0.46650738020973276</v>
      </c>
      <c r="C129" s="1" t="s">
        <v>11</v>
      </c>
      <c r="D129" s="1" t="s">
        <v>12</v>
      </c>
      <c r="E129"/>
    </row>
    <row r="130" spans="1:5" x14ac:dyDescent="0.25">
      <c r="A130" s="30">
        <v>0.42409761837248428</v>
      </c>
      <c r="C130" s="6"/>
      <c r="D130" s="6"/>
      <c r="E130"/>
    </row>
    <row r="131" spans="1:5" x14ac:dyDescent="0.25">
      <c r="A131" s="30">
        <v>0.38554328942953109</v>
      </c>
      <c r="E131"/>
    </row>
    <row r="132" spans="1:5" x14ac:dyDescent="0.25">
      <c r="A132" s="30">
        <v>0.35049389948139187</v>
      </c>
      <c r="C132" s="1" t="s">
        <v>13</v>
      </c>
      <c r="E132"/>
    </row>
    <row r="133" spans="1:5" x14ac:dyDescent="0.25">
      <c r="A133" s="30">
        <v>0.31863081771035617</v>
      </c>
      <c r="C133" s="1" t="str">
        <f>C122</f>
        <v>O</v>
      </c>
      <c r="E133"/>
    </row>
    <row r="134" spans="1:5" x14ac:dyDescent="0.25">
      <c r="A134" s="30">
        <v>0.28966437973668741</v>
      </c>
      <c r="C134"/>
      <c r="D134"/>
      <c r="E134"/>
    </row>
    <row r="135" spans="1:5" x14ac:dyDescent="0.25">
      <c r="A135" s="30">
        <v>0.2633312543060794</v>
      </c>
      <c r="C135" s="1" t="s">
        <v>14</v>
      </c>
      <c r="E135"/>
    </row>
    <row r="136" spans="1:5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</row>
    <row r="137" spans="1:5" x14ac:dyDescent="0.25">
      <c r="A137" s="30">
        <v>0.2176291357901482</v>
      </c>
      <c r="E137"/>
    </row>
    <row r="138" spans="1:5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0.17985878990921333</v>
      </c>
      <c r="E139"/>
    </row>
    <row r="140" spans="1:5" x14ac:dyDescent="0.25">
      <c r="A140" s="30">
        <v>0.16350799082655756</v>
      </c>
      <c r="C140" s="1">
        <v>0</v>
      </c>
      <c r="E140"/>
    </row>
    <row r="141" spans="1:5" x14ac:dyDescent="0.25">
      <c r="A141" s="30">
        <v>0.14864362802414322</v>
      </c>
      <c r="C141" s="1">
        <v>1</v>
      </c>
      <c r="E141"/>
    </row>
    <row r="142" spans="1:5" x14ac:dyDescent="0.25">
      <c r="A142" s="30">
        <v>0.13513057093103928</v>
      </c>
      <c r="C142" s="1">
        <v>2</v>
      </c>
      <c r="E142"/>
    </row>
    <row r="143" spans="1:5" x14ac:dyDescent="0.25">
      <c r="A143" s="30">
        <v>0.12284597357367205</v>
      </c>
      <c r="C143" s="1">
        <v>3</v>
      </c>
      <c r="E143"/>
    </row>
    <row r="144" spans="1:5" x14ac:dyDescent="0.25">
      <c r="A144" s="30">
        <v>0.11167815779424731</v>
      </c>
      <c r="C144" s="1">
        <v>4</v>
      </c>
      <c r="E144"/>
    </row>
    <row r="145" spans="1:5" x14ac:dyDescent="0.25">
      <c r="A145" s="30">
        <v>0.10152559799477026</v>
      </c>
      <c r="B145"/>
      <c r="C145"/>
      <c r="D145"/>
      <c r="E145"/>
    </row>
    <row r="146" spans="1:5" x14ac:dyDescent="0.25">
      <c r="A146" s="30">
        <v>9.2295998177063854E-2</v>
      </c>
      <c r="B146"/>
      <c r="C146"/>
      <c r="D146"/>
      <c r="E146"/>
    </row>
    <row r="147" spans="1:5" x14ac:dyDescent="0.25">
      <c r="A147" s="30">
        <v>8.3905452888239848E-2</v>
      </c>
      <c r="B147"/>
      <c r="C147"/>
      <c r="D147"/>
      <c r="E147"/>
    </row>
    <row r="148" spans="1:5" x14ac:dyDescent="0.25">
      <c r="A148" s="30">
        <v>7.6277684443854396E-2</v>
      </c>
      <c r="B148"/>
      <c r="C148"/>
      <c r="D148"/>
      <c r="E148"/>
    </row>
    <row r="149" spans="1:5" x14ac:dyDescent="0.25">
      <c r="A149" s="30">
        <v>6.9343349494413078E-2</v>
      </c>
      <c r="B149"/>
      <c r="C149"/>
      <c r="D149"/>
      <c r="E149"/>
    </row>
    <row r="150" spans="1:5" x14ac:dyDescent="0.25">
      <c r="A150" s="30">
        <v>6.3039408631284613E-2</v>
      </c>
      <c r="B150"/>
      <c r="C150"/>
      <c r="D150"/>
      <c r="E150"/>
    </row>
    <row r="151" spans="1:5" x14ac:dyDescent="0.25">
      <c r="A151" s="30">
        <v>5.7308553301167818E-2</v>
      </c>
      <c r="B151"/>
      <c r="C151"/>
      <c r="D151"/>
      <c r="E151"/>
    </row>
    <row r="152" spans="1:5" x14ac:dyDescent="0.25">
      <c r="A152" s="30">
        <v>5.2098684819243464E-2</v>
      </c>
      <c r="B152"/>
      <c r="C152"/>
      <c r="D152"/>
      <c r="E152"/>
    </row>
    <row r="153" spans="1:5" x14ac:dyDescent="0.25">
      <c r="A153" s="30">
        <v>4.7362440744766775E-2</v>
      </c>
      <c r="B153"/>
      <c r="C153"/>
      <c r="D153"/>
      <c r="E153"/>
    </row>
    <row r="154" spans="1:5" x14ac:dyDescent="0.25">
      <c r="A154" s="30">
        <v>4.3056764313424332E-2</v>
      </c>
      <c r="B154"/>
      <c r="C154"/>
      <c r="D154"/>
      <c r="E154"/>
    </row>
    <row r="155" spans="1:5" x14ac:dyDescent="0.25">
      <c r="A155" s="30">
        <v>3.9142513012203929E-2</v>
      </c>
      <c r="B155"/>
      <c r="C155"/>
      <c r="D155"/>
      <c r="E155"/>
    </row>
    <row r="156" spans="1:5" x14ac:dyDescent="0.25">
      <c r="A156" s="30">
        <v>3.55841027383672E-2</v>
      </c>
      <c r="B156"/>
      <c r="C156"/>
      <c r="D156"/>
      <c r="E156"/>
    </row>
    <row r="157" spans="1:5" x14ac:dyDescent="0.25">
      <c r="A157" s="30">
        <v>3.2349184307606541E-2</v>
      </c>
      <c r="B157"/>
      <c r="C157"/>
      <c r="D157"/>
      <c r="E157"/>
    </row>
    <row r="158" spans="1:5" x14ac:dyDescent="0.25">
      <c r="A158" s="30">
        <v>2.9408349370551395E-2</v>
      </c>
      <c r="B158"/>
      <c r="C158"/>
      <c r="D158"/>
      <c r="E158"/>
    </row>
    <row r="159" spans="1:5" x14ac:dyDescent="0.25">
      <c r="A159" s="30">
        <v>2.6734863064137627E-2</v>
      </c>
      <c r="B159"/>
      <c r="C159"/>
      <c r="D159"/>
      <c r="E159"/>
    </row>
    <row r="160" spans="1: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999" operator="equal">
      <formula>$U$1</formula>
    </cfRule>
    <cfRule type="cellIs" dxfId="30" priority="1000" operator="equal">
      <formula>$S$1</formula>
    </cfRule>
  </conditionalFormatting>
  <conditionalFormatting sqref="D136">
    <cfRule type="cellIs" dxfId="29" priority="997" operator="equal">
      <formula>$S$1</formula>
    </cfRule>
    <cfRule type="cellIs" dxfId="28" priority="998" operator="equal">
      <formula>$U$1</formula>
    </cfRule>
  </conditionalFormatting>
  <conditionalFormatting sqref="C102">
    <cfRule type="cellIs" dxfId="27" priority="995" operator="equal">
      <formula>$U$1</formula>
    </cfRule>
    <cfRule type="cellIs" dxfId="26" priority="996" operator="equal">
      <formula>$S$1</formula>
    </cfRule>
  </conditionalFormatting>
  <conditionalFormatting sqref="D102">
    <cfRule type="cellIs" dxfId="25" priority="993" operator="equal">
      <formula>$S$1</formula>
    </cfRule>
    <cfRule type="cellIs" dxfId="24" priority="994" operator="equal">
      <formula>$U$1</formula>
    </cfRule>
  </conditionalFormatting>
  <conditionalFormatting sqref="C77">
    <cfRule type="cellIs" dxfId="23" priority="991" operator="equal">
      <formula>$U$1</formula>
    </cfRule>
    <cfRule type="cellIs" dxfId="22" priority="992" operator="equal">
      <formula>$S$1</formula>
    </cfRule>
  </conditionalFormatting>
  <conditionalFormatting sqref="D77">
    <cfRule type="cellIs" dxfId="21" priority="989" operator="equal">
      <formula>$S$1</formula>
    </cfRule>
    <cfRule type="cellIs" dxfId="20" priority="990" operator="equal">
      <formula>$U$1</formula>
    </cfRule>
  </conditionalFormatting>
  <conditionalFormatting sqref="C52">
    <cfRule type="cellIs" dxfId="19" priority="987" operator="equal">
      <formula>$U$1</formula>
    </cfRule>
    <cfRule type="cellIs" dxfId="18" priority="988" operator="equal">
      <formula>$S$1</formula>
    </cfRule>
  </conditionalFormatting>
  <conditionalFormatting sqref="D52">
    <cfRule type="cellIs" dxfId="17" priority="985" operator="equal">
      <formula>$S$1</formula>
    </cfRule>
    <cfRule type="cellIs" dxfId="16" priority="986" operator="equal">
      <formula>$U$1</formula>
    </cfRule>
  </conditionalFormatting>
  <conditionalFormatting sqref="C26">
    <cfRule type="cellIs" dxfId="15" priority="983" operator="equal">
      <formula>$U$1</formula>
    </cfRule>
    <cfRule type="cellIs" dxfId="14" priority="984" operator="equal">
      <formula>$S$1</formula>
    </cfRule>
  </conditionalFormatting>
  <conditionalFormatting sqref="D26">
    <cfRule type="cellIs" dxfId="13" priority="981" operator="equal">
      <formula>$S$1</formula>
    </cfRule>
    <cfRule type="cellIs" dxfId="12" priority="982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4" t="s">
        <v>17</v>
      </c>
      <c r="C1" s="34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2022-01-28T01:20:47Z</dcterms:modified>
</cp:coreProperties>
</file>